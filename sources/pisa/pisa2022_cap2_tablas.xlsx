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0"/>
  <workbookPr defaultThemeVersion="124226"/>
  <mc:AlternateContent xmlns:mc="http://schemas.openxmlformats.org/markup-compatibility/2006">
    <mc:Choice Requires="x15">
      <x15ac:absPath xmlns:x15ac="http://schemas.microsoft.com/office/spreadsheetml/2010/11/ac" url="V:\PISA\10-PISA-2022-MS-Informes\2-Informe Nacional\Tablas maquetadas\"/>
    </mc:Choice>
  </mc:AlternateContent>
  <xr:revisionPtr revIDLastSave="0" documentId="13_ncr:1_{2B8EEDF5-8E6B-42E3-997C-05408E0ADBD1}" xr6:coauthVersionLast="36" xr6:coauthVersionMax="36" xr10:uidLastSave="{00000000-0000-0000-0000-000000000000}"/>
  <bookViews>
    <workbookView xWindow="0" yWindow="0" windowWidth="17256" windowHeight="6336" tabRatio="619" firstSheet="4" activeTab="24" xr2:uid="{00000000-000D-0000-FFFF-FFFF00000000}"/>
  </bookViews>
  <sheets>
    <sheet name="Índice" sheetId="2" r:id="rId1"/>
    <sheet name="2.1" sheetId="3" r:id="rId2"/>
    <sheet name="2.2" sheetId="25" r:id="rId3"/>
    <sheet name="2.3" sheetId="1" r:id="rId4"/>
    <sheet name="2.4" sheetId="26" r:id="rId5"/>
    <sheet name="2.5" sheetId="6" r:id="rId6"/>
    <sheet name="2.7" sheetId="27" r:id="rId7"/>
    <sheet name="2.8" sheetId="28" r:id="rId8"/>
    <sheet name="2.9" sheetId="29" r:id="rId9"/>
    <sheet name="2.10" sheetId="30" r:id="rId10"/>
    <sheet name="2.11" sheetId="31" r:id="rId11"/>
    <sheet name="2.12" sheetId="33" r:id="rId12"/>
    <sheet name="2.13" sheetId="34" r:id="rId13"/>
    <sheet name="2.14" sheetId="35" r:id="rId14"/>
    <sheet name="2.15" sheetId="37" r:id="rId15"/>
    <sheet name="2.16" sheetId="38" r:id="rId16"/>
    <sheet name="2.18" sheetId="39" r:id="rId17"/>
    <sheet name="2.20" sheetId="40" r:id="rId18"/>
    <sheet name="2.21" sheetId="41" r:id="rId19"/>
    <sheet name="2.22" sheetId="42" r:id="rId20"/>
    <sheet name="2.24" sheetId="43" r:id="rId21"/>
    <sheet name="2.26" sheetId="44" r:id="rId22"/>
    <sheet name="2.27" sheetId="45" r:id="rId23"/>
    <sheet name="2.29" sheetId="46" r:id="rId24"/>
    <sheet name="2.30" sheetId="47" r:id="rId25"/>
  </sheets>
  <externalReferences>
    <externalReference r:id="rId26"/>
  </externalReferences>
  <calcPr calcId="191029"/>
</workbook>
</file>

<file path=xl/calcChain.xml><?xml version="1.0" encoding="utf-8"?>
<calcChain xmlns="http://schemas.openxmlformats.org/spreadsheetml/2006/main">
  <c r="N55" i="45" l="1"/>
  <c r="M55" i="45"/>
  <c r="L55" i="45"/>
  <c r="K55" i="45"/>
  <c r="N55" i="38" l="1"/>
  <c r="M55" i="38"/>
  <c r="L55" i="38"/>
  <c r="K55" i="38"/>
  <c r="L54" i="38"/>
  <c r="I54" i="38"/>
  <c r="K54" i="38" s="1"/>
  <c r="N54" i="38"/>
  <c r="L53" i="38"/>
  <c r="K53" i="38"/>
  <c r="N52" i="38"/>
  <c r="M52" i="38"/>
  <c r="L52" i="38"/>
  <c r="K52" i="38"/>
  <c r="N53" i="38" l="1"/>
  <c r="M53" i="38"/>
  <c r="M54" i="38"/>
</calcChain>
</file>

<file path=xl/sharedStrings.xml><?xml version="1.0" encoding="utf-8"?>
<sst xmlns="http://schemas.openxmlformats.org/spreadsheetml/2006/main" count="1880" uniqueCount="184">
  <si>
    <t>Índice</t>
  </si>
  <si>
    <t>Chile</t>
  </si>
  <si>
    <t>Japón</t>
  </si>
  <si>
    <t>México</t>
  </si>
  <si>
    <t>Hungría</t>
  </si>
  <si>
    <t>Francia</t>
  </si>
  <si>
    <t>Canadá</t>
  </si>
  <si>
    <t>Estados Unidos</t>
  </si>
  <si>
    <t>Dinamarca</t>
  </si>
  <si>
    <t>Irlanda</t>
  </si>
  <si>
    <t>Eslovenia</t>
  </si>
  <si>
    <t>Israel</t>
  </si>
  <si>
    <t>Italia</t>
  </si>
  <si>
    <t>Noruega</t>
  </si>
  <si>
    <t>Australia</t>
  </si>
  <si>
    <t>Croacia</t>
  </si>
  <si>
    <t>Alemania</t>
  </si>
  <si>
    <t>Malta</t>
  </si>
  <si>
    <t>Austria</t>
  </si>
  <si>
    <t>Islandia</t>
  </si>
  <si>
    <t>Bulgaria</t>
  </si>
  <si>
    <t>Estonia</t>
  </si>
  <si>
    <t>Suecia</t>
  </si>
  <si>
    <t>Letonia</t>
  </si>
  <si>
    <t>Suiza</t>
  </si>
  <si>
    <t>Corea</t>
  </si>
  <si>
    <t>España</t>
  </si>
  <si>
    <t>Nueva Zelanda</t>
  </si>
  <si>
    <t>Bélgica</t>
  </si>
  <si>
    <t>Colombia</t>
  </si>
  <si>
    <t>Turquía</t>
  </si>
  <si>
    <t>Países Bajos</t>
  </si>
  <si>
    <t>Lituania</t>
  </si>
  <si>
    <t>Rumanía</t>
  </si>
  <si>
    <t>Finlandia</t>
  </si>
  <si>
    <t>Polonia</t>
  </si>
  <si>
    <t>Portugal</t>
  </si>
  <si>
    <t>Grecia</t>
  </si>
  <si>
    <t>Reino Unido</t>
  </si>
  <si>
    <t>Promedio OCDE</t>
  </si>
  <si>
    <t>Total UE</t>
  </si>
  <si>
    <t>Extremadura</t>
  </si>
  <si>
    <t>Galicia</t>
  </si>
  <si>
    <t>Andalucía</t>
  </si>
  <si>
    <t>Aragón</t>
  </si>
  <si>
    <t>País Vasco</t>
  </si>
  <si>
    <t xml:space="preserve">Canarias </t>
  </si>
  <si>
    <t>Cantabria</t>
  </si>
  <si>
    <t>Castilla y León</t>
  </si>
  <si>
    <t>Castilla-La Mancha</t>
  </si>
  <si>
    <t>Cataluña</t>
  </si>
  <si>
    <t>Ceuta</t>
  </si>
  <si>
    <t>Rioja, La</t>
  </si>
  <si>
    <t>Melilla</t>
  </si>
  <si>
    <t>Jurisdicción</t>
  </si>
  <si>
    <t>ET</t>
  </si>
  <si>
    <t xml:space="preserve">Puntuación </t>
  </si>
  <si>
    <t>Balears, Illes</t>
  </si>
  <si>
    <t>%</t>
  </si>
  <si>
    <t>Tabla 2.1</t>
  </si>
  <si>
    <t>Capítulo 2</t>
  </si>
  <si>
    <t>Tabla 2.2</t>
  </si>
  <si>
    <t>Tabla 2.3</t>
  </si>
  <si>
    <t>Tabla 2.4</t>
  </si>
  <si>
    <t>Evolución de las puntuaciones medias estimadas en ciencias</t>
  </si>
  <si>
    <t>Tabla 2.5</t>
  </si>
  <si>
    <t>Tabla 2.8</t>
  </si>
  <si>
    <t>Tabla 2.7</t>
  </si>
  <si>
    <t>Tabla 2.9</t>
  </si>
  <si>
    <t>Tabla 2.10</t>
  </si>
  <si>
    <t>Nivel &lt; 1</t>
  </si>
  <si>
    <t>Nivel 1</t>
  </si>
  <si>
    <t>Nivel 2</t>
  </si>
  <si>
    <t>Nivel 3</t>
  </si>
  <si>
    <t>Nivel 4</t>
  </si>
  <si>
    <t>Nivel 5</t>
  </si>
  <si>
    <t>Nivel 6</t>
  </si>
  <si>
    <t>Distribución de los estudiantes por niveles de rendimiento en matemáticas</t>
  </si>
  <si>
    <t>(Figura 2.4)</t>
  </si>
  <si>
    <t>Países seleccionados, Promedio OCDE, Total UE, CC.AA., Ceuta y Melilla</t>
  </si>
  <si>
    <t>Rendimientos medios estimados en competencia matemática e intervalos de confianza al 95%</t>
  </si>
  <si>
    <t>Rendimientos medios estimados en matemáticas</t>
  </si>
  <si>
    <t>Chipre</t>
  </si>
  <si>
    <t>Costa Rica</t>
  </si>
  <si>
    <t>Rep. Checa</t>
  </si>
  <si>
    <t>Rep. Eslovaca</t>
  </si>
  <si>
    <t>Asturias, Principado de</t>
  </si>
  <si>
    <t>Comunitat Valenciana</t>
  </si>
  <si>
    <t>Murcia, Región de</t>
  </si>
  <si>
    <t>Navarra, Comunidad Foral de</t>
  </si>
  <si>
    <t>PISA 2022</t>
  </si>
  <si>
    <t>(Figura 2.1.a y Figura 2.1.b)</t>
  </si>
  <si>
    <t>Rango intercuartil</t>
  </si>
  <si>
    <t xml:space="preserve">Intercuartil </t>
  </si>
  <si>
    <t>(Figura 2.2.a y Figura 2.2.b)</t>
  </si>
  <si>
    <t xml:space="preserve">Diferencia entre la amplitud del intervalo [valor del percentil 95 – mediana] y la amplitud del intervalo [mediana – valor del percentil 5] </t>
  </si>
  <si>
    <t>Asimetría</t>
  </si>
  <si>
    <t>(Figura 2.3.a y Figura 2.3.b)</t>
  </si>
  <si>
    <t>Rendimiento medio estimado en matemáticas en PISA 2022 en función del rango intercuartil</t>
  </si>
  <si>
    <t>Media</t>
  </si>
  <si>
    <t>2.1. Introducción</t>
  </si>
  <si>
    <t>2.2. Resultados en Matemáticas</t>
  </si>
  <si>
    <t>(Figura 2.5.a, Figura 2.5.b, Figura 2.6.a y Figura 2.6.b)</t>
  </si>
  <si>
    <t>Porcentaje de alumnado por niveles de rendimiento en matemáticas</t>
  </si>
  <si>
    <t xml:space="preserve">Rendimientos medios estimados en el proceso de Formular situaciones matemáticamente, e intervalos de confianza al 95 % </t>
  </si>
  <si>
    <t>(Figura 2.7.a y Figura 2.7.b)</t>
  </si>
  <si>
    <t xml:space="preserve">Rendimientos medios estimados en el proceso de Emplear conceptos, hechos y procedimientos matemáticos, e intervalos de confianza al 95 % </t>
  </si>
  <si>
    <t>(Figura 2.8.a y Figura 2.8.b)</t>
  </si>
  <si>
    <t xml:space="preserve">Rendimientos medios estimados en el proceso de Interpretar y evaluar resultados matemáticos, e intervalos de confianza al 95 % </t>
  </si>
  <si>
    <t>(Figura 2.9.a y Figura 2.9.b)</t>
  </si>
  <si>
    <t>Rendimientos medios estimados en el proceso de Razonamiento matemático, e intervalos de confianza al 95 %</t>
  </si>
  <si>
    <t>(Figura 2.10.a y Figura 2.10.b)</t>
  </si>
  <si>
    <t>Rendimientos medios estimados en dominio de contenido de Cambio y relaciones, e intervalos de confianza al 95 %</t>
  </si>
  <si>
    <t>(Figura 2.11.a y Figura 2.11.b)</t>
  </si>
  <si>
    <t>Tabla 2.11</t>
  </si>
  <si>
    <t xml:space="preserve">Rendimientos medios estimados en dominio de contenido de Cantidad, e intervalos de confianza al 95 % </t>
  </si>
  <si>
    <t>(Figura 2.12.a y Figura 2.12.b)</t>
  </si>
  <si>
    <t xml:space="preserve">Rendimientos medios </t>
  </si>
  <si>
    <t>Tabla 2.12</t>
  </si>
  <si>
    <t>Valor</t>
  </si>
  <si>
    <t xml:space="preserve">Rendimientos medios estimados en dominio de contenido de Espacio y forma, e intervalos de confianza al 95 % </t>
  </si>
  <si>
    <t>(Figura 2.13.a y Figura 2.13.b)</t>
  </si>
  <si>
    <t xml:space="preserve">Rendimientos medios estimados en dominio de contenido de Incertidumbre y datos, e intervalos de confianza al 95 % </t>
  </si>
  <si>
    <t>(Figura 2.14.a y Figura 2.14.b)</t>
  </si>
  <si>
    <t>Tabla 2.13</t>
  </si>
  <si>
    <t>Tabla 2.14</t>
  </si>
  <si>
    <t xml:space="preserve">Evolución de los rendimientos medios estimados en matemáticas entre 2012 y 2022 </t>
  </si>
  <si>
    <t>(Figura 2.15)</t>
  </si>
  <si>
    <t>España, Promedio OCDE y Total UE</t>
  </si>
  <si>
    <t>Tabla 2.15</t>
  </si>
  <si>
    <t>Variación de los rendimientos medios estimados en matemáticas entre las ediciones de 2012 y 2022</t>
  </si>
  <si>
    <t>(Figura 2.16.a, Figura 2.16.b, Figura 2.17.a y Figura 2.17.b)</t>
  </si>
  <si>
    <t>2022-2012</t>
  </si>
  <si>
    <t>2022-2018</t>
  </si>
  <si>
    <t>Diferencia</t>
  </si>
  <si>
    <t/>
  </si>
  <si>
    <t>Tabla 2.16</t>
  </si>
  <si>
    <t>Evolución de las puntuaciones medias estimadas en matemáticas</t>
  </si>
  <si>
    <t xml:space="preserve">Variación de porcentaje de alumnado en los niveles altos de rendimiento (4 y 5) y en los niveles bajos de rendimiento (1 y &lt;1) </t>
  </si>
  <si>
    <t>España y Promedio OCDE</t>
  </si>
  <si>
    <t>(Figura 2.18 y Figura 2.19)</t>
  </si>
  <si>
    <t>Dif 1 y &lt;1</t>
  </si>
  <si>
    <t>Dif 4 y 5</t>
  </si>
  <si>
    <t>2.3. Resultados en Lectura y Ciencias</t>
  </si>
  <si>
    <t>Rendimientos medios estimados en lectura e intervalos de confianza al 95%</t>
  </si>
  <si>
    <t>(Figura 2.20.a y Figura 2.20.b)</t>
  </si>
  <si>
    <t>Rendimientos medios estimados en ciencias e intervalos de confianza al 95%</t>
  </si>
  <si>
    <t>Tabla 2.18</t>
  </si>
  <si>
    <t>(Figura 2.21.a y Figura 2.21.b)</t>
  </si>
  <si>
    <t>Porcentaje de alumnado por niveles de rendimiento en lectura</t>
  </si>
  <si>
    <t>(Figura 2.22.a, Figura 2.22.b, Figura 2.23.a y Figura 2.23.b)</t>
  </si>
  <si>
    <t>Nivel 1b</t>
  </si>
  <si>
    <t>Nivel 1a</t>
  </si>
  <si>
    <t>Porcentaje de alumnado por niveles de rendimiento en ciencias</t>
  </si>
  <si>
    <t>(Figura 2.24.a, Figura 2.24.b, Figura 2.25.a y Figura 2.25.b)</t>
  </si>
  <si>
    <t>Tabla 2.20</t>
  </si>
  <si>
    <t>Tabla 2.21</t>
  </si>
  <si>
    <t>Evolución de los rendimientos medios estimados en lectura entre 2012 y 2022</t>
  </si>
  <si>
    <t>(Figura 2.26)</t>
  </si>
  <si>
    <t>Tabla 2.22</t>
  </si>
  <si>
    <t>Variación de los rendimientos medios estimados en lectura entre las ediciones de 2012 y 2022</t>
  </si>
  <si>
    <t>(Figura 2.27.a, Figura 2.27.b, Figura 2.28.a y Figura 2.28.b)</t>
  </si>
  <si>
    <t>(Figura 2.29)</t>
  </si>
  <si>
    <t>Variación de los rendimientos medios estimados en ciencias entre las ediciones de 2012 y 2022</t>
  </si>
  <si>
    <t>Tabla 2.24</t>
  </si>
  <si>
    <t>(Figura 2.30.a, Figura 2.30.b, Figura 2.31.a y Figura 2.31.b)</t>
  </si>
  <si>
    <t>Evolución de los rendimientos medios estimados en ciencias 2012 y 2022</t>
  </si>
  <si>
    <t xml:space="preserve">Rendimientos medios estimados estimados en el proceso de Formular situaciones matemáticamente, e intervalos de confianza al 95 % </t>
  </si>
  <si>
    <t>Rendimientos medios estimados en lectura</t>
  </si>
  <si>
    <t>Rendimientos medios estimados en ciencias</t>
  </si>
  <si>
    <t>Distribución de los estudiantes por niveles de rendimiento en lectura</t>
  </si>
  <si>
    <t>Distribución de los estudiantes por niveles de rendimiento en ciencias</t>
  </si>
  <si>
    <t>Evolución de las puntuaciones medias estimadas en lectura</t>
  </si>
  <si>
    <t>Madrid, Comunidad de</t>
  </si>
  <si>
    <t>Diferencia entre la amplitud del intervalo [valor del percentil 95 – mediana] y la amplitud del intervalo [mediana – valor del percentil 5]</t>
  </si>
  <si>
    <t>Asturias, P. de</t>
  </si>
  <si>
    <t>C. Valenciana</t>
  </si>
  <si>
    <t>Madrid, C. de</t>
  </si>
  <si>
    <t>Murcia, R. de</t>
  </si>
  <si>
    <t>Navarra, C. F. de</t>
  </si>
  <si>
    <t>Tabla 2.26</t>
  </si>
  <si>
    <t>Tabla 2.27</t>
  </si>
  <si>
    <t>Tabla 2.29</t>
  </si>
  <si>
    <t>Tabla 2.30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</si>
</sst>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1">
    <numFmt numFmtId="41" formatCode="_-* #,##0\ _€_-;\-* #,##0\ _€_-;_-* &quot;-&quot;\ _€_-;_-@_-"/>
    <numFmt numFmtId="43" formatCode="_-* #,##0.00\ _€_-;\-* #,##0.00\ _€_-;_-* &quot;-&quot;??\ _€_-;_-@_-"/>
    <numFmt numFmtId="164" formatCode="0.0"/>
    <numFmt numFmtId="165" formatCode="_(* #,##0_);_(* \(#,##0\);_(* &quot;-&quot;_);_(@_)"/>
    <numFmt numFmtId="166" formatCode="_(* #,##0.00_);_(* \(#,##0.00\);_(* &quot;-&quot;??_);_(@_)"/>
    <numFmt numFmtId="167" formatCode="&quot;£&quot;#,##0.00;\-&quot;£&quot;#,##0.00"/>
    <numFmt numFmtId="168" formatCode="General_)"/>
    <numFmt numFmtId="169" formatCode="_ * #,##0.00_ ;_ * \-#,##0.00_ ;_ * &quot;-&quot;??_ ;_ @_ "/>
    <numFmt numFmtId="170" formatCode="_-* #,##0.00\ _k_r_-;\-* #,##0.00\ _k_r_-;_-* &quot;-&quot;??\ _k_r_-;_-@_-"/>
    <numFmt numFmtId="171" formatCode="#,##0.0"/>
    <numFmt numFmtId="172" formatCode="#,##0.000"/>
    <numFmt numFmtId="173" formatCode="#,##0.00%;[Red]\(#,##0.00%\)"/>
    <numFmt numFmtId="174" formatCode="_(&quot;$&quot;* #,##0.00_);_(&quot;$&quot;* \(#,##0.00\);_(&quot;$&quot;* &quot;-&quot;??_);_(@_)"/>
    <numFmt numFmtId="175" formatCode="&quot;$&quot;#,##0\ ;\(&quot;$&quot;#,##0\)"/>
    <numFmt numFmtId="176" formatCode="&quot;$&quot;#,##0_);\(&quot;$&quot;#,##0.0\)"/>
    <numFmt numFmtId="177" formatCode="0.00_)"/>
    <numFmt numFmtId="178" formatCode="_(&quot;$&quot;* #,##0_);_(&quot;$&quot;* \(#,##0\);_(&quot;$&quot;* &quot;-&quot;_);_(@_)"/>
    <numFmt numFmtId="179" formatCode="_ * #,##0_ ;_ * \-#,##0_ ;_ * &quot;-&quot;_ ;_ @_ "/>
    <numFmt numFmtId="180" formatCode="_ &quot;\&quot;* #,##0_ ;_ &quot;\&quot;* \-#,##0_ ;_ &quot;\&quot;* &quot;-&quot;_ ;_ @_ "/>
    <numFmt numFmtId="181" formatCode="_ &quot;\&quot;* #,##0.00_ ;_ &quot;\&quot;* \-#,##0.00_ ;_ &quot;\&quot;* &quot;-&quot;??_ ;_ @_ "/>
    <numFmt numFmtId="182" formatCode="&quot;\&quot;#,##0;&quot;\&quot;\-#,##0"/>
  </numFmts>
  <fonts count="8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9"/>
      <name val="Times New Roman"/>
      <family val="1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sz val="10"/>
      <color theme="0"/>
      <name val="Arial"/>
      <family val="2"/>
    </font>
    <font>
      <sz val="10"/>
      <name val="Times New Roman"/>
      <family val="1"/>
    </font>
    <font>
      <sz val="8"/>
      <name val="Arial"/>
      <family val="2"/>
    </font>
    <font>
      <b/>
      <sz val="8"/>
      <color indexed="8"/>
      <name val="MS Sans Serif"/>
      <family val="2"/>
    </font>
    <font>
      <sz val="11"/>
      <name val="µ¸¿ò"/>
      <charset val="129"/>
    </font>
    <font>
      <sz val="9"/>
      <color indexed="9"/>
      <name val="Times"/>
      <family val="1"/>
    </font>
    <font>
      <sz val="8"/>
      <color indexed="8"/>
      <name val="MS Sans Serif"/>
      <family val="2"/>
    </font>
    <font>
      <b/>
      <u/>
      <sz val="8.5"/>
      <color indexed="8"/>
      <name val="MS Sans Serif"/>
      <family val="2"/>
    </font>
    <font>
      <b/>
      <sz val="8.5"/>
      <color indexed="12"/>
      <name val="MS Sans Serif"/>
      <family val="2"/>
    </font>
    <font>
      <b/>
      <sz val="8"/>
      <color indexed="12"/>
      <name val="Arial"/>
      <family val="2"/>
    </font>
    <font>
      <sz val="9"/>
      <color indexed="8"/>
      <name val="Times"/>
      <family val="1"/>
    </font>
    <font>
      <sz val="8"/>
      <name val="Courier"/>
      <family val="3"/>
    </font>
    <font>
      <sz val="10"/>
      <name val="Helvetica"/>
      <family val="2"/>
    </font>
    <font>
      <sz val="10"/>
      <color indexed="8"/>
      <name val="MS Sans Serif"/>
      <family val="2"/>
    </font>
    <font>
      <sz val="10"/>
      <color indexed="8"/>
      <name val="MS Sans Serif"/>
      <family val="2"/>
      <charset val="177"/>
    </font>
    <font>
      <b/>
      <sz val="12"/>
      <color indexed="12"/>
      <name val="Bookman"/>
      <family val="1"/>
    </font>
    <font>
      <b/>
      <i/>
      <u/>
      <sz val="10"/>
      <color indexed="10"/>
      <name val="Bookman"/>
      <family val="1"/>
    </font>
    <font>
      <sz val="8.5"/>
      <color indexed="8"/>
      <name val="MS Sans Serif"/>
      <family val="2"/>
    </font>
    <font>
      <sz val="8"/>
      <color indexed="8"/>
      <name val="Arial"/>
      <family val="2"/>
    </font>
    <font>
      <sz val="10"/>
      <color indexed="8"/>
      <name val="Arial"/>
      <family val="2"/>
      <charset val="238"/>
    </font>
    <font>
      <b/>
      <sz val="8"/>
      <color indexed="8"/>
      <name val="MS Sans Serif"/>
      <family val="2"/>
      <charset val="177"/>
    </font>
    <font>
      <b/>
      <sz val="12"/>
      <name val="Arial"/>
      <family val="2"/>
    </font>
    <font>
      <u/>
      <sz val="10"/>
      <color indexed="36"/>
      <name val="Arial"/>
      <family val="2"/>
    </font>
    <font>
      <u/>
      <sz val="10"/>
      <color indexed="12"/>
      <name val="MS Sans Serif"/>
      <family val="2"/>
    </font>
    <font>
      <u/>
      <sz val="7.5"/>
      <color indexed="12"/>
      <name val="Courier"/>
      <family val="3"/>
    </font>
    <font>
      <u/>
      <sz val="10"/>
      <color theme="10"/>
      <name val="Arial"/>
      <family val="2"/>
    </font>
    <font>
      <b/>
      <sz val="8.5"/>
      <color indexed="8"/>
      <name val="MS Sans Serif"/>
      <family val="2"/>
    </font>
    <font>
      <sz val="8"/>
      <name val="Arial"/>
      <family val="2"/>
      <charset val="238"/>
    </font>
    <font>
      <sz val="11"/>
      <color indexed="8"/>
      <name val="Calibri"/>
      <family val="2"/>
    </font>
    <font>
      <b/>
      <i/>
      <sz val="16"/>
      <name val="Helv"/>
    </font>
    <font>
      <sz val="10"/>
      <name val="MS Sans Serif"/>
      <family val="2"/>
    </font>
    <font>
      <sz val="10"/>
      <name val="MS Sans Serif"/>
      <family val="2"/>
      <charset val="177"/>
    </font>
    <font>
      <sz val="10"/>
      <color indexed="8"/>
      <name val="Times"/>
      <family val="1"/>
    </font>
    <font>
      <sz val="9"/>
      <name val="Times"/>
      <family val="1"/>
    </font>
    <font>
      <sz val="11"/>
      <color theme="1"/>
      <name val="Calibri"/>
      <family val="2"/>
    </font>
    <font>
      <b/>
      <u/>
      <sz val="10"/>
      <color indexed="8"/>
      <name val="MS Sans Serif"/>
      <family val="2"/>
    </font>
    <font>
      <sz val="7.5"/>
      <color indexed="8"/>
      <name val="MS Sans Serif"/>
      <family val="2"/>
    </font>
    <font>
      <i/>
      <sz val="6"/>
      <name val="Arial"/>
      <family val="2"/>
      <charset val="177"/>
    </font>
    <font>
      <b/>
      <sz val="10"/>
      <color indexed="8"/>
      <name val="MS Sans Serif"/>
      <family val="2"/>
    </font>
    <font>
      <b/>
      <sz val="14"/>
      <name val="Helv"/>
    </font>
    <font>
      <b/>
      <sz val="12"/>
      <name val="Helv"/>
    </font>
    <font>
      <sz val="11"/>
      <color rgb="FF000000"/>
      <name val="Calibri"/>
      <family val="2"/>
      <charset val="1"/>
    </font>
    <font>
      <i/>
      <sz val="8"/>
      <name val="Tms Rmn"/>
    </font>
    <font>
      <b/>
      <sz val="8"/>
      <name val="Arial"/>
      <family val="2"/>
    </font>
    <font>
      <b/>
      <sz val="8"/>
      <name val="Tms Rmn"/>
    </font>
    <font>
      <sz val="10"/>
      <name val="Times"/>
      <family val="1"/>
    </font>
    <font>
      <sz val="10"/>
      <color indexed="24"/>
      <name val="MS Sans Serif"/>
      <family val="2"/>
    </font>
    <font>
      <sz val="12"/>
      <name val="돋움체"/>
      <family val="3"/>
      <charset val="129"/>
    </font>
    <font>
      <sz val="11"/>
      <color theme="1"/>
      <name val="Calibri"/>
      <family val="2"/>
      <charset val="128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49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44"/>
        <bgColor indexed="8"/>
      </patternFill>
    </fill>
    <fill>
      <patternFill patternType="solid">
        <fgColor indexed="10"/>
        <bgColor indexed="8"/>
      </patternFill>
    </fill>
    <fill>
      <patternFill patternType="solid">
        <fgColor indexed="22"/>
        <bgColor indexed="64"/>
      </patternFill>
    </fill>
    <fill>
      <patternFill patternType="solid">
        <fgColor indexed="22"/>
        <bgColor indexed="10"/>
      </patternFill>
    </fill>
    <fill>
      <patternFill patternType="solid">
        <fgColor indexed="22"/>
        <bgColor indexed="8"/>
      </patternFill>
    </fill>
    <fill>
      <patternFill patternType="solid">
        <fgColor indexed="10"/>
        <bgColor indexed="64"/>
      </patternFill>
    </fill>
    <fill>
      <patternFill patternType="solid">
        <fgColor indexed="26"/>
      </patternFill>
    </fill>
    <fill>
      <patternFill patternType="solid">
        <fgColor indexed="44"/>
        <bgColor indexed="1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/>
        <bgColor theme="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4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ck">
        <color indexed="63"/>
      </top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4170">
    <xf numFmtId="0" fontId="0" fillId="0" borderId="0"/>
    <xf numFmtId="0" fontId="3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9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0" borderId="0"/>
    <xf numFmtId="0" fontId="8" fillId="0" borderId="0">
      <alignment vertical="center"/>
    </xf>
    <xf numFmtId="0" fontId="9" fillId="0" borderId="0"/>
    <xf numFmtId="0" fontId="7" fillId="0" borderId="0" applyNumberFormat="0" applyFill="0" applyBorder="0" applyAlignment="0" applyProtection="0"/>
    <xf numFmtId="0" fontId="6" fillId="0" borderId="0"/>
    <xf numFmtId="0" fontId="6" fillId="0" borderId="0"/>
    <xf numFmtId="0" fontId="9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9" fillId="0" borderId="0"/>
    <xf numFmtId="0" fontId="5" fillId="0" borderId="0"/>
    <xf numFmtId="0" fontId="9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5" fillId="0" borderId="9">
      <alignment horizontal="center" vertical="center"/>
    </xf>
    <xf numFmtId="0" fontId="16" fillId="6" borderId="10"/>
    <xf numFmtId="0" fontId="16" fillId="6" borderId="10"/>
    <xf numFmtId="0" fontId="16" fillId="7" borderId="10"/>
    <xf numFmtId="0" fontId="17" fillId="8" borderId="11">
      <alignment horizontal="right" vertical="top" wrapText="1"/>
    </xf>
    <xf numFmtId="0" fontId="18" fillId="0" borderId="0"/>
    <xf numFmtId="168" fontId="19" fillId="0" borderId="0">
      <alignment vertical="top"/>
    </xf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10"/>
    <xf numFmtId="0" fontId="16" fillId="0" borderId="10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5"/>
    <xf numFmtId="0" fontId="16" fillId="0" borderId="10"/>
    <xf numFmtId="0" fontId="20" fillId="9" borderId="12">
      <alignment horizontal="left" vertical="top" wrapText="1"/>
    </xf>
    <xf numFmtId="0" fontId="21" fillId="10" borderId="0">
      <alignment horizontal="center"/>
    </xf>
    <xf numFmtId="0" fontId="22" fillId="10" borderId="0">
      <alignment horizontal="center" vertical="center"/>
    </xf>
    <xf numFmtId="0" fontId="6" fillId="11" borderId="0">
      <alignment horizontal="center" wrapText="1"/>
    </xf>
    <xf numFmtId="0" fontId="6" fillId="11" borderId="0">
      <alignment horizontal="center" wrapText="1"/>
    </xf>
    <xf numFmtId="0" fontId="6" fillId="11" borderId="0">
      <alignment horizontal="center" wrapText="1"/>
    </xf>
    <xf numFmtId="0" fontId="6" fillId="11" borderId="0">
      <alignment horizontal="center" wrapText="1"/>
    </xf>
    <xf numFmtId="0" fontId="6" fillId="11" borderId="0">
      <alignment horizontal="center" wrapText="1"/>
    </xf>
    <xf numFmtId="0" fontId="6" fillId="11" borderId="0">
      <alignment horizontal="center" wrapText="1"/>
    </xf>
    <xf numFmtId="0" fontId="6" fillId="11" borderId="0">
      <alignment horizontal="center" wrapText="1"/>
    </xf>
    <xf numFmtId="0" fontId="6" fillId="11" borderId="0">
      <alignment horizontal="center" wrapText="1"/>
    </xf>
    <xf numFmtId="0" fontId="6" fillId="11" borderId="0">
      <alignment horizontal="center" wrapText="1"/>
    </xf>
    <xf numFmtId="0" fontId="6" fillId="11" borderId="0">
      <alignment horizontal="center" wrapText="1"/>
    </xf>
    <xf numFmtId="0" fontId="6" fillId="11" borderId="0">
      <alignment horizontal="center" wrapText="1"/>
    </xf>
    <xf numFmtId="0" fontId="6" fillId="11" borderId="0">
      <alignment horizontal="center" wrapText="1"/>
    </xf>
    <xf numFmtId="0" fontId="6" fillId="11" borderId="0">
      <alignment horizontal="center" wrapText="1"/>
    </xf>
    <xf numFmtId="0" fontId="6" fillId="11" borderId="0">
      <alignment horizontal="center" wrapText="1"/>
    </xf>
    <xf numFmtId="0" fontId="6" fillId="11" borderId="0">
      <alignment horizontal="center" wrapText="1"/>
    </xf>
    <xf numFmtId="0" fontId="6" fillId="11" borderId="0">
      <alignment horizontal="center" wrapText="1"/>
    </xf>
    <xf numFmtId="0" fontId="6" fillId="11" borderId="0">
      <alignment horizontal="center" wrapText="1"/>
    </xf>
    <xf numFmtId="0" fontId="6" fillId="11" borderId="0">
      <alignment horizontal="center" wrapText="1"/>
    </xf>
    <xf numFmtId="0" fontId="6" fillId="11" borderId="0">
      <alignment horizontal="center" wrapText="1"/>
    </xf>
    <xf numFmtId="0" fontId="6" fillId="11" borderId="0">
      <alignment horizontal="center" wrapText="1"/>
    </xf>
    <xf numFmtId="0" fontId="6" fillId="11" borderId="0">
      <alignment horizontal="center" wrapText="1"/>
    </xf>
    <xf numFmtId="0" fontId="6" fillId="11" borderId="0">
      <alignment horizontal="center" wrapText="1"/>
    </xf>
    <xf numFmtId="0" fontId="6" fillId="11" borderId="0">
      <alignment horizontal="center" wrapText="1"/>
    </xf>
    <xf numFmtId="0" fontId="23" fillId="10" borderId="0">
      <alignment horizontal="center"/>
    </xf>
    <xf numFmtId="167" fontId="15" fillId="0" borderId="0" applyFont="0" applyFill="0" applyBorder="0" applyProtection="0">
      <alignment horizontal="right" vertical="top"/>
    </xf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1" fontId="24" fillId="0" borderId="0">
      <alignment vertical="top"/>
    </xf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9" fontId="6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9" fillId="0" borderId="0" applyFont="0" applyFill="0" applyBorder="0" applyAlignment="0" applyProtection="0"/>
    <xf numFmtId="170" fontId="26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9" fontId="6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9" fontId="6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9" fontId="6" fillId="0" borderId="0" applyFont="0" applyFill="0" applyBorder="0" applyAlignment="0" applyProtection="0"/>
    <xf numFmtId="166" fontId="25" fillId="0" borderId="0" applyFont="0" applyFill="0" applyBorder="0" applyAlignment="0" applyProtection="0"/>
    <xf numFmtId="3" fontId="24" fillId="0" borderId="0" applyFill="0" applyBorder="0">
      <alignment horizontal="right" vertical="top"/>
    </xf>
    <xf numFmtId="171" fontId="19" fillId="0" borderId="0" applyFont="0" applyFill="0" applyBorder="0">
      <alignment horizontal="right" vertical="top"/>
    </xf>
    <xf numFmtId="172" fontId="24" fillId="0" borderId="0" applyFill="0" applyBorder="0">
      <alignment horizontal="right" vertical="top"/>
    </xf>
    <xf numFmtId="3" fontId="24" fillId="0" borderId="0" applyFill="0" applyBorder="0">
      <alignment horizontal="right" vertical="top"/>
    </xf>
    <xf numFmtId="171" fontId="19" fillId="0" borderId="0" applyFont="0" applyFill="0" applyBorder="0">
      <alignment horizontal="right" vertical="top"/>
    </xf>
    <xf numFmtId="173" fontId="11" fillId="0" borderId="0" applyFont="0" applyFill="0" applyBorder="0" applyAlignment="0" applyProtection="0">
      <alignment horizontal="right" vertical="top"/>
    </xf>
    <xf numFmtId="172" fontId="24" fillId="0" borderId="0">
      <alignment horizontal="right" vertical="top"/>
    </xf>
    <xf numFmtId="3" fontId="6" fillId="0" borderId="0" applyFont="0" applyFill="0" applyBorder="0" applyAlignment="0" applyProtection="0"/>
    <xf numFmtId="174" fontId="5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27" fillId="5" borderId="10" applyBorder="0">
      <protection locked="0"/>
    </xf>
    <xf numFmtId="0" fontId="27" fillId="5" borderId="13">
      <protection locked="0"/>
    </xf>
    <xf numFmtId="0" fontId="27" fillId="5" borderId="13">
      <protection locked="0"/>
    </xf>
    <xf numFmtId="0" fontId="27" fillId="5" borderId="13">
      <protection locked="0"/>
    </xf>
    <xf numFmtId="0" fontId="27" fillId="5" borderId="13">
      <protection locked="0"/>
    </xf>
    <xf numFmtId="0" fontId="27" fillId="5" borderId="13">
      <protection locked="0"/>
    </xf>
    <xf numFmtId="0" fontId="27" fillId="5" borderId="13">
      <protection locked="0"/>
    </xf>
    <xf numFmtId="0" fontId="27" fillId="5" borderId="10" applyBorder="0">
      <protection locked="0"/>
    </xf>
    <xf numFmtId="0" fontId="27" fillId="5" borderId="10" applyBorder="0">
      <protection locked="0"/>
    </xf>
    <xf numFmtId="0" fontId="27" fillId="5" borderId="10" applyBorder="0">
      <protection locked="0"/>
    </xf>
    <xf numFmtId="0" fontId="28" fillId="5" borderId="10" applyBorder="0">
      <protection locked="0"/>
    </xf>
    <xf numFmtId="0" fontId="27" fillId="5" borderId="13">
      <protection locked="0"/>
    </xf>
    <xf numFmtId="0" fontId="27" fillId="5" borderId="13">
      <protection locked="0"/>
    </xf>
    <xf numFmtId="0" fontId="27" fillId="5" borderId="13">
      <protection locked="0"/>
    </xf>
    <xf numFmtId="0" fontId="27" fillId="5" borderId="13">
      <protection locked="0"/>
    </xf>
    <xf numFmtId="0" fontId="27" fillId="5" borderId="13">
      <protection locked="0"/>
    </xf>
    <xf numFmtId="0" fontId="27" fillId="5" borderId="13">
      <protection locked="0"/>
    </xf>
    <xf numFmtId="0" fontId="27" fillId="5" borderId="13">
      <protection locked="0"/>
    </xf>
    <xf numFmtId="0" fontId="27" fillId="5" borderId="13">
      <protection locked="0"/>
    </xf>
    <xf numFmtId="0" fontId="27" fillId="5" borderId="13">
      <protection locked="0"/>
    </xf>
    <xf numFmtId="0" fontId="27" fillId="5" borderId="13">
      <protection locked="0"/>
    </xf>
    <xf numFmtId="0" fontId="27" fillId="5" borderId="13">
      <protection locked="0"/>
    </xf>
    <xf numFmtId="0" fontId="27" fillId="5" borderId="13">
      <protection locked="0"/>
    </xf>
    <xf numFmtId="0" fontId="27" fillId="5" borderId="13">
      <protection locked="0"/>
    </xf>
    <xf numFmtId="0" fontId="27" fillId="5" borderId="13">
      <protection locked="0"/>
    </xf>
    <xf numFmtId="0" fontId="27" fillId="5" borderId="13">
      <protection locked="0"/>
    </xf>
    <xf numFmtId="0" fontId="27" fillId="5" borderId="13">
      <protection locked="0"/>
    </xf>
    <xf numFmtId="0" fontId="27" fillId="5" borderId="13">
      <protection locked="0"/>
    </xf>
    <xf numFmtId="0" fontId="27" fillId="5" borderId="13">
      <protection locked="0"/>
    </xf>
    <xf numFmtId="0" fontId="27" fillId="5" borderId="13">
      <protection locked="0"/>
    </xf>
    <xf numFmtId="0" fontId="27" fillId="5" borderId="13">
      <protection locked="0"/>
    </xf>
    <xf numFmtId="0" fontId="27" fillId="5" borderId="13">
      <protection locked="0"/>
    </xf>
    <xf numFmtId="0" fontId="27" fillId="5" borderId="13">
      <protection locked="0"/>
    </xf>
    <xf numFmtId="0" fontId="27" fillId="5" borderId="13">
      <protection locked="0"/>
    </xf>
    <xf numFmtId="0" fontId="27" fillId="5" borderId="13">
      <protection locked="0"/>
    </xf>
    <xf numFmtId="0" fontId="27" fillId="5" borderId="13">
      <protection locked="0"/>
    </xf>
    <xf numFmtId="0" fontId="27" fillId="5" borderId="13">
      <protection locked="0"/>
    </xf>
    <xf numFmtId="0" fontId="27" fillId="5" borderId="13">
      <protection locked="0"/>
    </xf>
    <xf numFmtId="0" fontId="27" fillId="5" borderId="13">
      <protection locked="0"/>
    </xf>
    <xf numFmtId="0" fontId="27" fillId="5" borderId="13">
      <protection locked="0"/>
    </xf>
    <xf numFmtId="0" fontId="27" fillId="5" borderId="13">
      <protection locked="0"/>
    </xf>
    <xf numFmtId="0" fontId="27" fillId="5" borderId="13">
      <protection locked="0"/>
    </xf>
    <xf numFmtId="0" fontId="27" fillId="5" borderId="13">
      <protection locked="0"/>
    </xf>
    <xf numFmtId="0" fontId="27" fillId="5" borderId="13">
      <protection locked="0"/>
    </xf>
    <xf numFmtId="0" fontId="27" fillId="5" borderId="13">
      <protection locked="0"/>
    </xf>
    <xf numFmtId="0" fontId="27" fillId="5" borderId="13">
      <protection locked="0"/>
    </xf>
    <xf numFmtId="0" fontId="27" fillId="5" borderId="13">
      <protection locked="0"/>
    </xf>
    <xf numFmtId="0" fontId="27" fillId="5" borderId="13">
      <protection locked="0"/>
    </xf>
    <xf numFmtId="0" fontId="27" fillId="5" borderId="10" applyBorder="0">
      <protection locked="0"/>
    </xf>
    <xf numFmtId="0" fontId="6" fillId="0" borderId="0" applyFont="0" applyFill="0" applyBorder="0" applyAlignment="0" applyProtection="0"/>
    <xf numFmtId="165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29" fillId="0" borderId="0">
      <alignment horizontal="centerContinuous"/>
    </xf>
    <xf numFmtId="0" fontId="29" fillId="0" borderId="0" applyAlignment="0">
      <alignment horizontal="centerContinuous"/>
    </xf>
    <xf numFmtId="0" fontId="30" fillId="0" borderId="0" applyAlignment="0">
      <alignment horizontal="centerContinuous"/>
    </xf>
    <xf numFmtId="164" fontId="15" fillId="0" borderId="0" applyBorder="0"/>
    <xf numFmtId="164" fontId="15" fillId="0" borderId="1"/>
    <xf numFmtId="0" fontId="31" fillId="5" borderId="10">
      <protection locked="0"/>
    </xf>
    <xf numFmtId="0" fontId="6" fillId="5" borderId="13"/>
    <xf numFmtId="0" fontId="6" fillId="5" borderId="13"/>
    <xf numFmtId="0" fontId="6" fillId="5" borderId="13"/>
    <xf numFmtId="0" fontId="6" fillId="5" borderId="13"/>
    <xf numFmtId="0" fontId="6" fillId="5" borderId="13"/>
    <xf numFmtId="0" fontId="6" fillId="5" borderId="13"/>
    <xf numFmtId="0" fontId="6" fillId="5" borderId="13"/>
    <xf numFmtId="0" fontId="6" fillId="5" borderId="13"/>
    <xf numFmtId="0" fontId="6" fillId="5" borderId="13"/>
    <xf numFmtId="0" fontId="6" fillId="5" borderId="13"/>
    <xf numFmtId="0" fontId="6" fillId="5" borderId="13"/>
    <xf numFmtId="0" fontId="6" fillId="5" borderId="13"/>
    <xf numFmtId="0" fontId="6" fillId="5" borderId="13"/>
    <xf numFmtId="0" fontId="6" fillId="5" borderId="13"/>
    <xf numFmtId="0" fontId="6" fillId="5" borderId="13"/>
    <xf numFmtId="0" fontId="6" fillId="5" borderId="13"/>
    <xf numFmtId="0" fontId="6" fillId="5" borderId="13"/>
    <xf numFmtId="0" fontId="6" fillId="5" borderId="13"/>
    <xf numFmtId="0" fontId="6" fillId="5" borderId="13"/>
    <xf numFmtId="0" fontId="6" fillId="5" borderId="13"/>
    <xf numFmtId="0" fontId="6" fillId="5" borderId="13"/>
    <xf numFmtId="0" fontId="6" fillId="5" borderId="13"/>
    <xf numFmtId="0" fontId="6" fillId="5" borderId="13"/>
    <xf numFmtId="0" fontId="6" fillId="5" borderId="13"/>
    <xf numFmtId="0" fontId="6" fillId="5" borderId="13"/>
    <xf numFmtId="0" fontId="6" fillId="5" borderId="13"/>
    <xf numFmtId="0" fontId="6" fillId="5" borderId="13"/>
    <xf numFmtId="0" fontId="6" fillId="5" borderId="13"/>
    <xf numFmtId="0" fontId="6" fillId="5" borderId="13"/>
    <xf numFmtId="0" fontId="6" fillId="5" borderId="13"/>
    <xf numFmtId="0" fontId="6" fillId="5" borderId="13"/>
    <xf numFmtId="0" fontId="6" fillId="5" borderId="13"/>
    <xf numFmtId="0" fontId="6" fillId="5" borderId="13"/>
    <xf numFmtId="0" fontId="6" fillId="5" borderId="13"/>
    <xf numFmtId="0" fontId="6" fillId="5" borderId="13"/>
    <xf numFmtId="0" fontId="6" fillId="5" borderId="13"/>
    <xf numFmtId="0" fontId="6" fillId="5" borderId="13"/>
    <xf numFmtId="0" fontId="6" fillId="5" borderId="13"/>
    <xf numFmtId="0" fontId="6" fillId="5" borderId="13"/>
    <xf numFmtId="0" fontId="6" fillId="5" borderId="13"/>
    <xf numFmtId="0" fontId="6" fillId="5" borderId="13"/>
    <xf numFmtId="0" fontId="6" fillId="5" borderId="13"/>
    <xf numFmtId="0" fontId="6" fillId="5" borderId="13"/>
    <xf numFmtId="0" fontId="6" fillId="5" borderId="13"/>
    <xf numFmtId="0" fontId="6" fillId="10" borderId="0"/>
    <xf numFmtId="0" fontId="6" fillId="10" borderId="0"/>
    <xf numFmtId="2" fontId="6" fillId="0" borderId="0" applyFont="0" applyFill="0" applyBorder="0" applyAlignment="0" applyProtection="0"/>
    <xf numFmtId="0" fontId="32" fillId="10" borderId="13">
      <alignment horizontal="left"/>
    </xf>
    <xf numFmtId="0" fontId="32" fillId="10" borderId="13">
      <alignment horizontal="left"/>
    </xf>
    <xf numFmtId="0" fontId="32" fillId="10" borderId="13">
      <alignment horizontal="left"/>
    </xf>
    <xf numFmtId="0" fontId="32" fillId="10" borderId="13">
      <alignment horizontal="left"/>
    </xf>
    <xf numFmtId="0" fontId="32" fillId="10" borderId="13">
      <alignment horizontal="left"/>
    </xf>
    <xf numFmtId="0" fontId="32" fillId="10" borderId="13">
      <alignment horizontal="left"/>
    </xf>
    <xf numFmtId="0" fontId="32" fillId="10" borderId="13">
      <alignment horizontal="left"/>
    </xf>
    <xf numFmtId="0" fontId="32" fillId="10" borderId="13">
      <alignment horizontal="left"/>
    </xf>
    <xf numFmtId="0" fontId="32" fillId="10" borderId="13">
      <alignment horizontal="left"/>
    </xf>
    <xf numFmtId="0" fontId="32" fillId="10" borderId="13">
      <alignment horizontal="left"/>
    </xf>
    <xf numFmtId="0" fontId="32" fillId="10" borderId="13">
      <alignment horizontal="left"/>
    </xf>
    <xf numFmtId="0" fontId="32" fillId="10" borderId="13">
      <alignment horizontal="left"/>
    </xf>
    <xf numFmtId="0" fontId="32" fillId="10" borderId="13">
      <alignment horizontal="left"/>
    </xf>
    <xf numFmtId="0" fontId="32" fillId="10" borderId="13">
      <alignment horizontal="left"/>
    </xf>
    <xf numFmtId="0" fontId="32" fillId="10" borderId="13">
      <alignment horizontal="left"/>
    </xf>
    <xf numFmtId="0" fontId="32" fillId="10" borderId="13">
      <alignment horizontal="left"/>
    </xf>
    <xf numFmtId="0" fontId="32" fillId="10" borderId="13">
      <alignment horizontal="left"/>
    </xf>
    <xf numFmtId="0" fontId="32" fillId="10" borderId="13">
      <alignment horizontal="left"/>
    </xf>
    <xf numFmtId="0" fontId="32" fillId="10" borderId="13">
      <alignment horizontal="left"/>
    </xf>
    <xf numFmtId="0" fontId="32" fillId="10" borderId="13">
      <alignment horizontal="left"/>
    </xf>
    <xf numFmtId="0" fontId="32" fillId="10" borderId="13">
      <alignment horizontal="left"/>
    </xf>
    <xf numFmtId="0" fontId="32" fillId="10" borderId="13">
      <alignment horizontal="left"/>
    </xf>
    <xf numFmtId="0" fontId="32" fillId="10" borderId="13">
      <alignment horizontal="left"/>
    </xf>
    <xf numFmtId="0" fontId="32" fillId="10" borderId="13">
      <alignment horizontal="left"/>
    </xf>
    <xf numFmtId="0" fontId="32" fillId="10" borderId="13">
      <alignment horizontal="left"/>
    </xf>
    <xf numFmtId="0" fontId="32" fillId="10" borderId="13">
      <alignment horizontal="left"/>
    </xf>
    <xf numFmtId="0" fontId="32" fillId="10" borderId="13">
      <alignment horizontal="left"/>
    </xf>
    <xf numFmtId="0" fontId="32" fillId="10" borderId="13">
      <alignment horizontal="left"/>
    </xf>
    <xf numFmtId="0" fontId="32" fillId="10" borderId="13">
      <alignment horizontal="left"/>
    </xf>
    <xf numFmtId="0" fontId="32" fillId="10" borderId="13">
      <alignment horizontal="left"/>
    </xf>
    <xf numFmtId="0" fontId="32" fillId="10" borderId="13">
      <alignment horizontal="left"/>
    </xf>
    <xf numFmtId="0" fontId="32" fillId="10" borderId="13">
      <alignment horizontal="left"/>
    </xf>
    <xf numFmtId="0" fontId="32" fillId="10" borderId="13">
      <alignment horizontal="left"/>
    </xf>
    <xf numFmtId="0" fontId="32" fillId="10" borderId="13">
      <alignment horizontal="left"/>
    </xf>
    <xf numFmtId="0" fontId="32" fillId="10" borderId="13">
      <alignment horizontal="left"/>
    </xf>
    <xf numFmtId="0" fontId="32" fillId="10" borderId="13">
      <alignment horizontal="left"/>
    </xf>
    <xf numFmtId="0" fontId="32" fillId="10" borderId="13">
      <alignment horizontal="left"/>
    </xf>
    <xf numFmtId="0" fontId="32" fillId="10" borderId="13">
      <alignment horizontal="left"/>
    </xf>
    <xf numFmtId="0" fontId="32" fillId="10" borderId="13">
      <alignment horizontal="left"/>
    </xf>
    <xf numFmtId="0" fontId="32" fillId="10" borderId="13">
      <alignment horizontal="left"/>
    </xf>
    <xf numFmtId="0" fontId="32" fillId="10" borderId="13">
      <alignment horizontal="left"/>
    </xf>
    <xf numFmtId="0" fontId="32" fillId="10" borderId="13">
      <alignment horizontal="left"/>
    </xf>
    <xf numFmtId="0" fontId="32" fillId="10" borderId="13">
      <alignment horizontal="left"/>
    </xf>
    <xf numFmtId="0" fontId="32" fillId="10" borderId="13">
      <alignment horizontal="left"/>
    </xf>
    <xf numFmtId="0" fontId="8" fillId="10" borderId="0">
      <alignment horizontal="left"/>
    </xf>
    <xf numFmtId="0" fontId="8" fillId="10" borderId="0">
      <alignment horizontal="left"/>
    </xf>
    <xf numFmtId="0" fontId="33" fillId="10" borderId="0">
      <alignment horizontal="left"/>
    </xf>
    <xf numFmtId="0" fontId="8" fillId="10" borderId="0">
      <alignment horizontal="left"/>
    </xf>
    <xf numFmtId="0" fontId="8" fillId="10" borderId="0">
      <alignment horizontal="left"/>
    </xf>
    <xf numFmtId="0" fontId="8" fillId="10" borderId="0">
      <alignment horizontal="left"/>
    </xf>
    <xf numFmtId="0" fontId="8" fillId="10" borderId="0">
      <alignment horizontal="left"/>
    </xf>
    <xf numFmtId="0" fontId="8" fillId="10" borderId="0">
      <alignment horizontal="left"/>
    </xf>
    <xf numFmtId="0" fontId="8" fillId="10" borderId="0">
      <alignment horizontal="left"/>
    </xf>
    <xf numFmtId="0" fontId="8" fillId="10" borderId="0">
      <alignment horizontal="left"/>
    </xf>
    <xf numFmtId="0" fontId="8" fillId="10" borderId="0">
      <alignment horizontal="left"/>
    </xf>
    <xf numFmtId="0" fontId="8" fillId="10" borderId="0">
      <alignment horizontal="left"/>
    </xf>
    <xf numFmtId="0" fontId="8" fillId="10" borderId="0">
      <alignment horizontal="left"/>
    </xf>
    <xf numFmtId="0" fontId="8" fillId="10" borderId="0">
      <alignment horizontal="left"/>
    </xf>
    <xf numFmtId="38" fontId="16" fillId="10" borderId="0" applyNumberFormat="0" applyBorder="0" applyAlignment="0" applyProtection="0"/>
    <xf numFmtId="0" fontId="17" fillId="12" borderId="0">
      <alignment horizontal="right" vertical="top" textRotation="90" wrapText="1"/>
    </xf>
    <xf numFmtId="0" fontId="17" fillId="12" borderId="0">
      <alignment horizontal="right" vertical="top" wrapText="1"/>
    </xf>
    <xf numFmtId="0" fontId="17" fillId="12" borderId="0">
      <alignment horizontal="right" vertical="top" wrapText="1"/>
    </xf>
    <xf numFmtId="0" fontId="17" fillId="12" borderId="0">
      <alignment horizontal="right" vertical="top" wrapText="1"/>
    </xf>
    <xf numFmtId="0" fontId="17" fillId="12" borderId="0">
      <alignment horizontal="right" vertical="top" wrapText="1"/>
    </xf>
    <xf numFmtId="0" fontId="17" fillId="12" borderId="0">
      <alignment horizontal="right" vertical="top" textRotation="90" wrapText="1"/>
    </xf>
    <xf numFmtId="0" fontId="34" fillId="12" borderId="0">
      <alignment horizontal="right" vertical="top" wrapText="1"/>
    </xf>
    <xf numFmtId="0" fontId="17" fillId="12" borderId="0">
      <alignment horizontal="right" vertical="top" textRotation="90" wrapText="1"/>
    </xf>
    <xf numFmtId="0" fontId="35" fillId="0" borderId="14" applyNumberFormat="0" applyAlignment="0" applyProtection="0">
      <alignment horizontal="left" vertical="center"/>
    </xf>
    <xf numFmtId="0" fontId="35" fillId="0" borderId="15">
      <alignment horizontal="left" vertical="center"/>
    </xf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176" fontId="11" fillId="0" borderId="0">
      <protection locked="0"/>
    </xf>
    <xf numFmtId="176" fontId="11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/>
    <xf numFmtId="10" fontId="16" fillId="5" borderId="13" applyNumberFormat="0" applyBorder="0" applyAlignment="0" applyProtection="0"/>
    <xf numFmtId="0" fontId="10" fillId="11" borderId="0">
      <alignment horizontal="center"/>
    </xf>
    <xf numFmtId="0" fontId="10" fillId="11" borderId="0">
      <alignment horizontal="center"/>
    </xf>
    <xf numFmtId="0" fontId="10" fillId="11" borderId="0">
      <alignment horizontal="center"/>
    </xf>
    <xf numFmtId="0" fontId="6" fillId="10" borderId="13">
      <alignment horizontal="centerContinuous" wrapText="1"/>
    </xf>
    <xf numFmtId="0" fontId="6" fillId="10" borderId="13">
      <alignment horizontal="centerContinuous" wrapText="1"/>
    </xf>
    <xf numFmtId="0" fontId="6" fillId="10" borderId="13">
      <alignment horizontal="centerContinuous" wrapText="1"/>
    </xf>
    <xf numFmtId="0" fontId="6" fillId="10" borderId="13">
      <alignment horizontal="centerContinuous" wrapText="1"/>
    </xf>
    <xf numFmtId="0" fontId="6" fillId="10" borderId="13">
      <alignment horizontal="centerContinuous" wrapText="1"/>
    </xf>
    <xf numFmtId="0" fontId="6" fillId="10" borderId="13">
      <alignment horizontal="centerContinuous" wrapText="1"/>
    </xf>
    <xf numFmtId="0" fontId="6" fillId="10" borderId="13">
      <alignment horizontal="centerContinuous" wrapText="1"/>
    </xf>
    <xf numFmtId="0" fontId="6" fillId="10" borderId="13">
      <alignment horizontal="centerContinuous" wrapText="1"/>
    </xf>
    <xf numFmtId="0" fontId="6" fillId="10" borderId="13">
      <alignment horizontal="centerContinuous" wrapText="1"/>
    </xf>
    <xf numFmtId="0" fontId="6" fillId="10" borderId="13">
      <alignment horizontal="centerContinuous" wrapText="1"/>
    </xf>
    <xf numFmtId="0" fontId="6" fillId="10" borderId="13">
      <alignment horizontal="centerContinuous" wrapText="1"/>
    </xf>
    <xf numFmtId="0" fontId="6" fillId="10" borderId="13">
      <alignment horizontal="centerContinuous" wrapText="1"/>
    </xf>
    <xf numFmtId="0" fontId="6" fillId="10" borderId="13">
      <alignment horizontal="centerContinuous" wrapText="1"/>
    </xf>
    <xf numFmtId="0" fontId="6" fillId="10" borderId="13">
      <alignment horizontal="centerContinuous" wrapText="1"/>
    </xf>
    <xf numFmtId="0" fontId="6" fillId="10" borderId="13">
      <alignment horizontal="centerContinuous" wrapText="1"/>
    </xf>
    <xf numFmtId="0" fontId="6" fillId="10" borderId="13">
      <alignment horizontal="centerContinuous" wrapText="1"/>
    </xf>
    <xf numFmtId="0" fontId="6" fillId="10" borderId="13">
      <alignment horizontal="centerContinuous" wrapText="1"/>
    </xf>
    <xf numFmtId="0" fontId="6" fillId="10" borderId="13">
      <alignment horizontal="centerContinuous" wrapText="1"/>
    </xf>
    <xf numFmtId="0" fontId="6" fillId="10" borderId="13">
      <alignment horizontal="centerContinuous" wrapText="1"/>
    </xf>
    <xf numFmtId="0" fontId="6" fillId="10" borderId="13">
      <alignment horizontal="centerContinuous" wrapText="1"/>
    </xf>
    <xf numFmtId="0" fontId="6" fillId="10" borderId="13">
      <alignment horizontal="centerContinuous" wrapText="1"/>
    </xf>
    <xf numFmtId="0" fontId="6" fillId="10" borderId="13">
      <alignment horizontal="centerContinuous" wrapText="1"/>
    </xf>
    <xf numFmtId="0" fontId="6" fillId="10" borderId="13">
      <alignment horizontal="centerContinuous" wrapText="1"/>
    </xf>
    <xf numFmtId="0" fontId="6" fillId="10" borderId="13">
      <alignment horizontal="centerContinuous" wrapText="1"/>
    </xf>
    <xf numFmtId="0" fontId="6" fillId="10" borderId="13">
      <alignment horizontal="centerContinuous" wrapText="1"/>
    </xf>
    <xf numFmtId="0" fontId="6" fillId="10" borderId="13">
      <alignment horizontal="centerContinuous" wrapText="1"/>
    </xf>
    <xf numFmtId="0" fontId="6" fillId="10" borderId="13">
      <alignment horizontal="centerContinuous" wrapText="1"/>
    </xf>
    <xf numFmtId="0" fontId="6" fillId="10" borderId="13">
      <alignment horizontal="centerContinuous" wrapText="1"/>
    </xf>
    <xf numFmtId="0" fontId="6" fillId="10" borderId="13">
      <alignment horizontal="centerContinuous" wrapText="1"/>
    </xf>
    <xf numFmtId="0" fontId="6" fillId="10" borderId="13">
      <alignment horizontal="centerContinuous" wrapText="1"/>
    </xf>
    <xf numFmtId="0" fontId="6" fillId="10" borderId="13">
      <alignment horizontal="centerContinuous" wrapText="1"/>
    </xf>
    <xf numFmtId="0" fontId="6" fillId="10" borderId="13">
      <alignment horizontal="centerContinuous" wrapText="1"/>
    </xf>
    <xf numFmtId="0" fontId="6" fillId="10" borderId="13">
      <alignment horizontal="centerContinuous" wrapText="1"/>
    </xf>
    <xf numFmtId="0" fontId="6" fillId="10" borderId="13">
      <alignment horizontal="centerContinuous" wrapText="1"/>
    </xf>
    <xf numFmtId="0" fontId="6" fillId="10" borderId="13">
      <alignment horizontal="centerContinuous" wrapText="1"/>
    </xf>
    <xf numFmtId="0" fontId="6" fillId="10" borderId="13">
      <alignment horizontal="centerContinuous" wrapText="1"/>
    </xf>
    <xf numFmtId="0" fontId="6" fillId="10" borderId="13">
      <alignment horizontal="centerContinuous" wrapText="1"/>
    </xf>
    <xf numFmtId="0" fontId="6" fillId="10" borderId="13">
      <alignment horizontal="centerContinuous" wrapText="1"/>
    </xf>
    <xf numFmtId="0" fontId="6" fillId="10" borderId="13">
      <alignment horizontal="centerContinuous" wrapText="1"/>
    </xf>
    <xf numFmtId="0" fontId="6" fillId="10" borderId="13">
      <alignment horizontal="centerContinuous" wrapText="1"/>
    </xf>
    <xf numFmtId="0" fontId="6" fillId="10" borderId="13">
      <alignment horizontal="centerContinuous" wrapText="1"/>
    </xf>
    <xf numFmtId="0" fontId="6" fillId="10" borderId="13">
      <alignment horizontal="centerContinuous" wrapText="1"/>
    </xf>
    <xf numFmtId="0" fontId="6" fillId="10" borderId="13">
      <alignment horizontal="centerContinuous" wrapText="1"/>
    </xf>
    <xf numFmtId="0" fontId="40" fillId="13" borderId="0">
      <alignment horizontal="center" wrapText="1"/>
    </xf>
    <xf numFmtId="0" fontId="6" fillId="10" borderId="13">
      <alignment horizontal="centerContinuous"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41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41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5">
      <alignment wrapText="1"/>
    </xf>
    <xf numFmtId="0" fontId="16" fillId="10" borderId="16"/>
    <xf numFmtId="0" fontId="16" fillId="10" borderId="16"/>
    <xf numFmtId="0" fontId="41" fillId="10" borderId="16"/>
    <xf numFmtId="0" fontId="16" fillId="10" borderId="16"/>
    <xf numFmtId="0" fontId="16" fillId="10" borderId="16"/>
    <xf numFmtId="0" fontId="16" fillId="10" borderId="7"/>
    <xf numFmtId="0" fontId="16" fillId="10" borderId="7"/>
    <xf numFmtId="0" fontId="41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7"/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16" fillId="10" borderId="17">
      <alignment horizontal="center" wrapText="1"/>
    </xf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20" fillId="9" borderId="18">
      <alignment horizontal="left" vertical="top" wrapText="1"/>
    </xf>
    <xf numFmtId="0" fontId="6" fillId="0" borderId="0" applyFont="0" applyFill="0" applyBorder="0" applyAlignment="0" applyProtection="0"/>
    <xf numFmtId="177" fontId="43" fillId="0" borderId="0"/>
    <xf numFmtId="0" fontId="25" fillId="0" borderId="0"/>
    <xf numFmtId="0" fontId="5" fillId="0" borderId="0"/>
    <xf numFmtId="0" fontId="25" fillId="0" borderId="0"/>
    <xf numFmtId="0" fontId="42" fillId="0" borderId="0"/>
    <xf numFmtId="0" fontId="9" fillId="0" borderId="0"/>
    <xf numFmtId="0" fontId="9" fillId="0" borderId="0"/>
    <xf numFmtId="0" fontId="8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6" fillId="0" borderId="0" applyNumberFormat="0" applyFill="0" applyBorder="0" applyAlignment="0" applyProtection="0"/>
    <xf numFmtId="0" fontId="9" fillId="0" borderId="0"/>
    <xf numFmtId="0" fontId="9" fillId="0" borderId="0"/>
    <xf numFmtId="0" fontId="42" fillId="0" borderId="0"/>
    <xf numFmtId="0" fontId="2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9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42" fillId="0" borderId="0"/>
    <xf numFmtId="0" fontId="9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42" fillId="0" borderId="0"/>
    <xf numFmtId="0" fontId="25" fillId="0" borderId="0"/>
    <xf numFmtId="0" fontId="5" fillId="0" borderId="0"/>
    <xf numFmtId="0" fontId="5" fillId="0" borderId="0"/>
    <xf numFmtId="0" fontId="42" fillId="0" borderId="0"/>
    <xf numFmtId="0" fontId="25" fillId="0" borderId="0"/>
    <xf numFmtId="0" fontId="5" fillId="0" borderId="0"/>
    <xf numFmtId="0" fontId="5" fillId="0" borderId="0"/>
    <xf numFmtId="0" fontId="42" fillId="0" borderId="0"/>
    <xf numFmtId="0" fontId="25" fillId="0" borderId="0"/>
    <xf numFmtId="0" fontId="5" fillId="0" borderId="0"/>
    <xf numFmtId="0" fontId="5" fillId="0" borderId="0"/>
    <xf numFmtId="0" fontId="4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2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5" fillId="0" borderId="0"/>
    <xf numFmtId="0" fontId="2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4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2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5" fillId="0" borderId="0"/>
    <xf numFmtId="0" fontId="4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25" fillId="0" borderId="0"/>
    <xf numFmtId="0" fontId="25" fillId="0" borderId="0"/>
    <xf numFmtId="0" fontId="25" fillId="0" borderId="0"/>
    <xf numFmtId="0" fontId="6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8" fillId="0" borderId="0"/>
    <xf numFmtId="0" fontId="6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42" fillId="0" borderId="0"/>
    <xf numFmtId="0" fontId="6" fillId="0" borderId="0"/>
    <xf numFmtId="0" fontId="42" fillId="0" borderId="0"/>
    <xf numFmtId="0" fontId="6" fillId="0" borderId="0"/>
    <xf numFmtId="0" fontId="6" fillId="0" borderId="0"/>
    <xf numFmtId="0" fontId="45" fillId="0" borderId="0"/>
    <xf numFmtId="0" fontId="6" fillId="0" borderId="0"/>
    <xf numFmtId="0" fontId="42" fillId="0" borderId="0"/>
    <xf numFmtId="0" fontId="9" fillId="0" borderId="0"/>
    <xf numFmtId="0" fontId="25" fillId="0" borderId="0"/>
    <xf numFmtId="0" fontId="25" fillId="0" borderId="0"/>
    <xf numFmtId="0" fontId="6" fillId="0" borderId="0"/>
    <xf numFmtId="0" fontId="6" fillId="0" borderId="0" applyNumberFormat="0" applyFill="0" applyBorder="0" applyAlignment="0" applyProtection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42" fillId="0" borderId="0"/>
    <xf numFmtId="0" fontId="15" fillId="0" borderId="0"/>
    <xf numFmtId="0" fontId="15" fillId="0" borderId="0"/>
    <xf numFmtId="0" fontId="8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42" fillId="0" borderId="0"/>
    <xf numFmtId="0" fontId="5" fillId="0" borderId="0"/>
    <xf numFmtId="0" fontId="5" fillId="0" borderId="0"/>
    <xf numFmtId="0" fontId="15" fillId="0" borderId="0"/>
    <xf numFmtId="0" fontId="4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4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5" fillId="0" borderId="0"/>
    <xf numFmtId="0" fontId="9" fillId="0" borderId="0"/>
    <xf numFmtId="0" fontId="9" fillId="0" borderId="0"/>
    <xf numFmtId="0" fontId="9" fillId="0" borderId="0"/>
    <xf numFmtId="0" fontId="25" fillId="0" borderId="0"/>
    <xf numFmtId="0" fontId="25" fillId="0" borderId="0"/>
    <xf numFmtId="0" fontId="44" fillId="0" borderId="0"/>
    <xf numFmtId="0" fontId="25" fillId="0" borderId="0"/>
    <xf numFmtId="0" fontId="4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4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4" fillId="0" borderId="0"/>
    <xf numFmtId="0" fontId="5" fillId="0" borderId="0"/>
    <xf numFmtId="0" fontId="5" fillId="0" borderId="0"/>
    <xf numFmtId="0" fontId="42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5" fillId="0" borderId="0"/>
    <xf numFmtId="0" fontId="25" fillId="0" borderId="0"/>
    <xf numFmtId="0" fontId="8" fillId="0" borderId="0"/>
    <xf numFmtId="0" fontId="8" fillId="0" borderId="0"/>
    <xf numFmtId="0" fontId="6" fillId="0" borderId="0"/>
    <xf numFmtId="1" fontId="19" fillId="0" borderId="0">
      <alignment vertical="top" wrapText="1"/>
    </xf>
    <xf numFmtId="1" fontId="46" fillId="0" borderId="0" applyFill="0" applyBorder="0" applyProtection="0"/>
    <xf numFmtId="1" fontId="11" fillId="0" borderId="0" applyFont="0" applyFill="0" applyBorder="0" applyProtection="0">
      <alignment vertical="center"/>
    </xf>
    <xf numFmtId="1" fontId="47" fillId="0" borderId="0">
      <alignment horizontal="right" vertical="top"/>
    </xf>
    <xf numFmtId="0" fontId="48" fillId="0" borderId="0"/>
    <xf numFmtId="0" fontId="8" fillId="0" borderId="0"/>
    <xf numFmtId="1" fontId="24" fillId="0" borderId="0" applyNumberFormat="0" applyFill="0" applyBorder="0">
      <alignment vertical="top"/>
    </xf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8" fillId="14" borderId="19" applyNumberFormat="0" applyFont="0" applyAlignment="0" applyProtection="0"/>
    <xf numFmtId="0" fontId="8" fillId="2" borderId="4" applyNumberFormat="0" applyFont="0" applyAlignment="0" applyProtection="0"/>
    <xf numFmtId="0" fontId="8" fillId="2" borderId="4" applyNumberFormat="0" applyFont="0" applyAlignment="0" applyProtection="0"/>
    <xf numFmtId="0" fontId="11" fillId="0" borderId="0">
      <alignment horizontal="left"/>
    </xf>
    <xf numFmtId="10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5" fillId="0" borderId="0"/>
    <xf numFmtId="9" fontId="8" fillId="0" borderId="0" applyFont="0" applyFill="0" applyBorder="0" applyAlignment="0" applyProtection="0"/>
    <xf numFmtId="0" fontId="42" fillId="0" borderId="0"/>
    <xf numFmtId="9" fontId="6" fillId="0" borderId="0" applyFont="0" applyFill="0" applyBorder="0" applyAlignment="0" applyProtection="0"/>
    <xf numFmtId="0" fontId="42" fillId="0" borderId="0"/>
    <xf numFmtId="9" fontId="6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42" fillId="0" borderId="0"/>
    <xf numFmtId="9" fontId="4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NumberFormat="0" applyFont="0" applyFill="0" applyBorder="0" applyAlignment="0" applyProtection="0"/>
    <xf numFmtId="0" fontId="16" fillId="10" borderId="5"/>
    <xf numFmtId="0" fontId="5" fillId="0" borderId="0"/>
    <xf numFmtId="0" fontId="5" fillId="0" borderId="0"/>
    <xf numFmtId="0" fontId="5" fillId="0" borderId="0"/>
    <xf numFmtId="0" fontId="16" fillId="10" borderId="5"/>
    <xf numFmtId="0" fontId="16" fillId="10" borderId="5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22" fillId="10" borderId="0">
      <alignment horizontal="right"/>
    </xf>
    <xf numFmtId="0" fontId="22" fillId="10" borderId="0">
      <alignment horizontal="right"/>
    </xf>
    <xf numFmtId="0" fontId="49" fillId="13" borderId="0">
      <alignment horizontal="center"/>
    </xf>
    <xf numFmtId="0" fontId="49" fillId="13" borderId="0">
      <alignment horizontal="center"/>
    </xf>
    <xf numFmtId="0" fontId="20" fillId="12" borderId="5">
      <alignment horizontal="left" vertical="top" wrapText="1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0" fillId="12" borderId="8">
      <alignment horizontal="left" vertical="top" wrapText="1"/>
    </xf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20" fillId="12" borderId="6">
      <alignment horizontal="left" vertical="top" wrapText="1"/>
    </xf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20" fillId="12" borderId="6">
      <alignment horizontal="left" vertical="top" wrapText="1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20" fillId="12" borderId="8">
      <alignment horizontal="left" vertical="top"/>
    </xf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20" fillId="12" borderId="8">
      <alignment horizontal="left" vertical="top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42" fillId="0" borderId="0"/>
    <xf numFmtId="0" fontId="5" fillId="0" borderId="0"/>
    <xf numFmtId="0" fontId="15" fillId="0" borderId="7">
      <alignment horizontal="center" vertical="center"/>
    </xf>
    <xf numFmtId="0" fontId="16" fillId="0" borderId="0"/>
    <xf numFmtId="0" fontId="15" fillId="0" borderId="0"/>
    <xf numFmtId="168" fontId="51" fillId="0" borderId="0" applyNumberFormat="0" applyBorder="0" applyAlignment="0">
      <alignment horizontal="left" readingOrder="1"/>
    </xf>
    <xf numFmtId="0" fontId="52" fillId="15" borderId="0">
      <alignment horizontal="left"/>
    </xf>
    <xf numFmtId="0" fontId="40" fillId="15" borderId="0">
      <alignment horizontal="left" wrapText="1"/>
    </xf>
    <xf numFmtId="0" fontId="52" fillId="15" borderId="0">
      <alignment horizontal="left"/>
    </xf>
    <xf numFmtId="0" fontId="53" fillId="0" borderId="20"/>
    <xf numFmtId="0" fontId="53" fillId="0" borderId="20"/>
    <xf numFmtId="0" fontId="54" fillId="0" borderId="0"/>
    <xf numFmtId="0" fontId="5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2" fillId="0" borderId="0"/>
    <xf numFmtId="0" fontId="5" fillId="0" borderId="0"/>
    <xf numFmtId="0" fontId="5" fillId="0" borderId="0"/>
    <xf numFmtId="0" fontId="21" fillId="10" borderId="0">
      <alignment horizontal="center"/>
    </xf>
    <xf numFmtId="0" fontId="21" fillId="10" borderId="0">
      <alignment horizontal="center"/>
    </xf>
    <xf numFmtId="0" fontId="56" fillId="0" borderId="0"/>
    <xf numFmtId="49" fontId="24" fillId="0" borderId="0" applyFill="0" applyBorder="0" applyAlignment="0" applyProtection="0">
      <alignment vertical="top"/>
    </xf>
    <xf numFmtId="0" fontId="57" fillId="10" borderId="0"/>
    <xf numFmtId="0" fontId="57" fillId="10" borderId="0"/>
    <xf numFmtId="0" fontId="52" fillId="15" borderId="0">
      <alignment horizontal="left"/>
    </xf>
    <xf numFmtId="0" fontId="58" fillId="0" borderId="0"/>
    <xf numFmtId="165" fontId="15" fillId="0" borderId="0" applyFont="0" applyFill="0" applyBorder="0" applyAlignment="0" applyProtection="0"/>
    <xf numFmtId="170" fontId="26" fillId="0" borderId="0" applyFont="0" applyFill="0" applyBorder="0" applyAlignment="0" applyProtection="0"/>
    <xf numFmtId="166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4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4" fontId="15" fillId="0" borderId="0" applyFont="0" applyFill="0" applyBorder="0" applyAlignment="0" applyProtection="0"/>
    <xf numFmtId="1" fontId="59" fillId="0" borderId="0">
      <alignment vertical="top" wrapText="1"/>
    </xf>
    <xf numFmtId="4" fontId="60" fillId="0" borderId="0" applyFont="0" applyFill="0" applyBorder="0" applyAlignment="0" applyProtection="0"/>
    <xf numFmtId="3" fontId="60" fillId="0" borderId="0" applyFont="0" applyFill="0" applyBorder="0" applyAlignment="0" applyProtection="0"/>
    <xf numFmtId="179" fontId="61" fillId="0" borderId="0" applyFont="0" applyFill="0" applyBorder="0" applyAlignment="0" applyProtection="0"/>
    <xf numFmtId="169" fontId="61" fillId="0" borderId="0" applyFont="0" applyFill="0" applyBorder="0" applyAlignment="0" applyProtection="0"/>
    <xf numFmtId="180" fontId="61" fillId="0" borderId="0" applyFont="0" applyFill="0" applyBorder="0" applyAlignment="0" applyProtection="0"/>
    <xf numFmtId="181" fontId="61" fillId="0" borderId="0" applyFont="0" applyFill="0" applyBorder="0" applyAlignment="0" applyProtection="0"/>
    <xf numFmtId="9" fontId="60" fillId="0" borderId="0" applyFont="0" applyFill="0" applyBorder="0" applyAlignment="0" applyProtection="0"/>
    <xf numFmtId="0" fontId="6" fillId="0" borderId="0"/>
    <xf numFmtId="0" fontId="60" fillId="0" borderId="0"/>
    <xf numFmtId="182" fontId="60" fillId="0" borderId="0" applyFont="0" applyFill="0" applyBorder="0" applyAlignment="0" applyProtection="0"/>
    <xf numFmtId="182" fontId="60" fillId="0" borderId="0" applyFont="0" applyFill="0" applyBorder="0" applyAlignment="0" applyProtection="0"/>
    <xf numFmtId="0" fontId="62" fillId="0" borderId="0">
      <alignment vertical="center"/>
    </xf>
    <xf numFmtId="0" fontId="39" fillId="0" borderId="0" applyNumberFormat="0" applyFill="0" applyBorder="0" applyAlignment="0" applyProtection="0"/>
    <xf numFmtId="0" fontId="9" fillId="0" borderId="0"/>
    <xf numFmtId="0" fontId="2" fillId="19" borderId="5" applyAlignment="0">
      <alignment horizontal="center" vertical="center"/>
    </xf>
    <xf numFmtId="0" fontId="2" fillId="19" borderId="21" applyNumberFormat="0" applyAlignment="0">
      <alignment horizontal="center"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/>
    <xf numFmtId="0" fontId="9" fillId="0" borderId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7" fillId="0" borderId="0" applyNumberFormat="0" applyFill="0" applyBorder="0" applyAlignment="0" applyProtection="0"/>
    <xf numFmtId="0" fontId="68" fillId="0" borderId="2" applyNumberFormat="0" applyFill="0" applyAlignment="0" applyProtection="0"/>
    <xf numFmtId="0" fontId="69" fillId="0" borderId="3" applyNumberFormat="0" applyFill="0" applyAlignment="0" applyProtection="0"/>
    <xf numFmtId="0" fontId="70" fillId="0" borderId="35" applyNumberFormat="0" applyFill="0" applyAlignment="0" applyProtection="0"/>
    <xf numFmtId="0" fontId="70" fillId="0" borderId="0" applyNumberFormat="0" applyFill="0" applyBorder="0" applyAlignment="0" applyProtection="0"/>
    <xf numFmtId="0" fontId="71" fillId="21" borderId="0" applyNumberFormat="0" applyBorder="0" applyAlignment="0" applyProtection="0"/>
    <xf numFmtId="0" fontId="72" fillId="22" borderId="0" applyNumberFormat="0" applyBorder="0" applyAlignment="0" applyProtection="0"/>
    <xf numFmtId="0" fontId="73" fillId="23" borderId="0" applyNumberFormat="0" applyBorder="0" applyAlignment="0" applyProtection="0"/>
    <xf numFmtId="0" fontId="74" fillId="24" borderId="36" applyNumberFormat="0" applyAlignment="0" applyProtection="0"/>
    <xf numFmtId="0" fontId="75" fillId="25" borderId="37" applyNumberFormat="0" applyAlignment="0" applyProtection="0"/>
    <xf numFmtId="0" fontId="76" fillId="25" borderId="36" applyNumberFormat="0" applyAlignment="0" applyProtection="0"/>
    <xf numFmtId="0" fontId="77" fillId="0" borderId="38" applyNumberFormat="0" applyFill="0" applyAlignment="0" applyProtection="0"/>
    <xf numFmtId="0" fontId="66" fillId="26" borderId="39" applyNumberFormat="0" applyAlignment="0" applyProtection="0"/>
    <xf numFmtId="0" fontId="78" fillId="0" borderId="0" applyNumberFormat="0" applyFill="0" applyBorder="0" applyAlignment="0" applyProtection="0"/>
    <xf numFmtId="0" fontId="5" fillId="2" borderId="4" applyNumberFormat="0" applyFont="0" applyAlignment="0" applyProtection="0"/>
    <xf numFmtId="0" fontId="79" fillId="0" borderId="0" applyNumberFormat="0" applyFill="0" applyBorder="0" applyAlignment="0" applyProtection="0"/>
    <xf numFmtId="0" fontId="2" fillId="0" borderId="40" applyNumberFormat="0" applyFill="0" applyAlignment="0" applyProtection="0"/>
    <xf numFmtId="0" fontId="8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" borderId="0" applyNumberFormat="0" applyBorder="0" applyAlignment="0" applyProtection="0"/>
    <xf numFmtId="0" fontId="80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4" borderId="0" applyNumberFormat="0" applyBorder="0" applyAlignment="0" applyProtection="0"/>
    <xf numFmtId="0" fontId="80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36" borderId="0" applyNumberFormat="0" applyBorder="0" applyAlignment="0" applyProtection="0"/>
    <xf numFmtId="0" fontId="80" fillId="37" borderId="0" applyNumberFormat="0" applyBorder="0" applyAlignment="0" applyProtection="0"/>
    <xf numFmtId="0" fontId="5" fillId="38" borderId="0" applyNumberFormat="0" applyBorder="0" applyAlignment="0" applyProtection="0"/>
    <xf numFmtId="0" fontId="5" fillId="39" borderId="0" applyNumberFormat="0" applyBorder="0" applyAlignment="0" applyProtection="0"/>
    <xf numFmtId="0" fontId="5" fillId="40" borderId="0" applyNumberFormat="0" applyBorder="0" applyAlignment="0" applyProtection="0"/>
    <xf numFmtId="0" fontId="80" fillId="41" borderId="0" applyNumberFormat="0" applyBorder="0" applyAlignment="0" applyProtection="0"/>
    <xf numFmtId="0" fontId="5" fillId="42" borderId="0" applyNumberFormat="0" applyBorder="0" applyAlignment="0" applyProtection="0"/>
    <xf numFmtId="0" fontId="5" fillId="43" borderId="0" applyNumberFormat="0" applyBorder="0" applyAlignment="0" applyProtection="0"/>
    <xf numFmtId="0" fontId="5" fillId="44" borderId="0" applyNumberFormat="0" applyBorder="0" applyAlignment="0" applyProtection="0"/>
    <xf numFmtId="0" fontId="80" fillId="45" borderId="0" applyNumberFormat="0" applyBorder="0" applyAlignment="0" applyProtection="0"/>
    <xf numFmtId="0" fontId="5" fillId="46" borderId="0" applyNumberFormat="0" applyBorder="0" applyAlignment="0" applyProtection="0"/>
    <xf numFmtId="0" fontId="5" fillId="47" borderId="0" applyNumberFormat="0" applyBorder="0" applyAlignment="0" applyProtection="0"/>
    <xf numFmtId="0" fontId="5" fillId="48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 applyNumberFormat="0" applyFill="0" applyBorder="0" applyAlignment="0" applyProtection="0"/>
    <xf numFmtId="0" fontId="15" fillId="0" borderId="15">
      <alignment horizontal="center" vertical="center"/>
    </xf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5" fillId="0" borderId="0" applyFont="0" applyFill="0" applyBorder="0" applyAlignment="0" applyProtection="0"/>
  </cellStyleXfs>
  <cellXfs count="80">
    <xf numFmtId="0" fontId="0" fillId="0" borderId="0" xfId="0"/>
    <xf numFmtId="0" fontId="1" fillId="0" borderId="0" xfId="0" applyFont="1"/>
    <xf numFmtId="0" fontId="0" fillId="0" borderId="0" xfId="0"/>
    <xf numFmtId="0" fontId="2" fillId="0" borderId="0" xfId="0" applyFont="1"/>
    <xf numFmtId="0" fontId="3" fillId="0" borderId="0" xfId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/>
    <xf numFmtId="0" fontId="0" fillId="18" borderId="0" xfId="0" applyFill="1"/>
    <xf numFmtId="0" fontId="2" fillId="18" borderId="0" xfId="0" applyFont="1" applyFill="1" applyAlignment="1">
      <alignment horizontal="left"/>
    </xf>
    <xf numFmtId="0" fontId="4" fillId="18" borderId="0" xfId="0" applyFont="1" applyFill="1"/>
    <xf numFmtId="0" fontId="1" fillId="18" borderId="0" xfId="0" applyFont="1" applyFill="1"/>
    <xf numFmtId="0" fontId="65" fillId="17" borderId="0" xfId="0" applyFont="1" applyFill="1"/>
    <xf numFmtId="0" fontId="3" fillId="0" borderId="0" xfId="1" applyAlignment="1">
      <alignment horizontal="left"/>
    </xf>
    <xf numFmtId="0" fontId="0" fillId="0" borderId="0" xfId="0" applyAlignment="1">
      <alignment horizontal="left"/>
    </xf>
    <xf numFmtId="0" fontId="0" fillId="16" borderId="0" xfId="0" applyFill="1"/>
    <xf numFmtId="0" fontId="0" fillId="0" borderId="0" xfId="0"/>
    <xf numFmtId="0" fontId="64" fillId="16" borderId="0" xfId="0" applyFont="1" applyFill="1"/>
    <xf numFmtId="0" fontId="66" fillId="20" borderId="22" xfId="0" applyFont="1" applyFill="1" applyBorder="1" applyAlignment="1">
      <alignment horizontal="center" vertical="center" wrapText="1"/>
    </xf>
    <xf numFmtId="0" fontId="66" fillId="20" borderId="22" xfId="0" applyFont="1" applyFill="1" applyBorder="1" applyAlignment="1">
      <alignment horizontal="center" vertical="center"/>
    </xf>
    <xf numFmtId="0" fontId="0" fillId="0" borderId="0" xfId="0" applyFont="1"/>
    <xf numFmtId="0" fontId="66" fillId="20" borderId="22" xfId="0" applyFont="1" applyFill="1" applyBorder="1" applyAlignment="1">
      <alignment horizontal="center" vertical="center" wrapText="1"/>
    </xf>
    <xf numFmtId="0" fontId="0" fillId="0" borderId="0" xfId="0" applyFont="1" applyAlignment="1"/>
    <xf numFmtId="0" fontId="2" fillId="0" borderId="5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2" fontId="0" fillId="0" borderId="22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2" fontId="0" fillId="0" borderId="23" xfId="0" applyNumberForma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0" fontId="0" fillId="0" borderId="0" xfId="0" applyFont="1"/>
    <xf numFmtId="0" fontId="66" fillId="20" borderId="22" xfId="0" applyFont="1" applyFill="1" applyBorder="1" applyAlignment="1">
      <alignment horizontal="center" vertical="center" wrapText="1"/>
    </xf>
    <xf numFmtId="0" fontId="66" fillId="17" borderId="5" xfId="0" applyFont="1" applyFill="1" applyBorder="1" applyAlignment="1">
      <alignment horizontal="center" vertical="center"/>
    </xf>
    <xf numFmtId="0" fontId="0" fillId="0" borderId="0" xfId="0" applyFont="1"/>
    <xf numFmtId="0" fontId="66" fillId="20" borderId="22" xfId="0" applyFont="1" applyFill="1" applyBorder="1" applyAlignment="1">
      <alignment horizontal="center" vertical="center" wrapText="1"/>
    </xf>
    <xf numFmtId="0" fontId="66" fillId="17" borderId="5" xfId="0" applyFont="1" applyFill="1" applyBorder="1" applyAlignment="1">
      <alignment horizontal="center" vertical="center"/>
    </xf>
    <xf numFmtId="0" fontId="66" fillId="20" borderId="22" xfId="0" applyFont="1" applyFill="1" applyBorder="1" applyAlignment="1">
      <alignment horizontal="center" vertical="center"/>
    </xf>
    <xf numFmtId="164" fontId="0" fillId="0" borderId="22" xfId="0" applyNumberFormat="1" applyBorder="1" applyAlignment="1">
      <alignment horizontal="center" vertical="center"/>
    </xf>
    <xf numFmtId="1" fontId="0" fillId="0" borderId="26" xfId="0" applyNumberFormat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" fontId="0" fillId="0" borderId="25" xfId="0" applyNumberFormat="1" applyBorder="1" applyAlignment="1">
      <alignment horizontal="center" vertical="center"/>
    </xf>
    <xf numFmtId="164" fontId="0" fillId="0" borderId="29" xfId="0" applyNumberFormat="1" applyBorder="1" applyAlignment="1">
      <alignment horizontal="center" vertical="center"/>
    </xf>
    <xf numFmtId="164" fontId="0" fillId="0" borderId="23" xfId="0" applyNumberFormat="1" applyBorder="1" applyAlignment="1">
      <alignment horizontal="center" vertical="center"/>
    </xf>
    <xf numFmtId="164" fontId="0" fillId="0" borderId="28" xfId="0" applyNumberFormat="1" applyBorder="1" applyAlignment="1">
      <alignment horizontal="center" vertical="center"/>
    </xf>
    <xf numFmtId="1" fontId="0" fillId="0" borderId="29" xfId="0" applyNumberFormat="1" applyBorder="1" applyAlignment="1">
      <alignment horizontal="center" vertical="center"/>
    </xf>
    <xf numFmtId="1" fontId="0" fillId="0" borderId="23" xfId="0" applyNumberFormat="1" applyBorder="1" applyAlignment="1">
      <alignment horizontal="center" vertical="center"/>
    </xf>
    <xf numFmtId="1" fontId="0" fillId="0" borderId="28" xfId="0" applyNumberFormat="1" applyBorder="1" applyAlignment="1">
      <alignment horizontal="center" vertical="center"/>
    </xf>
    <xf numFmtId="164" fontId="0" fillId="0" borderId="24" xfId="0" applyNumberForma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0" fillId="0" borderId="0" xfId="0"/>
    <xf numFmtId="164" fontId="0" fillId="0" borderId="34" xfId="0" applyNumberFormat="1" applyFont="1" applyBorder="1" applyAlignment="1">
      <alignment horizontal="center" vertical="center"/>
    </xf>
    <xf numFmtId="1" fontId="0" fillId="0" borderId="34" xfId="0" applyNumberFormat="1" applyFont="1" applyBorder="1" applyAlignment="1">
      <alignment horizontal="center" vertical="center"/>
    </xf>
    <xf numFmtId="164" fontId="0" fillId="0" borderId="31" xfId="0" applyNumberFormat="1" applyFont="1" applyBorder="1" applyAlignment="1">
      <alignment horizontal="center" vertical="center"/>
    </xf>
    <xf numFmtId="0" fontId="63" fillId="0" borderId="0" xfId="0" applyFont="1" applyFill="1"/>
    <xf numFmtId="0" fontId="2" fillId="0" borderId="0" xfId="0" applyFont="1" applyFill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1"/>
    <xf numFmtId="0" fontId="0" fillId="0" borderId="24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65" fillId="17" borderId="0" xfId="0" applyFont="1" applyFill="1" applyAlignment="1">
      <alignment horizontal="left"/>
    </xf>
    <xf numFmtId="0" fontId="0" fillId="0" borderId="0" xfId="0" applyFont="1"/>
    <xf numFmtId="0" fontId="64" fillId="16" borderId="0" xfId="0" applyFont="1" applyFill="1"/>
    <xf numFmtId="0" fontId="3" fillId="0" borderId="0" xfId="1" applyBorder="1" applyAlignment="1">
      <alignment horizontal="center"/>
    </xf>
    <xf numFmtId="0" fontId="64" fillId="18" borderId="0" xfId="0" applyFont="1" applyFill="1"/>
    <xf numFmtId="0" fontId="66" fillId="20" borderId="22" xfId="0" applyFont="1" applyFill="1" applyBorder="1" applyAlignment="1">
      <alignment horizontal="center" vertical="center" wrapText="1"/>
    </xf>
    <xf numFmtId="0" fontId="66" fillId="20" borderId="22" xfId="0" applyFont="1" applyFill="1" applyBorder="1" applyAlignment="1">
      <alignment horizontal="center" vertical="center"/>
    </xf>
    <xf numFmtId="0" fontId="66" fillId="17" borderId="5" xfId="0" applyFont="1" applyFill="1" applyBorder="1" applyAlignment="1">
      <alignment horizontal="center" vertical="center"/>
    </xf>
    <xf numFmtId="0" fontId="66" fillId="17" borderId="33" xfId="0" applyFont="1" applyFill="1" applyBorder="1" applyAlignment="1">
      <alignment horizontal="center" vertical="center"/>
    </xf>
    <xf numFmtId="0" fontId="66" fillId="17" borderId="7" xfId="0" applyFont="1" applyFill="1" applyBorder="1" applyAlignment="1">
      <alignment horizontal="center" vertical="center"/>
    </xf>
    <xf numFmtId="0" fontId="66" fillId="17" borderId="8" xfId="0" applyFont="1" applyFill="1" applyBorder="1" applyAlignment="1">
      <alignment horizontal="center" vertical="center"/>
    </xf>
    <xf numFmtId="0" fontId="66" fillId="17" borderId="6" xfId="0" applyFont="1" applyFill="1" applyBorder="1" applyAlignment="1">
      <alignment horizontal="center" vertical="center"/>
    </xf>
    <xf numFmtId="0" fontId="66" fillId="20" borderId="23" xfId="0" applyFont="1" applyFill="1" applyBorder="1" applyAlignment="1">
      <alignment horizontal="center" vertical="center" wrapText="1"/>
    </xf>
    <xf numFmtId="0" fontId="66" fillId="20" borderId="24" xfId="0" applyFont="1" applyFill="1" applyBorder="1" applyAlignment="1">
      <alignment horizontal="center" vertical="center" wrapText="1"/>
    </xf>
  </cellXfs>
  <cellStyles count="24170">
    <cellStyle name="20% - Énfasis1" xfId="24099" builtinId="30" customBuiltin="1"/>
    <cellStyle name="20% - Énfasis2" xfId="24103" builtinId="34" customBuiltin="1"/>
    <cellStyle name="20% - Énfasis3" xfId="24107" builtinId="38" customBuiltin="1"/>
    <cellStyle name="20% - Énfasis4" xfId="24111" builtinId="42" customBuiltin="1"/>
    <cellStyle name="20% - Énfasis5" xfId="24115" builtinId="46" customBuiltin="1"/>
    <cellStyle name="20% - Énfasis6" xfId="24119" builtinId="50" customBuiltin="1"/>
    <cellStyle name="40% - Énfasis1" xfId="24100" builtinId="31" customBuiltin="1"/>
    <cellStyle name="40% - Énfasis2" xfId="24104" builtinId="35" customBuiltin="1"/>
    <cellStyle name="40% - Énfasis3" xfId="24108" builtinId="39" customBuiltin="1"/>
    <cellStyle name="40% - Énfasis4" xfId="24112" builtinId="43" customBuiltin="1"/>
    <cellStyle name="40% - Énfasis5" xfId="24116" builtinId="47" customBuiltin="1"/>
    <cellStyle name="40% - Énfasis6" xfId="24120" builtinId="51" customBuiltin="1"/>
    <cellStyle name="60% - Accent1 2" xfId="22" xr:uid="{00000000-0005-0000-0000-000000000000}"/>
    <cellStyle name="60% - Accent2 2" xfId="23" xr:uid="{00000000-0005-0000-0000-000001000000}"/>
    <cellStyle name="60% - Énfasis1" xfId="24101" builtinId="32" customBuiltin="1"/>
    <cellStyle name="60% - Énfasis2" xfId="24105" builtinId="36" customBuiltin="1"/>
    <cellStyle name="60% - Énfasis3" xfId="24109" builtinId="40" customBuiltin="1"/>
    <cellStyle name="60% - Énfasis4" xfId="24113" builtinId="44" customBuiltin="1"/>
    <cellStyle name="60% - Énfasis5" xfId="24117" builtinId="48" customBuiltin="1"/>
    <cellStyle name="60% - Énfasis6" xfId="24121" builtinId="52" customBuiltin="1"/>
    <cellStyle name="annee semestre" xfId="24" xr:uid="{00000000-0005-0000-0000-000002000000}"/>
    <cellStyle name="annee semestre 2" xfId="24126" xr:uid="{00000000-0005-0000-0000-000014000000}"/>
    <cellStyle name="bin" xfId="25" xr:uid="{00000000-0005-0000-0000-000003000000}"/>
    <cellStyle name="bin 2" xfId="26" xr:uid="{00000000-0005-0000-0000-000004000000}"/>
    <cellStyle name="bin 3" xfId="27" xr:uid="{00000000-0005-0000-0000-000005000000}"/>
    <cellStyle name="blue" xfId="28" xr:uid="{00000000-0005-0000-0000-000006000000}"/>
    <cellStyle name="Bueno" xfId="24086" builtinId="26" customBuiltin="1"/>
    <cellStyle name="Ç¥ÁØ_ENRL2" xfId="29" xr:uid="{00000000-0005-0000-0000-000007000000}"/>
    <cellStyle name="caché" xfId="30" xr:uid="{00000000-0005-0000-0000-000008000000}"/>
    <cellStyle name="Cálculo" xfId="24091" builtinId="22" customBuiltin="1"/>
    <cellStyle name="Celda de comprobación" xfId="24093" builtinId="23" customBuiltin="1"/>
    <cellStyle name="Celda vinculada" xfId="24092" builtinId="24" customBuiltin="1"/>
    <cellStyle name="cell" xfId="31" xr:uid="{00000000-0005-0000-0000-000009000000}"/>
    <cellStyle name="cell 10" xfId="32" xr:uid="{00000000-0005-0000-0000-00000A000000}"/>
    <cellStyle name="cell 11" xfId="33" xr:uid="{00000000-0005-0000-0000-00000B000000}"/>
    <cellStyle name="cell 12" xfId="34" xr:uid="{00000000-0005-0000-0000-00000C000000}"/>
    <cellStyle name="cell 2" xfId="35" xr:uid="{00000000-0005-0000-0000-00000D000000}"/>
    <cellStyle name="cell 2 2" xfId="36" xr:uid="{00000000-0005-0000-0000-00000E000000}"/>
    <cellStyle name="cell 2 3" xfId="37" xr:uid="{00000000-0005-0000-0000-00000F000000}"/>
    <cellStyle name="cell 3" xfId="38" xr:uid="{00000000-0005-0000-0000-000010000000}"/>
    <cellStyle name="cell 3 10" xfId="39" xr:uid="{00000000-0005-0000-0000-000011000000}"/>
    <cellStyle name="cell 3 2" xfId="40" xr:uid="{00000000-0005-0000-0000-000012000000}"/>
    <cellStyle name="cell 3 2 2" xfId="41" xr:uid="{00000000-0005-0000-0000-000013000000}"/>
    <cellStyle name="cell 3 2 2 2" xfId="42" xr:uid="{00000000-0005-0000-0000-000014000000}"/>
    <cellStyle name="cell 3 2 2 2 10" xfId="43" xr:uid="{00000000-0005-0000-0000-000015000000}"/>
    <cellStyle name="cell 3 2 2 2 2" xfId="44" xr:uid="{00000000-0005-0000-0000-000016000000}"/>
    <cellStyle name="cell 3 2 2 2 2 2" xfId="45" xr:uid="{00000000-0005-0000-0000-000017000000}"/>
    <cellStyle name="cell 3 2 2 2 2 2 2" xfId="46" xr:uid="{00000000-0005-0000-0000-000018000000}"/>
    <cellStyle name="cell 3 2 2 2 2 3" xfId="47" xr:uid="{00000000-0005-0000-0000-000019000000}"/>
    <cellStyle name="cell 3 2 2 2 2 3 2" xfId="48" xr:uid="{00000000-0005-0000-0000-00001A000000}"/>
    <cellStyle name="cell 3 2 2 2 2 4" xfId="49" xr:uid="{00000000-0005-0000-0000-00001B000000}"/>
    <cellStyle name="cell 3 2 2 2 2 5" xfId="50" xr:uid="{00000000-0005-0000-0000-00001C000000}"/>
    <cellStyle name="cell 3 2 2 2 2 6" xfId="51" xr:uid="{00000000-0005-0000-0000-00001D000000}"/>
    <cellStyle name="cell 3 2 2 2 3" xfId="52" xr:uid="{00000000-0005-0000-0000-00001E000000}"/>
    <cellStyle name="cell 3 2 2 2 3 2" xfId="53" xr:uid="{00000000-0005-0000-0000-00001F000000}"/>
    <cellStyle name="cell 3 2 2 2 3 2 2" xfId="54" xr:uid="{00000000-0005-0000-0000-000020000000}"/>
    <cellStyle name="cell 3 2 2 2 3 3" xfId="55" xr:uid="{00000000-0005-0000-0000-000021000000}"/>
    <cellStyle name="cell 3 2 2 2 3 3 2" xfId="56" xr:uid="{00000000-0005-0000-0000-000022000000}"/>
    <cellStyle name="cell 3 2 2 2 3 4" xfId="57" xr:uid="{00000000-0005-0000-0000-000023000000}"/>
    <cellStyle name="cell 3 2 2 2 3 5" xfId="58" xr:uid="{00000000-0005-0000-0000-000024000000}"/>
    <cellStyle name="cell 3 2 2 2 3 6" xfId="59" xr:uid="{00000000-0005-0000-0000-000025000000}"/>
    <cellStyle name="cell 3 2 2 2 4" xfId="60" xr:uid="{00000000-0005-0000-0000-000026000000}"/>
    <cellStyle name="cell 3 2 2 2 4 2" xfId="61" xr:uid="{00000000-0005-0000-0000-000027000000}"/>
    <cellStyle name="cell 3 2 2 2 4 2 2" xfId="62" xr:uid="{00000000-0005-0000-0000-000028000000}"/>
    <cellStyle name="cell 3 2 2 2 4 3" xfId="63" xr:uid="{00000000-0005-0000-0000-000029000000}"/>
    <cellStyle name="cell 3 2 2 2 4 3 2" xfId="64" xr:uid="{00000000-0005-0000-0000-00002A000000}"/>
    <cellStyle name="cell 3 2 2 2 4 4" xfId="65" xr:uid="{00000000-0005-0000-0000-00002B000000}"/>
    <cellStyle name="cell 3 2 2 2 4 5" xfId="66" xr:uid="{00000000-0005-0000-0000-00002C000000}"/>
    <cellStyle name="cell 3 2 2 2 4 6" xfId="67" xr:uid="{00000000-0005-0000-0000-00002D000000}"/>
    <cellStyle name="cell 3 2 2 2 5" xfId="68" xr:uid="{00000000-0005-0000-0000-00002E000000}"/>
    <cellStyle name="cell 3 2 2 2 5 2" xfId="69" xr:uid="{00000000-0005-0000-0000-00002F000000}"/>
    <cellStyle name="cell 3 2 2 2 5 2 2" xfId="70" xr:uid="{00000000-0005-0000-0000-000030000000}"/>
    <cellStyle name="cell 3 2 2 2 5 3" xfId="71" xr:uid="{00000000-0005-0000-0000-000031000000}"/>
    <cellStyle name="cell 3 2 2 2 5 3 2" xfId="72" xr:uid="{00000000-0005-0000-0000-000032000000}"/>
    <cellStyle name="cell 3 2 2 2 5 4" xfId="73" xr:uid="{00000000-0005-0000-0000-000033000000}"/>
    <cellStyle name="cell 3 2 2 2 5 5" xfId="74" xr:uid="{00000000-0005-0000-0000-000034000000}"/>
    <cellStyle name="cell 3 2 2 2 5 6" xfId="75" xr:uid="{00000000-0005-0000-0000-000035000000}"/>
    <cellStyle name="cell 3 2 2 2 6" xfId="76" xr:uid="{00000000-0005-0000-0000-000036000000}"/>
    <cellStyle name="cell 3 2 2 2 6 2" xfId="77" xr:uid="{00000000-0005-0000-0000-000037000000}"/>
    <cellStyle name="cell 3 2 2 2 6 2 2" xfId="78" xr:uid="{00000000-0005-0000-0000-000038000000}"/>
    <cellStyle name="cell 3 2 2 2 6 3" xfId="79" xr:uid="{00000000-0005-0000-0000-000039000000}"/>
    <cellStyle name="cell 3 2 2 2 6 3 2" xfId="80" xr:uid="{00000000-0005-0000-0000-00003A000000}"/>
    <cellStyle name="cell 3 2 2 2 6 4" xfId="81" xr:uid="{00000000-0005-0000-0000-00003B000000}"/>
    <cellStyle name="cell 3 2 2 2 6 5" xfId="82" xr:uid="{00000000-0005-0000-0000-00003C000000}"/>
    <cellStyle name="cell 3 2 2 2 6 6" xfId="83" xr:uid="{00000000-0005-0000-0000-00003D000000}"/>
    <cellStyle name="cell 3 2 2 2 7" xfId="84" xr:uid="{00000000-0005-0000-0000-00003E000000}"/>
    <cellStyle name="cell 3 2 2 2 8" xfId="85" xr:uid="{00000000-0005-0000-0000-00003F000000}"/>
    <cellStyle name="cell 3 2 2 2 9" xfId="86" xr:uid="{00000000-0005-0000-0000-000040000000}"/>
    <cellStyle name="cell 3 2 2 3" xfId="87" xr:uid="{00000000-0005-0000-0000-000041000000}"/>
    <cellStyle name="cell 3 2 2 4" xfId="88" xr:uid="{00000000-0005-0000-0000-000042000000}"/>
    <cellStyle name="cell 3 2 2 5" xfId="89" xr:uid="{00000000-0005-0000-0000-000043000000}"/>
    <cellStyle name="cell 3 2 2 6" xfId="90" xr:uid="{00000000-0005-0000-0000-000044000000}"/>
    <cellStyle name="cell 3 2 2_STUD aligned by INSTIT" xfId="91" xr:uid="{00000000-0005-0000-0000-000045000000}"/>
    <cellStyle name="cell 3 2 3" xfId="92" xr:uid="{00000000-0005-0000-0000-000046000000}"/>
    <cellStyle name="cell 3 2 3 2" xfId="93" xr:uid="{00000000-0005-0000-0000-000047000000}"/>
    <cellStyle name="cell 3 2 3 3" xfId="94" xr:uid="{00000000-0005-0000-0000-000048000000}"/>
    <cellStyle name="cell 3 2 3 4" xfId="95" xr:uid="{00000000-0005-0000-0000-000049000000}"/>
    <cellStyle name="cell 3 2 4" xfId="96" xr:uid="{00000000-0005-0000-0000-00004A000000}"/>
    <cellStyle name="cell 3 2 5" xfId="97" xr:uid="{00000000-0005-0000-0000-00004B000000}"/>
    <cellStyle name="cell 3 2 6" xfId="98" xr:uid="{00000000-0005-0000-0000-00004C000000}"/>
    <cellStyle name="cell 3 2 7" xfId="99" xr:uid="{00000000-0005-0000-0000-00004D000000}"/>
    <cellStyle name="cell 3 2 8" xfId="100" xr:uid="{00000000-0005-0000-0000-00004E000000}"/>
    <cellStyle name="cell 3 2_STUD aligned by INSTIT" xfId="101" xr:uid="{00000000-0005-0000-0000-00004F000000}"/>
    <cellStyle name="cell 3 3" xfId="102" xr:uid="{00000000-0005-0000-0000-000050000000}"/>
    <cellStyle name="cell 3 3 2" xfId="103" xr:uid="{00000000-0005-0000-0000-000051000000}"/>
    <cellStyle name="cell 3 3 2 2" xfId="104" xr:uid="{00000000-0005-0000-0000-000052000000}"/>
    <cellStyle name="cell 3 3 2 2 2" xfId="105" xr:uid="{00000000-0005-0000-0000-000053000000}"/>
    <cellStyle name="cell 3 3 2 2 3" xfId="106" xr:uid="{00000000-0005-0000-0000-000054000000}"/>
    <cellStyle name="cell 3 3 2 2 4" xfId="107" xr:uid="{00000000-0005-0000-0000-000055000000}"/>
    <cellStyle name="cell 3 3 2 2 5" xfId="108" xr:uid="{00000000-0005-0000-0000-000056000000}"/>
    <cellStyle name="cell 3 3 2 3" xfId="109" xr:uid="{00000000-0005-0000-0000-000057000000}"/>
    <cellStyle name="cell 3 3 2 4" xfId="110" xr:uid="{00000000-0005-0000-0000-000058000000}"/>
    <cellStyle name="cell 3 3 2 5" xfId="111" xr:uid="{00000000-0005-0000-0000-000059000000}"/>
    <cellStyle name="cell 3 3 2 6" xfId="112" xr:uid="{00000000-0005-0000-0000-00005A000000}"/>
    <cellStyle name="cell 3 3 2_STUD aligned by INSTIT" xfId="113" xr:uid="{00000000-0005-0000-0000-00005B000000}"/>
    <cellStyle name="cell 3 3 3" xfId="114" xr:uid="{00000000-0005-0000-0000-00005C000000}"/>
    <cellStyle name="cell 3 3 3 2" xfId="115" xr:uid="{00000000-0005-0000-0000-00005D000000}"/>
    <cellStyle name="cell 3 3 3 3" xfId="116" xr:uid="{00000000-0005-0000-0000-00005E000000}"/>
    <cellStyle name="cell 3 3 3 4" xfId="117" xr:uid="{00000000-0005-0000-0000-00005F000000}"/>
    <cellStyle name="cell 3 3 3 5" xfId="118" xr:uid="{00000000-0005-0000-0000-000060000000}"/>
    <cellStyle name="cell 3 3 4" xfId="119" xr:uid="{00000000-0005-0000-0000-000061000000}"/>
    <cellStyle name="cell 3 3 5" xfId="120" xr:uid="{00000000-0005-0000-0000-000062000000}"/>
    <cellStyle name="cell 3 3 6" xfId="121" xr:uid="{00000000-0005-0000-0000-000063000000}"/>
    <cellStyle name="cell 3 3 7" xfId="122" xr:uid="{00000000-0005-0000-0000-000064000000}"/>
    <cellStyle name="cell 3 3 8" xfId="123" xr:uid="{00000000-0005-0000-0000-000065000000}"/>
    <cellStyle name="cell 3 3_STUD aligned by INSTIT" xfId="124" xr:uid="{00000000-0005-0000-0000-000066000000}"/>
    <cellStyle name="cell 3 4" xfId="125" xr:uid="{00000000-0005-0000-0000-000067000000}"/>
    <cellStyle name="cell 3 4 2" xfId="126" xr:uid="{00000000-0005-0000-0000-000068000000}"/>
    <cellStyle name="cell 3 4 2 2" xfId="127" xr:uid="{00000000-0005-0000-0000-000069000000}"/>
    <cellStyle name="cell 3 4 2 3" xfId="128" xr:uid="{00000000-0005-0000-0000-00006A000000}"/>
    <cellStyle name="cell 3 4 2 4" xfId="129" xr:uid="{00000000-0005-0000-0000-00006B000000}"/>
    <cellStyle name="cell 3 4 2 5" xfId="130" xr:uid="{00000000-0005-0000-0000-00006C000000}"/>
    <cellStyle name="cell 3 4 3" xfId="131" xr:uid="{00000000-0005-0000-0000-00006D000000}"/>
    <cellStyle name="cell 3 4 4" xfId="132" xr:uid="{00000000-0005-0000-0000-00006E000000}"/>
    <cellStyle name="cell 3 4 5" xfId="133" xr:uid="{00000000-0005-0000-0000-00006F000000}"/>
    <cellStyle name="cell 3 4 6" xfId="134" xr:uid="{00000000-0005-0000-0000-000070000000}"/>
    <cellStyle name="cell 3 4_STUD aligned by INSTIT" xfId="135" xr:uid="{00000000-0005-0000-0000-000071000000}"/>
    <cellStyle name="cell 3 5" xfId="136" xr:uid="{00000000-0005-0000-0000-000072000000}"/>
    <cellStyle name="cell 3 5 2" xfId="137" xr:uid="{00000000-0005-0000-0000-000073000000}"/>
    <cellStyle name="cell 3 5 3" xfId="138" xr:uid="{00000000-0005-0000-0000-000074000000}"/>
    <cellStyle name="cell 3 5 4" xfId="139" xr:uid="{00000000-0005-0000-0000-000075000000}"/>
    <cellStyle name="cell 3 6" xfId="140" xr:uid="{00000000-0005-0000-0000-000076000000}"/>
    <cellStyle name="cell 3 7" xfId="141" xr:uid="{00000000-0005-0000-0000-000077000000}"/>
    <cellStyle name="cell 3 8" xfId="142" xr:uid="{00000000-0005-0000-0000-000078000000}"/>
    <cellStyle name="cell 3 9" xfId="143" xr:uid="{00000000-0005-0000-0000-000079000000}"/>
    <cellStyle name="cell 3_STUD aligned by INSTIT" xfId="144" xr:uid="{00000000-0005-0000-0000-00007A000000}"/>
    <cellStyle name="cell 4" xfId="145" xr:uid="{00000000-0005-0000-0000-00007B000000}"/>
    <cellStyle name="cell 4 2" xfId="146" xr:uid="{00000000-0005-0000-0000-00007C000000}"/>
    <cellStyle name="cell 4 2 2" xfId="147" xr:uid="{00000000-0005-0000-0000-00007D000000}"/>
    <cellStyle name="cell 4 2 2 2" xfId="148" xr:uid="{00000000-0005-0000-0000-00007E000000}"/>
    <cellStyle name="cell 4 2 2 3" xfId="149" xr:uid="{00000000-0005-0000-0000-00007F000000}"/>
    <cellStyle name="cell 4 2 2 4" xfId="150" xr:uid="{00000000-0005-0000-0000-000080000000}"/>
    <cellStyle name="cell 4 2 2 5" xfId="151" xr:uid="{00000000-0005-0000-0000-000081000000}"/>
    <cellStyle name="cell 4 2 3" xfId="152" xr:uid="{00000000-0005-0000-0000-000082000000}"/>
    <cellStyle name="cell 4 2 4" xfId="153" xr:uid="{00000000-0005-0000-0000-000083000000}"/>
    <cellStyle name="cell 4 2 5" xfId="154" xr:uid="{00000000-0005-0000-0000-000084000000}"/>
    <cellStyle name="cell 4 2 6" xfId="155" xr:uid="{00000000-0005-0000-0000-000085000000}"/>
    <cellStyle name="cell 4 2_STUD aligned by INSTIT" xfId="156" xr:uid="{00000000-0005-0000-0000-000086000000}"/>
    <cellStyle name="cell 4 3" xfId="157" xr:uid="{00000000-0005-0000-0000-000087000000}"/>
    <cellStyle name="cell 4 3 2" xfId="158" xr:uid="{00000000-0005-0000-0000-000088000000}"/>
    <cellStyle name="cell 4 3 3" xfId="159" xr:uid="{00000000-0005-0000-0000-000089000000}"/>
    <cellStyle name="cell 4 3 4" xfId="160" xr:uid="{00000000-0005-0000-0000-00008A000000}"/>
    <cellStyle name="cell 4 3 5" xfId="161" xr:uid="{00000000-0005-0000-0000-00008B000000}"/>
    <cellStyle name="cell 4 4" xfId="162" xr:uid="{00000000-0005-0000-0000-00008C000000}"/>
    <cellStyle name="cell 4 5" xfId="163" xr:uid="{00000000-0005-0000-0000-00008D000000}"/>
    <cellStyle name="cell 4 6" xfId="164" xr:uid="{00000000-0005-0000-0000-00008E000000}"/>
    <cellStyle name="cell 4 7" xfId="165" xr:uid="{00000000-0005-0000-0000-00008F000000}"/>
    <cellStyle name="cell 4_STUD aligned by INSTIT" xfId="166" xr:uid="{00000000-0005-0000-0000-000090000000}"/>
    <cellStyle name="cell 5" xfId="167" xr:uid="{00000000-0005-0000-0000-000091000000}"/>
    <cellStyle name="cell 5 2" xfId="168" xr:uid="{00000000-0005-0000-0000-000092000000}"/>
    <cellStyle name="cell 5 2 10" xfId="169" xr:uid="{00000000-0005-0000-0000-000093000000}"/>
    <cellStyle name="cell 5 2 2" xfId="170" xr:uid="{00000000-0005-0000-0000-000094000000}"/>
    <cellStyle name="cell 5 2 2 2" xfId="171" xr:uid="{00000000-0005-0000-0000-000095000000}"/>
    <cellStyle name="cell 5 2 2 2 2" xfId="172" xr:uid="{00000000-0005-0000-0000-000096000000}"/>
    <cellStyle name="cell 5 2 2 3" xfId="173" xr:uid="{00000000-0005-0000-0000-000097000000}"/>
    <cellStyle name="cell 5 2 2 3 2" xfId="174" xr:uid="{00000000-0005-0000-0000-000098000000}"/>
    <cellStyle name="cell 5 2 2 4" xfId="175" xr:uid="{00000000-0005-0000-0000-000099000000}"/>
    <cellStyle name="cell 5 2 2 5" xfId="176" xr:uid="{00000000-0005-0000-0000-00009A000000}"/>
    <cellStyle name="cell 5 2 2 6" xfId="177" xr:uid="{00000000-0005-0000-0000-00009B000000}"/>
    <cellStyle name="cell 5 2 3" xfId="178" xr:uid="{00000000-0005-0000-0000-00009C000000}"/>
    <cellStyle name="cell 5 2 3 2" xfId="179" xr:uid="{00000000-0005-0000-0000-00009D000000}"/>
    <cellStyle name="cell 5 2 3 2 2" xfId="180" xr:uid="{00000000-0005-0000-0000-00009E000000}"/>
    <cellStyle name="cell 5 2 3 3" xfId="181" xr:uid="{00000000-0005-0000-0000-00009F000000}"/>
    <cellStyle name="cell 5 2 3 3 2" xfId="182" xr:uid="{00000000-0005-0000-0000-0000A0000000}"/>
    <cellStyle name="cell 5 2 3 4" xfId="183" xr:uid="{00000000-0005-0000-0000-0000A1000000}"/>
    <cellStyle name="cell 5 2 3 5" xfId="184" xr:uid="{00000000-0005-0000-0000-0000A2000000}"/>
    <cellStyle name="cell 5 2 3 6" xfId="185" xr:uid="{00000000-0005-0000-0000-0000A3000000}"/>
    <cellStyle name="cell 5 2 4" xfId="186" xr:uid="{00000000-0005-0000-0000-0000A4000000}"/>
    <cellStyle name="cell 5 2 4 2" xfId="187" xr:uid="{00000000-0005-0000-0000-0000A5000000}"/>
    <cellStyle name="cell 5 2 4 2 2" xfId="188" xr:uid="{00000000-0005-0000-0000-0000A6000000}"/>
    <cellStyle name="cell 5 2 4 3" xfId="189" xr:uid="{00000000-0005-0000-0000-0000A7000000}"/>
    <cellStyle name="cell 5 2 4 3 2" xfId="190" xr:uid="{00000000-0005-0000-0000-0000A8000000}"/>
    <cellStyle name="cell 5 2 4 4" xfId="191" xr:uid="{00000000-0005-0000-0000-0000A9000000}"/>
    <cellStyle name="cell 5 2 4 5" xfId="192" xr:uid="{00000000-0005-0000-0000-0000AA000000}"/>
    <cellStyle name="cell 5 2 4 6" xfId="193" xr:uid="{00000000-0005-0000-0000-0000AB000000}"/>
    <cellStyle name="cell 5 2 5" xfId="194" xr:uid="{00000000-0005-0000-0000-0000AC000000}"/>
    <cellStyle name="cell 5 2 5 2" xfId="195" xr:uid="{00000000-0005-0000-0000-0000AD000000}"/>
    <cellStyle name="cell 5 2 5 2 2" xfId="196" xr:uid="{00000000-0005-0000-0000-0000AE000000}"/>
    <cellStyle name="cell 5 2 5 3" xfId="197" xr:uid="{00000000-0005-0000-0000-0000AF000000}"/>
    <cellStyle name="cell 5 2 5 3 2" xfId="198" xr:uid="{00000000-0005-0000-0000-0000B0000000}"/>
    <cellStyle name="cell 5 2 5 4" xfId="199" xr:uid="{00000000-0005-0000-0000-0000B1000000}"/>
    <cellStyle name="cell 5 2 5 5" xfId="200" xr:uid="{00000000-0005-0000-0000-0000B2000000}"/>
    <cellStyle name="cell 5 2 5 6" xfId="201" xr:uid="{00000000-0005-0000-0000-0000B3000000}"/>
    <cellStyle name="cell 5 2 6" xfId="202" xr:uid="{00000000-0005-0000-0000-0000B4000000}"/>
    <cellStyle name="cell 5 2 6 2" xfId="203" xr:uid="{00000000-0005-0000-0000-0000B5000000}"/>
    <cellStyle name="cell 5 2 6 2 2" xfId="204" xr:uid="{00000000-0005-0000-0000-0000B6000000}"/>
    <cellStyle name="cell 5 2 6 3" xfId="205" xr:uid="{00000000-0005-0000-0000-0000B7000000}"/>
    <cellStyle name="cell 5 2 6 3 2" xfId="206" xr:uid="{00000000-0005-0000-0000-0000B8000000}"/>
    <cellStyle name="cell 5 2 6 4" xfId="207" xr:uid="{00000000-0005-0000-0000-0000B9000000}"/>
    <cellStyle name="cell 5 2 6 5" xfId="208" xr:uid="{00000000-0005-0000-0000-0000BA000000}"/>
    <cellStyle name="cell 5 2 6 6" xfId="209" xr:uid="{00000000-0005-0000-0000-0000BB000000}"/>
    <cellStyle name="cell 5 2 7" xfId="210" xr:uid="{00000000-0005-0000-0000-0000BC000000}"/>
    <cellStyle name="cell 5 2 8" xfId="211" xr:uid="{00000000-0005-0000-0000-0000BD000000}"/>
    <cellStyle name="cell 5 2 9" xfId="212" xr:uid="{00000000-0005-0000-0000-0000BE000000}"/>
    <cellStyle name="cell 5 3" xfId="213" xr:uid="{00000000-0005-0000-0000-0000BF000000}"/>
    <cellStyle name="cell 5 4" xfId="214" xr:uid="{00000000-0005-0000-0000-0000C0000000}"/>
    <cellStyle name="cell 5 5" xfId="215" xr:uid="{00000000-0005-0000-0000-0000C1000000}"/>
    <cellStyle name="cell 5 6" xfId="216" xr:uid="{00000000-0005-0000-0000-0000C2000000}"/>
    <cellStyle name="cell 5_STUD aligned by INSTIT" xfId="217" xr:uid="{00000000-0005-0000-0000-0000C3000000}"/>
    <cellStyle name="cell 6" xfId="218" xr:uid="{00000000-0005-0000-0000-0000C4000000}"/>
    <cellStyle name="cell 6 10" xfId="219" xr:uid="{00000000-0005-0000-0000-0000C5000000}"/>
    <cellStyle name="cell 6 2" xfId="220" xr:uid="{00000000-0005-0000-0000-0000C6000000}"/>
    <cellStyle name="cell 6 2 2" xfId="221" xr:uid="{00000000-0005-0000-0000-0000C7000000}"/>
    <cellStyle name="cell 6 2 3" xfId="222" xr:uid="{00000000-0005-0000-0000-0000C8000000}"/>
    <cellStyle name="cell 6 2 4" xfId="223" xr:uid="{00000000-0005-0000-0000-0000C9000000}"/>
    <cellStyle name="cell 6 2 5" xfId="224" xr:uid="{00000000-0005-0000-0000-0000CA000000}"/>
    <cellStyle name="cell 6 3" xfId="225" xr:uid="{00000000-0005-0000-0000-0000CB000000}"/>
    <cellStyle name="cell 6 3 2" xfId="226" xr:uid="{00000000-0005-0000-0000-0000CC000000}"/>
    <cellStyle name="cell 6 3 2 2" xfId="227" xr:uid="{00000000-0005-0000-0000-0000CD000000}"/>
    <cellStyle name="cell 6 3 3" xfId="228" xr:uid="{00000000-0005-0000-0000-0000CE000000}"/>
    <cellStyle name="cell 6 3 3 2" xfId="229" xr:uid="{00000000-0005-0000-0000-0000CF000000}"/>
    <cellStyle name="cell 6 3 4" xfId="230" xr:uid="{00000000-0005-0000-0000-0000D0000000}"/>
    <cellStyle name="cell 6 3 5" xfId="231" xr:uid="{00000000-0005-0000-0000-0000D1000000}"/>
    <cellStyle name="cell 6 3 6" xfId="232" xr:uid="{00000000-0005-0000-0000-0000D2000000}"/>
    <cellStyle name="cell 6 4" xfId="233" xr:uid="{00000000-0005-0000-0000-0000D3000000}"/>
    <cellStyle name="cell 6 4 2" xfId="234" xr:uid="{00000000-0005-0000-0000-0000D4000000}"/>
    <cellStyle name="cell 6 4 2 2" xfId="235" xr:uid="{00000000-0005-0000-0000-0000D5000000}"/>
    <cellStyle name="cell 6 4 3" xfId="236" xr:uid="{00000000-0005-0000-0000-0000D6000000}"/>
    <cellStyle name="cell 6 4 3 2" xfId="237" xr:uid="{00000000-0005-0000-0000-0000D7000000}"/>
    <cellStyle name="cell 6 4 4" xfId="238" xr:uid="{00000000-0005-0000-0000-0000D8000000}"/>
    <cellStyle name="cell 6 4 5" xfId="239" xr:uid="{00000000-0005-0000-0000-0000D9000000}"/>
    <cellStyle name="cell 6 4 6" xfId="240" xr:uid="{00000000-0005-0000-0000-0000DA000000}"/>
    <cellStyle name="cell 6 5" xfId="241" xr:uid="{00000000-0005-0000-0000-0000DB000000}"/>
    <cellStyle name="cell 6 5 2" xfId="242" xr:uid="{00000000-0005-0000-0000-0000DC000000}"/>
    <cellStyle name="cell 6 5 2 2" xfId="243" xr:uid="{00000000-0005-0000-0000-0000DD000000}"/>
    <cellStyle name="cell 6 5 3" xfId="244" xr:uid="{00000000-0005-0000-0000-0000DE000000}"/>
    <cellStyle name="cell 6 5 3 2" xfId="245" xr:uid="{00000000-0005-0000-0000-0000DF000000}"/>
    <cellStyle name="cell 6 5 4" xfId="246" xr:uid="{00000000-0005-0000-0000-0000E0000000}"/>
    <cellStyle name="cell 6 5 5" xfId="247" xr:uid="{00000000-0005-0000-0000-0000E1000000}"/>
    <cellStyle name="cell 6 5 6" xfId="248" xr:uid="{00000000-0005-0000-0000-0000E2000000}"/>
    <cellStyle name="cell 6 6" xfId="249" xr:uid="{00000000-0005-0000-0000-0000E3000000}"/>
    <cellStyle name="cell 6 6 2" xfId="250" xr:uid="{00000000-0005-0000-0000-0000E4000000}"/>
    <cellStyle name="cell 6 6 2 2" xfId="251" xr:uid="{00000000-0005-0000-0000-0000E5000000}"/>
    <cellStyle name="cell 6 6 3" xfId="252" xr:uid="{00000000-0005-0000-0000-0000E6000000}"/>
    <cellStyle name="cell 6 6 3 2" xfId="253" xr:uid="{00000000-0005-0000-0000-0000E7000000}"/>
    <cellStyle name="cell 6 6 4" xfId="254" xr:uid="{00000000-0005-0000-0000-0000E8000000}"/>
    <cellStyle name="cell 6 6 5" xfId="255" xr:uid="{00000000-0005-0000-0000-0000E9000000}"/>
    <cellStyle name="cell 6 6 6" xfId="256" xr:uid="{00000000-0005-0000-0000-0000EA000000}"/>
    <cellStyle name="cell 6 7" xfId="257" xr:uid="{00000000-0005-0000-0000-0000EB000000}"/>
    <cellStyle name="cell 6 8" xfId="258" xr:uid="{00000000-0005-0000-0000-0000EC000000}"/>
    <cellStyle name="cell 6 9" xfId="259" xr:uid="{00000000-0005-0000-0000-0000ED000000}"/>
    <cellStyle name="cell 7" xfId="260" xr:uid="{00000000-0005-0000-0000-0000EE000000}"/>
    <cellStyle name="cell 7 10" xfId="261" xr:uid="{00000000-0005-0000-0000-0000EF000000}"/>
    <cellStyle name="cell 7 11" xfId="262" xr:uid="{00000000-0005-0000-0000-0000F0000000}"/>
    <cellStyle name="cell 7 2" xfId="263" xr:uid="{00000000-0005-0000-0000-0000F1000000}"/>
    <cellStyle name="cell 7 2 10" xfId="264" xr:uid="{00000000-0005-0000-0000-0000F2000000}"/>
    <cellStyle name="cell 7 2 11" xfId="265" xr:uid="{00000000-0005-0000-0000-0000F3000000}"/>
    <cellStyle name="cell 7 2 2" xfId="266" xr:uid="{00000000-0005-0000-0000-0000F4000000}"/>
    <cellStyle name="cell 7 2 2 2" xfId="267" xr:uid="{00000000-0005-0000-0000-0000F5000000}"/>
    <cellStyle name="cell 7 2 2 2 2" xfId="268" xr:uid="{00000000-0005-0000-0000-0000F6000000}"/>
    <cellStyle name="cell 7 2 2 3" xfId="269" xr:uid="{00000000-0005-0000-0000-0000F7000000}"/>
    <cellStyle name="cell 7 2 2 3 2" xfId="270" xr:uid="{00000000-0005-0000-0000-0000F8000000}"/>
    <cellStyle name="cell 7 2 2 4" xfId="271" xr:uid="{00000000-0005-0000-0000-0000F9000000}"/>
    <cellStyle name="cell 7 2 2 5" xfId="272" xr:uid="{00000000-0005-0000-0000-0000FA000000}"/>
    <cellStyle name="cell 7 2 2 6" xfId="273" xr:uid="{00000000-0005-0000-0000-0000FB000000}"/>
    <cellStyle name="cell 7 2 3" xfId="274" xr:uid="{00000000-0005-0000-0000-0000FC000000}"/>
    <cellStyle name="cell 7 2 3 2" xfId="275" xr:uid="{00000000-0005-0000-0000-0000FD000000}"/>
    <cellStyle name="cell 7 2 3 2 2" xfId="276" xr:uid="{00000000-0005-0000-0000-0000FE000000}"/>
    <cellStyle name="cell 7 2 3 3" xfId="277" xr:uid="{00000000-0005-0000-0000-0000FF000000}"/>
    <cellStyle name="cell 7 2 3 3 2" xfId="278" xr:uid="{00000000-0005-0000-0000-000000010000}"/>
    <cellStyle name="cell 7 2 3 4" xfId="279" xr:uid="{00000000-0005-0000-0000-000001010000}"/>
    <cellStyle name="cell 7 2 3 5" xfId="280" xr:uid="{00000000-0005-0000-0000-000002010000}"/>
    <cellStyle name="cell 7 2 3 6" xfId="281" xr:uid="{00000000-0005-0000-0000-000003010000}"/>
    <cellStyle name="cell 7 2 4" xfId="282" xr:uid="{00000000-0005-0000-0000-000004010000}"/>
    <cellStyle name="cell 7 2 4 2" xfId="283" xr:uid="{00000000-0005-0000-0000-000005010000}"/>
    <cellStyle name="cell 7 2 4 2 2" xfId="284" xr:uid="{00000000-0005-0000-0000-000006010000}"/>
    <cellStyle name="cell 7 2 4 3" xfId="285" xr:uid="{00000000-0005-0000-0000-000007010000}"/>
    <cellStyle name="cell 7 2 4 3 2" xfId="286" xr:uid="{00000000-0005-0000-0000-000008010000}"/>
    <cellStyle name="cell 7 2 4 4" xfId="287" xr:uid="{00000000-0005-0000-0000-000009010000}"/>
    <cellStyle name="cell 7 2 4 5" xfId="288" xr:uid="{00000000-0005-0000-0000-00000A010000}"/>
    <cellStyle name="cell 7 2 4 6" xfId="289" xr:uid="{00000000-0005-0000-0000-00000B010000}"/>
    <cellStyle name="cell 7 2 5" xfId="290" xr:uid="{00000000-0005-0000-0000-00000C010000}"/>
    <cellStyle name="cell 7 2 5 2" xfId="291" xr:uid="{00000000-0005-0000-0000-00000D010000}"/>
    <cellStyle name="cell 7 2 5 2 2" xfId="292" xr:uid="{00000000-0005-0000-0000-00000E010000}"/>
    <cellStyle name="cell 7 2 5 3" xfId="293" xr:uid="{00000000-0005-0000-0000-00000F010000}"/>
    <cellStyle name="cell 7 2 5 3 2" xfId="294" xr:uid="{00000000-0005-0000-0000-000010010000}"/>
    <cellStyle name="cell 7 2 5 4" xfId="295" xr:uid="{00000000-0005-0000-0000-000011010000}"/>
    <cellStyle name="cell 7 2 5 5" xfId="296" xr:uid="{00000000-0005-0000-0000-000012010000}"/>
    <cellStyle name="cell 7 2 5 6" xfId="297" xr:uid="{00000000-0005-0000-0000-000013010000}"/>
    <cellStyle name="cell 7 2 6" xfId="298" xr:uid="{00000000-0005-0000-0000-000014010000}"/>
    <cellStyle name="cell 7 2 6 2" xfId="299" xr:uid="{00000000-0005-0000-0000-000015010000}"/>
    <cellStyle name="cell 7 2 6 2 2" xfId="300" xr:uid="{00000000-0005-0000-0000-000016010000}"/>
    <cellStyle name="cell 7 2 6 3" xfId="301" xr:uid="{00000000-0005-0000-0000-000017010000}"/>
    <cellStyle name="cell 7 2 6 3 2" xfId="302" xr:uid="{00000000-0005-0000-0000-000018010000}"/>
    <cellStyle name="cell 7 2 6 4" xfId="303" xr:uid="{00000000-0005-0000-0000-000019010000}"/>
    <cellStyle name="cell 7 2 6 5" xfId="304" xr:uid="{00000000-0005-0000-0000-00001A010000}"/>
    <cellStyle name="cell 7 2 6 6" xfId="305" xr:uid="{00000000-0005-0000-0000-00001B010000}"/>
    <cellStyle name="cell 7 2 7" xfId="306" xr:uid="{00000000-0005-0000-0000-00001C010000}"/>
    <cellStyle name="cell 7 2 7 2" xfId="307" xr:uid="{00000000-0005-0000-0000-00001D010000}"/>
    <cellStyle name="cell 7 2 8" xfId="308" xr:uid="{00000000-0005-0000-0000-00001E010000}"/>
    <cellStyle name="cell 7 2 8 2" xfId="309" xr:uid="{00000000-0005-0000-0000-00001F010000}"/>
    <cellStyle name="cell 7 2 9" xfId="310" xr:uid="{00000000-0005-0000-0000-000020010000}"/>
    <cellStyle name="cell 7 3" xfId="311" xr:uid="{00000000-0005-0000-0000-000021010000}"/>
    <cellStyle name="cell 7 3 10" xfId="312" xr:uid="{00000000-0005-0000-0000-000022010000}"/>
    <cellStyle name="cell 7 3 2" xfId="313" xr:uid="{00000000-0005-0000-0000-000023010000}"/>
    <cellStyle name="cell 7 3 2 2" xfId="314" xr:uid="{00000000-0005-0000-0000-000024010000}"/>
    <cellStyle name="cell 7 3 2 2 2" xfId="315" xr:uid="{00000000-0005-0000-0000-000025010000}"/>
    <cellStyle name="cell 7 3 2 3" xfId="316" xr:uid="{00000000-0005-0000-0000-000026010000}"/>
    <cellStyle name="cell 7 3 2 3 2" xfId="317" xr:uid="{00000000-0005-0000-0000-000027010000}"/>
    <cellStyle name="cell 7 3 2 4" xfId="318" xr:uid="{00000000-0005-0000-0000-000028010000}"/>
    <cellStyle name="cell 7 3 2 5" xfId="319" xr:uid="{00000000-0005-0000-0000-000029010000}"/>
    <cellStyle name="cell 7 3 2 6" xfId="320" xr:uid="{00000000-0005-0000-0000-00002A010000}"/>
    <cellStyle name="cell 7 3 3" xfId="321" xr:uid="{00000000-0005-0000-0000-00002B010000}"/>
    <cellStyle name="cell 7 3 3 2" xfId="322" xr:uid="{00000000-0005-0000-0000-00002C010000}"/>
    <cellStyle name="cell 7 3 3 2 2" xfId="323" xr:uid="{00000000-0005-0000-0000-00002D010000}"/>
    <cellStyle name="cell 7 3 3 3" xfId="324" xr:uid="{00000000-0005-0000-0000-00002E010000}"/>
    <cellStyle name="cell 7 3 3 3 2" xfId="325" xr:uid="{00000000-0005-0000-0000-00002F010000}"/>
    <cellStyle name="cell 7 3 3 4" xfId="326" xr:uid="{00000000-0005-0000-0000-000030010000}"/>
    <cellStyle name="cell 7 3 3 5" xfId="327" xr:uid="{00000000-0005-0000-0000-000031010000}"/>
    <cellStyle name="cell 7 3 3 6" xfId="328" xr:uid="{00000000-0005-0000-0000-000032010000}"/>
    <cellStyle name="cell 7 3 4" xfId="329" xr:uid="{00000000-0005-0000-0000-000033010000}"/>
    <cellStyle name="cell 7 3 4 2" xfId="330" xr:uid="{00000000-0005-0000-0000-000034010000}"/>
    <cellStyle name="cell 7 3 4 2 2" xfId="331" xr:uid="{00000000-0005-0000-0000-000035010000}"/>
    <cellStyle name="cell 7 3 4 3" xfId="332" xr:uid="{00000000-0005-0000-0000-000036010000}"/>
    <cellStyle name="cell 7 3 4 3 2" xfId="333" xr:uid="{00000000-0005-0000-0000-000037010000}"/>
    <cellStyle name="cell 7 3 4 4" xfId="334" xr:uid="{00000000-0005-0000-0000-000038010000}"/>
    <cellStyle name="cell 7 3 4 5" xfId="335" xr:uid="{00000000-0005-0000-0000-000039010000}"/>
    <cellStyle name="cell 7 3 4 6" xfId="336" xr:uid="{00000000-0005-0000-0000-00003A010000}"/>
    <cellStyle name="cell 7 3 5" xfId="337" xr:uid="{00000000-0005-0000-0000-00003B010000}"/>
    <cellStyle name="cell 7 3 5 2" xfId="338" xr:uid="{00000000-0005-0000-0000-00003C010000}"/>
    <cellStyle name="cell 7 3 5 2 2" xfId="339" xr:uid="{00000000-0005-0000-0000-00003D010000}"/>
    <cellStyle name="cell 7 3 5 3" xfId="340" xr:uid="{00000000-0005-0000-0000-00003E010000}"/>
    <cellStyle name="cell 7 3 5 3 2" xfId="341" xr:uid="{00000000-0005-0000-0000-00003F010000}"/>
    <cellStyle name="cell 7 3 5 4" xfId="342" xr:uid="{00000000-0005-0000-0000-000040010000}"/>
    <cellStyle name="cell 7 3 5 5" xfId="343" xr:uid="{00000000-0005-0000-0000-000041010000}"/>
    <cellStyle name="cell 7 3 5 6" xfId="344" xr:uid="{00000000-0005-0000-0000-000042010000}"/>
    <cellStyle name="cell 7 3 6" xfId="345" xr:uid="{00000000-0005-0000-0000-000043010000}"/>
    <cellStyle name="cell 7 3 6 2" xfId="346" xr:uid="{00000000-0005-0000-0000-000044010000}"/>
    <cellStyle name="cell 7 3 6 2 2" xfId="347" xr:uid="{00000000-0005-0000-0000-000045010000}"/>
    <cellStyle name="cell 7 3 6 3" xfId="348" xr:uid="{00000000-0005-0000-0000-000046010000}"/>
    <cellStyle name="cell 7 3 6 3 2" xfId="349" xr:uid="{00000000-0005-0000-0000-000047010000}"/>
    <cellStyle name="cell 7 3 6 4" xfId="350" xr:uid="{00000000-0005-0000-0000-000048010000}"/>
    <cellStyle name="cell 7 3 6 5" xfId="351" xr:uid="{00000000-0005-0000-0000-000049010000}"/>
    <cellStyle name="cell 7 3 6 6" xfId="352" xr:uid="{00000000-0005-0000-0000-00004A010000}"/>
    <cellStyle name="cell 7 3 7" xfId="353" xr:uid="{00000000-0005-0000-0000-00004B010000}"/>
    <cellStyle name="cell 7 3 8" xfId="354" xr:uid="{00000000-0005-0000-0000-00004C010000}"/>
    <cellStyle name="cell 7 3 9" xfId="355" xr:uid="{00000000-0005-0000-0000-00004D010000}"/>
    <cellStyle name="cell 7 4" xfId="356" xr:uid="{00000000-0005-0000-0000-00004E010000}"/>
    <cellStyle name="cell 7 4 2" xfId="357" xr:uid="{00000000-0005-0000-0000-00004F010000}"/>
    <cellStyle name="cell 7 4 2 2" xfId="358" xr:uid="{00000000-0005-0000-0000-000050010000}"/>
    <cellStyle name="cell 7 4 3" xfId="359" xr:uid="{00000000-0005-0000-0000-000051010000}"/>
    <cellStyle name="cell 7 4 3 2" xfId="360" xr:uid="{00000000-0005-0000-0000-000052010000}"/>
    <cellStyle name="cell 7 4 4" xfId="361" xr:uid="{00000000-0005-0000-0000-000053010000}"/>
    <cellStyle name="cell 7 4 5" xfId="362" xr:uid="{00000000-0005-0000-0000-000054010000}"/>
    <cellStyle name="cell 7 4 6" xfId="363" xr:uid="{00000000-0005-0000-0000-000055010000}"/>
    <cellStyle name="cell 7 5" xfId="364" xr:uid="{00000000-0005-0000-0000-000056010000}"/>
    <cellStyle name="cell 7 5 2" xfId="365" xr:uid="{00000000-0005-0000-0000-000057010000}"/>
    <cellStyle name="cell 7 5 2 2" xfId="366" xr:uid="{00000000-0005-0000-0000-000058010000}"/>
    <cellStyle name="cell 7 5 3" xfId="367" xr:uid="{00000000-0005-0000-0000-000059010000}"/>
    <cellStyle name="cell 7 5 3 2" xfId="368" xr:uid="{00000000-0005-0000-0000-00005A010000}"/>
    <cellStyle name="cell 7 5 4" xfId="369" xr:uid="{00000000-0005-0000-0000-00005B010000}"/>
    <cellStyle name="cell 7 5 5" xfId="370" xr:uid="{00000000-0005-0000-0000-00005C010000}"/>
    <cellStyle name="cell 7 5 6" xfId="371" xr:uid="{00000000-0005-0000-0000-00005D010000}"/>
    <cellStyle name="cell 7 6" xfId="372" xr:uid="{00000000-0005-0000-0000-00005E010000}"/>
    <cellStyle name="cell 7 6 2" xfId="373" xr:uid="{00000000-0005-0000-0000-00005F010000}"/>
    <cellStyle name="cell 7 6 2 2" xfId="374" xr:uid="{00000000-0005-0000-0000-000060010000}"/>
    <cellStyle name="cell 7 6 3" xfId="375" xr:uid="{00000000-0005-0000-0000-000061010000}"/>
    <cellStyle name="cell 7 6 3 2" xfId="376" xr:uid="{00000000-0005-0000-0000-000062010000}"/>
    <cellStyle name="cell 7 6 4" xfId="377" xr:uid="{00000000-0005-0000-0000-000063010000}"/>
    <cellStyle name="cell 7 6 5" xfId="378" xr:uid="{00000000-0005-0000-0000-000064010000}"/>
    <cellStyle name="cell 7 6 6" xfId="379" xr:uid="{00000000-0005-0000-0000-000065010000}"/>
    <cellStyle name="cell 7 7" xfId="380" xr:uid="{00000000-0005-0000-0000-000066010000}"/>
    <cellStyle name="cell 7 7 2" xfId="381" xr:uid="{00000000-0005-0000-0000-000067010000}"/>
    <cellStyle name="cell 7 8" xfId="382" xr:uid="{00000000-0005-0000-0000-000068010000}"/>
    <cellStyle name="cell 7 9" xfId="383" xr:uid="{00000000-0005-0000-0000-000069010000}"/>
    <cellStyle name="cell 8" xfId="384" xr:uid="{00000000-0005-0000-0000-00006A010000}"/>
    <cellStyle name="cell 9" xfId="385" xr:uid="{00000000-0005-0000-0000-00006B010000}"/>
    <cellStyle name="cell_06entr" xfId="386" xr:uid="{00000000-0005-0000-0000-00006C010000}"/>
    <cellStyle name="Code additions" xfId="387" xr:uid="{00000000-0005-0000-0000-00006D010000}"/>
    <cellStyle name="Col&amp;RowHeadings" xfId="388" xr:uid="{00000000-0005-0000-0000-00006E010000}"/>
    <cellStyle name="ColCodes" xfId="389" xr:uid="{00000000-0005-0000-0000-00006F010000}"/>
    <cellStyle name="ColTitles" xfId="390" xr:uid="{00000000-0005-0000-0000-000070010000}"/>
    <cellStyle name="ColTitles 10" xfId="391" xr:uid="{00000000-0005-0000-0000-000071010000}"/>
    <cellStyle name="ColTitles 10 2" xfId="392" xr:uid="{00000000-0005-0000-0000-000072010000}"/>
    <cellStyle name="ColTitles 11" xfId="393" xr:uid="{00000000-0005-0000-0000-000073010000}"/>
    <cellStyle name="ColTitles 11 2" xfId="394" xr:uid="{00000000-0005-0000-0000-000074010000}"/>
    <cellStyle name="ColTitles 12" xfId="395" xr:uid="{00000000-0005-0000-0000-000075010000}"/>
    <cellStyle name="ColTitles 13" xfId="396" xr:uid="{00000000-0005-0000-0000-000076010000}"/>
    <cellStyle name="ColTitles 2" xfId="397" xr:uid="{00000000-0005-0000-0000-000077010000}"/>
    <cellStyle name="ColTitles 2 2" xfId="398" xr:uid="{00000000-0005-0000-0000-000078010000}"/>
    <cellStyle name="ColTitles 3" xfId="399" xr:uid="{00000000-0005-0000-0000-000079010000}"/>
    <cellStyle name="ColTitles 3 2" xfId="400" xr:uid="{00000000-0005-0000-0000-00007A010000}"/>
    <cellStyle name="ColTitles 4" xfId="401" xr:uid="{00000000-0005-0000-0000-00007B010000}"/>
    <cellStyle name="ColTitles 4 2" xfId="402" xr:uid="{00000000-0005-0000-0000-00007C010000}"/>
    <cellStyle name="ColTitles 5" xfId="403" xr:uid="{00000000-0005-0000-0000-00007D010000}"/>
    <cellStyle name="ColTitles 5 2" xfId="404" xr:uid="{00000000-0005-0000-0000-00007E010000}"/>
    <cellStyle name="ColTitles 6" xfId="405" xr:uid="{00000000-0005-0000-0000-00007F010000}"/>
    <cellStyle name="ColTitles 6 2" xfId="406" xr:uid="{00000000-0005-0000-0000-000080010000}"/>
    <cellStyle name="ColTitles 7" xfId="407" xr:uid="{00000000-0005-0000-0000-000081010000}"/>
    <cellStyle name="ColTitles 7 2" xfId="408" xr:uid="{00000000-0005-0000-0000-000082010000}"/>
    <cellStyle name="ColTitles 8" xfId="409" xr:uid="{00000000-0005-0000-0000-000083010000}"/>
    <cellStyle name="ColTitles 8 2" xfId="410" xr:uid="{00000000-0005-0000-0000-000084010000}"/>
    <cellStyle name="ColTitles 9" xfId="411" xr:uid="{00000000-0005-0000-0000-000085010000}"/>
    <cellStyle name="ColTitles 9 2" xfId="412" xr:uid="{00000000-0005-0000-0000-000086010000}"/>
    <cellStyle name="column" xfId="413" xr:uid="{00000000-0005-0000-0000-000087010000}"/>
    <cellStyle name="Comma  [1]" xfId="414" xr:uid="{00000000-0005-0000-0000-000088010000}"/>
    <cellStyle name="Comma [0] 2" xfId="415" xr:uid="{00000000-0005-0000-0000-000089010000}"/>
    <cellStyle name="Comma [0] 2 2" xfId="416" xr:uid="{00000000-0005-0000-0000-00008A010000}"/>
    <cellStyle name="Comma [0] 2 2 2" xfId="417" xr:uid="{00000000-0005-0000-0000-00008B010000}"/>
    <cellStyle name="Comma [0] 2 2 2 2" xfId="24129" xr:uid="{00000000-0005-0000-0000-0000A1010000}"/>
    <cellStyle name="Comma [0] 2 2 3" xfId="418" xr:uid="{00000000-0005-0000-0000-00008C010000}"/>
    <cellStyle name="Comma [0] 2 2 3 2" xfId="24130" xr:uid="{00000000-0005-0000-0000-0000A2010000}"/>
    <cellStyle name="Comma [0] 2 2 4" xfId="24128" xr:uid="{00000000-0005-0000-0000-0000A0010000}"/>
    <cellStyle name="Comma [0] 2 3" xfId="419" xr:uid="{00000000-0005-0000-0000-00008D010000}"/>
    <cellStyle name="Comma [0] 2 3 2" xfId="420" xr:uid="{00000000-0005-0000-0000-00008E010000}"/>
    <cellStyle name="Comma [0] 2 3 2 2" xfId="24132" xr:uid="{00000000-0005-0000-0000-0000A4010000}"/>
    <cellStyle name="Comma [0] 2 3 3" xfId="421" xr:uid="{00000000-0005-0000-0000-00008F010000}"/>
    <cellStyle name="Comma [0] 2 3 3 2" xfId="24133" xr:uid="{00000000-0005-0000-0000-0000A5010000}"/>
    <cellStyle name="Comma [0] 2 3 4" xfId="24131" xr:uid="{00000000-0005-0000-0000-0000A3010000}"/>
    <cellStyle name="Comma [0] 2 4" xfId="422" xr:uid="{00000000-0005-0000-0000-000090010000}"/>
    <cellStyle name="Comma [0] 2 4 2" xfId="24134" xr:uid="{00000000-0005-0000-0000-0000A6010000}"/>
    <cellStyle name="Comma [0] 2 5" xfId="423" xr:uid="{00000000-0005-0000-0000-000091010000}"/>
    <cellStyle name="Comma [0] 2 5 2" xfId="24135" xr:uid="{00000000-0005-0000-0000-0000A7010000}"/>
    <cellStyle name="Comma [0] 2 6" xfId="24127" xr:uid="{00000000-0005-0000-0000-00009F010000}"/>
    <cellStyle name="Comma [1]" xfId="424" xr:uid="{00000000-0005-0000-0000-000092010000}"/>
    <cellStyle name="Comma 10" xfId="425" xr:uid="{00000000-0005-0000-0000-000093010000}"/>
    <cellStyle name="Comma 10 2" xfId="24136" xr:uid="{00000000-0005-0000-0000-0000A9010000}"/>
    <cellStyle name="Comma 11" xfId="426" xr:uid="{00000000-0005-0000-0000-000094010000}"/>
    <cellStyle name="Comma 11 2" xfId="24137" xr:uid="{00000000-0005-0000-0000-0000AA010000}"/>
    <cellStyle name="Comma 12" xfId="427" xr:uid="{00000000-0005-0000-0000-000095010000}"/>
    <cellStyle name="Comma 12 2" xfId="24138" xr:uid="{00000000-0005-0000-0000-0000AB010000}"/>
    <cellStyle name="Comma 13" xfId="428" xr:uid="{00000000-0005-0000-0000-000096010000}"/>
    <cellStyle name="Comma 13 2" xfId="24139" xr:uid="{00000000-0005-0000-0000-0000AC010000}"/>
    <cellStyle name="Comma 14" xfId="429" xr:uid="{00000000-0005-0000-0000-000097010000}"/>
    <cellStyle name="Comma 14 2" xfId="24140" xr:uid="{00000000-0005-0000-0000-0000AD010000}"/>
    <cellStyle name="Comma 15" xfId="430" xr:uid="{00000000-0005-0000-0000-000098010000}"/>
    <cellStyle name="Comma 15 2" xfId="24141" xr:uid="{00000000-0005-0000-0000-0000AE010000}"/>
    <cellStyle name="Comma 16" xfId="431" xr:uid="{00000000-0005-0000-0000-000099010000}"/>
    <cellStyle name="Comma 17" xfId="432" xr:uid="{00000000-0005-0000-0000-00009A010000}"/>
    <cellStyle name="Comma 17 2" xfId="24142" xr:uid="{00000000-0005-0000-0000-0000B0010000}"/>
    <cellStyle name="Comma 2" xfId="433" xr:uid="{00000000-0005-0000-0000-00009B010000}"/>
    <cellStyle name="Comma 2 2" xfId="434" xr:uid="{00000000-0005-0000-0000-00009C010000}"/>
    <cellStyle name="Comma 2 3" xfId="435" xr:uid="{00000000-0005-0000-0000-00009D010000}"/>
    <cellStyle name="Comma 2 3 2" xfId="436" xr:uid="{00000000-0005-0000-0000-00009E010000}"/>
    <cellStyle name="Comma 2 3 2 2" xfId="24145" xr:uid="{00000000-0005-0000-0000-0000B4010000}"/>
    <cellStyle name="Comma 2 3 3" xfId="437" xr:uid="{00000000-0005-0000-0000-00009F010000}"/>
    <cellStyle name="Comma 2 3 3 2" xfId="24146" xr:uid="{00000000-0005-0000-0000-0000B5010000}"/>
    <cellStyle name="Comma 2 3 4" xfId="24144" xr:uid="{00000000-0005-0000-0000-0000B3010000}"/>
    <cellStyle name="Comma 2 4" xfId="438" xr:uid="{00000000-0005-0000-0000-0000A0010000}"/>
    <cellStyle name="Comma 2 4 2" xfId="439" xr:uid="{00000000-0005-0000-0000-0000A1010000}"/>
    <cellStyle name="Comma 2 4 2 2" xfId="24148" xr:uid="{00000000-0005-0000-0000-0000B7010000}"/>
    <cellStyle name="Comma 2 4 3" xfId="440" xr:uid="{00000000-0005-0000-0000-0000A2010000}"/>
    <cellStyle name="Comma 2 4 3 2" xfId="24149" xr:uid="{00000000-0005-0000-0000-0000B8010000}"/>
    <cellStyle name="Comma 2 4 4" xfId="24147" xr:uid="{00000000-0005-0000-0000-0000B6010000}"/>
    <cellStyle name="Comma 2 5" xfId="441" xr:uid="{00000000-0005-0000-0000-0000A3010000}"/>
    <cellStyle name="Comma 2 6" xfId="442" xr:uid="{00000000-0005-0000-0000-0000A4010000}"/>
    <cellStyle name="Comma 2 6 2" xfId="24150" xr:uid="{00000000-0005-0000-0000-0000BA010000}"/>
    <cellStyle name="Comma 2 7" xfId="443" xr:uid="{00000000-0005-0000-0000-0000A5010000}"/>
    <cellStyle name="Comma 2 7 2" xfId="24151" xr:uid="{00000000-0005-0000-0000-0000BB010000}"/>
    <cellStyle name="Comma 2 8" xfId="24143" xr:uid="{00000000-0005-0000-0000-0000B1010000}"/>
    <cellStyle name="Comma 3" xfId="444" xr:uid="{00000000-0005-0000-0000-0000A6010000}"/>
    <cellStyle name="Comma 3 2" xfId="445" xr:uid="{00000000-0005-0000-0000-0000A7010000}"/>
    <cellStyle name="Comma 3 2 2" xfId="24153" xr:uid="{00000000-0005-0000-0000-0000BD010000}"/>
    <cellStyle name="Comma 3 3" xfId="24152" xr:uid="{00000000-0005-0000-0000-0000BC010000}"/>
    <cellStyle name="Comma 4" xfId="446" xr:uid="{00000000-0005-0000-0000-0000A8010000}"/>
    <cellStyle name="Comma 5" xfId="447" xr:uid="{00000000-0005-0000-0000-0000A9010000}"/>
    <cellStyle name="Comma 5 2" xfId="448" xr:uid="{00000000-0005-0000-0000-0000AA010000}"/>
    <cellStyle name="Comma 5 2 2" xfId="24155" xr:uid="{00000000-0005-0000-0000-0000C0010000}"/>
    <cellStyle name="Comma 5 3" xfId="449" xr:uid="{00000000-0005-0000-0000-0000AB010000}"/>
    <cellStyle name="Comma 5 3 2" xfId="24156" xr:uid="{00000000-0005-0000-0000-0000C1010000}"/>
    <cellStyle name="Comma 5 4" xfId="24154" xr:uid="{00000000-0005-0000-0000-0000BF010000}"/>
    <cellStyle name="Comma 6" xfId="450" xr:uid="{00000000-0005-0000-0000-0000AC010000}"/>
    <cellStyle name="Comma 6 2" xfId="451" xr:uid="{00000000-0005-0000-0000-0000AD010000}"/>
    <cellStyle name="Comma 6 2 2" xfId="452" xr:uid="{00000000-0005-0000-0000-0000AE010000}"/>
    <cellStyle name="Comma 6 2 2 2" xfId="24159" xr:uid="{00000000-0005-0000-0000-0000C4010000}"/>
    <cellStyle name="Comma 6 2 3" xfId="453" xr:uid="{00000000-0005-0000-0000-0000AF010000}"/>
    <cellStyle name="Comma 6 2 3 2" xfId="24160" xr:uid="{00000000-0005-0000-0000-0000C5010000}"/>
    <cellStyle name="Comma 6 2 4" xfId="24158" xr:uid="{00000000-0005-0000-0000-0000C3010000}"/>
    <cellStyle name="Comma 6 3" xfId="454" xr:uid="{00000000-0005-0000-0000-0000B0010000}"/>
    <cellStyle name="Comma 6 3 2" xfId="24161" xr:uid="{00000000-0005-0000-0000-0000C6010000}"/>
    <cellStyle name="Comma 6 4" xfId="455" xr:uid="{00000000-0005-0000-0000-0000B1010000}"/>
    <cellStyle name="Comma 6 4 2" xfId="24162" xr:uid="{00000000-0005-0000-0000-0000C7010000}"/>
    <cellStyle name="Comma 6 5" xfId="24157" xr:uid="{00000000-0005-0000-0000-0000C2010000}"/>
    <cellStyle name="Comma 7" xfId="456" xr:uid="{00000000-0005-0000-0000-0000B2010000}"/>
    <cellStyle name="Comma 7 2" xfId="457" xr:uid="{00000000-0005-0000-0000-0000B3010000}"/>
    <cellStyle name="Comma 7 2 2" xfId="458" xr:uid="{00000000-0005-0000-0000-0000B4010000}"/>
    <cellStyle name="Comma 7 2 2 2" xfId="24165" xr:uid="{00000000-0005-0000-0000-0000CA010000}"/>
    <cellStyle name="Comma 7 2 3" xfId="459" xr:uid="{00000000-0005-0000-0000-0000B5010000}"/>
    <cellStyle name="Comma 7 2 3 2" xfId="24166" xr:uid="{00000000-0005-0000-0000-0000CB010000}"/>
    <cellStyle name="Comma 7 2 4" xfId="24164" xr:uid="{00000000-0005-0000-0000-0000C9010000}"/>
    <cellStyle name="Comma 7 3" xfId="460" xr:uid="{00000000-0005-0000-0000-0000B6010000}"/>
    <cellStyle name="Comma 7 3 2" xfId="24167" xr:uid="{00000000-0005-0000-0000-0000CC010000}"/>
    <cellStyle name="Comma 7 4" xfId="461" xr:uid="{00000000-0005-0000-0000-0000B7010000}"/>
    <cellStyle name="Comma 7 4 2" xfId="24168" xr:uid="{00000000-0005-0000-0000-0000CD010000}"/>
    <cellStyle name="Comma 7 5" xfId="24163" xr:uid="{00000000-0005-0000-0000-0000C8010000}"/>
    <cellStyle name="Comma 8" xfId="462" xr:uid="{00000000-0005-0000-0000-0000B8010000}"/>
    <cellStyle name="Comma 9" xfId="463" xr:uid="{00000000-0005-0000-0000-0000B9010000}"/>
    <cellStyle name="Comma 9 2" xfId="24169" xr:uid="{00000000-0005-0000-0000-0000CF010000}"/>
    <cellStyle name="Comma(0)" xfId="464" xr:uid="{00000000-0005-0000-0000-0000BA010000}"/>
    <cellStyle name="comma(1)" xfId="465" xr:uid="{00000000-0005-0000-0000-0000BB010000}"/>
    <cellStyle name="Comma(3)" xfId="466" xr:uid="{00000000-0005-0000-0000-0000BC010000}"/>
    <cellStyle name="Comma[0]" xfId="467" xr:uid="{00000000-0005-0000-0000-0000BD010000}"/>
    <cellStyle name="Comma[1]" xfId="468" xr:uid="{00000000-0005-0000-0000-0000BE010000}"/>
    <cellStyle name="Comma[2]__" xfId="469" xr:uid="{00000000-0005-0000-0000-0000BF010000}"/>
    <cellStyle name="Comma[3]" xfId="470" xr:uid="{00000000-0005-0000-0000-0000C0010000}"/>
    <cellStyle name="Comma0" xfId="471" xr:uid="{00000000-0005-0000-0000-0000C1010000}"/>
    <cellStyle name="Currency 2" xfId="472" xr:uid="{00000000-0005-0000-0000-0000C2010000}"/>
    <cellStyle name="Currency0" xfId="473" xr:uid="{00000000-0005-0000-0000-0000C3010000}"/>
    <cellStyle name="DataEntryCells" xfId="474" xr:uid="{00000000-0005-0000-0000-0000C4010000}"/>
    <cellStyle name="DataEntryCells 10" xfId="475" xr:uid="{00000000-0005-0000-0000-0000C5010000}"/>
    <cellStyle name="DataEntryCells 10 2" xfId="476" xr:uid="{00000000-0005-0000-0000-0000C6010000}"/>
    <cellStyle name="DataEntryCells 11" xfId="477" xr:uid="{00000000-0005-0000-0000-0000C7010000}"/>
    <cellStyle name="DataEntryCells 12" xfId="478" xr:uid="{00000000-0005-0000-0000-0000C8010000}"/>
    <cellStyle name="DataEntryCells 13" xfId="479" xr:uid="{00000000-0005-0000-0000-0000C9010000}"/>
    <cellStyle name="DataEntryCells 14" xfId="480" xr:uid="{00000000-0005-0000-0000-0000CA010000}"/>
    <cellStyle name="DataEntryCells 2" xfId="481" xr:uid="{00000000-0005-0000-0000-0000CB010000}"/>
    <cellStyle name="DataEntryCells 2 2" xfId="482" xr:uid="{00000000-0005-0000-0000-0000CC010000}"/>
    <cellStyle name="DataEntryCells 2_08pers" xfId="483" xr:uid="{00000000-0005-0000-0000-0000CD010000}"/>
    <cellStyle name="DataEntryCells 3" xfId="484" xr:uid="{00000000-0005-0000-0000-0000CE010000}"/>
    <cellStyle name="DataEntryCells 3 2" xfId="485" xr:uid="{00000000-0005-0000-0000-0000CF010000}"/>
    <cellStyle name="DataEntryCells 3 2 2" xfId="486" xr:uid="{00000000-0005-0000-0000-0000D0010000}"/>
    <cellStyle name="DataEntryCells 3 2 3" xfId="487" xr:uid="{00000000-0005-0000-0000-0000D1010000}"/>
    <cellStyle name="DataEntryCells 3 2 4" xfId="488" xr:uid="{00000000-0005-0000-0000-0000D2010000}"/>
    <cellStyle name="DataEntryCells 3 2 5" xfId="489" xr:uid="{00000000-0005-0000-0000-0000D3010000}"/>
    <cellStyle name="DataEntryCells 3 3" xfId="490" xr:uid="{00000000-0005-0000-0000-0000D4010000}"/>
    <cellStyle name="DataEntryCells 3 4" xfId="491" xr:uid="{00000000-0005-0000-0000-0000D5010000}"/>
    <cellStyle name="DataEntryCells 3 5" xfId="492" xr:uid="{00000000-0005-0000-0000-0000D6010000}"/>
    <cellStyle name="DataEntryCells 3 6" xfId="493" xr:uid="{00000000-0005-0000-0000-0000D7010000}"/>
    <cellStyle name="DataEntryCells 3_STUD aligned by INSTIT" xfId="494" xr:uid="{00000000-0005-0000-0000-0000D8010000}"/>
    <cellStyle name="DataEntryCells 4" xfId="495" xr:uid="{00000000-0005-0000-0000-0000D9010000}"/>
    <cellStyle name="DataEntryCells 4 2" xfId="496" xr:uid="{00000000-0005-0000-0000-0000DA010000}"/>
    <cellStyle name="DataEntryCells 4 3" xfId="497" xr:uid="{00000000-0005-0000-0000-0000DB010000}"/>
    <cellStyle name="DataEntryCells 4 4" xfId="498" xr:uid="{00000000-0005-0000-0000-0000DC010000}"/>
    <cellStyle name="DataEntryCells 4 5" xfId="499" xr:uid="{00000000-0005-0000-0000-0000DD010000}"/>
    <cellStyle name="DataEntryCells 5" xfId="500" xr:uid="{00000000-0005-0000-0000-0000DE010000}"/>
    <cellStyle name="DataEntryCells 5 2" xfId="501" xr:uid="{00000000-0005-0000-0000-0000DF010000}"/>
    <cellStyle name="DataEntryCells 5 3" xfId="502" xr:uid="{00000000-0005-0000-0000-0000E0010000}"/>
    <cellStyle name="DataEntryCells 5 4" xfId="503" xr:uid="{00000000-0005-0000-0000-0000E1010000}"/>
    <cellStyle name="DataEntryCells 5 5" xfId="504" xr:uid="{00000000-0005-0000-0000-0000E2010000}"/>
    <cellStyle name="DataEntryCells 6" xfId="505" xr:uid="{00000000-0005-0000-0000-0000E3010000}"/>
    <cellStyle name="DataEntryCells 6 2" xfId="506" xr:uid="{00000000-0005-0000-0000-0000E4010000}"/>
    <cellStyle name="DataEntryCells 6 3" xfId="507" xr:uid="{00000000-0005-0000-0000-0000E5010000}"/>
    <cellStyle name="DataEntryCells 6 4" xfId="508" xr:uid="{00000000-0005-0000-0000-0000E6010000}"/>
    <cellStyle name="DataEntryCells 6 5" xfId="509" xr:uid="{00000000-0005-0000-0000-0000E7010000}"/>
    <cellStyle name="DataEntryCells 7" xfId="510" xr:uid="{00000000-0005-0000-0000-0000E8010000}"/>
    <cellStyle name="DataEntryCells 7 2" xfId="511" xr:uid="{00000000-0005-0000-0000-0000E9010000}"/>
    <cellStyle name="DataEntryCells 7 3" xfId="512" xr:uid="{00000000-0005-0000-0000-0000EA010000}"/>
    <cellStyle name="DataEntryCells 7 4" xfId="513" xr:uid="{00000000-0005-0000-0000-0000EB010000}"/>
    <cellStyle name="DataEntryCells 7 5" xfId="514" xr:uid="{00000000-0005-0000-0000-0000EC010000}"/>
    <cellStyle name="DataEntryCells 8" xfId="515" xr:uid="{00000000-0005-0000-0000-0000ED010000}"/>
    <cellStyle name="DataEntryCells 8 2" xfId="516" xr:uid="{00000000-0005-0000-0000-0000EE010000}"/>
    <cellStyle name="DataEntryCells 8 3" xfId="517" xr:uid="{00000000-0005-0000-0000-0000EF010000}"/>
    <cellStyle name="DataEntryCells 8 4" xfId="518" xr:uid="{00000000-0005-0000-0000-0000F0010000}"/>
    <cellStyle name="DataEntryCells 8 5" xfId="519" xr:uid="{00000000-0005-0000-0000-0000F1010000}"/>
    <cellStyle name="DataEntryCells 9" xfId="520" xr:uid="{00000000-0005-0000-0000-0000F2010000}"/>
    <cellStyle name="DataEntryCells 9 2" xfId="521" xr:uid="{00000000-0005-0000-0000-0000F3010000}"/>
    <cellStyle name="DataEntryCells_05entr" xfId="522" xr:uid="{00000000-0005-0000-0000-0000F4010000}"/>
    <cellStyle name="Date" xfId="523" xr:uid="{00000000-0005-0000-0000-0000F5010000}"/>
    <cellStyle name="Dezimal [0]_DIAGRAM" xfId="524" xr:uid="{00000000-0005-0000-0000-0000F6010000}"/>
    <cellStyle name="Dezimal_DIAGRAM" xfId="525" xr:uid="{00000000-0005-0000-0000-0000F7010000}"/>
    <cellStyle name="Didier" xfId="526" xr:uid="{00000000-0005-0000-0000-0000F8010000}"/>
    <cellStyle name="Didier - Title" xfId="527" xr:uid="{00000000-0005-0000-0000-0000F9010000}"/>
    <cellStyle name="Didier subtitles" xfId="528" xr:uid="{00000000-0005-0000-0000-0000FA010000}"/>
    <cellStyle name="données" xfId="529" xr:uid="{00000000-0005-0000-0000-0000FB010000}"/>
    <cellStyle name="donnéesbord" xfId="530" xr:uid="{00000000-0005-0000-0000-0000FC010000}"/>
    <cellStyle name="Encabezado 1" xfId="24082" builtinId="16" customBuiltin="1"/>
    <cellStyle name="Encabezado 4" xfId="24085" builtinId="19" customBuiltin="1"/>
    <cellStyle name="Énfasis1" xfId="24098" builtinId="29" customBuiltin="1"/>
    <cellStyle name="Énfasis2" xfId="24102" builtinId="33" customBuiltin="1"/>
    <cellStyle name="Énfasis3" xfId="24106" builtinId="37" customBuiltin="1"/>
    <cellStyle name="Énfasis4" xfId="24110" builtinId="41" customBuiltin="1"/>
    <cellStyle name="Énfasis5" xfId="24114" builtinId="45" customBuiltin="1"/>
    <cellStyle name="Énfasis6" xfId="24118" builtinId="49" customBuiltin="1"/>
    <cellStyle name="Entrada" xfId="24089" builtinId="20" customBuiltin="1"/>
    <cellStyle name="ErrRpt_DataEntryCells" xfId="531" xr:uid="{00000000-0005-0000-0000-0000FD010000}"/>
    <cellStyle name="ErrRpt-DataEntryCells" xfId="532" xr:uid="{00000000-0005-0000-0000-0000FE010000}"/>
    <cellStyle name="ErrRpt-DataEntryCells 2" xfId="533" xr:uid="{00000000-0005-0000-0000-0000FF010000}"/>
    <cellStyle name="ErrRpt-DataEntryCells 2 2" xfId="534" xr:uid="{00000000-0005-0000-0000-000000020000}"/>
    <cellStyle name="ErrRpt-DataEntryCells 2 2 2" xfId="535" xr:uid="{00000000-0005-0000-0000-000001020000}"/>
    <cellStyle name="ErrRpt-DataEntryCells 2 2 2 2" xfId="536" xr:uid="{00000000-0005-0000-0000-000002020000}"/>
    <cellStyle name="ErrRpt-DataEntryCells 2 2 2 3" xfId="537" xr:uid="{00000000-0005-0000-0000-000003020000}"/>
    <cellStyle name="ErrRpt-DataEntryCells 2 2 2 4" xfId="538" xr:uid="{00000000-0005-0000-0000-000004020000}"/>
    <cellStyle name="ErrRpt-DataEntryCells 2 2 2 5" xfId="539" xr:uid="{00000000-0005-0000-0000-000005020000}"/>
    <cellStyle name="ErrRpt-DataEntryCells 2 2 3" xfId="540" xr:uid="{00000000-0005-0000-0000-000006020000}"/>
    <cellStyle name="ErrRpt-DataEntryCells 2 2 4" xfId="541" xr:uid="{00000000-0005-0000-0000-000007020000}"/>
    <cellStyle name="ErrRpt-DataEntryCells 2 2 5" xfId="542" xr:uid="{00000000-0005-0000-0000-000008020000}"/>
    <cellStyle name="ErrRpt-DataEntryCells 2 2 6" xfId="543" xr:uid="{00000000-0005-0000-0000-000009020000}"/>
    <cellStyle name="ErrRpt-DataEntryCells 2 2_STUD aligned by INSTIT" xfId="544" xr:uid="{00000000-0005-0000-0000-00000A020000}"/>
    <cellStyle name="ErrRpt-DataEntryCells 2 3" xfId="545" xr:uid="{00000000-0005-0000-0000-00000B020000}"/>
    <cellStyle name="ErrRpt-DataEntryCells 2 3 2" xfId="546" xr:uid="{00000000-0005-0000-0000-00000C020000}"/>
    <cellStyle name="ErrRpt-DataEntryCells 2 3 3" xfId="547" xr:uid="{00000000-0005-0000-0000-00000D020000}"/>
    <cellStyle name="ErrRpt-DataEntryCells 2 3 4" xfId="548" xr:uid="{00000000-0005-0000-0000-00000E020000}"/>
    <cellStyle name="ErrRpt-DataEntryCells 2 3 5" xfId="549" xr:uid="{00000000-0005-0000-0000-00000F020000}"/>
    <cellStyle name="ErrRpt-DataEntryCells 2 4" xfId="550" xr:uid="{00000000-0005-0000-0000-000010020000}"/>
    <cellStyle name="ErrRpt-DataEntryCells 2 5" xfId="551" xr:uid="{00000000-0005-0000-0000-000011020000}"/>
    <cellStyle name="ErrRpt-DataEntryCells 2 6" xfId="552" xr:uid="{00000000-0005-0000-0000-000012020000}"/>
    <cellStyle name="ErrRpt-DataEntryCells 2 7" xfId="553" xr:uid="{00000000-0005-0000-0000-000013020000}"/>
    <cellStyle name="ErrRpt-DataEntryCells 2_STUD aligned by INSTIT" xfId="554" xr:uid="{00000000-0005-0000-0000-000014020000}"/>
    <cellStyle name="ErrRpt-DataEntryCells 3" xfId="555" xr:uid="{00000000-0005-0000-0000-000015020000}"/>
    <cellStyle name="ErrRpt-DataEntryCells 3 2" xfId="556" xr:uid="{00000000-0005-0000-0000-000016020000}"/>
    <cellStyle name="ErrRpt-DataEntryCells 3 2 2" xfId="557" xr:uid="{00000000-0005-0000-0000-000017020000}"/>
    <cellStyle name="ErrRpt-DataEntryCells 3 2 3" xfId="558" xr:uid="{00000000-0005-0000-0000-000018020000}"/>
    <cellStyle name="ErrRpt-DataEntryCells 3 2 4" xfId="559" xr:uid="{00000000-0005-0000-0000-000019020000}"/>
    <cellStyle name="ErrRpt-DataEntryCells 3 2 5" xfId="560" xr:uid="{00000000-0005-0000-0000-00001A020000}"/>
    <cellStyle name="ErrRpt-DataEntryCells 3 3" xfId="561" xr:uid="{00000000-0005-0000-0000-00001B020000}"/>
    <cellStyle name="ErrRpt-DataEntryCells 3 4" xfId="562" xr:uid="{00000000-0005-0000-0000-00001C020000}"/>
    <cellStyle name="ErrRpt-DataEntryCells 3 5" xfId="563" xr:uid="{00000000-0005-0000-0000-00001D020000}"/>
    <cellStyle name="ErrRpt-DataEntryCells 3 6" xfId="564" xr:uid="{00000000-0005-0000-0000-00001E020000}"/>
    <cellStyle name="ErrRpt-DataEntryCells 3_STUD aligned by INSTIT" xfId="565" xr:uid="{00000000-0005-0000-0000-00001F020000}"/>
    <cellStyle name="ErrRpt-DataEntryCells 4" xfId="566" xr:uid="{00000000-0005-0000-0000-000020020000}"/>
    <cellStyle name="ErrRpt-DataEntryCells 4 2" xfId="567" xr:uid="{00000000-0005-0000-0000-000021020000}"/>
    <cellStyle name="ErrRpt-DataEntryCells 4 3" xfId="568" xr:uid="{00000000-0005-0000-0000-000022020000}"/>
    <cellStyle name="ErrRpt-DataEntryCells 4 4" xfId="569" xr:uid="{00000000-0005-0000-0000-000023020000}"/>
    <cellStyle name="ErrRpt-DataEntryCells 4 5" xfId="570" xr:uid="{00000000-0005-0000-0000-000024020000}"/>
    <cellStyle name="ErrRpt-DataEntryCells 5" xfId="571" xr:uid="{00000000-0005-0000-0000-000025020000}"/>
    <cellStyle name="ErrRpt-DataEntryCells 6" xfId="572" xr:uid="{00000000-0005-0000-0000-000026020000}"/>
    <cellStyle name="ErrRpt-DataEntryCells 7" xfId="573" xr:uid="{00000000-0005-0000-0000-000027020000}"/>
    <cellStyle name="ErrRpt-DataEntryCells 8" xfId="574" xr:uid="{00000000-0005-0000-0000-000028020000}"/>
    <cellStyle name="ErrRpt-DataEntryCells_STUD aligned by INSTIT" xfId="575" xr:uid="{00000000-0005-0000-0000-000029020000}"/>
    <cellStyle name="ErrRpt-GreyBackground" xfId="576" xr:uid="{00000000-0005-0000-0000-00002A020000}"/>
    <cellStyle name="ErrRpt-GreyBackground 2" xfId="577" xr:uid="{00000000-0005-0000-0000-00002B020000}"/>
    <cellStyle name="Estilo 1" xfId="24064" xr:uid="{00000000-0005-0000-0000-00002C020000}"/>
    <cellStyle name="Estilo 2" xfId="24065" xr:uid="{00000000-0005-0000-0000-00002D020000}"/>
    <cellStyle name="Fixed" xfId="578" xr:uid="{00000000-0005-0000-0000-00002E020000}"/>
    <cellStyle name="formula" xfId="579" xr:uid="{00000000-0005-0000-0000-00002F020000}"/>
    <cellStyle name="formula 2" xfId="580" xr:uid="{00000000-0005-0000-0000-000030020000}"/>
    <cellStyle name="formula 2 2" xfId="581" xr:uid="{00000000-0005-0000-0000-000031020000}"/>
    <cellStyle name="formula 2 2 2" xfId="582" xr:uid="{00000000-0005-0000-0000-000032020000}"/>
    <cellStyle name="formula 2 2 2 2" xfId="583" xr:uid="{00000000-0005-0000-0000-000033020000}"/>
    <cellStyle name="formula 2 2 2 3" xfId="584" xr:uid="{00000000-0005-0000-0000-000034020000}"/>
    <cellStyle name="formula 2 2 2 4" xfId="585" xr:uid="{00000000-0005-0000-0000-000035020000}"/>
    <cellStyle name="formula 2 2 2 5" xfId="586" xr:uid="{00000000-0005-0000-0000-000036020000}"/>
    <cellStyle name="formula 2 2 3" xfId="587" xr:uid="{00000000-0005-0000-0000-000037020000}"/>
    <cellStyle name="formula 2 2 4" xfId="588" xr:uid="{00000000-0005-0000-0000-000038020000}"/>
    <cellStyle name="formula 2 2 5" xfId="589" xr:uid="{00000000-0005-0000-0000-000039020000}"/>
    <cellStyle name="formula 2 2 6" xfId="590" xr:uid="{00000000-0005-0000-0000-00003A020000}"/>
    <cellStyle name="formula 2 2_STUD aligned by INSTIT" xfId="591" xr:uid="{00000000-0005-0000-0000-00003B020000}"/>
    <cellStyle name="formula 2 3" xfId="592" xr:uid="{00000000-0005-0000-0000-00003C020000}"/>
    <cellStyle name="formula 2 3 2" xfId="593" xr:uid="{00000000-0005-0000-0000-00003D020000}"/>
    <cellStyle name="formula 2 3 3" xfId="594" xr:uid="{00000000-0005-0000-0000-00003E020000}"/>
    <cellStyle name="formula 2 3 4" xfId="595" xr:uid="{00000000-0005-0000-0000-00003F020000}"/>
    <cellStyle name="formula 2 3 5" xfId="596" xr:uid="{00000000-0005-0000-0000-000040020000}"/>
    <cellStyle name="formula 2 4" xfId="597" xr:uid="{00000000-0005-0000-0000-000041020000}"/>
    <cellStyle name="formula 2 5" xfId="598" xr:uid="{00000000-0005-0000-0000-000042020000}"/>
    <cellStyle name="formula 2 6" xfId="599" xr:uid="{00000000-0005-0000-0000-000043020000}"/>
    <cellStyle name="formula 2 7" xfId="600" xr:uid="{00000000-0005-0000-0000-000044020000}"/>
    <cellStyle name="formula 2_STUD aligned by INSTIT" xfId="601" xr:uid="{00000000-0005-0000-0000-000045020000}"/>
    <cellStyle name="formula 3" xfId="602" xr:uid="{00000000-0005-0000-0000-000046020000}"/>
    <cellStyle name="formula 3 2" xfId="603" xr:uid="{00000000-0005-0000-0000-000047020000}"/>
    <cellStyle name="formula 3 2 2" xfId="604" xr:uid="{00000000-0005-0000-0000-000048020000}"/>
    <cellStyle name="formula 3 2 3" xfId="605" xr:uid="{00000000-0005-0000-0000-000049020000}"/>
    <cellStyle name="formula 3 2 4" xfId="606" xr:uid="{00000000-0005-0000-0000-00004A020000}"/>
    <cellStyle name="formula 3 2 5" xfId="607" xr:uid="{00000000-0005-0000-0000-00004B020000}"/>
    <cellStyle name="formula 3 3" xfId="608" xr:uid="{00000000-0005-0000-0000-00004C020000}"/>
    <cellStyle name="formula 3 4" xfId="609" xr:uid="{00000000-0005-0000-0000-00004D020000}"/>
    <cellStyle name="formula 3 5" xfId="610" xr:uid="{00000000-0005-0000-0000-00004E020000}"/>
    <cellStyle name="formula 3 6" xfId="611" xr:uid="{00000000-0005-0000-0000-00004F020000}"/>
    <cellStyle name="formula 3_STUD aligned by INSTIT" xfId="612" xr:uid="{00000000-0005-0000-0000-000050020000}"/>
    <cellStyle name="formula 4" xfId="613" xr:uid="{00000000-0005-0000-0000-000051020000}"/>
    <cellStyle name="formula 4 2" xfId="614" xr:uid="{00000000-0005-0000-0000-000052020000}"/>
    <cellStyle name="formula 4 3" xfId="615" xr:uid="{00000000-0005-0000-0000-000053020000}"/>
    <cellStyle name="formula 4 4" xfId="616" xr:uid="{00000000-0005-0000-0000-000054020000}"/>
    <cellStyle name="formula 4 5" xfId="617" xr:uid="{00000000-0005-0000-0000-000055020000}"/>
    <cellStyle name="formula 5" xfId="618" xr:uid="{00000000-0005-0000-0000-000056020000}"/>
    <cellStyle name="formula 6" xfId="619" xr:uid="{00000000-0005-0000-0000-000057020000}"/>
    <cellStyle name="formula 7" xfId="620" xr:uid="{00000000-0005-0000-0000-000058020000}"/>
    <cellStyle name="formula 8" xfId="621" xr:uid="{00000000-0005-0000-0000-000059020000}"/>
    <cellStyle name="formula_STUD aligned by INSTIT" xfId="622" xr:uid="{00000000-0005-0000-0000-00005A020000}"/>
    <cellStyle name="gap" xfId="623" xr:uid="{00000000-0005-0000-0000-00005B020000}"/>
    <cellStyle name="gap 2" xfId="624" xr:uid="{00000000-0005-0000-0000-00005C020000}"/>
    <cellStyle name="gap 2 2" xfId="625" xr:uid="{00000000-0005-0000-0000-00005D020000}"/>
    <cellStyle name="gap 2 2 2" xfId="626" xr:uid="{00000000-0005-0000-0000-00005E020000}"/>
    <cellStyle name="gap 2 2 2 2" xfId="627" xr:uid="{00000000-0005-0000-0000-00005F020000}"/>
    <cellStyle name="gap 2 2 3" xfId="628" xr:uid="{00000000-0005-0000-0000-000060020000}"/>
    <cellStyle name="gap 2 3" xfId="629" xr:uid="{00000000-0005-0000-0000-000061020000}"/>
    <cellStyle name="gap 2 4" xfId="630" xr:uid="{00000000-0005-0000-0000-000062020000}"/>
    <cellStyle name="gap 2_Tertiary Salaries Survey" xfId="631" xr:uid="{00000000-0005-0000-0000-000063020000}"/>
    <cellStyle name="gap 3" xfId="632" xr:uid="{00000000-0005-0000-0000-000064020000}"/>
    <cellStyle name="gap 3 2" xfId="633" xr:uid="{00000000-0005-0000-0000-000065020000}"/>
    <cellStyle name="gap 4" xfId="634" xr:uid="{00000000-0005-0000-0000-000066020000}"/>
    <cellStyle name="gap 5" xfId="635" xr:uid="{00000000-0005-0000-0000-000067020000}"/>
    <cellStyle name="gap_Tertiary Salaries Survey" xfId="636" xr:uid="{00000000-0005-0000-0000-000068020000}"/>
    <cellStyle name="Grey" xfId="637" xr:uid="{00000000-0005-0000-0000-000069020000}"/>
    <cellStyle name="GreyBackground" xfId="638" xr:uid="{00000000-0005-0000-0000-00006A020000}"/>
    <cellStyle name="GreyBackground 2" xfId="639" xr:uid="{00000000-0005-0000-0000-00006B020000}"/>
    <cellStyle name="GreyBackground 2 2" xfId="640" xr:uid="{00000000-0005-0000-0000-00006C020000}"/>
    <cellStyle name="GreyBackground 2_08pers" xfId="641" xr:uid="{00000000-0005-0000-0000-00006D020000}"/>
    <cellStyle name="GreyBackground 3" xfId="642" xr:uid="{00000000-0005-0000-0000-00006E020000}"/>
    <cellStyle name="GreyBackground 4" xfId="643" xr:uid="{00000000-0005-0000-0000-00006F020000}"/>
    <cellStyle name="GreyBackground 5" xfId="644" xr:uid="{00000000-0005-0000-0000-000070020000}"/>
    <cellStyle name="GreyBackground_00enrl" xfId="645" xr:uid="{00000000-0005-0000-0000-000071020000}"/>
    <cellStyle name="Header1" xfId="646" xr:uid="{00000000-0005-0000-0000-000072020000}"/>
    <cellStyle name="Header2" xfId="647" xr:uid="{00000000-0005-0000-0000-000073020000}"/>
    <cellStyle name="Heading 1 2" xfId="648" xr:uid="{00000000-0005-0000-0000-000074020000}"/>
    <cellStyle name="Heading 2 2" xfId="649" xr:uid="{00000000-0005-0000-0000-000075020000}"/>
    <cellStyle name="Heading1" xfId="650" xr:uid="{00000000-0005-0000-0000-000076020000}"/>
    <cellStyle name="Heading2" xfId="651" xr:uid="{00000000-0005-0000-0000-000077020000}"/>
    <cellStyle name="Hipervínculo" xfId="1" builtinId="8"/>
    <cellStyle name="Hipervínculo 2" xfId="24062" xr:uid="{00000000-0005-0000-0000-000079020000}"/>
    <cellStyle name="Hipervínculo visitado 2" xfId="652" xr:uid="{00000000-0005-0000-0000-00007A020000}"/>
    <cellStyle name="Hyperlink 2" xfId="653" xr:uid="{00000000-0005-0000-0000-00007B020000}"/>
    <cellStyle name="Hyperlink 3" xfId="654" xr:uid="{00000000-0005-0000-0000-00007C020000}"/>
    <cellStyle name="Hyperlink 4" xfId="655" xr:uid="{00000000-0005-0000-0000-00007D020000}"/>
    <cellStyle name="Incorrecto" xfId="24087" builtinId="27" customBuiltin="1"/>
    <cellStyle name="Input [yellow]" xfId="656" xr:uid="{00000000-0005-0000-0000-00007E020000}"/>
    <cellStyle name="ISC" xfId="657" xr:uid="{00000000-0005-0000-0000-00007F020000}"/>
    <cellStyle name="ISC 2" xfId="658" xr:uid="{00000000-0005-0000-0000-000080020000}"/>
    <cellStyle name="ISC 3" xfId="659" xr:uid="{00000000-0005-0000-0000-000081020000}"/>
    <cellStyle name="isced" xfId="660" xr:uid="{00000000-0005-0000-0000-000082020000}"/>
    <cellStyle name="isced 2" xfId="661" xr:uid="{00000000-0005-0000-0000-000083020000}"/>
    <cellStyle name="isced 2 2" xfId="662" xr:uid="{00000000-0005-0000-0000-000084020000}"/>
    <cellStyle name="isced 2 2 2" xfId="663" xr:uid="{00000000-0005-0000-0000-000085020000}"/>
    <cellStyle name="isced 2 2 2 2" xfId="664" xr:uid="{00000000-0005-0000-0000-000086020000}"/>
    <cellStyle name="isced 2 2 2 3" xfId="665" xr:uid="{00000000-0005-0000-0000-000087020000}"/>
    <cellStyle name="isced 2 2 2 4" xfId="666" xr:uid="{00000000-0005-0000-0000-000088020000}"/>
    <cellStyle name="isced 2 2 2 5" xfId="667" xr:uid="{00000000-0005-0000-0000-000089020000}"/>
    <cellStyle name="isced 2 2 3" xfId="668" xr:uid="{00000000-0005-0000-0000-00008A020000}"/>
    <cellStyle name="isced 2 2 4" xfId="669" xr:uid="{00000000-0005-0000-0000-00008B020000}"/>
    <cellStyle name="isced 2 2 5" xfId="670" xr:uid="{00000000-0005-0000-0000-00008C020000}"/>
    <cellStyle name="isced 2 2 6" xfId="671" xr:uid="{00000000-0005-0000-0000-00008D020000}"/>
    <cellStyle name="isced 2 2_STUD aligned by INSTIT" xfId="672" xr:uid="{00000000-0005-0000-0000-00008E020000}"/>
    <cellStyle name="isced 2 3" xfId="673" xr:uid="{00000000-0005-0000-0000-00008F020000}"/>
    <cellStyle name="isced 2 3 2" xfId="674" xr:uid="{00000000-0005-0000-0000-000090020000}"/>
    <cellStyle name="isced 2 3 3" xfId="675" xr:uid="{00000000-0005-0000-0000-000091020000}"/>
    <cellStyle name="isced 2 3 4" xfId="676" xr:uid="{00000000-0005-0000-0000-000092020000}"/>
    <cellStyle name="isced 2 3 5" xfId="677" xr:uid="{00000000-0005-0000-0000-000093020000}"/>
    <cellStyle name="isced 2 4" xfId="678" xr:uid="{00000000-0005-0000-0000-000094020000}"/>
    <cellStyle name="isced 2 5" xfId="679" xr:uid="{00000000-0005-0000-0000-000095020000}"/>
    <cellStyle name="isced 2 6" xfId="680" xr:uid="{00000000-0005-0000-0000-000096020000}"/>
    <cellStyle name="isced 2 7" xfId="681" xr:uid="{00000000-0005-0000-0000-000097020000}"/>
    <cellStyle name="isced 2_STUD aligned by INSTIT" xfId="682" xr:uid="{00000000-0005-0000-0000-000098020000}"/>
    <cellStyle name="isced 3" xfId="683" xr:uid="{00000000-0005-0000-0000-000099020000}"/>
    <cellStyle name="isced 3 2" xfId="684" xr:uid="{00000000-0005-0000-0000-00009A020000}"/>
    <cellStyle name="isced 3 2 2" xfId="685" xr:uid="{00000000-0005-0000-0000-00009B020000}"/>
    <cellStyle name="isced 3 2 3" xfId="686" xr:uid="{00000000-0005-0000-0000-00009C020000}"/>
    <cellStyle name="isced 3 2 4" xfId="687" xr:uid="{00000000-0005-0000-0000-00009D020000}"/>
    <cellStyle name="isced 3 2 5" xfId="688" xr:uid="{00000000-0005-0000-0000-00009E020000}"/>
    <cellStyle name="isced 3 3" xfId="689" xr:uid="{00000000-0005-0000-0000-00009F020000}"/>
    <cellStyle name="isced 3 4" xfId="690" xr:uid="{00000000-0005-0000-0000-0000A0020000}"/>
    <cellStyle name="isced 3 5" xfId="691" xr:uid="{00000000-0005-0000-0000-0000A1020000}"/>
    <cellStyle name="isced 3 6" xfId="692" xr:uid="{00000000-0005-0000-0000-0000A2020000}"/>
    <cellStyle name="isced 3_STUD aligned by INSTIT" xfId="693" xr:uid="{00000000-0005-0000-0000-0000A3020000}"/>
    <cellStyle name="isced 4" xfId="694" xr:uid="{00000000-0005-0000-0000-0000A4020000}"/>
    <cellStyle name="isced 4 2" xfId="695" xr:uid="{00000000-0005-0000-0000-0000A5020000}"/>
    <cellStyle name="isced 4 3" xfId="696" xr:uid="{00000000-0005-0000-0000-0000A6020000}"/>
    <cellStyle name="isced 4 4" xfId="697" xr:uid="{00000000-0005-0000-0000-0000A7020000}"/>
    <cellStyle name="isced 4 5" xfId="698" xr:uid="{00000000-0005-0000-0000-0000A8020000}"/>
    <cellStyle name="isced 5" xfId="699" xr:uid="{00000000-0005-0000-0000-0000A9020000}"/>
    <cellStyle name="isced 6" xfId="700" xr:uid="{00000000-0005-0000-0000-0000AA020000}"/>
    <cellStyle name="isced 7" xfId="701" xr:uid="{00000000-0005-0000-0000-0000AB020000}"/>
    <cellStyle name="isced 8" xfId="702" xr:uid="{00000000-0005-0000-0000-0000AC020000}"/>
    <cellStyle name="ISCED Titles" xfId="703" xr:uid="{00000000-0005-0000-0000-0000AD020000}"/>
    <cellStyle name="isced_05enrl_REVISED_2" xfId="704" xr:uid="{00000000-0005-0000-0000-0000AE020000}"/>
    <cellStyle name="level1a" xfId="705" xr:uid="{00000000-0005-0000-0000-0000AF020000}"/>
    <cellStyle name="level1a 10" xfId="706" xr:uid="{00000000-0005-0000-0000-0000B0020000}"/>
    <cellStyle name="level1a 10 2" xfId="707" xr:uid="{00000000-0005-0000-0000-0000B1020000}"/>
    <cellStyle name="level1a 10 2 2" xfId="708" xr:uid="{00000000-0005-0000-0000-0000B2020000}"/>
    <cellStyle name="level1a 10 2 2 2" xfId="709" xr:uid="{00000000-0005-0000-0000-0000B3020000}"/>
    <cellStyle name="level1a 10 2 3" xfId="710" xr:uid="{00000000-0005-0000-0000-0000B4020000}"/>
    <cellStyle name="level1a 10 3" xfId="711" xr:uid="{00000000-0005-0000-0000-0000B5020000}"/>
    <cellStyle name="level1a 10 3 2" xfId="712" xr:uid="{00000000-0005-0000-0000-0000B6020000}"/>
    <cellStyle name="level1a 10 3 2 2" xfId="713" xr:uid="{00000000-0005-0000-0000-0000B7020000}"/>
    <cellStyle name="level1a 10 3 3" xfId="714" xr:uid="{00000000-0005-0000-0000-0000B8020000}"/>
    <cellStyle name="level1a 10 4" xfId="715" xr:uid="{00000000-0005-0000-0000-0000B9020000}"/>
    <cellStyle name="level1a 10 5" xfId="716" xr:uid="{00000000-0005-0000-0000-0000BA020000}"/>
    <cellStyle name="level1a 10 5 2" xfId="717" xr:uid="{00000000-0005-0000-0000-0000BB020000}"/>
    <cellStyle name="level1a 10 6" xfId="718" xr:uid="{00000000-0005-0000-0000-0000BC020000}"/>
    <cellStyle name="level1a 11" xfId="719" xr:uid="{00000000-0005-0000-0000-0000BD020000}"/>
    <cellStyle name="level1a 11 2" xfId="720" xr:uid="{00000000-0005-0000-0000-0000BE020000}"/>
    <cellStyle name="level1a 11 2 2" xfId="721" xr:uid="{00000000-0005-0000-0000-0000BF020000}"/>
    <cellStyle name="level1a 11 2 2 2" xfId="722" xr:uid="{00000000-0005-0000-0000-0000C0020000}"/>
    <cellStyle name="level1a 11 2 3" xfId="723" xr:uid="{00000000-0005-0000-0000-0000C1020000}"/>
    <cellStyle name="level1a 11 3" xfId="724" xr:uid="{00000000-0005-0000-0000-0000C2020000}"/>
    <cellStyle name="level1a 11 3 2" xfId="725" xr:uid="{00000000-0005-0000-0000-0000C3020000}"/>
    <cellStyle name="level1a 11 3 2 2" xfId="726" xr:uid="{00000000-0005-0000-0000-0000C4020000}"/>
    <cellStyle name="level1a 11 3 3" xfId="727" xr:uid="{00000000-0005-0000-0000-0000C5020000}"/>
    <cellStyle name="level1a 11 4" xfId="728" xr:uid="{00000000-0005-0000-0000-0000C6020000}"/>
    <cellStyle name="level1a 11 4 2" xfId="729" xr:uid="{00000000-0005-0000-0000-0000C7020000}"/>
    <cellStyle name="level1a 11 5" xfId="730" xr:uid="{00000000-0005-0000-0000-0000C8020000}"/>
    <cellStyle name="level1a 12" xfId="731" xr:uid="{00000000-0005-0000-0000-0000C9020000}"/>
    <cellStyle name="level1a 12 2" xfId="732" xr:uid="{00000000-0005-0000-0000-0000CA020000}"/>
    <cellStyle name="level1a 12 2 2" xfId="733" xr:uid="{00000000-0005-0000-0000-0000CB020000}"/>
    <cellStyle name="level1a 12 3" xfId="734" xr:uid="{00000000-0005-0000-0000-0000CC020000}"/>
    <cellStyle name="level1a 13" xfId="735" xr:uid="{00000000-0005-0000-0000-0000CD020000}"/>
    <cellStyle name="level1a 14" xfId="736" xr:uid="{00000000-0005-0000-0000-0000CE020000}"/>
    <cellStyle name="level1a 15" xfId="737" xr:uid="{00000000-0005-0000-0000-0000CF020000}"/>
    <cellStyle name="level1a 2" xfId="738" xr:uid="{00000000-0005-0000-0000-0000D0020000}"/>
    <cellStyle name="level1a 2 10" xfId="739" xr:uid="{00000000-0005-0000-0000-0000D1020000}"/>
    <cellStyle name="level1a 2 10 2" xfId="740" xr:uid="{00000000-0005-0000-0000-0000D2020000}"/>
    <cellStyle name="level1a 2 10 2 2" xfId="741" xr:uid="{00000000-0005-0000-0000-0000D3020000}"/>
    <cellStyle name="level1a 2 10 2 2 2" xfId="742" xr:uid="{00000000-0005-0000-0000-0000D4020000}"/>
    <cellStyle name="level1a 2 10 2 3" xfId="743" xr:uid="{00000000-0005-0000-0000-0000D5020000}"/>
    <cellStyle name="level1a 2 10 3" xfId="744" xr:uid="{00000000-0005-0000-0000-0000D6020000}"/>
    <cellStyle name="level1a 2 10 3 2" xfId="745" xr:uid="{00000000-0005-0000-0000-0000D7020000}"/>
    <cellStyle name="level1a 2 10 3 2 2" xfId="746" xr:uid="{00000000-0005-0000-0000-0000D8020000}"/>
    <cellStyle name="level1a 2 10 3 3" xfId="747" xr:uid="{00000000-0005-0000-0000-0000D9020000}"/>
    <cellStyle name="level1a 2 10 4" xfId="748" xr:uid="{00000000-0005-0000-0000-0000DA020000}"/>
    <cellStyle name="level1a 2 10 5" xfId="749" xr:uid="{00000000-0005-0000-0000-0000DB020000}"/>
    <cellStyle name="level1a 2 10 5 2" xfId="750" xr:uid="{00000000-0005-0000-0000-0000DC020000}"/>
    <cellStyle name="level1a 2 10 6" xfId="751" xr:uid="{00000000-0005-0000-0000-0000DD020000}"/>
    <cellStyle name="level1a 2 11" xfId="752" xr:uid="{00000000-0005-0000-0000-0000DE020000}"/>
    <cellStyle name="level1a 2 11 2" xfId="753" xr:uid="{00000000-0005-0000-0000-0000DF020000}"/>
    <cellStyle name="level1a 2 11 2 2" xfId="754" xr:uid="{00000000-0005-0000-0000-0000E0020000}"/>
    <cellStyle name="level1a 2 11 2 2 2" xfId="755" xr:uid="{00000000-0005-0000-0000-0000E1020000}"/>
    <cellStyle name="level1a 2 11 2 3" xfId="756" xr:uid="{00000000-0005-0000-0000-0000E2020000}"/>
    <cellStyle name="level1a 2 11 3" xfId="757" xr:uid="{00000000-0005-0000-0000-0000E3020000}"/>
    <cellStyle name="level1a 2 11 3 2" xfId="758" xr:uid="{00000000-0005-0000-0000-0000E4020000}"/>
    <cellStyle name="level1a 2 11 3 2 2" xfId="759" xr:uid="{00000000-0005-0000-0000-0000E5020000}"/>
    <cellStyle name="level1a 2 11 3 3" xfId="760" xr:uid="{00000000-0005-0000-0000-0000E6020000}"/>
    <cellStyle name="level1a 2 11 4" xfId="761" xr:uid="{00000000-0005-0000-0000-0000E7020000}"/>
    <cellStyle name="level1a 2 11 4 2" xfId="762" xr:uid="{00000000-0005-0000-0000-0000E8020000}"/>
    <cellStyle name="level1a 2 11 5" xfId="763" xr:uid="{00000000-0005-0000-0000-0000E9020000}"/>
    <cellStyle name="level1a 2 12" xfId="764" xr:uid="{00000000-0005-0000-0000-0000EA020000}"/>
    <cellStyle name="level1a 2 12 2" xfId="765" xr:uid="{00000000-0005-0000-0000-0000EB020000}"/>
    <cellStyle name="level1a 2 12 2 2" xfId="766" xr:uid="{00000000-0005-0000-0000-0000EC020000}"/>
    <cellStyle name="level1a 2 12 3" xfId="767" xr:uid="{00000000-0005-0000-0000-0000ED020000}"/>
    <cellStyle name="level1a 2 13" xfId="768" xr:uid="{00000000-0005-0000-0000-0000EE020000}"/>
    <cellStyle name="level1a 2 14" xfId="769" xr:uid="{00000000-0005-0000-0000-0000EF020000}"/>
    <cellStyle name="level1a 2 2" xfId="770" xr:uid="{00000000-0005-0000-0000-0000F0020000}"/>
    <cellStyle name="level1a 2 2 10" xfId="771" xr:uid="{00000000-0005-0000-0000-0000F1020000}"/>
    <cellStyle name="level1a 2 2 10 2" xfId="772" xr:uid="{00000000-0005-0000-0000-0000F2020000}"/>
    <cellStyle name="level1a 2 2 10 2 2" xfId="773" xr:uid="{00000000-0005-0000-0000-0000F3020000}"/>
    <cellStyle name="level1a 2 2 10 2 2 2" xfId="774" xr:uid="{00000000-0005-0000-0000-0000F4020000}"/>
    <cellStyle name="level1a 2 2 10 2 3" xfId="775" xr:uid="{00000000-0005-0000-0000-0000F5020000}"/>
    <cellStyle name="level1a 2 2 10 3" xfId="776" xr:uid="{00000000-0005-0000-0000-0000F6020000}"/>
    <cellStyle name="level1a 2 2 10 3 2" xfId="777" xr:uid="{00000000-0005-0000-0000-0000F7020000}"/>
    <cellStyle name="level1a 2 2 10 3 2 2" xfId="778" xr:uid="{00000000-0005-0000-0000-0000F8020000}"/>
    <cellStyle name="level1a 2 2 10 3 3" xfId="779" xr:uid="{00000000-0005-0000-0000-0000F9020000}"/>
    <cellStyle name="level1a 2 2 10 4" xfId="780" xr:uid="{00000000-0005-0000-0000-0000FA020000}"/>
    <cellStyle name="level1a 2 2 10 4 2" xfId="781" xr:uid="{00000000-0005-0000-0000-0000FB020000}"/>
    <cellStyle name="level1a 2 2 10 5" xfId="782" xr:uid="{00000000-0005-0000-0000-0000FC020000}"/>
    <cellStyle name="level1a 2 2 11" xfId="783" xr:uid="{00000000-0005-0000-0000-0000FD020000}"/>
    <cellStyle name="level1a 2 2 11 2" xfId="784" xr:uid="{00000000-0005-0000-0000-0000FE020000}"/>
    <cellStyle name="level1a 2 2 11 2 2" xfId="785" xr:uid="{00000000-0005-0000-0000-0000FF020000}"/>
    <cellStyle name="level1a 2 2 11 3" xfId="786" xr:uid="{00000000-0005-0000-0000-000000030000}"/>
    <cellStyle name="level1a 2 2 12" xfId="787" xr:uid="{00000000-0005-0000-0000-000001030000}"/>
    <cellStyle name="level1a 2 2 2" xfId="788" xr:uid="{00000000-0005-0000-0000-000002030000}"/>
    <cellStyle name="level1a 2 2 2 10" xfId="789" xr:uid="{00000000-0005-0000-0000-000003030000}"/>
    <cellStyle name="level1a 2 2 2 2" xfId="790" xr:uid="{00000000-0005-0000-0000-000004030000}"/>
    <cellStyle name="level1a 2 2 2 2 2" xfId="791" xr:uid="{00000000-0005-0000-0000-000005030000}"/>
    <cellStyle name="level1a 2 2 2 2 2 2" xfId="792" xr:uid="{00000000-0005-0000-0000-000006030000}"/>
    <cellStyle name="level1a 2 2 2 2 2 2 2" xfId="793" xr:uid="{00000000-0005-0000-0000-000007030000}"/>
    <cellStyle name="level1a 2 2 2 2 2 2 2 2" xfId="794" xr:uid="{00000000-0005-0000-0000-000008030000}"/>
    <cellStyle name="level1a 2 2 2 2 2 2 3" xfId="795" xr:uid="{00000000-0005-0000-0000-000009030000}"/>
    <cellStyle name="level1a 2 2 2 2 2 3" xfId="796" xr:uid="{00000000-0005-0000-0000-00000A030000}"/>
    <cellStyle name="level1a 2 2 2 2 2 3 2" xfId="797" xr:uid="{00000000-0005-0000-0000-00000B030000}"/>
    <cellStyle name="level1a 2 2 2 2 2 3 2 2" xfId="798" xr:uid="{00000000-0005-0000-0000-00000C030000}"/>
    <cellStyle name="level1a 2 2 2 2 2 3 3" xfId="799" xr:uid="{00000000-0005-0000-0000-00000D030000}"/>
    <cellStyle name="level1a 2 2 2 2 2 4" xfId="800" xr:uid="{00000000-0005-0000-0000-00000E030000}"/>
    <cellStyle name="level1a 2 2 2 2 2 5" xfId="801" xr:uid="{00000000-0005-0000-0000-00000F030000}"/>
    <cellStyle name="level1a 2 2 2 2 2 5 2" xfId="802" xr:uid="{00000000-0005-0000-0000-000010030000}"/>
    <cellStyle name="level1a 2 2 2 2 3" xfId="803" xr:uid="{00000000-0005-0000-0000-000011030000}"/>
    <cellStyle name="level1a 2 2 2 2 3 2" xfId="804" xr:uid="{00000000-0005-0000-0000-000012030000}"/>
    <cellStyle name="level1a 2 2 2 2 3 2 2" xfId="805" xr:uid="{00000000-0005-0000-0000-000013030000}"/>
    <cellStyle name="level1a 2 2 2 2 3 2 2 2" xfId="806" xr:uid="{00000000-0005-0000-0000-000014030000}"/>
    <cellStyle name="level1a 2 2 2 2 3 2 3" xfId="807" xr:uid="{00000000-0005-0000-0000-000015030000}"/>
    <cellStyle name="level1a 2 2 2 2 3 3" xfId="808" xr:uid="{00000000-0005-0000-0000-000016030000}"/>
    <cellStyle name="level1a 2 2 2 2 3 3 2" xfId="809" xr:uid="{00000000-0005-0000-0000-000017030000}"/>
    <cellStyle name="level1a 2 2 2 2 3 3 2 2" xfId="810" xr:uid="{00000000-0005-0000-0000-000018030000}"/>
    <cellStyle name="level1a 2 2 2 2 3 3 3" xfId="811" xr:uid="{00000000-0005-0000-0000-000019030000}"/>
    <cellStyle name="level1a 2 2 2 2 3 4" xfId="812" xr:uid="{00000000-0005-0000-0000-00001A030000}"/>
    <cellStyle name="level1a 2 2 2 2 3 5" xfId="813" xr:uid="{00000000-0005-0000-0000-00001B030000}"/>
    <cellStyle name="level1a 2 2 2 2 4" xfId="814" xr:uid="{00000000-0005-0000-0000-00001C030000}"/>
    <cellStyle name="level1a 2 2 2 2 4 2" xfId="815" xr:uid="{00000000-0005-0000-0000-00001D030000}"/>
    <cellStyle name="level1a 2 2 2 2 4 2 2" xfId="816" xr:uid="{00000000-0005-0000-0000-00001E030000}"/>
    <cellStyle name="level1a 2 2 2 2 4 2 2 2" xfId="817" xr:uid="{00000000-0005-0000-0000-00001F030000}"/>
    <cellStyle name="level1a 2 2 2 2 4 2 3" xfId="818" xr:uid="{00000000-0005-0000-0000-000020030000}"/>
    <cellStyle name="level1a 2 2 2 2 4 3" xfId="819" xr:uid="{00000000-0005-0000-0000-000021030000}"/>
    <cellStyle name="level1a 2 2 2 2 4 3 2" xfId="820" xr:uid="{00000000-0005-0000-0000-000022030000}"/>
    <cellStyle name="level1a 2 2 2 2 4 3 2 2" xfId="821" xr:uid="{00000000-0005-0000-0000-000023030000}"/>
    <cellStyle name="level1a 2 2 2 2 4 3 3" xfId="822" xr:uid="{00000000-0005-0000-0000-000024030000}"/>
    <cellStyle name="level1a 2 2 2 2 4 4" xfId="823" xr:uid="{00000000-0005-0000-0000-000025030000}"/>
    <cellStyle name="level1a 2 2 2 2 4 5" xfId="824" xr:uid="{00000000-0005-0000-0000-000026030000}"/>
    <cellStyle name="level1a 2 2 2 2 4 5 2" xfId="825" xr:uid="{00000000-0005-0000-0000-000027030000}"/>
    <cellStyle name="level1a 2 2 2 2 4 6" xfId="826" xr:uid="{00000000-0005-0000-0000-000028030000}"/>
    <cellStyle name="level1a 2 2 2 2 5" xfId="827" xr:uid="{00000000-0005-0000-0000-000029030000}"/>
    <cellStyle name="level1a 2 2 2 2 5 2" xfId="828" xr:uid="{00000000-0005-0000-0000-00002A030000}"/>
    <cellStyle name="level1a 2 2 2 2 5 2 2" xfId="829" xr:uid="{00000000-0005-0000-0000-00002B030000}"/>
    <cellStyle name="level1a 2 2 2 2 5 2 2 2" xfId="830" xr:uid="{00000000-0005-0000-0000-00002C030000}"/>
    <cellStyle name="level1a 2 2 2 2 5 2 3" xfId="831" xr:uid="{00000000-0005-0000-0000-00002D030000}"/>
    <cellStyle name="level1a 2 2 2 2 5 3" xfId="832" xr:uid="{00000000-0005-0000-0000-00002E030000}"/>
    <cellStyle name="level1a 2 2 2 2 5 3 2" xfId="833" xr:uid="{00000000-0005-0000-0000-00002F030000}"/>
    <cellStyle name="level1a 2 2 2 2 5 3 2 2" xfId="834" xr:uid="{00000000-0005-0000-0000-000030030000}"/>
    <cellStyle name="level1a 2 2 2 2 5 3 3" xfId="835" xr:uid="{00000000-0005-0000-0000-000031030000}"/>
    <cellStyle name="level1a 2 2 2 2 5 4" xfId="836" xr:uid="{00000000-0005-0000-0000-000032030000}"/>
    <cellStyle name="level1a 2 2 2 2 5 4 2" xfId="837" xr:uid="{00000000-0005-0000-0000-000033030000}"/>
    <cellStyle name="level1a 2 2 2 2 5 5" xfId="838" xr:uid="{00000000-0005-0000-0000-000034030000}"/>
    <cellStyle name="level1a 2 2 2 2 6" xfId="839" xr:uid="{00000000-0005-0000-0000-000035030000}"/>
    <cellStyle name="level1a 2 2 2 2 6 2" xfId="840" xr:uid="{00000000-0005-0000-0000-000036030000}"/>
    <cellStyle name="level1a 2 2 2 2 6 2 2" xfId="841" xr:uid="{00000000-0005-0000-0000-000037030000}"/>
    <cellStyle name="level1a 2 2 2 2 6 2 2 2" xfId="842" xr:uid="{00000000-0005-0000-0000-000038030000}"/>
    <cellStyle name="level1a 2 2 2 2 6 2 3" xfId="843" xr:uid="{00000000-0005-0000-0000-000039030000}"/>
    <cellStyle name="level1a 2 2 2 2 6 3" xfId="844" xr:uid="{00000000-0005-0000-0000-00003A030000}"/>
    <cellStyle name="level1a 2 2 2 2 6 3 2" xfId="845" xr:uid="{00000000-0005-0000-0000-00003B030000}"/>
    <cellStyle name="level1a 2 2 2 2 6 3 2 2" xfId="846" xr:uid="{00000000-0005-0000-0000-00003C030000}"/>
    <cellStyle name="level1a 2 2 2 2 6 3 3" xfId="847" xr:uid="{00000000-0005-0000-0000-00003D030000}"/>
    <cellStyle name="level1a 2 2 2 2 6 4" xfId="848" xr:uid="{00000000-0005-0000-0000-00003E030000}"/>
    <cellStyle name="level1a 2 2 2 2 6 4 2" xfId="849" xr:uid="{00000000-0005-0000-0000-00003F030000}"/>
    <cellStyle name="level1a 2 2 2 2 6 5" xfId="850" xr:uid="{00000000-0005-0000-0000-000040030000}"/>
    <cellStyle name="level1a 2 2 2 2 7" xfId="851" xr:uid="{00000000-0005-0000-0000-000041030000}"/>
    <cellStyle name="level1a 2 2 2 2 7 2" xfId="852" xr:uid="{00000000-0005-0000-0000-000042030000}"/>
    <cellStyle name="level1a 2 2 2 2 7 2 2" xfId="853" xr:uid="{00000000-0005-0000-0000-000043030000}"/>
    <cellStyle name="level1a 2 2 2 2 7 3" xfId="854" xr:uid="{00000000-0005-0000-0000-000044030000}"/>
    <cellStyle name="level1a 2 2 2 2_STUD aligned by INSTIT" xfId="855" xr:uid="{00000000-0005-0000-0000-000045030000}"/>
    <cellStyle name="level1a 2 2 2 3" xfId="856" xr:uid="{00000000-0005-0000-0000-000046030000}"/>
    <cellStyle name="level1a 2 2 2 3 2" xfId="857" xr:uid="{00000000-0005-0000-0000-000047030000}"/>
    <cellStyle name="level1a 2 2 2 3 2 2" xfId="858" xr:uid="{00000000-0005-0000-0000-000048030000}"/>
    <cellStyle name="level1a 2 2 2 3 2 2 2" xfId="859" xr:uid="{00000000-0005-0000-0000-000049030000}"/>
    <cellStyle name="level1a 2 2 2 3 2 2 2 2" xfId="860" xr:uid="{00000000-0005-0000-0000-00004A030000}"/>
    <cellStyle name="level1a 2 2 2 3 2 2 3" xfId="861" xr:uid="{00000000-0005-0000-0000-00004B030000}"/>
    <cellStyle name="level1a 2 2 2 3 2 3" xfId="862" xr:uid="{00000000-0005-0000-0000-00004C030000}"/>
    <cellStyle name="level1a 2 2 2 3 2 3 2" xfId="863" xr:uid="{00000000-0005-0000-0000-00004D030000}"/>
    <cellStyle name="level1a 2 2 2 3 2 3 2 2" xfId="864" xr:uid="{00000000-0005-0000-0000-00004E030000}"/>
    <cellStyle name="level1a 2 2 2 3 2 3 3" xfId="865" xr:uid="{00000000-0005-0000-0000-00004F030000}"/>
    <cellStyle name="level1a 2 2 2 3 2 4" xfId="866" xr:uid="{00000000-0005-0000-0000-000050030000}"/>
    <cellStyle name="level1a 2 2 2 3 2 5" xfId="867" xr:uid="{00000000-0005-0000-0000-000051030000}"/>
    <cellStyle name="level1a 2 2 2 3 3" xfId="868" xr:uid="{00000000-0005-0000-0000-000052030000}"/>
    <cellStyle name="level1a 2 2 2 3 3 2" xfId="869" xr:uid="{00000000-0005-0000-0000-000053030000}"/>
    <cellStyle name="level1a 2 2 2 3 3 2 2" xfId="870" xr:uid="{00000000-0005-0000-0000-000054030000}"/>
    <cellStyle name="level1a 2 2 2 3 3 2 2 2" xfId="871" xr:uid="{00000000-0005-0000-0000-000055030000}"/>
    <cellStyle name="level1a 2 2 2 3 3 2 3" xfId="872" xr:uid="{00000000-0005-0000-0000-000056030000}"/>
    <cellStyle name="level1a 2 2 2 3 3 3" xfId="873" xr:uid="{00000000-0005-0000-0000-000057030000}"/>
    <cellStyle name="level1a 2 2 2 3 3 3 2" xfId="874" xr:uid="{00000000-0005-0000-0000-000058030000}"/>
    <cellStyle name="level1a 2 2 2 3 3 3 2 2" xfId="875" xr:uid="{00000000-0005-0000-0000-000059030000}"/>
    <cellStyle name="level1a 2 2 2 3 3 3 3" xfId="876" xr:uid="{00000000-0005-0000-0000-00005A030000}"/>
    <cellStyle name="level1a 2 2 2 3 3 4" xfId="877" xr:uid="{00000000-0005-0000-0000-00005B030000}"/>
    <cellStyle name="level1a 2 2 2 3 3 4 2" xfId="878" xr:uid="{00000000-0005-0000-0000-00005C030000}"/>
    <cellStyle name="level1a 2 2 2 3 4" xfId="879" xr:uid="{00000000-0005-0000-0000-00005D030000}"/>
    <cellStyle name="level1a 2 2 2 3 4 2" xfId="880" xr:uid="{00000000-0005-0000-0000-00005E030000}"/>
    <cellStyle name="level1a 2 2 2 3 4 2 2" xfId="881" xr:uid="{00000000-0005-0000-0000-00005F030000}"/>
    <cellStyle name="level1a 2 2 2 3 4 2 2 2" xfId="882" xr:uid="{00000000-0005-0000-0000-000060030000}"/>
    <cellStyle name="level1a 2 2 2 3 4 2 3" xfId="883" xr:uid="{00000000-0005-0000-0000-000061030000}"/>
    <cellStyle name="level1a 2 2 2 3 4 3" xfId="884" xr:uid="{00000000-0005-0000-0000-000062030000}"/>
    <cellStyle name="level1a 2 2 2 3 4 3 2" xfId="885" xr:uid="{00000000-0005-0000-0000-000063030000}"/>
    <cellStyle name="level1a 2 2 2 3 4 3 2 2" xfId="886" xr:uid="{00000000-0005-0000-0000-000064030000}"/>
    <cellStyle name="level1a 2 2 2 3 4 3 3" xfId="887" xr:uid="{00000000-0005-0000-0000-000065030000}"/>
    <cellStyle name="level1a 2 2 2 3 4 4" xfId="888" xr:uid="{00000000-0005-0000-0000-000066030000}"/>
    <cellStyle name="level1a 2 2 2 3 4 4 2" xfId="889" xr:uid="{00000000-0005-0000-0000-000067030000}"/>
    <cellStyle name="level1a 2 2 2 3 4 5" xfId="890" xr:uid="{00000000-0005-0000-0000-000068030000}"/>
    <cellStyle name="level1a 2 2 2 3 5" xfId="891" xr:uid="{00000000-0005-0000-0000-000069030000}"/>
    <cellStyle name="level1a 2 2 2 3 5 2" xfId="892" xr:uid="{00000000-0005-0000-0000-00006A030000}"/>
    <cellStyle name="level1a 2 2 2 3 5 2 2" xfId="893" xr:uid="{00000000-0005-0000-0000-00006B030000}"/>
    <cellStyle name="level1a 2 2 2 3 5 2 2 2" xfId="894" xr:uid="{00000000-0005-0000-0000-00006C030000}"/>
    <cellStyle name="level1a 2 2 2 3 5 2 3" xfId="895" xr:uid="{00000000-0005-0000-0000-00006D030000}"/>
    <cellStyle name="level1a 2 2 2 3 5 3" xfId="896" xr:uid="{00000000-0005-0000-0000-00006E030000}"/>
    <cellStyle name="level1a 2 2 2 3 5 3 2" xfId="897" xr:uid="{00000000-0005-0000-0000-00006F030000}"/>
    <cellStyle name="level1a 2 2 2 3 5 3 2 2" xfId="898" xr:uid="{00000000-0005-0000-0000-000070030000}"/>
    <cellStyle name="level1a 2 2 2 3 5 3 3" xfId="899" xr:uid="{00000000-0005-0000-0000-000071030000}"/>
    <cellStyle name="level1a 2 2 2 3 5 4" xfId="900" xr:uid="{00000000-0005-0000-0000-000072030000}"/>
    <cellStyle name="level1a 2 2 2 3 5 4 2" xfId="901" xr:uid="{00000000-0005-0000-0000-000073030000}"/>
    <cellStyle name="level1a 2 2 2 3 5 5" xfId="902" xr:uid="{00000000-0005-0000-0000-000074030000}"/>
    <cellStyle name="level1a 2 2 2 3 6" xfId="903" xr:uid="{00000000-0005-0000-0000-000075030000}"/>
    <cellStyle name="level1a 2 2 2 3 6 2" xfId="904" xr:uid="{00000000-0005-0000-0000-000076030000}"/>
    <cellStyle name="level1a 2 2 2 3 6 2 2" xfId="905" xr:uid="{00000000-0005-0000-0000-000077030000}"/>
    <cellStyle name="level1a 2 2 2 3 6 2 2 2" xfId="906" xr:uid="{00000000-0005-0000-0000-000078030000}"/>
    <cellStyle name="level1a 2 2 2 3 6 2 3" xfId="907" xr:uid="{00000000-0005-0000-0000-000079030000}"/>
    <cellStyle name="level1a 2 2 2 3 6 3" xfId="908" xr:uid="{00000000-0005-0000-0000-00007A030000}"/>
    <cellStyle name="level1a 2 2 2 3 6 3 2" xfId="909" xr:uid="{00000000-0005-0000-0000-00007B030000}"/>
    <cellStyle name="level1a 2 2 2 3 6 3 2 2" xfId="910" xr:uid="{00000000-0005-0000-0000-00007C030000}"/>
    <cellStyle name="level1a 2 2 2 3 6 3 3" xfId="911" xr:uid="{00000000-0005-0000-0000-00007D030000}"/>
    <cellStyle name="level1a 2 2 2 3 6 4" xfId="912" xr:uid="{00000000-0005-0000-0000-00007E030000}"/>
    <cellStyle name="level1a 2 2 2 3 6 4 2" xfId="913" xr:uid="{00000000-0005-0000-0000-00007F030000}"/>
    <cellStyle name="level1a 2 2 2 3 6 5" xfId="914" xr:uid="{00000000-0005-0000-0000-000080030000}"/>
    <cellStyle name="level1a 2 2 2 3 7" xfId="915" xr:uid="{00000000-0005-0000-0000-000081030000}"/>
    <cellStyle name="level1a 2 2 2 3 7 2" xfId="916" xr:uid="{00000000-0005-0000-0000-000082030000}"/>
    <cellStyle name="level1a 2 2 2 3 7 2 2" xfId="917" xr:uid="{00000000-0005-0000-0000-000083030000}"/>
    <cellStyle name="level1a 2 2 2 3 7 3" xfId="918" xr:uid="{00000000-0005-0000-0000-000084030000}"/>
    <cellStyle name="level1a 2 2 2 3 8" xfId="919" xr:uid="{00000000-0005-0000-0000-000085030000}"/>
    <cellStyle name="level1a 2 2 2 3 8 2" xfId="920" xr:uid="{00000000-0005-0000-0000-000086030000}"/>
    <cellStyle name="level1a 2 2 2 3 8 2 2" xfId="921" xr:uid="{00000000-0005-0000-0000-000087030000}"/>
    <cellStyle name="level1a 2 2 2 3 8 3" xfId="922" xr:uid="{00000000-0005-0000-0000-000088030000}"/>
    <cellStyle name="level1a 2 2 2 3_STUD aligned by INSTIT" xfId="923" xr:uid="{00000000-0005-0000-0000-000089030000}"/>
    <cellStyle name="level1a 2 2 2 4" xfId="924" xr:uid="{00000000-0005-0000-0000-00008A030000}"/>
    <cellStyle name="level1a 2 2 2 4 2" xfId="925" xr:uid="{00000000-0005-0000-0000-00008B030000}"/>
    <cellStyle name="level1a 2 2 2 4 2 2" xfId="926" xr:uid="{00000000-0005-0000-0000-00008C030000}"/>
    <cellStyle name="level1a 2 2 2 4 2 2 2" xfId="927" xr:uid="{00000000-0005-0000-0000-00008D030000}"/>
    <cellStyle name="level1a 2 2 2 4 2 3" xfId="928" xr:uid="{00000000-0005-0000-0000-00008E030000}"/>
    <cellStyle name="level1a 2 2 2 4 3" xfId="929" xr:uid="{00000000-0005-0000-0000-00008F030000}"/>
    <cellStyle name="level1a 2 2 2 4 3 2" xfId="930" xr:uid="{00000000-0005-0000-0000-000090030000}"/>
    <cellStyle name="level1a 2 2 2 4 3 2 2" xfId="931" xr:uid="{00000000-0005-0000-0000-000091030000}"/>
    <cellStyle name="level1a 2 2 2 4 3 3" xfId="932" xr:uid="{00000000-0005-0000-0000-000092030000}"/>
    <cellStyle name="level1a 2 2 2 4 4" xfId="933" xr:uid="{00000000-0005-0000-0000-000093030000}"/>
    <cellStyle name="level1a 2 2 2 4 5" xfId="934" xr:uid="{00000000-0005-0000-0000-000094030000}"/>
    <cellStyle name="level1a 2 2 2 4 5 2" xfId="935" xr:uid="{00000000-0005-0000-0000-000095030000}"/>
    <cellStyle name="level1a 2 2 2 5" xfId="936" xr:uid="{00000000-0005-0000-0000-000096030000}"/>
    <cellStyle name="level1a 2 2 2 5 2" xfId="937" xr:uid="{00000000-0005-0000-0000-000097030000}"/>
    <cellStyle name="level1a 2 2 2 5 2 2" xfId="938" xr:uid="{00000000-0005-0000-0000-000098030000}"/>
    <cellStyle name="level1a 2 2 2 5 2 2 2" xfId="939" xr:uid="{00000000-0005-0000-0000-000099030000}"/>
    <cellStyle name="level1a 2 2 2 5 2 3" xfId="940" xr:uid="{00000000-0005-0000-0000-00009A030000}"/>
    <cellStyle name="level1a 2 2 2 5 3" xfId="941" xr:uid="{00000000-0005-0000-0000-00009B030000}"/>
    <cellStyle name="level1a 2 2 2 5 3 2" xfId="942" xr:uid="{00000000-0005-0000-0000-00009C030000}"/>
    <cellStyle name="level1a 2 2 2 5 3 2 2" xfId="943" xr:uid="{00000000-0005-0000-0000-00009D030000}"/>
    <cellStyle name="level1a 2 2 2 5 3 3" xfId="944" xr:uid="{00000000-0005-0000-0000-00009E030000}"/>
    <cellStyle name="level1a 2 2 2 5 4" xfId="945" xr:uid="{00000000-0005-0000-0000-00009F030000}"/>
    <cellStyle name="level1a 2 2 2 5 5" xfId="946" xr:uid="{00000000-0005-0000-0000-0000A0030000}"/>
    <cellStyle name="level1a 2 2 2 5 5 2" xfId="947" xr:uid="{00000000-0005-0000-0000-0000A1030000}"/>
    <cellStyle name="level1a 2 2 2 5 6" xfId="948" xr:uid="{00000000-0005-0000-0000-0000A2030000}"/>
    <cellStyle name="level1a 2 2 2 6" xfId="949" xr:uid="{00000000-0005-0000-0000-0000A3030000}"/>
    <cellStyle name="level1a 2 2 2 6 2" xfId="950" xr:uid="{00000000-0005-0000-0000-0000A4030000}"/>
    <cellStyle name="level1a 2 2 2 6 2 2" xfId="951" xr:uid="{00000000-0005-0000-0000-0000A5030000}"/>
    <cellStyle name="level1a 2 2 2 6 2 2 2" xfId="952" xr:uid="{00000000-0005-0000-0000-0000A6030000}"/>
    <cellStyle name="level1a 2 2 2 6 2 3" xfId="953" xr:uid="{00000000-0005-0000-0000-0000A7030000}"/>
    <cellStyle name="level1a 2 2 2 6 3" xfId="954" xr:uid="{00000000-0005-0000-0000-0000A8030000}"/>
    <cellStyle name="level1a 2 2 2 6 3 2" xfId="955" xr:uid="{00000000-0005-0000-0000-0000A9030000}"/>
    <cellStyle name="level1a 2 2 2 6 3 2 2" xfId="956" xr:uid="{00000000-0005-0000-0000-0000AA030000}"/>
    <cellStyle name="level1a 2 2 2 6 3 3" xfId="957" xr:uid="{00000000-0005-0000-0000-0000AB030000}"/>
    <cellStyle name="level1a 2 2 2 6 4" xfId="958" xr:uid="{00000000-0005-0000-0000-0000AC030000}"/>
    <cellStyle name="level1a 2 2 2 6 5" xfId="959" xr:uid="{00000000-0005-0000-0000-0000AD030000}"/>
    <cellStyle name="level1a 2 2 2 7" xfId="960" xr:uid="{00000000-0005-0000-0000-0000AE030000}"/>
    <cellStyle name="level1a 2 2 2 7 2" xfId="961" xr:uid="{00000000-0005-0000-0000-0000AF030000}"/>
    <cellStyle name="level1a 2 2 2 7 2 2" xfId="962" xr:uid="{00000000-0005-0000-0000-0000B0030000}"/>
    <cellStyle name="level1a 2 2 2 7 2 2 2" xfId="963" xr:uid="{00000000-0005-0000-0000-0000B1030000}"/>
    <cellStyle name="level1a 2 2 2 7 2 3" xfId="964" xr:uid="{00000000-0005-0000-0000-0000B2030000}"/>
    <cellStyle name="level1a 2 2 2 7 3" xfId="965" xr:uid="{00000000-0005-0000-0000-0000B3030000}"/>
    <cellStyle name="level1a 2 2 2 7 3 2" xfId="966" xr:uid="{00000000-0005-0000-0000-0000B4030000}"/>
    <cellStyle name="level1a 2 2 2 7 3 2 2" xfId="967" xr:uid="{00000000-0005-0000-0000-0000B5030000}"/>
    <cellStyle name="level1a 2 2 2 7 3 3" xfId="968" xr:uid="{00000000-0005-0000-0000-0000B6030000}"/>
    <cellStyle name="level1a 2 2 2 7 4" xfId="969" xr:uid="{00000000-0005-0000-0000-0000B7030000}"/>
    <cellStyle name="level1a 2 2 2 7 5" xfId="970" xr:uid="{00000000-0005-0000-0000-0000B8030000}"/>
    <cellStyle name="level1a 2 2 2 7 5 2" xfId="971" xr:uid="{00000000-0005-0000-0000-0000B9030000}"/>
    <cellStyle name="level1a 2 2 2 7 6" xfId="972" xr:uid="{00000000-0005-0000-0000-0000BA030000}"/>
    <cellStyle name="level1a 2 2 2 8" xfId="973" xr:uid="{00000000-0005-0000-0000-0000BB030000}"/>
    <cellStyle name="level1a 2 2 2 8 2" xfId="974" xr:uid="{00000000-0005-0000-0000-0000BC030000}"/>
    <cellStyle name="level1a 2 2 2 8 2 2" xfId="975" xr:uid="{00000000-0005-0000-0000-0000BD030000}"/>
    <cellStyle name="level1a 2 2 2 8 2 2 2" xfId="976" xr:uid="{00000000-0005-0000-0000-0000BE030000}"/>
    <cellStyle name="level1a 2 2 2 8 2 3" xfId="977" xr:uid="{00000000-0005-0000-0000-0000BF030000}"/>
    <cellStyle name="level1a 2 2 2 8 3" xfId="978" xr:uid="{00000000-0005-0000-0000-0000C0030000}"/>
    <cellStyle name="level1a 2 2 2 8 3 2" xfId="979" xr:uid="{00000000-0005-0000-0000-0000C1030000}"/>
    <cellStyle name="level1a 2 2 2 8 3 2 2" xfId="980" xr:uid="{00000000-0005-0000-0000-0000C2030000}"/>
    <cellStyle name="level1a 2 2 2 8 3 3" xfId="981" xr:uid="{00000000-0005-0000-0000-0000C3030000}"/>
    <cellStyle name="level1a 2 2 2 8 4" xfId="982" xr:uid="{00000000-0005-0000-0000-0000C4030000}"/>
    <cellStyle name="level1a 2 2 2 8 4 2" xfId="983" xr:uid="{00000000-0005-0000-0000-0000C5030000}"/>
    <cellStyle name="level1a 2 2 2 8 5" xfId="984" xr:uid="{00000000-0005-0000-0000-0000C6030000}"/>
    <cellStyle name="level1a 2 2 2 9" xfId="985" xr:uid="{00000000-0005-0000-0000-0000C7030000}"/>
    <cellStyle name="level1a 2 2 2 9 2" xfId="986" xr:uid="{00000000-0005-0000-0000-0000C8030000}"/>
    <cellStyle name="level1a 2 2 2 9 2 2" xfId="987" xr:uid="{00000000-0005-0000-0000-0000C9030000}"/>
    <cellStyle name="level1a 2 2 2 9 3" xfId="988" xr:uid="{00000000-0005-0000-0000-0000CA030000}"/>
    <cellStyle name="level1a 2 2 2_STUD aligned by INSTIT" xfId="989" xr:uid="{00000000-0005-0000-0000-0000CB030000}"/>
    <cellStyle name="level1a 2 2 3" xfId="990" xr:uid="{00000000-0005-0000-0000-0000CC030000}"/>
    <cellStyle name="level1a 2 2 3 10" xfId="991" xr:uid="{00000000-0005-0000-0000-0000CD030000}"/>
    <cellStyle name="level1a 2 2 3 2" xfId="992" xr:uid="{00000000-0005-0000-0000-0000CE030000}"/>
    <cellStyle name="level1a 2 2 3 2 2" xfId="993" xr:uid="{00000000-0005-0000-0000-0000CF030000}"/>
    <cellStyle name="level1a 2 2 3 2 2 2" xfId="994" xr:uid="{00000000-0005-0000-0000-0000D0030000}"/>
    <cellStyle name="level1a 2 2 3 2 2 2 2" xfId="995" xr:uid="{00000000-0005-0000-0000-0000D1030000}"/>
    <cellStyle name="level1a 2 2 3 2 2 2 2 2" xfId="996" xr:uid="{00000000-0005-0000-0000-0000D2030000}"/>
    <cellStyle name="level1a 2 2 3 2 2 2 3" xfId="997" xr:uid="{00000000-0005-0000-0000-0000D3030000}"/>
    <cellStyle name="level1a 2 2 3 2 2 3" xfId="998" xr:uid="{00000000-0005-0000-0000-0000D4030000}"/>
    <cellStyle name="level1a 2 2 3 2 2 3 2" xfId="999" xr:uid="{00000000-0005-0000-0000-0000D5030000}"/>
    <cellStyle name="level1a 2 2 3 2 2 3 2 2" xfId="1000" xr:uid="{00000000-0005-0000-0000-0000D6030000}"/>
    <cellStyle name="level1a 2 2 3 2 2 3 3" xfId="1001" xr:uid="{00000000-0005-0000-0000-0000D7030000}"/>
    <cellStyle name="level1a 2 2 3 2 2 4" xfId="1002" xr:uid="{00000000-0005-0000-0000-0000D8030000}"/>
    <cellStyle name="level1a 2 2 3 2 2 5" xfId="1003" xr:uid="{00000000-0005-0000-0000-0000D9030000}"/>
    <cellStyle name="level1a 2 2 3 2 2 5 2" xfId="1004" xr:uid="{00000000-0005-0000-0000-0000DA030000}"/>
    <cellStyle name="level1a 2 2 3 2 3" xfId="1005" xr:uid="{00000000-0005-0000-0000-0000DB030000}"/>
    <cellStyle name="level1a 2 2 3 2 3 2" xfId="1006" xr:uid="{00000000-0005-0000-0000-0000DC030000}"/>
    <cellStyle name="level1a 2 2 3 2 3 2 2" xfId="1007" xr:uid="{00000000-0005-0000-0000-0000DD030000}"/>
    <cellStyle name="level1a 2 2 3 2 3 2 2 2" xfId="1008" xr:uid="{00000000-0005-0000-0000-0000DE030000}"/>
    <cellStyle name="level1a 2 2 3 2 3 2 3" xfId="1009" xr:uid="{00000000-0005-0000-0000-0000DF030000}"/>
    <cellStyle name="level1a 2 2 3 2 3 3" xfId="1010" xr:uid="{00000000-0005-0000-0000-0000E0030000}"/>
    <cellStyle name="level1a 2 2 3 2 3 3 2" xfId="1011" xr:uid="{00000000-0005-0000-0000-0000E1030000}"/>
    <cellStyle name="level1a 2 2 3 2 3 3 2 2" xfId="1012" xr:uid="{00000000-0005-0000-0000-0000E2030000}"/>
    <cellStyle name="level1a 2 2 3 2 3 3 3" xfId="1013" xr:uid="{00000000-0005-0000-0000-0000E3030000}"/>
    <cellStyle name="level1a 2 2 3 2 3 4" xfId="1014" xr:uid="{00000000-0005-0000-0000-0000E4030000}"/>
    <cellStyle name="level1a 2 2 3 2 3 5" xfId="1015" xr:uid="{00000000-0005-0000-0000-0000E5030000}"/>
    <cellStyle name="level1a 2 2 3 2 4" xfId="1016" xr:uid="{00000000-0005-0000-0000-0000E6030000}"/>
    <cellStyle name="level1a 2 2 3 2 4 2" xfId="1017" xr:uid="{00000000-0005-0000-0000-0000E7030000}"/>
    <cellStyle name="level1a 2 2 3 2 4 2 2" xfId="1018" xr:uid="{00000000-0005-0000-0000-0000E8030000}"/>
    <cellStyle name="level1a 2 2 3 2 4 2 2 2" xfId="1019" xr:uid="{00000000-0005-0000-0000-0000E9030000}"/>
    <cellStyle name="level1a 2 2 3 2 4 2 3" xfId="1020" xr:uid="{00000000-0005-0000-0000-0000EA030000}"/>
    <cellStyle name="level1a 2 2 3 2 4 3" xfId="1021" xr:uid="{00000000-0005-0000-0000-0000EB030000}"/>
    <cellStyle name="level1a 2 2 3 2 4 3 2" xfId="1022" xr:uid="{00000000-0005-0000-0000-0000EC030000}"/>
    <cellStyle name="level1a 2 2 3 2 4 3 2 2" xfId="1023" xr:uid="{00000000-0005-0000-0000-0000ED030000}"/>
    <cellStyle name="level1a 2 2 3 2 4 3 3" xfId="1024" xr:uid="{00000000-0005-0000-0000-0000EE030000}"/>
    <cellStyle name="level1a 2 2 3 2 4 4" xfId="1025" xr:uid="{00000000-0005-0000-0000-0000EF030000}"/>
    <cellStyle name="level1a 2 2 3 2 4 5" xfId="1026" xr:uid="{00000000-0005-0000-0000-0000F0030000}"/>
    <cellStyle name="level1a 2 2 3 2 4 5 2" xfId="1027" xr:uid="{00000000-0005-0000-0000-0000F1030000}"/>
    <cellStyle name="level1a 2 2 3 2 4 6" xfId="1028" xr:uid="{00000000-0005-0000-0000-0000F2030000}"/>
    <cellStyle name="level1a 2 2 3 2 5" xfId="1029" xr:uid="{00000000-0005-0000-0000-0000F3030000}"/>
    <cellStyle name="level1a 2 2 3 2 5 2" xfId="1030" xr:uid="{00000000-0005-0000-0000-0000F4030000}"/>
    <cellStyle name="level1a 2 2 3 2 5 2 2" xfId="1031" xr:uid="{00000000-0005-0000-0000-0000F5030000}"/>
    <cellStyle name="level1a 2 2 3 2 5 2 2 2" xfId="1032" xr:uid="{00000000-0005-0000-0000-0000F6030000}"/>
    <cellStyle name="level1a 2 2 3 2 5 2 3" xfId="1033" xr:uid="{00000000-0005-0000-0000-0000F7030000}"/>
    <cellStyle name="level1a 2 2 3 2 5 3" xfId="1034" xr:uid="{00000000-0005-0000-0000-0000F8030000}"/>
    <cellStyle name="level1a 2 2 3 2 5 3 2" xfId="1035" xr:uid="{00000000-0005-0000-0000-0000F9030000}"/>
    <cellStyle name="level1a 2 2 3 2 5 3 2 2" xfId="1036" xr:uid="{00000000-0005-0000-0000-0000FA030000}"/>
    <cellStyle name="level1a 2 2 3 2 5 3 3" xfId="1037" xr:uid="{00000000-0005-0000-0000-0000FB030000}"/>
    <cellStyle name="level1a 2 2 3 2 5 4" xfId="1038" xr:uid="{00000000-0005-0000-0000-0000FC030000}"/>
    <cellStyle name="level1a 2 2 3 2 5 4 2" xfId="1039" xr:uid="{00000000-0005-0000-0000-0000FD030000}"/>
    <cellStyle name="level1a 2 2 3 2 5 5" xfId="1040" xr:uid="{00000000-0005-0000-0000-0000FE030000}"/>
    <cellStyle name="level1a 2 2 3 2 6" xfId="1041" xr:uid="{00000000-0005-0000-0000-0000FF030000}"/>
    <cellStyle name="level1a 2 2 3 2 6 2" xfId="1042" xr:uid="{00000000-0005-0000-0000-000000040000}"/>
    <cellStyle name="level1a 2 2 3 2 6 2 2" xfId="1043" xr:uid="{00000000-0005-0000-0000-000001040000}"/>
    <cellStyle name="level1a 2 2 3 2 6 2 2 2" xfId="1044" xr:uid="{00000000-0005-0000-0000-000002040000}"/>
    <cellStyle name="level1a 2 2 3 2 6 2 3" xfId="1045" xr:uid="{00000000-0005-0000-0000-000003040000}"/>
    <cellStyle name="level1a 2 2 3 2 6 3" xfId="1046" xr:uid="{00000000-0005-0000-0000-000004040000}"/>
    <cellStyle name="level1a 2 2 3 2 6 3 2" xfId="1047" xr:uid="{00000000-0005-0000-0000-000005040000}"/>
    <cellStyle name="level1a 2 2 3 2 6 3 2 2" xfId="1048" xr:uid="{00000000-0005-0000-0000-000006040000}"/>
    <cellStyle name="level1a 2 2 3 2 6 3 3" xfId="1049" xr:uid="{00000000-0005-0000-0000-000007040000}"/>
    <cellStyle name="level1a 2 2 3 2 6 4" xfId="1050" xr:uid="{00000000-0005-0000-0000-000008040000}"/>
    <cellStyle name="level1a 2 2 3 2 6 4 2" xfId="1051" xr:uid="{00000000-0005-0000-0000-000009040000}"/>
    <cellStyle name="level1a 2 2 3 2 6 5" xfId="1052" xr:uid="{00000000-0005-0000-0000-00000A040000}"/>
    <cellStyle name="level1a 2 2 3 2 7" xfId="1053" xr:uid="{00000000-0005-0000-0000-00000B040000}"/>
    <cellStyle name="level1a 2 2 3 2 7 2" xfId="1054" xr:uid="{00000000-0005-0000-0000-00000C040000}"/>
    <cellStyle name="level1a 2 2 3 2 7 2 2" xfId="1055" xr:uid="{00000000-0005-0000-0000-00000D040000}"/>
    <cellStyle name="level1a 2 2 3 2 7 3" xfId="1056" xr:uid="{00000000-0005-0000-0000-00000E040000}"/>
    <cellStyle name="level1a 2 2 3 2_STUD aligned by INSTIT" xfId="1057" xr:uid="{00000000-0005-0000-0000-00000F040000}"/>
    <cellStyle name="level1a 2 2 3 3" xfId="1058" xr:uid="{00000000-0005-0000-0000-000010040000}"/>
    <cellStyle name="level1a 2 2 3 3 2" xfId="1059" xr:uid="{00000000-0005-0000-0000-000011040000}"/>
    <cellStyle name="level1a 2 2 3 3 2 2" xfId="1060" xr:uid="{00000000-0005-0000-0000-000012040000}"/>
    <cellStyle name="level1a 2 2 3 3 2 2 2" xfId="1061" xr:uid="{00000000-0005-0000-0000-000013040000}"/>
    <cellStyle name="level1a 2 2 3 3 2 2 2 2" xfId="1062" xr:uid="{00000000-0005-0000-0000-000014040000}"/>
    <cellStyle name="level1a 2 2 3 3 2 2 3" xfId="1063" xr:uid="{00000000-0005-0000-0000-000015040000}"/>
    <cellStyle name="level1a 2 2 3 3 2 3" xfId="1064" xr:uid="{00000000-0005-0000-0000-000016040000}"/>
    <cellStyle name="level1a 2 2 3 3 2 3 2" xfId="1065" xr:uid="{00000000-0005-0000-0000-000017040000}"/>
    <cellStyle name="level1a 2 2 3 3 2 3 2 2" xfId="1066" xr:uid="{00000000-0005-0000-0000-000018040000}"/>
    <cellStyle name="level1a 2 2 3 3 2 3 3" xfId="1067" xr:uid="{00000000-0005-0000-0000-000019040000}"/>
    <cellStyle name="level1a 2 2 3 3 2 4" xfId="1068" xr:uid="{00000000-0005-0000-0000-00001A040000}"/>
    <cellStyle name="level1a 2 2 3 3 2 5" xfId="1069" xr:uid="{00000000-0005-0000-0000-00001B040000}"/>
    <cellStyle name="level1a 2 2 3 3 3" xfId="1070" xr:uid="{00000000-0005-0000-0000-00001C040000}"/>
    <cellStyle name="level1a 2 2 3 3 3 2" xfId="1071" xr:uid="{00000000-0005-0000-0000-00001D040000}"/>
    <cellStyle name="level1a 2 2 3 3 3 2 2" xfId="1072" xr:uid="{00000000-0005-0000-0000-00001E040000}"/>
    <cellStyle name="level1a 2 2 3 3 3 2 2 2" xfId="1073" xr:uid="{00000000-0005-0000-0000-00001F040000}"/>
    <cellStyle name="level1a 2 2 3 3 3 2 3" xfId="1074" xr:uid="{00000000-0005-0000-0000-000020040000}"/>
    <cellStyle name="level1a 2 2 3 3 3 3" xfId="1075" xr:uid="{00000000-0005-0000-0000-000021040000}"/>
    <cellStyle name="level1a 2 2 3 3 3 3 2" xfId="1076" xr:uid="{00000000-0005-0000-0000-000022040000}"/>
    <cellStyle name="level1a 2 2 3 3 3 3 2 2" xfId="1077" xr:uid="{00000000-0005-0000-0000-000023040000}"/>
    <cellStyle name="level1a 2 2 3 3 3 3 3" xfId="1078" xr:uid="{00000000-0005-0000-0000-000024040000}"/>
    <cellStyle name="level1a 2 2 3 3 3 4" xfId="1079" xr:uid="{00000000-0005-0000-0000-000025040000}"/>
    <cellStyle name="level1a 2 2 3 3 3 4 2" xfId="1080" xr:uid="{00000000-0005-0000-0000-000026040000}"/>
    <cellStyle name="level1a 2 2 3 3 4" xfId="1081" xr:uid="{00000000-0005-0000-0000-000027040000}"/>
    <cellStyle name="level1a 2 2 3 3 4 2" xfId="1082" xr:uid="{00000000-0005-0000-0000-000028040000}"/>
    <cellStyle name="level1a 2 2 3 3 4 2 2" xfId="1083" xr:uid="{00000000-0005-0000-0000-000029040000}"/>
    <cellStyle name="level1a 2 2 3 3 4 2 2 2" xfId="1084" xr:uid="{00000000-0005-0000-0000-00002A040000}"/>
    <cellStyle name="level1a 2 2 3 3 4 2 3" xfId="1085" xr:uid="{00000000-0005-0000-0000-00002B040000}"/>
    <cellStyle name="level1a 2 2 3 3 4 3" xfId="1086" xr:uid="{00000000-0005-0000-0000-00002C040000}"/>
    <cellStyle name="level1a 2 2 3 3 4 3 2" xfId="1087" xr:uid="{00000000-0005-0000-0000-00002D040000}"/>
    <cellStyle name="level1a 2 2 3 3 4 3 2 2" xfId="1088" xr:uid="{00000000-0005-0000-0000-00002E040000}"/>
    <cellStyle name="level1a 2 2 3 3 4 3 3" xfId="1089" xr:uid="{00000000-0005-0000-0000-00002F040000}"/>
    <cellStyle name="level1a 2 2 3 3 4 4" xfId="1090" xr:uid="{00000000-0005-0000-0000-000030040000}"/>
    <cellStyle name="level1a 2 2 3 3 4 4 2" xfId="1091" xr:uid="{00000000-0005-0000-0000-000031040000}"/>
    <cellStyle name="level1a 2 2 3 3 4 5" xfId="1092" xr:uid="{00000000-0005-0000-0000-000032040000}"/>
    <cellStyle name="level1a 2 2 3 3 5" xfId="1093" xr:uid="{00000000-0005-0000-0000-000033040000}"/>
    <cellStyle name="level1a 2 2 3 3 5 2" xfId="1094" xr:uid="{00000000-0005-0000-0000-000034040000}"/>
    <cellStyle name="level1a 2 2 3 3 5 2 2" xfId="1095" xr:uid="{00000000-0005-0000-0000-000035040000}"/>
    <cellStyle name="level1a 2 2 3 3 5 2 2 2" xfId="1096" xr:uid="{00000000-0005-0000-0000-000036040000}"/>
    <cellStyle name="level1a 2 2 3 3 5 2 3" xfId="1097" xr:uid="{00000000-0005-0000-0000-000037040000}"/>
    <cellStyle name="level1a 2 2 3 3 5 3" xfId="1098" xr:uid="{00000000-0005-0000-0000-000038040000}"/>
    <cellStyle name="level1a 2 2 3 3 5 3 2" xfId="1099" xr:uid="{00000000-0005-0000-0000-000039040000}"/>
    <cellStyle name="level1a 2 2 3 3 5 3 2 2" xfId="1100" xr:uid="{00000000-0005-0000-0000-00003A040000}"/>
    <cellStyle name="level1a 2 2 3 3 5 3 3" xfId="1101" xr:uid="{00000000-0005-0000-0000-00003B040000}"/>
    <cellStyle name="level1a 2 2 3 3 5 4" xfId="1102" xr:uid="{00000000-0005-0000-0000-00003C040000}"/>
    <cellStyle name="level1a 2 2 3 3 5 4 2" xfId="1103" xr:uid="{00000000-0005-0000-0000-00003D040000}"/>
    <cellStyle name="level1a 2 2 3 3 5 5" xfId="1104" xr:uid="{00000000-0005-0000-0000-00003E040000}"/>
    <cellStyle name="level1a 2 2 3 3 6" xfId="1105" xr:uid="{00000000-0005-0000-0000-00003F040000}"/>
    <cellStyle name="level1a 2 2 3 3 6 2" xfId="1106" xr:uid="{00000000-0005-0000-0000-000040040000}"/>
    <cellStyle name="level1a 2 2 3 3 6 2 2" xfId="1107" xr:uid="{00000000-0005-0000-0000-000041040000}"/>
    <cellStyle name="level1a 2 2 3 3 6 2 2 2" xfId="1108" xr:uid="{00000000-0005-0000-0000-000042040000}"/>
    <cellStyle name="level1a 2 2 3 3 6 2 3" xfId="1109" xr:uid="{00000000-0005-0000-0000-000043040000}"/>
    <cellStyle name="level1a 2 2 3 3 6 3" xfId="1110" xr:uid="{00000000-0005-0000-0000-000044040000}"/>
    <cellStyle name="level1a 2 2 3 3 6 3 2" xfId="1111" xr:uid="{00000000-0005-0000-0000-000045040000}"/>
    <cellStyle name="level1a 2 2 3 3 6 3 2 2" xfId="1112" xr:uid="{00000000-0005-0000-0000-000046040000}"/>
    <cellStyle name="level1a 2 2 3 3 6 3 3" xfId="1113" xr:uid="{00000000-0005-0000-0000-000047040000}"/>
    <cellStyle name="level1a 2 2 3 3 6 4" xfId="1114" xr:uid="{00000000-0005-0000-0000-000048040000}"/>
    <cellStyle name="level1a 2 2 3 3 6 4 2" xfId="1115" xr:uid="{00000000-0005-0000-0000-000049040000}"/>
    <cellStyle name="level1a 2 2 3 3 6 5" xfId="1116" xr:uid="{00000000-0005-0000-0000-00004A040000}"/>
    <cellStyle name="level1a 2 2 3 3 7" xfId="1117" xr:uid="{00000000-0005-0000-0000-00004B040000}"/>
    <cellStyle name="level1a 2 2 3 3 7 2" xfId="1118" xr:uid="{00000000-0005-0000-0000-00004C040000}"/>
    <cellStyle name="level1a 2 2 3 3 7 2 2" xfId="1119" xr:uid="{00000000-0005-0000-0000-00004D040000}"/>
    <cellStyle name="level1a 2 2 3 3 7 3" xfId="1120" xr:uid="{00000000-0005-0000-0000-00004E040000}"/>
    <cellStyle name="level1a 2 2 3 3 8" xfId="1121" xr:uid="{00000000-0005-0000-0000-00004F040000}"/>
    <cellStyle name="level1a 2 2 3 3 8 2" xfId="1122" xr:uid="{00000000-0005-0000-0000-000050040000}"/>
    <cellStyle name="level1a 2 2 3 3 8 2 2" xfId="1123" xr:uid="{00000000-0005-0000-0000-000051040000}"/>
    <cellStyle name="level1a 2 2 3 3 8 3" xfId="1124" xr:uid="{00000000-0005-0000-0000-000052040000}"/>
    <cellStyle name="level1a 2 2 3 3_STUD aligned by INSTIT" xfId="1125" xr:uid="{00000000-0005-0000-0000-000053040000}"/>
    <cellStyle name="level1a 2 2 3 4" xfId="1126" xr:uid="{00000000-0005-0000-0000-000054040000}"/>
    <cellStyle name="level1a 2 2 3 4 2" xfId="1127" xr:uid="{00000000-0005-0000-0000-000055040000}"/>
    <cellStyle name="level1a 2 2 3 4 2 2" xfId="1128" xr:uid="{00000000-0005-0000-0000-000056040000}"/>
    <cellStyle name="level1a 2 2 3 4 2 2 2" xfId="1129" xr:uid="{00000000-0005-0000-0000-000057040000}"/>
    <cellStyle name="level1a 2 2 3 4 2 3" xfId="1130" xr:uid="{00000000-0005-0000-0000-000058040000}"/>
    <cellStyle name="level1a 2 2 3 4 3" xfId="1131" xr:uid="{00000000-0005-0000-0000-000059040000}"/>
    <cellStyle name="level1a 2 2 3 4 3 2" xfId="1132" xr:uid="{00000000-0005-0000-0000-00005A040000}"/>
    <cellStyle name="level1a 2 2 3 4 3 2 2" xfId="1133" xr:uid="{00000000-0005-0000-0000-00005B040000}"/>
    <cellStyle name="level1a 2 2 3 4 3 3" xfId="1134" xr:uid="{00000000-0005-0000-0000-00005C040000}"/>
    <cellStyle name="level1a 2 2 3 4 4" xfId="1135" xr:uid="{00000000-0005-0000-0000-00005D040000}"/>
    <cellStyle name="level1a 2 2 3 4 5" xfId="1136" xr:uid="{00000000-0005-0000-0000-00005E040000}"/>
    <cellStyle name="level1a 2 2 3 4 5 2" xfId="1137" xr:uid="{00000000-0005-0000-0000-00005F040000}"/>
    <cellStyle name="level1a 2 2 3 5" xfId="1138" xr:uid="{00000000-0005-0000-0000-000060040000}"/>
    <cellStyle name="level1a 2 2 3 5 2" xfId="1139" xr:uid="{00000000-0005-0000-0000-000061040000}"/>
    <cellStyle name="level1a 2 2 3 5 2 2" xfId="1140" xr:uid="{00000000-0005-0000-0000-000062040000}"/>
    <cellStyle name="level1a 2 2 3 5 2 2 2" xfId="1141" xr:uid="{00000000-0005-0000-0000-000063040000}"/>
    <cellStyle name="level1a 2 2 3 5 2 3" xfId="1142" xr:uid="{00000000-0005-0000-0000-000064040000}"/>
    <cellStyle name="level1a 2 2 3 5 3" xfId="1143" xr:uid="{00000000-0005-0000-0000-000065040000}"/>
    <cellStyle name="level1a 2 2 3 5 3 2" xfId="1144" xr:uid="{00000000-0005-0000-0000-000066040000}"/>
    <cellStyle name="level1a 2 2 3 5 3 2 2" xfId="1145" xr:uid="{00000000-0005-0000-0000-000067040000}"/>
    <cellStyle name="level1a 2 2 3 5 3 3" xfId="1146" xr:uid="{00000000-0005-0000-0000-000068040000}"/>
    <cellStyle name="level1a 2 2 3 5 4" xfId="1147" xr:uid="{00000000-0005-0000-0000-000069040000}"/>
    <cellStyle name="level1a 2 2 3 5 5" xfId="1148" xr:uid="{00000000-0005-0000-0000-00006A040000}"/>
    <cellStyle name="level1a 2 2 3 5 5 2" xfId="1149" xr:uid="{00000000-0005-0000-0000-00006B040000}"/>
    <cellStyle name="level1a 2 2 3 5 6" xfId="1150" xr:uid="{00000000-0005-0000-0000-00006C040000}"/>
    <cellStyle name="level1a 2 2 3 6" xfId="1151" xr:uid="{00000000-0005-0000-0000-00006D040000}"/>
    <cellStyle name="level1a 2 2 3 6 2" xfId="1152" xr:uid="{00000000-0005-0000-0000-00006E040000}"/>
    <cellStyle name="level1a 2 2 3 6 2 2" xfId="1153" xr:uid="{00000000-0005-0000-0000-00006F040000}"/>
    <cellStyle name="level1a 2 2 3 6 2 2 2" xfId="1154" xr:uid="{00000000-0005-0000-0000-000070040000}"/>
    <cellStyle name="level1a 2 2 3 6 2 3" xfId="1155" xr:uid="{00000000-0005-0000-0000-000071040000}"/>
    <cellStyle name="level1a 2 2 3 6 3" xfId="1156" xr:uid="{00000000-0005-0000-0000-000072040000}"/>
    <cellStyle name="level1a 2 2 3 6 3 2" xfId="1157" xr:uid="{00000000-0005-0000-0000-000073040000}"/>
    <cellStyle name="level1a 2 2 3 6 3 2 2" xfId="1158" xr:uid="{00000000-0005-0000-0000-000074040000}"/>
    <cellStyle name="level1a 2 2 3 6 3 3" xfId="1159" xr:uid="{00000000-0005-0000-0000-000075040000}"/>
    <cellStyle name="level1a 2 2 3 6 4" xfId="1160" xr:uid="{00000000-0005-0000-0000-000076040000}"/>
    <cellStyle name="level1a 2 2 3 6 5" xfId="1161" xr:uid="{00000000-0005-0000-0000-000077040000}"/>
    <cellStyle name="level1a 2 2 3 7" xfId="1162" xr:uid="{00000000-0005-0000-0000-000078040000}"/>
    <cellStyle name="level1a 2 2 3 7 2" xfId="1163" xr:uid="{00000000-0005-0000-0000-000079040000}"/>
    <cellStyle name="level1a 2 2 3 7 2 2" xfId="1164" xr:uid="{00000000-0005-0000-0000-00007A040000}"/>
    <cellStyle name="level1a 2 2 3 7 2 2 2" xfId="1165" xr:uid="{00000000-0005-0000-0000-00007B040000}"/>
    <cellStyle name="level1a 2 2 3 7 2 3" xfId="1166" xr:uid="{00000000-0005-0000-0000-00007C040000}"/>
    <cellStyle name="level1a 2 2 3 7 3" xfId="1167" xr:uid="{00000000-0005-0000-0000-00007D040000}"/>
    <cellStyle name="level1a 2 2 3 7 3 2" xfId="1168" xr:uid="{00000000-0005-0000-0000-00007E040000}"/>
    <cellStyle name="level1a 2 2 3 7 3 2 2" xfId="1169" xr:uid="{00000000-0005-0000-0000-00007F040000}"/>
    <cellStyle name="level1a 2 2 3 7 3 3" xfId="1170" xr:uid="{00000000-0005-0000-0000-000080040000}"/>
    <cellStyle name="level1a 2 2 3 7 4" xfId="1171" xr:uid="{00000000-0005-0000-0000-000081040000}"/>
    <cellStyle name="level1a 2 2 3 7 5" xfId="1172" xr:uid="{00000000-0005-0000-0000-000082040000}"/>
    <cellStyle name="level1a 2 2 3 7 5 2" xfId="1173" xr:uid="{00000000-0005-0000-0000-000083040000}"/>
    <cellStyle name="level1a 2 2 3 7 6" xfId="1174" xr:uid="{00000000-0005-0000-0000-000084040000}"/>
    <cellStyle name="level1a 2 2 3 8" xfId="1175" xr:uid="{00000000-0005-0000-0000-000085040000}"/>
    <cellStyle name="level1a 2 2 3 8 2" xfId="1176" xr:uid="{00000000-0005-0000-0000-000086040000}"/>
    <cellStyle name="level1a 2 2 3 8 2 2" xfId="1177" xr:uid="{00000000-0005-0000-0000-000087040000}"/>
    <cellStyle name="level1a 2 2 3 8 2 2 2" xfId="1178" xr:uid="{00000000-0005-0000-0000-000088040000}"/>
    <cellStyle name="level1a 2 2 3 8 2 3" xfId="1179" xr:uid="{00000000-0005-0000-0000-000089040000}"/>
    <cellStyle name="level1a 2 2 3 8 3" xfId="1180" xr:uid="{00000000-0005-0000-0000-00008A040000}"/>
    <cellStyle name="level1a 2 2 3 8 3 2" xfId="1181" xr:uid="{00000000-0005-0000-0000-00008B040000}"/>
    <cellStyle name="level1a 2 2 3 8 3 2 2" xfId="1182" xr:uid="{00000000-0005-0000-0000-00008C040000}"/>
    <cellStyle name="level1a 2 2 3 8 3 3" xfId="1183" xr:uid="{00000000-0005-0000-0000-00008D040000}"/>
    <cellStyle name="level1a 2 2 3 8 4" xfId="1184" xr:uid="{00000000-0005-0000-0000-00008E040000}"/>
    <cellStyle name="level1a 2 2 3 8 4 2" xfId="1185" xr:uid="{00000000-0005-0000-0000-00008F040000}"/>
    <cellStyle name="level1a 2 2 3 8 5" xfId="1186" xr:uid="{00000000-0005-0000-0000-000090040000}"/>
    <cellStyle name="level1a 2 2 3 9" xfId="1187" xr:uid="{00000000-0005-0000-0000-000091040000}"/>
    <cellStyle name="level1a 2 2 3 9 2" xfId="1188" xr:uid="{00000000-0005-0000-0000-000092040000}"/>
    <cellStyle name="level1a 2 2 3 9 2 2" xfId="1189" xr:uid="{00000000-0005-0000-0000-000093040000}"/>
    <cellStyle name="level1a 2 2 3 9 3" xfId="1190" xr:uid="{00000000-0005-0000-0000-000094040000}"/>
    <cellStyle name="level1a 2 2 3_STUD aligned by INSTIT" xfId="1191" xr:uid="{00000000-0005-0000-0000-000095040000}"/>
    <cellStyle name="level1a 2 2 4" xfId="1192" xr:uid="{00000000-0005-0000-0000-000096040000}"/>
    <cellStyle name="level1a 2 2 4 2" xfId="1193" xr:uid="{00000000-0005-0000-0000-000097040000}"/>
    <cellStyle name="level1a 2 2 4 2 2" xfId="1194" xr:uid="{00000000-0005-0000-0000-000098040000}"/>
    <cellStyle name="level1a 2 2 4 2 2 2" xfId="1195" xr:uid="{00000000-0005-0000-0000-000099040000}"/>
    <cellStyle name="level1a 2 2 4 2 2 2 2" xfId="1196" xr:uid="{00000000-0005-0000-0000-00009A040000}"/>
    <cellStyle name="level1a 2 2 4 2 2 3" xfId="1197" xr:uid="{00000000-0005-0000-0000-00009B040000}"/>
    <cellStyle name="level1a 2 2 4 2 3" xfId="1198" xr:uid="{00000000-0005-0000-0000-00009C040000}"/>
    <cellStyle name="level1a 2 2 4 2 3 2" xfId="1199" xr:uid="{00000000-0005-0000-0000-00009D040000}"/>
    <cellStyle name="level1a 2 2 4 2 3 2 2" xfId="1200" xr:uid="{00000000-0005-0000-0000-00009E040000}"/>
    <cellStyle name="level1a 2 2 4 2 3 3" xfId="1201" xr:uid="{00000000-0005-0000-0000-00009F040000}"/>
    <cellStyle name="level1a 2 2 4 2 4" xfId="1202" xr:uid="{00000000-0005-0000-0000-0000A0040000}"/>
    <cellStyle name="level1a 2 2 4 2 5" xfId="1203" xr:uid="{00000000-0005-0000-0000-0000A1040000}"/>
    <cellStyle name="level1a 2 2 4 2 5 2" xfId="1204" xr:uid="{00000000-0005-0000-0000-0000A2040000}"/>
    <cellStyle name="level1a 2 2 4 3" xfId="1205" xr:uid="{00000000-0005-0000-0000-0000A3040000}"/>
    <cellStyle name="level1a 2 2 4 3 2" xfId="1206" xr:uid="{00000000-0005-0000-0000-0000A4040000}"/>
    <cellStyle name="level1a 2 2 4 3 2 2" xfId="1207" xr:uid="{00000000-0005-0000-0000-0000A5040000}"/>
    <cellStyle name="level1a 2 2 4 3 2 2 2" xfId="1208" xr:uid="{00000000-0005-0000-0000-0000A6040000}"/>
    <cellStyle name="level1a 2 2 4 3 2 3" xfId="1209" xr:uid="{00000000-0005-0000-0000-0000A7040000}"/>
    <cellStyle name="level1a 2 2 4 3 3" xfId="1210" xr:uid="{00000000-0005-0000-0000-0000A8040000}"/>
    <cellStyle name="level1a 2 2 4 3 3 2" xfId="1211" xr:uid="{00000000-0005-0000-0000-0000A9040000}"/>
    <cellStyle name="level1a 2 2 4 3 3 2 2" xfId="1212" xr:uid="{00000000-0005-0000-0000-0000AA040000}"/>
    <cellStyle name="level1a 2 2 4 3 3 3" xfId="1213" xr:uid="{00000000-0005-0000-0000-0000AB040000}"/>
    <cellStyle name="level1a 2 2 4 3 4" xfId="1214" xr:uid="{00000000-0005-0000-0000-0000AC040000}"/>
    <cellStyle name="level1a 2 2 4 3 5" xfId="1215" xr:uid="{00000000-0005-0000-0000-0000AD040000}"/>
    <cellStyle name="level1a 2 2 4 4" xfId="1216" xr:uid="{00000000-0005-0000-0000-0000AE040000}"/>
    <cellStyle name="level1a 2 2 4 4 2" xfId="1217" xr:uid="{00000000-0005-0000-0000-0000AF040000}"/>
    <cellStyle name="level1a 2 2 4 4 2 2" xfId="1218" xr:uid="{00000000-0005-0000-0000-0000B0040000}"/>
    <cellStyle name="level1a 2 2 4 4 2 2 2" xfId="1219" xr:uid="{00000000-0005-0000-0000-0000B1040000}"/>
    <cellStyle name="level1a 2 2 4 4 2 3" xfId="1220" xr:uid="{00000000-0005-0000-0000-0000B2040000}"/>
    <cellStyle name="level1a 2 2 4 4 3" xfId="1221" xr:uid="{00000000-0005-0000-0000-0000B3040000}"/>
    <cellStyle name="level1a 2 2 4 4 3 2" xfId="1222" xr:uid="{00000000-0005-0000-0000-0000B4040000}"/>
    <cellStyle name="level1a 2 2 4 4 3 2 2" xfId="1223" xr:uid="{00000000-0005-0000-0000-0000B5040000}"/>
    <cellStyle name="level1a 2 2 4 4 3 3" xfId="1224" xr:uid="{00000000-0005-0000-0000-0000B6040000}"/>
    <cellStyle name="level1a 2 2 4 4 4" xfId="1225" xr:uid="{00000000-0005-0000-0000-0000B7040000}"/>
    <cellStyle name="level1a 2 2 4 4 5" xfId="1226" xr:uid="{00000000-0005-0000-0000-0000B8040000}"/>
    <cellStyle name="level1a 2 2 4 4 5 2" xfId="1227" xr:uid="{00000000-0005-0000-0000-0000B9040000}"/>
    <cellStyle name="level1a 2 2 4 4 6" xfId="1228" xr:uid="{00000000-0005-0000-0000-0000BA040000}"/>
    <cellStyle name="level1a 2 2 4 5" xfId="1229" xr:uid="{00000000-0005-0000-0000-0000BB040000}"/>
    <cellStyle name="level1a 2 2 4 5 2" xfId="1230" xr:uid="{00000000-0005-0000-0000-0000BC040000}"/>
    <cellStyle name="level1a 2 2 4 5 2 2" xfId="1231" xr:uid="{00000000-0005-0000-0000-0000BD040000}"/>
    <cellStyle name="level1a 2 2 4 5 2 2 2" xfId="1232" xr:uid="{00000000-0005-0000-0000-0000BE040000}"/>
    <cellStyle name="level1a 2 2 4 5 2 3" xfId="1233" xr:uid="{00000000-0005-0000-0000-0000BF040000}"/>
    <cellStyle name="level1a 2 2 4 5 3" xfId="1234" xr:uid="{00000000-0005-0000-0000-0000C0040000}"/>
    <cellStyle name="level1a 2 2 4 5 3 2" xfId="1235" xr:uid="{00000000-0005-0000-0000-0000C1040000}"/>
    <cellStyle name="level1a 2 2 4 5 3 2 2" xfId="1236" xr:uid="{00000000-0005-0000-0000-0000C2040000}"/>
    <cellStyle name="level1a 2 2 4 5 3 3" xfId="1237" xr:uid="{00000000-0005-0000-0000-0000C3040000}"/>
    <cellStyle name="level1a 2 2 4 5 4" xfId="1238" xr:uid="{00000000-0005-0000-0000-0000C4040000}"/>
    <cellStyle name="level1a 2 2 4 5 4 2" xfId="1239" xr:uid="{00000000-0005-0000-0000-0000C5040000}"/>
    <cellStyle name="level1a 2 2 4 5 5" xfId="1240" xr:uid="{00000000-0005-0000-0000-0000C6040000}"/>
    <cellStyle name="level1a 2 2 4 6" xfId="1241" xr:uid="{00000000-0005-0000-0000-0000C7040000}"/>
    <cellStyle name="level1a 2 2 4 6 2" xfId="1242" xr:uid="{00000000-0005-0000-0000-0000C8040000}"/>
    <cellStyle name="level1a 2 2 4 6 2 2" xfId="1243" xr:uid="{00000000-0005-0000-0000-0000C9040000}"/>
    <cellStyle name="level1a 2 2 4 6 2 2 2" xfId="1244" xr:uid="{00000000-0005-0000-0000-0000CA040000}"/>
    <cellStyle name="level1a 2 2 4 6 2 3" xfId="1245" xr:uid="{00000000-0005-0000-0000-0000CB040000}"/>
    <cellStyle name="level1a 2 2 4 6 3" xfId="1246" xr:uid="{00000000-0005-0000-0000-0000CC040000}"/>
    <cellStyle name="level1a 2 2 4 6 3 2" xfId="1247" xr:uid="{00000000-0005-0000-0000-0000CD040000}"/>
    <cellStyle name="level1a 2 2 4 6 3 2 2" xfId="1248" xr:uid="{00000000-0005-0000-0000-0000CE040000}"/>
    <cellStyle name="level1a 2 2 4 6 3 3" xfId="1249" xr:uid="{00000000-0005-0000-0000-0000CF040000}"/>
    <cellStyle name="level1a 2 2 4 6 4" xfId="1250" xr:uid="{00000000-0005-0000-0000-0000D0040000}"/>
    <cellStyle name="level1a 2 2 4 6 4 2" xfId="1251" xr:uid="{00000000-0005-0000-0000-0000D1040000}"/>
    <cellStyle name="level1a 2 2 4 6 5" xfId="1252" xr:uid="{00000000-0005-0000-0000-0000D2040000}"/>
    <cellStyle name="level1a 2 2 4 7" xfId="1253" xr:uid="{00000000-0005-0000-0000-0000D3040000}"/>
    <cellStyle name="level1a 2 2 4 7 2" xfId="1254" xr:uid="{00000000-0005-0000-0000-0000D4040000}"/>
    <cellStyle name="level1a 2 2 4 7 2 2" xfId="1255" xr:uid="{00000000-0005-0000-0000-0000D5040000}"/>
    <cellStyle name="level1a 2 2 4 7 3" xfId="1256" xr:uid="{00000000-0005-0000-0000-0000D6040000}"/>
    <cellStyle name="level1a 2 2 4_STUD aligned by INSTIT" xfId="1257" xr:uid="{00000000-0005-0000-0000-0000D7040000}"/>
    <cellStyle name="level1a 2 2 5" xfId="1258" xr:uid="{00000000-0005-0000-0000-0000D8040000}"/>
    <cellStyle name="level1a 2 2 5 2" xfId="1259" xr:uid="{00000000-0005-0000-0000-0000D9040000}"/>
    <cellStyle name="level1a 2 2 5 2 2" xfId="1260" xr:uid="{00000000-0005-0000-0000-0000DA040000}"/>
    <cellStyle name="level1a 2 2 5 2 2 2" xfId="1261" xr:uid="{00000000-0005-0000-0000-0000DB040000}"/>
    <cellStyle name="level1a 2 2 5 2 2 2 2" xfId="1262" xr:uid="{00000000-0005-0000-0000-0000DC040000}"/>
    <cellStyle name="level1a 2 2 5 2 2 3" xfId="1263" xr:uid="{00000000-0005-0000-0000-0000DD040000}"/>
    <cellStyle name="level1a 2 2 5 2 3" xfId="1264" xr:uid="{00000000-0005-0000-0000-0000DE040000}"/>
    <cellStyle name="level1a 2 2 5 2 3 2" xfId="1265" xr:uid="{00000000-0005-0000-0000-0000DF040000}"/>
    <cellStyle name="level1a 2 2 5 2 3 2 2" xfId="1266" xr:uid="{00000000-0005-0000-0000-0000E0040000}"/>
    <cellStyle name="level1a 2 2 5 2 3 3" xfId="1267" xr:uid="{00000000-0005-0000-0000-0000E1040000}"/>
    <cellStyle name="level1a 2 2 5 2 4" xfId="1268" xr:uid="{00000000-0005-0000-0000-0000E2040000}"/>
    <cellStyle name="level1a 2 2 5 2 5" xfId="1269" xr:uid="{00000000-0005-0000-0000-0000E3040000}"/>
    <cellStyle name="level1a 2 2 5 2 5 2" xfId="1270" xr:uid="{00000000-0005-0000-0000-0000E4040000}"/>
    <cellStyle name="level1a 2 2 5 2 6" xfId="1271" xr:uid="{00000000-0005-0000-0000-0000E5040000}"/>
    <cellStyle name="level1a 2 2 5 3" xfId="1272" xr:uid="{00000000-0005-0000-0000-0000E6040000}"/>
    <cellStyle name="level1a 2 2 5 3 2" xfId="1273" xr:uid="{00000000-0005-0000-0000-0000E7040000}"/>
    <cellStyle name="level1a 2 2 5 3 2 2" xfId="1274" xr:uid="{00000000-0005-0000-0000-0000E8040000}"/>
    <cellStyle name="level1a 2 2 5 3 2 2 2" xfId="1275" xr:uid="{00000000-0005-0000-0000-0000E9040000}"/>
    <cellStyle name="level1a 2 2 5 3 2 3" xfId="1276" xr:uid="{00000000-0005-0000-0000-0000EA040000}"/>
    <cellStyle name="level1a 2 2 5 3 3" xfId="1277" xr:uid="{00000000-0005-0000-0000-0000EB040000}"/>
    <cellStyle name="level1a 2 2 5 3 3 2" xfId="1278" xr:uid="{00000000-0005-0000-0000-0000EC040000}"/>
    <cellStyle name="level1a 2 2 5 3 3 2 2" xfId="1279" xr:uid="{00000000-0005-0000-0000-0000ED040000}"/>
    <cellStyle name="level1a 2 2 5 3 3 3" xfId="1280" xr:uid="{00000000-0005-0000-0000-0000EE040000}"/>
    <cellStyle name="level1a 2 2 5 3 4" xfId="1281" xr:uid="{00000000-0005-0000-0000-0000EF040000}"/>
    <cellStyle name="level1a 2 2 5 4" xfId="1282" xr:uid="{00000000-0005-0000-0000-0000F0040000}"/>
    <cellStyle name="level1a 2 2 5 4 2" xfId="1283" xr:uid="{00000000-0005-0000-0000-0000F1040000}"/>
    <cellStyle name="level1a 2 2 5 4 2 2" xfId="1284" xr:uid="{00000000-0005-0000-0000-0000F2040000}"/>
    <cellStyle name="level1a 2 2 5 4 2 2 2" xfId="1285" xr:uid="{00000000-0005-0000-0000-0000F3040000}"/>
    <cellStyle name="level1a 2 2 5 4 2 3" xfId="1286" xr:uid="{00000000-0005-0000-0000-0000F4040000}"/>
    <cellStyle name="level1a 2 2 5 4 3" xfId="1287" xr:uid="{00000000-0005-0000-0000-0000F5040000}"/>
    <cellStyle name="level1a 2 2 5 4 3 2" xfId="1288" xr:uid="{00000000-0005-0000-0000-0000F6040000}"/>
    <cellStyle name="level1a 2 2 5 4 3 2 2" xfId="1289" xr:uid="{00000000-0005-0000-0000-0000F7040000}"/>
    <cellStyle name="level1a 2 2 5 4 3 3" xfId="1290" xr:uid="{00000000-0005-0000-0000-0000F8040000}"/>
    <cellStyle name="level1a 2 2 5 4 4" xfId="1291" xr:uid="{00000000-0005-0000-0000-0000F9040000}"/>
    <cellStyle name="level1a 2 2 5 4 4 2" xfId="1292" xr:uid="{00000000-0005-0000-0000-0000FA040000}"/>
    <cellStyle name="level1a 2 2 5 4 5" xfId="1293" xr:uid="{00000000-0005-0000-0000-0000FB040000}"/>
    <cellStyle name="level1a 2 2 5 5" xfId="1294" xr:uid="{00000000-0005-0000-0000-0000FC040000}"/>
    <cellStyle name="level1a 2 2 5 5 2" xfId="1295" xr:uid="{00000000-0005-0000-0000-0000FD040000}"/>
    <cellStyle name="level1a 2 2 5 5 2 2" xfId="1296" xr:uid="{00000000-0005-0000-0000-0000FE040000}"/>
    <cellStyle name="level1a 2 2 5 5 2 2 2" xfId="1297" xr:uid="{00000000-0005-0000-0000-0000FF040000}"/>
    <cellStyle name="level1a 2 2 5 5 2 3" xfId="1298" xr:uid="{00000000-0005-0000-0000-000000050000}"/>
    <cellStyle name="level1a 2 2 5 5 3" xfId="1299" xr:uid="{00000000-0005-0000-0000-000001050000}"/>
    <cellStyle name="level1a 2 2 5 5 3 2" xfId="1300" xr:uid="{00000000-0005-0000-0000-000002050000}"/>
    <cellStyle name="level1a 2 2 5 5 3 2 2" xfId="1301" xr:uid="{00000000-0005-0000-0000-000003050000}"/>
    <cellStyle name="level1a 2 2 5 5 3 3" xfId="1302" xr:uid="{00000000-0005-0000-0000-000004050000}"/>
    <cellStyle name="level1a 2 2 5 5 4" xfId="1303" xr:uid="{00000000-0005-0000-0000-000005050000}"/>
    <cellStyle name="level1a 2 2 5 5 4 2" xfId="1304" xr:uid="{00000000-0005-0000-0000-000006050000}"/>
    <cellStyle name="level1a 2 2 5 5 5" xfId="1305" xr:uid="{00000000-0005-0000-0000-000007050000}"/>
    <cellStyle name="level1a 2 2 5 6" xfId="1306" xr:uid="{00000000-0005-0000-0000-000008050000}"/>
    <cellStyle name="level1a 2 2 5 6 2" xfId="1307" xr:uid="{00000000-0005-0000-0000-000009050000}"/>
    <cellStyle name="level1a 2 2 5 6 2 2" xfId="1308" xr:uid="{00000000-0005-0000-0000-00000A050000}"/>
    <cellStyle name="level1a 2 2 5 6 2 2 2" xfId="1309" xr:uid="{00000000-0005-0000-0000-00000B050000}"/>
    <cellStyle name="level1a 2 2 5 6 2 3" xfId="1310" xr:uid="{00000000-0005-0000-0000-00000C050000}"/>
    <cellStyle name="level1a 2 2 5 6 3" xfId="1311" xr:uid="{00000000-0005-0000-0000-00000D050000}"/>
    <cellStyle name="level1a 2 2 5 6 3 2" xfId="1312" xr:uid="{00000000-0005-0000-0000-00000E050000}"/>
    <cellStyle name="level1a 2 2 5 6 3 2 2" xfId="1313" xr:uid="{00000000-0005-0000-0000-00000F050000}"/>
    <cellStyle name="level1a 2 2 5 6 3 3" xfId="1314" xr:uid="{00000000-0005-0000-0000-000010050000}"/>
    <cellStyle name="level1a 2 2 5 6 4" xfId="1315" xr:uid="{00000000-0005-0000-0000-000011050000}"/>
    <cellStyle name="level1a 2 2 5 6 4 2" xfId="1316" xr:uid="{00000000-0005-0000-0000-000012050000}"/>
    <cellStyle name="level1a 2 2 5 6 5" xfId="1317" xr:uid="{00000000-0005-0000-0000-000013050000}"/>
    <cellStyle name="level1a 2 2 5 7" xfId="1318" xr:uid="{00000000-0005-0000-0000-000014050000}"/>
    <cellStyle name="level1a 2 2 5 7 2" xfId="1319" xr:uid="{00000000-0005-0000-0000-000015050000}"/>
    <cellStyle name="level1a 2 2 5 7 2 2" xfId="1320" xr:uid="{00000000-0005-0000-0000-000016050000}"/>
    <cellStyle name="level1a 2 2 5 7 3" xfId="1321" xr:uid="{00000000-0005-0000-0000-000017050000}"/>
    <cellStyle name="level1a 2 2 5 8" xfId="1322" xr:uid="{00000000-0005-0000-0000-000018050000}"/>
    <cellStyle name="level1a 2 2 5 8 2" xfId="1323" xr:uid="{00000000-0005-0000-0000-000019050000}"/>
    <cellStyle name="level1a 2 2 5 8 2 2" xfId="1324" xr:uid="{00000000-0005-0000-0000-00001A050000}"/>
    <cellStyle name="level1a 2 2 5 8 3" xfId="1325" xr:uid="{00000000-0005-0000-0000-00001B050000}"/>
    <cellStyle name="level1a 2 2 5_STUD aligned by INSTIT" xfId="1326" xr:uid="{00000000-0005-0000-0000-00001C050000}"/>
    <cellStyle name="level1a 2 2 6" xfId="1327" xr:uid="{00000000-0005-0000-0000-00001D050000}"/>
    <cellStyle name="level1a 2 2 6 2" xfId="1328" xr:uid="{00000000-0005-0000-0000-00001E050000}"/>
    <cellStyle name="level1a 2 2 6 2 2" xfId="1329" xr:uid="{00000000-0005-0000-0000-00001F050000}"/>
    <cellStyle name="level1a 2 2 6 2 2 2" xfId="1330" xr:uid="{00000000-0005-0000-0000-000020050000}"/>
    <cellStyle name="level1a 2 2 6 2 3" xfId="1331" xr:uid="{00000000-0005-0000-0000-000021050000}"/>
    <cellStyle name="level1a 2 2 6 3" xfId="1332" xr:uid="{00000000-0005-0000-0000-000022050000}"/>
    <cellStyle name="level1a 2 2 6 3 2" xfId="1333" xr:uid="{00000000-0005-0000-0000-000023050000}"/>
    <cellStyle name="level1a 2 2 6 3 2 2" xfId="1334" xr:uid="{00000000-0005-0000-0000-000024050000}"/>
    <cellStyle name="level1a 2 2 6 3 3" xfId="1335" xr:uid="{00000000-0005-0000-0000-000025050000}"/>
    <cellStyle name="level1a 2 2 6 4" xfId="1336" xr:uid="{00000000-0005-0000-0000-000026050000}"/>
    <cellStyle name="level1a 2 2 6 5" xfId="1337" xr:uid="{00000000-0005-0000-0000-000027050000}"/>
    <cellStyle name="level1a 2 2 6 5 2" xfId="1338" xr:uid="{00000000-0005-0000-0000-000028050000}"/>
    <cellStyle name="level1a 2 2 7" xfId="1339" xr:uid="{00000000-0005-0000-0000-000029050000}"/>
    <cellStyle name="level1a 2 2 7 2" xfId="1340" xr:uid="{00000000-0005-0000-0000-00002A050000}"/>
    <cellStyle name="level1a 2 2 7 2 2" xfId="1341" xr:uid="{00000000-0005-0000-0000-00002B050000}"/>
    <cellStyle name="level1a 2 2 7 2 2 2" xfId="1342" xr:uid="{00000000-0005-0000-0000-00002C050000}"/>
    <cellStyle name="level1a 2 2 7 2 3" xfId="1343" xr:uid="{00000000-0005-0000-0000-00002D050000}"/>
    <cellStyle name="level1a 2 2 7 3" xfId="1344" xr:uid="{00000000-0005-0000-0000-00002E050000}"/>
    <cellStyle name="level1a 2 2 7 3 2" xfId="1345" xr:uid="{00000000-0005-0000-0000-00002F050000}"/>
    <cellStyle name="level1a 2 2 7 3 2 2" xfId="1346" xr:uid="{00000000-0005-0000-0000-000030050000}"/>
    <cellStyle name="level1a 2 2 7 3 3" xfId="1347" xr:uid="{00000000-0005-0000-0000-000031050000}"/>
    <cellStyle name="level1a 2 2 7 4" xfId="1348" xr:uid="{00000000-0005-0000-0000-000032050000}"/>
    <cellStyle name="level1a 2 2 7 5" xfId="1349" xr:uid="{00000000-0005-0000-0000-000033050000}"/>
    <cellStyle name="level1a 2 2 7 5 2" xfId="1350" xr:uid="{00000000-0005-0000-0000-000034050000}"/>
    <cellStyle name="level1a 2 2 7 6" xfId="1351" xr:uid="{00000000-0005-0000-0000-000035050000}"/>
    <cellStyle name="level1a 2 2 8" xfId="1352" xr:uid="{00000000-0005-0000-0000-000036050000}"/>
    <cellStyle name="level1a 2 2 8 2" xfId="1353" xr:uid="{00000000-0005-0000-0000-000037050000}"/>
    <cellStyle name="level1a 2 2 8 2 2" xfId="1354" xr:uid="{00000000-0005-0000-0000-000038050000}"/>
    <cellStyle name="level1a 2 2 8 2 2 2" xfId="1355" xr:uid="{00000000-0005-0000-0000-000039050000}"/>
    <cellStyle name="level1a 2 2 8 2 3" xfId="1356" xr:uid="{00000000-0005-0000-0000-00003A050000}"/>
    <cellStyle name="level1a 2 2 8 3" xfId="1357" xr:uid="{00000000-0005-0000-0000-00003B050000}"/>
    <cellStyle name="level1a 2 2 8 3 2" xfId="1358" xr:uid="{00000000-0005-0000-0000-00003C050000}"/>
    <cellStyle name="level1a 2 2 8 3 2 2" xfId="1359" xr:uid="{00000000-0005-0000-0000-00003D050000}"/>
    <cellStyle name="level1a 2 2 8 3 3" xfId="1360" xr:uid="{00000000-0005-0000-0000-00003E050000}"/>
    <cellStyle name="level1a 2 2 8 4" xfId="1361" xr:uid="{00000000-0005-0000-0000-00003F050000}"/>
    <cellStyle name="level1a 2 2 8 5" xfId="1362" xr:uid="{00000000-0005-0000-0000-000040050000}"/>
    <cellStyle name="level1a 2 2 9" xfId="1363" xr:uid="{00000000-0005-0000-0000-000041050000}"/>
    <cellStyle name="level1a 2 2 9 2" xfId="1364" xr:uid="{00000000-0005-0000-0000-000042050000}"/>
    <cellStyle name="level1a 2 2 9 2 2" xfId="1365" xr:uid="{00000000-0005-0000-0000-000043050000}"/>
    <cellStyle name="level1a 2 2 9 2 2 2" xfId="1366" xr:uid="{00000000-0005-0000-0000-000044050000}"/>
    <cellStyle name="level1a 2 2 9 2 3" xfId="1367" xr:uid="{00000000-0005-0000-0000-000045050000}"/>
    <cellStyle name="level1a 2 2 9 3" xfId="1368" xr:uid="{00000000-0005-0000-0000-000046050000}"/>
    <cellStyle name="level1a 2 2 9 3 2" xfId="1369" xr:uid="{00000000-0005-0000-0000-000047050000}"/>
    <cellStyle name="level1a 2 2 9 3 2 2" xfId="1370" xr:uid="{00000000-0005-0000-0000-000048050000}"/>
    <cellStyle name="level1a 2 2 9 3 3" xfId="1371" xr:uid="{00000000-0005-0000-0000-000049050000}"/>
    <cellStyle name="level1a 2 2 9 4" xfId="1372" xr:uid="{00000000-0005-0000-0000-00004A050000}"/>
    <cellStyle name="level1a 2 2 9 5" xfId="1373" xr:uid="{00000000-0005-0000-0000-00004B050000}"/>
    <cellStyle name="level1a 2 2 9 5 2" xfId="1374" xr:uid="{00000000-0005-0000-0000-00004C050000}"/>
    <cellStyle name="level1a 2 2 9 6" xfId="1375" xr:uid="{00000000-0005-0000-0000-00004D050000}"/>
    <cellStyle name="level1a 2 2_STUD aligned by INSTIT" xfId="1376" xr:uid="{00000000-0005-0000-0000-00004E050000}"/>
    <cellStyle name="level1a 2 3" xfId="1377" xr:uid="{00000000-0005-0000-0000-00004F050000}"/>
    <cellStyle name="level1a 2 3 10" xfId="1378" xr:uid="{00000000-0005-0000-0000-000050050000}"/>
    <cellStyle name="level1a 2 3 10 2" xfId="1379" xr:uid="{00000000-0005-0000-0000-000051050000}"/>
    <cellStyle name="level1a 2 3 10 2 2" xfId="1380" xr:uid="{00000000-0005-0000-0000-000052050000}"/>
    <cellStyle name="level1a 2 3 10 3" xfId="1381" xr:uid="{00000000-0005-0000-0000-000053050000}"/>
    <cellStyle name="level1a 2 3 11" xfId="1382" xr:uid="{00000000-0005-0000-0000-000054050000}"/>
    <cellStyle name="level1a 2 3 2" xfId="1383" xr:uid="{00000000-0005-0000-0000-000055050000}"/>
    <cellStyle name="level1a 2 3 2 10" xfId="1384" xr:uid="{00000000-0005-0000-0000-000056050000}"/>
    <cellStyle name="level1a 2 3 2 2" xfId="1385" xr:uid="{00000000-0005-0000-0000-000057050000}"/>
    <cellStyle name="level1a 2 3 2 2 2" xfId="1386" xr:uid="{00000000-0005-0000-0000-000058050000}"/>
    <cellStyle name="level1a 2 3 2 2 2 2" xfId="1387" xr:uid="{00000000-0005-0000-0000-000059050000}"/>
    <cellStyle name="level1a 2 3 2 2 2 2 2" xfId="1388" xr:uid="{00000000-0005-0000-0000-00005A050000}"/>
    <cellStyle name="level1a 2 3 2 2 2 2 2 2" xfId="1389" xr:uid="{00000000-0005-0000-0000-00005B050000}"/>
    <cellStyle name="level1a 2 3 2 2 2 2 3" xfId="1390" xr:uid="{00000000-0005-0000-0000-00005C050000}"/>
    <cellStyle name="level1a 2 3 2 2 2 3" xfId="1391" xr:uid="{00000000-0005-0000-0000-00005D050000}"/>
    <cellStyle name="level1a 2 3 2 2 2 3 2" xfId="1392" xr:uid="{00000000-0005-0000-0000-00005E050000}"/>
    <cellStyle name="level1a 2 3 2 2 2 3 2 2" xfId="1393" xr:uid="{00000000-0005-0000-0000-00005F050000}"/>
    <cellStyle name="level1a 2 3 2 2 2 3 3" xfId="1394" xr:uid="{00000000-0005-0000-0000-000060050000}"/>
    <cellStyle name="level1a 2 3 2 2 2 4" xfId="1395" xr:uid="{00000000-0005-0000-0000-000061050000}"/>
    <cellStyle name="level1a 2 3 2 2 2 5" xfId="1396" xr:uid="{00000000-0005-0000-0000-000062050000}"/>
    <cellStyle name="level1a 2 3 2 2 2 5 2" xfId="1397" xr:uid="{00000000-0005-0000-0000-000063050000}"/>
    <cellStyle name="level1a 2 3 2 2 3" xfId="1398" xr:uid="{00000000-0005-0000-0000-000064050000}"/>
    <cellStyle name="level1a 2 3 2 2 3 2" xfId="1399" xr:uid="{00000000-0005-0000-0000-000065050000}"/>
    <cellStyle name="level1a 2 3 2 2 3 2 2" xfId="1400" xr:uid="{00000000-0005-0000-0000-000066050000}"/>
    <cellStyle name="level1a 2 3 2 2 3 2 2 2" xfId="1401" xr:uid="{00000000-0005-0000-0000-000067050000}"/>
    <cellStyle name="level1a 2 3 2 2 3 2 3" xfId="1402" xr:uid="{00000000-0005-0000-0000-000068050000}"/>
    <cellStyle name="level1a 2 3 2 2 3 3" xfId="1403" xr:uid="{00000000-0005-0000-0000-000069050000}"/>
    <cellStyle name="level1a 2 3 2 2 3 3 2" xfId="1404" xr:uid="{00000000-0005-0000-0000-00006A050000}"/>
    <cellStyle name="level1a 2 3 2 2 3 3 2 2" xfId="1405" xr:uid="{00000000-0005-0000-0000-00006B050000}"/>
    <cellStyle name="level1a 2 3 2 2 3 3 3" xfId="1406" xr:uid="{00000000-0005-0000-0000-00006C050000}"/>
    <cellStyle name="level1a 2 3 2 2 3 4" xfId="1407" xr:uid="{00000000-0005-0000-0000-00006D050000}"/>
    <cellStyle name="level1a 2 3 2 2 3 5" xfId="1408" xr:uid="{00000000-0005-0000-0000-00006E050000}"/>
    <cellStyle name="level1a 2 3 2 2 4" xfId="1409" xr:uid="{00000000-0005-0000-0000-00006F050000}"/>
    <cellStyle name="level1a 2 3 2 2 4 2" xfId="1410" xr:uid="{00000000-0005-0000-0000-000070050000}"/>
    <cellStyle name="level1a 2 3 2 2 4 2 2" xfId="1411" xr:uid="{00000000-0005-0000-0000-000071050000}"/>
    <cellStyle name="level1a 2 3 2 2 4 2 2 2" xfId="1412" xr:uid="{00000000-0005-0000-0000-000072050000}"/>
    <cellStyle name="level1a 2 3 2 2 4 2 3" xfId="1413" xr:uid="{00000000-0005-0000-0000-000073050000}"/>
    <cellStyle name="level1a 2 3 2 2 4 3" xfId="1414" xr:uid="{00000000-0005-0000-0000-000074050000}"/>
    <cellStyle name="level1a 2 3 2 2 4 3 2" xfId="1415" xr:uid="{00000000-0005-0000-0000-000075050000}"/>
    <cellStyle name="level1a 2 3 2 2 4 3 2 2" xfId="1416" xr:uid="{00000000-0005-0000-0000-000076050000}"/>
    <cellStyle name="level1a 2 3 2 2 4 3 3" xfId="1417" xr:uid="{00000000-0005-0000-0000-000077050000}"/>
    <cellStyle name="level1a 2 3 2 2 4 4" xfId="1418" xr:uid="{00000000-0005-0000-0000-000078050000}"/>
    <cellStyle name="level1a 2 3 2 2 4 5" xfId="1419" xr:uid="{00000000-0005-0000-0000-000079050000}"/>
    <cellStyle name="level1a 2 3 2 2 4 5 2" xfId="1420" xr:uid="{00000000-0005-0000-0000-00007A050000}"/>
    <cellStyle name="level1a 2 3 2 2 4 6" xfId="1421" xr:uid="{00000000-0005-0000-0000-00007B050000}"/>
    <cellStyle name="level1a 2 3 2 2 5" xfId="1422" xr:uid="{00000000-0005-0000-0000-00007C050000}"/>
    <cellStyle name="level1a 2 3 2 2 5 2" xfId="1423" xr:uid="{00000000-0005-0000-0000-00007D050000}"/>
    <cellStyle name="level1a 2 3 2 2 5 2 2" xfId="1424" xr:uid="{00000000-0005-0000-0000-00007E050000}"/>
    <cellStyle name="level1a 2 3 2 2 5 2 2 2" xfId="1425" xr:uid="{00000000-0005-0000-0000-00007F050000}"/>
    <cellStyle name="level1a 2 3 2 2 5 2 3" xfId="1426" xr:uid="{00000000-0005-0000-0000-000080050000}"/>
    <cellStyle name="level1a 2 3 2 2 5 3" xfId="1427" xr:uid="{00000000-0005-0000-0000-000081050000}"/>
    <cellStyle name="level1a 2 3 2 2 5 3 2" xfId="1428" xr:uid="{00000000-0005-0000-0000-000082050000}"/>
    <cellStyle name="level1a 2 3 2 2 5 3 2 2" xfId="1429" xr:uid="{00000000-0005-0000-0000-000083050000}"/>
    <cellStyle name="level1a 2 3 2 2 5 3 3" xfId="1430" xr:uid="{00000000-0005-0000-0000-000084050000}"/>
    <cellStyle name="level1a 2 3 2 2 5 4" xfId="1431" xr:uid="{00000000-0005-0000-0000-000085050000}"/>
    <cellStyle name="level1a 2 3 2 2 5 4 2" xfId="1432" xr:uid="{00000000-0005-0000-0000-000086050000}"/>
    <cellStyle name="level1a 2 3 2 2 5 5" xfId="1433" xr:uid="{00000000-0005-0000-0000-000087050000}"/>
    <cellStyle name="level1a 2 3 2 2 6" xfId="1434" xr:uid="{00000000-0005-0000-0000-000088050000}"/>
    <cellStyle name="level1a 2 3 2 2 6 2" xfId="1435" xr:uid="{00000000-0005-0000-0000-000089050000}"/>
    <cellStyle name="level1a 2 3 2 2 6 2 2" xfId="1436" xr:uid="{00000000-0005-0000-0000-00008A050000}"/>
    <cellStyle name="level1a 2 3 2 2 6 2 2 2" xfId="1437" xr:uid="{00000000-0005-0000-0000-00008B050000}"/>
    <cellStyle name="level1a 2 3 2 2 6 2 3" xfId="1438" xr:uid="{00000000-0005-0000-0000-00008C050000}"/>
    <cellStyle name="level1a 2 3 2 2 6 3" xfId="1439" xr:uid="{00000000-0005-0000-0000-00008D050000}"/>
    <cellStyle name="level1a 2 3 2 2 6 3 2" xfId="1440" xr:uid="{00000000-0005-0000-0000-00008E050000}"/>
    <cellStyle name="level1a 2 3 2 2 6 3 2 2" xfId="1441" xr:uid="{00000000-0005-0000-0000-00008F050000}"/>
    <cellStyle name="level1a 2 3 2 2 6 3 3" xfId="1442" xr:uid="{00000000-0005-0000-0000-000090050000}"/>
    <cellStyle name="level1a 2 3 2 2 6 4" xfId="1443" xr:uid="{00000000-0005-0000-0000-000091050000}"/>
    <cellStyle name="level1a 2 3 2 2 6 4 2" xfId="1444" xr:uid="{00000000-0005-0000-0000-000092050000}"/>
    <cellStyle name="level1a 2 3 2 2 6 5" xfId="1445" xr:uid="{00000000-0005-0000-0000-000093050000}"/>
    <cellStyle name="level1a 2 3 2 2 7" xfId="1446" xr:uid="{00000000-0005-0000-0000-000094050000}"/>
    <cellStyle name="level1a 2 3 2 2 7 2" xfId="1447" xr:uid="{00000000-0005-0000-0000-000095050000}"/>
    <cellStyle name="level1a 2 3 2 2 7 2 2" xfId="1448" xr:uid="{00000000-0005-0000-0000-000096050000}"/>
    <cellStyle name="level1a 2 3 2 2 7 3" xfId="1449" xr:uid="{00000000-0005-0000-0000-000097050000}"/>
    <cellStyle name="level1a 2 3 2 2_STUD aligned by INSTIT" xfId="1450" xr:uid="{00000000-0005-0000-0000-000098050000}"/>
    <cellStyle name="level1a 2 3 2 3" xfId="1451" xr:uid="{00000000-0005-0000-0000-000099050000}"/>
    <cellStyle name="level1a 2 3 2 3 2" xfId="1452" xr:uid="{00000000-0005-0000-0000-00009A050000}"/>
    <cellStyle name="level1a 2 3 2 3 2 2" xfId="1453" xr:uid="{00000000-0005-0000-0000-00009B050000}"/>
    <cellStyle name="level1a 2 3 2 3 2 2 2" xfId="1454" xr:uid="{00000000-0005-0000-0000-00009C050000}"/>
    <cellStyle name="level1a 2 3 2 3 2 2 2 2" xfId="1455" xr:uid="{00000000-0005-0000-0000-00009D050000}"/>
    <cellStyle name="level1a 2 3 2 3 2 2 3" xfId="1456" xr:uid="{00000000-0005-0000-0000-00009E050000}"/>
    <cellStyle name="level1a 2 3 2 3 2 3" xfId="1457" xr:uid="{00000000-0005-0000-0000-00009F050000}"/>
    <cellStyle name="level1a 2 3 2 3 2 3 2" xfId="1458" xr:uid="{00000000-0005-0000-0000-0000A0050000}"/>
    <cellStyle name="level1a 2 3 2 3 2 3 2 2" xfId="1459" xr:uid="{00000000-0005-0000-0000-0000A1050000}"/>
    <cellStyle name="level1a 2 3 2 3 2 3 3" xfId="1460" xr:uid="{00000000-0005-0000-0000-0000A2050000}"/>
    <cellStyle name="level1a 2 3 2 3 2 4" xfId="1461" xr:uid="{00000000-0005-0000-0000-0000A3050000}"/>
    <cellStyle name="level1a 2 3 2 3 2 5" xfId="1462" xr:uid="{00000000-0005-0000-0000-0000A4050000}"/>
    <cellStyle name="level1a 2 3 2 3 3" xfId="1463" xr:uid="{00000000-0005-0000-0000-0000A5050000}"/>
    <cellStyle name="level1a 2 3 2 3 3 2" xfId="1464" xr:uid="{00000000-0005-0000-0000-0000A6050000}"/>
    <cellStyle name="level1a 2 3 2 3 3 2 2" xfId="1465" xr:uid="{00000000-0005-0000-0000-0000A7050000}"/>
    <cellStyle name="level1a 2 3 2 3 3 2 2 2" xfId="1466" xr:uid="{00000000-0005-0000-0000-0000A8050000}"/>
    <cellStyle name="level1a 2 3 2 3 3 2 3" xfId="1467" xr:uid="{00000000-0005-0000-0000-0000A9050000}"/>
    <cellStyle name="level1a 2 3 2 3 3 3" xfId="1468" xr:uid="{00000000-0005-0000-0000-0000AA050000}"/>
    <cellStyle name="level1a 2 3 2 3 3 3 2" xfId="1469" xr:uid="{00000000-0005-0000-0000-0000AB050000}"/>
    <cellStyle name="level1a 2 3 2 3 3 3 2 2" xfId="1470" xr:uid="{00000000-0005-0000-0000-0000AC050000}"/>
    <cellStyle name="level1a 2 3 2 3 3 3 3" xfId="1471" xr:uid="{00000000-0005-0000-0000-0000AD050000}"/>
    <cellStyle name="level1a 2 3 2 3 3 4" xfId="1472" xr:uid="{00000000-0005-0000-0000-0000AE050000}"/>
    <cellStyle name="level1a 2 3 2 3 3 4 2" xfId="1473" xr:uid="{00000000-0005-0000-0000-0000AF050000}"/>
    <cellStyle name="level1a 2 3 2 3 4" xfId="1474" xr:uid="{00000000-0005-0000-0000-0000B0050000}"/>
    <cellStyle name="level1a 2 3 2 3 4 2" xfId="1475" xr:uid="{00000000-0005-0000-0000-0000B1050000}"/>
    <cellStyle name="level1a 2 3 2 3 4 2 2" xfId="1476" xr:uid="{00000000-0005-0000-0000-0000B2050000}"/>
    <cellStyle name="level1a 2 3 2 3 4 2 2 2" xfId="1477" xr:uid="{00000000-0005-0000-0000-0000B3050000}"/>
    <cellStyle name="level1a 2 3 2 3 4 2 3" xfId="1478" xr:uid="{00000000-0005-0000-0000-0000B4050000}"/>
    <cellStyle name="level1a 2 3 2 3 4 3" xfId="1479" xr:uid="{00000000-0005-0000-0000-0000B5050000}"/>
    <cellStyle name="level1a 2 3 2 3 4 3 2" xfId="1480" xr:uid="{00000000-0005-0000-0000-0000B6050000}"/>
    <cellStyle name="level1a 2 3 2 3 4 3 2 2" xfId="1481" xr:uid="{00000000-0005-0000-0000-0000B7050000}"/>
    <cellStyle name="level1a 2 3 2 3 4 3 3" xfId="1482" xr:uid="{00000000-0005-0000-0000-0000B8050000}"/>
    <cellStyle name="level1a 2 3 2 3 4 4" xfId="1483" xr:uid="{00000000-0005-0000-0000-0000B9050000}"/>
    <cellStyle name="level1a 2 3 2 3 4 4 2" xfId="1484" xr:uid="{00000000-0005-0000-0000-0000BA050000}"/>
    <cellStyle name="level1a 2 3 2 3 4 5" xfId="1485" xr:uid="{00000000-0005-0000-0000-0000BB050000}"/>
    <cellStyle name="level1a 2 3 2 3 5" xfId="1486" xr:uid="{00000000-0005-0000-0000-0000BC050000}"/>
    <cellStyle name="level1a 2 3 2 3 5 2" xfId="1487" xr:uid="{00000000-0005-0000-0000-0000BD050000}"/>
    <cellStyle name="level1a 2 3 2 3 5 2 2" xfId="1488" xr:uid="{00000000-0005-0000-0000-0000BE050000}"/>
    <cellStyle name="level1a 2 3 2 3 5 2 2 2" xfId="1489" xr:uid="{00000000-0005-0000-0000-0000BF050000}"/>
    <cellStyle name="level1a 2 3 2 3 5 2 3" xfId="1490" xr:uid="{00000000-0005-0000-0000-0000C0050000}"/>
    <cellStyle name="level1a 2 3 2 3 5 3" xfId="1491" xr:uid="{00000000-0005-0000-0000-0000C1050000}"/>
    <cellStyle name="level1a 2 3 2 3 5 3 2" xfId="1492" xr:uid="{00000000-0005-0000-0000-0000C2050000}"/>
    <cellStyle name="level1a 2 3 2 3 5 3 2 2" xfId="1493" xr:uid="{00000000-0005-0000-0000-0000C3050000}"/>
    <cellStyle name="level1a 2 3 2 3 5 3 3" xfId="1494" xr:uid="{00000000-0005-0000-0000-0000C4050000}"/>
    <cellStyle name="level1a 2 3 2 3 5 4" xfId="1495" xr:uid="{00000000-0005-0000-0000-0000C5050000}"/>
    <cellStyle name="level1a 2 3 2 3 5 4 2" xfId="1496" xr:uid="{00000000-0005-0000-0000-0000C6050000}"/>
    <cellStyle name="level1a 2 3 2 3 5 5" xfId="1497" xr:uid="{00000000-0005-0000-0000-0000C7050000}"/>
    <cellStyle name="level1a 2 3 2 3 6" xfId="1498" xr:uid="{00000000-0005-0000-0000-0000C8050000}"/>
    <cellStyle name="level1a 2 3 2 3 6 2" xfId="1499" xr:uid="{00000000-0005-0000-0000-0000C9050000}"/>
    <cellStyle name="level1a 2 3 2 3 6 2 2" xfId="1500" xr:uid="{00000000-0005-0000-0000-0000CA050000}"/>
    <cellStyle name="level1a 2 3 2 3 6 2 2 2" xfId="1501" xr:uid="{00000000-0005-0000-0000-0000CB050000}"/>
    <cellStyle name="level1a 2 3 2 3 6 2 3" xfId="1502" xr:uid="{00000000-0005-0000-0000-0000CC050000}"/>
    <cellStyle name="level1a 2 3 2 3 6 3" xfId="1503" xr:uid="{00000000-0005-0000-0000-0000CD050000}"/>
    <cellStyle name="level1a 2 3 2 3 6 3 2" xfId="1504" xr:uid="{00000000-0005-0000-0000-0000CE050000}"/>
    <cellStyle name="level1a 2 3 2 3 6 3 2 2" xfId="1505" xr:uid="{00000000-0005-0000-0000-0000CF050000}"/>
    <cellStyle name="level1a 2 3 2 3 6 3 3" xfId="1506" xr:uid="{00000000-0005-0000-0000-0000D0050000}"/>
    <cellStyle name="level1a 2 3 2 3 6 4" xfId="1507" xr:uid="{00000000-0005-0000-0000-0000D1050000}"/>
    <cellStyle name="level1a 2 3 2 3 6 4 2" xfId="1508" xr:uid="{00000000-0005-0000-0000-0000D2050000}"/>
    <cellStyle name="level1a 2 3 2 3 6 5" xfId="1509" xr:uid="{00000000-0005-0000-0000-0000D3050000}"/>
    <cellStyle name="level1a 2 3 2 3 7" xfId="1510" xr:uid="{00000000-0005-0000-0000-0000D4050000}"/>
    <cellStyle name="level1a 2 3 2 3 7 2" xfId="1511" xr:uid="{00000000-0005-0000-0000-0000D5050000}"/>
    <cellStyle name="level1a 2 3 2 3 7 2 2" xfId="1512" xr:uid="{00000000-0005-0000-0000-0000D6050000}"/>
    <cellStyle name="level1a 2 3 2 3 7 3" xfId="1513" xr:uid="{00000000-0005-0000-0000-0000D7050000}"/>
    <cellStyle name="level1a 2 3 2 3 8" xfId="1514" xr:uid="{00000000-0005-0000-0000-0000D8050000}"/>
    <cellStyle name="level1a 2 3 2 3 8 2" xfId="1515" xr:uid="{00000000-0005-0000-0000-0000D9050000}"/>
    <cellStyle name="level1a 2 3 2 3 8 2 2" xfId="1516" xr:uid="{00000000-0005-0000-0000-0000DA050000}"/>
    <cellStyle name="level1a 2 3 2 3 8 3" xfId="1517" xr:uid="{00000000-0005-0000-0000-0000DB050000}"/>
    <cellStyle name="level1a 2 3 2 3_STUD aligned by INSTIT" xfId="1518" xr:uid="{00000000-0005-0000-0000-0000DC050000}"/>
    <cellStyle name="level1a 2 3 2 4" xfId="1519" xr:uid="{00000000-0005-0000-0000-0000DD050000}"/>
    <cellStyle name="level1a 2 3 2 4 2" xfId="1520" xr:uid="{00000000-0005-0000-0000-0000DE050000}"/>
    <cellStyle name="level1a 2 3 2 4 2 2" xfId="1521" xr:uid="{00000000-0005-0000-0000-0000DF050000}"/>
    <cellStyle name="level1a 2 3 2 4 2 2 2" xfId="1522" xr:uid="{00000000-0005-0000-0000-0000E0050000}"/>
    <cellStyle name="level1a 2 3 2 4 2 3" xfId="1523" xr:uid="{00000000-0005-0000-0000-0000E1050000}"/>
    <cellStyle name="level1a 2 3 2 4 3" xfId="1524" xr:uid="{00000000-0005-0000-0000-0000E2050000}"/>
    <cellStyle name="level1a 2 3 2 4 3 2" xfId="1525" xr:uid="{00000000-0005-0000-0000-0000E3050000}"/>
    <cellStyle name="level1a 2 3 2 4 3 2 2" xfId="1526" xr:uid="{00000000-0005-0000-0000-0000E4050000}"/>
    <cellStyle name="level1a 2 3 2 4 3 3" xfId="1527" xr:uid="{00000000-0005-0000-0000-0000E5050000}"/>
    <cellStyle name="level1a 2 3 2 4 4" xfId="1528" xr:uid="{00000000-0005-0000-0000-0000E6050000}"/>
    <cellStyle name="level1a 2 3 2 4 5" xfId="1529" xr:uid="{00000000-0005-0000-0000-0000E7050000}"/>
    <cellStyle name="level1a 2 3 2 4 5 2" xfId="1530" xr:uid="{00000000-0005-0000-0000-0000E8050000}"/>
    <cellStyle name="level1a 2 3 2 5" xfId="1531" xr:uid="{00000000-0005-0000-0000-0000E9050000}"/>
    <cellStyle name="level1a 2 3 2 5 2" xfId="1532" xr:uid="{00000000-0005-0000-0000-0000EA050000}"/>
    <cellStyle name="level1a 2 3 2 5 2 2" xfId="1533" xr:uid="{00000000-0005-0000-0000-0000EB050000}"/>
    <cellStyle name="level1a 2 3 2 5 2 2 2" xfId="1534" xr:uid="{00000000-0005-0000-0000-0000EC050000}"/>
    <cellStyle name="level1a 2 3 2 5 2 3" xfId="1535" xr:uid="{00000000-0005-0000-0000-0000ED050000}"/>
    <cellStyle name="level1a 2 3 2 5 3" xfId="1536" xr:uid="{00000000-0005-0000-0000-0000EE050000}"/>
    <cellStyle name="level1a 2 3 2 5 3 2" xfId="1537" xr:uid="{00000000-0005-0000-0000-0000EF050000}"/>
    <cellStyle name="level1a 2 3 2 5 3 2 2" xfId="1538" xr:uid="{00000000-0005-0000-0000-0000F0050000}"/>
    <cellStyle name="level1a 2 3 2 5 3 3" xfId="1539" xr:uid="{00000000-0005-0000-0000-0000F1050000}"/>
    <cellStyle name="level1a 2 3 2 5 4" xfId="1540" xr:uid="{00000000-0005-0000-0000-0000F2050000}"/>
    <cellStyle name="level1a 2 3 2 5 5" xfId="1541" xr:uid="{00000000-0005-0000-0000-0000F3050000}"/>
    <cellStyle name="level1a 2 3 2 5 5 2" xfId="1542" xr:uid="{00000000-0005-0000-0000-0000F4050000}"/>
    <cellStyle name="level1a 2 3 2 5 6" xfId="1543" xr:uid="{00000000-0005-0000-0000-0000F5050000}"/>
    <cellStyle name="level1a 2 3 2 6" xfId="1544" xr:uid="{00000000-0005-0000-0000-0000F6050000}"/>
    <cellStyle name="level1a 2 3 2 6 2" xfId="1545" xr:uid="{00000000-0005-0000-0000-0000F7050000}"/>
    <cellStyle name="level1a 2 3 2 6 2 2" xfId="1546" xr:uid="{00000000-0005-0000-0000-0000F8050000}"/>
    <cellStyle name="level1a 2 3 2 6 2 2 2" xfId="1547" xr:uid="{00000000-0005-0000-0000-0000F9050000}"/>
    <cellStyle name="level1a 2 3 2 6 2 3" xfId="1548" xr:uid="{00000000-0005-0000-0000-0000FA050000}"/>
    <cellStyle name="level1a 2 3 2 6 3" xfId="1549" xr:uid="{00000000-0005-0000-0000-0000FB050000}"/>
    <cellStyle name="level1a 2 3 2 6 3 2" xfId="1550" xr:uid="{00000000-0005-0000-0000-0000FC050000}"/>
    <cellStyle name="level1a 2 3 2 6 3 2 2" xfId="1551" xr:uid="{00000000-0005-0000-0000-0000FD050000}"/>
    <cellStyle name="level1a 2 3 2 6 3 3" xfId="1552" xr:uid="{00000000-0005-0000-0000-0000FE050000}"/>
    <cellStyle name="level1a 2 3 2 6 4" xfId="1553" xr:uid="{00000000-0005-0000-0000-0000FF050000}"/>
    <cellStyle name="level1a 2 3 2 6 5" xfId="1554" xr:uid="{00000000-0005-0000-0000-000000060000}"/>
    <cellStyle name="level1a 2 3 2 7" xfId="1555" xr:uid="{00000000-0005-0000-0000-000001060000}"/>
    <cellStyle name="level1a 2 3 2 7 2" xfId="1556" xr:uid="{00000000-0005-0000-0000-000002060000}"/>
    <cellStyle name="level1a 2 3 2 7 2 2" xfId="1557" xr:uid="{00000000-0005-0000-0000-000003060000}"/>
    <cellStyle name="level1a 2 3 2 7 2 2 2" xfId="1558" xr:uid="{00000000-0005-0000-0000-000004060000}"/>
    <cellStyle name="level1a 2 3 2 7 2 3" xfId="1559" xr:uid="{00000000-0005-0000-0000-000005060000}"/>
    <cellStyle name="level1a 2 3 2 7 3" xfId="1560" xr:uid="{00000000-0005-0000-0000-000006060000}"/>
    <cellStyle name="level1a 2 3 2 7 3 2" xfId="1561" xr:uid="{00000000-0005-0000-0000-000007060000}"/>
    <cellStyle name="level1a 2 3 2 7 3 2 2" xfId="1562" xr:uid="{00000000-0005-0000-0000-000008060000}"/>
    <cellStyle name="level1a 2 3 2 7 3 3" xfId="1563" xr:uid="{00000000-0005-0000-0000-000009060000}"/>
    <cellStyle name="level1a 2 3 2 7 4" xfId="1564" xr:uid="{00000000-0005-0000-0000-00000A060000}"/>
    <cellStyle name="level1a 2 3 2 7 5" xfId="1565" xr:uid="{00000000-0005-0000-0000-00000B060000}"/>
    <cellStyle name="level1a 2 3 2 7 5 2" xfId="1566" xr:uid="{00000000-0005-0000-0000-00000C060000}"/>
    <cellStyle name="level1a 2 3 2 7 6" xfId="1567" xr:uid="{00000000-0005-0000-0000-00000D060000}"/>
    <cellStyle name="level1a 2 3 2 8" xfId="1568" xr:uid="{00000000-0005-0000-0000-00000E060000}"/>
    <cellStyle name="level1a 2 3 2 8 2" xfId="1569" xr:uid="{00000000-0005-0000-0000-00000F060000}"/>
    <cellStyle name="level1a 2 3 2 8 2 2" xfId="1570" xr:uid="{00000000-0005-0000-0000-000010060000}"/>
    <cellStyle name="level1a 2 3 2 8 2 2 2" xfId="1571" xr:uid="{00000000-0005-0000-0000-000011060000}"/>
    <cellStyle name="level1a 2 3 2 8 2 3" xfId="1572" xr:uid="{00000000-0005-0000-0000-000012060000}"/>
    <cellStyle name="level1a 2 3 2 8 3" xfId="1573" xr:uid="{00000000-0005-0000-0000-000013060000}"/>
    <cellStyle name="level1a 2 3 2 8 3 2" xfId="1574" xr:uid="{00000000-0005-0000-0000-000014060000}"/>
    <cellStyle name="level1a 2 3 2 8 3 2 2" xfId="1575" xr:uid="{00000000-0005-0000-0000-000015060000}"/>
    <cellStyle name="level1a 2 3 2 8 3 3" xfId="1576" xr:uid="{00000000-0005-0000-0000-000016060000}"/>
    <cellStyle name="level1a 2 3 2 8 4" xfId="1577" xr:uid="{00000000-0005-0000-0000-000017060000}"/>
    <cellStyle name="level1a 2 3 2 8 4 2" xfId="1578" xr:uid="{00000000-0005-0000-0000-000018060000}"/>
    <cellStyle name="level1a 2 3 2 8 5" xfId="1579" xr:uid="{00000000-0005-0000-0000-000019060000}"/>
    <cellStyle name="level1a 2 3 2 9" xfId="1580" xr:uid="{00000000-0005-0000-0000-00001A060000}"/>
    <cellStyle name="level1a 2 3 2 9 2" xfId="1581" xr:uid="{00000000-0005-0000-0000-00001B060000}"/>
    <cellStyle name="level1a 2 3 2 9 2 2" xfId="1582" xr:uid="{00000000-0005-0000-0000-00001C060000}"/>
    <cellStyle name="level1a 2 3 2 9 3" xfId="1583" xr:uid="{00000000-0005-0000-0000-00001D060000}"/>
    <cellStyle name="level1a 2 3 2_STUD aligned by INSTIT" xfId="1584" xr:uid="{00000000-0005-0000-0000-00001E060000}"/>
    <cellStyle name="level1a 2 3 3" xfId="1585" xr:uid="{00000000-0005-0000-0000-00001F060000}"/>
    <cellStyle name="level1a 2 3 3 2" xfId="1586" xr:uid="{00000000-0005-0000-0000-000020060000}"/>
    <cellStyle name="level1a 2 3 3 2 2" xfId="1587" xr:uid="{00000000-0005-0000-0000-000021060000}"/>
    <cellStyle name="level1a 2 3 3 2 2 2" xfId="1588" xr:uid="{00000000-0005-0000-0000-000022060000}"/>
    <cellStyle name="level1a 2 3 3 2 2 2 2" xfId="1589" xr:uid="{00000000-0005-0000-0000-000023060000}"/>
    <cellStyle name="level1a 2 3 3 2 2 3" xfId="1590" xr:uid="{00000000-0005-0000-0000-000024060000}"/>
    <cellStyle name="level1a 2 3 3 2 3" xfId="1591" xr:uid="{00000000-0005-0000-0000-000025060000}"/>
    <cellStyle name="level1a 2 3 3 2 3 2" xfId="1592" xr:uid="{00000000-0005-0000-0000-000026060000}"/>
    <cellStyle name="level1a 2 3 3 2 3 2 2" xfId="1593" xr:uid="{00000000-0005-0000-0000-000027060000}"/>
    <cellStyle name="level1a 2 3 3 2 3 3" xfId="1594" xr:uid="{00000000-0005-0000-0000-000028060000}"/>
    <cellStyle name="level1a 2 3 3 2 4" xfId="1595" xr:uid="{00000000-0005-0000-0000-000029060000}"/>
    <cellStyle name="level1a 2 3 3 2 5" xfId="1596" xr:uid="{00000000-0005-0000-0000-00002A060000}"/>
    <cellStyle name="level1a 2 3 3 2 5 2" xfId="1597" xr:uid="{00000000-0005-0000-0000-00002B060000}"/>
    <cellStyle name="level1a 2 3 3 3" xfId="1598" xr:uid="{00000000-0005-0000-0000-00002C060000}"/>
    <cellStyle name="level1a 2 3 3 3 2" xfId="1599" xr:uid="{00000000-0005-0000-0000-00002D060000}"/>
    <cellStyle name="level1a 2 3 3 3 2 2" xfId="1600" xr:uid="{00000000-0005-0000-0000-00002E060000}"/>
    <cellStyle name="level1a 2 3 3 3 2 2 2" xfId="1601" xr:uid="{00000000-0005-0000-0000-00002F060000}"/>
    <cellStyle name="level1a 2 3 3 3 2 3" xfId="1602" xr:uid="{00000000-0005-0000-0000-000030060000}"/>
    <cellStyle name="level1a 2 3 3 3 3" xfId="1603" xr:uid="{00000000-0005-0000-0000-000031060000}"/>
    <cellStyle name="level1a 2 3 3 3 3 2" xfId="1604" xr:uid="{00000000-0005-0000-0000-000032060000}"/>
    <cellStyle name="level1a 2 3 3 3 3 2 2" xfId="1605" xr:uid="{00000000-0005-0000-0000-000033060000}"/>
    <cellStyle name="level1a 2 3 3 3 3 3" xfId="1606" xr:uid="{00000000-0005-0000-0000-000034060000}"/>
    <cellStyle name="level1a 2 3 3 3 4" xfId="1607" xr:uid="{00000000-0005-0000-0000-000035060000}"/>
    <cellStyle name="level1a 2 3 3 3 5" xfId="1608" xr:uid="{00000000-0005-0000-0000-000036060000}"/>
    <cellStyle name="level1a 2 3 3 4" xfId="1609" xr:uid="{00000000-0005-0000-0000-000037060000}"/>
    <cellStyle name="level1a 2 3 3 4 2" xfId="1610" xr:uid="{00000000-0005-0000-0000-000038060000}"/>
    <cellStyle name="level1a 2 3 3 4 2 2" xfId="1611" xr:uid="{00000000-0005-0000-0000-000039060000}"/>
    <cellStyle name="level1a 2 3 3 4 2 2 2" xfId="1612" xr:uid="{00000000-0005-0000-0000-00003A060000}"/>
    <cellStyle name="level1a 2 3 3 4 2 3" xfId="1613" xr:uid="{00000000-0005-0000-0000-00003B060000}"/>
    <cellStyle name="level1a 2 3 3 4 3" xfId="1614" xr:uid="{00000000-0005-0000-0000-00003C060000}"/>
    <cellStyle name="level1a 2 3 3 4 3 2" xfId="1615" xr:uid="{00000000-0005-0000-0000-00003D060000}"/>
    <cellStyle name="level1a 2 3 3 4 3 2 2" xfId="1616" xr:uid="{00000000-0005-0000-0000-00003E060000}"/>
    <cellStyle name="level1a 2 3 3 4 3 3" xfId="1617" xr:uid="{00000000-0005-0000-0000-00003F060000}"/>
    <cellStyle name="level1a 2 3 3 4 4" xfId="1618" xr:uid="{00000000-0005-0000-0000-000040060000}"/>
    <cellStyle name="level1a 2 3 3 4 5" xfId="1619" xr:uid="{00000000-0005-0000-0000-000041060000}"/>
    <cellStyle name="level1a 2 3 3 4 5 2" xfId="1620" xr:uid="{00000000-0005-0000-0000-000042060000}"/>
    <cellStyle name="level1a 2 3 3 4 6" xfId="1621" xr:uid="{00000000-0005-0000-0000-000043060000}"/>
    <cellStyle name="level1a 2 3 3 5" xfId="1622" xr:uid="{00000000-0005-0000-0000-000044060000}"/>
    <cellStyle name="level1a 2 3 3 5 2" xfId="1623" xr:uid="{00000000-0005-0000-0000-000045060000}"/>
    <cellStyle name="level1a 2 3 3 5 2 2" xfId="1624" xr:uid="{00000000-0005-0000-0000-000046060000}"/>
    <cellStyle name="level1a 2 3 3 5 2 2 2" xfId="1625" xr:uid="{00000000-0005-0000-0000-000047060000}"/>
    <cellStyle name="level1a 2 3 3 5 2 3" xfId="1626" xr:uid="{00000000-0005-0000-0000-000048060000}"/>
    <cellStyle name="level1a 2 3 3 5 3" xfId="1627" xr:uid="{00000000-0005-0000-0000-000049060000}"/>
    <cellStyle name="level1a 2 3 3 5 3 2" xfId="1628" xr:uid="{00000000-0005-0000-0000-00004A060000}"/>
    <cellStyle name="level1a 2 3 3 5 3 2 2" xfId="1629" xr:uid="{00000000-0005-0000-0000-00004B060000}"/>
    <cellStyle name="level1a 2 3 3 5 3 3" xfId="1630" xr:uid="{00000000-0005-0000-0000-00004C060000}"/>
    <cellStyle name="level1a 2 3 3 5 4" xfId="1631" xr:uid="{00000000-0005-0000-0000-00004D060000}"/>
    <cellStyle name="level1a 2 3 3 5 4 2" xfId="1632" xr:uid="{00000000-0005-0000-0000-00004E060000}"/>
    <cellStyle name="level1a 2 3 3 5 5" xfId="1633" xr:uid="{00000000-0005-0000-0000-00004F060000}"/>
    <cellStyle name="level1a 2 3 3 6" xfId="1634" xr:uid="{00000000-0005-0000-0000-000050060000}"/>
    <cellStyle name="level1a 2 3 3 6 2" xfId="1635" xr:uid="{00000000-0005-0000-0000-000051060000}"/>
    <cellStyle name="level1a 2 3 3 6 2 2" xfId="1636" xr:uid="{00000000-0005-0000-0000-000052060000}"/>
    <cellStyle name="level1a 2 3 3 6 2 2 2" xfId="1637" xr:uid="{00000000-0005-0000-0000-000053060000}"/>
    <cellStyle name="level1a 2 3 3 6 2 3" xfId="1638" xr:uid="{00000000-0005-0000-0000-000054060000}"/>
    <cellStyle name="level1a 2 3 3 6 3" xfId="1639" xr:uid="{00000000-0005-0000-0000-000055060000}"/>
    <cellStyle name="level1a 2 3 3 6 3 2" xfId="1640" xr:uid="{00000000-0005-0000-0000-000056060000}"/>
    <cellStyle name="level1a 2 3 3 6 3 2 2" xfId="1641" xr:uid="{00000000-0005-0000-0000-000057060000}"/>
    <cellStyle name="level1a 2 3 3 6 3 3" xfId="1642" xr:uid="{00000000-0005-0000-0000-000058060000}"/>
    <cellStyle name="level1a 2 3 3 6 4" xfId="1643" xr:uid="{00000000-0005-0000-0000-000059060000}"/>
    <cellStyle name="level1a 2 3 3 6 4 2" xfId="1644" xr:uid="{00000000-0005-0000-0000-00005A060000}"/>
    <cellStyle name="level1a 2 3 3 6 5" xfId="1645" xr:uid="{00000000-0005-0000-0000-00005B060000}"/>
    <cellStyle name="level1a 2 3 3 7" xfId="1646" xr:uid="{00000000-0005-0000-0000-00005C060000}"/>
    <cellStyle name="level1a 2 3 3 7 2" xfId="1647" xr:uid="{00000000-0005-0000-0000-00005D060000}"/>
    <cellStyle name="level1a 2 3 3 7 2 2" xfId="1648" xr:uid="{00000000-0005-0000-0000-00005E060000}"/>
    <cellStyle name="level1a 2 3 3 7 3" xfId="1649" xr:uid="{00000000-0005-0000-0000-00005F060000}"/>
    <cellStyle name="level1a 2 3 3_STUD aligned by INSTIT" xfId="1650" xr:uid="{00000000-0005-0000-0000-000060060000}"/>
    <cellStyle name="level1a 2 3 4" xfId="1651" xr:uid="{00000000-0005-0000-0000-000061060000}"/>
    <cellStyle name="level1a 2 3 4 2" xfId="1652" xr:uid="{00000000-0005-0000-0000-000062060000}"/>
    <cellStyle name="level1a 2 3 4 2 2" xfId="1653" xr:uid="{00000000-0005-0000-0000-000063060000}"/>
    <cellStyle name="level1a 2 3 4 2 2 2" xfId="1654" xr:uid="{00000000-0005-0000-0000-000064060000}"/>
    <cellStyle name="level1a 2 3 4 2 2 2 2" xfId="1655" xr:uid="{00000000-0005-0000-0000-000065060000}"/>
    <cellStyle name="level1a 2 3 4 2 2 3" xfId="1656" xr:uid="{00000000-0005-0000-0000-000066060000}"/>
    <cellStyle name="level1a 2 3 4 2 3" xfId="1657" xr:uid="{00000000-0005-0000-0000-000067060000}"/>
    <cellStyle name="level1a 2 3 4 2 3 2" xfId="1658" xr:uid="{00000000-0005-0000-0000-000068060000}"/>
    <cellStyle name="level1a 2 3 4 2 3 2 2" xfId="1659" xr:uid="{00000000-0005-0000-0000-000069060000}"/>
    <cellStyle name="level1a 2 3 4 2 3 3" xfId="1660" xr:uid="{00000000-0005-0000-0000-00006A060000}"/>
    <cellStyle name="level1a 2 3 4 2 4" xfId="1661" xr:uid="{00000000-0005-0000-0000-00006B060000}"/>
    <cellStyle name="level1a 2 3 4 2 5" xfId="1662" xr:uid="{00000000-0005-0000-0000-00006C060000}"/>
    <cellStyle name="level1a 2 3 4 2 5 2" xfId="1663" xr:uid="{00000000-0005-0000-0000-00006D060000}"/>
    <cellStyle name="level1a 2 3 4 2 6" xfId="1664" xr:uid="{00000000-0005-0000-0000-00006E060000}"/>
    <cellStyle name="level1a 2 3 4 3" xfId="1665" xr:uid="{00000000-0005-0000-0000-00006F060000}"/>
    <cellStyle name="level1a 2 3 4 3 2" xfId="1666" xr:uid="{00000000-0005-0000-0000-000070060000}"/>
    <cellStyle name="level1a 2 3 4 3 2 2" xfId="1667" xr:uid="{00000000-0005-0000-0000-000071060000}"/>
    <cellStyle name="level1a 2 3 4 3 2 2 2" xfId="1668" xr:uid="{00000000-0005-0000-0000-000072060000}"/>
    <cellStyle name="level1a 2 3 4 3 2 3" xfId="1669" xr:uid="{00000000-0005-0000-0000-000073060000}"/>
    <cellStyle name="level1a 2 3 4 3 3" xfId="1670" xr:uid="{00000000-0005-0000-0000-000074060000}"/>
    <cellStyle name="level1a 2 3 4 3 3 2" xfId="1671" xr:uid="{00000000-0005-0000-0000-000075060000}"/>
    <cellStyle name="level1a 2 3 4 3 3 2 2" xfId="1672" xr:uid="{00000000-0005-0000-0000-000076060000}"/>
    <cellStyle name="level1a 2 3 4 3 3 3" xfId="1673" xr:uid="{00000000-0005-0000-0000-000077060000}"/>
    <cellStyle name="level1a 2 3 4 3 4" xfId="1674" xr:uid="{00000000-0005-0000-0000-000078060000}"/>
    <cellStyle name="level1a 2 3 4 4" xfId="1675" xr:uid="{00000000-0005-0000-0000-000079060000}"/>
    <cellStyle name="level1a 2 3 4 4 2" xfId="1676" xr:uid="{00000000-0005-0000-0000-00007A060000}"/>
    <cellStyle name="level1a 2 3 4 4 2 2" xfId="1677" xr:uid="{00000000-0005-0000-0000-00007B060000}"/>
    <cellStyle name="level1a 2 3 4 4 2 2 2" xfId="1678" xr:uid="{00000000-0005-0000-0000-00007C060000}"/>
    <cellStyle name="level1a 2 3 4 4 2 3" xfId="1679" xr:uid="{00000000-0005-0000-0000-00007D060000}"/>
    <cellStyle name="level1a 2 3 4 4 3" xfId="1680" xr:uid="{00000000-0005-0000-0000-00007E060000}"/>
    <cellStyle name="level1a 2 3 4 4 3 2" xfId="1681" xr:uid="{00000000-0005-0000-0000-00007F060000}"/>
    <cellStyle name="level1a 2 3 4 4 3 2 2" xfId="1682" xr:uid="{00000000-0005-0000-0000-000080060000}"/>
    <cellStyle name="level1a 2 3 4 4 3 3" xfId="1683" xr:uid="{00000000-0005-0000-0000-000081060000}"/>
    <cellStyle name="level1a 2 3 4 4 4" xfId="1684" xr:uid="{00000000-0005-0000-0000-000082060000}"/>
    <cellStyle name="level1a 2 3 4 4 4 2" xfId="1685" xr:uid="{00000000-0005-0000-0000-000083060000}"/>
    <cellStyle name="level1a 2 3 4 4 5" xfId="1686" xr:uid="{00000000-0005-0000-0000-000084060000}"/>
    <cellStyle name="level1a 2 3 4 5" xfId="1687" xr:uid="{00000000-0005-0000-0000-000085060000}"/>
    <cellStyle name="level1a 2 3 4 5 2" xfId="1688" xr:uid="{00000000-0005-0000-0000-000086060000}"/>
    <cellStyle name="level1a 2 3 4 5 2 2" xfId="1689" xr:uid="{00000000-0005-0000-0000-000087060000}"/>
    <cellStyle name="level1a 2 3 4 5 2 2 2" xfId="1690" xr:uid="{00000000-0005-0000-0000-000088060000}"/>
    <cellStyle name="level1a 2 3 4 5 2 3" xfId="1691" xr:uid="{00000000-0005-0000-0000-000089060000}"/>
    <cellStyle name="level1a 2 3 4 5 3" xfId="1692" xr:uid="{00000000-0005-0000-0000-00008A060000}"/>
    <cellStyle name="level1a 2 3 4 5 3 2" xfId="1693" xr:uid="{00000000-0005-0000-0000-00008B060000}"/>
    <cellStyle name="level1a 2 3 4 5 3 2 2" xfId="1694" xr:uid="{00000000-0005-0000-0000-00008C060000}"/>
    <cellStyle name="level1a 2 3 4 5 3 3" xfId="1695" xr:uid="{00000000-0005-0000-0000-00008D060000}"/>
    <cellStyle name="level1a 2 3 4 5 4" xfId="1696" xr:uid="{00000000-0005-0000-0000-00008E060000}"/>
    <cellStyle name="level1a 2 3 4 5 4 2" xfId="1697" xr:uid="{00000000-0005-0000-0000-00008F060000}"/>
    <cellStyle name="level1a 2 3 4 5 5" xfId="1698" xr:uid="{00000000-0005-0000-0000-000090060000}"/>
    <cellStyle name="level1a 2 3 4 6" xfId="1699" xr:uid="{00000000-0005-0000-0000-000091060000}"/>
    <cellStyle name="level1a 2 3 4 6 2" xfId="1700" xr:uid="{00000000-0005-0000-0000-000092060000}"/>
    <cellStyle name="level1a 2 3 4 6 2 2" xfId="1701" xr:uid="{00000000-0005-0000-0000-000093060000}"/>
    <cellStyle name="level1a 2 3 4 6 2 2 2" xfId="1702" xr:uid="{00000000-0005-0000-0000-000094060000}"/>
    <cellStyle name="level1a 2 3 4 6 2 3" xfId="1703" xr:uid="{00000000-0005-0000-0000-000095060000}"/>
    <cellStyle name="level1a 2 3 4 6 3" xfId="1704" xr:uid="{00000000-0005-0000-0000-000096060000}"/>
    <cellStyle name="level1a 2 3 4 6 3 2" xfId="1705" xr:uid="{00000000-0005-0000-0000-000097060000}"/>
    <cellStyle name="level1a 2 3 4 6 3 2 2" xfId="1706" xr:uid="{00000000-0005-0000-0000-000098060000}"/>
    <cellStyle name="level1a 2 3 4 6 3 3" xfId="1707" xr:uid="{00000000-0005-0000-0000-000099060000}"/>
    <cellStyle name="level1a 2 3 4 6 4" xfId="1708" xr:uid="{00000000-0005-0000-0000-00009A060000}"/>
    <cellStyle name="level1a 2 3 4 6 4 2" xfId="1709" xr:uid="{00000000-0005-0000-0000-00009B060000}"/>
    <cellStyle name="level1a 2 3 4 6 5" xfId="1710" xr:uid="{00000000-0005-0000-0000-00009C060000}"/>
    <cellStyle name="level1a 2 3 4 7" xfId="1711" xr:uid="{00000000-0005-0000-0000-00009D060000}"/>
    <cellStyle name="level1a 2 3 4 7 2" xfId="1712" xr:uid="{00000000-0005-0000-0000-00009E060000}"/>
    <cellStyle name="level1a 2 3 4 7 2 2" xfId="1713" xr:uid="{00000000-0005-0000-0000-00009F060000}"/>
    <cellStyle name="level1a 2 3 4 7 3" xfId="1714" xr:uid="{00000000-0005-0000-0000-0000A0060000}"/>
    <cellStyle name="level1a 2 3 4 8" xfId="1715" xr:uid="{00000000-0005-0000-0000-0000A1060000}"/>
    <cellStyle name="level1a 2 3 4 8 2" xfId="1716" xr:uid="{00000000-0005-0000-0000-0000A2060000}"/>
    <cellStyle name="level1a 2 3 4 8 2 2" xfId="1717" xr:uid="{00000000-0005-0000-0000-0000A3060000}"/>
    <cellStyle name="level1a 2 3 4 8 3" xfId="1718" xr:uid="{00000000-0005-0000-0000-0000A4060000}"/>
    <cellStyle name="level1a 2 3 4_STUD aligned by INSTIT" xfId="1719" xr:uid="{00000000-0005-0000-0000-0000A5060000}"/>
    <cellStyle name="level1a 2 3 5" xfId="1720" xr:uid="{00000000-0005-0000-0000-0000A6060000}"/>
    <cellStyle name="level1a 2 3 5 2" xfId="1721" xr:uid="{00000000-0005-0000-0000-0000A7060000}"/>
    <cellStyle name="level1a 2 3 5 2 2" xfId="1722" xr:uid="{00000000-0005-0000-0000-0000A8060000}"/>
    <cellStyle name="level1a 2 3 5 2 2 2" xfId="1723" xr:uid="{00000000-0005-0000-0000-0000A9060000}"/>
    <cellStyle name="level1a 2 3 5 2 3" xfId="1724" xr:uid="{00000000-0005-0000-0000-0000AA060000}"/>
    <cellStyle name="level1a 2 3 5 3" xfId="1725" xr:uid="{00000000-0005-0000-0000-0000AB060000}"/>
    <cellStyle name="level1a 2 3 5 3 2" xfId="1726" xr:uid="{00000000-0005-0000-0000-0000AC060000}"/>
    <cellStyle name="level1a 2 3 5 3 2 2" xfId="1727" xr:uid="{00000000-0005-0000-0000-0000AD060000}"/>
    <cellStyle name="level1a 2 3 5 3 3" xfId="1728" xr:uid="{00000000-0005-0000-0000-0000AE060000}"/>
    <cellStyle name="level1a 2 3 5 4" xfId="1729" xr:uid="{00000000-0005-0000-0000-0000AF060000}"/>
    <cellStyle name="level1a 2 3 5 5" xfId="1730" xr:uid="{00000000-0005-0000-0000-0000B0060000}"/>
    <cellStyle name="level1a 2 3 5 5 2" xfId="1731" xr:uid="{00000000-0005-0000-0000-0000B1060000}"/>
    <cellStyle name="level1a 2 3 6" xfId="1732" xr:uid="{00000000-0005-0000-0000-0000B2060000}"/>
    <cellStyle name="level1a 2 3 6 2" xfId="1733" xr:uid="{00000000-0005-0000-0000-0000B3060000}"/>
    <cellStyle name="level1a 2 3 6 2 2" xfId="1734" xr:uid="{00000000-0005-0000-0000-0000B4060000}"/>
    <cellStyle name="level1a 2 3 6 2 2 2" xfId="1735" xr:uid="{00000000-0005-0000-0000-0000B5060000}"/>
    <cellStyle name="level1a 2 3 6 2 3" xfId="1736" xr:uid="{00000000-0005-0000-0000-0000B6060000}"/>
    <cellStyle name="level1a 2 3 6 3" xfId="1737" xr:uid="{00000000-0005-0000-0000-0000B7060000}"/>
    <cellStyle name="level1a 2 3 6 3 2" xfId="1738" xr:uid="{00000000-0005-0000-0000-0000B8060000}"/>
    <cellStyle name="level1a 2 3 6 3 2 2" xfId="1739" xr:uid="{00000000-0005-0000-0000-0000B9060000}"/>
    <cellStyle name="level1a 2 3 6 3 3" xfId="1740" xr:uid="{00000000-0005-0000-0000-0000BA060000}"/>
    <cellStyle name="level1a 2 3 6 4" xfId="1741" xr:uid="{00000000-0005-0000-0000-0000BB060000}"/>
    <cellStyle name="level1a 2 3 6 5" xfId="1742" xr:uid="{00000000-0005-0000-0000-0000BC060000}"/>
    <cellStyle name="level1a 2 3 6 5 2" xfId="1743" xr:uid="{00000000-0005-0000-0000-0000BD060000}"/>
    <cellStyle name="level1a 2 3 6 6" xfId="1744" xr:uid="{00000000-0005-0000-0000-0000BE060000}"/>
    <cellStyle name="level1a 2 3 7" xfId="1745" xr:uid="{00000000-0005-0000-0000-0000BF060000}"/>
    <cellStyle name="level1a 2 3 7 2" xfId="1746" xr:uid="{00000000-0005-0000-0000-0000C0060000}"/>
    <cellStyle name="level1a 2 3 7 2 2" xfId="1747" xr:uid="{00000000-0005-0000-0000-0000C1060000}"/>
    <cellStyle name="level1a 2 3 7 2 2 2" xfId="1748" xr:uid="{00000000-0005-0000-0000-0000C2060000}"/>
    <cellStyle name="level1a 2 3 7 2 3" xfId="1749" xr:uid="{00000000-0005-0000-0000-0000C3060000}"/>
    <cellStyle name="level1a 2 3 7 3" xfId="1750" xr:uid="{00000000-0005-0000-0000-0000C4060000}"/>
    <cellStyle name="level1a 2 3 7 3 2" xfId="1751" xr:uid="{00000000-0005-0000-0000-0000C5060000}"/>
    <cellStyle name="level1a 2 3 7 3 2 2" xfId="1752" xr:uid="{00000000-0005-0000-0000-0000C6060000}"/>
    <cellStyle name="level1a 2 3 7 3 3" xfId="1753" xr:uid="{00000000-0005-0000-0000-0000C7060000}"/>
    <cellStyle name="level1a 2 3 7 4" xfId="1754" xr:uid="{00000000-0005-0000-0000-0000C8060000}"/>
    <cellStyle name="level1a 2 3 7 5" xfId="1755" xr:uid="{00000000-0005-0000-0000-0000C9060000}"/>
    <cellStyle name="level1a 2 3 8" xfId="1756" xr:uid="{00000000-0005-0000-0000-0000CA060000}"/>
    <cellStyle name="level1a 2 3 8 2" xfId="1757" xr:uid="{00000000-0005-0000-0000-0000CB060000}"/>
    <cellStyle name="level1a 2 3 8 2 2" xfId="1758" xr:uid="{00000000-0005-0000-0000-0000CC060000}"/>
    <cellStyle name="level1a 2 3 8 2 2 2" xfId="1759" xr:uid="{00000000-0005-0000-0000-0000CD060000}"/>
    <cellStyle name="level1a 2 3 8 2 3" xfId="1760" xr:uid="{00000000-0005-0000-0000-0000CE060000}"/>
    <cellStyle name="level1a 2 3 8 3" xfId="1761" xr:uid="{00000000-0005-0000-0000-0000CF060000}"/>
    <cellStyle name="level1a 2 3 8 3 2" xfId="1762" xr:uid="{00000000-0005-0000-0000-0000D0060000}"/>
    <cellStyle name="level1a 2 3 8 3 2 2" xfId="1763" xr:uid="{00000000-0005-0000-0000-0000D1060000}"/>
    <cellStyle name="level1a 2 3 8 3 3" xfId="1764" xr:uid="{00000000-0005-0000-0000-0000D2060000}"/>
    <cellStyle name="level1a 2 3 8 4" xfId="1765" xr:uid="{00000000-0005-0000-0000-0000D3060000}"/>
    <cellStyle name="level1a 2 3 8 5" xfId="1766" xr:uid="{00000000-0005-0000-0000-0000D4060000}"/>
    <cellStyle name="level1a 2 3 8 5 2" xfId="1767" xr:uid="{00000000-0005-0000-0000-0000D5060000}"/>
    <cellStyle name="level1a 2 3 8 6" xfId="1768" xr:uid="{00000000-0005-0000-0000-0000D6060000}"/>
    <cellStyle name="level1a 2 3 9" xfId="1769" xr:uid="{00000000-0005-0000-0000-0000D7060000}"/>
    <cellStyle name="level1a 2 3 9 2" xfId="1770" xr:uid="{00000000-0005-0000-0000-0000D8060000}"/>
    <cellStyle name="level1a 2 3 9 2 2" xfId="1771" xr:uid="{00000000-0005-0000-0000-0000D9060000}"/>
    <cellStyle name="level1a 2 3 9 2 2 2" xfId="1772" xr:uid="{00000000-0005-0000-0000-0000DA060000}"/>
    <cellStyle name="level1a 2 3 9 2 3" xfId="1773" xr:uid="{00000000-0005-0000-0000-0000DB060000}"/>
    <cellStyle name="level1a 2 3 9 3" xfId="1774" xr:uid="{00000000-0005-0000-0000-0000DC060000}"/>
    <cellStyle name="level1a 2 3 9 3 2" xfId="1775" xr:uid="{00000000-0005-0000-0000-0000DD060000}"/>
    <cellStyle name="level1a 2 3 9 3 2 2" xfId="1776" xr:uid="{00000000-0005-0000-0000-0000DE060000}"/>
    <cellStyle name="level1a 2 3 9 3 3" xfId="1777" xr:uid="{00000000-0005-0000-0000-0000DF060000}"/>
    <cellStyle name="level1a 2 3 9 4" xfId="1778" xr:uid="{00000000-0005-0000-0000-0000E0060000}"/>
    <cellStyle name="level1a 2 3 9 4 2" xfId="1779" xr:uid="{00000000-0005-0000-0000-0000E1060000}"/>
    <cellStyle name="level1a 2 3 9 5" xfId="1780" xr:uid="{00000000-0005-0000-0000-0000E2060000}"/>
    <cellStyle name="level1a 2 3_STUD aligned by INSTIT" xfId="1781" xr:uid="{00000000-0005-0000-0000-0000E3060000}"/>
    <cellStyle name="level1a 2 4" xfId="1782" xr:uid="{00000000-0005-0000-0000-0000E4060000}"/>
    <cellStyle name="level1a 2 4 10" xfId="1783" xr:uid="{00000000-0005-0000-0000-0000E5060000}"/>
    <cellStyle name="level1a 2 4 2" xfId="1784" xr:uid="{00000000-0005-0000-0000-0000E6060000}"/>
    <cellStyle name="level1a 2 4 2 2" xfId="1785" xr:uid="{00000000-0005-0000-0000-0000E7060000}"/>
    <cellStyle name="level1a 2 4 2 2 2" xfId="1786" xr:uid="{00000000-0005-0000-0000-0000E8060000}"/>
    <cellStyle name="level1a 2 4 2 2 2 2" xfId="1787" xr:uid="{00000000-0005-0000-0000-0000E9060000}"/>
    <cellStyle name="level1a 2 4 2 2 2 2 2" xfId="1788" xr:uid="{00000000-0005-0000-0000-0000EA060000}"/>
    <cellStyle name="level1a 2 4 2 2 2 3" xfId="1789" xr:uid="{00000000-0005-0000-0000-0000EB060000}"/>
    <cellStyle name="level1a 2 4 2 2 3" xfId="1790" xr:uid="{00000000-0005-0000-0000-0000EC060000}"/>
    <cellStyle name="level1a 2 4 2 2 3 2" xfId="1791" xr:uid="{00000000-0005-0000-0000-0000ED060000}"/>
    <cellStyle name="level1a 2 4 2 2 3 2 2" xfId="1792" xr:uid="{00000000-0005-0000-0000-0000EE060000}"/>
    <cellStyle name="level1a 2 4 2 2 3 3" xfId="1793" xr:uid="{00000000-0005-0000-0000-0000EF060000}"/>
    <cellStyle name="level1a 2 4 2 2 4" xfId="1794" xr:uid="{00000000-0005-0000-0000-0000F0060000}"/>
    <cellStyle name="level1a 2 4 2 2 5" xfId="1795" xr:uid="{00000000-0005-0000-0000-0000F1060000}"/>
    <cellStyle name="level1a 2 4 2 2 5 2" xfId="1796" xr:uid="{00000000-0005-0000-0000-0000F2060000}"/>
    <cellStyle name="level1a 2 4 2 3" xfId="1797" xr:uid="{00000000-0005-0000-0000-0000F3060000}"/>
    <cellStyle name="level1a 2 4 2 3 2" xfId="1798" xr:uid="{00000000-0005-0000-0000-0000F4060000}"/>
    <cellStyle name="level1a 2 4 2 3 2 2" xfId="1799" xr:uid="{00000000-0005-0000-0000-0000F5060000}"/>
    <cellStyle name="level1a 2 4 2 3 2 2 2" xfId="1800" xr:uid="{00000000-0005-0000-0000-0000F6060000}"/>
    <cellStyle name="level1a 2 4 2 3 2 3" xfId="1801" xr:uid="{00000000-0005-0000-0000-0000F7060000}"/>
    <cellStyle name="level1a 2 4 2 3 3" xfId="1802" xr:uid="{00000000-0005-0000-0000-0000F8060000}"/>
    <cellStyle name="level1a 2 4 2 3 3 2" xfId="1803" xr:uid="{00000000-0005-0000-0000-0000F9060000}"/>
    <cellStyle name="level1a 2 4 2 3 3 2 2" xfId="1804" xr:uid="{00000000-0005-0000-0000-0000FA060000}"/>
    <cellStyle name="level1a 2 4 2 3 3 3" xfId="1805" xr:uid="{00000000-0005-0000-0000-0000FB060000}"/>
    <cellStyle name="level1a 2 4 2 3 4" xfId="1806" xr:uid="{00000000-0005-0000-0000-0000FC060000}"/>
    <cellStyle name="level1a 2 4 2 3 5" xfId="1807" xr:uid="{00000000-0005-0000-0000-0000FD060000}"/>
    <cellStyle name="level1a 2 4 2 4" xfId="1808" xr:uid="{00000000-0005-0000-0000-0000FE060000}"/>
    <cellStyle name="level1a 2 4 2 4 2" xfId="1809" xr:uid="{00000000-0005-0000-0000-0000FF060000}"/>
    <cellStyle name="level1a 2 4 2 4 2 2" xfId="1810" xr:uid="{00000000-0005-0000-0000-000000070000}"/>
    <cellStyle name="level1a 2 4 2 4 2 2 2" xfId="1811" xr:uid="{00000000-0005-0000-0000-000001070000}"/>
    <cellStyle name="level1a 2 4 2 4 2 3" xfId="1812" xr:uid="{00000000-0005-0000-0000-000002070000}"/>
    <cellStyle name="level1a 2 4 2 4 3" xfId="1813" xr:uid="{00000000-0005-0000-0000-000003070000}"/>
    <cellStyle name="level1a 2 4 2 4 3 2" xfId="1814" xr:uid="{00000000-0005-0000-0000-000004070000}"/>
    <cellStyle name="level1a 2 4 2 4 3 2 2" xfId="1815" xr:uid="{00000000-0005-0000-0000-000005070000}"/>
    <cellStyle name="level1a 2 4 2 4 3 3" xfId="1816" xr:uid="{00000000-0005-0000-0000-000006070000}"/>
    <cellStyle name="level1a 2 4 2 4 4" xfId="1817" xr:uid="{00000000-0005-0000-0000-000007070000}"/>
    <cellStyle name="level1a 2 4 2 4 5" xfId="1818" xr:uid="{00000000-0005-0000-0000-000008070000}"/>
    <cellStyle name="level1a 2 4 2 4 5 2" xfId="1819" xr:uid="{00000000-0005-0000-0000-000009070000}"/>
    <cellStyle name="level1a 2 4 2 4 6" xfId="1820" xr:uid="{00000000-0005-0000-0000-00000A070000}"/>
    <cellStyle name="level1a 2 4 2 5" xfId="1821" xr:uid="{00000000-0005-0000-0000-00000B070000}"/>
    <cellStyle name="level1a 2 4 2 5 2" xfId="1822" xr:uid="{00000000-0005-0000-0000-00000C070000}"/>
    <cellStyle name="level1a 2 4 2 5 2 2" xfId="1823" xr:uid="{00000000-0005-0000-0000-00000D070000}"/>
    <cellStyle name="level1a 2 4 2 5 2 2 2" xfId="1824" xr:uid="{00000000-0005-0000-0000-00000E070000}"/>
    <cellStyle name="level1a 2 4 2 5 2 3" xfId="1825" xr:uid="{00000000-0005-0000-0000-00000F070000}"/>
    <cellStyle name="level1a 2 4 2 5 3" xfId="1826" xr:uid="{00000000-0005-0000-0000-000010070000}"/>
    <cellStyle name="level1a 2 4 2 5 3 2" xfId="1827" xr:uid="{00000000-0005-0000-0000-000011070000}"/>
    <cellStyle name="level1a 2 4 2 5 3 2 2" xfId="1828" xr:uid="{00000000-0005-0000-0000-000012070000}"/>
    <cellStyle name="level1a 2 4 2 5 3 3" xfId="1829" xr:uid="{00000000-0005-0000-0000-000013070000}"/>
    <cellStyle name="level1a 2 4 2 5 4" xfId="1830" xr:uid="{00000000-0005-0000-0000-000014070000}"/>
    <cellStyle name="level1a 2 4 2 5 4 2" xfId="1831" xr:uid="{00000000-0005-0000-0000-000015070000}"/>
    <cellStyle name="level1a 2 4 2 5 5" xfId="1832" xr:uid="{00000000-0005-0000-0000-000016070000}"/>
    <cellStyle name="level1a 2 4 2 6" xfId="1833" xr:uid="{00000000-0005-0000-0000-000017070000}"/>
    <cellStyle name="level1a 2 4 2 6 2" xfId="1834" xr:uid="{00000000-0005-0000-0000-000018070000}"/>
    <cellStyle name="level1a 2 4 2 6 2 2" xfId="1835" xr:uid="{00000000-0005-0000-0000-000019070000}"/>
    <cellStyle name="level1a 2 4 2 6 2 2 2" xfId="1836" xr:uid="{00000000-0005-0000-0000-00001A070000}"/>
    <cellStyle name="level1a 2 4 2 6 2 3" xfId="1837" xr:uid="{00000000-0005-0000-0000-00001B070000}"/>
    <cellStyle name="level1a 2 4 2 6 3" xfId="1838" xr:uid="{00000000-0005-0000-0000-00001C070000}"/>
    <cellStyle name="level1a 2 4 2 6 3 2" xfId="1839" xr:uid="{00000000-0005-0000-0000-00001D070000}"/>
    <cellStyle name="level1a 2 4 2 6 3 2 2" xfId="1840" xr:uid="{00000000-0005-0000-0000-00001E070000}"/>
    <cellStyle name="level1a 2 4 2 6 3 3" xfId="1841" xr:uid="{00000000-0005-0000-0000-00001F070000}"/>
    <cellStyle name="level1a 2 4 2 6 4" xfId="1842" xr:uid="{00000000-0005-0000-0000-000020070000}"/>
    <cellStyle name="level1a 2 4 2 6 4 2" xfId="1843" xr:uid="{00000000-0005-0000-0000-000021070000}"/>
    <cellStyle name="level1a 2 4 2 6 5" xfId="1844" xr:uid="{00000000-0005-0000-0000-000022070000}"/>
    <cellStyle name="level1a 2 4 2 7" xfId="1845" xr:uid="{00000000-0005-0000-0000-000023070000}"/>
    <cellStyle name="level1a 2 4 2 7 2" xfId="1846" xr:uid="{00000000-0005-0000-0000-000024070000}"/>
    <cellStyle name="level1a 2 4 2 7 2 2" xfId="1847" xr:uid="{00000000-0005-0000-0000-000025070000}"/>
    <cellStyle name="level1a 2 4 2 7 3" xfId="1848" xr:uid="{00000000-0005-0000-0000-000026070000}"/>
    <cellStyle name="level1a 2 4 2_STUD aligned by INSTIT" xfId="1849" xr:uid="{00000000-0005-0000-0000-000027070000}"/>
    <cellStyle name="level1a 2 4 3" xfId="1850" xr:uid="{00000000-0005-0000-0000-000028070000}"/>
    <cellStyle name="level1a 2 4 3 2" xfId="1851" xr:uid="{00000000-0005-0000-0000-000029070000}"/>
    <cellStyle name="level1a 2 4 3 2 2" xfId="1852" xr:uid="{00000000-0005-0000-0000-00002A070000}"/>
    <cellStyle name="level1a 2 4 3 2 2 2" xfId="1853" xr:uid="{00000000-0005-0000-0000-00002B070000}"/>
    <cellStyle name="level1a 2 4 3 2 2 2 2" xfId="1854" xr:uid="{00000000-0005-0000-0000-00002C070000}"/>
    <cellStyle name="level1a 2 4 3 2 2 3" xfId="1855" xr:uid="{00000000-0005-0000-0000-00002D070000}"/>
    <cellStyle name="level1a 2 4 3 2 3" xfId="1856" xr:uid="{00000000-0005-0000-0000-00002E070000}"/>
    <cellStyle name="level1a 2 4 3 2 3 2" xfId="1857" xr:uid="{00000000-0005-0000-0000-00002F070000}"/>
    <cellStyle name="level1a 2 4 3 2 3 2 2" xfId="1858" xr:uid="{00000000-0005-0000-0000-000030070000}"/>
    <cellStyle name="level1a 2 4 3 2 3 3" xfId="1859" xr:uid="{00000000-0005-0000-0000-000031070000}"/>
    <cellStyle name="level1a 2 4 3 2 4" xfId="1860" xr:uid="{00000000-0005-0000-0000-000032070000}"/>
    <cellStyle name="level1a 2 4 3 2 5" xfId="1861" xr:uid="{00000000-0005-0000-0000-000033070000}"/>
    <cellStyle name="level1a 2 4 3 3" xfId="1862" xr:uid="{00000000-0005-0000-0000-000034070000}"/>
    <cellStyle name="level1a 2 4 3 3 2" xfId="1863" xr:uid="{00000000-0005-0000-0000-000035070000}"/>
    <cellStyle name="level1a 2 4 3 3 2 2" xfId="1864" xr:uid="{00000000-0005-0000-0000-000036070000}"/>
    <cellStyle name="level1a 2 4 3 3 2 2 2" xfId="1865" xr:uid="{00000000-0005-0000-0000-000037070000}"/>
    <cellStyle name="level1a 2 4 3 3 2 3" xfId="1866" xr:uid="{00000000-0005-0000-0000-000038070000}"/>
    <cellStyle name="level1a 2 4 3 3 3" xfId="1867" xr:uid="{00000000-0005-0000-0000-000039070000}"/>
    <cellStyle name="level1a 2 4 3 3 3 2" xfId="1868" xr:uid="{00000000-0005-0000-0000-00003A070000}"/>
    <cellStyle name="level1a 2 4 3 3 3 2 2" xfId="1869" xr:uid="{00000000-0005-0000-0000-00003B070000}"/>
    <cellStyle name="level1a 2 4 3 3 3 3" xfId="1870" xr:uid="{00000000-0005-0000-0000-00003C070000}"/>
    <cellStyle name="level1a 2 4 3 3 4" xfId="1871" xr:uid="{00000000-0005-0000-0000-00003D070000}"/>
    <cellStyle name="level1a 2 4 3 3 4 2" xfId="1872" xr:uid="{00000000-0005-0000-0000-00003E070000}"/>
    <cellStyle name="level1a 2 4 3 4" xfId="1873" xr:uid="{00000000-0005-0000-0000-00003F070000}"/>
    <cellStyle name="level1a 2 4 3 4 2" xfId="1874" xr:uid="{00000000-0005-0000-0000-000040070000}"/>
    <cellStyle name="level1a 2 4 3 4 2 2" xfId="1875" xr:uid="{00000000-0005-0000-0000-000041070000}"/>
    <cellStyle name="level1a 2 4 3 4 2 2 2" xfId="1876" xr:uid="{00000000-0005-0000-0000-000042070000}"/>
    <cellStyle name="level1a 2 4 3 4 2 3" xfId="1877" xr:uid="{00000000-0005-0000-0000-000043070000}"/>
    <cellStyle name="level1a 2 4 3 4 3" xfId="1878" xr:uid="{00000000-0005-0000-0000-000044070000}"/>
    <cellStyle name="level1a 2 4 3 4 3 2" xfId="1879" xr:uid="{00000000-0005-0000-0000-000045070000}"/>
    <cellStyle name="level1a 2 4 3 4 3 2 2" xfId="1880" xr:uid="{00000000-0005-0000-0000-000046070000}"/>
    <cellStyle name="level1a 2 4 3 4 3 3" xfId="1881" xr:uid="{00000000-0005-0000-0000-000047070000}"/>
    <cellStyle name="level1a 2 4 3 4 4" xfId="1882" xr:uid="{00000000-0005-0000-0000-000048070000}"/>
    <cellStyle name="level1a 2 4 3 4 4 2" xfId="1883" xr:uid="{00000000-0005-0000-0000-000049070000}"/>
    <cellStyle name="level1a 2 4 3 4 5" xfId="1884" xr:uid="{00000000-0005-0000-0000-00004A070000}"/>
    <cellStyle name="level1a 2 4 3 5" xfId="1885" xr:uid="{00000000-0005-0000-0000-00004B070000}"/>
    <cellStyle name="level1a 2 4 3 5 2" xfId="1886" xr:uid="{00000000-0005-0000-0000-00004C070000}"/>
    <cellStyle name="level1a 2 4 3 5 2 2" xfId="1887" xr:uid="{00000000-0005-0000-0000-00004D070000}"/>
    <cellStyle name="level1a 2 4 3 5 2 2 2" xfId="1888" xr:uid="{00000000-0005-0000-0000-00004E070000}"/>
    <cellStyle name="level1a 2 4 3 5 2 3" xfId="1889" xr:uid="{00000000-0005-0000-0000-00004F070000}"/>
    <cellStyle name="level1a 2 4 3 5 3" xfId="1890" xr:uid="{00000000-0005-0000-0000-000050070000}"/>
    <cellStyle name="level1a 2 4 3 5 3 2" xfId="1891" xr:uid="{00000000-0005-0000-0000-000051070000}"/>
    <cellStyle name="level1a 2 4 3 5 3 2 2" xfId="1892" xr:uid="{00000000-0005-0000-0000-000052070000}"/>
    <cellStyle name="level1a 2 4 3 5 3 3" xfId="1893" xr:uid="{00000000-0005-0000-0000-000053070000}"/>
    <cellStyle name="level1a 2 4 3 5 4" xfId="1894" xr:uid="{00000000-0005-0000-0000-000054070000}"/>
    <cellStyle name="level1a 2 4 3 5 4 2" xfId="1895" xr:uid="{00000000-0005-0000-0000-000055070000}"/>
    <cellStyle name="level1a 2 4 3 5 5" xfId="1896" xr:uid="{00000000-0005-0000-0000-000056070000}"/>
    <cellStyle name="level1a 2 4 3 6" xfId="1897" xr:uid="{00000000-0005-0000-0000-000057070000}"/>
    <cellStyle name="level1a 2 4 3 6 2" xfId="1898" xr:uid="{00000000-0005-0000-0000-000058070000}"/>
    <cellStyle name="level1a 2 4 3 6 2 2" xfId="1899" xr:uid="{00000000-0005-0000-0000-000059070000}"/>
    <cellStyle name="level1a 2 4 3 6 2 2 2" xfId="1900" xr:uid="{00000000-0005-0000-0000-00005A070000}"/>
    <cellStyle name="level1a 2 4 3 6 2 3" xfId="1901" xr:uid="{00000000-0005-0000-0000-00005B070000}"/>
    <cellStyle name="level1a 2 4 3 6 3" xfId="1902" xr:uid="{00000000-0005-0000-0000-00005C070000}"/>
    <cellStyle name="level1a 2 4 3 6 3 2" xfId="1903" xr:uid="{00000000-0005-0000-0000-00005D070000}"/>
    <cellStyle name="level1a 2 4 3 6 3 2 2" xfId="1904" xr:uid="{00000000-0005-0000-0000-00005E070000}"/>
    <cellStyle name="level1a 2 4 3 6 3 3" xfId="1905" xr:uid="{00000000-0005-0000-0000-00005F070000}"/>
    <cellStyle name="level1a 2 4 3 6 4" xfId="1906" xr:uid="{00000000-0005-0000-0000-000060070000}"/>
    <cellStyle name="level1a 2 4 3 6 4 2" xfId="1907" xr:uid="{00000000-0005-0000-0000-000061070000}"/>
    <cellStyle name="level1a 2 4 3 6 5" xfId="1908" xr:uid="{00000000-0005-0000-0000-000062070000}"/>
    <cellStyle name="level1a 2 4 3 7" xfId="1909" xr:uid="{00000000-0005-0000-0000-000063070000}"/>
    <cellStyle name="level1a 2 4 3 7 2" xfId="1910" xr:uid="{00000000-0005-0000-0000-000064070000}"/>
    <cellStyle name="level1a 2 4 3 7 2 2" xfId="1911" xr:uid="{00000000-0005-0000-0000-000065070000}"/>
    <cellStyle name="level1a 2 4 3 7 3" xfId="1912" xr:uid="{00000000-0005-0000-0000-000066070000}"/>
    <cellStyle name="level1a 2 4 3 8" xfId="1913" xr:uid="{00000000-0005-0000-0000-000067070000}"/>
    <cellStyle name="level1a 2 4 3 8 2" xfId="1914" xr:uid="{00000000-0005-0000-0000-000068070000}"/>
    <cellStyle name="level1a 2 4 3 8 2 2" xfId="1915" xr:uid="{00000000-0005-0000-0000-000069070000}"/>
    <cellStyle name="level1a 2 4 3 8 3" xfId="1916" xr:uid="{00000000-0005-0000-0000-00006A070000}"/>
    <cellStyle name="level1a 2 4 3_STUD aligned by INSTIT" xfId="1917" xr:uid="{00000000-0005-0000-0000-00006B070000}"/>
    <cellStyle name="level1a 2 4 4" xfId="1918" xr:uid="{00000000-0005-0000-0000-00006C070000}"/>
    <cellStyle name="level1a 2 4 4 2" xfId="1919" xr:uid="{00000000-0005-0000-0000-00006D070000}"/>
    <cellStyle name="level1a 2 4 4 2 2" xfId="1920" xr:uid="{00000000-0005-0000-0000-00006E070000}"/>
    <cellStyle name="level1a 2 4 4 2 2 2" xfId="1921" xr:uid="{00000000-0005-0000-0000-00006F070000}"/>
    <cellStyle name="level1a 2 4 4 2 3" xfId="1922" xr:uid="{00000000-0005-0000-0000-000070070000}"/>
    <cellStyle name="level1a 2 4 4 3" xfId="1923" xr:uid="{00000000-0005-0000-0000-000071070000}"/>
    <cellStyle name="level1a 2 4 4 3 2" xfId="1924" xr:uid="{00000000-0005-0000-0000-000072070000}"/>
    <cellStyle name="level1a 2 4 4 3 2 2" xfId="1925" xr:uid="{00000000-0005-0000-0000-000073070000}"/>
    <cellStyle name="level1a 2 4 4 3 3" xfId="1926" xr:uid="{00000000-0005-0000-0000-000074070000}"/>
    <cellStyle name="level1a 2 4 4 4" xfId="1927" xr:uid="{00000000-0005-0000-0000-000075070000}"/>
    <cellStyle name="level1a 2 4 4 5" xfId="1928" xr:uid="{00000000-0005-0000-0000-000076070000}"/>
    <cellStyle name="level1a 2 4 4 5 2" xfId="1929" xr:uid="{00000000-0005-0000-0000-000077070000}"/>
    <cellStyle name="level1a 2 4 5" xfId="1930" xr:uid="{00000000-0005-0000-0000-000078070000}"/>
    <cellStyle name="level1a 2 4 5 2" xfId="1931" xr:uid="{00000000-0005-0000-0000-000079070000}"/>
    <cellStyle name="level1a 2 4 5 2 2" xfId="1932" xr:uid="{00000000-0005-0000-0000-00007A070000}"/>
    <cellStyle name="level1a 2 4 5 2 2 2" xfId="1933" xr:uid="{00000000-0005-0000-0000-00007B070000}"/>
    <cellStyle name="level1a 2 4 5 2 3" xfId="1934" xr:uid="{00000000-0005-0000-0000-00007C070000}"/>
    <cellStyle name="level1a 2 4 5 3" xfId="1935" xr:uid="{00000000-0005-0000-0000-00007D070000}"/>
    <cellStyle name="level1a 2 4 5 3 2" xfId="1936" xr:uid="{00000000-0005-0000-0000-00007E070000}"/>
    <cellStyle name="level1a 2 4 5 3 2 2" xfId="1937" xr:uid="{00000000-0005-0000-0000-00007F070000}"/>
    <cellStyle name="level1a 2 4 5 3 3" xfId="1938" xr:uid="{00000000-0005-0000-0000-000080070000}"/>
    <cellStyle name="level1a 2 4 5 4" xfId="1939" xr:uid="{00000000-0005-0000-0000-000081070000}"/>
    <cellStyle name="level1a 2 4 5 5" xfId="1940" xr:uid="{00000000-0005-0000-0000-000082070000}"/>
    <cellStyle name="level1a 2 4 5 5 2" xfId="1941" xr:uid="{00000000-0005-0000-0000-000083070000}"/>
    <cellStyle name="level1a 2 4 5 6" xfId="1942" xr:uid="{00000000-0005-0000-0000-000084070000}"/>
    <cellStyle name="level1a 2 4 6" xfId="1943" xr:uid="{00000000-0005-0000-0000-000085070000}"/>
    <cellStyle name="level1a 2 4 6 2" xfId="1944" xr:uid="{00000000-0005-0000-0000-000086070000}"/>
    <cellStyle name="level1a 2 4 6 2 2" xfId="1945" xr:uid="{00000000-0005-0000-0000-000087070000}"/>
    <cellStyle name="level1a 2 4 6 2 2 2" xfId="1946" xr:uid="{00000000-0005-0000-0000-000088070000}"/>
    <cellStyle name="level1a 2 4 6 2 3" xfId="1947" xr:uid="{00000000-0005-0000-0000-000089070000}"/>
    <cellStyle name="level1a 2 4 6 3" xfId="1948" xr:uid="{00000000-0005-0000-0000-00008A070000}"/>
    <cellStyle name="level1a 2 4 6 3 2" xfId="1949" xr:uid="{00000000-0005-0000-0000-00008B070000}"/>
    <cellStyle name="level1a 2 4 6 3 2 2" xfId="1950" xr:uid="{00000000-0005-0000-0000-00008C070000}"/>
    <cellStyle name="level1a 2 4 6 3 3" xfId="1951" xr:uid="{00000000-0005-0000-0000-00008D070000}"/>
    <cellStyle name="level1a 2 4 6 4" xfId="1952" xr:uid="{00000000-0005-0000-0000-00008E070000}"/>
    <cellStyle name="level1a 2 4 6 5" xfId="1953" xr:uid="{00000000-0005-0000-0000-00008F070000}"/>
    <cellStyle name="level1a 2 4 7" xfId="1954" xr:uid="{00000000-0005-0000-0000-000090070000}"/>
    <cellStyle name="level1a 2 4 7 2" xfId="1955" xr:uid="{00000000-0005-0000-0000-000091070000}"/>
    <cellStyle name="level1a 2 4 7 2 2" xfId="1956" xr:uid="{00000000-0005-0000-0000-000092070000}"/>
    <cellStyle name="level1a 2 4 7 2 2 2" xfId="1957" xr:uid="{00000000-0005-0000-0000-000093070000}"/>
    <cellStyle name="level1a 2 4 7 2 3" xfId="1958" xr:uid="{00000000-0005-0000-0000-000094070000}"/>
    <cellStyle name="level1a 2 4 7 3" xfId="1959" xr:uid="{00000000-0005-0000-0000-000095070000}"/>
    <cellStyle name="level1a 2 4 7 3 2" xfId="1960" xr:uid="{00000000-0005-0000-0000-000096070000}"/>
    <cellStyle name="level1a 2 4 7 3 2 2" xfId="1961" xr:uid="{00000000-0005-0000-0000-000097070000}"/>
    <cellStyle name="level1a 2 4 7 3 3" xfId="1962" xr:uid="{00000000-0005-0000-0000-000098070000}"/>
    <cellStyle name="level1a 2 4 7 4" xfId="1963" xr:uid="{00000000-0005-0000-0000-000099070000}"/>
    <cellStyle name="level1a 2 4 7 5" xfId="1964" xr:uid="{00000000-0005-0000-0000-00009A070000}"/>
    <cellStyle name="level1a 2 4 7 5 2" xfId="1965" xr:uid="{00000000-0005-0000-0000-00009B070000}"/>
    <cellStyle name="level1a 2 4 7 6" xfId="1966" xr:uid="{00000000-0005-0000-0000-00009C070000}"/>
    <cellStyle name="level1a 2 4 8" xfId="1967" xr:uid="{00000000-0005-0000-0000-00009D070000}"/>
    <cellStyle name="level1a 2 4 8 2" xfId="1968" xr:uid="{00000000-0005-0000-0000-00009E070000}"/>
    <cellStyle name="level1a 2 4 8 2 2" xfId="1969" xr:uid="{00000000-0005-0000-0000-00009F070000}"/>
    <cellStyle name="level1a 2 4 8 2 2 2" xfId="1970" xr:uid="{00000000-0005-0000-0000-0000A0070000}"/>
    <cellStyle name="level1a 2 4 8 2 3" xfId="1971" xr:uid="{00000000-0005-0000-0000-0000A1070000}"/>
    <cellStyle name="level1a 2 4 8 3" xfId="1972" xr:uid="{00000000-0005-0000-0000-0000A2070000}"/>
    <cellStyle name="level1a 2 4 8 3 2" xfId="1973" xr:uid="{00000000-0005-0000-0000-0000A3070000}"/>
    <cellStyle name="level1a 2 4 8 3 2 2" xfId="1974" xr:uid="{00000000-0005-0000-0000-0000A4070000}"/>
    <cellStyle name="level1a 2 4 8 3 3" xfId="1975" xr:uid="{00000000-0005-0000-0000-0000A5070000}"/>
    <cellStyle name="level1a 2 4 8 4" xfId="1976" xr:uid="{00000000-0005-0000-0000-0000A6070000}"/>
    <cellStyle name="level1a 2 4 8 4 2" xfId="1977" xr:uid="{00000000-0005-0000-0000-0000A7070000}"/>
    <cellStyle name="level1a 2 4 8 5" xfId="1978" xr:uid="{00000000-0005-0000-0000-0000A8070000}"/>
    <cellStyle name="level1a 2 4 9" xfId="1979" xr:uid="{00000000-0005-0000-0000-0000A9070000}"/>
    <cellStyle name="level1a 2 4 9 2" xfId="1980" xr:uid="{00000000-0005-0000-0000-0000AA070000}"/>
    <cellStyle name="level1a 2 4 9 2 2" xfId="1981" xr:uid="{00000000-0005-0000-0000-0000AB070000}"/>
    <cellStyle name="level1a 2 4 9 3" xfId="1982" xr:uid="{00000000-0005-0000-0000-0000AC070000}"/>
    <cellStyle name="level1a 2 4_STUD aligned by INSTIT" xfId="1983" xr:uid="{00000000-0005-0000-0000-0000AD070000}"/>
    <cellStyle name="level1a 2 5" xfId="1984" xr:uid="{00000000-0005-0000-0000-0000AE070000}"/>
    <cellStyle name="level1a 2 5 2" xfId="1985" xr:uid="{00000000-0005-0000-0000-0000AF070000}"/>
    <cellStyle name="level1a 2 5 2 2" xfId="1986" xr:uid="{00000000-0005-0000-0000-0000B0070000}"/>
    <cellStyle name="level1a 2 5 2 2 2" xfId="1987" xr:uid="{00000000-0005-0000-0000-0000B1070000}"/>
    <cellStyle name="level1a 2 5 2 2 2 2" xfId="1988" xr:uid="{00000000-0005-0000-0000-0000B2070000}"/>
    <cellStyle name="level1a 2 5 2 2 3" xfId="1989" xr:uid="{00000000-0005-0000-0000-0000B3070000}"/>
    <cellStyle name="level1a 2 5 2 3" xfId="1990" xr:uid="{00000000-0005-0000-0000-0000B4070000}"/>
    <cellStyle name="level1a 2 5 2 3 2" xfId="1991" xr:uid="{00000000-0005-0000-0000-0000B5070000}"/>
    <cellStyle name="level1a 2 5 2 3 2 2" xfId="1992" xr:uid="{00000000-0005-0000-0000-0000B6070000}"/>
    <cellStyle name="level1a 2 5 2 3 3" xfId="1993" xr:uid="{00000000-0005-0000-0000-0000B7070000}"/>
    <cellStyle name="level1a 2 5 2 4" xfId="1994" xr:uid="{00000000-0005-0000-0000-0000B8070000}"/>
    <cellStyle name="level1a 2 5 2 5" xfId="1995" xr:uid="{00000000-0005-0000-0000-0000B9070000}"/>
    <cellStyle name="level1a 2 5 2 5 2" xfId="1996" xr:uid="{00000000-0005-0000-0000-0000BA070000}"/>
    <cellStyle name="level1a 2 5 3" xfId="1997" xr:uid="{00000000-0005-0000-0000-0000BB070000}"/>
    <cellStyle name="level1a 2 5 3 2" xfId="1998" xr:uid="{00000000-0005-0000-0000-0000BC070000}"/>
    <cellStyle name="level1a 2 5 3 2 2" xfId="1999" xr:uid="{00000000-0005-0000-0000-0000BD070000}"/>
    <cellStyle name="level1a 2 5 3 2 2 2" xfId="2000" xr:uid="{00000000-0005-0000-0000-0000BE070000}"/>
    <cellStyle name="level1a 2 5 3 2 3" xfId="2001" xr:uid="{00000000-0005-0000-0000-0000BF070000}"/>
    <cellStyle name="level1a 2 5 3 3" xfId="2002" xr:uid="{00000000-0005-0000-0000-0000C0070000}"/>
    <cellStyle name="level1a 2 5 3 3 2" xfId="2003" xr:uid="{00000000-0005-0000-0000-0000C1070000}"/>
    <cellStyle name="level1a 2 5 3 3 2 2" xfId="2004" xr:uid="{00000000-0005-0000-0000-0000C2070000}"/>
    <cellStyle name="level1a 2 5 3 3 3" xfId="2005" xr:uid="{00000000-0005-0000-0000-0000C3070000}"/>
    <cellStyle name="level1a 2 5 3 4" xfId="2006" xr:uid="{00000000-0005-0000-0000-0000C4070000}"/>
    <cellStyle name="level1a 2 5 3 5" xfId="2007" xr:uid="{00000000-0005-0000-0000-0000C5070000}"/>
    <cellStyle name="level1a 2 5 4" xfId="2008" xr:uid="{00000000-0005-0000-0000-0000C6070000}"/>
    <cellStyle name="level1a 2 5 4 2" xfId="2009" xr:uid="{00000000-0005-0000-0000-0000C7070000}"/>
    <cellStyle name="level1a 2 5 4 2 2" xfId="2010" xr:uid="{00000000-0005-0000-0000-0000C8070000}"/>
    <cellStyle name="level1a 2 5 4 2 2 2" xfId="2011" xr:uid="{00000000-0005-0000-0000-0000C9070000}"/>
    <cellStyle name="level1a 2 5 4 2 3" xfId="2012" xr:uid="{00000000-0005-0000-0000-0000CA070000}"/>
    <cellStyle name="level1a 2 5 4 3" xfId="2013" xr:uid="{00000000-0005-0000-0000-0000CB070000}"/>
    <cellStyle name="level1a 2 5 4 3 2" xfId="2014" xr:uid="{00000000-0005-0000-0000-0000CC070000}"/>
    <cellStyle name="level1a 2 5 4 3 2 2" xfId="2015" xr:uid="{00000000-0005-0000-0000-0000CD070000}"/>
    <cellStyle name="level1a 2 5 4 3 3" xfId="2016" xr:uid="{00000000-0005-0000-0000-0000CE070000}"/>
    <cellStyle name="level1a 2 5 4 4" xfId="2017" xr:uid="{00000000-0005-0000-0000-0000CF070000}"/>
    <cellStyle name="level1a 2 5 4 5" xfId="2018" xr:uid="{00000000-0005-0000-0000-0000D0070000}"/>
    <cellStyle name="level1a 2 5 4 5 2" xfId="2019" xr:uid="{00000000-0005-0000-0000-0000D1070000}"/>
    <cellStyle name="level1a 2 5 4 6" xfId="2020" xr:uid="{00000000-0005-0000-0000-0000D2070000}"/>
    <cellStyle name="level1a 2 5 5" xfId="2021" xr:uid="{00000000-0005-0000-0000-0000D3070000}"/>
    <cellStyle name="level1a 2 5 5 2" xfId="2022" xr:uid="{00000000-0005-0000-0000-0000D4070000}"/>
    <cellStyle name="level1a 2 5 5 2 2" xfId="2023" xr:uid="{00000000-0005-0000-0000-0000D5070000}"/>
    <cellStyle name="level1a 2 5 5 2 2 2" xfId="2024" xr:uid="{00000000-0005-0000-0000-0000D6070000}"/>
    <cellStyle name="level1a 2 5 5 2 3" xfId="2025" xr:uid="{00000000-0005-0000-0000-0000D7070000}"/>
    <cellStyle name="level1a 2 5 5 3" xfId="2026" xr:uid="{00000000-0005-0000-0000-0000D8070000}"/>
    <cellStyle name="level1a 2 5 5 3 2" xfId="2027" xr:uid="{00000000-0005-0000-0000-0000D9070000}"/>
    <cellStyle name="level1a 2 5 5 3 2 2" xfId="2028" xr:uid="{00000000-0005-0000-0000-0000DA070000}"/>
    <cellStyle name="level1a 2 5 5 3 3" xfId="2029" xr:uid="{00000000-0005-0000-0000-0000DB070000}"/>
    <cellStyle name="level1a 2 5 5 4" xfId="2030" xr:uid="{00000000-0005-0000-0000-0000DC070000}"/>
    <cellStyle name="level1a 2 5 5 4 2" xfId="2031" xr:uid="{00000000-0005-0000-0000-0000DD070000}"/>
    <cellStyle name="level1a 2 5 5 5" xfId="2032" xr:uid="{00000000-0005-0000-0000-0000DE070000}"/>
    <cellStyle name="level1a 2 5 6" xfId="2033" xr:uid="{00000000-0005-0000-0000-0000DF070000}"/>
    <cellStyle name="level1a 2 5 6 2" xfId="2034" xr:uid="{00000000-0005-0000-0000-0000E0070000}"/>
    <cellStyle name="level1a 2 5 6 2 2" xfId="2035" xr:uid="{00000000-0005-0000-0000-0000E1070000}"/>
    <cellStyle name="level1a 2 5 6 2 2 2" xfId="2036" xr:uid="{00000000-0005-0000-0000-0000E2070000}"/>
    <cellStyle name="level1a 2 5 6 2 3" xfId="2037" xr:uid="{00000000-0005-0000-0000-0000E3070000}"/>
    <cellStyle name="level1a 2 5 6 3" xfId="2038" xr:uid="{00000000-0005-0000-0000-0000E4070000}"/>
    <cellStyle name="level1a 2 5 6 3 2" xfId="2039" xr:uid="{00000000-0005-0000-0000-0000E5070000}"/>
    <cellStyle name="level1a 2 5 6 3 2 2" xfId="2040" xr:uid="{00000000-0005-0000-0000-0000E6070000}"/>
    <cellStyle name="level1a 2 5 6 3 3" xfId="2041" xr:uid="{00000000-0005-0000-0000-0000E7070000}"/>
    <cellStyle name="level1a 2 5 6 4" xfId="2042" xr:uid="{00000000-0005-0000-0000-0000E8070000}"/>
    <cellStyle name="level1a 2 5 6 4 2" xfId="2043" xr:uid="{00000000-0005-0000-0000-0000E9070000}"/>
    <cellStyle name="level1a 2 5 6 5" xfId="2044" xr:uid="{00000000-0005-0000-0000-0000EA070000}"/>
    <cellStyle name="level1a 2 5 7" xfId="2045" xr:uid="{00000000-0005-0000-0000-0000EB070000}"/>
    <cellStyle name="level1a 2 5 7 2" xfId="2046" xr:uid="{00000000-0005-0000-0000-0000EC070000}"/>
    <cellStyle name="level1a 2 5 7 2 2" xfId="2047" xr:uid="{00000000-0005-0000-0000-0000ED070000}"/>
    <cellStyle name="level1a 2 5 7 3" xfId="2048" xr:uid="{00000000-0005-0000-0000-0000EE070000}"/>
    <cellStyle name="level1a 2 5_STUD aligned by INSTIT" xfId="2049" xr:uid="{00000000-0005-0000-0000-0000EF070000}"/>
    <cellStyle name="level1a 2 6" xfId="2050" xr:uid="{00000000-0005-0000-0000-0000F0070000}"/>
    <cellStyle name="level1a 2 6 2" xfId="2051" xr:uid="{00000000-0005-0000-0000-0000F1070000}"/>
    <cellStyle name="level1a 2 6 2 2" xfId="2052" xr:uid="{00000000-0005-0000-0000-0000F2070000}"/>
    <cellStyle name="level1a 2 6 2 2 2" xfId="2053" xr:uid="{00000000-0005-0000-0000-0000F3070000}"/>
    <cellStyle name="level1a 2 6 2 2 2 2" xfId="2054" xr:uid="{00000000-0005-0000-0000-0000F4070000}"/>
    <cellStyle name="level1a 2 6 2 2 3" xfId="2055" xr:uid="{00000000-0005-0000-0000-0000F5070000}"/>
    <cellStyle name="level1a 2 6 2 3" xfId="2056" xr:uid="{00000000-0005-0000-0000-0000F6070000}"/>
    <cellStyle name="level1a 2 6 2 3 2" xfId="2057" xr:uid="{00000000-0005-0000-0000-0000F7070000}"/>
    <cellStyle name="level1a 2 6 2 3 2 2" xfId="2058" xr:uid="{00000000-0005-0000-0000-0000F8070000}"/>
    <cellStyle name="level1a 2 6 2 3 3" xfId="2059" xr:uid="{00000000-0005-0000-0000-0000F9070000}"/>
    <cellStyle name="level1a 2 6 2 4" xfId="2060" xr:uid="{00000000-0005-0000-0000-0000FA070000}"/>
    <cellStyle name="level1a 2 6 2 5" xfId="2061" xr:uid="{00000000-0005-0000-0000-0000FB070000}"/>
    <cellStyle name="level1a 2 6 2 5 2" xfId="2062" xr:uid="{00000000-0005-0000-0000-0000FC070000}"/>
    <cellStyle name="level1a 2 6 2 6" xfId="2063" xr:uid="{00000000-0005-0000-0000-0000FD070000}"/>
    <cellStyle name="level1a 2 6 3" xfId="2064" xr:uid="{00000000-0005-0000-0000-0000FE070000}"/>
    <cellStyle name="level1a 2 6 3 2" xfId="2065" xr:uid="{00000000-0005-0000-0000-0000FF070000}"/>
    <cellStyle name="level1a 2 6 3 2 2" xfId="2066" xr:uid="{00000000-0005-0000-0000-000000080000}"/>
    <cellStyle name="level1a 2 6 3 2 2 2" xfId="2067" xr:uid="{00000000-0005-0000-0000-000001080000}"/>
    <cellStyle name="level1a 2 6 3 2 3" xfId="2068" xr:uid="{00000000-0005-0000-0000-000002080000}"/>
    <cellStyle name="level1a 2 6 3 3" xfId="2069" xr:uid="{00000000-0005-0000-0000-000003080000}"/>
    <cellStyle name="level1a 2 6 3 3 2" xfId="2070" xr:uid="{00000000-0005-0000-0000-000004080000}"/>
    <cellStyle name="level1a 2 6 3 3 2 2" xfId="2071" xr:uid="{00000000-0005-0000-0000-000005080000}"/>
    <cellStyle name="level1a 2 6 3 3 3" xfId="2072" xr:uid="{00000000-0005-0000-0000-000006080000}"/>
    <cellStyle name="level1a 2 6 3 4" xfId="2073" xr:uid="{00000000-0005-0000-0000-000007080000}"/>
    <cellStyle name="level1a 2 6 4" xfId="2074" xr:uid="{00000000-0005-0000-0000-000008080000}"/>
    <cellStyle name="level1a 2 6 4 2" xfId="2075" xr:uid="{00000000-0005-0000-0000-000009080000}"/>
    <cellStyle name="level1a 2 6 4 2 2" xfId="2076" xr:uid="{00000000-0005-0000-0000-00000A080000}"/>
    <cellStyle name="level1a 2 6 4 2 2 2" xfId="2077" xr:uid="{00000000-0005-0000-0000-00000B080000}"/>
    <cellStyle name="level1a 2 6 4 2 3" xfId="2078" xr:uid="{00000000-0005-0000-0000-00000C080000}"/>
    <cellStyle name="level1a 2 6 4 3" xfId="2079" xr:uid="{00000000-0005-0000-0000-00000D080000}"/>
    <cellStyle name="level1a 2 6 4 3 2" xfId="2080" xr:uid="{00000000-0005-0000-0000-00000E080000}"/>
    <cellStyle name="level1a 2 6 4 3 2 2" xfId="2081" xr:uid="{00000000-0005-0000-0000-00000F080000}"/>
    <cellStyle name="level1a 2 6 4 3 3" xfId="2082" xr:uid="{00000000-0005-0000-0000-000010080000}"/>
    <cellStyle name="level1a 2 6 4 4" xfId="2083" xr:uid="{00000000-0005-0000-0000-000011080000}"/>
    <cellStyle name="level1a 2 6 4 4 2" xfId="2084" xr:uid="{00000000-0005-0000-0000-000012080000}"/>
    <cellStyle name="level1a 2 6 4 5" xfId="2085" xr:uid="{00000000-0005-0000-0000-000013080000}"/>
    <cellStyle name="level1a 2 6 5" xfId="2086" xr:uid="{00000000-0005-0000-0000-000014080000}"/>
    <cellStyle name="level1a 2 6 5 2" xfId="2087" xr:uid="{00000000-0005-0000-0000-000015080000}"/>
    <cellStyle name="level1a 2 6 5 2 2" xfId="2088" xr:uid="{00000000-0005-0000-0000-000016080000}"/>
    <cellStyle name="level1a 2 6 5 2 2 2" xfId="2089" xr:uid="{00000000-0005-0000-0000-000017080000}"/>
    <cellStyle name="level1a 2 6 5 2 3" xfId="2090" xr:uid="{00000000-0005-0000-0000-000018080000}"/>
    <cellStyle name="level1a 2 6 5 3" xfId="2091" xr:uid="{00000000-0005-0000-0000-000019080000}"/>
    <cellStyle name="level1a 2 6 5 3 2" xfId="2092" xr:uid="{00000000-0005-0000-0000-00001A080000}"/>
    <cellStyle name="level1a 2 6 5 3 2 2" xfId="2093" xr:uid="{00000000-0005-0000-0000-00001B080000}"/>
    <cellStyle name="level1a 2 6 5 3 3" xfId="2094" xr:uid="{00000000-0005-0000-0000-00001C080000}"/>
    <cellStyle name="level1a 2 6 5 4" xfId="2095" xr:uid="{00000000-0005-0000-0000-00001D080000}"/>
    <cellStyle name="level1a 2 6 5 4 2" xfId="2096" xr:uid="{00000000-0005-0000-0000-00001E080000}"/>
    <cellStyle name="level1a 2 6 5 5" xfId="2097" xr:uid="{00000000-0005-0000-0000-00001F080000}"/>
    <cellStyle name="level1a 2 6 6" xfId="2098" xr:uid="{00000000-0005-0000-0000-000020080000}"/>
    <cellStyle name="level1a 2 6 6 2" xfId="2099" xr:uid="{00000000-0005-0000-0000-000021080000}"/>
    <cellStyle name="level1a 2 6 6 2 2" xfId="2100" xr:uid="{00000000-0005-0000-0000-000022080000}"/>
    <cellStyle name="level1a 2 6 6 2 2 2" xfId="2101" xr:uid="{00000000-0005-0000-0000-000023080000}"/>
    <cellStyle name="level1a 2 6 6 2 3" xfId="2102" xr:uid="{00000000-0005-0000-0000-000024080000}"/>
    <cellStyle name="level1a 2 6 6 3" xfId="2103" xr:uid="{00000000-0005-0000-0000-000025080000}"/>
    <cellStyle name="level1a 2 6 6 3 2" xfId="2104" xr:uid="{00000000-0005-0000-0000-000026080000}"/>
    <cellStyle name="level1a 2 6 6 3 2 2" xfId="2105" xr:uid="{00000000-0005-0000-0000-000027080000}"/>
    <cellStyle name="level1a 2 6 6 3 3" xfId="2106" xr:uid="{00000000-0005-0000-0000-000028080000}"/>
    <cellStyle name="level1a 2 6 6 4" xfId="2107" xr:uid="{00000000-0005-0000-0000-000029080000}"/>
    <cellStyle name="level1a 2 6 6 4 2" xfId="2108" xr:uid="{00000000-0005-0000-0000-00002A080000}"/>
    <cellStyle name="level1a 2 6 6 5" xfId="2109" xr:uid="{00000000-0005-0000-0000-00002B080000}"/>
    <cellStyle name="level1a 2 6 7" xfId="2110" xr:uid="{00000000-0005-0000-0000-00002C080000}"/>
    <cellStyle name="level1a 2 6 7 2" xfId="2111" xr:uid="{00000000-0005-0000-0000-00002D080000}"/>
    <cellStyle name="level1a 2 6 7 2 2" xfId="2112" xr:uid="{00000000-0005-0000-0000-00002E080000}"/>
    <cellStyle name="level1a 2 6 7 3" xfId="2113" xr:uid="{00000000-0005-0000-0000-00002F080000}"/>
    <cellStyle name="level1a 2 6 8" xfId="2114" xr:uid="{00000000-0005-0000-0000-000030080000}"/>
    <cellStyle name="level1a 2 6 8 2" xfId="2115" xr:uid="{00000000-0005-0000-0000-000031080000}"/>
    <cellStyle name="level1a 2 6 8 2 2" xfId="2116" xr:uid="{00000000-0005-0000-0000-000032080000}"/>
    <cellStyle name="level1a 2 6 8 3" xfId="2117" xr:uid="{00000000-0005-0000-0000-000033080000}"/>
    <cellStyle name="level1a 2 6_STUD aligned by INSTIT" xfId="2118" xr:uid="{00000000-0005-0000-0000-000034080000}"/>
    <cellStyle name="level1a 2 7" xfId="2119" xr:uid="{00000000-0005-0000-0000-000035080000}"/>
    <cellStyle name="level1a 2 7 2" xfId="2120" xr:uid="{00000000-0005-0000-0000-000036080000}"/>
    <cellStyle name="level1a 2 7 2 2" xfId="2121" xr:uid="{00000000-0005-0000-0000-000037080000}"/>
    <cellStyle name="level1a 2 7 2 2 2" xfId="2122" xr:uid="{00000000-0005-0000-0000-000038080000}"/>
    <cellStyle name="level1a 2 7 2 3" xfId="2123" xr:uid="{00000000-0005-0000-0000-000039080000}"/>
    <cellStyle name="level1a 2 7 3" xfId="2124" xr:uid="{00000000-0005-0000-0000-00003A080000}"/>
    <cellStyle name="level1a 2 7 3 2" xfId="2125" xr:uid="{00000000-0005-0000-0000-00003B080000}"/>
    <cellStyle name="level1a 2 7 3 2 2" xfId="2126" xr:uid="{00000000-0005-0000-0000-00003C080000}"/>
    <cellStyle name="level1a 2 7 3 3" xfId="2127" xr:uid="{00000000-0005-0000-0000-00003D080000}"/>
    <cellStyle name="level1a 2 7 4" xfId="2128" xr:uid="{00000000-0005-0000-0000-00003E080000}"/>
    <cellStyle name="level1a 2 7 5" xfId="2129" xr:uid="{00000000-0005-0000-0000-00003F080000}"/>
    <cellStyle name="level1a 2 7 5 2" xfId="2130" xr:uid="{00000000-0005-0000-0000-000040080000}"/>
    <cellStyle name="level1a 2 8" xfId="2131" xr:uid="{00000000-0005-0000-0000-000041080000}"/>
    <cellStyle name="level1a 2 8 2" xfId="2132" xr:uid="{00000000-0005-0000-0000-000042080000}"/>
    <cellStyle name="level1a 2 8 2 2" xfId="2133" xr:uid="{00000000-0005-0000-0000-000043080000}"/>
    <cellStyle name="level1a 2 8 2 2 2" xfId="2134" xr:uid="{00000000-0005-0000-0000-000044080000}"/>
    <cellStyle name="level1a 2 8 2 3" xfId="2135" xr:uid="{00000000-0005-0000-0000-000045080000}"/>
    <cellStyle name="level1a 2 8 3" xfId="2136" xr:uid="{00000000-0005-0000-0000-000046080000}"/>
    <cellStyle name="level1a 2 8 3 2" xfId="2137" xr:uid="{00000000-0005-0000-0000-000047080000}"/>
    <cellStyle name="level1a 2 8 3 2 2" xfId="2138" xr:uid="{00000000-0005-0000-0000-000048080000}"/>
    <cellStyle name="level1a 2 8 3 3" xfId="2139" xr:uid="{00000000-0005-0000-0000-000049080000}"/>
    <cellStyle name="level1a 2 8 4" xfId="2140" xr:uid="{00000000-0005-0000-0000-00004A080000}"/>
    <cellStyle name="level1a 2 8 5" xfId="2141" xr:uid="{00000000-0005-0000-0000-00004B080000}"/>
    <cellStyle name="level1a 2 8 5 2" xfId="2142" xr:uid="{00000000-0005-0000-0000-00004C080000}"/>
    <cellStyle name="level1a 2 8 6" xfId="2143" xr:uid="{00000000-0005-0000-0000-00004D080000}"/>
    <cellStyle name="level1a 2 9" xfId="2144" xr:uid="{00000000-0005-0000-0000-00004E080000}"/>
    <cellStyle name="level1a 2 9 2" xfId="2145" xr:uid="{00000000-0005-0000-0000-00004F080000}"/>
    <cellStyle name="level1a 2 9 2 2" xfId="2146" xr:uid="{00000000-0005-0000-0000-000050080000}"/>
    <cellStyle name="level1a 2 9 2 2 2" xfId="2147" xr:uid="{00000000-0005-0000-0000-000051080000}"/>
    <cellStyle name="level1a 2 9 2 3" xfId="2148" xr:uid="{00000000-0005-0000-0000-000052080000}"/>
    <cellStyle name="level1a 2 9 3" xfId="2149" xr:uid="{00000000-0005-0000-0000-000053080000}"/>
    <cellStyle name="level1a 2 9 3 2" xfId="2150" xr:uid="{00000000-0005-0000-0000-000054080000}"/>
    <cellStyle name="level1a 2 9 3 2 2" xfId="2151" xr:uid="{00000000-0005-0000-0000-000055080000}"/>
    <cellStyle name="level1a 2 9 3 3" xfId="2152" xr:uid="{00000000-0005-0000-0000-000056080000}"/>
    <cellStyle name="level1a 2 9 4" xfId="2153" xr:uid="{00000000-0005-0000-0000-000057080000}"/>
    <cellStyle name="level1a 2 9 5" xfId="2154" xr:uid="{00000000-0005-0000-0000-000058080000}"/>
    <cellStyle name="level1a 2_STUD aligned by INSTIT" xfId="2155" xr:uid="{00000000-0005-0000-0000-000059080000}"/>
    <cellStyle name="level1a 3" xfId="2156" xr:uid="{00000000-0005-0000-0000-00005A080000}"/>
    <cellStyle name="level1a 3 10" xfId="2157" xr:uid="{00000000-0005-0000-0000-00005B080000}"/>
    <cellStyle name="level1a 3 10 2" xfId="2158" xr:uid="{00000000-0005-0000-0000-00005C080000}"/>
    <cellStyle name="level1a 3 10 2 2" xfId="2159" xr:uid="{00000000-0005-0000-0000-00005D080000}"/>
    <cellStyle name="level1a 3 10 2 2 2" xfId="2160" xr:uid="{00000000-0005-0000-0000-00005E080000}"/>
    <cellStyle name="level1a 3 10 2 3" xfId="2161" xr:uid="{00000000-0005-0000-0000-00005F080000}"/>
    <cellStyle name="level1a 3 10 3" xfId="2162" xr:uid="{00000000-0005-0000-0000-000060080000}"/>
    <cellStyle name="level1a 3 10 3 2" xfId="2163" xr:uid="{00000000-0005-0000-0000-000061080000}"/>
    <cellStyle name="level1a 3 10 3 2 2" xfId="2164" xr:uid="{00000000-0005-0000-0000-000062080000}"/>
    <cellStyle name="level1a 3 10 3 3" xfId="2165" xr:uid="{00000000-0005-0000-0000-000063080000}"/>
    <cellStyle name="level1a 3 10 4" xfId="2166" xr:uid="{00000000-0005-0000-0000-000064080000}"/>
    <cellStyle name="level1a 3 10 5" xfId="2167" xr:uid="{00000000-0005-0000-0000-000065080000}"/>
    <cellStyle name="level1a 3 10 5 2" xfId="2168" xr:uid="{00000000-0005-0000-0000-000066080000}"/>
    <cellStyle name="level1a 3 10 6" xfId="2169" xr:uid="{00000000-0005-0000-0000-000067080000}"/>
    <cellStyle name="level1a 3 11" xfId="2170" xr:uid="{00000000-0005-0000-0000-000068080000}"/>
    <cellStyle name="level1a 3 11 2" xfId="2171" xr:uid="{00000000-0005-0000-0000-000069080000}"/>
    <cellStyle name="level1a 3 11 2 2" xfId="2172" xr:uid="{00000000-0005-0000-0000-00006A080000}"/>
    <cellStyle name="level1a 3 11 2 2 2" xfId="2173" xr:uid="{00000000-0005-0000-0000-00006B080000}"/>
    <cellStyle name="level1a 3 11 2 3" xfId="2174" xr:uid="{00000000-0005-0000-0000-00006C080000}"/>
    <cellStyle name="level1a 3 11 3" xfId="2175" xr:uid="{00000000-0005-0000-0000-00006D080000}"/>
    <cellStyle name="level1a 3 11 3 2" xfId="2176" xr:uid="{00000000-0005-0000-0000-00006E080000}"/>
    <cellStyle name="level1a 3 11 3 2 2" xfId="2177" xr:uid="{00000000-0005-0000-0000-00006F080000}"/>
    <cellStyle name="level1a 3 11 3 3" xfId="2178" xr:uid="{00000000-0005-0000-0000-000070080000}"/>
    <cellStyle name="level1a 3 11 4" xfId="2179" xr:uid="{00000000-0005-0000-0000-000071080000}"/>
    <cellStyle name="level1a 3 11 4 2" xfId="2180" xr:uid="{00000000-0005-0000-0000-000072080000}"/>
    <cellStyle name="level1a 3 11 5" xfId="2181" xr:uid="{00000000-0005-0000-0000-000073080000}"/>
    <cellStyle name="level1a 3 12" xfId="2182" xr:uid="{00000000-0005-0000-0000-000074080000}"/>
    <cellStyle name="level1a 3 12 2" xfId="2183" xr:uid="{00000000-0005-0000-0000-000075080000}"/>
    <cellStyle name="level1a 3 12 2 2" xfId="2184" xr:uid="{00000000-0005-0000-0000-000076080000}"/>
    <cellStyle name="level1a 3 12 3" xfId="2185" xr:uid="{00000000-0005-0000-0000-000077080000}"/>
    <cellStyle name="level1a 3 13" xfId="2186" xr:uid="{00000000-0005-0000-0000-000078080000}"/>
    <cellStyle name="level1a 3 14" xfId="2187" xr:uid="{00000000-0005-0000-0000-000079080000}"/>
    <cellStyle name="level1a 3 2" xfId="2188" xr:uid="{00000000-0005-0000-0000-00007A080000}"/>
    <cellStyle name="level1a 3 2 10" xfId="2189" xr:uid="{00000000-0005-0000-0000-00007B080000}"/>
    <cellStyle name="level1a 3 2 10 2" xfId="2190" xr:uid="{00000000-0005-0000-0000-00007C080000}"/>
    <cellStyle name="level1a 3 2 10 2 2" xfId="2191" xr:uid="{00000000-0005-0000-0000-00007D080000}"/>
    <cellStyle name="level1a 3 2 10 2 2 2" xfId="2192" xr:uid="{00000000-0005-0000-0000-00007E080000}"/>
    <cellStyle name="level1a 3 2 10 2 3" xfId="2193" xr:uid="{00000000-0005-0000-0000-00007F080000}"/>
    <cellStyle name="level1a 3 2 10 3" xfId="2194" xr:uid="{00000000-0005-0000-0000-000080080000}"/>
    <cellStyle name="level1a 3 2 10 3 2" xfId="2195" xr:uid="{00000000-0005-0000-0000-000081080000}"/>
    <cellStyle name="level1a 3 2 10 3 2 2" xfId="2196" xr:uid="{00000000-0005-0000-0000-000082080000}"/>
    <cellStyle name="level1a 3 2 10 3 3" xfId="2197" xr:uid="{00000000-0005-0000-0000-000083080000}"/>
    <cellStyle name="level1a 3 2 10 4" xfId="2198" xr:uid="{00000000-0005-0000-0000-000084080000}"/>
    <cellStyle name="level1a 3 2 10 4 2" xfId="2199" xr:uid="{00000000-0005-0000-0000-000085080000}"/>
    <cellStyle name="level1a 3 2 10 5" xfId="2200" xr:uid="{00000000-0005-0000-0000-000086080000}"/>
    <cellStyle name="level1a 3 2 11" xfId="2201" xr:uid="{00000000-0005-0000-0000-000087080000}"/>
    <cellStyle name="level1a 3 2 11 2" xfId="2202" xr:uid="{00000000-0005-0000-0000-000088080000}"/>
    <cellStyle name="level1a 3 2 11 2 2" xfId="2203" xr:uid="{00000000-0005-0000-0000-000089080000}"/>
    <cellStyle name="level1a 3 2 11 3" xfId="2204" xr:uid="{00000000-0005-0000-0000-00008A080000}"/>
    <cellStyle name="level1a 3 2 12" xfId="2205" xr:uid="{00000000-0005-0000-0000-00008B080000}"/>
    <cellStyle name="level1a 3 2 2" xfId="2206" xr:uid="{00000000-0005-0000-0000-00008C080000}"/>
    <cellStyle name="level1a 3 2 2 10" xfId="2207" xr:uid="{00000000-0005-0000-0000-00008D080000}"/>
    <cellStyle name="level1a 3 2 2 2" xfId="2208" xr:uid="{00000000-0005-0000-0000-00008E080000}"/>
    <cellStyle name="level1a 3 2 2 2 2" xfId="2209" xr:uid="{00000000-0005-0000-0000-00008F080000}"/>
    <cellStyle name="level1a 3 2 2 2 2 2" xfId="2210" xr:uid="{00000000-0005-0000-0000-000090080000}"/>
    <cellStyle name="level1a 3 2 2 2 2 2 2" xfId="2211" xr:uid="{00000000-0005-0000-0000-000091080000}"/>
    <cellStyle name="level1a 3 2 2 2 2 2 2 2" xfId="2212" xr:uid="{00000000-0005-0000-0000-000092080000}"/>
    <cellStyle name="level1a 3 2 2 2 2 2 3" xfId="2213" xr:uid="{00000000-0005-0000-0000-000093080000}"/>
    <cellStyle name="level1a 3 2 2 2 2 3" xfId="2214" xr:uid="{00000000-0005-0000-0000-000094080000}"/>
    <cellStyle name="level1a 3 2 2 2 2 3 2" xfId="2215" xr:uid="{00000000-0005-0000-0000-000095080000}"/>
    <cellStyle name="level1a 3 2 2 2 2 3 2 2" xfId="2216" xr:uid="{00000000-0005-0000-0000-000096080000}"/>
    <cellStyle name="level1a 3 2 2 2 2 3 3" xfId="2217" xr:uid="{00000000-0005-0000-0000-000097080000}"/>
    <cellStyle name="level1a 3 2 2 2 2 4" xfId="2218" xr:uid="{00000000-0005-0000-0000-000098080000}"/>
    <cellStyle name="level1a 3 2 2 2 2 5" xfId="2219" xr:uid="{00000000-0005-0000-0000-000099080000}"/>
    <cellStyle name="level1a 3 2 2 2 2 5 2" xfId="2220" xr:uid="{00000000-0005-0000-0000-00009A080000}"/>
    <cellStyle name="level1a 3 2 2 2 3" xfId="2221" xr:uid="{00000000-0005-0000-0000-00009B080000}"/>
    <cellStyle name="level1a 3 2 2 2 3 2" xfId="2222" xr:uid="{00000000-0005-0000-0000-00009C080000}"/>
    <cellStyle name="level1a 3 2 2 2 3 2 2" xfId="2223" xr:uid="{00000000-0005-0000-0000-00009D080000}"/>
    <cellStyle name="level1a 3 2 2 2 3 2 2 2" xfId="2224" xr:uid="{00000000-0005-0000-0000-00009E080000}"/>
    <cellStyle name="level1a 3 2 2 2 3 2 3" xfId="2225" xr:uid="{00000000-0005-0000-0000-00009F080000}"/>
    <cellStyle name="level1a 3 2 2 2 3 3" xfId="2226" xr:uid="{00000000-0005-0000-0000-0000A0080000}"/>
    <cellStyle name="level1a 3 2 2 2 3 3 2" xfId="2227" xr:uid="{00000000-0005-0000-0000-0000A1080000}"/>
    <cellStyle name="level1a 3 2 2 2 3 3 2 2" xfId="2228" xr:uid="{00000000-0005-0000-0000-0000A2080000}"/>
    <cellStyle name="level1a 3 2 2 2 3 3 3" xfId="2229" xr:uid="{00000000-0005-0000-0000-0000A3080000}"/>
    <cellStyle name="level1a 3 2 2 2 3 4" xfId="2230" xr:uid="{00000000-0005-0000-0000-0000A4080000}"/>
    <cellStyle name="level1a 3 2 2 2 3 5" xfId="2231" xr:uid="{00000000-0005-0000-0000-0000A5080000}"/>
    <cellStyle name="level1a 3 2 2 2 4" xfId="2232" xr:uid="{00000000-0005-0000-0000-0000A6080000}"/>
    <cellStyle name="level1a 3 2 2 2 4 2" xfId="2233" xr:uid="{00000000-0005-0000-0000-0000A7080000}"/>
    <cellStyle name="level1a 3 2 2 2 4 2 2" xfId="2234" xr:uid="{00000000-0005-0000-0000-0000A8080000}"/>
    <cellStyle name="level1a 3 2 2 2 4 2 2 2" xfId="2235" xr:uid="{00000000-0005-0000-0000-0000A9080000}"/>
    <cellStyle name="level1a 3 2 2 2 4 2 3" xfId="2236" xr:uid="{00000000-0005-0000-0000-0000AA080000}"/>
    <cellStyle name="level1a 3 2 2 2 4 3" xfId="2237" xr:uid="{00000000-0005-0000-0000-0000AB080000}"/>
    <cellStyle name="level1a 3 2 2 2 4 3 2" xfId="2238" xr:uid="{00000000-0005-0000-0000-0000AC080000}"/>
    <cellStyle name="level1a 3 2 2 2 4 3 2 2" xfId="2239" xr:uid="{00000000-0005-0000-0000-0000AD080000}"/>
    <cellStyle name="level1a 3 2 2 2 4 3 3" xfId="2240" xr:uid="{00000000-0005-0000-0000-0000AE080000}"/>
    <cellStyle name="level1a 3 2 2 2 4 4" xfId="2241" xr:uid="{00000000-0005-0000-0000-0000AF080000}"/>
    <cellStyle name="level1a 3 2 2 2 4 5" xfId="2242" xr:uid="{00000000-0005-0000-0000-0000B0080000}"/>
    <cellStyle name="level1a 3 2 2 2 4 5 2" xfId="2243" xr:uid="{00000000-0005-0000-0000-0000B1080000}"/>
    <cellStyle name="level1a 3 2 2 2 4 6" xfId="2244" xr:uid="{00000000-0005-0000-0000-0000B2080000}"/>
    <cellStyle name="level1a 3 2 2 2 5" xfId="2245" xr:uid="{00000000-0005-0000-0000-0000B3080000}"/>
    <cellStyle name="level1a 3 2 2 2 5 2" xfId="2246" xr:uid="{00000000-0005-0000-0000-0000B4080000}"/>
    <cellStyle name="level1a 3 2 2 2 5 2 2" xfId="2247" xr:uid="{00000000-0005-0000-0000-0000B5080000}"/>
    <cellStyle name="level1a 3 2 2 2 5 2 2 2" xfId="2248" xr:uid="{00000000-0005-0000-0000-0000B6080000}"/>
    <cellStyle name="level1a 3 2 2 2 5 2 3" xfId="2249" xr:uid="{00000000-0005-0000-0000-0000B7080000}"/>
    <cellStyle name="level1a 3 2 2 2 5 3" xfId="2250" xr:uid="{00000000-0005-0000-0000-0000B8080000}"/>
    <cellStyle name="level1a 3 2 2 2 5 3 2" xfId="2251" xr:uid="{00000000-0005-0000-0000-0000B9080000}"/>
    <cellStyle name="level1a 3 2 2 2 5 3 2 2" xfId="2252" xr:uid="{00000000-0005-0000-0000-0000BA080000}"/>
    <cellStyle name="level1a 3 2 2 2 5 3 3" xfId="2253" xr:uid="{00000000-0005-0000-0000-0000BB080000}"/>
    <cellStyle name="level1a 3 2 2 2 5 4" xfId="2254" xr:uid="{00000000-0005-0000-0000-0000BC080000}"/>
    <cellStyle name="level1a 3 2 2 2 5 4 2" xfId="2255" xr:uid="{00000000-0005-0000-0000-0000BD080000}"/>
    <cellStyle name="level1a 3 2 2 2 5 5" xfId="2256" xr:uid="{00000000-0005-0000-0000-0000BE080000}"/>
    <cellStyle name="level1a 3 2 2 2 6" xfId="2257" xr:uid="{00000000-0005-0000-0000-0000BF080000}"/>
    <cellStyle name="level1a 3 2 2 2 6 2" xfId="2258" xr:uid="{00000000-0005-0000-0000-0000C0080000}"/>
    <cellStyle name="level1a 3 2 2 2 6 2 2" xfId="2259" xr:uid="{00000000-0005-0000-0000-0000C1080000}"/>
    <cellStyle name="level1a 3 2 2 2 6 2 2 2" xfId="2260" xr:uid="{00000000-0005-0000-0000-0000C2080000}"/>
    <cellStyle name="level1a 3 2 2 2 6 2 3" xfId="2261" xr:uid="{00000000-0005-0000-0000-0000C3080000}"/>
    <cellStyle name="level1a 3 2 2 2 6 3" xfId="2262" xr:uid="{00000000-0005-0000-0000-0000C4080000}"/>
    <cellStyle name="level1a 3 2 2 2 6 3 2" xfId="2263" xr:uid="{00000000-0005-0000-0000-0000C5080000}"/>
    <cellStyle name="level1a 3 2 2 2 6 3 2 2" xfId="2264" xr:uid="{00000000-0005-0000-0000-0000C6080000}"/>
    <cellStyle name="level1a 3 2 2 2 6 3 3" xfId="2265" xr:uid="{00000000-0005-0000-0000-0000C7080000}"/>
    <cellStyle name="level1a 3 2 2 2 6 4" xfId="2266" xr:uid="{00000000-0005-0000-0000-0000C8080000}"/>
    <cellStyle name="level1a 3 2 2 2 6 4 2" xfId="2267" xr:uid="{00000000-0005-0000-0000-0000C9080000}"/>
    <cellStyle name="level1a 3 2 2 2 6 5" xfId="2268" xr:uid="{00000000-0005-0000-0000-0000CA080000}"/>
    <cellStyle name="level1a 3 2 2 2 7" xfId="2269" xr:uid="{00000000-0005-0000-0000-0000CB080000}"/>
    <cellStyle name="level1a 3 2 2 2 7 2" xfId="2270" xr:uid="{00000000-0005-0000-0000-0000CC080000}"/>
    <cellStyle name="level1a 3 2 2 2 7 2 2" xfId="2271" xr:uid="{00000000-0005-0000-0000-0000CD080000}"/>
    <cellStyle name="level1a 3 2 2 2 7 3" xfId="2272" xr:uid="{00000000-0005-0000-0000-0000CE080000}"/>
    <cellStyle name="level1a 3 2 2 2_STUD aligned by INSTIT" xfId="2273" xr:uid="{00000000-0005-0000-0000-0000CF080000}"/>
    <cellStyle name="level1a 3 2 2 3" xfId="2274" xr:uid="{00000000-0005-0000-0000-0000D0080000}"/>
    <cellStyle name="level1a 3 2 2 3 2" xfId="2275" xr:uid="{00000000-0005-0000-0000-0000D1080000}"/>
    <cellStyle name="level1a 3 2 2 3 2 2" xfId="2276" xr:uid="{00000000-0005-0000-0000-0000D2080000}"/>
    <cellStyle name="level1a 3 2 2 3 2 2 2" xfId="2277" xr:uid="{00000000-0005-0000-0000-0000D3080000}"/>
    <cellStyle name="level1a 3 2 2 3 2 2 2 2" xfId="2278" xr:uid="{00000000-0005-0000-0000-0000D4080000}"/>
    <cellStyle name="level1a 3 2 2 3 2 2 3" xfId="2279" xr:uid="{00000000-0005-0000-0000-0000D5080000}"/>
    <cellStyle name="level1a 3 2 2 3 2 3" xfId="2280" xr:uid="{00000000-0005-0000-0000-0000D6080000}"/>
    <cellStyle name="level1a 3 2 2 3 2 3 2" xfId="2281" xr:uid="{00000000-0005-0000-0000-0000D7080000}"/>
    <cellStyle name="level1a 3 2 2 3 2 3 2 2" xfId="2282" xr:uid="{00000000-0005-0000-0000-0000D8080000}"/>
    <cellStyle name="level1a 3 2 2 3 2 3 3" xfId="2283" xr:uid="{00000000-0005-0000-0000-0000D9080000}"/>
    <cellStyle name="level1a 3 2 2 3 2 4" xfId="2284" xr:uid="{00000000-0005-0000-0000-0000DA080000}"/>
    <cellStyle name="level1a 3 2 2 3 2 5" xfId="2285" xr:uid="{00000000-0005-0000-0000-0000DB080000}"/>
    <cellStyle name="level1a 3 2 2 3 3" xfId="2286" xr:uid="{00000000-0005-0000-0000-0000DC080000}"/>
    <cellStyle name="level1a 3 2 2 3 3 2" xfId="2287" xr:uid="{00000000-0005-0000-0000-0000DD080000}"/>
    <cellStyle name="level1a 3 2 2 3 3 2 2" xfId="2288" xr:uid="{00000000-0005-0000-0000-0000DE080000}"/>
    <cellStyle name="level1a 3 2 2 3 3 2 2 2" xfId="2289" xr:uid="{00000000-0005-0000-0000-0000DF080000}"/>
    <cellStyle name="level1a 3 2 2 3 3 2 3" xfId="2290" xr:uid="{00000000-0005-0000-0000-0000E0080000}"/>
    <cellStyle name="level1a 3 2 2 3 3 3" xfId="2291" xr:uid="{00000000-0005-0000-0000-0000E1080000}"/>
    <cellStyle name="level1a 3 2 2 3 3 3 2" xfId="2292" xr:uid="{00000000-0005-0000-0000-0000E2080000}"/>
    <cellStyle name="level1a 3 2 2 3 3 3 2 2" xfId="2293" xr:uid="{00000000-0005-0000-0000-0000E3080000}"/>
    <cellStyle name="level1a 3 2 2 3 3 3 3" xfId="2294" xr:uid="{00000000-0005-0000-0000-0000E4080000}"/>
    <cellStyle name="level1a 3 2 2 3 3 4" xfId="2295" xr:uid="{00000000-0005-0000-0000-0000E5080000}"/>
    <cellStyle name="level1a 3 2 2 3 3 4 2" xfId="2296" xr:uid="{00000000-0005-0000-0000-0000E6080000}"/>
    <cellStyle name="level1a 3 2 2 3 4" xfId="2297" xr:uid="{00000000-0005-0000-0000-0000E7080000}"/>
    <cellStyle name="level1a 3 2 2 3 4 2" xfId="2298" xr:uid="{00000000-0005-0000-0000-0000E8080000}"/>
    <cellStyle name="level1a 3 2 2 3 4 2 2" xfId="2299" xr:uid="{00000000-0005-0000-0000-0000E9080000}"/>
    <cellStyle name="level1a 3 2 2 3 4 2 2 2" xfId="2300" xr:uid="{00000000-0005-0000-0000-0000EA080000}"/>
    <cellStyle name="level1a 3 2 2 3 4 2 3" xfId="2301" xr:uid="{00000000-0005-0000-0000-0000EB080000}"/>
    <cellStyle name="level1a 3 2 2 3 4 3" xfId="2302" xr:uid="{00000000-0005-0000-0000-0000EC080000}"/>
    <cellStyle name="level1a 3 2 2 3 4 3 2" xfId="2303" xr:uid="{00000000-0005-0000-0000-0000ED080000}"/>
    <cellStyle name="level1a 3 2 2 3 4 3 2 2" xfId="2304" xr:uid="{00000000-0005-0000-0000-0000EE080000}"/>
    <cellStyle name="level1a 3 2 2 3 4 3 3" xfId="2305" xr:uid="{00000000-0005-0000-0000-0000EF080000}"/>
    <cellStyle name="level1a 3 2 2 3 4 4" xfId="2306" xr:uid="{00000000-0005-0000-0000-0000F0080000}"/>
    <cellStyle name="level1a 3 2 2 3 4 4 2" xfId="2307" xr:uid="{00000000-0005-0000-0000-0000F1080000}"/>
    <cellStyle name="level1a 3 2 2 3 4 5" xfId="2308" xr:uid="{00000000-0005-0000-0000-0000F2080000}"/>
    <cellStyle name="level1a 3 2 2 3 5" xfId="2309" xr:uid="{00000000-0005-0000-0000-0000F3080000}"/>
    <cellStyle name="level1a 3 2 2 3 5 2" xfId="2310" xr:uid="{00000000-0005-0000-0000-0000F4080000}"/>
    <cellStyle name="level1a 3 2 2 3 5 2 2" xfId="2311" xr:uid="{00000000-0005-0000-0000-0000F5080000}"/>
    <cellStyle name="level1a 3 2 2 3 5 2 2 2" xfId="2312" xr:uid="{00000000-0005-0000-0000-0000F6080000}"/>
    <cellStyle name="level1a 3 2 2 3 5 2 3" xfId="2313" xr:uid="{00000000-0005-0000-0000-0000F7080000}"/>
    <cellStyle name="level1a 3 2 2 3 5 3" xfId="2314" xr:uid="{00000000-0005-0000-0000-0000F8080000}"/>
    <cellStyle name="level1a 3 2 2 3 5 3 2" xfId="2315" xr:uid="{00000000-0005-0000-0000-0000F9080000}"/>
    <cellStyle name="level1a 3 2 2 3 5 3 2 2" xfId="2316" xr:uid="{00000000-0005-0000-0000-0000FA080000}"/>
    <cellStyle name="level1a 3 2 2 3 5 3 3" xfId="2317" xr:uid="{00000000-0005-0000-0000-0000FB080000}"/>
    <cellStyle name="level1a 3 2 2 3 5 4" xfId="2318" xr:uid="{00000000-0005-0000-0000-0000FC080000}"/>
    <cellStyle name="level1a 3 2 2 3 5 4 2" xfId="2319" xr:uid="{00000000-0005-0000-0000-0000FD080000}"/>
    <cellStyle name="level1a 3 2 2 3 5 5" xfId="2320" xr:uid="{00000000-0005-0000-0000-0000FE080000}"/>
    <cellStyle name="level1a 3 2 2 3 6" xfId="2321" xr:uid="{00000000-0005-0000-0000-0000FF080000}"/>
    <cellStyle name="level1a 3 2 2 3 6 2" xfId="2322" xr:uid="{00000000-0005-0000-0000-000000090000}"/>
    <cellStyle name="level1a 3 2 2 3 6 2 2" xfId="2323" xr:uid="{00000000-0005-0000-0000-000001090000}"/>
    <cellStyle name="level1a 3 2 2 3 6 2 2 2" xfId="2324" xr:uid="{00000000-0005-0000-0000-000002090000}"/>
    <cellStyle name="level1a 3 2 2 3 6 2 3" xfId="2325" xr:uid="{00000000-0005-0000-0000-000003090000}"/>
    <cellStyle name="level1a 3 2 2 3 6 3" xfId="2326" xr:uid="{00000000-0005-0000-0000-000004090000}"/>
    <cellStyle name="level1a 3 2 2 3 6 3 2" xfId="2327" xr:uid="{00000000-0005-0000-0000-000005090000}"/>
    <cellStyle name="level1a 3 2 2 3 6 3 2 2" xfId="2328" xr:uid="{00000000-0005-0000-0000-000006090000}"/>
    <cellStyle name="level1a 3 2 2 3 6 3 3" xfId="2329" xr:uid="{00000000-0005-0000-0000-000007090000}"/>
    <cellStyle name="level1a 3 2 2 3 6 4" xfId="2330" xr:uid="{00000000-0005-0000-0000-000008090000}"/>
    <cellStyle name="level1a 3 2 2 3 6 4 2" xfId="2331" xr:uid="{00000000-0005-0000-0000-000009090000}"/>
    <cellStyle name="level1a 3 2 2 3 6 5" xfId="2332" xr:uid="{00000000-0005-0000-0000-00000A090000}"/>
    <cellStyle name="level1a 3 2 2 3 7" xfId="2333" xr:uid="{00000000-0005-0000-0000-00000B090000}"/>
    <cellStyle name="level1a 3 2 2 3 7 2" xfId="2334" xr:uid="{00000000-0005-0000-0000-00000C090000}"/>
    <cellStyle name="level1a 3 2 2 3 7 2 2" xfId="2335" xr:uid="{00000000-0005-0000-0000-00000D090000}"/>
    <cellStyle name="level1a 3 2 2 3 7 3" xfId="2336" xr:uid="{00000000-0005-0000-0000-00000E090000}"/>
    <cellStyle name="level1a 3 2 2 3 8" xfId="2337" xr:uid="{00000000-0005-0000-0000-00000F090000}"/>
    <cellStyle name="level1a 3 2 2 3 8 2" xfId="2338" xr:uid="{00000000-0005-0000-0000-000010090000}"/>
    <cellStyle name="level1a 3 2 2 3 8 2 2" xfId="2339" xr:uid="{00000000-0005-0000-0000-000011090000}"/>
    <cellStyle name="level1a 3 2 2 3 8 3" xfId="2340" xr:uid="{00000000-0005-0000-0000-000012090000}"/>
    <cellStyle name="level1a 3 2 2 3_STUD aligned by INSTIT" xfId="2341" xr:uid="{00000000-0005-0000-0000-000013090000}"/>
    <cellStyle name="level1a 3 2 2 4" xfId="2342" xr:uid="{00000000-0005-0000-0000-000014090000}"/>
    <cellStyle name="level1a 3 2 2 4 2" xfId="2343" xr:uid="{00000000-0005-0000-0000-000015090000}"/>
    <cellStyle name="level1a 3 2 2 4 2 2" xfId="2344" xr:uid="{00000000-0005-0000-0000-000016090000}"/>
    <cellStyle name="level1a 3 2 2 4 2 2 2" xfId="2345" xr:uid="{00000000-0005-0000-0000-000017090000}"/>
    <cellStyle name="level1a 3 2 2 4 2 3" xfId="2346" xr:uid="{00000000-0005-0000-0000-000018090000}"/>
    <cellStyle name="level1a 3 2 2 4 3" xfId="2347" xr:uid="{00000000-0005-0000-0000-000019090000}"/>
    <cellStyle name="level1a 3 2 2 4 3 2" xfId="2348" xr:uid="{00000000-0005-0000-0000-00001A090000}"/>
    <cellStyle name="level1a 3 2 2 4 3 2 2" xfId="2349" xr:uid="{00000000-0005-0000-0000-00001B090000}"/>
    <cellStyle name="level1a 3 2 2 4 3 3" xfId="2350" xr:uid="{00000000-0005-0000-0000-00001C090000}"/>
    <cellStyle name="level1a 3 2 2 4 4" xfId="2351" xr:uid="{00000000-0005-0000-0000-00001D090000}"/>
    <cellStyle name="level1a 3 2 2 4 5" xfId="2352" xr:uid="{00000000-0005-0000-0000-00001E090000}"/>
    <cellStyle name="level1a 3 2 2 4 5 2" xfId="2353" xr:uid="{00000000-0005-0000-0000-00001F090000}"/>
    <cellStyle name="level1a 3 2 2 5" xfId="2354" xr:uid="{00000000-0005-0000-0000-000020090000}"/>
    <cellStyle name="level1a 3 2 2 5 2" xfId="2355" xr:uid="{00000000-0005-0000-0000-000021090000}"/>
    <cellStyle name="level1a 3 2 2 5 2 2" xfId="2356" xr:uid="{00000000-0005-0000-0000-000022090000}"/>
    <cellStyle name="level1a 3 2 2 5 2 2 2" xfId="2357" xr:uid="{00000000-0005-0000-0000-000023090000}"/>
    <cellStyle name="level1a 3 2 2 5 2 3" xfId="2358" xr:uid="{00000000-0005-0000-0000-000024090000}"/>
    <cellStyle name="level1a 3 2 2 5 3" xfId="2359" xr:uid="{00000000-0005-0000-0000-000025090000}"/>
    <cellStyle name="level1a 3 2 2 5 3 2" xfId="2360" xr:uid="{00000000-0005-0000-0000-000026090000}"/>
    <cellStyle name="level1a 3 2 2 5 3 2 2" xfId="2361" xr:uid="{00000000-0005-0000-0000-000027090000}"/>
    <cellStyle name="level1a 3 2 2 5 3 3" xfId="2362" xr:uid="{00000000-0005-0000-0000-000028090000}"/>
    <cellStyle name="level1a 3 2 2 5 4" xfId="2363" xr:uid="{00000000-0005-0000-0000-000029090000}"/>
    <cellStyle name="level1a 3 2 2 5 5" xfId="2364" xr:uid="{00000000-0005-0000-0000-00002A090000}"/>
    <cellStyle name="level1a 3 2 2 5 5 2" xfId="2365" xr:uid="{00000000-0005-0000-0000-00002B090000}"/>
    <cellStyle name="level1a 3 2 2 5 6" xfId="2366" xr:uid="{00000000-0005-0000-0000-00002C090000}"/>
    <cellStyle name="level1a 3 2 2 6" xfId="2367" xr:uid="{00000000-0005-0000-0000-00002D090000}"/>
    <cellStyle name="level1a 3 2 2 6 2" xfId="2368" xr:uid="{00000000-0005-0000-0000-00002E090000}"/>
    <cellStyle name="level1a 3 2 2 6 2 2" xfId="2369" xr:uid="{00000000-0005-0000-0000-00002F090000}"/>
    <cellStyle name="level1a 3 2 2 6 2 2 2" xfId="2370" xr:uid="{00000000-0005-0000-0000-000030090000}"/>
    <cellStyle name="level1a 3 2 2 6 2 3" xfId="2371" xr:uid="{00000000-0005-0000-0000-000031090000}"/>
    <cellStyle name="level1a 3 2 2 6 3" xfId="2372" xr:uid="{00000000-0005-0000-0000-000032090000}"/>
    <cellStyle name="level1a 3 2 2 6 3 2" xfId="2373" xr:uid="{00000000-0005-0000-0000-000033090000}"/>
    <cellStyle name="level1a 3 2 2 6 3 2 2" xfId="2374" xr:uid="{00000000-0005-0000-0000-000034090000}"/>
    <cellStyle name="level1a 3 2 2 6 3 3" xfId="2375" xr:uid="{00000000-0005-0000-0000-000035090000}"/>
    <cellStyle name="level1a 3 2 2 6 4" xfId="2376" xr:uid="{00000000-0005-0000-0000-000036090000}"/>
    <cellStyle name="level1a 3 2 2 6 5" xfId="2377" xr:uid="{00000000-0005-0000-0000-000037090000}"/>
    <cellStyle name="level1a 3 2 2 7" xfId="2378" xr:uid="{00000000-0005-0000-0000-000038090000}"/>
    <cellStyle name="level1a 3 2 2 7 2" xfId="2379" xr:uid="{00000000-0005-0000-0000-000039090000}"/>
    <cellStyle name="level1a 3 2 2 7 2 2" xfId="2380" xr:uid="{00000000-0005-0000-0000-00003A090000}"/>
    <cellStyle name="level1a 3 2 2 7 2 2 2" xfId="2381" xr:uid="{00000000-0005-0000-0000-00003B090000}"/>
    <cellStyle name="level1a 3 2 2 7 2 3" xfId="2382" xr:uid="{00000000-0005-0000-0000-00003C090000}"/>
    <cellStyle name="level1a 3 2 2 7 3" xfId="2383" xr:uid="{00000000-0005-0000-0000-00003D090000}"/>
    <cellStyle name="level1a 3 2 2 7 3 2" xfId="2384" xr:uid="{00000000-0005-0000-0000-00003E090000}"/>
    <cellStyle name="level1a 3 2 2 7 3 2 2" xfId="2385" xr:uid="{00000000-0005-0000-0000-00003F090000}"/>
    <cellStyle name="level1a 3 2 2 7 3 3" xfId="2386" xr:uid="{00000000-0005-0000-0000-000040090000}"/>
    <cellStyle name="level1a 3 2 2 7 4" xfId="2387" xr:uid="{00000000-0005-0000-0000-000041090000}"/>
    <cellStyle name="level1a 3 2 2 7 5" xfId="2388" xr:uid="{00000000-0005-0000-0000-000042090000}"/>
    <cellStyle name="level1a 3 2 2 7 5 2" xfId="2389" xr:uid="{00000000-0005-0000-0000-000043090000}"/>
    <cellStyle name="level1a 3 2 2 7 6" xfId="2390" xr:uid="{00000000-0005-0000-0000-000044090000}"/>
    <cellStyle name="level1a 3 2 2 8" xfId="2391" xr:uid="{00000000-0005-0000-0000-000045090000}"/>
    <cellStyle name="level1a 3 2 2 8 2" xfId="2392" xr:uid="{00000000-0005-0000-0000-000046090000}"/>
    <cellStyle name="level1a 3 2 2 8 2 2" xfId="2393" xr:uid="{00000000-0005-0000-0000-000047090000}"/>
    <cellStyle name="level1a 3 2 2 8 2 2 2" xfId="2394" xr:uid="{00000000-0005-0000-0000-000048090000}"/>
    <cellStyle name="level1a 3 2 2 8 2 3" xfId="2395" xr:uid="{00000000-0005-0000-0000-000049090000}"/>
    <cellStyle name="level1a 3 2 2 8 3" xfId="2396" xr:uid="{00000000-0005-0000-0000-00004A090000}"/>
    <cellStyle name="level1a 3 2 2 8 3 2" xfId="2397" xr:uid="{00000000-0005-0000-0000-00004B090000}"/>
    <cellStyle name="level1a 3 2 2 8 3 2 2" xfId="2398" xr:uid="{00000000-0005-0000-0000-00004C090000}"/>
    <cellStyle name="level1a 3 2 2 8 3 3" xfId="2399" xr:uid="{00000000-0005-0000-0000-00004D090000}"/>
    <cellStyle name="level1a 3 2 2 8 4" xfId="2400" xr:uid="{00000000-0005-0000-0000-00004E090000}"/>
    <cellStyle name="level1a 3 2 2 8 4 2" xfId="2401" xr:uid="{00000000-0005-0000-0000-00004F090000}"/>
    <cellStyle name="level1a 3 2 2 8 5" xfId="2402" xr:uid="{00000000-0005-0000-0000-000050090000}"/>
    <cellStyle name="level1a 3 2 2 9" xfId="2403" xr:uid="{00000000-0005-0000-0000-000051090000}"/>
    <cellStyle name="level1a 3 2 2 9 2" xfId="2404" xr:uid="{00000000-0005-0000-0000-000052090000}"/>
    <cellStyle name="level1a 3 2 2 9 2 2" xfId="2405" xr:uid="{00000000-0005-0000-0000-000053090000}"/>
    <cellStyle name="level1a 3 2 2 9 3" xfId="2406" xr:uid="{00000000-0005-0000-0000-000054090000}"/>
    <cellStyle name="level1a 3 2 2_STUD aligned by INSTIT" xfId="2407" xr:uid="{00000000-0005-0000-0000-000055090000}"/>
    <cellStyle name="level1a 3 2 3" xfId="2408" xr:uid="{00000000-0005-0000-0000-000056090000}"/>
    <cellStyle name="level1a 3 2 3 10" xfId="2409" xr:uid="{00000000-0005-0000-0000-000057090000}"/>
    <cellStyle name="level1a 3 2 3 2" xfId="2410" xr:uid="{00000000-0005-0000-0000-000058090000}"/>
    <cellStyle name="level1a 3 2 3 2 2" xfId="2411" xr:uid="{00000000-0005-0000-0000-000059090000}"/>
    <cellStyle name="level1a 3 2 3 2 2 2" xfId="2412" xr:uid="{00000000-0005-0000-0000-00005A090000}"/>
    <cellStyle name="level1a 3 2 3 2 2 2 2" xfId="2413" xr:uid="{00000000-0005-0000-0000-00005B090000}"/>
    <cellStyle name="level1a 3 2 3 2 2 2 2 2" xfId="2414" xr:uid="{00000000-0005-0000-0000-00005C090000}"/>
    <cellStyle name="level1a 3 2 3 2 2 2 3" xfId="2415" xr:uid="{00000000-0005-0000-0000-00005D090000}"/>
    <cellStyle name="level1a 3 2 3 2 2 3" xfId="2416" xr:uid="{00000000-0005-0000-0000-00005E090000}"/>
    <cellStyle name="level1a 3 2 3 2 2 3 2" xfId="2417" xr:uid="{00000000-0005-0000-0000-00005F090000}"/>
    <cellStyle name="level1a 3 2 3 2 2 3 2 2" xfId="2418" xr:uid="{00000000-0005-0000-0000-000060090000}"/>
    <cellStyle name="level1a 3 2 3 2 2 3 3" xfId="2419" xr:uid="{00000000-0005-0000-0000-000061090000}"/>
    <cellStyle name="level1a 3 2 3 2 2 4" xfId="2420" xr:uid="{00000000-0005-0000-0000-000062090000}"/>
    <cellStyle name="level1a 3 2 3 2 2 5" xfId="2421" xr:uid="{00000000-0005-0000-0000-000063090000}"/>
    <cellStyle name="level1a 3 2 3 2 2 5 2" xfId="2422" xr:uid="{00000000-0005-0000-0000-000064090000}"/>
    <cellStyle name="level1a 3 2 3 2 3" xfId="2423" xr:uid="{00000000-0005-0000-0000-000065090000}"/>
    <cellStyle name="level1a 3 2 3 2 3 2" xfId="2424" xr:uid="{00000000-0005-0000-0000-000066090000}"/>
    <cellStyle name="level1a 3 2 3 2 3 2 2" xfId="2425" xr:uid="{00000000-0005-0000-0000-000067090000}"/>
    <cellStyle name="level1a 3 2 3 2 3 2 2 2" xfId="2426" xr:uid="{00000000-0005-0000-0000-000068090000}"/>
    <cellStyle name="level1a 3 2 3 2 3 2 3" xfId="2427" xr:uid="{00000000-0005-0000-0000-000069090000}"/>
    <cellStyle name="level1a 3 2 3 2 3 3" xfId="2428" xr:uid="{00000000-0005-0000-0000-00006A090000}"/>
    <cellStyle name="level1a 3 2 3 2 3 3 2" xfId="2429" xr:uid="{00000000-0005-0000-0000-00006B090000}"/>
    <cellStyle name="level1a 3 2 3 2 3 3 2 2" xfId="2430" xr:uid="{00000000-0005-0000-0000-00006C090000}"/>
    <cellStyle name="level1a 3 2 3 2 3 3 3" xfId="2431" xr:uid="{00000000-0005-0000-0000-00006D090000}"/>
    <cellStyle name="level1a 3 2 3 2 3 4" xfId="2432" xr:uid="{00000000-0005-0000-0000-00006E090000}"/>
    <cellStyle name="level1a 3 2 3 2 3 5" xfId="2433" xr:uid="{00000000-0005-0000-0000-00006F090000}"/>
    <cellStyle name="level1a 3 2 3 2 4" xfId="2434" xr:uid="{00000000-0005-0000-0000-000070090000}"/>
    <cellStyle name="level1a 3 2 3 2 4 2" xfId="2435" xr:uid="{00000000-0005-0000-0000-000071090000}"/>
    <cellStyle name="level1a 3 2 3 2 4 2 2" xfId="2436" xr:uid="{00000000-0005-0000-0000-000072090000}"/>
    <cellStyle name="level1a 3 2 3 2 4 2 2 2" xfId="2437" xr:uid="{00000000-0005-0000-0000-000073090000}"/>
    <cellStyle name="level1a 3 2 3 2 4 2 3" xfId="2438" xr:uid="{00000000-0005-0000-0000-000074090000}"/>
    <cellStyle name="level1a 3 2 3 2 4 3" xfId="2439" xr:uid="{00000000-0005-0000-0000-000075090000}"/>
    <cellStyle name="level1a 3 2 3 2 4 3 2" xfId="2440" xr:uid="{00000000-0005-0000-0000-000076090000}"/>
    <cellStyle name="level1a 3 2 3 2 4 3 2 2" xfId="2441" xr:uid="{00000000-0005-0000-0000-000077090000}"/>
    <cellStyle name="level1a 3 2 3 2 4 3 3" xfId="2442" xr:uid="{00000000-0005-0000-0000-000078090000}"/>
    <cellStyle name="level1a 3 2 3 2 4 4" xfId="2443" xr:uid="{00000000-0005-0000-0000-000079090000}"/>
    <cellStyle name="level1a 3 2 3 2 4 5" xfId="2444" xr:uid="{00000000-0005-0000-0000-00007A090000}"/>
    <cellStyle name="level1a 3 2 3 2 4 5 2" xfId="2445" xr:uid="{00000000-0005-0000-0000-00007B090000}"/>
    <cellStyle name="level1a 3 2 3 2 4 6" xfId="2446" xr:uid="{00000000-0005-0000-0000-00007C090000}"/>
    <cellStyle name="level1a 3 2 3 2 5" xfId="2447" xr:uid="{00000000-0005-0000-0000-00007D090000}"/>
    <cellStyle name="level1a 3 2 3 2 5 2" xfId="2448" xr:uid="{00000000-0005-0000-0000-00007E090000}"/>
    <cellStyle name="level1a 3 2 3 2 5 2 2" xfId="2449" xr:uid="{00000000-0005-0000-0000-00007F090000}"/>
    <cellStyle name="level1a 3 2 3 2 5 2 2 2" xfId="2450" xr:uid="{00000000-0005-0000-0000-000080090000}"/>
    <cellStyle name="level1a 3 2 3 2 5 2 3" xfId="2451" xr:uid="{00000000-0005-0000-0000-000081090000}"/>
    <cellStyle name="level1a 3 2 3 2 5 3" xfId="2452" xr:uid="{00000000-0005-0000-0000-000082090000}"/>
    <cellStyle name="level1a 3 2 3 2 5 3 2" xfId="2453" xr:uid="{00000000-0005-0000-0000-000083090000}"/>
    <cellStyle name="level1a 3 2 3 2 5 3 2 2" xfId="2454" xr:uid="{00000000-0005-0000-0000-000084090000}"/>
    <cellStyle name="level1a 3 2 3 2 5 3 3" xfId="2455" xr:uid="{00000000-0005-0000-0000-000085090000}"/>
    <cellStyle name="level1a 3 2 3 2 5 4" xfId="2456" xr:uid="{00000000-0005-0000-0000-000086090000}"/>
    <cellStyle name="level1a 3 2 3 2 5 4 2" xfId="2457" xr:uid="{00000000-0005-0000-0000-000087090000}"/>
    <cellStyle name="level1a 3 2 3 2 5 5" xfId="2458" xr:uid="{00000000-0005-0000-0000-000088090000}"/>
    <cellStyle name="level1a 3 2 3 2 6" xfId="2459" xr:uid="{00000000-0005-0000-0000-000089090000}"/>
    <cellStyle name="level1a 3 2 3 2 6 2" xfId="2460" xr:uid="{00000000-0005-0000-0000-00008A090000}"/>
    <cellStyle name="level1a 3 2 3 2 6 2 2" xfId="2461" xr:uid="{00000000-0005-0000-0000-00008B090000}"/>
    <cellStyle name="level1a 3 2 3 2 6 2 2 2" xfId="2462" xr:uid="{00000000-0005-0000-0000-00008C090000}"/>
    <cellStyle name="level1a 3 2 3 2 6 2 3" xfId="2463" xr:uid="{00000000-0005-0000-0000-00008D090000}"/>
    <cellStyle name="level1a 3 2 3 2 6 3" xfId="2464" xr:uid="{00000000-0005-0000-0000-00008E090000}"/>
    <cellStyle name="level1a 3 2 3 2 6 3 2" xfId="2465" xr:uid="{00000000-0005-0000-0000-00008F090000}"/>
    <cellStyle name="level1a 3 2 3 2 6 3 2 2" xfId="2466" xr:uid="{00000000-0005-0000-0000-000090090000}"/>
    <cellStyle name="level1a 3 2 3 2 6 3 3" xfId="2467" xr:uid="{00000000-0005-0000-0000-000091090000}"/>
    <cellStyle name="level1a 3 2 3 2 6 4" xfId="2468" xr:uid="{00000000-0005-0000-0000-000092090000}"/>
    <cellStyle name="level1a 3 2 3 2 6 4 2" xfId="2469" xr:uid="{00000000-0005-0000-0000-000093090000}"/>
    <cellStyle name="level1a 3 2 3 2 6 5" xfId="2470" xr:uid="{00000000-0005-0000-0000-000094090000}"/>
    <cellStyle name="level1a 3 2 3 2 7" xfId="2471" xr:uid="{00000000-0005-0000-0000-000095090000}"/>
    <cellStyle name="level1a 3 2 3 2 7 2" xfId="2472" xr:uid="{00000000-0005-0000-0000-000096090000}"/>
    <cellStyle name="level1a 3 2 3 2 7 2 2" xfId="2473" xr:uid="{00000000-0005-0000-0000-000097090000}"/>
    <cellStyle name="level1a 3 2 3 2 7 3" xfId="2474" xr:uid="{00000000-0005-0000-0000-000098090000}"/>
    <cellStyle name="level1a 3 2 3 2_STUD aligned by INSTIT" xfId="2475" xr:uid="{00000000-0005-0000-0000-000099090000}"/>
    <cellStyle name="level1a 3 2 3 3" xfId="2476" xr:uid="{00000000-0005-0000-0000-00009A090000}"/>
    <cellStyle name="level1a 3 2 3 3 2" xfId="2477" xr:uid="{00000000-0005-0000-0000-00009B090000}"/>
    <cellStyle name="level1a 3 2 3 3 2 2" xfId="2478" xr:uid="{00000000-0005-0000-0000-00009C090000}"/>
    <cellStyle name="level1a 3 2 3 3 2 2 2" xfId="2479" xr:uid="{00000000-0005-0000-0000-00009D090000}"/>
    <cellStyle name="level1a 3 2 3 3 2 2 2 2" xfId="2480" xr:uid="{00000000-0005-0000-0000-00009E090000}"/>
    <cellStyle name="level1a 3 2 3 3 2 2 3" xfId="2481" xr:uid="{00000000-0005-0000-0000-00009F090000}"/>
    <cellStyle name="level1a 3 2 3 3 2 3" xfId="2482" xr:uid="{00000000-0005-0000-0000-0000A0090000}"/>
    <cellStyle name="level1a 3 2 3 3 2 3 2" xfId="2483" xr:uid="{00000000-0005-0000-0000-0000A1090000}"/>
    <cellStyle name="level1a 3 2 3 3 2 3 2 2" xfId="2484" xr:uid="{00000000-0005-0000-0000-0000A2090000}"/>
    <cellStyle name="level1a 3 2 3 3 2 3 3" xfId="2485" xr:uid="{00000000-0005-0000-0000-0000A3090000}"/>
    <cellStyle name="level1a 3 2 3 3 2 4" xfId="2486" xr:uid="{00000000-0005-0000-0000-0000A4090000}"/>
    <cellStyle name="level1a 3 2 3 3 2 5" xfId="2487" xr:uid="{00000000-0005-0000-0000-0000A5090000}"/>
    <cellStyle name="level1a 3 2 3 3 3" xfId="2488" xr:uid="{00000000-0005-0000-0000-0000A6090000}"/>
    <cellStyle name="level1a 3 2 3 3 3 2" xfId="2489" xr:uid="{00000000-0005-0000-0000-0000A7090000}"/>
    <cellStyle name="level1a 3 2 3 3 3 2 2" xfId="2490" xr:uid="{00000000-0005-0000-0000-0000A8090000}"/>
    <cellStyle name="level1a 3 2 3 3 3 2 2 2" xfId="2491" xr:uid="{00000000-0005-0000-0000-0000A9090000}"/>
    <cellStyle name="level1a 3 2 3 3 3 2 3" xfId="2492" xr:uid="{00000000-0005-0000-0000-0000AA090000}"/>
    <cellStyle name="level1a 3 2 3 3 3 3" xfId="2493" xr:uid="{00000000-0005-0000-0000-0000AB090000}"/>
    <cellStyle name="level1a 3 2 3 3 3 3 2" xfId="2494" xr:uid="{00000000-0005-0000-0000-0000AC090000}"/>
    <cellStyle name="level1a 3 2 3 3 3 3 2 2" xfId="2495" xr:uid="{00000000-0005-0000-0000-0000AD090000}"/>
    <cellStyle name="level1a 3 2 3 3 3 3 3" xfId="2496" xr:uid="{00000000-0005-0000-0000-0000AE090000}"/>
    <cellStyle name="level1a 3 2 3 3 3 4" xfId="2497" xr:uid="{00000000-0005-0000-0000-0000AF090000}"/>
    <cellStyle name="level1a 3 2 3 3 3 4 2" xfId="2498" xr:uid="{00000000-0005-0000-0000-0000B0090000}"/>
    <cellStyle name="level1a 3 2 3 3 4" xfId="2499" xr:uid="{00000000-0005-0000-0000-0000B1090000}"/>
    <cellStyle name="level1a 3 2 3 3 4 2" xfId="2500" xr:uid="{00000000-0005-0000-0000-0000B2090000}"/>
    <cellStyle name="level1a 3 2 3 3 4 2 2" xfId="2501" xr:uid="{00000000-0005-0000-0000-0000B3090000}"/>
    <cellStyle name="level1a 3 2 3 3 4 2 2 2" xfId="2502" xr:uid="{00000000-0005-0000-0000-0000B4090000}"/>
    <cellStyle name="level1a 3 2 3 3 4 2 3" xfId="2503" xr:uid="{00000000-0005-0000-0000-0000B5090000}"/>
    <cellStyle name="level1a 3 2 3 3 4 3" xfId="2504" xr:uid="{00000000-0005-0000-0000-0000B6090000}"/>
    <cellStyle name="level1a 3 2 3 3 4 3 2" xfId="2505" xr:uid="{00000000-0005-0000-0000-0000B7090000}"/>
    <cellStyle name="level1a 3 2 3 3 4 3 2 2" xfId="2506" xr:uid="{00000000-0005-0000-0000-0000B8090000}"/>
    <cellStyle name="level1a 3 2 3 3 4 3 3" xfId="2507" xr:uid="{00000000-0005-0000-0000-0000B9090000}"/>
    <cellStyle name="level1a 3 2 3 3 4 4" xfId="2508" xr:uid="{00000000-0005-0000-0000-0000BA090000}"/>
    <cellStyle name="level1a 3 2 3 3 4 4 2" xfId="2509" xr:uid="{00000000-0005-0000-0000-0000BB090000}"/>
    <cellStyle name="level1a 3 2 3 3 4 5" xfId="2510" xr:uid="{00000000-0005-0000-0000-0000BC090000}"/>
    <cellStyle name="level1a 3 2 3 3 5" xfId="2511" xr:uid="{00000000-0005-0000-0000-0000BD090000}"/>
    <cellStyle name="level1a 3 2 3 3 5 2" xfId="2512" xr:uid="{00000000-0005-0000-0000-0000BE090000}"/>
    <cellStyle name="level1a 3 2 3 3 5 2 2" xfId="2513" xr:uid="{00000000-0005-0000-0000-0000BF090000}"/>
    <cellStyle name="level1a 3 2 3 3 5 2 2 2" xfId="2514" xr:uid="{00000000-0005-0000-0000-0000C0090000}"/>
    <cellStyle name="level1a 3 2 3 3 5 2 3" xfId="2515" xr:uid="{00000000-0005-0000-0000-0000C1090000}"/>
    <cellStyle name="level1a 3 2 3 3 5 3" xfId="2516" xr:uid="{00000000-0005-0000-0000-0000C2090000}"/>
    <cellStyle name="level1a 3 2 3 3 5 3 2" xfId="2517" xr:uid="{00000000-0005-0000-0000-0000C3090000}"/>
    <cellStyle name="level1a 3 2 3 3 5 3 2 2" xfId="2518" xr:uid="{00000000-0005-0000-0000-0000C4090000}"/>
    <cellStyle name="level1a 3 2 3 3 5 3 3" xfId="2519" xr:uid="{00000000-0005-0000-0000-0000C5090000}"/>
    <cellStyle name="level1a 3 2 3 3 5 4" xfId="2520" xr:uid="{00000000-0005-0000-0000-0000C6090000}"/>
    <cellStyle name="level1a 3 2 3 3 5 4 2" xfId="2521" xr:uid="{00000000-0005-0000-0000-0000C7090000}"/>
    <cellStyle name="level1a 3 2 3 3 5 5" xfId="2522" xr:uid="{00000000-0005-0000-0000-0000C8090000}"/>
    <cellStyle name="level1a 3 2 3 3 6" xfId="2523" xr:uid="{00000000-0005-0000-0000-0000C9090000}"/>
    <cellStyle name="level1a 3 2 3 3 6 2" xfId="2524" xr:uid="{00000000-0005-0000-0000-0000CA090000}"/>
    <cellStyle name="level1a 3 2 3 3 6 2 2" xfId="2525" xr:uid="{00000000-0005-0000-0000-0000CB090000}"/>
    <cellStyle name="level1a 3 2 3 3 6 2 2 2" xfId="2526" xr:uid="{00000000-0005-0000-0000-0000CC090000}"/>
    <cellStyle name="level1a 3 2 3 3 6 2 3" xfId="2527" xr:uid="{00000000-0005-0000-0000-0000CD090000}"/>
    <cellStyle name="level1a 3 2 3 3 6 3" xfId="2528" xr:uid="{00000000-0005-0000-0000-0000CE090000}"/>
    <cellStyle name="level1a 3 2 3 3 6 3 2" xfId="2529" xr:uid="{00000000-0005-0000-0000-0000CF090000}"/>
    <cellStyle name="level1a 3 2 3 3 6 3 2 2" xfId="2530" xr:uid="{00000000-0005-0000-0000-0000D0090000}"/>
    <cellStyle name="level1a 3 2 3 3 6 3 3" xfId="2531" xr:uid="{00000000-0005-0000-0000-0000D1090000}"/>
    <cellStyle name="level1a 3 2 3 3 6 4" xfId="2532" xr:uid="{00000000-0005-0000-0000-0000D2090000}"/>
    <cellStyle name="level1a 3 2 3 3 6 4 2" xfId="2533" xr:uid="{00000000-0005-0000-0000-0000D3090000}"/>
    <cellStyle name="level1a 3 2 3 3 6 5" xfId="2534" xr:uid="{00000000-0005-0000-0000-0000D4090000}"/>
    <cellStyle name="level1a 3 2 3 3 7" xfId="2535" xr:uid="{00000000-0005-0000-0000-0000D5090000}"/>
    <cellStyle name="level1a 3 2 3 3 7 2" xfId="2536" xr:uid="{00000000-0005-0000-0000-0000D6090000}"/>
    <cellStyle name="level1a 3 2 3 3 7 2 2" xfId="2537" xr:uid="{00000000-0005-0000-0000-0000D7090000}"/>
    <cellStyle name="level1a 3 2 3 3 7 3" xfId="2538" xr:uid="{00000000-0005-0000-0000-0000D8090000}"/>
    <cellStyle name="level1a 3 2 3 3 8" xfId="2539" xr:uid="{00000000-0005-0000-0000-0000D9090000}"/>
    <cellStyle name="level1a 3 2 3 3 8 2" xfId="2540" xr:uid="{00000000-0005-0000-0000-0000DA090000}"/>
    <cellStyle name="level1a 3 2 3 3 8 2 2" xfId="2541" xr:uid="{00000000-0005-0000-0000-0000DB090000}"/>
    <cellStyle name="level1a 3 2 3 3 8 3" xfId="2542" xr:uid="{00000000-0005-0000-0000-0000DC090000}"/>
    <cellStyle name="level1a 3 2 3 3_STUD aligned by INSTIT" xfId="2543" xr:uid="{00000000-0005-0000-0000-0000DD090000}"/>
    <cellStyle name="level1a 3 2 3 4" xfId="2544" xr:uid="{00000000-0005-0000-0000-0000DE090000}"/>
    <cellStyle name="level1a 3 2 3 4 2" xfId="2545" xr:uid="{00000000-0005-0000-0000-0000DF090000}"/>
    <cellStyle name="level1a 3 2 3 4 2 2" xfId="2546" xr:uid="{00000000-0005-0000-0000-0000E0090000}"/>
    <cellStyle name="level1a 3 2 3 4 2 2 2" xfId="2547" xr:uid="{00000000-0005-0000-0000-0000E1090000}"/>
    <cellStyle name="level1a 3 2 3 4 2 3" xfId="2548" xr:uid="{00000000-0005-0000-0000-0000E2090000}"/>
    <cellStyle name="level1a 3 2 3 4 3" xfId="2549" xr:uid="{00000000-0005-0000-0000-0000E3090000}"/>
    <cellStyle name="level1a 3 2 3 4 3 2" xfId="2550" xr:uid="{00000000-0005-0000-0000-0000E4090000}"/>
    <cellStyle name="level1a 3 2 3 4 3 2 2" xfId="2551" xr:uid="{00000000-0005-0000-0000-0000E5090000}"/>
    <cellStyle name="level1a 3 2 3 4 3 3" xfId="2552" xr:uid="{00000000-0005-0000-0000-0000E6090000}"/>
    <cellStyle name="level1a 3 2 3 4 4" xfId="2553" xr:uid="{00000000-0005-0000-0000-0000E7090000}"/>
    <cellStyle name="level1a 3 2 3 4 5" xfId="2554" xr:uid="{00000000-0005-0000-0000-0000E8090000}"/>
    <cellStyle name="level1a 3 2 3 4 5 2" xfId="2555" xr:uid="{00000000-0005-0000-0000-0000E9090000}"/>
    <cellStyle name="level1a 3 2 3 5" xfId="2556" xr:uid="{00000000-0005-0000-0000-0000EA090000}"/>
    <cellStyle name="level1a 3 2 3 5 2" xfId="2557" xr:uid="{00000000-0005-0000-0000-0000EB090000}"/>
    <cellStyle name="level1a 3 2 3 5 2 2" xfId="2558" xr:uid="{00000000-0005-0000-0000-0000EC090000}"/>
    <cellStyle name="level1a 3 2 3 5 2 2 2" xfId="2559" xr:uid="{00000000-0005-0000-0000-0000ED090000}"/>
    <cellStyle name="level1a 3 2 3 5 2 3" xfId="2560" xr:uid="{00000000-0005-0000-0000-0000EE090000}"/>
    <cellStyle name="level1a 3 2 3 5 3" xfId="2561" xr:uid="{00000000-0005-0000-0000-0000EF090000}"/>
    <cellStyle name="level1a 3 2 3 5 3 2" xfId="2562" xr:uid="{00000000-0005-0000-0000-0000F0090000}"/>
    <cellStyle name="level1a 3 2 3 5 3 2 2" xfId="2563" xr:uid="{00000000-0005-0000-0000-0000F1090000}"/>
    <cellStyle name="level1a 3 2 3 5 3 3" xfId="2564" xr:uid="{00000000-0005-0000-0000-0000F2090000}"/>
    <cellStyle name="level1a 3 2 3 5 4" xfId="2565" xr:uid="{00000000-0005-0000-0000-0000F3090000}"/>
    <cellStyle name="level1a 3 2 3 5 5" xfId="2566" xr:uid="{00000000-0005-0000-0000-0000F4090000}"/>
    <cellStyle name="level1a 3 2 3 5 5 2" xfId="2567" xr:uid="{00000000-0005-0000-0000-0000F5090000}"/>
    <cellStyle name="level1a 3 2 3 5 6" xfId="2568" xr:uid="{00000000-0005-0000-0000-0000F6090000}"/>
    <cellStyle name="level1a 3 2 3 6" xfId="2569" xr:uid="{00000000-0005-0000-0000-0000F7090000}"/>
    <cellStyle name="level1a 3 2 3 6 2" xfId="2570" xr:uid="{00000000-0005-0000-0000-0000F8090000}"/>
    <cellStyle name="level1a 3 2 3 6 2 2" xfId="2571" xr:uid="{00000000-0005-0000-0000-0000F9090000}"/>
    <cellStyle name="level1a 3 2 3 6 2 2 2" xfId="2572" xr:uid="{00000000-0005-0000-0000-0000FA090000}"/>
    <cellStyle name="level1a 3 2 3 6 2 3" xfId="2573" xr:uid="{00000000-0005-0000-0000-0000FB090000}"/>
    <cellStyle name="level1a 3 2 3 6 3" xfId="2574" xr:uid="{00000000-0005-0000-0000-0000FC090000}"/>
    <cellStyle name="level1a 3 2 3 6 3 2" xfId="2575" xr:uid="{00000000-0005-0000-0000-0000FD090000}"/>
    <cellStyle name="level1a 3 2 3 6 3 2 2" xfId="2576" xr:uid="{00000000-0005-0000-0000-0000FE090000}"/>
    <cellStyle name="level1a 3 2 3 6 3 3" xfId="2577" xr:uid="{00000000-0005-0000-0000-0000FF090000}"/>
    <cellStyle name="level1a 3 2 3 6 4" xfId="2578" xr:uid="{00000000-0005-0000-0000-0000000A0000}"/>
    <cellStyle name="level1a 3 2 3 6 5" xfId="2579" xr:uid="{00000000-0005-0000-0000-0000010A0000}"/>
    <cellStyle name="level1a 3 2 3 7" xfId="2580" xr:uid="{00000000-0005-0000-0000-0000020A0000}"/>
    <cellStyle name="level1a 3 2 3 7 2" xfId="2581" xr:uid="{00000000-0005-0000-0000-0000030A0000}"/>
    <cellStyle name="level1a 3 2 3 7 2 2" xfId="2582" xr:uid="{00000000-0005-0000-0000-0000040A0000}"/>
    <cellStyle name="level1a 3 2 3 7 2 2 2" xfId="2583" xr:uid="{00000000-0005-0000-0000-0000050A0000}"/>
    <cellStyle name="level1a 3 2 3 7 2 3" xfId="2584" xr:uid="{00000000-0005-0000-0000-0000060A0000}"/>
    <cellStyle name="level1a 3 2 3 7 3" xfId="2585" xr:uid="{00000000-0005-0000-0000-0000070A0000}"/>
    <cellStyle name="level1a 3 2 3 7 3 2" xfId="2586" xr:uid="{00000000-0005-0000-0000-0000080A0000}"/>
    <cellStyle name="level1a 3 2 3 7 3 2 2" xfId="2587" xr:uid="{00000000-0005-0000-0000-0000090A0000}"/>
    <cellStyle name="level1a 3 2 3 7 3 3" xfId="2588" xr:uid="{00000000-0005-0000-0000-00000A0A0000}"/>
    <cellStyle name="level1a 3 2 3 7 4" xfId="2589" xr:uid="{00000000-0005-0000-0000-00000B0A0000}"/>
    <cellStyle name="level1a 3 2 3 7 5" xfId="2590" xr:uid="{00000000-0005-0000-0000-00000C0A0000}"/>
    <cellStyle name="level1a 3 2 3 7 5 2" xfId="2591" xr:uid="{00000000-0005-0000-0000-00000D0A0000}"/>
    <cellStyle name="level1a 3 2 3 7 6" xfId="2592" xr:uid="{00000000-0005-0000-0000-00000E0A0000}"/>
    <cellStyle name="level1a 3 2 3 8" xfId="2593" xr:uid="{00000000-0005-0000-0000-00000F0A0000}"/>
    <cellStyle name="level1a 3 2 3 8 2" xfId="2594" xr:uid="{00000000-0005-0000-0000-0000100A0000}"/>
    <cellStyle name="level1a 3 2 3 8 2 2" xfId="2595" xr:uid="{00000000-0005-0000-0000-0000110A0000}"/>
    <cellStyle name="level1a 3 2 3 8 2 2 2" xfId="2596" xr:uid="{00000000-0005-0000-0000-0000120A0000}"/>
    <cellStyle name="level1a 3 2 3 8 2 3" xfId="2597" xr:uid="{00000000-0005-0000-0000-0000130A0000}"/>
    <cellStyle name="level1a 3 2 3 8 3" xfId="2598" xr:uid="{00000000-0005-0000-0000-0000140A0000}"/>
    <cellStyle name="level1a 3 2 3 8 3 2" xfId="2599" xr:uid="{00000000-0005-0000-0000-0000150A0000}"/>
    <cellStyle name="level1a 3 2 3 8 3 2 2" xfId="2600" xr:uid="{00000000-0005-0000-0000-0000160A0000}"/>
    <cellStyle name="level1a 3 2 3 8 3 3" xfId="2601" xr:uid="{00000000-0005-0000-0000-0000170A0000}"/>
    <cellStyle name="level1a 3 2 3 8 4" xfId="2602" xr:uid="{00000000-0005-0000-0000-0000180A0000}"/>
    <cellStyle name="level1a 3 2 3 8 4 2" xfId="2603" xr:uid="{00000000-0005-0000-0000-0000190A0000}"/>
    <cellStyle name="level1a 3 2 3 8 5" xfId="2604" xr:uid="{00000000-0005-0000-0000-00001A0A0000}"/>
    <cellStyle name="level1a 3 2 3 9" xfId="2605" xr:uid="{00000000-0005-0000-0000-00001B0A0000}"/>
    <cellStyle name="level1a 3 2 3 9 2" xfId="2606" xr:uid="{00000000-0005-0000-0000-00001C0A0000}"/>
    <cellStyle name="level1a 3 2 3 9 2 2" xfId="2607" xr:uid="{00000000-0005-0000-0000-00001D0A0000}"/>
    <cellStyle name="level1a 3 2 3 9 3" xfId="2608" xr:uid="{00000000-0005-0000-0000-00001E0A0000}"/>
    <cellStyle name="level1a 3 2 3_STUD aligned by INSTIT" xfId="2609" xr:uid="{00000000-0005-0000-0000-00001F0A0000}"/>
    <cellStyle name="level1a 3 2 4" xfId="2610" xr:uid="{00000000-0005-0000-0000-0000200A0000}"/>
    <cellStyle name="level1a 3 2 4 2" xfId="2611" xr:uid="{00000000-0005-0000-0000-0000210A0000}"/>
    <cellStyle name="level1a 3 2 4 2 2" xfId="2612" xr:uid="{00000000-0005-0000-0000-0000220A0000}"/>
    <cellStyle name="level1a 3 2 4 2 2 2" xfId="2613" xr:uid="{00000000-0005-0000-0000-0000230A0000}"/>
    <cellStyle name="level1a 3 2 4 2 2 2 2" xfId="2614" xr:uid="{00000000-0005-0000-0000-0000240A0000}"/>
    <cellStyle name="level1a 3 2 4 2 2 3" xfId="2615" xr:uid="{00000000-0005-0000-0000-0000250A0000}"/>
    <cellStyle name="level1a 3 2 4 2 3" xfId="2616" xr:uid="{00000000-0005-0000-0000-0000260A0000}"/>
    <cellStyle name="level1a 3 2 4 2 3 2" xfId="2617" xr:uid="{00000000-0005-0000-0000-0000270A0000}"/>
    <cellStyle name="level1a 3 2 4 2 3 2 2" xfId="2618" xr:uid="{00000000-0005-0000-0000-0000280A0000}"/>
    <cellStyle name="level1a 3 2 4 2 3 3" xfId="2619" xr:uid="{00000000-0005-0000-0000-0000290A0000}"/>
    <cellStyle name="level1a 3 2 4 2 4" xfId="2620" xr:uid="{00000000-0005-0000-0000-00002A0A0000}"/>
    <cellStyle name="level1a 3 2 4 2 5" xfId="2621" xr:uid="{00000000-0005-0000-0000-00002B0A0000}"/>
    <cellStyle name="level1a 3 2 4 2 5 2" xfId="2622" xr:uid="{00000000-0005-0000-0000-00002C0A0000}"/>
    <cellStyle name="level1a 3 2 4 3" xfId="2623" xr:uid="{00000000-0005-0000-0000-00002D0A0000}"/>
    <cellStyle name="level1a 3 2 4 3 2" xfId="2624" xr:uid="{00000000-0005-0000-0000-00002E0A0000}"/>
    <cellStyle name="level1a 3 2 4 3 2 2" xfId="2625" xr:uid="{00000000-0005-0000-0000-00002F0A0000}"/>
    <cellStyle name="level1a 3 2 4 3 2 2 2" xfId="2626" xr:uid="{00000000-0005-0000-0000-0000300A0000}"/>
    <cellStyle name="level1a 3 2 4 3 2 3" xfId="2627" xr:uid="{00000000-0005-0000-0000-0000310A0000}"/>
    <cellStyle name="level1a 3 2 4 3 3" xfId="2628" xr:uid="{00000000-0005-0000-0000-0000320A0000}"/>
    <cellStyle name="level1a 3 2 4 3 3 2" xfId="2629" xr:uid="{00000000-0005-0000-0000-0000330A0000}"/>
    <cellStyle name="level1a 3 2 4 3 3 2 2" xfId="2630" xr:uid="{00000000-0005-0000-0000-0000340A0000}"/>
    <cellStyle name="level1a 3 2 4 3 3 3" xfId="2631" xr:uid="{00000000-0005-0000-0000-0000350A0000}"/>
    <cellStyle name="level1a 3 2 4 3 4" xfId="2632" xr:uid="{00000000-0005-0000-0000-0000360A0000}"/>
    <cellStyle name="level1a 3 2 4 3 5" xfId="2633" xr:uid="{00000000-0005-0000-0000-0000370A0000}"/>
    <cellStyle name="level1a 3 2 4 4" xfId="2634" xr:uid="{00000000-0005-0000-0000-0000380A0000}"/>
    <cellStyle name="level1a 3 2 4 4 2" xfId="2635" xr:uid="{00000000-0005-0000-0000-0000390A0000}"/>
    <cellStyle name="level1a 3 2 4 4 2 2" xfId="2636" xr:uid="{00000000-0005-0000-0000-00003A0A0000}"/>
    <cellStyle name="level1a 3 2 4 4 2 2 2" xfId="2637" xr:uid="{00000000-0005-0000-0000-00003B0A0000}"/>
    <cellStyle name="level1a 3 2 4 4 2 3" xfId="2638" xr:uid="{00000000-0005-0000-0000-00003C0A0000}"/>
    <cellStyle name="level1a 3 2 4 4 3" xfId="2639" xr:uid="{00000000-0005-0000-0000-00003D0A0000}"/>
    <cellStyle name="level1a 3 2 4 4 3 2" xfId="2640" xr:uid="{00000000-0005-0000-0000-00003E0A0000}"/>
    <cellStyle name="level1a 3 2 4 4 3 2 2" xfId="2641" xr:uid="{00000000-0005-0000-0000-00003F0A0000}"/>
    <cellStyle name="level1a 3 2 4 4 3 3" xfId="2642" xr:uid="{00000000-0005-0000-0000-0000400A0000}"/>
    <cellStyle name="level1a 3 2 4 4 4" xfId="2643" xr:uid="{00000000-0005-0000-0000-0000410A0000}"/>
    <cellStyle name="level1a 3 2 4 4 5" xfId="2644" xr:uid="{00000000-0005-0000-0000-0000420A0000}"/>
    <cellStyle name="level1a 3 2 4 4 5 2" xfId="2645" xr:uid="{00000000-0005-0000-0000-0000430A0000}"/>
    <cellStyle name="level1a 3 2 4 4 6" xfId="2646" xr:uid="{00000000-0005-0000-0000-0000440A0000}"/>
    <cellStyle name="level1a 3 2 4 5" xfId="2647" xr:uid="{00000000-0005-0000-0000-0000450A0000}"/>
    <cellStyle name="level1a 3 2 4 5 2" xfId="2648" xr:uid="{00000000-0005-0000-0000-0000460A0000}"/>
    <cellStyle name="level1a 3 2 4 5 2 2" xfId="2649" xr:uid="{00000000-0005-0000-0000-0000470A0000}"/>
    <cellStyle name="level1a 3 2 4 5 2 2 2" xfId="2650" xr:uid="{00000000-0005-0000-0000-0000480A0000}"/>
    <cellStyle name="level1a 3 2 4 5 2 3" xfId="2651" xr:uid="{00000000-0005-0000-0000-0000490A0000}"/>
    <cellStyle name="level1a 3 2 4 5 3" xfId="2652" xr:uid="{00000000-0005-0000-0000-00004A0A0000}"/>
    <cellStyle name="level1a 3 2 4 5 3 2" xfId="2653" xr:uid="{00000000-0005-0000-0000-00004B0A0000}"/>
    <cellStyle name="level1a 3 2 4 5 3 2 2" xfId="2654" xr:uid="{00000000-0005-0000-0000-00004C0A0000}"/>
    <cellStyle name="level1a 3 2 4 5 3 3" xfId="2655" xr:uid="{00000000-0005-0000-0000-00004D0A0000}"/>
    <cellStyle name="level1a 3 2 4 5 4" xfId="2656" xr:uid="{00000000-0005-0000-0000-00004E0A0000}"/>
    <cellStyle name="level1a 3 2 4 5 4 2" xfId="2657" xr:uid="{00000000-0005-0000-0000-00004F0A0000}"/>
    <cellStyle name="level1a 3 2 4 5 5" xfId="2658" xr:uid="{00000000-0005-0000-0000-0000500A0000}"/>
    <cellStyle name="level1a 3 2 4 6" xfId="2659" xr:uid="{00000000-0005-0000-0000-0000510A0000}"/>
    <cellStyle name="level1a 3 2 4 6 2" xfId="2660" xr:uid="{00000000-0005-0000-0000-0000520A0000}"/>
    <cellStyle name="level1a 3 2 4 6 2 2" xfId="2661" xr:uid="{00000000-0005-0000-0000-0000530A0000}"/>
    <cellStyle name="level1a 3 2 4 6 2 2 2" xfId="2662" xr:uid="{00000000-0005-0000-0000-0000540A0000}"/>
    <cellStyle name="level1a 3 2 4 6 2 3" xfId="2663" xr:uid="{00000000-0005-0000-0000-0000550A0000}"/>
    <cellStyle name="level1a 3 2 4 6 3" xfId="2664" xr:uid="{00000000-0005-0000-0000-0000560A0000}"/>
    <cellStyle name="level1a 3 2 4 6 3 2" xfId="2665" xr:uid="{00000000-0005-0000-0000-0000570A0000}"/>
    <cellStyle name="level1a 3 2 4 6 3 2 2" xfId="2666" xr:uid="{00000000-0005-0000-0000-0000580A0000}"/>
    <cellStyle name="level1a 3 2 4 6 3 3" xfId="2667" xr:uid="{00000000-0005-0000-0000-0000590A0000}"/>
    <cellStyle name="level1a 3 2 4 6 4" xfId="2668" xr:uid="{00000000-0005-0000-0000-00005A0A0000}"/>
    <cellStyle name="level1a 3 2 4 6 4 2" xfId="2669" xr:uid="{00000000-0005-0000-0000-00005B0A0000}"/>
    <cellStyle name="level1a 3 2 4 6 5" xfId="2670" xr:uid="{00000000-0005-0000-0000-00005C0A0000}"/>
    <cellStyle name="level1a 3 2 4 7" xfId="2671" xr:uid="{00000000-0005-0000-0000-00005D0A0000}"/>
    <cellStyle name="level1a 3 2 4 7 2" xfId="2672" xr:uid="{00000000-0005-0000-0000-00005E0A0000}"/>
    <cellStyle name="level1a 3 2 4 7 2 2" xfId="2673" xr:uid="{00000000-0005-0000-0000-00005F0A0000}"/>
    <cellStyle name="level1a 3 2 4 7 3" xfId="2674" xr:uid="{00000000-0005-0000-0000-0000600A0000}"/>
    <cellStyle name="level1a 3 2 4_STUD aligned by INSTIT" xfId="2675" xr:uid="{00000000-0005-0000-0000-0000610A0000}"/>
    <cellStyle name="level1a 3 2 5" xfId="2676" xr:uid="{00000000-0005-0000-0000-0000620A0000}"/>
    <cellStyle name="level1a 3 2 5 2" xfId="2677" xr:uid="{00000000-0005-0000-0000-0000630A0000}"/>
    <cellStyle name="level1a 3 2 5 2 2" xfId="2678" xr:uid="{00000000-0005-0000-0000-0000640A0000}"/>
    <cellStyle name="level1a 3 2 5 2 2 2" xfId="2679" xr:uid="{00000000-0005-0000-0000-0000650A0000}"/>
    <cellStyle name="level1a 3 2 5 2 2 2 2" xfId="2680" xr:uid="{00000000-0005-0000-0000-0000660A0000}"/>
    <cellStyle name="level1a 3 2 5 2 2 3" xfId="2681" xr:uid="{00000000-0005-0000-0000-0000670A0000}"/>
    <cellStyle name="level1a 3 2 5 2 3" xfId="2682" xr:uid="{00000000-0005-0000-0000-0000680A0000}"/>
    <cellStyle name="level1a 3 2 5 2 3 2" xfId="2683" xr:uid="{00000000-0005-0000-0000-0000690A0000}"/>
    <cellStyle name="level1a 3 2 5 2 3 2 2" xfId="2684" xr:uid="{00000000-0005-0000-0000-00006A0A0000}"/>
    <cellStyle name="level1a 3 2 5 2 3 3" xfId="2685" xr:uid="{00000000-0005-0000-0000-00006B0A0000}"/>
    <cellStyle name="level1a 3 2 5 2 4" xfId="2686" xr:uid="{00000000-0005-0000-0000-00006C0A0000}"/>
    <cellStyle name="level1a 3 2 5 2 5" xfId="2687" xr:uid="{00000000-0005-0000-0000-00006D0A0000}"/>
    <cellStyle name="level1a 3 2 5 2 5 2" xfId="2688" xr:uid="{00000000-0005-0000-0000-00006E0A0000}"/>
    <cellStyle name="level1a 3 2 5 2 6" xfId="2689" xr:uid="{00000000-0005-0000-0000-00006F0A0000}"/>
    <cellStyle name="level1a 3 2 5 3" xfId="2690" xr:uid="{00000000-0005-0000-0000-0000700A0000}"/>
    <cellStyle name="level1a 3 2 5 3 2" xfId="2691" xr:uid="{00000000-0005-0000-0000-0000710A0000}"/>
    <cellStyle name="level1a 3 2 5 3 2 2" xfId="2692" xr:uid="{00000000-0005-0000-0000-0000720A0000}"/>
    <cellStyle name="level1a 3 2 5 3 2 2 2" xfId="2693" xr:uid="{00000000-0005-0000-0000-0000730A0000}"/>
    <cellStyle name="level1a 3 2 5 3 2 3" xfId="2694" xr:uid="{00000000-0005-0000-0000-0000740A0000}"/>
    <cellStyle name="level1a 3 2 5 3 3" xfId="2695" xr:uid="{00000000-0005-0000-0000-0000750A0000}"/>
    <cellStyle name="level1a 3 2 5 3 3 2" xfId="2696" xr:uid="{00000000-0005-0000-0000-0000760A0000}"/>
    <cellStyle name="level1a 3 2 5 3 3 2 2" xfId="2697" xr:uid="{00000000-0005-0000-0000-0000770A0000}"/>
    <cellStyle name="level1a 3 2 5 3 3 3" xfId="2698" xr:uid="{00000000-0005-0000-0000-0000780A0000}"/>
    <cellStyle name="level1a 3 2 5 3 4" xfId="2699" xr:uid="{00000000-0005-0000-0000-0000790A0000}"/>
    <cellStyle name="level1a 3 2 5 4" xfId="2700" xr:uid="{00000000-0005-0000-0000-00007A0A0000}"/>
    <cellStyle name="level1a 3 2 5 4 2" xfId="2701" xr:uid="{00000000-0005-0000-0000-00007B0A0000}"/>
    <cellStyle name="level1a 3 2 5 4 2 2" xfId="2702" xr:uid="{00000000-0005-0000-0000-00007C0A0000}"/>
    <cellStyle name="level1a 3 2 5 4 2 2 2" xfId="2703" xr:uid="{00000000-0005-0000-0000-00007D0A0000}"/>
    <cellStyle name="level1a 3 2 5 4 2 3" xfId="2704" xr:uid="{00000000-0005-0000-0000-00007E0A0000}"/>
    <cellStyle name="level1a 3 2 5 4 3" xfId="2705" xr:uid="{00000000-0005-0000-0000-00007F0A0000}"/>
    <cellStyle name="level1a 3 2 5 4 3 2" xfId="2706" xr:uid="{00000000-0005-0000-0000-0000800A0000}"/>
    <cellStyle name="level1a 3 2 5 4 3 2 2" xfId="2707" xr:uid="{00000000-0005-0000-0000-0000810A0000}"/>
    <cellStyle name="level1a 3 2 5 4 3 3" xfId="2708" xr:uid="{00000000-0005-0000-0000-0000820A0000}"/>
    <cellStyle name="level1a 3 2 5 4 4" xfId="2709" xr:uid="{00000000-0005-0000-0000-0000830A0000}"/>
    <cellStyle name="level1a 3 2 5 4 4 2" xfId="2710" xr:uid="{00000000-0005-0000-0000-0000840A0000}"/>
    <cellStyle name="level1a 3 2 5 4 5" xfId="2711" xr:uid="{00000000-0005-0000-0000-0000850A0000}"/>
    <cellStyle name="level1a 3 2 5 5" xfId="2712" xr:uid="{00000000-0005-0000-0000-0000860A0000}"/>
    <cellStyle name="level1a 3 2 5 5 2" xfId="2713" xr:uid="{00000000-0005-0000-0000-0000870A0000}"/>
    <cellStyle name="level1a 3 2 5 5 2 2" xfId="2714" xr:uid="{00000000-0005-0000-0000-0000880A0000}"/>
    <cellStyle name="level1a 3 2 5 5 2 2 2" xfId="2715" xr:uid="{00000000-0005-0000-0000-0000890A0000}"/>
    <cellStyle name="level1a 3 2 5 5 2 3" xfId="2716" xr:uid="{00000000-0005-0000-0000-00008A0A0000}"/>
    <cellStyle name="level1a 3 2 5 5 3" xfId="2717" xr:uid="{00000000-0005-0000-0000-00008B0A0000}"/>
    <cellStyle name="level1a 3 2 5 5 3 2" xfId="2718" xr:uid="{00000000-0005-0000-0000-00008C0A0000}"/>
    <cellStyle name="level1a 3 2 5 5 3 2 2" xfId="2719" xr:uid="{00000000-0005-0000-0000-00008D0A0000}"/>
    <cellStyle name="level1a 3 2 5 5 3 3" xfId="2720" xr:uid="{00000000-0005-0000-0000-00008E0A0000}"/>
    <cellStyle name="level1a 3 2 5 5 4" xfId="2721" xr:uid="{00000000-0005-0000-0000-00008F0A0000}"/>
    <cellStyle name="level1a 3 2 5 5 4 2" xfId="2722" xr:uid="{00000000-0005-0000-0000-0000900A0000}"/>
    <cellStyle name="level1a 3 2 5 5 5" xfId="2723" xr:uid="{00000000-0005-0000-0000-0000910A0000}"/>
    <cellStyle name="level1a 3 2 5 6" xfId="2724" xr:uid="{00000000-0005-0000-0000-0000920A0000}"/>
    <cellStyle name="level1a 3 2 5 6 2" xfId="2725" xr:uid="{00000000-0005-0000-0000-0000930A0000}"/>
    <cellStyle name="level1a 3 2 5 6 2 2" xfId="2726" xr:uid="{00000000-0005-0000-0000-0000940A0000}"/>
    <cellStyle name="level1a 3 2 5 6 2 2 2" xfId="2727" xr:uid="{00000000-0005-0000-0000-0000950A0000}"/>
    <cellStyle name="level1a 3 2 5 6 2 3" xfId="2728" xr:uid="{00000000-0005-0000-0000-0000960A0000}"/>
    <cellStyle name="level1a 3 2 5 6 3" xfId="2729" xr:uid="{00000000-0005-0000-0000-0000970A0000}"/>
    <cellStyle name="level1a 3 2 5 6 3 2" xfId="2730" xr:uid="{00000000-0005-0000-0000-0000980A0000}"/>
    <cellStyle name="level1a 3 2 5 6 3 2 2" xfId="2731" xr:uid="{00000000-0005-0000-0000-0000990A0000}"/>
    <cellStyle name="level1a 3 2 5 6 3 3" xfId="2732" xr:uid="{00000000-0005-0000-0000-00009A0A0000}"/>
    <cellStyle name="level1a 3 2 5 6 4" xfId="2733" xr:uid="{00000000-0005-0000-0000-00009B0A0000}"/>
    <cellStyle name="level1a 3 2 5 6 4 2" xfId="2734" xr:uid="{00000000-0005-0000-0000-00009C0A0000}"/>
    <cellStyle name="level1a 3 2 5 6 5" xfId="2735" xr:uid="{00000000-0005-0000-0000-00009D0A0000}"/>
    <cellStyle name="level1a 3 2 5 7" xfId="2736" xr:uid="{00000000-0005-0000-0000-00009E0A0000}"/>
    <cellStyle name="level1a 3 2 5 7 2" xfId="2737" xr:uid="{00000000-0005-0000-0000-00009F0A0000}"/>
    <cellStyle name="level1a 3 2 5 7 2 2" xfId="2738" xr:uid="{00000000-0005-0000-0000-0000A00A0000}"/>
    <cellStyle name="level1a 3 2 5 7 3" xfId="2739" xr:uid="{00000000-0005-0000-0000-0000A10A0000}"/>
    <cellStyle name="level1a 3 2 5 8" xfId="2740" xr:uid="{00000000-0005-0000-0000-0000A20A0000}"/>
    <cellStyle name="level1a 3 2 5 8 2" xfId="2741" xr:uid="{00000000-0005-0000-0000-0000A30A0000}"/>
    <cellStyle name="level1a 3 2 5 8 2 2" xfId="2742" xr:uid="{00000000-0005-0000-0000-0000A40A0000}"/>
    <cellStyle name="level1a 3 2 5 8 3" xfId="2743" xr:uid="{00000000-0005-0000-0000-0000A50A0000}"/>
    <cellStyle name="level1a 3 2 5_STUD aligned by INSTIT" xfId="2744" xr:uid="{00000000-0005-0000-0000-0000A60A0000}"/>
    <cellStyle name="level1a 3 2 6" xfId="2745" xr:uid="{00000000-0005-0000-0000-0000A70A0000}"/>
    <cellStyle name="level1a 3 2 6 2" xfId="2746" xr:uid="{00000000-0005-0000-0000-0000A80A0000}"/>
    <cellStyle name="level1a 3 2 6 2 2" xfId="2747" xr:uid="{00000000-0005-0000-0000-0000A90A0000}"/>
    <cellStyle name="level1a 3 2 6 2 2 2" xfId="2748" xr:uid="{00000000-0005-0000-0000-0000AA0A0000}"/>
    <cellStyle name="level1a 3 2 6 2 3" xfId="2749" xr:uid="{00000000-0005-0000-0000-0000AB0A0000}"/>
    <cellStyle name="level1a 3 2 6 3" xfId="2750" xr:uid="{00000000-0005-0000-0000-0000AC0A0000}"/>
    <cellStyle name="level1a 3 2 6 3 2" xfId="2751" xr:uid="{00000000-0005-0000-0000-0000AD0A0000}"/>
    <cellStyle name="level1a 3 2 6 3 2 2" xfId="2752" xr:uid="{00000000-0005-0000-0000-0000AE0A0000}"/>
    <cellStyle name="level1a 3 2 6 3 3" xfId="2753" xr:uid="{00000000-0005-0000-0000-0000AF0A0000}"/>
    <cellStyle name="level1a 3 2 6 4" xfId="2754" xr:uid="{00000000-0005-0000-0000-0000B00A0000}"/>
    <cellStyle name="level1a 3 2 6 5" xfId="2755" xr:uid="{00000000-0005-0000-0000-0000B10A0000}"/>
    <cellStyle name="level1a 3 2 6 5 2" xfId="2756" xr:uid="{00000000-0005-0000-0000-0000B20A0000}"/>
    <cellStyle name="level1a 3 2 7" xfId="2757" xr:uid="{00000000-0005-0000-0000-0000B30A0000}"/>
    <cellStyle name="level1a 3 2 7 2" xfId="2758" xr:uid="{00000000-0005-0000-0000-0000B40A0000}"/>
    <cellStyle name="level1a 3 2 7 2 2" xfId="2759" xr:uid="{00000000-0005-0000-0000-0000B50A0000}"/>
    <cellStyle name="level1a 3 2 7 2 2 2" xfId="2760" xr:uid="{00000000-0005-0000-0000-0000B60A0000}"/>
    <cellStyle name="level1a 3 2 7 2 3" xfId="2761" xr:uid="{00000000-0005-0000-0000-0000B70A0000}"/>
    <cellStyle name="level1a 3 2 7 3" xfId="2762" xr:uid="{00000000-0005-0000-0000-0000B80A0000}"/>
    <cellStyle name="level1a 3 2 7 3 2" xfId="2763" xr:uid="{00000000-0005-0000-0000-0000B90A0000}"/>
    <cellStyle name="level1a 3 2 7 3 2 2" xfId="2764" xr:uid="{00000000-0005-0000-0000-0000BA0A0000}"/>
    <cellStyle name="level1a 3 2 7 3 3" xfId="2765" xr:uid="{00000000-0005-0000-0000-0000BB0A0000}"/>
    <cellStyle name="level1a 3 2 7 4" xfId="2766" xr:uid="{00000000-0005-0000-0000-0000BC0A0000}"/>
    <cellStyle name="level1a 3 2 7 5" xfId="2767" xr:uid="{00000000-0005-0000-0000-0000BD0A0000}"/>
    <cellStyle name="level1a 3 2 7 5 2" xfId="2768" xr:uid="{00000000-0005-0000-0000-0000BE0A0000}"/>
    <cellStyle name="level1a 3 2 7 6" xfId="2769" xr:uid="{00000000-0005-0000-0000-0000BF0A0000}"/>
    <cellStyle name="level1a 3 2 8" xfId="2770" xr:uid="{00000000-0005-0000-0000-0000C00A0000}"/>
    <cellStyle name="level1a 3 2 8 2" xfId="2771" xr:uid="{00000000-0005-0000-0000-0000C10A0000}"/>
    <cellStyle name="level1a 3 2 8 2 2" xfId="2772" xr:uid="{00000000-0005-0000-0000-0000C20A0000}"/>
    <cellStyle name="level1a 3 2 8 2 2 2" xfId="2773" xr:uid="{00000000-0005-0000-0000-0000C30A0000}"/>
    <cellStyle name="level1a 3 2 8 2 3" xfId="2774" xr:uid="{00000000-0005-0000-0000-0000C40A0000}"/>
    <cellStyle name="level1a 3 2 8 3" xfId="2775" xr:uid="{00000000-0005-0000-0000-0000C50A0000}"/>
    <cellStyle name="level1a 3 2 8 3 2" xfId="2776" xr:uid="{00000000-0005-0000-0000-0000C60A0000}"/>
    <cellStyle name="level1a 3 2 8 3 2 2" xfId="2777" xr:uid="{00000000-0005-0000-0000-0000C70A0000}"/>
    <cellStyle name="level1a 3 2 8 3 3" xfId="2778" xr:uid="{00000000-0005-0000-0000-0000C80A0000}"/>
    <cellStyle name="level1a 3 2 8 4" xfId="2779" xr:uid="{00000000-0005-0000-0000-0000C90A0000}"/>
    <cellStyle name="level1a 3 2 8 5" xfId="2780" xr:uid="{00000000-0005-0000-0000-0000CA0A0000}"/>
    <cellStyle name="level1a 3 2 9" xfId="2781" xr:uid="{00000000-0005-0000-0000-0000CB0A0000}"/>
    <cellStyle name="level1a 3 2 9 2" xfId="2782" xr:uid="{00000000-0005-0000-0000-0000CC0A0000}"/>
    <cellStyle name="level1a 3 2 9 2 2" xfId="2783" xr:uid="{00000000-0005-0000-0000-0000CD0A0000}"/>
    <cellStyle name="level1a 3 2 9 2 2 2" xfId="2784" xr:uid="{00000000-0005-0000-0000-0000CE0A0000}"/>
    <cellStyle name="level1a 3 2 9 2 3" xfId="2785" xr:uid="{00000000-0005-0000-0000-0000CF0A0000}"/>
    <cellStyle name="level1a 3 2 9 3" xfId="2786" xr:uid="{00000000-0005-0000-0000-0000D00A0000}"/>
    <cellStyle name="level1a 3 2 9 3 2" xfId="2787" xr:uid="{00000000-0005-0000-0000-0000D10A0000}"/>
    <cellStyle name="level1a 3 2 9 3 2 2" xfId="2788" xr:uid="{00000000-0005-0000-0000-0000D20A0000}"/>
    <cellStyle name="level1a 3 2 9 3 3" xfId="2789" xr:uid="{00000000-0005-0000-0000-0000D30A0000}"/>
    <cellStyle name="level1a 3 2 9 4" xfId="2790" xr:uid="{00000000-0005-0000-0000-0000D40A0000}"/>
    <cellStyle name="level1a 3 2 9 5" xfId="2791" xr:uid="{00000000-0005-0000-0000-0000D50A0000}"/>
    <cellStyle name="level1a 3 2 9 5 2" xfId="2792" xr:uid="{00000000-0005-0000-0000-0000D60A0000}"/>
    <cellStyle name="level1a 3 2 9 6" xfId="2793" xr:uid="{00000000-0005-0000-0000-0000D70A0000}"/>
    <cellStyle name="level1a 3 2_STUD aligned by INSTIT" xfId="2794" xr:uid="{00000000-0005-0000-0000-0000D80A0000}"/>
    <cellStyle name="level1a 3 3" xfId="2795" xr:uid="{00000000-0005-0000-0000-0000D90A0000}"/>
    <cellStyle name="level1a 3 3 10" xfId="2796" xr:uid="{00000000-0005-0000-0000-0000DA0A0000}"/>
    <cellStyle name="level1a 3 3 10 2" xfId="2797" xr:uid="{00000000-0005-0000-0000-0000DB0A0000}"/>
    <cellStyle name="level1a 3 3 10 2 2" xfId="2798" xr:uid="{00000000-0005-0000-0000-0000DC0A0000}"/>
    <cellStyle name="level1a 3 3 10 3" xfId="2799" xr:uid="{00000000-0005-0000-0000-0000DD0A0000}"/>
    <cellStyle name="level1a 3 3 11" xfId="2800" xr:uid="{00000000-0005-0000-0000-0000DE0A0000}"/>
    <cellStyle name="level1a 3 3 2" xfId="2801" xr:uid="{00000000-0005-0000-0000-0000DF0A0000}"/>
    <cellStyle name="level1a 3 3 2 10" xfId="2802" xr:uid="{00000000-0005-0000-0000-0000E00A0000}"/>
    <cellStyle name="level1a 3 3 2 2" xfId="2803" xr:uid="{00000000-0005-0000-0000-0000E10A0000}"/>
    <cellStyle name="level1a 3 3 2 2 2" xfId="2804" xr:uid="{00000000-0005-0000-0000-0000E20A0000}"/>
    <cellStyle name="level1a 3 3 2 2 2 2" xfId="2805" xr:uid="{00000000-0005-0000-0000-0000E30A0000}"/>
    <cellStyle name="level1a 3 3 2 2 2 2 2" xfId="2806" xr:uid="{00000000-0005-0000-0000-0000E40A0000}"/>
    <cellStyle name="level1a 3 3 2 2 2 2 2 2" xfId="2807" xr:uid="{00000000-0005-0000-0000-0000E50A0000}"/>
    <cellStyle name="level1a 3 3 2 2 2 2 3" xfId="2808" xr:uid="{00000000-0005-0000-0000-0000E60A0000}"/>
    <cellStyle name="level1a 3 3 2 2 2 3" xfId="2809" xr:uid="{00000000-0005-0000-0000-0000E70A0000}"/>
    <cellStyle name="level1a 3 3 2 2 2 3 2" xfId="2810" xr:uid="{00000000-0005-0000-0000-0000E80A0000}"/>
    <cellStyle name="level1a 3 3 2 2 2 3 2 2" xfId="2811" xr:uid="{00000000-0005-0000-0000-0000E90A0000}"/>
    <cellStyle name="level1a 3 3 2 2 2 3 3" xfId="2812" xr:uid="{00000000-0005-0000-0000-0000EA0A0000}"/>
    <cellStyle name="level1a 3 3 2 2 2 4" xfId="2813" xr:uid="{00000000-0005-0000-0000-0000EB0A0000}"/>
    <cellStyle name="level1a 3 3 2 2 2 5" xfId="2814" xr:uid="{00000000-0005-0000-0000-0000EC0A0000}"/>
    <cellStyle name="level1a 3 3 2 2 2 5 2" xfId="2815" xr:uid="{00000000-0005-0000-0000-0000ED0A0000}"/>
    <cellStyle name="level1a 3 3 2 2 3" xfId="2816" xr:uid="{00000000-0005-0000-0000-0000EE0A0000}"/>
    <cellStyle name="level1a 3 3 2 2 3 2" xfId="2817" xr:uid="{00000000-0005-0000-0000-0000EF0A0000}"/>
    <cellStyle name="level1a 3 3 2 2 3 2 2" xfId="2818" xr:uid="{00000000-0005-0000-0000-0000F00A0000}"/>
    <cellStyle name="level1a 3 3 2 2 3 2 2 2" xfId="2819" xr:uid="{00000000-0005-0000-0000-0000F10A0000}"/>
    <cellStyle name="level1a 3 3 2 2 3 2 3" xfId="2820" xr:uid="{00000000-0005-0000-0000-0000F20A0000}"/>
    <cellStyle name="level1a 3 3 2 2 3 3" xfId="2821" xr:uid="{00000000-0005-0000-0000-0000F30A0000}"/>
    <cellStyle name="level1a 3 3 2 2 3 3 2" xfId="2822" xr:uid="{00000000-0005-0000-0000-0000F40A0000}"/>
    <cellStyle name="level1a 3 3 2 2 3 3 2 2" xfId="2823" xr:uid="{00000000-0005-0000-0000-0000F50A0000}"/>
    <cellStyle name="level1a 3 3 2 2 3 3 3" xfId="2824" xr:uid="{00000000-0005-0000-0000-0000F60A0000}"/>
    <cellStyle name="level1a 3 3 2 2 3 4" xfId="2825" xr:uid="{00000000-0005-0000-0000-0000F70A0000}"/>
    <cellStyle name="level1a 3 3 2 2 3 5" xfId="2826" xr:uid="{00000000-0005-0000-0000-0000F80A0000}"/>
    <cellStyle name="level1a 3 3 2 2 4" xfId="2827" xr:uid="{00000000-0005-0000-0000-0000F90A0000}"/>
    <cellStyle name="level1a 3 3 2 2 4 2" xfId="2828" xr:uid="{00000000-0005-0000-0000-0000FA0A0000}"/>
    <cellStyle name="level1a 3 3 2 2 4 2 2" xfId="2829" xr:uid="{00000000-0005-0000-0000-0000FB0A0000}"/>
    <cellStyle name="level1a 3 3 2 2 4 2 2 2" xfId="2830" xr:uid="{00000000-0005-0000-0000-0000FC0A0000}"/>
    <cellStyle name="level1a 3 3 2 2 4 2 3" xfId="2831" xr:uid="{00000000-0005-0000-0000-0000FD0A0000}"/>
    <cellStyle name="level1a 3 3 2 2 4 3" xfId="2832" xr:uid="{00000000-0005-0000-0000-0000FE0A0000}"/>
    <cellStyle name="level1a 3 3 2 2 4 3 2" xfId="2833" xr:uid="{00000000-0005-0000-0000-0000FF0A0000}"/>
    <cellStyle name="level1a 3 3 2 2 4 3 2 2" xfId="2834" xr:uid="{00000000-0005-0000-0000-0000000B0000}"/>
    <cellStyle name="level1a 3 3 2 2 4 3 3" xfId="2835" xr:uid="{00000000-0005-0000-0000-0000010B0000}"/>
    <cellStyle name="level1a 3 3 2 2 4 4" xfId="2836" xr:uid="{00000000-0005-0000-0000-0000020B0000}"/>
    <cellStyle name="level1a 3 3 2 2 4 5" xfId="2837" xr:uid="{00000000-0005-0000-0000-0000030B0000}"/>
    <cellStyle name="level1a 3 3 2 2 4 5 2" xfId="2838" xr:uid="{00000000-0005-0000-0000-0000040B0000}"/>
    <cellStyle name="level1a 3 3 2 2 4 6" xfId="2839" xr:uid="{00000000-0005-0000-0000-0000050B0000}"/>
    <cellStyle name="level1a 3 3 2 2 5" xfId="2840" xr:uid="{00000000-0005-0000-0000-0000060B0000}"/>
    <cellStyle name="level1a 3 3 2 2 5 2" xfId="2841" xr:uid="{00000000-0005-0000-0000-0000070B0000}"/>
    <cellStyle name="level1a 3 3 2 2 5 2 2" xfId="2842" xr:uid="{00000000-0005-0000-0000-0000080B0000}"/>
    <cellStyle name="level1a 3 3 2 2 5 2 2 2" xfId="2843" xr:uid="{00000000-0005-0000-0000-0000090B0000}"/>
    <cellStyle name="level1a 3 3 2 2 5 2 3" xfId="2844" xr:uid="{00000000-0005-0000-0000-00000A0B0000}"/>
    <cellStyle name="level1a 3 3 2 2 5 3" xfId="2845" xr:uid="{00000000-0005-0000-0000-00000B0B0000}"/>
    <cellStyle name="level1a 3 3 2 2 5 3 2" xfId="2846" xr:uid="{00000000-0005-0000-0000-00000C0B0000}"/>
    <cellStyle name="level1a 3 3 2 2 5 3 2 2" xfId="2847" xr:uid="{00000000-0005-0000-0000-00000D0B0000}"/>
    <cellStyle name="level1a 3 3 2 2 5 3 3" xfId="2848" xr:uid="{00000000-0005-0000-0000-00000E0B0000}"/>
    <cellStyle name="level1a 3 3 2 2 5 4" xfId="2849" xr:uid="{00000000-0005-0000-0000-00000F0B0000}"/>
    <cellStyle name="level1a 3 3 2 2 5 4 2" xfId="2850" xr:uid="{00000000-0005-0000-0000-0000100B0000}"/>
    <cellStyle name="level1a 3 3 2 2 5 5" xfId="2851" xr:uid="{00000000-0005-0000-0000-0000110B0000}"/>
    <cellStyle name="level1a 3 3 2 2 6" xfId="2852" xr:uid="{00000000-0005-0000-0000-0000120B0000}"/>
    <cellStyle name="level1a 3 3 2 2 6 2" xfId="2853" xr:uid="{00000000-0005-0000-0000-0000130B0000}"/>
    <cellStyle name="level1a 3 3 2 2 6 2 2" xfId="2854" xr:uid="{00000000-0005-0000-0000-0000140B0000}"/>
    <cellStyle name="level1a 3 3 2 2 6 2 2 2" xfId="2855" xr:uid="{00000000-0005-0000-0000-0000150B0000}"/>
    <cellStyle name="level1a 3 3 2 2 6 2 3" xfId="2856" xr:uid="{00000000-0005-0000-0000-0000160B0000}"/>
    <cellStyle name="level1a 3 3 2 2 6 3" xfId="2857" xr:uid="{00000000-0005-0000-0000-0000170B0000}"/>
    <cellStyle name="level1a 3 3 2 2 6 3 2" xfId="2858" xr:uid="{00000000-0005-0000-0000-0000180B0000}"/>
    <cellStyle name="level1a 3 3 2 2 6 3 2 2" xfId="2859" xr:uid="{00000000-0005-0000-0000-0000190B0000}"/>
    <cellStyle name="level1a 3 3 2 2 6 3 3" xfId="2860" xr:uid="{00000000-0005-0000-0000-00001A0B0000}"/>
    <cellStyle name="level1a 3 3 2 2 6 4" xfId="2861" xr:uid="{00000000-0005-0000-0000-00001B0B0000}"/>
    <cellStyle name="level1a 3 3 2 2 6 4 2" xfId="2862" xr:uid="{00000000-0005-0000-0000-00001C0B0000}"/>
    <cellStyle name="level1a 3 3 2 2 6 5" xfId="2863" xr:uid="{00000000-0005-0000-0000-00001D0B0000}"/>
    <cellStyle name="level1a 3 3 2 2 7" xfId="2864" xr:uid="{00000000-0005-0000-0000-00001E0B0000}"/>
    <cellStyle name="level1a 3 3 2 2 7 2" xfId="2865" xr:uid="{00000000-0005-0000-0000-00001F0B0000}"/>
    <cellStyle name="level1a 3 3 2 2 7 2 2" xfId="2866" xr:uid="{00000000-0005-0000-0000-0000200B0000}"/>
    <cellStyle name="level1a 3 3 2 2 7 3" xfId="2867" xr:uid="{00000000-0005-0000-0000-0000210B0000}"/>
    <cellStyle name="level1a 3 3 2 2_STUD aligned by INSTIT" xfId="2868" xr:uid="{00000000-0005-0000-0000-0000220B0000}"/>
    <cellStyle name="level1a 3 3 2 3" xfId="2869" xr:uid="{00000000-0005-0000-0000-0000230B0000}"/>
    <cellStyle name="level1a 3 3 2 3 2" xfId="2870" xr:uid="{00000000-0005-0000-0000-0000240B0000}"/>
    <cellStyle name="level1a 3 3 2 3 2 2" xfId="2871" xr:uid="{00000000-0005-0000-0000-0000250B0000}"/>
    <cellStyle name="level1a 3 3 2 3 2 2 2" xfId="2872" xr:uid="{00000000-0005-0000-0000-0000260B0000}"/>
    <cellStyle name="level1a 3 3 2 3 2 2 2 2" xfId="2873" xr:uid="{00000000-0005-0000-0000-0000270B0000}"/>
    <cellStyle name="level1a 3 3 2 3 2 2 3" xfId="2874" xr:uid="{00000000-0005-0000-0000-0000280B0000}"/>
    <cellStyle name="level1a 3 3 2 3 2 3" xfId="2875" xr:uid="{00000000-0005-0000-0000-0000290B0000}"/>
    <cellStyle name="level1a 3 3 2 3 2 3 2" xfId="2876" xr:uid="{00000000-0005-0000-0000-00002A0B0000}"/>
    <cellStyle name="level1a 3 3 2 3 2 3 2 2" xfId="2877" xr:uid="{00000000-0005-0000-0000-00002B0B0000}"/>
    <cellStyle name="level1a 3 3 2 3 2 3 3" xfId="2878" xr:uid="{00000000-0005-0000-0000-00002C0B0000}"/>
    <cellStyle name="level1a 3 3 2 3 2 4" xfId="2879" xr:uid="{00000000-0005-0000-0000-00002D0B0000}"/>
    <cellStyle name="level1a 3 3 2 3 2 5" xfId="2880" xr:uid="{00000000-0005-0000-0000-00002E0B0000}"/>
    <cellStyle name="level1a 3 3 2 3 3" xfId="2881" xr:uid="{00000000-0005-0000-0000-00002F0B0000}"/>
    <cellStyle name="level1a 3 3 2 3 3 2" xfId="2882" xr:uid="{00000000-0005-0000-0000-0000300B0000}"/>
    <cellStyle name="level1a 3 3 2 3 3 2 2" xfId="2883" xr:uid="{00000000-0005-0000-0000-0000310B0000}"/>
    <cellStyle name="level1a 3 3 2 3 3 2 2 2" xfId="2884" xr:uid="{00000000-0005-0000-0000-0000320B0000}"/>
    <cellStyle name="level1a 3 3 2 3 3 2 3" xfId="2885" xr:uid="{00000000-0005-0000-0000-0000330B0000}"/>
    <cellStyle name="level1a 3 3 2 3 3 3" xfId="2886" xr:uid="{00000000-0005-0000-0000-0000340B0000}"/>
    <cellStyle name="level1a 3 3 2 3 3 3 2" xfId="2887" xr:uid="{00000000-0005-0000-0000-0000350B0000}"/>
    <cellStyle name="level1a 3 3 2 3 3 3 2 2" xfId="2888" xr:uid="{00000000-0005-0000-0000-0000360B0000}"/>
    <cellStyle name="level1a 3 3 2 3 3 3 3" xfId="2889" xr:uid="{00000000-0005-0000-0000-0000370B0000}"/>
    <cellStyle name="level1a 3 3 2 3 3 4" xfId="2890" xr:uid="{00000000-0005-0000-0000-0000380B0000}"/>
    <cellStyle name="level1a 3 3 2 3 3 4 2" xfId="2891" xr:uid="{00000000-0005-0000-0000-0000390B0000}"/>
    <cellStyle name="level1a 3 3 2 3 4" xfId="2892" xr:uid="{00000000-0005-0000-0000-00003A0B0000}"/>
    <cellStyle name="level1a 3 3 2 3 4 2" xfId="2893" xr:uid="{00000000-0005-0000-0000-00003B0B0000}"/>
    <cellStyle name="level1a 3 3 2 3 4 2 2" xfId="2894" xr:uid="{00000000-0005-0000-0000-00003C0B0000}"/>
    <cellStyle name="level1a 3 3 2 3 4 2 2 2" xfId="2895" xr:uid="{00000000-0005-0000-0000-00003D0B0000}"/>
    <cellStyle name="level1a 3 3 2 3 4 2 3" xfId="2896" xr:uid="{00000000-0005-0000-0000-00003E0B0000}"/>
    <cellStyle name="level1a 3 3 2 3 4 3" xfId="2897" xr:uid="{00000000-0005-0000-0000-00003F0B0000}"/>
    <cellStyle name="level1a 3 3 2 3 4 3 2" xfId="2898" xr:uid="{00000000-0005-0000-0000-0000400B0000}"/>
    <cellStyle name="level1a 3 3 2 3 4 3 2 2" xfId="2899" xr:uid="{00000000-0005-0000-0000-0000410B0000}"/>
    <cellStyle name="level1a 3 3 2 3 4 3 3" xfId="2900" xr:uid="{00000000-0005-0000-0000-0000420B0000}"/>
    <cellStyle name="level1a 3 3 2 3 4 4" xfId="2901" xr:uid="{00000000-0005-0000-0000-0000430B0000}"/>
    <cellStyle name="level1a 3 3 2 3 4 4 2" xfId="2902" xr:uid="{00000000-0005-0000-0000-0000440B0000}"/>
    <cellStyle name="level1a 3 3 2 3 4 5" xfId="2903" xr:uid="{00000000-0005-0000-0000-0000450B0000}"/>
    <cellStyle name="level1a 3 3 2 3 5" xfId="2904" xr:uid="{00000000-0005-0000-0000-0000460B0000}"/>
    <cellStyle name="level1a 3 3 2 3 5 2" xfId="2905" xr:uid="{00000000-0005-0000-0000-0000470B0000}"/>
    <cellStyle name="level1a 3 3 2 3 5 2 2" xfId="2906" xr:uid="{00000000-0005-0000-0000-0000480B0000}"/>
    <cellStyle name="level1a 3 3 2 3 5 2 2 2" xfId="2907" xr:uid="{00000000-0005-0000-0000-0000490B0000}"/>
    <cellStyle name="level1a 3 3 2 3 5 2 3" xfId="2908" xr:uid="{00000000-0005-0000-0000-00004A0B0000}"/>
    <cellStyle name="level1a 3 3 2 3 5 3" xfId="2909" xr:uid="{00000000-0005-0000-0000-00004B0B0000}"/>
    <cellStyle name="level1a 3 3 2 3 5 3 2" xfId="2910" xr:uid="{00000000-0005-0000-0000-00004C0B0000}"/>
    <cellStyle name="level1a 3 3 2 3 5 3 2 2" xfId="2911" xr:uid="{00000000-0005-0000-0000-00004D0B0000}"/>
    <cellStyle name="level1a 3 3 2 3 5 3 3" xfId="2912" xr:uid="{00000000-0005-0000-0000-00004E0B0000}"/>
    <cellStyle name="level1a 3 3 2 3 5 4" xfId="2913" xr:uid="{00000000-0005-0000-0000-00004F0B0000}"/>
    <cellStyle name="level1a 3 3 2 3 5 4 2" xfId="2914" xr:uid="{00000000-0005-0000-0000-0000500B0000}"/>
    <cellStyle name="level1a 3 3 2 3 5 5" xfId="2915" xr:uid="{00000000-0005-0000-0000-0000510B0000}"/>
    <cellStyle name="level1a 3 3 2 3 6" xfId="2916" xr:uid="{00000000-0005-0000-0000-0000520B0000}"/>
    <cellStyle name="level1a 3 3 2 3 6 2" xfId="2917" xr:uid="{00000000-0005-0000-0000-0000530B0000}"/>
    <cellStyle name="level1a 3 3 2 3 6 2 2" xfId="2918" xr:uid="{00000000-0005-0000-0000-0000540B0000}"/>
    <cellStyle name="level1a 3 3 2 3 6 2 2 2" xfId="2919" xr:uid="{00000000-0005-0000-0000-0000550B0000}"/>
    <cellStyle name="level1a 3 3 2 3 6 2 3" xfId="2920" xr:uid="{00000000-0005-0000-0000-0000560B0000}"/>
    <cellStyle name="level1a 3 3 2 3 6 3" xfId="2921" xr:uid="{00000000-0005-0000-0000-0000570B0000}"/>
    <cellStyle name="level1a 3 3 2 3 6 3 2" xfId="2922" xr:uid="{00000000-0005-0000-0000-0000580B0000}"/>
    <cellStyle name="level1a 3 3 2 3 6 3 2 2" xfId="2923" xr:uid="{00000000-0005-0000-0000-0000590B0000}"/>
    <cellStyle name="level1a 3 3 2 3 6 3 3" xfId="2924" xr:uid="{00000000-0005-0000-0000-00005A0B0000}"/>
    <cellStyle name="level1a 3 3 2 3 6 4" xfId="2925" xr:uid="{00000000-0005-0000-0000-00005B0B0000}"/>
    <cellStyle name="level1a 3 3 2 3 6 4 2" xfId="2926" xr:uid="{00000000-0005-0000-0000-00005C0B0000}"/>
    <cellStyle name="level1a 3 3 2 3 6 5" xfId="2927" xr:uid="{00000000-0005-0000-0000-00005D0B0000}"/>
    <cellStyle name="level1a 3 3 2 3 7" xfId="2928" xr:uid="{00000000-0005-0000-0000-00005E0B0000}"/>
    <cellStyle name="level1a 3 3 2 3 7 2" xfId="2929" xr:uid="{00000000-0005-0000-0000-00005F0B0000}"/>
    <cellStyle name="level1a 3 3 2 3 7 2 2" xfId="2930" xr:uid="{00000000-0005-0000-0000-0000600B0000}"/>
    <cellStyle name="level1a 3 3 2 3 7 3" xfId="2931" xr:uid="{00000000-0005-0000-0000-0000610B0000}"/>
    <cellStyle name="level1a 3 3 2 3 8" xfId="2932" xr:uid="{00000000-0005-0000-0000-0000620B0000}"/>
    <cellStyle name="level1a 3 3 2 3 8 2" xfId="2933" xr:uid="{00000000-0005-0000-0000-0000630B0000}"/>
    <cellStyle name="level1a 3 3 2 3 8 2 2" xfId="2934" xr:uid="{00000000-0005-0000-0000-0000640B0000}"/>
    <cellStyle name="level1a 3 3 2 3 8 3" xfId="2935" xr:uid="{00000000-0005-0000-0000-0000650B0000}"/>
    <cellStyle name="level1a 3 3 2 3_STUD aligned by INSTIT" xfId="2936" xr:uid="{00000000-0005-0000-0000-0000660B0000}"/>
    <cellStyle name="level1a 3 3 2 4" xfId="2937" xr:uid="{00000000-0005-0000-0000-0000670B0000}"/>
    <cellStyle name="level1a 3 3 2 4 2" xfId="2938" xr:uid="{00000000-0005-0000-0000-0000680B0000}"/>
    <cellStyle name="level1a 3 3 2 4 2 2" xfId="2939" xr:uid="{00000000-0005-0000-0000-0000690B0000}"/>
    <cellStyle name="level1a 3 3 2 4 2 2 2" xfId="2940" xr:uid="{00000000-0005-0000-0000-00006A0B0000}"/>
    <cellStyle name="level1a 3 3 2 4 2 3" xfId="2941" xr:uid="{00000000-0005-0000-0000-00006B0B0000}"/>
    <cellStyle name="level1a 3 3 2 4 3" xfId="2942" xr:uid="{00000000-0005-0000-0000-00006C0B0000}"/>
    <cellStyle name="level1a 3 3 2 4 3 2" xfId="2943" xr:uid="{00000000-0005-0000-0000-00006D0B0000}"/>
    <cellStyle name="level1a 3 3 2 4 3 2 2" xfId="2944" xr:uid="{00000000-0005-0000-0000-00006E0B0000}"/>
    <cellStyle name="level1a 3 3 2 4 3 3" xfId="2945" xr:uid="{00000000-0005-0000-0000-00006F0B0000}"/>
    <cellStyle name="level1a 3 3 2 4 4" xfId="2946" xr:uid="{00000000-0005-0000-0000-0000700B0000}"/>
    <cellStyle name="level1a 3 3 2 4 5" xfId="2947" xr:uid="{00000000-0005-0000-0000-0000710B0000}"/>
    <cellStyle name="level1a 3 3 2 4 5 2" xfId="2948" xr:uid="{00000000-0005-0000-0000-0000720B0000}"/>
    <cellStyle name="level1a 3 3 2 5" xfId="2949" xr:uid="{00000000-0005-0000-0000-0000730B0000}"/>
    <cellStyle name="level1a 3 3 2 5 2" xfId="2950" xr:uid="{00000000-0005-0000-0000-0000740B0000}"/>
    <cellStyle name="level1a 3 3 2 5 2 2" xfId="2951" xr:uid="{00000000-0005-0000-0000-0000750B0000}"/>
    <cellStyle name="level1a 3 3 2 5 2 2 2" xfId="2952" xr:uid="{00000000-0005-0000-0000-0000760B0000}"/>
    <cellStyle name="level1a 3 3 2 5 2 3" xfId="2953" xr:uid="{00000000-0005-0000-0000-0000770B0000}"/>
    <cellStyle name="level1a 3 3 2 5 3" xfId="2954" xr:uid="{00000000-0005-0000-0000-0000780B0000}"/>
    <cellStyle name="level1a 3 3 2 5 3 2" xfId="2955" xr:uid="{00000000-0005-0000-0000-0000790B0000}"/>
    <cellStyle name="level1a 3 3 2 5 3 2 2" xfId="2956" xr:uid="{00000000-0005-0000-0000-00007A0B0000}"/>
    <cellStyle name="level1a 3 3 2 5 3 3" xfId="2957" xr:uid="{00000000-0005-0000-0000-00007B0B0000}"/>
    <cellStyle name="level1a 3 3 2 5 4" xfId="2958" xr:uid="{00000000-0005-0000-0000-00007C0B0000}"/>
    <cellStyle name="level1a 3 3 2 5 5" xfId="2959" xr:uid="{00000000-0005-0000-0000-00007D0B0000}"/>
    <cellStyle name="level1a 3 3 2 5 5 2" xfId="2960" xr:uid="{00000000-0005-0000-0000-00007E0B0000}"/>
    <cellStyle name="level1a 3 3 2 5 6" xfId="2961" xr:uid="{00000000-0005-0000-0000-00007F0B0000}"/>
    <cellStyle name="level1a 3 3 2 6" xfId="2962" xr:uid="{00000000-0005-0000-0000-0000800B0000}"/>
    <cellStyle name="level1a 3 3 2 6 2" xfId="2963" xr:uid="{00000000-0005-0000-0000-0000810B0000}"/>
    <cellStyle name="level1a 3 3 2 6 2 2" xfId="2964" xr:uid="{00000000-0005-0000-0000-0000820B0000}"/>
    <cellStyle name="level1a 3 3 2 6 2 2 2" xfId="2965" xr:uid="{00000000-0005-0000-0000-0000830B0000}"/>
    <cellStyle name="level1a 3 3 2 6 2 3" xfId="2966" xr:uid="{00000000-0005-0000-0000-0000840B0000}"/>
    <cellStyle name="level1a 3 3 2 6 3" xfId="2967" xr:uid="{00000000-0005-0000-0000-0000850B0000}"/>
    <cellStyle name="level1a 3 3 2 6 3 2" xfId="2968" xr:uid="{00000000-0005-0000-0000-0000860B0000}"/>
    <cellStyle name="level1a 3 3 2 6 3 2 2" xfId="2969" xr:uid="{00000000-0005-0000-0000-0000870B0000}"/>
    <cellStyle name="level1a 3 3 2 6 3 3" xfId="2970" xr:uid="{00000000-0005-0000-0000-0000880B0000}"/>
    <cellStyle name="level1a 3 3 2 6 4" xfId="2971" xr:uid="{00000000-0005-0000-0000-0000890B0000}"/>
    <cellStyle name="level1a 3 3 2 6 5" xfId="2972" xr:uid="{00000000-0005-0000-0000-00008A0B0000}"/>
    <cellStyle name="level1a 3 3 2 7" xfId="2973" xr:uid="{00000000-0005-0000-0000-00008B0B0000}"/>
    <cellStyle name="level1a 3 3 2 7 2" xfId="2974" xr:uid="{00000000-0005-0000-0000-00008C0B0000}"/>
    <cellStyle name="level1a 3 3 2 7 2 2" xfId="2975" xr:uid="{00000000-0005-0000-0000-00008D0B0000}"/>
    <cellStyle name="level1a 3 3 2 7 2 2 2" xfId="2976" xr:uid="{00000000-0005-0000-0000-00008E0B0000}"/>
    <cellStyle name="level1a 3 3 2 7 2 3" xfId="2977" xr:uid="{00000000-0005-0000-0000-00008F0B0000}"/>
    <cellStyle name="level1a 3 3 2 7 3" xfId="2978" xr:uid="{00000000-0005-0000-0000-0000900B0000}"/>
    <cellStyle name="level1a 3 3 2 7 3 2" xfId="2979" xr:uid="{00000000-0005-0000-0000-0000910B0000}"/>
    <cellStyle name="level1a 3 3 2 7 3 2 2" xfId="2980" xr:uid="{00000000-0005-0000-0000-0000920B0000}"/>
    <cellStyle name="level1a 3 3 2 7 3 3" xfId="2981" xr:uid="{00000000-0005-0000-0000-0000930B0000}"/>
    <cellStyle name="level1a 3 3 2 7 4" xfId="2982" xr:uid="{00000000-0005-0000-0000-0000940B0000}"/>
    <cellStyle name="level1a 3 3 2 7 5" xfId="2983" xr:uid="{00000000-0005-0000-0000-0000950B0000}"/>
    <cellStyle name="level1a 3 3 2 7 5 2" xfId="2984" xr:uid="{00000000-0005-0000-0000-0000960B0000}"/>
    <cellStyle name="level1a 3 3 2 7 6" xfId="2985" xr:uid="{00000000-0005-0000-0000-0000970B0000}"/>
    <cellStyle name="level1a 3 3 2 8" xfId="2986" xr:uid="{00000000-0005-0000-0000-0000980B0000}"/>
    <cellStyle name="level1a 3 3 2 8 2" xfId="2987" xr:uid="{00000000-0005-0000-0000-0000990B0000}"/>
    <cellStyle name="level1a 3 3 2 8 2 2" xfId="2988" xr:uid="{00000000-0005-0000-0000-00009A0B0000}"/>
    <cellStyle name="level1a 3 3 2 8 2 2 2" xfId="2989" xr:uid="{00000000-0005-0000-0000-00009B0B0000}"/>
    <cellStyle name="level1a 3 3 2 8 2 3" xfId="2990" xr:uid="{00000000-0005-0000-0000-00009C0B0000}"/>
    <cellStyle name="level1a 3 3 2 8 3" xfId="2991" xr:uid="{00000000-0005-0000-0000-00009D0B0000}"/>
    <cellStyle name="level1a 3 3 2 8 3 2" xfId="2992" xr:uid="{00000000-0005-0000-0000-00009E0B0000}"/>
    <cellStyle name="level1a 3 3 2 8 3 2 2" xfId="2993" xr:uid="{00000000-0005-0000-0000-00009F0B0000}"/>
    <cellStyle name="level1a 3 3 2 8 3 3" xfId="2994" xr:uid="{00000000-0005-0000-0000-0000A00B0000}"/>
    <cellStyle name="level1a 3 3 2 8 4" xfId="2995" xr:uid="{00000000-0005-0000-0000-0000A10B0000}"/>
    <cellStyle name="level1a 3 3 2 8 4 2" xfId="2996" xr:uid="{00000000-0005-0000-0000-0000A20B0000}"/>
    <cellStyle name="level1a 3 3 2 8 5" xfId="2997" xr:uid="{00000000-0005-0000-0000-0000A30B0000}"/>
    <cellStyle name="level1a 3 3 2 9" xfId="2998" xr:uid="{00000000-0005-0000-0000-0000A40B0000}"/>
    <cellStyle name="level1a 3 3 2 9 2" xfId="2999" xr:uid="{00000000-0005-0000-0000-0000A50B0000}"/>
    <cellStyle name="level1a 3 3 2 9 2 2" xfId="3000" xr:uid="{00000000-0005-0000-0000-0000A60B0000}"/>
    <cellStyle name="level1a 3 3 2 9 3" xfId="3001" xr:uid="{00000000-0005-0000-0000-0000A70B0000}"/>
    <cellStyle name="level1a 3 3 2_STUD aligned by INSTIT" xfId="3002" xr:uid="{00000000-0005-0000-0000-0000A80B0000}"/>
    <cellStyle name="level1a 3 3 3" xfId="3003" xr:uid="{00000000-0005-0000-0000-0000A90B0000}"/>
    <cellStyle name="level1a 3 3 3 2" xfId="3004" xr:uid="{00000000-0005-0000-0000-0000AA0B0000}"/>
    <cellStyle name="level1a 3 3 3 2 2" xfId="3005" xr:uid="{00000000-0005-0000-0000-0000AB0B0000}"/>
    <cellStyle name="level1a 3 3 3 2 2 2" xfId="3006" xr:uid="{00000000-0005-0000-0000-0000AC0B0000}"/>
    <cellStyle name="level1a 3 3 3 2 2 2 2" xfId="3007" xr:uid="{00000000-0005-0000-0000-0000AD0B0000}"/>
    <cellStyle name="level1a 3 3 3 2 2 3" xfId="3008" xr:uid="{00000000-0005-0000-0000-0000AE0B0000}"/>
    <cellStyle name="level1a 3 3 3 2 3" xfId="3009" xr:uid="{00000000-0005-0000-0000-0000AF0B0000}"/>
    <cellStyle name="level1a 3 3 3 2 3 2" xfId="3010" xr:uid="{00000000-0005-0000-0000-0000B00B0000}"/>
    <cellStyle name="level1a 3 3 3 2 3 2 2" xfId="3011" xr:uid="{00000000-0005-0000-0000-0000B10B0000}"/>
    <cellStyle name="level1a 3 3 3 2 3 3" xfId="3012" xr:uid="{00000000-0005-0000-0000-0000B20B0000}"/>
    <cellStyle name="level1a 3 3 3 2 4" xfId="3013" xr:uid="{00000000-0005-0000-0000-0000B30B0000}"/>
    <cellStyle name="level1a 3 3 3 2 5" xfId="3014" xr:uid="{00000000-0005-0000-0000-0000B40B0000}"/>
    <cellStyle name="level1a 3 3 3 2 5 2" xfId="3015" xr:uid="{00000000-0005-0000-0000-0000B50B0000}"/>
    <cellStyle name="level1a 3 3 3 3" xfId="3016" xr:uid="{00000000-0005-0000-0000-0000B60B0000}"/>
    <cellStyle name="level1a 3 3 3 3 2" xfId="3017" xr:uid="{00000000-0005-0000-0000-0000B70B0000}"/>
    <cellStyle name="level1a 3 3 3 3 2 2" xfId="3018" xr:uid="{00000000-0005-0000-0000-0000B80B0000}"/>
    <cellStyle name="level1a 3 3 3 3 2 2 2" xfId="3019" xr:uid="{00000000-0005-0000-0000-0000B90B0000}"/>
    <cellStyle name="level1a 3 3 3 3 2 3" xfId="3020" xr:uid="{00000000-0005-0000-0000-0000BA0B0000}"/>
    <cellStyle name="level1a 3 3 3 3 3" xfId="3021" xr:uid="{00000000-0005-0000-0000-0000BB0B0000}"/>
    <cellStyle name="level1a 3 3 3 3 3 2" xfId="3022" xr:uid="{00000000-0005-0000-0000-0000BC0B0000}"/>
    <cellStyle name="level1a 3 3 3 3 3 2 2" xfId="3023" xr:uid="{00000000-0005-0000-0000-0000BD0B0000}"/>
    <cellStyle name="level1a 3 3 3 3 3 3" xfId="3024" xr:uid="{00000000-0005-0000-0000-0000BE0B0000}"/>
    <cellStyle name="level1a 3 3 3 3 4" xfId="3025" xr:uid="{00000000-0005-0000-0000-0000BF0B0000}"/>
    <cellStyle name="level1a 3 3 3 3 5" xfId="3026" xr:uid="{00000000-0005-0000-0000-0000C00B0000}"/>
    <cellStyle name="level1a 3 3 3 4" xfId="3027" xr:uid="{00000000-0005-0000-0000-0000C10B0000}"/>
    <cellStyle name="level1a 3 3 3 4 2" xfId="3028" xr:uid="{00000000-0005-0000-0000-0000C20B0000}"/>
    <cellStyle name="level1a 3 3 3 4 2 2" xfId="3029" xr:uid="{00000000-0005-0000-0000-0000C30B0000}"/>
    <cellStyle name="level1a 3 3 3 4 2 2 2" xfId="3030" xr:uid="{00000000-0005-0000-0000-0000C40B0000}"/>
    <cellStyle name="level1a 3 3 3 4 2 3" xfId="3031" xr:uid="{00000000-0005-0000-0000-0000C50B0000}"/>
    <cellStyle name="level1a 3 3 3 4 3" xfId="3032" xr:uid="{00000000-0005-0000-0000-0000C60B0000}"/>
    <cellStyle name="level1a 3 3 3 4 3 2" xfId="3033" xr:uid="{00000000-0005-0000-0000-0000C70B0000}"/>
    <cellStyle name="level1a 3 3 3 4 3 2 2" xfId="3034" xr:uid="{00000000-0005-0000-0000-0000C80B0000}"/>
    <cellStyle name="level1a 3 3 3 4 3 3" xfId="3035" xr:uid="{00000000-0005-0000-0000-0000C90B0000}"/>
    <cellStyle name="level1a 3 3 3 4 4" xfId="3036" xr:uid="{00000000-0005-0000-0000-0000CA0B0000}"/>
    <cellStyle name="level1a 3 3 3 4 5" xfId="3037" xr:uid="{00000000-0005-0000-0000-0000CB0B0000}"/>
    <cellStyle name="level1a 3 3 3 4 5 2" xfId="3038" xr:uid="{00000000-0005-0000-0000-0000CC0B0000}"/>
    <cellStyle name="level1a 3 3 3 4 6" xfId="3039" xr:uid="{00000000-0005-0000-0000-0000CD0B0000}"/>
    <cellStyle name="level1a 3 3 3 5" xfId="3040" xr:uid="{00000000-0005-0000-0000-0000CE0B0000}"/>
    <cellStyle name="level1a 3 3 3 5 2" xfId="3041" xr:uid="{00000000-0005-0000-0000-0000CF0B0000}"/>
    <cellStyle name="level1a 3 3 3 5 2 2" xfId="3042" xr:uid="{00000000-0005-0000-0000-0000D00B0000}"/>
    <cellStyle name="level1a 3 3 3 5 2 2 2" xfId="3043" xr:uid="{00000000-0005-0000-0000-0000D10B0000}"/>
    <cellStyle name="level1a 3 3 3 5 2 3" xfId="3044" xr:uid="{00000000-0005-0000-0000-0000D20B0000}"/>
    <cellStyle name="level1a 3 3 3 5 3" xfId="3045" xr:uid="{00000000-0005-0000-0000-0000D30B0000}"/>
    <cellStyle name="level1a 3 3 3 5 3 2" xfId="3046" xr:uid="{00000000-0005-0000-0000-0000D40B0000}"/>
    <cellStyle name="level1a 3 3 3 5 3 2 2" xfId="3047" xr:uid="{00000000-0005-0000-0000-0000D50B0000}"/>
    <cellStyle name="level1a 3 3 3 5 3 3" xfId="3048" xr:uid="{00000000-0005-0000-0000-0000D60B0000}"/>
    <cellStyle name="level1a 3 3 3 5 4" xfId="3049" xr:uid="{00000000-0005-0000-0000-0000D70B0000}"/>
    <cellStyle name="level1a 3 3 3 5 4 2" xfId="3050" xr:uid="{00000000-0005-0000-0000-0000D80B0000}"/>
    <cellStyle name="level1a 3 3 3 5 5" xfId="3051" xr:uid="{00000000-0005-0000-0000-0000D90B0000}"/>
    <cellStyle name="level1a 3 3 3 6" xfId="3052" xr:uid="{00000000-0005-0000-0000-0000DA0B0000}"/>
    <cellStyle name="level1a 3 3 3 6 2" xfId="3053" xr:uid="{00000000-0005-0000-0000-0000DB0B0000}"/>
    <cellStyle name="level1a 3 3 3 6 2 2" xfId="3054" xr:uid="{00000000-0005-0000-0000-0000DC0B0000}"/>
    <cellStyle name="level1a 3 3 3 6 2 2 2" xfId="3055" xr:uid="{00000000-0005-0000-0000-0000DD0B0000}"/>
    <cellStyle name="level1a 3 3 3 6 2 3" xfId="3056" xr:uid="{00000000-0005-0000-0000-0000DE0B0000}"/>
    <cellStyle name="level1a 3 3 3 6 3" xfId="3057" xr:uid="{00000000-0005-0000-0000-0000DF0B0000}"/>
    <cellStyle name="level1a 3 3 3 6 3 2" xfId="3058" xr:uid="{00000000-0005-0000-0000-0000E00B0000}"/>
    <cellStyle name="level1a 3 3 3 6 3 2 2" xfId="3059" xr:uid="{00000000-0005-0000-0000-0000E10B0000}"/>
    <cellStyle name="level1a 3 3 3 6 3 3" xfId="3060" xr:uid="{00000000-0005-0000-0000-0000E20B0000}"/>
    <cellStyle name="level1a 3 3 3 6 4" xfId="3061" xr:uid="{00000000-0005-0000-0000-0000E30B0000}"/>
    <cellStyle name="level1a 3 3 3 6 4 2" xfId="3062" xr:uid="{00000000-0005-0000-0000-0000E40B0000}"/>
    <cellStyle name="level1a 3 3 3 6 5" xfId="3063" xr:uid="{00000000-0005-0000-0000-0000E50B0000}"/>
    <cellStyle name="level1a 3 3 3 7" xfId="3064" xr:uid="{00000000-0005-0000-0000-0000E60B0000}"/>
    <cellStyle name="level1a 3 3 3 7 2" xfId="3065" xr:uid="{00000000-0005-0000-0000-0000E70B0000}"/>
    <cellStyle name="level1a 3 3 3 7 2 2" xfId="3066" xr:uid="{00000000-0005-0000-0000-0000E80B0000}"/>
    <cellStyle name="level1a 3 3 3 7 3" xfId="3067" xr:uid="{00000000-0005-0000-0000-0000E90B0000}"/>
    <cellStyle name="level1a 3 3 3_STUD aligned by INSTIT" xfId="3068" xr:uid="{00000000-0005-0000-0000-0000EA0B0000}"/>
    <cellStyle name="level1a 3 3 4" xfId="3069" xr:uid="{00000000-0005-0000-0000-0000EB0B0000}"/>
    <cellStyle name="level1a 3 3 4 2" xfId="3070" xr:uid="{00000000-0005-0000-0000-0000EC0B0000}"/>
    <cellStyle name="level1a 3 3 4 2 2" xfId="3071" xr:uid="{00000000-0005-0000-0000-0000ED0B0000}"/>
    <cellStyle name="level1a 3 3 4 2 2 2" xfId="3072" xr:uid="{00000000-0005-0000-0000-0000EE0B0000}"/>
    <cellStyle name="level1a 3 3 4 2 2 2 2" xfId="3073" xr:uid="{00000000-0005-0000-0000-0000EF0B0000}"/>
    <cellStyle name="level1a 3 3 4 2 2 3" xfId="3074" xr:uid="{00000000-0005-0000-0000-0000F00B0000}"/>
    <cellStyle name="level1a 3 3 4 2 3" xfId="3075" xr:uid="{00000000-0005-0000-0000-0000F10B0000}"/>
    <cellStyle name="level1a 3 3 4 2 3 2" xfId="3076" xr:uid="{00000000-0005-0000-0000-0000F20B0000}"/>
    <cellStyle name="level1a 3 3 4 2 3 2 2" xfId="3077" xr:uid="{00000000-0005-0000-0000-0000F30B0000}"/>
    <cellStyle name="level1a 3 3 4 2 3 3" xfId="3078" xr:uid="{00000000-0005-0000-0000-0000F40B0000}"/>
    <cellStyle name="level1a 3 3 4 2 4" xfId="3079" xr:uid="{00000000-0005-0000-0000-0000F50B0000}"/>
    <cellStyle name="level1a 3 3 4 2 5" xfId="3080" xr:uid="{00000000-0005-0000-0000-0000F60B0000}"/>
    <cellStyle name="level1a 3 3 4 2 5 2" xfId="3081" xr:uid="{00000000-0005-0000-0000-0000F70B0000}"/>
    <cellStyle name="level1a 3 3 4 2 6" xfId="3082" xr:uid="{00000000-0005-0000-0000-0000F80B0000}"/>
    <cellStyle name="level1a 3 3 4 3" xfId="3083" xr:uid="{00000000-0005-0000-0000-0000F90B0000}"/>
    <cellStyle name="level1a 3 3 4 3 2" xfId="3084" xr:uid="{00000000-0005-0000-0000-0000FA0B0000}"/>
    <cellStyle name="level1a 3 3 4 3 2 2" xfId="3085" xr:uid="{00000000-0005-0000-0000-0000FB0B0000}"/>
    <cellStyle name="level1a 3 3 4 3 2 2 2" xfId="3086" xr:uid="{00000000-0005-0000-0000-0000FC0B0000}"/>
    <cellStyle name="level1a 3 3 4 3 2 3" xfId="3087" xr:uid="{00000000-0005-0000-0000-0000FD0B0000}"/>
    <cellStyle name="level1a 3 3 4 3 3" xfId="3088" xr:uid="{00000000-0005-0000-0000-0000FE0B0000}"/>
    <cellStyle name="level1a 3 3 4 3 3 2" xfId="3089" xr:uid="{00000000-0005-0000-0000-0000FF0B0000}"/>
    <cellStyle name="level1a 3 3 4 3 3 2 2" xfId="3090" xr:uid="{00000000-0005-0000-0000-0000000C0000}"/>
    <cellStyle name="level1a 3 3 4 3 3 3" xfId="3091" xr:uid="{00000000-0005-0000-0000-0000010C0000}"/>
    <cellStyle name="level1a 3 3 4 3 4" xfId="3092" xr:uid="{00000000-0005-0000-0000-0000020C0000}"/>
    <cellStyle name="level1a 3 3 4 4" xfId="3093" xr:uid="{00000000-0005-0000-0000-0000030C0000}"/>
    <cellStyle name="level1a 3 3 4 4 2" xfId="3094" xr:uid="{00000000-0005-0000-0000-0000040C0000}"/>
    <cellStyle name="level1a 3 3 4 4 2 2" xfId="3095" xr:uid="{00000000-0005-0000-0000-0000050C0000}"/>
    <cellStyle name="level1a 3 3 4 4 2 2 2" xfId="3096" xr:uid="{00000000-0005-0000-0000-0000060C0000}"/>
    <cellStyle name="level1a 3 3 4 4 2 3" xfId="3097" xr:uid="{00000000-0005-0000-0000-0000070C0000}"/>
    <cellStyle name="level1a 3 3 4 4 3" xfId="3098" xr:uid="{00000000-0005-0000-0000-0000080C0000}"/>
    <cellStyle name="level1a 3 3 4 4 3 2" xfId="3099" xr:uid="{00000000-0005-0000-0000-0000090C0000}"/>
    <cellStyle name="level1a 3 3 4 4 3 2 2" xfId="3100" xr:uid="{00000000-0005-0000-0000-00000A0C0000}"/>
    <cellStyle name="level1a 3 3 4 4 3 3" xfId="3101" xr:uid="{00000000-0005-0000-0000-00000B0C0000}"/>
    <cellStyle name="level1a 3 3 4 4 4" xfId="3102" xr:uid="{00000000-0005-0000-0000-00000C0C0000}"/>
    <cellStyle name="level1a 3 3 4 4 4 2" xfId="3103" xr:uid="{00000000-0005-0000-0000-00000D0C0000}"/>
    <cellStyle name="level1a 3 3 4 4 5" xfId="3104" xr:uid="{00000000-0005-0000-0000-00000E0C0000}"/>
    <cellStyle name="level1a 3 3 4 5" xfId="3105" xr:uid="{00000000-0005-0000-0000-00000F0C0000}"/>
    <cellStyle name="level1a 3 3 4 5 2" xfId="3106" xr:uid="{00000000-0005-0000-0000-0000100C0000}"/>
    <cellStyle name="level1a 3 3 4 5 2 2" xfId="3107" xr:uid="{00000000-0005-0000-0000-0000110C0000}"/>
    <cellStyle name="level1a 3 3 4 5 2 2 2" xfId="3108" xr:uid="{00000000-0005-0000-0000-0000120C0000}"/>
    <cellStyle name="level1a 3 3 4 5 2 3" xfId="3109" xr:uid="{00000000-0005-0000-0000-0000130C0000}"/>
    <cellStyle name="level1a 3 3 4 5 3" xfId="3110" xr:uid="{00000000-0005-0000-0000-0000140C0000}"/>
    <cellStyle name="level1a 3 3 4 5 3 2" xfId="3111" xr:uid="{00000000-0005-0000-0000-0000150C0000}"/>
    <cellStyle name="level1a 3 3 4 5 3 2 2" xfId="3112" xr:uid="{00000000-0005-0000-0000-0000160C0000}"/>
    <cellStyle name="level1a 3 3 4 5 3 3" xfId="3113" xr:uid="{00000000-0005-0000-0000-0000170C0000}"/>
    <cellStyle name="level1a 3 3 4 5 4" xfId="3114" xr:uid="{00000000-0005-0000-0000-0000180C0000}"/>
    <cellStyle name="level1a 3 3 4 5 4 2" xfId="3115" xr:uid="{00000000-0005-0000-0000-0000190C0000}"/>
    <cellStyle name="level1a 3 3 4 5 5" xfId="3116" xr:uid="{00000000-0005-0000-0000-00001A0C0000}"/>
    <cellStyle name="level1a 3 3 4 6" xfId="3117" xr:uid="{00000000-0005-0000-0000-00001B0C0000}"/>
    <cellStyle name="level1a 3 3 4 6 2" xfId="3118" xr:uid="{00000000-0005-0000-0000-00001C0C0000}"/>
    <cellStyle name="level1a 3 3 4 6 2 2" xfId="3119" xr:uid="{00000000-0005-0000-0000-00001D0C0000}"/>
    <cellStyle name="level1a 3 3 4 6 2 2 2" xfId="3120" xr:uid="{00000000-0005-0000-0000-00001E0C0000}"/>
    <cellStyle name="level1a 3 3 4 6 2 3" xfId="3121" xr:uid="{00000000-0005-0000-0000-00001F0C0000}"/>
    <cellStyle name="level1a 3 3 4 6 3" xfId="3122" xr:uid="{00000000-0005-0000-0000-0000200C0000}"/>
    <cellStyle name="level1a 3 3 4 6 3 2" xfId="3123" xr:uid="{00000000-0005-0000-0000-0000210C0000}"/>
    <cellStyle name="level1a 3 3 4 6 3 2 2" xfId="3124" xr:uid="{00000000-0005-0000-0000-0000220C0000}"/>
    <cellStyle name="level1a 3 3 4 6 3 3" xfId="3125" xr:uid="{00000000-0005-0000-0000-0000230C0000}"/>
    <cellStyle name="level1a 3 3 4 6 4" xfId="3126" xr:uid="{00000000-0005-0000-0000-0000240C0000}"/>
    <cellStyle name="level1a 3 3 4 6 4 2" xfId="3127" xr:uid="{00000000-0005-0000-0000-0000250C0000}"/>
    <cellStyle name="level1a 3 3 4 6 5" xfId="3128" xr:uid="{00000000-0005-0000-0000-0000260C0000}"/>
    <cellStyle name="level1a 3 3 4 7" xfId="3129" xr:uid="{00000000-0005-0000-0000-0000270C0000}"/>
    <cellStyle name="level1a 3 3 4 7 2" xfId="3130" xr:uid="{00000000-0005-0000-0000-0000280C0000}"/>
    <cellStyle name="level1a 3 3 4 7 2 2" xfId="3131" xr:uid="{00000000-0005-0000-0000-0000290C0000}"/>
    <cellStyle name="level1a 3 3 4 7 3" xfId="3132" xr:uid="{00000000-0005-0000-0000-00002A0C0000}"/>
    <cellStyle name="level1a 3 3 4 8" xfId="3133" xr:uid="{00000000-0005-0000-0000-00002B0C0000}"/>
    <cellStyle name="level1a 3 3 4 8 2" xfId="3134" xr:uid="{00000000-0005-0000-0000-00002C0C0000}"/>
    <cellStyle name="level1a 3 3 4 8 2 2" xfId="3135" xr:uid="{00000000-0005-0000-0000-00002D0C0000}"/>
    <cellStyle name="level1a 3 3 4 8 3" xfId="3136" xr:uid="{00000000-0005-0000-0000-00002E0C0000}"/>
    <cellStyle name="level1a 3 3 4_STUD aligned by INSTIT" xfId="3137" xr:uid="{00000000-0005-0000-0000-00002F0C0000}"/>
    <cellStyle name="level1a 3 3 5" xfId="3138" xr:uid="{00000000-0005-0000-0000-0000300C0000}"/>
    <cellStyle name="level1a 3 3 5 2" xfId="3139" xr:uid="{00000000-0005-0000-0000-0000310C0000}"/>
    <cellStyle name="level1a 3 3 5 2 2" xfId="3140" xr:uid="{00000000-0005-0000-0000-0000320C0000}"/>
    <cellStyle name="level1a 3 3 5 2 2 2" xfId="3141" xr:uid="{00000000-0005-0000-0000-0000330C0000}"/>
    <cellStyle name="level1a 3 3 5 2 3" xfId="3142" xr:uid="{00000000-0005-0000-0000-0000340C0000}"/>
    <cellStyle name="level1a 3 3 5 3" xfId="3143" xr:uid="{00000000-0005-0000-0000-0000350C0000}"/>
    <cellStyle name="level1a 3 3 5 3 2" xfId="3144" xr:uid="{00000000-0005-0000-0000-0000360C0000}"/>
    <cellStyle name="level1a 3 3 5 3 2 2" xfId="3145" xr:uid="{00000000-0005-0000-0000-0000370C0000}"/>
    <cellStyle name="level1a 3 3 5 3 3" xfId="3146" xr:uid="{00000000-0005-0000-0000-0000380C0000}"/>
    <cellStyle name="level1a 3 3 5 4" xfId="3147" xr:uid="{00000000-0005-0000-0000-0000390C0000}"/>
    <cellStyle name="level1a 3 3 5 5" xfId="3148" xr:uid="{00000000-0005-0000-0000-00003A0C0000}"/>
    <cellStyle name="level1a 3 3 5 5 2" xfId="3149" xr:uid="{00000000-0005-0000-0000-00003B0C0000}"/>
    <cellStyle name="level1a 3 3 6" xfId="3150" xr:uid="{00000000-0005-0000-0000-00003C0C0000}"/>
    <cellStyle name="level1a 3 3 6 2" xfId="3151" xr:uid="{00000000-0005-0000-0000-00003D0C0000}"/>
    <cellStyle name="level1a 3 3 6 2 2" xfId="3152" xr:uid="{00000000-0005-0000-0000-00003E0C0000}"/>
    <cellStyle name="level1a 3 3 6 2 2 2" xfId="3153" xr:uid="{00000000-0005-0000-0000-00003F0C0000}"/>
    <cellStyle name="level1a 3 3 6 2 3" xfId="3154" xr:uid="{00000000-0005-0000-0000-0000400C0000}"/>
    <cellStyle name="level1a 3 3 6 3" xfId="3155" xr:uid="{00000000-0005-0000-0000-0000410C0000}"/>
    <cellStyle name="level1a 3 3 6 3 2" xfId="3156" xr:uid="{00000000-0005-0000-0000-0000420C0000}"/>
    <cellStyle name="level1a 3 3 6 3 2 2" xfId="3157" xr:uid="{00000000-0005-0000-0000-0000430C0000}"/>
    <cellStyle name="level1a 3 3 6 3 3" xfId="3158" xr:uid="{00000000-0005-0000-0000-0000440C0000}"/>
    <cellStyle name="level1a 3 3 6 4" xfId="3159" xr:uid="{00000000-0005-0000-0000-0000450C0000}"/>
    <cellStyle name="level1a 3 3 6 5" xfId="3160" xr:uid="{00000000-0005-0000-0000-0000460C0000}"/>
    <cellStyle name="level1a 3 3 6 5 2" xfId="3161" xr:uid="{00000000-0005-0000-0000-0000470C0000}"/>
    <cellStyle name="level1a 3 3 6 6" xfId="3162" xr:uid="{00000000-0005-0000-0000-0000480C0000}"/>
    <cellStyle name="level1a 3 3 7" xfId="3163" xr:uid="{00000000-0005-0000-0000-0000490C0000}"/>
    <cellStyle name="level1a 3 3 7 2" xfId="3164" xr:uid="{00000000-0005-0000-0000-00004A0C0000}"/>
    <cellStyle name="level1a 3 3 7 2 2" xfId="3165" xr:uid="{00000000-0005-0000-0000-00004B0C0000}"/>
    <cellStyle name="level1a 3 3 7 2 2 2" xfId="3166" xr:uid="{00000000-0005-0000-0000-00004C0C0000}"/>
    <cellStyle name="level1a 3 3 7 2 3" xfId="3167" xr:uid="{00000000-0005-0000-0000-00004D0C0000}"/>
    <cellStyle name="level1a 3 3 7 3" xfId="3168" xr:uid="{00000000-0005-0000-0000-00004E0C0000}"/>
    <cellStyle name="level1a 3 3 7 3 2" xfId="3169" xr:uid="{00000000-0005-0000-0000-00004F0C0000}"/>
    <cellStyle name="level1a 3 3 7 3 2 2" xfId="3170" xr:uid="{00000000-0005-0000-0000-0000500C0000}"/>
    <cellStyle name="level1a 3 3 7 3 3" xfId="3171" xr:uid="{00000000-0005-0000-0000-0000510C0000}"/>
    <cellStyle name="level1a 3 3 7 4" xfId="3172" xr:uid="{00000000-0005-0000-0000-0000520C0000}"/>
    <cellStyle name="level1a 3 3 7 5" xfId="3173" xr:uid="{00000000-0005-0000-0000-0000530C0000}"/>
    <cellStyle name="level1a 3 3 8" xfId="3174" xr:uid="{00000000-0005-0000-0000-0000540C0000}"/>
    <cellStyle name="level1a 3 3 8 2" xfId="3175" xr:uid="{00000000-0005-0000-0000-0000550C0000}"/>
    <cellStyle name="level1a 3 3 8 2 2" xfId="3176" xr:uid="{00000000-0005-0000-0000-0000560C0000}"/>
    <cellStyle name="level1a 3 3 8 2 2 2" xfId="3177" xr:uid="{00000000-0005-0000-0000-0000570C0000}"/>
    <cellStyle name="level1a 3 3 8 2 3" xfId="3178" xr:uid="{00000000-0005-0000-0000-0000580C0000}"/>
    <cellStyle name="level1a 3 3 8 3" xfId="3179" xr:uid="{00000000-0005-0000-0000-0000590C0000}"/>
    <cellStyle name="level1a 3 3 8 3 2" xfId="3180" xr:uid="{00000000-0005-0000-0000-00005A0C0000}"/>
    <cellStyle name="level1a 3 3 8 3 2 2" xfId="3181" xr:uid="{00000000-0005-0000-0000-00005B0C0000}"/>
    <cellStyle name="level1a 3 3 8 3 3" xfId="3182" xr:uid="{00000000-0005-0000-0000-00005C0C0000}"/>
    <cellStyle name="level1a 3 3 8 4" xfId="3183" xr:uid="{00000000-0005-0000-0000-00005D0C0000}"/>
    <cellStyle name="level1a 3 3 8 5" xfId="3184" xr:uid="{00000000-0005-0000-0000-00005E0C0000}"/>
    <cellStyle name="level1a 3 3 8 5 2" xfId="3185" xr:uid="{00000000-0005-0000-0000-00005F0C0000}"/>
    <cellStyle name="level1a 3 3 8 6" xfId="3186" xr:uid="{00000000-0005-0000-0000-0000600C0000}"/>
    <cellStyle name="level1a 3 3 9" xfId="3187" xr:uid="{00000000-0005-0000-0000-0000610C0000}"/>
    <cellStyle name="level1a 3 3 9 2" xfId="3188" xr:uid="{00000000-0005-0000-0000-0000620C0000}"/>
    <cellStyle name="level1a 3 3 9 2 2" xfId="3189" xr:uid="{00000000-0005-0000-0000-0000630C0000}"/>
    <cellStyle name="level1a 3 3 9 2 2 2" xfId="3190" xr:uid="{00000000-0005-0000-0000-0000640C0000}"/>
    <cellStyle name="level1a 3 3 9 2 3" xfId="3191" xr:uid="{00000000-0005-0000-0000-0000650C0000}"/>
    <cellStyle name="level1a 3 3 9 3" xfId="3192" xr:uid="{00000000-0005-0000-0000-0000660C0000}"/>
    <cellStyle name="level1a 3 3 9 3 2" xfId="3193" xr:uid="{00000000-0005-0000-0000-0000670C0000}"/>
    <cellStyle name="level1a 3 3 9 3 2 2" xfId="3194" xr:uid="{00000000-0005-0000-0000-0000680C0000}"/>
    <cellStyle name="level1a 3 3 9 3 3" xfId="3195" xr:uid="{00000000-0005-0000-0000-0000690C0000}"/>
    <cellStyle name="level1a 3 3 9 4" xfId="3196" xr:uid="{00000000-0005-0000-0000-00006A0C0000}"/>
    <cellStyle name="level1a 3 3 9 4 2" xfId="3197" xr:uid="{00000000-0005-0000-0000-00006B0C0000}"/>
    <cellStyle name="level1a 3 3 9 5" xfId="3198" xr:uid="{00000000-0005-0000-0000-00006C0C0000}"/>
    <cellStyle name="level1a 3 3_STUD aligned by INSTIT" xfId="3199" xr:uid="{00000000-0005-0000-0000-00006D0C0000}"/>
    <cellStyle name="level1a 3 4" xfId="3200" xr:uid="{00000000-0005-0000-0000-00006E0C0000}"/>
    <cellStyle name="level1a 3 4 10" xfId="3201" xr:uid="{00000000-0005-0000-0000-00006F0C0000}"/>
    <cellStyle name="level1a 3 4 2" xfId="3202" xr:uid="{00000000-0005-0000-0000-0000700C0000}"/>
    <cellStyle name="level1a 3 4 2 2" xfId="3203" xr:uid="{00000000-0005-0000-0000-0000710C0000}"/>
    <cellStyle name="level1a 3 4 2 2 2" xfId="3204" xr:uid="{00000000-0005-0000-0000-0000720C0000}"/>
    <cellStyle name="level1a 3 4 2 2 2 2" xfId="3205" xr:uid="{00000000-0005-0000-0000-0000730C0000}"/>
    <cellStyle name="level1a 3 4 2 2 2 2 2" xfId="3206" xr:uid="{00000000-0005-0000-0000-0000740C0000}"/>
    <cellStyle name="level1a 3 4 2 2 2 3" xfId="3207" xr:uid="{00000000-0005-0000-0000-0000750C0000}"/>
    <cellStyle name="level1a 3 4 2 2 3" xfId="3208" xr:uid="{00000000-0005-0000-0000-0000760C0000}"/>
    <cellStyle name="level1a 3 4 2 2 3 2" xfId="3209" xr:uid="{00000000-0005-0000-0000-0000770C0000}"/>
    <cellStyle name="level1a 3 4 2 2 3 2 2" xfId="3210" xr:uid="{00000000-0005-0000-0000-0000780C0000}"/>
    <cellStyle name="level1a 3 4 2 2 3 3" xfId="3211" xr:uid="{00000000-0005-0000-0000-0000790C0000}"/>
    <cellStyle name="level1a 3 4 2 2 4" xfId="3212" xr:uid="{00000000-0005-0000-0000-00007A0C0000}"/>
    <cellStyle name="level1a 3 4 2 2 5" xfId="3213" xr:uid="{00000000-0005-0000-0000-00007B0C0000}"/>
    <cellStyle name="level1a 3 4 2 2 5 2" xfId="3214" xr:uid="{00000000-0005-0000-0000-00007C0C0000}"/>
    <cellStyle name="level1a 3 4 2 3" xfId="3215" xr:uid="{00000000-0005-0000-0000-00007D0C0000}"/>
    <cellStyle name="level1a 3 4 2 3 2" xfId="3216" xr:uid="{00000000-0005-0000-0000-00007E0C0000}"/>
    <cellStyle name="level1a 3 4 2 3 2 2" xfId="3217" xr:uid="{00000000-0005-0000-0000-00007F0C0000}"/>
    <cellStyle name="level1a 3 4 2 3 2 2 2" xfId="3218" xr:uid="{00000000-0005-0000-0000-0000800C0000}"/>
    <cellStyle name="level1a 3 4 2 3 2 3" xfId="3219" xr:uid="{00000000-0005-0000-0000-0000810C0000}"/>
    <cellStyle name="level1a 3 4 2 3 3" xfId="3220" xr:uid="{00000000-0005-0000-0000-0000820C0000}"/>
    <cellStyle name="level1a 3 4 2 3 3 2" xfId="3221" xr:uid="{00000000-0005-0000-0000-0000830C0000}"/>
    <cellStyle name="level1a 3 4 2 3 3 2 2" xfId="3222" xr:uid="{00000000-0005-0000-0000-0000840C0000}"/>
    <cellStyle name="level1a 3 4 2 3 3 3" xfId="3223" xr:uid="{00000000-0005-0000-0000-0000850C0000}"/>
    <cellStyle name="level1a 3 4 2 3 4" xfId="3224" xr:uid="{00000000-0005-0000-0000-0000860C0000}"/>
    <cellStyle name="level1a 3 4 2 3 5" xfId="3225" xr:uid="{00000000-0005-0000-0000-0000870C0000}"/>
    <cellStyle name="level1a 3 4 2 4" xfId="3226" xr:uid="{00000000-0005-0000-0000-0000880C0000}"/>
    <cellStyle name="level1a 3 4 2 4 2" xfId="3227" xr:uid="{00000000-0005-0000-0000-0000890C0000}"/>
    <cellStyle name="level1a 3 4 2 4 2 2" xfId="3228" xr:uid="{00000000-0005-0000-0000-00008A0C0000}"/>
    <cellStyle name="level1a 3 4 2 4 2 2 2" xfId="3229" xr:uid="{00000000-0005-0000-0000-00008B0C0000}"/>
    <cellStyle name="level1a 3 4 2 4 2 3" xfId="3230" xr:uid="{00000000-0005-0000-0000-00008C0C0000}"/>
    <cellStyle name="level1a 3 4 2 4 3" xfId="3231" xr:uid="{00000000-0005-0000-0000-00008D0C0000}"/>
    <cellStyle name="level1a 3 4 2 4 3 2" xfId="3232" xr:uid="{00000000-0005-0000-0000-00008E0C0000}"/>
    <cellStyle name="level1a 3 4 2 4 3 2 2" xfId="3233" xr:uid="{00000000-0005-0000-0000-00008F0C0000}"/>
    <cellStyle name="level1a 3 4 2 4 3 3" xfId="3234" xr:uid="{00000000-0005-0000-0000-0000900C0000}"/>
    <cellStyle name="level1a 3 4 2 4 4" xfId="3235" xr:uid="{00000000-0005-0000-0000-0000910C0000}"/>
    <cellStyle name="level1a 3 4 2 4 5" xfId="3236" xr:uid="{00000000-0005-0000-0000-0000920C0000}"/>
    <cellStyle name="level1a 3 4 2 4 5 2" xfId="3237" xr:uid="{00000000-0005-0000-0000-0000930C0000}"/>
    <cellStyle name="level1a 3 4 2 4 6" xfId="3238" xr:uid="{00000000-0005-0000-0000-0000940C0000}"/>
    <cellStyle name="level1a 3 4 2 5" xfId="3239" xr:uid="{00000000-0005-0000-0000-0000950C0000}"/>
    <cellStyle name="level1a 3 4 2 5 2" xfId="3240" xr:uid="{00000000-0005-0000-0000-0000960C0000}"/>
    <cellStyle name="level1a 3 4 2 5 2 2" xfId="3241" xr:uid="{00000000-0005-0000-0000-0000970C0000}"/>
    <cellStyle name="level1a 3 4 2 5 2 2 2" xfId="3242" xr:uid="{00000000-0005-0000-0000-0000980C0000}"/>
    <cellStyle name="level1a 3 4 2 5 2 3" xfId="3243" xr:uid="{00000000-0005-0000-0000-0000990C0000}"/>
    <cellStyle name="level1a 3 4 2 5 3" xfId="3244" xr:uid="{00000000-0005-0000-0000-00009A0C0000}"/>
    <cellStyle name="level1a 3 4 2 5 3 2" xfId="3245" xr:uid="{00000000-0005-0000-0000-00009B0C0000}"/>
    <cellStyle name="level1a 3 4 2 5 3 2 2" xfId="3246" xr:uid="{00000000-0005-0000-0000-00009C0C0000}"/>
    <cellStyle name="level1a 3 4 2 5 3 3" xfId="3247" xr:uid="{00000000-0005-0000-0000-00009D0C0000}"/>
    <cellStyle name="level1a 3 4 2 5 4" xfId="3248" xr:uid="{00000000-0005-0000-0000-00009E0C0000}"/>
    <cellStyle name="level1a 3 4 2 5 4 2" xfId="3249" xr:uid="{00000000-0005-0000-0000-00009F0C0000}"/>
    <cellStyle name="level1a 3 4 2 5 5" xfId="3250" xr:uid="{00000000-0005-0000-0000-0000A00C0000}"/>
    <cellStyle name="level1a 3 4 2 6" xfId="3251" xr:uid="{00000000-0005-0000-0000-0000A10C0000}"/>
    <cellStyle name="level1a 3 4 2 6 2" xfId="3252" xr:uid="{00000000-0005-0000-0000-0000A20C0000}"/>
    <cellStyle name="level1a 3 4 2 6 2 2" xfId="3253" xr:uid="{00000000-0005-0000-0000-0000A30C0000}"/>
    <cellStyle name="level1a 3 4 2 6 2 2 2" xfId="3254" xr:uid="{00000000-0005-0000-0000-0000A40C0000}"/>
    <cellStyle name="level1a 3 4 2 6 2 3" xfId="3255" xr:uid="{00000000-0005-0000-0000-0000A50C0000}"/>
    <cellStyle name="level1a 3 4 2 6 3" xfId="3256" xr:uid="{00000000-0005-0000-0000-0000A60C0000}"/>
    <cellStyle name="level1a 3 4 2 6 3 2" xfId="3257" xr:uid="{00000000-0005-0000-0000-0000A70C0000}"/>
    <cellStyle name="level1a 3 4 2 6 3 2 2" xfId="3258" xr:uid="{00000000-0005-0000-0000-0000A80C0000}"/>
    <cellStyle name="level1a 3 4 2 6 3 3" xfId="3259" xr:uid="{00000000-0005-0000-0000-0000A90C0000}"/>
    <cellStyle name="level1a 3 4 2 6 4" xfId="3260" xr:uid="{00000000-0005-0000-0000-0000AA0C0000}"/>
    <cellStyle name="level1a 3 4 2 6 4 2" xfId="3261" xr:uid="{00000000-0005-0000-0000-0000AB0C0000}"/>
    <cellStyle name="level1a 3 4 2 6 5" xfId="3262" xr:uid="{00000000-0005-0000-0000-0000AC0C0000}"/>
    <cellStyle name="level1a 3 4 2 7" xfId="3263" xr:uid="{00000000-0005-0000-0000-0000AD0C0000}"/>
    <cellStyle name="level1a 3 4 2 7 2" xfId="3264" xr:uid="{00000000-0005-0000-0000-0000AE0C0000}"/>
    <cellStyle name="level1a 3 4 2 7 2 2" xfId="3265" xr:uid="{00000000-0005-0000-0000-0000AF0C0000}"/>
    <cellStyle name="level1a 3 4 2 7 3" xfId="3266" xr:uid="{00000000-0005-0000-0000-0000B00C0000}"/>
    <cellStyle name="level1a 3 4 2_STUD aligned by INSTIT" xfId="3267" xr:uid="{00000000-0005-0000-0000-0000B10C0000}"/>
    <cellStyle name="level1a 3 4 3" xfId="3268" xr:uid="{00000000-0005-0000-0000-0000B20C0000}"/>
    <cellStyle name="level1a 3 4 3 2" xfId="3269" xr:uid="{00000000-0005-0000-0000-0000B30C0000}"/>
    <cellStyle name="level1a 3 4 3 2 2" xfId="3270" xr:uid="{00000000-0005-0000-0000-0000B40C0000}"/>
    <cellStyle name="level1a 3 4 3 2 2 2" xfId="3271" xr:uid="{00000000-0005-0000-0000-0000B50C0000}"/>
    <cellStyle name="level1a 3 4 3 2 2 2 2" xfId="3272" xr:uid="{00000000-0005-0000-0000-0000B60C0000}"/>
    <cellStyle name="level1a 3 4 3 2 2 3" xfId="3273" xr:uid="{00000000-0005-0000-0000-0000B70C0000}"/>
    <cellStyle name="level1a 3 4 3 2 3" xfId="3274" xr:uid="{00000000-0005-0000-0000-0000B80C0000}"/>
    <cellStyle name="level1a 3 4 3 2 3 2" xfId="3275" xr:uid="{00000000-0005-0000-0000-0000B90C0000}"/>
    <cellStyle name="level1a 3 4 3 2 3 2 2" xfId="3276" xr:uid="{00000000-0005-0000-0000-0000BA0C0000}"/>
    <cellStyle name="level1a 3 4 3 2 3 3" xfId="3277" xr:uid="{00000000-0005-0000-0000-0000BB0C0000}"/>
    <cellStyle name="level1a 3 4 3 2 4" xfId="3278" xr:uid="{00000000-0005-0000-0000-0000BC0C0000}"/>
    <cellStyle name="level1a 3 4 3 2 5" xfId="3279" xr:uid="{00000000-0005-0000-0000-0000BD0C0000}"/>
    <cellStyle name="level1a 3 4 3 3" xfId="3280" xr:uid="{00000000-0005-0000-0000-0000BE0C0000}"/>
    <cellStyle name="level1a 3 4 3 3 2" xfId="3281" xr:uid="{00000000-0005-0000-0000-0000BF0C0000}"/>
    <cellStyle name="level1a 3 4 3 3 2 2" xfId="3282" xr:uid="{00000000-0005-0000-0000-0000C00C0000}"/>
    <cellStyle name="level1a 3 4 3 3 2 2 2" xfId="3283" xr:uid="{00000000-0005-0000-0000-0000C10C0000}"/>
    <cellStyle name="level1a 3 4 3 3 2 3" xfId="3284" xr:uid="{00000000-0005-0000-0000-0000C20C0000}"/>
    <cellStyle name="level1a 3 4 3 3 3" xfId="3285" xr:uid="{00000000-0005-0000-0000-0000C30C0000}"/>
    <cellStyle name="level1a 3 4 3 3 3 2" xfId="3286" xr:uid="{00000000-0005-0000-0000-0000C40C0000}"/>
    <cellStyle name="level1a 3 4 3 3 3 2 2" xfId="3287" xr:uid="{00000000-0005-0000-0000-0000C50C0000}"/>
    <cellStyle name="level1a 3 4 3 3 3 3" xfId="3288" xr:uid="{00000000-0005-0000-0000-0000C60C0000}"/>
    <cellStyle name="level1a 3 4 3 3 4" xfId="3289" xr:uid="{00000000-0005-0000-0000-0000C70C0000}"/>
    <cellStyle name="level1a 3 4 3 3 4 2" xfId="3290" xr:uid="{00000000-0005-0000-0000-0000C80C0000}"/>
    <cellStyle name="level1a 3 4 3 4" xfId="3291" xr:uid="{00000000-0005-0000-0000-0000C90C0000}"/>
    <cellStyle name="level1a 3 4 3 4 2" xfId="3292" xr:uid="{00000000-0005-0000-0000-0000CA0C0000}"/>
    <cellStyle name="level1a 3 4 3 4 2 2" xfId="3293" xr:uid="{00000000-0005-0000-0000-0000CB0C0000}"/>
    <cellStyle name="level1a 3 4 3 4 2 2 2" xfId="3294" xr:uid="{00000000-0005-0000-0000-0000CC0C0000}"/>
    <cellStyle name="level1a 3 4 3 4 2 3" xfId="3295" xr:uid="{00000000-0005-0000-0000-0000CD0C0000}"/>
    <cellStyle name="level1a 3 4 3 4 3" xfId="3296" xr:uid="{00000000-0005-0000-0000-0000CE0C0000}"/>
    <cellStyle name="level1a 3 4 3 4 3 2" xfId="3297" xr:uid="{00000000-0005-0000-0000-0000CF0C0000}"/>
    <cellStyle name="level1a 3 4 3 4 3 2 2" xfId="3298" xr:uid="{00000000-0005-0000-0000-0000D00C0000}"/>
    <cellStyle name="level1a 3 4 3 4 3 3" xfId="3299" xr:uid="{00000000-0005-0000-0000-0000D10C0000}"/>
    <cellStyle name="level1a 3 4 3 4 4" xfId="3300" xr:uid="{00000000-0005-0000-0000-0000D20C0000}"/>
    <cellStyle name="level1a 3 4 3 4 4 2" xfId="3301" xr:uid="{00000000-0005-0000-0000-0000D30C0000}"/>
    <cellStyle name="level1a 3 4 3 4 5" xfId="3302" xr:uid="{00000000-0005-0000-0000-0000D40C0000}"/>
    <cellStyle name="level1a 3 4 3 5" xfId="3303" xr:uid="{00000000-0005-0000-0000-0000D50C0000}"/>
    <cellStyle name="level1a 3 4 3 5 2" xfId="3304" xr:uid="{00000000-0005-0000-0000-0000D60C0000}"/>
    <cellStyle name="level1a 3 4 3 5 2 2" xfId="3305" xr:uid="{00000000-0005-0000-0000-0000D70C0000}"/>
    <cellStyle name="level1a 3 4 3 5 2 2 2" xfId="3306" xr:uid="{00000000-0005-0000-0000-0000D80C0000}"/>
    <cellStyle name="level1a 3 4 3 5 2 3" xfId="3307" xr:uid="{00000000-0005-0000-0000-0000D90C0000}"/>
    <cellStyle name="level1a 3 4 3 5 3" xfId="3308" xr:uid="{00000000-0005-0000-0000-0000DA0C0000}"/>
    <cellStyle name="level1a 3 4 3 5 3 2" xfId="3309" xr:uid="{00000000-0005-0000-0000-0000DB0C0000}"/>
    <cellStyle name="level1a 3 4 3 5 3 2 2" xfId="3310" xr:uid="{00000000-0005-0000-0000-0000DC0C0000}"/>
    <cellStyle name="level1a 3 4 3 5 3 3" xfId="3311" xr:uid="{00000000-0005-0000-0000-0000DD0C0000}"/>
    <cellStyle name="level1a 3 4 3 5 4" xfId="3312" xr:uid="{00000000-0005-0000-0000-0000DE0C0000}"/>
    <cellStyle name="level1a 3 4 3 5 4 2" xfId="3313" xr:uid="{00000000-0005-0000-0000-0000DF0C0000}"/>
    <cellStyle name="level1a 3 4 3 5 5" xfId="3314" xr:uid="{00000000-0005-0000-0000-0000E00C0000}"/>
    <cellStyle name="level1a 3 4 3 6" xfId="3315" xr:uid="{00000000-0005-0000-0000-0000E10C0000}"/>
    <cellStyle name="level1a 3 4 3 6 2" xfId="3316" xr:uid="{00000000-0005-0000-0000-0000E20C0000}"/>
    <cellStyle name="level1a 3 4 3 6 2 2" xfId="3317" xr:uid="{00000000-0005-0000-0000-0000E30C0000}"/>
    <cellStyle name="level1a 3 4 3 6 2 2 2" xfId="3318" xr:uid="{00000000-0005-0000-0000-0000E40C0000}"/>
    <cellStyle name="level1a 3 4 3 6 2 3" xfId="3319" xr:uid="{00000000-0005-0000-0000-0000E50C0000}"/>
    <cellStyle name="level1a 3 4 3 6 3" xfId="3320" xr:uid="{00000000-0005-0000-0000-0000E60C0000}"/>
    <cellStyle name="level1a 3 4 3 6 3 2" xfId="3321" xr:uid="{00000000-0005-0000-0000-0000E70C0000}"/>
    <cellStyle name="level1a 3 4 3 6 3 2 2" xfId="3322" xr:uid="{00000000-0005-0000-0000-0000E80C0000}"/>
    <cellStyle name="level1a 3 4 3 6 3 3" xfId="3323" xr:uid="{00000000-0005-0000-0000-0000E90C0000}"/>
    <cellStyle name="level1a 3 4 3 6 4" xfId="3324" xr:uid="{00000000-0005-0000-0000-0000EA0C0000}"/>
    <cellStyle name="level1a 3 4 3 6 4 2" xfId="3325" xr:uid="{00000000-0005-0000-0000-0000EB0C0000}"/>
    <cellStyle name="level1a 3 4 3 6 5" xfId="3326" xr:uid="{00000000-0005-0000-0000-0000EC0C0000}"/>
    <cellStyle name="level1a 3 4 3 7" xfId="3327" xr:uid="{00000000-0005-0000-0000-0000ED0C0000}"/>
    <cellStyle name="level1a 3 4 3 7 2" xfId="3328" xr:uid="{00000000-0005-0000-0000-0000EE0C0000}"/>
    <cellStyle name="level1a 3 4 3 7 2 2" xfId="3329" xr:uid="{00000000-0005-0000-0000-0000EF0C0000}"/>
    <cellStyle name="level1a 3 4 3 7 3" xfId="3330" xr:uid="{00000000-0005-0000-0000-0000F00C0000}"/>
    <cellStyle name="level1a 3 4 3 8" xfId="3331" xr:uid="{00000000-0005-0000-0000-0000F10C0000}"/>
    <cellStyle name="level1a 3 4 3 8 2" xfId="3332" xr:uid="{00000000-0005-0000-0000-0000F20C0000}"/>
    <cellStyle name="level1a 3 4 3 8 2 2" xfId="3333" xr:uid="{00000000-0005-0000-0000-0000F30C0000}"/>
    <cellStyle name="level1a 3 4 3 8 3" xfId="3334" xr:uid="{00000000-0005-0000-0000-0000F40C0000}"/>
    <cellStyle name="level1a 3 4 3_STUD aligned by INSTIT" xfId="3335" xr:uid="{00000000-0005-0000-0000-0000F50C0000}"/>
    <cellStyle name="level1a 3 4 4" xfId="3336" xr:uid="{00000000-0005-0000-0000-0000F60C0000}"/>
    <cellStyle name="level1a 3 4 4 2" xfId="3337" xr:uid="{00000000-0005-0000-0000-0000F70C0000}"/>
    <cellStyle name="level1a 3 4 4 2 2" xfId="3338" xr:uid="{00000000-0005-0000-0000-0000F80C0000}"/>
    <cellStyle name="level1a 3 4 4 2 2 2" xfId="3339" xr:uid="{00000000-0005-0000-0000-0000F90C0000}"/>
    <cellStyle name="level1a 3 4 4 2 3" xfId="3340" xr:uid="{00000000-0005-0000-0000-0000FA0C0000}"/>
    <cellStyle name="level1a 3 4 4 3" xfId="3341" xr:uid="{00000000-0005-0000-0000-0000FB0C0000}"/>
    <cellStyle name="level1a 3 4 4 3 2" xfId="3342" xr:uid="{00000000-0005-0000-0000-0000FC0C0000}"/>
    <cellStyle name="level1a 3 4 4 3 2 2" xfId="3343" xr:uid="{00000000-0005-0000-0000-0000FD0C0000}"/>
    <cellStyle name="level1a 3 4 4 3 3" xfId="3344" xr:uid="{00000000-0005-0000-0000-0000FE0C0000}"/>
    <cellStyle name="level1a 3 4 4 4" xfId="3345" xr:uid="{00000000-0005-0000-0000-0000FF0C0000}"/>
    <cellStyle name="level1a 3 4 4 5" xfId="3346" xr:uid="{00000000-0005-0000-0000-0000000D0000}"/>
    <cellStyle name="level1a 3 4 4 5 2" xfId="3347" xr:uid="{00000000-0005-0000-0000-0000010D0000}"/>
    <cellStyle name="level1a 3 4 5" xfId="3348" xr:uid="{00000000-0005-0000-0000-0000020D0000}"/>
    <cellStyle name="level1a 3 4 5 2" xfId="3349" xr:uid="{00000000-0005-0000-0000-0000030D0000}"/>
    <cellStyle name="level1a 3 4 5 2 2" xfId="3350" xr:uid="{00000000-0005-0000-0000-0000040D0000}"/>
    <cellStyle name="level1a 3 4 5 2 2 2" xfId="3351" xr:uid="{00000000-0005-0000-0000-0000050D0000}"/>
    <cellStyle name="level1a 3 4 5 2 3" xfId="3352" xr:uid="{00000000-0005-0000-0000-0000060D0000}"/>
    <cellStyle name="level1a 3 4 5 3" xfId="3353" xr:uid="{00000000-0005-0000-0000-0000070D0000}"/>
    <cellStyle name="level1a 3 4 5 3 2" xfId="3354" xr:uid="{00000000-0005-0000-0000-0000080D0000}"/>
    <cellStyle name="level1a 3 4 5 3 2 2" xfId="3355" xr:uid="{00000000-0005-0000-0000-0000090D0000}"/>
    <cellStyle name="level1a 3 4 5 3 3" xfId="3356" xr:uid="{00000000-0005-0000-0000-00000A0D0000}"/>
    <cellStyle name="level1a 3 4 5 4" xfId="3357" xr:uid="{00000000-0005-0000-0000-00000B0D0000}"/>
    <cellStyle name="level1a 3 4 5 5" xfId="3358" xr:uid="{00000000-0005-0000-0000-00000C0D0000}"/>
    <cellStyle name="level1a 3 4 5 5 2" xfId="3359" xr:uid="{00000000-0005-0000-0000-00000D0D0000}"/>
    <cellStyle name="level1a 3 4 5 6" xfId="3360" xr:uid="{00000000-0005-0000-0000-00000E0D0000}"/>
    <cellStyle name="level1a 3 4 6" xfId="3361" xr:uid="{00000000-0005-0000-0000-00000F0D0000}"/>
    <cellStyle name="level1a 3 4 6 2" xfId="3362" xr:uid="{00000000-0005-0000-0000-0000100D0000}"/>
    <cellStyle name="level1a 3 4 6 2 2" xfId="3363" xr:uid="{00000000-0005-0000-0000-0000110D0000}"/>
    <cellStyle name="level1a 3 4 6 2 2 2" xfId="3364" xr:uid="{00000000-0005-0000-0000-0000120D0000}"/>
    <cellStyle name="level1a 3 4 6 2 3" xfId="3365" xr:uid="{00000000-0005-0000-0000-0000130D0000}"/>
    <cellStyle name="level1a 3 4 6 3" xfId="3366" xr:uid="{00000000-0005-0000-0000-0000140D0000}"/>
    <cellStyle name="level1a 3 4 6 3 2" xfId="3367" xr:uid="{00000000-0005-0000-0000-0000150D0000}"/>
    <cellStyle name="level1a 3 4 6 3 2 2" xfId="3368" xr:uid="{00000000-0005-0000-0000-0000160D0000}"/>
    <cellStyle name="level1a 3 4 6 3 3" xfId="3369" xr:uid="{00000000-0005-0000-0000-0000170D0000}"/>
    <cellStyle name="level1a 3 4 6 4" xfId="3370" xr:uid="{00000000-0005-0000-0000-0000180D0000}"/>
    <cellStyle name="level1a 3 4 6 5" xfId="3371" xr:uid="{00000000-0005-0000-0000-0000190D0000}"/>
    <cellStyle name="level1a 3 4 7" xfId="3372" xr:uid="{00000000-0005-0000-0000-00001A0D0000}"/>
    <cellStyle name="level1a 3 4 7 2" xfId="3373" xr:uid="{00000000-0005-0000-0000-00001B0D0000}"/>
    <cellStyle name="level1a 3 4 7 2 2" xfId="3374" xr:uid="{00000000-0005-0000-0000-00001C0D0000}"/>
    <cellStyle name="level1a 3 4 7 2 2 2" xfId="3375" xr:uid="{00000000-0005-0000-0000-00001D0D0000}"/>
    <cellStyle name="level1a 3 4 7 2 3" xfId="3376" xr:uid="{00000000-0005-0000-0000-00001E0D0000}"/>
    <cellStyle name="level1a 3 4 7 3" xfId="3377" xr:uid="{00000000-0005-0000-0000-00001F0D0000}"/>
    <cellStyle name="level1a 3 4 7 3 2" xfId="3378" xr:uid="{00000000-0005-0000-0000-0000200D0000}"/>
    <cellStyle name="level1a 3 4 7 3 2 2" xfId="3379" xr:uid="{00000000-0005-0000-0000-0000210D0000}"/>
    <cellStyle name="level1a 3 4 7 3 3" xfId="3380" xr:uid="{00000000-0005-0000-0000-0000220D0000}"/>
    <cellStyle name="level1a 3 4 7 4" xfId="3381" xr:uid="{00000000-0005-0000-0000-0000230D0000}"/>
    <cellStyle name="level1a 3 4 7 5" xfId="3382" xr:uid="{00000000-0005-0000-0000-0000240D0000}"/>
    <cellStyle name="level1a 3 4 7 5 2" xfId="3383" xr:uid="{00000000-0005-0000-0000-0000250D0000}"/>
    <cellStyle name="level1a 3 4 7 6" xfId="3384" xr:uid="{00000000-0005-0000-0000-0000260D0000}"/>
    <cellStyle name="level1a 3 4 8" xfId="3385" xr:uid="{00000000-0005-0000-0000-0000270D0000}"/>
    <cellStyle name="level1a 3 4 8 2" xfId="3386" xr:uid="{00000000-0005-0000-0000-0000280D0000}"/>
    <cellStyle name="level1a 3 4 8 2 2" xfId="3387" xr:uid="{00000000-0005-0000-0000-0000290D0000}"/>
    <cellStyle name="level1a 3 4 8 2 2 2" xfId="3388" xr:uid="{00000000-0005-0000-0000-00002A0D0000}"/>
    <cellStyle name="level1a 3 4 8 2 3" xfId="3389" xr:uid="{00000000-0005-0000-0000-00002B0D0000}"/>
    <cellStyle name="level1a 3 4 8 3" xfId="3390" xr:uid="{00000000-0005-0000-0000-00002C0D0000}"/>
    <cellStyle name="level1a 3 4 8 3 2" xfId="3391" xr:uid="{00000000-0005-0000-0000-00002D0D0000}"/>
    <cellStyle name="level1a 3 4 8 3 2 2" xfId="3392" xr:uid="{00000000-0005-0000-0000-00002E0D0000}"/>
    <cellStyle name="level1a 3 4 8 3 3" xfId="3393" xr:uid="{00000000-0005-0000-0000-00002F0D0000}"/>
    <cellStyle name="level1a 3 4 8 4" xfId="3394" xr:uid="{00000000-0005-0000-0000-0000300D0000}"/>
    <cellStyle name="level1a 3 4 8 4 2" xfId="3395" xr:uid="{00000000-0005-0000-0000-0000310D0000}"/>
    <cellStyle name="level1a 3 4 8 5" xfId="3396" xr:uid="{00000000-0005-0000-0000-0000320D0000}"/>
    <cellStyle name="level1a 3 4 9" xfId="3397" xr:uid="{00000000-0005-0000-0000-0000330D0000}"/>
    <cellStyle name="level1a 3 4 9 2" xfId="3398" xr:uid="{00000000-0005-0000-0000-0000340D0000}"/>
    <cellStyle name="level1a 3 4 9 2 2" xfId="3399" xr:uid="{00000000-0005-0000-0000-0000350D0000}"/>
    <cellStyle name="level1a 3 4 9 3" xfId="3400" xr:uid="{00000000-0005-0000-0000-0000360D0000}"/>
    <cellStyle name="level1a 3 4_STUD aligned by INSTIT" xfId="3401" xr:uid="{00000000-0005-0000-0000-0000370D0000}"/>
    <cellStyle name="level1a 3 5" xfId="3402" xr:uid="{00000000-0005-0000-0000-0000380D0000}"/>
    <cellStyle name="level1a 3 5 2" xfId="3403" xr:uid="{00000000-0005-0000-0000-0000390D0000}"/>
    <cellStyle name="level1a 3 5 2 2" xfId="3404" xr:uid="{00000000-0005-0000-0000-00003A0D0000}"/>
    <cellStyle name="level1a 3 5 2 2 2" xfId="3405" xr:uid="{00000000-0005-0000-0000-00003B0D0000}"/>
    <cellStyle name="level1a 3 5 2 2 2 2" xfId="3406" xr:uid="{00000000-0005-0000-0000-00003C0D0000}"/>
    <cellStyle name="level1a 3 5 2 2 3" xfId="3407" xr:uid="{00000000-0005-0000-0000-00003D0D0000}"/>
    <cellStyle name="level1a 3 5 2 3" xfId="3408" xr:uid="{00000000-0005-0000-0000-00003E0D0000}"/>
    <cellStyle name="level1a 3 5 2 3 2" xfId="3409" xr:uid="{00000000-0005-0000-0000-00003F0D0000}"/>
    <cellStyle name="level1a 3 5 2 3 2 2" xfId="3410" xr:uid="{00000000-0005-0000-0000-0000400D0000}"/>
    <cellStyle name="level1a 3 5 2 3 3" xfId="3411" xr:uid="{00000000-0005-0000-0000-0000410D0000}"/>
    <cellStyle name="level1a 3 5 2 4" xfId="3412" xr:uid="{00000000-0005-0000-0000-0000420D0000}"/>
    <cellStyle name="level1a 3 5 2 5" xfId="3413" xr:uid="{00000000-0005-0000-0000-0000430D0000}"/>
    <cellStyle name="level1a 3 5 2 5 2" xfId="3414" xr:uid="{00000000-0005-0000-0000-0000440D0000}"/>
    <cellStyle name="level1a 3 5 3" xfId="3415" xr:uid="{00000000-0005-0000-0000-0000450D0000}"/>
    <cellStyle name="level1a 3 5 3 2" xfId="3416" xr:uid="{00000000-0005-0000-0000-0000460D0000}"/>
    <cellStyle name="level1a 3 5 3 2 2" xfId="3417" xr:uid="{00000000-0005-0000-0000-0000470D0000}"/>
    <cellStyle name="level1a 3 5 3 2 2 2" xfId="3418" xr:uid="{00000000-0005-0000-0000-0000480D0000}"/>
    <cellStyle name="level1a 3 5 3 2 3" xfId="3419" xr:uid="{00000000-0005-0000-0000-0000490D0000}"/>
    <cellStyle name="level1a 3 5 3 3" xfId="3420" xr:uid="{00000000-0005-0000-0000-00004A0D0000}"/>
    <cellStyle name="level1a 3 5 3 3 2" xfId="3421" xr:uid="{00000000-0005-0000-0000-00004B0D0000}"/>
    <cellStyle name="level1a 3 5 3 3 2 2" xfId="3422" xr:uid="{00000000-0005-0000-0000-00004C0D0000}"/>
    <cellStyle name="level1a 3 5 3 3 3" xfId="3423" xr:uid="{00000000-0005-0000-0000-00004D0D0000}"/>
    <cellStyle name="level1a 3 5 3 4" xfId="3424" xr:uid="{00000000-0005-0000-0000-00004E0D0000}"/>
    <cellStyle name="level1a 3 5 3 5" xfId="3425" xr:uid="{00000000-0005-0000-0000-00004F0D0000}"/>
    <cellStyle name="level1a 3 5 4" xfId="3426" xr:uid="{00000000-0005-0000-0000-0000500D0000}"/>
    <cellStyle name="level1a 3 5 4 2" xfId="3427" xr:uid="{00000000-0005-0000-0000-0000510D0000}"/>
    <cellStyle name="level1a 3 5 4 2 2" xfId="3428" xr:uid="{00000000-0005-0000-0000-0000520D0000}"/>
    <cellStyle name="level1a 3 5 4 2 2 2" xfId="3429" xr:uid="{00000000-0005-0000-0000-0000530D0000}"/>
    <cellStyle name="level1a 3 5 4 2 3" xfId="3430" xr:uid="{00000000-0005-0000-0000-0000540D0000}"/>
    <cellStyle name="level1a 3 5 4 3" xfId="3431" xr:uid="{00000000-0005-0000-0000-0000550D0000}"/>
    <cellStyle name="level1a 3 5 4 3 2" xfId="3432" xr:uid="{00000000-0005-0000-0000-0000560D0000}"/>
    <cellStyle name="level1a 3 5 4 3 2 2" xfId="3433" xr:uid="{00000000-0005-0000-0000-0000570D0000}"/>
    <cellStyle name="level1a 3 5 4 3 3" xfId="3434" xr:uid="{00000000-0005-0000-0000-0000580D0000}"/>
    <cellStyle name="level1a 3 5 4 4" xfId="3435" xr:uid="{00000000-0005-0000-0000-0000590D0000}"/>
    <cellStyle name="level1a 3 5 4 5" xfId="3436" xr:uid="{00000000-0005-0000-0000-00005A0D0000}"/>
    <cellStyle name="level1a 3 5 4 5 2" xfId="3437" xr:uid="{00000000-0005-0000-0000-00005B0D0000}"/>
    <cellStyle name="level1a 3 5 4 6" xfId="3438" xr:uid="{00000000-0005-0000-0000-00005C0D0000}"/>
    <cellStyle name="level1a 3 5 5" xfId="3439" xr:uid="{00000000-0005-0000-0000-00005D0D0000}"/>
    <cellStyle name="level1a 3 5 5 2" xfId="3440" xr:uid="{00000000-0005-0000-0000-00005E0D0000}"/>
    <cellStyle name="level1a 3 5 5 2 2" xfId="3441" xr:uid="{00000000-0005-0000-0000-00005F0D0000}"/>
    <cellStyle name="level1a 3 5 5 2 2 2" xfId="3442" xr:uid="{00000000-0005-0000-0000-0000600D0000}"/>
    <cellStyle name="level1a 3 5 5 2 3" xfId="3443" xr:uid="{00000000-0005-0000-0000-0000610D0000}"/>
    <cellStyle name="level1a 3 5 5 3" xfId="3444" xr:uid="{00000000-0005-0000-0000-0000620D0000}"/>
    <cellStyle name="level1a 3 5 5 3 2" xfId="3445" xr:uid="{00000000-0005-0000-0000-0000630D0000}"/>
    <cellStyle name="level1a 3 5 5 3 2 2" xfId="3446" xr:uid="{00000000-0005-0000-0000-0000640D0000}"/>
    <cellStyle name="level1a 3 5 5 3 3" xfId="3447" xr:uid="{00000000-0005-0000-0000-0000650D0000}"/>
    <cellStyle name="level1a 3 5 5 4" xfId="3448" xr:uid="{00000000-0005-0000-0000-0000660D0000}"/>
    <cellStyle name="level1a 3 5 5 4 2" xfId="3449" xr:uid="{00000000-0005-0000-0000-0000670D0000}"/>
    <cellStyle name="level1a 3 5 5 5" xfId="3450" xr:uid="{00000000-0005-0000-0000-0000680D0000}"/>
    <cellStyle name="level1a 3 5 6" xfId="3451" xr:uid="{00000000-0005-0000-0000-0000690D0000}"/>
    <cellStyle name="level1a 3 5 6 2" xfId="3452" xr:uid="{00000000-0005-0000-0000-00006A0D0000}"/>
    <cellStyle name="level1a 3 5 6 2 2" xfId="3453" xr:uid="{00000000-0005-0000-0000-00006B0D0000}"/>
    <cellStyle name="level1a 3 5 6 2 2 2" xfId="3454" xr:uid="{00000000-0005-0000-0000-00006C0D0000}"/>
    <cellStyle name="level1a 3 5 6 2 3" xfId="3455" xr:uid="{00000000-0005-0000-0000-00006D0D0000}"/>
    <cellStyle name="level1a 3 5 6 3" xfId="3456" xr:uid="{00000000-0005-0000-0000-00006E0D0000}"/>
    <cellStyle name="level1a 3 5 6 3 2" xfId="3457" xr:uid="{00000000-0005-0000-0000-00006F0D0000}"/>
    <cellStyle name="level1a 3 5 6 3 2 2" xfId="3458" xr:uid="{00000000-0005-0000-0000-0000700D0000}"/>
    <cellStyle name="level1a 3 5 6 3 3" xfId="3459" xr:uid="{00000000-0005-0000-0000-0000710D0000}"/>
    <cellStyle name="level1a 3 5 6 4" xfId="3460" xr:uid="{00000000-0005-0000-0000-0000720D0000}"/>
    <cellStyle name="level1a 3 5 6 4 2" xfId="3461" xr:uid="{00000000-0005-0000-0000-0000730D0000}"/>
    <cellStyle name="level1a 3 5 6 5" xfId="3462" xr:uid="{00000000-0005-0000-0000-0000740D0000}"/>
    <cellStyle name="level1a 3 5 7" xfId="3463" xr:uid="{00000000-0005-0000-0000-0000750D0000}"/>
    <cellStyle name="level1a 3 5 7 2" xfId="3464" xr:uid="{00000000-0005-0000-0000-0000760D0000}"/>
    <cellStyle name="level1a 3 5 7 2 2" xfId="3465" xr:uid="{00000000-0005-0000-0000-0000770D0000}"/>
    <cellStyle name="level1a 3 5 7 3" xfId="3466" xr:uid="{00000000-0005-0000-0000-0000780D0000}"/>
    <cellStyle name="level1a 3 5_STUD aligned by INSTIT" xfId="3467" xr:uid="{00000000-0005-0000-0000-0000790D0000}"/>
    <cellStyle name="level1a 3 6" xfId="3468" xr:uid="{00000000-0005-0000-0000-00007A0D0000}"/>
    <cellStyle name="level1a 3 6 2" xfId="3469" xr:uid="{00000000-0005-0000-0000-00007B0D0000}"/>
    <cellStyle name="level1a 3 6 2 2" xfId="3470" xr:uid="{00000000-0005-0000-0000-00007C0D0000}"/>
    <cellStyle name="level1a 3 6 2 2 2" xfId="3471" xr:uid="{00000000-0005-0000-0000-00007D0D0000}"/>
    <cellStyle name="level1a 3 6 2 2 2 2" xfId="3472" xr:uid="{00000000-0005-0000-0000-00007E0D0000}"/>
    <cellStyle name="level1a 3 6 2 2 3" xfId="3473" xr:uid="{00000000-0005-0000-0000-00007F0D0000}"/>
    <cellStyle name="level1a 3 6 2 3" xfId="3474" xr:uid="{00000000-0005-0000-0000-0000800D0000}"/>
    <cellStyle name="level1a 3 6 2 3 2" xfId="3475" xr:uid="{00000000-0005-0000-0000-0000810D0000}"/>
    <cellStyle name="level1a 3 6 2 3 2 2" xfId="3476" xr:uid="{00000000-0005-0000-0000-0000820D0000}"/>
    <cellStyle name="level1a 3 6 2 3 3" xfId="3477" xr:uid="{00000000-0005-0000-0000-0000830D0000}"/>
    <cellStyle name="level1a 3 6 2 4" xfId="3478" xr:uid="{00000000-0005-0000-0000-0000840D0000}"/>
    <cellStyle name="level1a 3 6 2 5" xfId="3479" xr:uid="{00000000-0005-0000-0000-0000850D0000}"/>
    <cellStyle name="level1a 3 6 2 5 2" xfId="3480" xr:uid="{00000000-0005-0000-0000-0000860D0000}"/>
    <cellStyle name="level1a 3 6 2 6" xfId="3481" xr:uid="{00000000-0005-0000-0000-0000870D0000}"/>
    <cellStyle name="level1a 3 6 3" xfId="3482" xr:uid="{00000000-0005-0000-0000-0000880D0000}"/>
    <cellStyle name="level1a 3 6 3 2" xfId="3483" xr:uid="{00000000-0005-0000-0000-0000890D0000}"/>
    <cellStyle name="level1a 3 6 3 2 2" xfId="3484" xr:uid="{00000000-0005-0000-0000-00008A0D0000}"/>
    <cellStyle name="level1a 3 6 3 2 2 2" xfId="3485" xr:uid="{00000000-0005-0000-0000-00008B0D0000}"/>
    <cellStyle name="level1a 3 6 3 2 3" xfId="3486" xr:uid="{00000000-0005-0000-0000-00008C0D0000}"/>
    <cellStyle name="level1a 3 6 3 3" xfId="3487" xr:uid="{00000000-0005-0000-0000-00008D0D0000}"/>
    <cellStyle name="level1a 3 6 3 3 2" xfId="3488" xr:uid="{00000000-0005-0000-0000-00008E0D0000}"/>
    <cellStyle name="level1a 3 6 3 3 2 2" xfId="3489" xr:uid="{00000000-0005-0000-0000-00008F0D0000}"/>
    <cellStyle name="level1a 3 6 3 3 3" xfId="3490" xr:uid="{00000000-0005-0000-0000-0000900D0000}"/>
    <cellStyle name="level1a 3 6 3 4" xfId="3491" xr:uid="{00000000-0005-0000-0000-0000910D0000}"/>
    <cellStyle name="level1a 3 6 4" xfId="3492" xr:uid="{00000000-0005-0000-0000-0000920D0000}"/>
    <cellStyle name="level1a 3 6 4 2" xfId="3493" xr:uid="{00000000-0005-0000-0000-0000930D0000}"/>
    <cellStyle name="level1a 3 6 4 2 2" xfId="3494" xr:uid="{00000000-0005-0000-0000-0000940D0000}"/>
    <cellStyle name="level1a 3 6 4 2 2 2" xfId="3495" xr:uid="{00000000-0005-0000-0000-0000950D0000}"/>
    <cellStyle name="level1a 3 6 4 2 3" xfId="3496" xr:uid="{00000000-0005-0000-0000-0000960D0000}"/>
    <cellStyle name="level1a 3 6 4 3" xfId="3497" xr:uid="{00000000-0005-0000-0000-0000970D0000}"/>
    <cellStyle name="level1a 3 6 4 3 2" xfId="3498" xr:uid="{00000000-0005-0000-0000-0000980D0000}"/>
    <cellStyle name="level1a 3 6 4 3 2 2" xfId="3499" xr:uid="{00000000-0005-0000-0000-0000990D0000}"/>
    <cellStyle name="level1a 3 6 4 3 3" xfId="3500" xr:uid="{00000000-0005-0000-0000-00009A0D0000}"/>
    <cellStyle name="level1a 3 6 4 4" xfId="3501" xr:uid="{00000000-0005-0000-0000-00009B0D0000}"/>
    <cellStyle name="level1a 3 6 4 4 2" xfId="3502" xr:uid="{00000000-0005-0000-0000-00009C0D0000}"/>
    <cellStyle name="level1a 3 6 4 5" xfId="3503" xr:uid="{00000000-0005-0000-0000-00009D0D0000}"/>
    <cellStyle name="level1a 3 6 5" xfId="3504" xr:uid="{00000000-0005-0000-0000-00009E0D0000}"/>
    <cellStyle name="level1a 3 6 5 2" xfId="3505" xr:uid="{00000000-0005-0000-0000-00009F0D0000}"/>
    <cellStyle name="level1a 3 6 5 2 2" xfId="3506" xr:uid="{00000000-0005-0000-0000-0000A00D0000}"/>
    <cellStyle name="level1a 3 6 5 2 2 2" xfId="3507" xr:uid="{00000000-0005-0000-0000-0000A10D0000}"/>
    <cellStyle name="level1a 3 6 5 2 3" xfId="3508" xr:uid="{00000000-0005-0000-0000-0000A20D0000}"/>
    <cellStyle name="level1a 3 6 5 3" xfId="3509" xr:uid="{00000000-0005-0000-0000-0000A30D0000}"/>
    <cellStyle name="level1a 3 6 5 3 2" xfId="3510" xr:uid="{00000000-0005-0000-0000-0000A40D0000}"/>
    <cellStyle name="level1a 3 6 5 3 2 2" xfId="3511" xr:uid="{00000000-0005-0000-0000-0000A50D0000}"/>
    <cellStyle name="level1a 3 6 5 3 3" xfId="3512" xr:uid="{00000000-0005-0000-0000-0000A60D0000}"/>
    <cellStyle name="level1a 3 6 5 4" xfId="3513" xr:uid="{00000000-0005-0000-0000-0000A70D0000}"/>
    <cellStyle name="level1a 3 6 5 4 2" xfId="3514" xr:uid="{00000000-0005-0000-0000-0000A80D0000}"/>
    <cellStyle name="level1a 3 6 5 5" xfId="3515" xr:uid="{00000000-0005-0000-0000-0000A90D0000}"/>
    <cellStyle name="level1a 3 6 6" xfId="3516" xr:uid="{00000000-0005-0000-0000-0000AA0D0000}"/>
    <cellStyle name="level1a 3 6 6 2" xfId="3517" xr:uid="{00000000-0005-0000-0000-0000AB0D0000}"/>
    <cellStyle name="level1a 3 6 6 2 2" xfId="3518" xr:uid="{00000000-0005-0000-0000-0000AC0D0000}"/>
    <cellStyle name="level1a 3 6 6 2 2 2" xfId="3519" xr:uid="{00000000-0005-0000-0000-0000AD0D0000}"/>
    <cellStyle name="level1a 3 6 6 2 3" xfId="3520" xr:uid="{00000000-0005-0000-0000-0000AE0D0000}"/>
    <cellStyle name="level1a 3 6 6 3" xfId="3521" xr:uid="{00000000-0005-0000-0000-0000AF0D0000}"/>
    <cellStyle name="level1a 3 6 6 3 2" xfId="3522" xr:uid="{00000000-0005-0000-0000-0000B00D0000}"/>
    <cellStyle name="level1a 3 6 6 3 2 2" xfId="3523" xr:uid="{00000000-0005-0000-0000-0000B10D0000}"/>
    <cellStyle name="level1a 3 6 6 3 3" xfId="3524" xr:uid="{00000000-0005-0000-0000-0000B20D0000}"/>
    <cellStyle name="level1a 3 6 6 4" xfId="3525" xr:uid="{00000000-0005-0000-0000-0000B30D0000}"/>
    <cellStyle name="level1a 3 6 6 4 2" xfId="3526" xr:uid="{00000000-0005-0000-0000-0000B40D0000}"/>
    <cellStyle name="level1a 3 6 6 5" xfId="3527" xr:uid="{00000000-0005-0000-0000-0000B50D0000}"/>
    <cellStyle name="level1a 3 6 7" xfId="3528" xr:uid="{00000000-0005-0000-0000-0000B60D0000}"/>
    <cellStyle name="level1a 3 6 7 2" xfId="3529" xr:uid="{00000000-0005-0000-0000-0000B70D0000}"/>
    <cellStyle name="level1a 3 6 7 2 2" xfId="3530" xr:uid="{00000000-0005-0000-0000-0000B80D0000}"/>
    <cellStyle name="level1a 3 6 7 3" xfId="3531" xr:uid="{00000000-0005-0000-0000-0000B90D0000}"/>
    <cellStyle name="level1a 3 6 8" xfId="3532" xr:uid="{00000000-0005-0000-0000-0000BA0D0000}"/>
    <cellStyle name="level1a 3 6 8 2" xfId="3533" xr:uid="{00000000-0005-0000-0000-0000BB0D0000}"/>
    <cellStyle name="level1a 3 6 8 2 2" xfId="3534" xr:uid="{00000000-0005-0000-0000-0000BC0D0000}"/>
    <cellStyle name="level1a 3 6 8 3" xfId="3535" xr:uid="{00000000-0005-0000-0000-0000BD0D0000}"/>
    <cellStyle name="level1a 3 6_STUD aligned by INSTIT" xfId="3536" xr:uid="{00000000-0005-0000-0000-0000BE0D0000}"/>
    <cellStyle name="level1a 3 7" xfId="3537" xr:uid="{00000000-0005-0000-0000-0000BF0D0000}"/>
    <cellStyle name="level1a 3 7 2" xfId="3538" xr:uid="{00000000-0005-0000-0000-0000C00D0000}"/>
    <cellStyle name="level1a 3 7 2 2" xfId="3539" xr:uid="{00000000-0005-0000-0000-0000C10D0000}"/>
    <cellStyle name="level1a 3 7 2 2 2" xfId="3540" xr:uid="{00000000-0005-0000-0000-0000C20D0000}"/>
    <cellStyle name="level1a 3 7 2 3" xfId="3541" xr:uid="{00000000-0005-0000-0000-0000C30D0000}"/>
    <cellStyle name="level1a 3 7 3" xfId="3542" xr:uid="{00000000-0005-0000-0000-0000C40D0000}"/>
    <cellStyle name="level1a 3 7 3 2" xfId="3543" xr:uid="{00000000-0005-0000-0000-0000C50D0000}"/>
    <cellStyle name="level1a 3 7 3 2 2" xfId="3544" xr:uid="{00000000-0005-0000-0000-0000C60D0000}"/>
    <cellStyle name="level1a 3 7 3 3" xfId="3545" xr:uid="{00000000-0005-0000-0000-0000C70D0000}"/>
    <cellStyle name="level1a 3 7 4" xfId="3546" xr:uid="{00000000-0005-0000-0000-0000C80D0000}"/>
    <cellStyle name="level1a 3 7 5" xfId="3547" xr:uid="{00000000-0005-0000-0000-0000C90D0000}"/>
    <cellStyle name="level1a 3 7 5 2" xfId="3548" xr:uid="{00000000-0005-0000-0000-0000CA0D0000}"/>
    <cellStyle name="level1a 3 8" xfId="3549" xr:uid="{00000000-0005-0000-0000-0000CB0D0000}"/>
    <cellStyle name="level1a 3 8 2" xfId="3550" xr:uid="{00000000-0005-0000-0000-0000CC0D0000}"/>
    <cellStyle name="level1a 3 8 2 2" xfId="3551" xr:uid="{00000000-0005-0000-0000-0000CD0D0000}"/>
    <cellStyle name="level1a 3 8 2 2 2" xfId="3552" xr:uid="{00000000-0005-0000-0000-0000CE0D0000}"/>
    <cellStyle name="level1a 3 8 2 3" xfId="3553" xr:uid="{00000000-0005-0000-0000-0000CF0D0000}"/>
    <cellStyle name="level1a 3 8 3" xfId="3554" xr:uid="{00000000-0005-0000-0000-0000D00D0000}"/>
    <cellStyle name="level1a 3 8 3 2" xfId="3555" xr:uid="{00000000-0005-0000-0000-0000D10D0000}"/>
    <cellStyle name="level1a 3 8 3 2 2" xfId="3556" xr:uid="{00000000-0005-0000-0000-0000D20D0000}"/>
    <cellStyle name="level1a 3 8 3 3" xfId="3557" xr:uid="{00000000-0005-0000-0000-0000D30D0000}"/>
    <cellStyle name="level1a 3 8 4" xfId="3558" xr:uid="{00000000-0005-0000-0000-0000D40D0000}"/>
    <cellStyle name="level1a 3 8 5" xfId="3559" xr:uid="{00000000-0005-0000-0000-0000D50D0000}"/>
    <cellStyle name="level1a 3 8 5 2" xfId="3560" xr:uid="{00000000-0005-0000-0000-0000D60D0000}"/>
    <cellStyle name="level1a 3 8 6" xfId="3561" xr:uid="{00000000-0005-0000-0000-0000D70D0000}"/>
    <cellStyle name="level1a 3 9" xfId="3562" xr:uid="{00000000-0005-0000-0000-0000D80D0000}"/>
    <cellStyle name="level1a 3 9 2" xfId="3563" xr:uid="{00000000-0005-0000-0000-0000D90D0000}"/>
    <cellStyle name="level1a 3 9 2 2" xfId="3564" xr:uid="{00000000-0005-0000-0000-0000DA0D0000}"/>
    <cellStyle name="level1a 3 9 2 2 2" xfId="3565" xr:uid="{00000000-0005-0000-0000-0000DB0D0000}"/>
    <cellStyle name="level1a 3 9 2 3" xfId="3566" xr:uid="{00000000-0005-0000-0000-0000DC0D0000}"/>
    <cellStyle name="level1a 3 9 3" xfId="3567" xr:uid="{00000000-0005-0000-0000-0000DD0D0000}"/>
    <cellStyle name="level1a 3 9 3 2" xfId="3568" xr:uid="{00000000-0005-0000-0000-0000DE0D0000}"/>
    <cellStyle name="level1a 3 9 3 2 2" xfId="3569" xr:uid="{00000000-0005-0000-0000-0000DF0D0000}"/>
    <cellStyle name="level1a 3 9 3 3" xfId="3570" xr:uid="{00000000-0005-0000-0000-0000E00D0000}"/>
    <cellStyle name="level1a 3 9 4" xfId="3571" xr:uid="{00000000-0005-0000-0000-0000E10D0000}"/>
    <cellStyle name="level1a 3 9 5" xfId="3572" xr:uid="{00000000-0005-0000-0000-0000E20D0000}"/>
    <cellStyle name="level1a 3_STUD aligned by INSTIT" xfId="3573" xr:uid="{00000000-0005-0000-0000-0000E30D0000}"/>
    <cellStyle name="level1a 4" xfId="3574" xr:uid="{00000000-0005-0000-0000-0000E40D0000}"/>
    <cellStyle name="level1a 4 10" xfId="3575" xr:uid="{00000000-0005-0000-0000-0000E50D0000}"/>
    <cellStyle name="level1a 4 2" xfId="3576" xr:uid="{00000000-0005-0000-0000-0000E60D0000}"/>
    <cellStyle name="level1a 4 2 2" xfId="3577" xr:uid="{00000000-0005-0000-0000-0000E70D0000}"/>
    <cellStyle name="level1a 4 2 2 2" xfId="3578" xr:uid="{00000000-0005-0000-0000-0000E80D0000}"/>
    <cellStyle name="level1a 4 2 2 2 2" xfId="3579" xr:uid="{00000000-0005-0000-0000-0000E90D0000}"/>
    <cellStyle name="level1a 4 2 2 2 2 2" xfId="3580" xr:uid="{00000000-0005-0000-0000-0000EA0D0000}"/>
    <cellStyle name="level1a 4 2 2 2 3" xfId="3581" xr:uid="{00000000-0005-0000-0000-0000EB0D0000}"/>
    <cellStyle name="level1a 4 2 2 3" xfId="3582" xr:uid="{00000000-0005-0000-0000-0000EC0D0000}"/>
    <cellStyle name="level1a 4 2 2 3 2" xfId="3583" xr:uid="{00000000-0005-0000-0000-0000ED0D0000}"/>
    <cellStyle name="level1a 4 2 2 3 2 2" xfId="3584" xr:uid="{00000000-0005-0000-0000-0000EE0D0000}"/>
    <cellStyle name="level1a 4 2 2 3 3" xfId="3585" xr:uid="{00000000-0005-0000-0000-0000EF0D0000}"/>
    <cellStyle name="level1a 4 2 2 4" xfId="3586" xr:uid="{00000000-0005-0000-0000-0000F00D0000}"/>
    <cellStyle name="level1a 4 2 2 5" xfId="3587" xr:uid="{00000000-0005-0000-0000-0000F10D0000}"/>
    <cellStyle name="level1a 4 2 2 5 2" xfId="3588" xr:uid="{00000000-0005-0000-0000-0000F20D0000}"/>
    <cellStyle name="level1a 4 2 3" xfId="3589" xr:uid="{00000000-0005-0000-0000-0000F30D0000}"/>
    <cellStyle name="level1a 4 2 3 2" xfId="3590" xr:uid="{00000000-0005-0000-0000-0000F40D0000}"/>
    <cellStyle name="level1a 4 2 3 2 2" xfId="3591" xr:uid="{00000000-0005-0000-0000-0000F50D0000}"/>
    <cellStyle name="level1a 4 2 3 2 2 2" xfId="3592" xr:uid="{00000000-0005-0000-0000-0000F60D0000}"/>
    <cellStyle name="level1a 4 2 3 2 3" xfId="3593" xr:uid="{00000000-0005-0000-0000-0000F70D0000}"/>
    <cellStyle name="level1a 4 2 3 3" xfId="3594" xr:uid="{00000000-0005-0000-0000-0000F80D0000}"/>
    <cellStyle name="level1a 4 2 3 3 2" xfId="3595" xr:uid="{00000000-0005-0000-0000-0000F90D0000}"/>
    <cellStyle name="level1a 4 2 3 3 2 2" xfId="3596" xr:uid="{00000000-0005-0000-0000-0000FA0D0000}"/>
    <cellStyle name="level1a 4 2 3 3 3" xfId="3597" xr:uid="{00000000-0005-0000-0000-0000FB0D0000}"/>
    <cellStyle name="level1a 4 2 3 4" xfId="3598" xr:uid="{00000000-0005-0000-0000-0000FC0D0000}"/>
    <cellStyle name="level1a 4 2 3 5" xfId="3599" xr:uid="{00000000-0005-0000-0000-0000FD0D0000}"/>
    <cellStyle name="level1a 4 2 4" xfId="3600" xr:uid="{00000000-0005-0000-0000-0000FE0D0000}"/>
    <cellStyle name="level1a 4 2 4 2" xfId="3601" xr:uid="{00000000-0005-0000-0000-0000FF0D0000}"/>
    <cellStyle name="level1a 4 2 4 2 2" xfId="3602" xr:uid="{00000000-0005-0000-0000-0000000E0000}"/>
    <cellStyle name="level1a 4 2 4 2 2 2" xfId="3603" xr:uid="{00000000-0005-0000-0000-0000010E0000}"/>
    <cellStyle name="level1a 4 2 4 2 3" xfId="3604" xr:uid="{00000000-0005-0000-0000-0000020E0000}"/>
    <cellStyle name="level1a 4 2 4 3" xfId="3605" xr:uid="{00000000-0005-0000-0000-0000030E0000}"/>
    <cellStyle name="level1a 4 2 4 3 2" xfId="3606" xr:uid="{00000000-0005-0000-0000-0000040E0000}"/>
    <cellStyle name="level1a 4 2 4 3 2 2" xfId="3607" xr:uid="{00000000-0005-0000-0000-0000050E0000}"/>
    <cellStyle name="level1a 4 2 4 3 3" xfId="3608" xr:uid="{00000000-0005-0000-0000-0000060E0000}"/>
    <cellStyle name="level1a 4 2 4 4" xfId="3609" xr:uid="{00000000-0005-0000-0000-0000070E0000}"/>
    <cellStyle name="level1a 4 2 4 5" xfId="3610" xr:uid="{00000000-0005-0000-0000-0000080E0000}"/>
    <cellStyle name="level1a 4 2 4 5 2" xfId="3611" xr:uid="{00000000-0005-0000-0000-0000090E0000}"/>
    <cellStyle name="level1a 4 2 4 6" xfId="3612" xr:uid="{00000000-0005-0000-0000-00000A0E0000}"/>
    <cellStyle name="level1a 4 2 5" xfId="3613" xr:uid="{00000000-0005-0000-0000-00000B0E0000}"/>
    <cellStyle name="level1a 4 2 5 2" xfId="3614" xr:uid="{00000000-0005-0000-0000-00000C0E0000}"/>
    <cellStyle name="level1a 4 2 5 2 2" xfId="3615" xr:uid="{00000000-0005-0000-0000-00000D0E0000}"/>
    <cellStyle name="level1a 4 2 5 2 2 2" xfId="3616" xr:uid="{00000000-0005-0000-0000-00000E0E0000}"/>
    <cellStyle name="level1a 4 2 5 2 3" xfId="3617" xr:uid="{00000000-0005-0000-0000-00000F0E0000}"/>
    <cellStyle name="level1a 4 2 5 3" xfId="3618" xr:uid="{00000000-0005-0000-0000-0000100E0000}"/>
    <cellStyle name="level1a 4 2 5 3 2" xfId="3619" xr:uid="{00000000-0005-0000-0000-0000110E0000}"/>
    <cellStyle name="level1a 4 2 5 3 2 2" xfId="3620" xr:uid="{00000000-0005-0000-0000-0000120E0000}"/>
    <cellStyle name="level1a 4 2 5 3 3" xfId="3621" xr:uid="{00000000-0005-0000-0000-0000130E0000}"/>
    <cellStyle name="level1a 4 2 5 4" xfId="3622" xr:uid="{00000000-0005-0000-0000-0000140E0000}"/>
    <cellStyle name="level1a 4 2 5 4 2" xfId="3623" xr:uid="{00000000-0005-0000-0000-0000150E0000}"/>
    <cellStyle name="level1a 4 2 5 5" xfId="3624" xr:uid="{00000000-0005-0000-0000-0000160E0000}"/>
    <cellStyle name="level1a 4 2 6" xfId="3625" xr:uid="{00000000-0005-0000-0000-0000170E0000}"/>
    <cellStyle name="level1a 4 2 6 2" xfId="3626" xr:uid="{00000000-0005-0000-0000-0000180E0000}"/>
    <cellStyle name="level1a 4 2 6 2 2" xfId="3627" xr:uid="{00000000-0005-0000-0000-0000190E0000}"/>
    <cellStyle name="level1a 4 2 6 2 2 2" xfId="3628" xr:uid="{00000000-0005-0000-0000-00001A0E0000}"/>
    <cellStyle name="level1a 4 2 6 2 3" xfId="3629" xr:uid="{00000000-0005-0000-0000-00001B0E0000}"/>
    <cellStyle name="level1a 4 2 6 3" xfId="3630" xr:uid="{00000000-0005-0000-0000-00001C0E0000}"/>
    <cellStyle name="level1a 4 2 6 3 2" xfId="3631" xr:uid="{00000000-0005-0000-0000-00001D0E0000}"/>
    <cellStyle name="level1a 4 2 6 3 2 2" xfId="3632" xr:uid="{00000000-0005-0000-0000-00001E0E0000}"/>
    <cellStyle name="level1a 4 2 6 3 3" xfId="3633" xr:uid="{00000000-0005-0000-0000-00001F0E0000}"/>
    <cellStyle name="level1a 4 2 6 4" xfId="3634" xr:uid="{00000000-0005-0000-0000-0000200E0000}"/>
    <cellStyle name="level1a 4 2 6 4 2" xfId="3635" xr:uid="{00000000-0005-0000-0000-0000210E0000}"/>
    <cellStyle name="level1a 4 2 6 5" xfId="3636" xr:uid="{00000000-0005-0000-0000-0000220E0000}"/>
    <cellStyle name="level1a 4 2 7" xfId="3637" xr:uid="{00000000-0005-0000-0000-0000230E0000}"/>
    <cellStyle name="level1a 4 2 7 2" xfId="3638" xr:uid="{00000000-0005-0000-0000-0000240E0000}"/>
    <cellStyle name="level1a 4 2 7 2 2" xfId="3639" xr:uid="{00000000-0005-0000-0000-0000250E0000}"/>
    <cellStyle name="level1a 4 2 7 3" xfId="3640" xr:uid="{00000000-0005-0000-0000-0000260E0000}"/>
    <cellStyle name="level1a 4 2_STUD aligned by INSTIT" xfId="3641" xr:uid="{00000000-0005-0000-0000-0000270E0000}"/>
    <cellStyle name="level1a 4 3" xfId="3642" xr:uid="{00000000-0005-0000-0000-0000280E0000}"/>
    <cellStyle name="level1a 4 3 2" xfId="3643" xr:uid="{00000000-0005-0000-0000-0000290E0000}"/>
    <cellStyle name="level1a 4 3 2 2" xfId="3644" xr:uid="{00000000-0005-0000-0000-00002A0E0000}"/>
    <cellStyle name="level1a 4 3 2 2 2" xfId="3645" xr:uid="{00000000-0005-0000-0000-00002B0E0000}"/>
    <cellStyle name="level1a 4 3 2 2 2 2" xfId="3646" xr:uid="{00000000-0005-0000-0000-00002C0E0000}"/>
    <cellStyle name="level1a 4 3 2 2 3" xfId="3647" xr:uid="{00000000-0005-0000-0000-00002D0E0000}"/>
    <cellStyle name="level1a 4 3 2 3" xfId="3648" xr:uid="{00000000-0005-0000-0000-00002E0E0000}"/>
    <cellStyle name="level1a 4 3 2 3 2" xfId="3649" xr:uid="{00000000-0005-0000-0000-00002F0E0000}"/>
    <cellStyle name="level1a 4 3 2 3 2 2" xfId="3650" xr:uid="{00000000-0005-0000-0000-0000300E0000}"/>
    <cellStyle name="level1a 4 3 2 3 3" xfId="3651" xr:uid="{00000000-0005-0000-0000-0000310E0000}"/>
    <cellStyle name="level1a 4 3 2 4" xfId="3652" xr:uid="{00000000-0005-0000-0000-0000320E0000}"/>
    <cellStyle name="level1a 4 3 2 5" xfId="3653" xr:uid="{00000000-0005-0000-0000-0000330E0000}"/>
    <cellStyle name="level1a 4 3 3" xfId="3654" xr:uid="{00000000-0005-0000-0000-0000340E0000}"/>
    <cellStyle name="level1a 4 3 3 2" xfId="3655" xr:uid="{00000000-0005-0000-0000-0000350E0000}"/>
    <cellStyle name="level1a 4 3 3 2 2" xfId="3656" xr:uid="{00000000-0005-0000-0000-0000360E0000}"/>
    <cellStyle name="level1a 4 3 3 2 2 2" xfId="3657" xr:uid="{00000000-0005-0000-0000-0000370E0000}"/>
    <cellStyle name="level1a 4 3 3 2 3" xfId="3658" xr:uid="{00000000-0005-0000-0000-0000380E0000}"/>
    <cellStyle name="level1a 4 3 3 3" xfId="3659" xr:uid="{00000000-0005-0000-0000-0000390E0000}"/>
    <cellStyle name="level1a 4 3 3 3 2" xfId="3660" xr:uid="{00000000-0005-0000-0000-00003A0E0000}"/>
    <cellStyle name="level1a 4 3 3 3 2 2" xfId="3661" xr:uid="{00000000-0005-0000-0000-00003B0E0000}"/>
    <cellStyle name="level1a 4 3 3 3 3" xfId="3662" xr:uid="{00000000-0005-0000-0000-00003C0E0000}"/>
    <cellStyle name="level1a 4 3 3 4" xfId="3663" xr:uid="{00000000-0005-0000-0000-00003D0E0000}"/>
    <cellStyle name="level1a 4 3 3 4 2" xfId="3664" xr:uid="{00000000-0005-0000-0000-00003E0E0000}"/>
    <cellStyle name="level1a 4 3 4" xfId="3665" xr:uid="{00000000-0005-0000-0000-00003F0E0000}"/>
    <cellStyle name="level1a 4 3 4 2" xfId="3666" xr:uid="{00000000-0005-0000-0000-0000400E0000}"/>
    <cellStyle name="level1a 4 3 4 2 2" xfId="3667" xr:uid="{00000000-0005-0000-0000-0000410E0000}"/>
    <cellStyle name="level1a 4 3 4 2 2 2" xfId="3668" xr:uid="{00000000-0005-0000-0000-0000420E0000}"/>
    <cellStyle name="level1a 4 3 4 2 3" xfId="3669" xr:uid="{00000000-0005-0000-0000-0000430E0000}"/>
    <cellStyle name="level1a 4 3 4 3" xfId="3670" xr:uid="{00000000-0005-0000-0000-0000440E0000}"/>
    <cellStyle name="level1a 4 3 4 3 2" xfId="3671" xr:uid="{00000000-0005-0000-0000-0000450E0000}"/>
    <cellStyle name="level1a 4 3 4 3 2 2" xfId="3672" xr:uid="{00000000-0005-0000-0000-0000460E0000}"/>
    <cellStyle name="level1a 4 3 4 3 3" xfId="3673" xr:uid="{00000000-0005-0000-0000-0000470E0000}"/>
    <cellStyle name="level1a 4 3 4 4" xfId="3674" xr:uid="{00000000-0005-0000-0000-0000480E0000}"/>
    <cellStyle name="level1a 4 3 4 4 2" xfId="3675" xr:uid="{00000000-0005-0000-0000-0000490E0000}"/>
    <cellStyle name="level1a 4 3 4 5" xfId="3676" xr:uid="{00000000-0005-0000-0000-00004A0E0000}"/>
    <cellStyle name="level1a 4 3 5" xfId="3677" xr:uid="{00000000-0005-0000-0000-00004B0E0000}"/>
    <cellStyle name="level1a 4 3 5 2" xfId="3678" xr:uid="{00000000-0005-0000-0000-00004C0E0000}"/>
    <cellStyle name="level1a 4 3 5 2 2" xfId="3679" xr:uid="{00000000-0005-0000-0000-00004D0E0000}"/>
    <cellStyle name="level1a 4 3 5 2 2 2" xfId="3680" xr:uid="{00000000-0005-0000-0000-00004E0E0000}"/>
    <cellStyle name="level1a 4 3 5 2 3" xfId="3681" xr:uid="{00000000-0005-0000-0000-00004F0E0000}"/>
    <cellStyle name="level1a 4 3 5 3" xfId="3682" xr:uid="{00000000-0005-0000-0000-0000500E0000}"/>
    <cellStyle name="level1a 4 3 5 3 2" xfId="3683" xr:uid="{00000000-0005-0000-0000-0000510E0000}"/>
    <cellStyle name="level1a 4 3 5 3 2 2" xfId="3684" xr:uid="{00000000-0005-0000-0000-0000520E0000}"/>
    <cellStyle name="level1a 4 3 5 3 3" xfId="3685" xr:uid="{00000000-0005-0000-0000-0000530E0000}"/>
    <cellStyle name="level1a 4 3 5 4" xfId="3686" xr:uid="{00000000-0005-0000-0000-0000540E0000}"/>
    <cellStyle name="level1a 4 3 5 4 2" xfId="3687" xr:uid="{00000000-0005-0000-0000-0000550E0000}"/>
    <cellStyle name="level1a 4 3 5 5" xfId="3688" xr:uid="{00000000-0005-0000-0000-0000560E0000}"/>
    <cellStyle name="level1a 4 3 6" xfId="3689" xr:uid="{00000000-0005-0000-0000-0000570E0000}"/>
    <cellStyle name="level1a 4 3 6 2" xfId="3690" xr:uid="{00000000-0005-0000-0000-0000580E0000}"/>
    <cellStyle name="level1a 4 3 6 2 2" xfId="3691" xr:uid="{00000000-0005-0000-0000-0000590E0000}"/>
    <cellStyle name="level1a 4 3 6 2 2 2" xfId="3692" xr:uid="{00000000-0005-0000-0000-00005A0E0000}"/>
    <cellStyle name="level1a 4 3 6 2 3" xfId="3693" xr:uid="{00000000-0005-0000-0000-00005B0E0000}"/>
    <cellStyle name="level1a 4 3 6 3" xfId="3694" xr:uid="{00000000-0005-0000-0000-00005C0E0000}"/>
    <cellStyle name="level1a 4 3 6 3 2" xfId="3695" xr:uid="{00000000-0005-0000-0000-00005D0E0000}"/>
    <cellStyle name="level1a 4 3 6 3 2 2" xfId="3696" xr:uid="{00000000-0005-0000-0000-00005E0E0000}"/>
    <cellStyle name="level1a 4 3 6 3 3" xfId="3697" xr:uid="{00000000-0005-0000-0000-00005F0E0000}"/>
    <cellStyle name="level1a 4 3 6 4" xfId="3698" xr:uid="{00000000-0005-0000-0000-0000600E0000}"/>
    <cellStyle name="level1a 4 3 6 4 2" xfId="3699" xr:uid="{00000000-0005-0000-0000-0000610E0000}"/>
    <cellStyle name="level1a 4 3 6 5" xfId="3700" xr:uid="{00000000-0005-0000-0000-0000620E0000}"/>
    <cellStyle name="level1a 4 3 7" xfId="3701" xr:uid="{00000000-0005-0000-0000-0000630E0000}"/>
    <cellStyle name="level1a 4 3 7 2" xfId="3702" xr:uid="{00000000-0005-0000-0000-0000640E0000}"/>
    <cellStyle name="level1a 4 3 7 2 2" xfId="3703" xr:uid="{00000000-0005-0000-0000-0000650E0000}"/>
    <cellStyle name="level1a 4 3 7 3" xfId="3704" xr:uid="{00000000-0005-0000-0000-0000660E0000}"/>
    <cellStyle name="level1a 4 3 8" xfId="3705" xr:uid="{00000000-0005-0000-0000-0000670E0000}"/>
    <cellStyle name="level1a 4 3 8 2" xfId="3706" xr:uid="{00000000-0005-0000-0000-0000680E0000}"/>
    <cellStyle name="level1a 4 3 8 2 2" xfId="3707" xr:uid="{00000000-0005-0000-0000-0000690E0000}"/>
    <cellStyle name="level1a 4 3 8 3" xfId="3708" xr:uid="{00000000-0005-0000-0000-00006A0E0000}"/>
    <cellStyle name="level1a 4 3_STUD aligned by INSTIT" xfId="3709" xr:uid="{00000000-0005-0000-0000-00006B0E0000}"/>
    <cellStyle name="level1a 4 4" xfId="3710" xr:uid="{00000000-0005-0000-0000-00006C0E0000}"/>
    <cellStyle name="level1a 4 4 2" xfId="3711" xr:uid="{00000000-0005-0000-0000-00006D0E0000}"/>
    <cellStyle name="level1a 4 4 2 2" xfId="3712" xr:uid="{00000000-0005-0000-0000-00006E0E0000}"/>
    <cellStyle name="level1a 4 4 2 2 2" xfId="3713" xr:uid="{00000000-0005-0000-0000-00006F0E0000}"/>
    <cellStyle name="level1a 4 4 2 3" xfId="3714" xr:uid="{00000000-0005-0000-0000-0000700E0000}"/>
    <cellStyle name="level1a 4 4 3" xfId="3715" xr:uid="{00000000-0005-0000-0000-0000710E0000}"/>
    <cellStyle name="level1a 4 4 3 2" xfId="3716" xr:uid="{00000000-0005-0000-0000-0000720E0000}"/>
    <cellStyle name="level1a 4 4 3 2 2" xfId="3717" xr:uid="{00000000-0005-0000-0000-0000730E0000}"/>
    <cellStyle name="level1a 4 4 3 3" xfId="3718" xr:uid="{00000000-0005-0000-0000-0000740E0000}"/>
    <cellStyle name="level1a 4 4 4" xfId="3719" xr:uid="{00000000-0005-0000-0000-0000750E0000}"/>
    <cellStyle name="level1a 4 4 5" xfId="3720" xr:uid="{00000000-0005-0000-0000-0000760E0000}"/>
    <cellStyle name="level1a 4 4 5 2" xfId="3721" xr:uid="{00000000-0005-0000-0000-0000770E0000}"/>
    <cellStyle name="level1a 4 5" xfId="3722" xr:uid="{00000000-0005-0000-0000-0000780E0000}"/>
    <cellStyle name="level1a 4 5 2" xfId="3723" xr:uid="{00000000-0005-0000-0000-0000790E0000}"/>
    <cellStyle name="level1a 4 5 2 2" xfId="3724" xr:uid="{00000000-0005-0000-0000-00007A0E0000}"/>
    <cellStyle name="level1a 4 5 2 2 2" xfId="3725" xr:uid="{00000000-0005-0000-0000-00007B0E0000}"/>
    <cellStyle name="level1a 4 5 2 3" xfId="3726" xr:uid="{00000000-0005-0000-0000-00007C0E0000}"/>
    <cellStyle name="level1a 4 5 3" xfId="3727" xr:uid="{00000000-0005-0000-0000-00007D0E0000}"/>
    <cellStyle name="level1a 4 5 3 2" xfId="3728" xr:uid="{00000000-0005-0000-0000-00007E0E0000}"/>
    <cellStyle name="level1a 4 5 3 2 2" xfId="3729" xr:uid="{00000000-0005-0000-0000-00007F0E0000}"/>
    <cellStyle name="level1a 4 5 3 3" xfId="3730" xr:uid="{00000000-0005-0000-0000-0000800E0000}"/>
    <cellStyle name="level1a 4 5 4" xfId="3731" xr:uid="{00000000-0005-0000-0000-0000810E0000}"/>
    <cellStyle name="level1a 4 5 5" xfId="3732" xr:uid="{00000000-0005-0000-0000-0000820E0000}"/>
    <cellStyle name="level1a 4 5 5 2" xfId="3733" xr:uid="{00000000-0005-0000-0000-0000830E0000}"/>
    <cellStyle name="level1a 4 5 6" xfId="3734" xr:uid="{00000000-0005-0000-0000-0000840E0000}"/>
    <cellStyle name="level1a 4 6" xfId="3735" xr:uid="{00000000-0005-0000-0000-0000850E0000}"/>
    <cellStyle name="level1a 4 6 2" xfId="3736" xr:uid="{00000000-0005-0000-0000-0000860E0000}"/>
    <cellStyle name="level1a 4 6 2 2" xfId="3737" xr:uid="{00000000-0005-0000-0000-0000870E0000}"/>
    <cellStyle name="level1a 4 6 2 2 2" xfId="3738" xr:uid="{00000000-0005-0000-0000-0000880E0000}"/>
    <cellStyle name="level1a 4 6 2 3" xfId="3739" xr:uid="{00000000-0005-0000-0000-0000890E0000}"/>
    <cellStyle name="level1a 4 6 3" xfId="3740" xr:uid="{00000000-0005-0000-0000-00008A0E0000}"/>
    <cellStyle name="level1a 4 6 3 2" xfId="3741" xr:uid="{00000000-0005-0000-0000-00008B0E0000}"/>
    <cellStyle name="level1a 4 6 3 2 2" xfId="3742" xr:uid="{00000000-0005-0000-0000-00008C0E0000}"/>
    <cellStyle name="level1a 4 6 3 3" xfId="3743" xr:uid="{00000000-0005-0000-0000-00008D0E0000}"/>
    <cellStyle name="level1a 4 6 4" xfId="3744" xr:uid="{00000000-0005-0000-0000-00008E0E0000}"/>
    <cellStyle name="level1a 4 6 5" xfId="3745" xr:uid="{00000000-0005-0000-0000-00008F0E0000}"/>
    <cellStyle name="level1a 4 7" xfId="3746" xr:uid="{00000000-0005-0000-0000-0000900E0000}"/>
    <cellStyle name="level1a 4 7 2" xfId="3747" xr:uid="{00000000-0005-0000-0000-0000910E0000}"/>
    <cellStyle name="level1a 4 7 2 2" xfId="3748" xr:uid="{00000000-0005-0000-0000-0000920E0000}"/>
    <cellStyle name="level1a 4 7 2 2 2" xfId="3749" xr:uid="{00000000-0005-0000-0000-0000930E0000}"/>
    <cellStyle name="level1a 4 7 2 3" xfId="3750" xr:uid="{00000000-0005-0000-0000-0000940E0000}"/>
    <cellStyle name="level1a 4 7 3" xfId="3751" xr:uid="{00000000-0005-0000-0000-0000950E0000}"/>
    <cellStyle name="level1a 4 7 3 2" xfId="3752" xr:uid="{00000000-0005-0000-0000-0000960E0000}"/>
    <cellStyle name="level1a 4 7 3 2 2" xfId="3753" xr:uid="{00000000-0005-0000-0000-0000970E0000}"/>
    <cellStyle name="level1a 4 7 3 3" xfId="3754" xr:uid="{00000000-0005-0000-0000-0000980E0000}"/>
    <cellStyle name="level1a 4 7 4" xfId="3755" xr:uid="{00000000-0005-0000-0000-0000990E0000}"/>
    <cellStyle name="level1a 4 7 5" xfId="3756" xr:uid="{00000000-0005-0000-0000-00009A0E0000}"/>
    <cellStyle name="level1a 4 7 5 2" xfId="3757" xr:uid="{00000000-0005-0000-0000-00009B0E0000}"/>
    <cellStyle name="level1a 4 7 6" xfId="3758" xr:uid="{00000000-0005-0000-0000-00009C0E0000}"/>
    <cellStyle name="level1a 4 8" xfId="3759" xr:uid="{00000000-0005-0000-0000-00009D0E0000}"/>
    <cellStyle name="level1a 4 8 2" xfId="3760" xr:uid="{00000000-0005-0000-0000-00009E0E0000}"/>
    <cellStyle name="level1a 4 8 2 2" xfId="3761" xr:uid="{00000000-0005-0000-0000-00009F0E0000}"/>
    <cellStyle name="level1a 4 8 2 2 2" xfId="3762" xr:uid="{00000000-0005-0000-0000-0000A00E0000}"/>
    <cellStyle name="level1a 4 8 2 3" xfId="3763" xr:uid="{00000000-0005-0000-0000-0000A10E0000}"/>
    <cellStyle name="level1a 4 8 3" xfId="3764" xr:uid="{00000000-0005-0000-0000-0000A20E0000}"/>
    <cellStyle name="level1a 4 8 3 2" xfId="3765" xr:uid="{00000000-0005-0000-0000-0000A30E0000}"/>
    <cellStyle name="level1a 4 8 3 2 2" xfId="3766" xr:uid="{00000000-0005-0000-0000-0000A40E0000}"/>
    <cellStyle name="level1a 4 8 3 3" xfId="3767" xr:uid="{00000000-0005-0000-0000-0000A50E0000}"/>
    <cellStyle name="level1a 4 8 4" xfId="3768" xr:uid="{00000000-0005-0000-0000-0000A60E0000}"/>
    <cellStyle name="level1a 4 8 4 2" xfId="3769" xr:uid="{00000000-0005-0000-0000-0000A70E0000}"/>
    <cellStyle name="level1a 4 8 5" xfId="3770" xr:uid="{00000000-0005-0000-0000-0000A80E0000}"/>
    <cellStyle name="level1a 4 9" xfId="3771" xr:uid="{00000000-0005-0000-0000-0000A90E0000}"/>
    <cellStyle name="level1a 4 9 2" xfId="3772" xr:uid="{00000000-0005-0000-0000-0000AA0E0000}"/>
    <cellStyle name="level1a 4 9 2 2" xfId="3773" xr:uid="{00000000-0005-0000-0000-0000AB0E0000}"/>
    <cellStyle name="level1a 4 9 3" xfId="3774" xr:uid="{00000000-0005-0000-0000-0000AC0E0000}"/>
    <cellStyle name="level1a 4_STUD aligned by INSTIT" xfId="3775" xr:uid="{00000000-0005-0000-0000-0000AD0E0000}"/>
    <cellStyle name="level1a 5" xfId="3776" xr:uid="{00000000-0005-0000-0000-0000AE0E0000}"/>
    <cellStyle name="level1a 5 2" xfId="3777" xr:uid="{00000000-0005-0000-0000-0000AF0E0000}"/>
    <cellStyle name="level1a 5 2 2" xfId="3778" xr:uid="{00000000-0005-0000-0000-0000B00E0000}"/>
    <cellStyle name="level1a 5 2 2 2" xfId="3779" xr:uid="{00000000-0005-0000-0000-0000B10E0000}"/>
    <cellStyle name="level1a 5 2 2 2 2" xfId="3780" xr:uid="{00000000-0005-0000-0000-0000B20E0000}"/>
    <cellStyle name="level1a 5 2 2 3" xfId="3781" xr:uid="{00000000-0005-0000-0000-0000B30E0000}"/>
    <cellStyle name="level1a 5 2 3" xfId="3782" xr:uid="{00000000-0005-0000-0000-0000B40E0000}"/>
    <cellStyle name="level1a 5 2 3 2" xfId="3783" xr:uid="{00000000-0005-0000-0000-0000B50E0000}"/>
    <cellStyle name="level1a 5 2 3 2 2" xfId="3784" xr:uid="{00000000-0005-0000-0000-0000B60E0000}"/>
    <cellStyle name="level1a 5 2 3 3" xfId="3785" xr:uid="{00000000-0005-0000-0000-0000B70E0000}"/>
    <cellStyle name="level1a 5 2 4" xfId="3786" xr:uid="{00000000-0005-0000-0000-0000B80E0000}"/>
    <cellStyle name="level1a 5 2 5" xfId="3787" xr:uid="{00000000-0005-0000-0000-0000B90E0000}"/>
    <cellStyle name="level1a 5 2 5 2" xfId="3788" xr:uid="{00000000-0005-0000-0000-0000BA0E0000}"/>
    <cellStyle name="level1a 5 3" xfId="3789" xr:uid="{00000000-0005-0000-0000-0000BB0E0000}"/>
    <cellStyle name="level1a 5 3 2" xfId="3790" xr:uid="{00000000-0005-0000-0000-0000BC0E0000}"/>
    <cellStyle name="level1a 5 3 2 2" xfId="3791" xr:uid="{00000000-0005-0000-0000-0000BD0E0000}"/>
    <cellStyle name="level1a 5 3 2 2 2" xfId="3792" xr:uid="{00000000-0005-0000-0000-0000BE0E0000}"/>
    <cellStyle name="level1a 5 3 2 3" xfId="3793" xr:uid="{00000000-0005-0000-0000-0000BF0E0000}"/>
    <cellStyle name="level1a 5 3 3" xfId="3794" xr:uid="{00000000-0005-0000-0000-0000C00E0000}"/>
    <cellStyle name="level1a 5 3 3 2" xfId="3795" xr:uid="{00000000-0005-0000-0000-0000C10E0000}"/>
    <cellStyle name="level1a 5 3 3 2 2" xfId="3796" xr:uid="{00000000-0005-0000-0000-0000C20E0000}"/>
    <cellStyle name="level1a 5 3 3 3" xfId="3797" xr:uid="{00000000-0005-0000-0000-0000C30E0000}"/>
    <cellStyle name="level1a 5 3 4" xfId="3798" xr:uid="{00000000-0005-0000-0000-0000C40E0000}"/>
    <cellStyle name="level1a 5 3 5" xfId="3799" xr:uid="{00000000-0005-0000-0000-0000C50E0000}"/>
    <cellStyle name="level1a 5 4" xfId="3800" xr:uid="{00000000-0005-0000-0000-0000C60E0000}"/>
    <cellStyle name="level1a 5 4 2" xfId="3801" xr:uid="{00000000-0005-0000-0000-0000C70E0000}"/>
    <cellStyle name="level1a 5 4 2 2" xfId="3802" xr:uid="{00000000-0005-0000-0000-0000C80E0000}"/>
    <cellStyle name="level1a 5 4 2 2 2" xfId="3803" xr:uid="{00000000-0005-0000-0000-0000C90E0000}"/>
    <cellStyle name="level1a 5 4 2 3" xfId="3804" xr:uid="{00000000-0005-0000-0000-0000CA0E0000}"/>
    <cellStyle name="level1a 5 4 3" xfId="3805" xr:uid="{00000000-0005-0000-0000-0000CB0E0000}"/>
    <cellStyle name="level1a 5 4 3 2" xfId="3806" xr:uid="{00000000-0005-0000-0000-0000CC0E0000}"/>
    <cellStyle name="level1a 5 4 3 2 2" xfId="3807" xr:uid="{00000000-0005-0000-0000-0000CD0E0000}"/>
    <cellStyle name="level1a 5 4 3 3" xfId="3808" xr:uid="{00000000-0005-0000-0000-0000CE0E0000}"/>
    <cellStyle name="level1a 5 4 4" xfId="3809" xr:uid="{00000000-0005-0000-0000-0000CF0E0000}"/>
    <cellStyle name="level1a 5 4 5" xfId="3810" xr:uid="{00000000-0005-0000-0000-0000D00E0000}"/>
    <cellStyle name="level1a 5 4 5 2" xfId="3811" xr:uid="{00000000-0005-0000-0000-0000D10E0000}"/>
    <cellStyle name="level1a 5 4 6" xfId="3812" xr:uid="{00000000-0005-0000-0000-0000D20E0000}"/>
    <cellStyle name="level1a 5 5" xfId="3813" xr:uid="{00000000-0005-0000-0000-0000D30E0000}"/>
    <cellStyle name="level1a 5 5 2" xfId="3814" xr:uid="{00000000-0005-0000-0000-0000D40E0000}"/>
    <cellStyle name="level1a 5 5 2 2" xfId="3815" xr:uid="{00000000-0005-0000-0000-0000D50E0000}"/>
    <cellStyle name="level1a 5 5 2 2 2" xfId="3816" xr:uid="{00000000-0005-0000-0000-0000D60E0000}"/>
    <cellStyle name="level1a 5 5 2 3" xfId="3817" xr:uid="{00000000-0005-0000-0000-0000D70E0000}"/>
    <cellStyle name="level1a 5 5 3" xfId="3818" xr:uid="{00000000-0005-0000-0000-0000D80E0000}"/>
    <cellStyle name="level1a 5 5 3 2" xfId="3819" xr:uid="{00000000-0005-0000-0000-0000D90E0000}"/>
    <cellStyle name="level1a 5 5 3 2 2" xfId="3820" xr:uid="{00000000-0005-0000-0000-0000DA0E0000}"/>
    <cellStyle name="level1a 5 5 3 3" xfId="3821" xr:uid="{00000000-0005-0000-0000-0000DB0E0000}"/>
    <cellStyle name="level1a 5 5 4" xfId="3822" xr:uid="{00000000-0005-0000-0000-0000DC0E0000}"/>
    <cellStyle name="level1a 5 5 4 2" xfId="3823" xr:uid="{00000000-0005-0000-0000-0000DD0E0000}"/>
    <cellStyle name="level1a 5 5 5" xfId="3824" xr:uid="{00000000-0005-0000-0000-0000DE0E0000}"/>
    <cellStyle name="level1a 5 6" xfId="3825" xr:uid="{00000000-0005-0000-0000-0000DF0E0000}"/>
    <cellStyle name="level1a 5 6 2" xfId="3826" xr:uid="{00000000-0005-0000-0000-0000E00E0000}"/>
    <cellStyle name="level1a 5 6 2 2" xfId="3827" xr:uid="{00000000-0005-0000-0000-0000E10E0000}"/>
    <cellStyle name="level1a 5 6 2 2 2" xfId="3828" xr:uid="{00000000-0005-0000-0000-0000E20E0000}"/>
    <cellStyle name="level1a 5 6 2 3" xfId="3829" xr:uid="{00000000-0005-0000-0000-0000E30E0000}"/>
    <cellStyle name="level1a 5 6 3" xfId="3830" xr:uid="{00000000-0005-0000-0000-0000E40E0000}"/>
    <cellStyle name="level1a 5 6 3 2" xfId="3831" xr:uid="{00000000-0005-0000-0000-0000E50E0000}"/>
    <cellStyle name="level1a 5 6 3 2 2" xfId="3832" xr:uid="{00000000-0005-0000-0000-0000E60E0000}"/>
    <cellStyle name="level1a 5 6 3 3" xfId="3833" xr:uid="{00000000-0005-0000-0000-0000E70E0000}"/>
    <cellStyle name="level1a 5 6 4" xfId="3834" xr:uid="{00000000-0005-0000-0000-0000E80E0000}"/>
    <cellStyle name="level1a 5 6 4 2" xfId="3835" xr:uid="{00000000-0005-0000-0000-0000E90E0000}"/>
    <cellStyle name="level1a 5 6 5" xfId="3836" xr:uid="{00000000-0005-0000-0000-0000EA0E0000}"/>
    <cellStyle name="level1a 5 7" xfId="3837" xr:uid="{00000000-0005-0000-0000-0000EB0E0000}"/>
    <cellStyle name="level1a 5 7 2" xfId="3838" xr:uid="{00000000-0005-0000-0000-0000EC0E0000}"/>
    <cellStyle name="level1a 5 7 2 2" xfId="3839" xr:uid="{00000000-0005-0000-0000-0000ED0E0000}"/>
    <cellStyle name="level1a 5 7 3" xfId="3840" xr:uid="{00000000-0005-0000-0000-0000EE0E0000}"/>
    <cellStyle name="level1a 5_STUD aligned by INSTIT" xfId="3841" xr:uid="{00000000-0005-0000-0000-0000EF0E0000}"/>
    <cellStyle name="level1a 6" xfId="3842" xr:uid="{00000000-0005-0000-0000-0000F00E0000}"/>
    <cellStyle name="level1a 6 2" xfId="3843" xr:uid="{00000000-0005-0000-0000-0000F10E0000}"/>
    <cellStyle name="level1a 6 2 2" xfId="3844" xr:uid="{00000000-0005-0000-0000-0000F20E0000}"/>
    <cellStyle name="level1a 6 2 2 2" xfId="3845" xr:uid="{00000000-0005-0000-0000-0000F30E0000}"/>
    <cellStyle name="level1a 6 2 2 2 2" xfId="3846" xr:uid="{00000000-0005-0000-0000-0000F40E0000}"/>
    <cellStyle name="level1a 6 2 2 3" xfId="3847" xr:uid="{00000000-0005-0000-0000-0000F50E0000}"/>
    <cellStyle name="level1a 6 2 3" xfId="3848" xr:uid="{00000000-0005-0000-0000-0000F60E0000}"/>
    <cellStyle name="level1a 6 2 3 2" xfId="3849" xr:uid="{00000000-0005-0000-0000-0000F70E0000}"/>
    <cellStyle name="level1a 6 2 3 2 2" xfId="3850" xr:uid="{00000000-0005-0000-0000-0000F80E0000}"/>
    <cellStyle name="level1a 6 2 3 3" xfId="3851" xr:uid="{00000000-0005-0000-0000-0000F90E0000}"/>
    <cellStyle name="level1a 6 2 4" xfId="3852" xr:uid="{00000000-0005-0000-0000-0000FA0E0000}"/>
    <cellStyle name="level1a 6 2 5" xfId="3853" xr:uid="{00000000-0005-0000-0000-0000FB0E0000}"/>
    <cellStyle name="level1a 6 2 5 2" xfId="3854" xr:uid="{00000000-0005-0000-0000-0000FC0E0000}"/>
    <cellStyle name="level1a 6 2 6" xfId="3855" xr:uid="{00000000-0005-0000-0000-0000FD0E0000}"/>
    <cellStyle name="level1a 6 3" xfId="3856" xr:uid="{00000000-0005-0000-0000-0000FE0E0000}"/>
    <cellStyle name="level1a 6 3 2" xfId="3857" xr:uid="{00000000-0005-0000-0000-0000FF0E0000}"/>
    <cellStyle name="level1a 6 3 2 2" xfId="3858" xr:uid="{00000000-0005-0000-0000-0000000F0000}"/>
    <cellStyle name="level1a 6 3 2 2 2" xfId="3859" xr:uid="{00000000-0005-0000-0000-0000010F0000}"/>
    <cellStyle name="level1a 6 3 2 3" xfId="3860" xr:uid="{00000000-0005-0000-0000-0000020F0000}"/>
    <cellStyle name="level1a 6 3 3" xfId="3861" xr:uid="{00000000-0005-0000-0000-0000030F0000}"/>
    <cellStyle name="level1a 6 3 3 2" xfId="3862" xr:uid="{00000000-0005-0000-0000-0000040F0000}"/>
    <cellStyle name="level1a 6 3 3 2 2" xfId="3863" xr:uid="{00000000-0005-0000-0000-0000050F0000}"/>
    <cellStyle name="level1a 6 3 3 3" xfId="3864" xr:uid="{00000000-0005-0000-0000-0000060F0000}"/>
    <cellStyle name="level1a 6 3 4" xfId="3865" xr:uid="{00000000-0005-0000-0000-0000070F0000}"/>
    <cellStyle name="level1a 6 4" xfId="3866" xr:uid="{00000000-0005-0000-0000-0000080F0000}"/>
    <cellStyle name="level1a 6 4 2" xfId="3867" xr:uid="{00000000-0005-0000-0000-0000090F0000}"/>
    <cellStyle name="level1a 6 4 2 2" xfId="3868" xr:uid="{00000000-0005-0000-0000-00000A0F0000}"/>
    <cellStyle name="level1a 6 4 2 2 2" xfId="3869" xr:uid="{00000000-0005-0000-0000-00000B0F0000}"/>
    <cellStyle name="level1a 6 4 2 3" xfId="3870" xr:uid="{00000000-0005-0000-0000-00000C0F0000}"/>
    <cellStyle name="level1a 6 4 3" xfId="3871" xr:uid="{00000000-0005-0000-0000-00000D0F0000}"/>
    <cellStyle name="level1a 6 4 3 2" xfId="3872" xr:uid="{00000000-0005-0000-0000-00000E0F0000}"/>
    <cellStyle name="level1a 6 4 3 2 2" xfId="3873" xr:uid="{00000000-0005-0000-0000-00000F0F0000}"/>
    <cellStyle name="level1a 6 4 3 3" xfId="3874" xr:uid="{00000000-0005-0000-0000-0000100F0000}"/>
    <cellStyle name="level1a 6 4 4" xfId="3875" xr:uid="{00000000-0005-0000-0000-0000110F0000}"/>
    <cellStyle name="level1a 6 4 4 2" xfId="3876" xr:uid="{00000000-0005-0000-0000-0000120F0000}"/>
    <cellStyle name="level1a 6 4 5" xfId="3877" xr:uid="{00000000-0005-0000-0000-0000130F0000}"/>
    <cellStyle name="level1a 6 5" xfId="3878" xr:uid="{00000000-0005-0000-0000-0000140F0000}"/>
    <cellStyle name="level1a 6 5 2" xfId="3879" xr:uid="{00000000-0005-0000-0000-0000150F0000}"/>
    <cellStyle name="level1a 6 5 2 2" xfId="3880" xr:uid="{00000000-0005-0000-0000-0000160F0000}"/>
    <cellStyle name="level1a 6 5 2 2 2" xfId="3881" xr:uid="{00000000-0005-0000-0000-0000170F0000}"/>
    <cellStyle name="level1a 6 5 2 3" xfId="3882" xr:uid="{00000000-0005-0000-0000-0000180F0000}"/>
    <cellStyle name="level1a 6 5 3" xfId="3883" xr:uid="{00000000-0005-0000-0000-0000190F0000}"/>
    <cellStyle name="level1a 6 5 3 2" xfId="3884" xr:uid="{00000000-0005-0000-0000-00001A0F0000}"/>
    <cellStyle name="level1a 6 5 3 2 2" xfId="3885" xr:uid="{00000000-0005-0000-0000-00001B0F0000}"/>
    <cellStyle name="level1a 6 5 3 3" xfId="3886" xr:uid="{00000000-0005-0000-0000-00001C0F0000}"/>
    <cellStyle name="level1a 6 5 4" xfId="3887" xr:uid="{00000000-0005-0000-0000-00001D0F0000}"/>
    <cellStyle name="level1a 6 5 4 2" xfId="3888" xr:uid="{00000000-0005-0000-0000-00001E0F0000}"/>
    <cellStyle name="level1a 6 5 5" xfId="3889" xr:uid="{00000000-0005-0000-0000-00001F0F0000}"/>
    <cellStyle name="level1a 6 6" xfId="3890" xr:uid="{00000000-0005-0000-0000-0000200F0000}"/>
    <cellStyle name="level1a 6 6 2" xfId="3891" xr:uid="{00000000-0005-0000-0000-0000210F0000}"/>
    <cellStyle name="level1a 6 6 2 2" xfId="3892" xr:uid="{00000000-0005-0000-0000-0000220F0000}"/>
    <cellStyle name="level1a 6 6 2 2 2" xfId="3893" xr:uid="{00000000-0005-0000-0000-0000230F0000}"/>
    <cellStyle name="level1a 6 6 2 3" xfId="3894" xr:uid="{00000000-0005-0000-0000-0000240F0000}"/>
    <cellStyle name="level1a 6 6 3" xfId="3895" xr:uid="{00000000-0005-0000-0000-0000250F0000}"/>
    <cellStyle name="level1a 6 6 3 2" xfId="3896" xr:uid="{00000000-0005-0000-0000-0000260F0000}"/>
    <cellStyle name="level1a 6 6 3 2 2" xfId="3897" xr:uid="{00000000-0005-0000-0000-0000270F0000}"/>
    <cellStyle name="level1a 6 6 3 3" xfId="3898" xr:uid="{00000000-0005-0000-0000-0000280F0000}"/>
    <cellStyle name="level1a 6 6 4" xfId="3899" xr:uid="{00000000-0005-0000-0000-0000290F0000}"/>
    <cellStyle name="level1a 6 6 4 2" xfId="3900" xr:uid="{00000000-0005-0000-0000-00002A0F0000}"/>
    <cellStyle name="level1a 6 6 5" xfId="3901" xr:uid="{00000000-0005-0000-0000-00002B0F0000}"/>
    <cellStyle name="level1a 6 7" xfId="3902" xr:uid="{00000000-0005-0000-0000-00002C0F0000}"/>
    <cellStyle name="level1a 6 7 2" xfId="3903" xr:uid="{00000000-0005-0000-0000-00002D0F0000}"/>
    <cellStyle name="level1a 6 7 2 2" xfId="3904" xr:uid="{00000000-0005-0000-0000-00002E0F0000}"/>
    <cellStyle name="level1a 6 7 3" xfId="3905" xr:uid="{00000000-0005-0000-0000-00002F0F0000}"/>
    <cellStyle name="level1a 6 8" xfId="3906" xr:uid="{00000000-0005-0000-0000-0000300F0000}"/>
    <cellStyle name="level1a 6 8 2" xfId="3907" xr:uid="{00000000-0005-0000-0000-0000310F0000}"/>
    <cellStyle name="level1a 6 8 2 2" xfId="3908" xr:uid="{00000000-0005-0000-0000-0000320F0000}"/>
    <cellStyle name="level1a 6 8 3" xfId="3909" xr:uid="{00000000-0005-0000-0000-0000330F0000}"/>
    <cellStyle name="level1a 6_STUD aligned by INSTIT" xfId="3910" xr:uid="{00000000-0005-0000-0000-0000340F0000}"/>
    <cellStyle name="level1a 7" xfId="3911" xr:uid="{00000000-0005-0000-0000-0000350F0000}"/>
    <cellStyle name="level1a 7 2" xfId="3912" xr:uid="{00000000-0005-0000-0000-0000360F0000}"/>
    <cellStyle name="level1a 7 2 2" xfId="3913" xr:uid="{00000000-0005-0000-0000-0000370F0000}"/>
    <cellStyle name="level1a 7 2 2 2" xfId="3914" xr:uid="{00000000-0005-0000-0000-0000380F0000}"/>
    <cellStyle name="level1a 7 2 3" xfId="3915" xr:uid="{00000000-0005-0000-0000-0000390F0000}"/>
    <cellStyle name="level1a 7 3" xfId="3916" xr:uid="{00000000-0005-0000-0000-00003A0F0000}"/>
    <cellStyle name="level1a 7 3 2" xfId="3917" xr:uid="{00000000-0005-0000-0000-00003B0F0000}"/>
    <cellStyle name="level1a 7 3 2 2" xfId="3918" xr:uid="{00000000-0005-0000-0000-00003C0F0000}"/>
    <cellStyle name="level1a 7 3 3" xfId="3919" xr:uid="{00000000-0005-0000-0000-00003D0F0000}"/>
    <cellStyle name="level1a 7 4" xfId="3920" xr:uid="{00000000-0005-0000-0000-00003E0F0000}"/>
    <cellStyle name="level1a 7 5" xfId="3921" xr:uid="{00000000-0005-0000-0000-00003F0F0000}"/>
    <cellStyle name="level1a 7 5 2" xfId="3922" xr:uid="{00000000-0005-0000-0000-0000400F0000}"/>
    <cellStyle name="level1a 8" xfId="3923" xr:uid="{00000000-0005-0000-0000-0000410F0000}"/>
    <cellStyle name="level1a 8 2" xfId="3924" xr:uid="{00000000-0005-0000-0000-0000420F0000}"/>
    <cellStyle name="level1a 8 2 2" xfId="3925" xr:uid="{00000000-0005-0000-0000-0000430F0000}"/>
    <cellStyle name="level1a 8 2 2 2" xfId="3926" xr:uid="{00000000-0005-0000-0000-0000440F0000}"/>
    <cellStyle name="level1a 8 2 3" xfId="3927" xr:uid="{00000000-0005-0000-0000-0000450F0000}"/>
    <cellStyle name="level1a 8 3" xfId="3928" xr:uid="{00000000-0005-0000-0000-0000460F0000}"/>
    <cellStyle name="level1a 8 3 2" xfId="3929" xr:uid="{00000000-0005-0000-0000-0000470F0000}"/>
    <cellStyle name="level1a 8 3 2 2" xfId="3930" xr:uid="{00000000-0005-0000-0000-0000480F0000}"/>
    <cellStyle name="level1a 8 3 3" xfId="3931" xr:uid="{00000000-0005-0000-0000-0000490F0000}"/>
    <cellStyle name="level1a 8 4" xfId="3932" xr:uid="{00000000-0005-0000-0000-00004A0F0000}"/>
    <cellStyle name="level1a 8 5" xfId="3933" xr:uid="{00000000-0005-0000-0000-00004B0F0000}"/>
    <cellStyle name="level1a 8 5 2" xfId="3934" xr:uid="{00000000-0005-0000-0000-00004C0F0000}"/>
    <cellStyle name="level1a 8 6" xfId="3935" xr:uid="{00000000-0005-0000-0000-00004D0F0000}"/>
    <cellStyle name="level1a 9" xfId="3936" xr:uid="{00000000-0005-0000-0000-00004E0F0000}"/>
    <cellStyle name="level1a 9 2" xfId="3937" xr:uid="{00000000-0005-0000-0000-00004F0F0000}"/>
    <cellStyle name="level1a 9 2 2" xfId="3938" xr:uid="{00000000-0005-0000-0000-0000500F0000}"/>
    <cellStyle name="level1a 9 2 2 2" xfId="3939" xr:uid="{00000000-0005-0000-0000-0000510F0000}"/>
    <cellStyle name="level1a 9 2 3" xfId="3940" xr:uid="{00000000-0005-0000-0000-0000520F0000}"/>
    <cellStyle name="level1a 9 3" xfId="3941" xr:uid="{00000000-0005-0000-0000-0000530F0000}"/>
    <cellStyle name="level1a 9 3 2" xfId="3942" xr:uid="{00000000-0005-0000-0000-0000540F0000}"/>
    <cellStyle name="level1a 9 3 2 2" xfId="3943" xr:uid="{00000000-0005-0000-0000-0000550F0000}"/>
    <cellStyle name="level1a 9 3 3" xfId="3944" xr:uid="{00000000-0005-0000-0000-0000560F0000}"/>
    <cellStyle name="level1a 9 4" xfId="3945" xr:uid="{00000000-0005-0000-0000-0000570F0000}"/>
    <cellStyle name="level1a 9 5" xfId="3946" xr:uid="{00000000-0005-0000-0000-0000580F0000}"/>
    <cellStyle name="level1a_STUD aligned by INSTIT" xfId="3947" xr:uid="{00000000-0005-0000-0000-0000590F0000}"/>
    <cellStyle name="level2" xfId="3948" xr:uid="{00000000-0005-0000-0000-00005A0F0000}"/>
    <cellStyle name="level2 2" xfId="3949" xr:uid="{00000000-0005-0000-0000-00005B0F0000}"/>
    <cellStyle name="level2 2 2" xfId="3950" xr:uid="{00000000-0005-0000-0000-00005C0F0000}"/>
    <cellStyle name="level2 2 2 2" xfId="3951" xr:uid="{00000000-0005-0000-0000-00005D0F0000}"/>
    <cellStyle name="level2 3" xfId="3952" xr:uid="{00000000-0005-0000-0000-00005E0F0000}"/>
    <cellStyle name="level2a" xfId="3953" xr:uid="{00000000-0005-0000-0000-00005F0F0000}"/>
    <cellStyle name="level2a 2" xfId="3954" xr:uid="{00000000-0005-0000-0000-0000600F0000}"/>
    <cellStyle name="level2a 2 2" xfId="3955" xr:uid="{00000000-0005-0000-0000-0000610F0000}"/>
    <cellStyle name="level2a 2 2 2" xfId="3956" xr:uid="{00000000-0005-0000-0000-0000620F0000}"/>
    <cellStyle name="level2a 2 2 2 2" xfId="3957" xr:uid="{00000000-0005-0000-0000-0000630F0000}"/>
    <cellStyle name="level2a 2 2 2 2 2" xfId="3958" xr:uid="{00000000-0005-0000-0000-0000640F0000}"/>
    <cellStyle name="level2a 2 2 2 2 3" xfId="3959" xr:uid="{00000000-0005-0000-0000-0000650F0000}"/>
    <cellStyle name="level2a 2 2 2 3" xfId="3960" xr:uid="{00000000-0005-0000-0000-0000660F0000}"/>
    <cellStyle name="level2a 2 2 2_STUD aligned by INSTIT" xfId="3961" xr:uid="{00000000-0005-0000-0000-0000670F0000}"/>
    <cellStyle name="level2a 2 2 3" xfId="3962" xr:uid="{00000000-0005-0000-0000-0000680F0000}"/>
    <cellStyle name="level2a 2 2 3 2" xfId="3963" xr:uid="{00000000-0005-0000-0000-0000690F0000}"/>
    <cellStyle name="level2a 2 2 3 2 2" xfId="3964" xr:uid="{00000000-0005-0000-0000-00006A0F0000}"/>
    <cellStyle name="level2a 2 2 3 2 3" xfId="3965" xr:uid="{00000000-0005-0000-0000-00006B0F0000}"/>
    <cellStyle name="level2a 2 2 3 3" xfId="3966" xr:uid="{00000000-0005-0000-0000-00006C0F0000}"/>
    <cellStyle name="level2a 2 2 3 3 2" xfId="3967" xr:uid="{00000000-0005-0000-0000-00006D0F0000}"/>
    <cellStyle name="level2a 2 2 3 3 3" xfId="3968" xr:uid="{00000000-0005-0000-0000-00006E0F0000}"/>
    <cellStyle name="level2a 2 2 3 3 4" xfId="3969" xr:uid="{00000000-0005-0000-0000-00006F0F0000}"/>
    <cellStyle name="level2a 2 2 3 4" xfId="3970" xr:uid="{00000000-0005-0000-0000-0000700F0000}"/>
    <cellStyle name="level2a 2 2 4" xfId="3971" xr:uid="{00000000-0005-0000-0000-0000710F0000}"/>
    <cellStyle name="level2a 2 2 4 2" xfId="3972" xr:uid="{00000000-0005-0000-0000-0000720F0000}"/>
    <cellStyle name="level2a 2 2 4 3" xfId="3973" xr:uid="{00000000-0005-0000-0000-0000730F0000}"/>
    <cellStyle name="level2a 2 2 5" xfId="3974" xr:uid="{00000000-0005-0000-0000-0000740F0000}"/>
    <cellStyle name="level2a 2 2 5 2" xfId="3975" xr:uid="{00000000-0005-0000-0000-0000750F0000}"/>
    <cellStyle name="level2a 2 2 6" xfId="3976" xr:uid="{00000000-0005-0000-0000-0000760F0000}"/>
    <cellStyle name="level2a 2 2_STUD aligned by INSTIT" xfId="3977" xr:uid="{00000000-0005-0000-0000-0000770F0000}"/>
    <cellStyle name="level2a 2 3" xfId="3978" xr:uid="{00000000-0005-0000-0000-0000780F0000}"/>
    <cellStyle name="level2a 2 3 2" xfId="3979" xr:uid="{00000000-0005-0000-0000-0000790F0000}"/>
    <cellStyle name="level2a 2 3 2 2" xfId="3980" xr:uid="{00000000-0005-0000-0000-00007A0F0000}"/>
    <cellStyle name="level2a 2 3 2 2 2" xfId="3981" xr:uid="{00000000-0005-0000-0000-00007B0F0000}"/>
    <cellStyle name="level2a 2 3 2 2 3" xfId="3982" xr:uid="{00000000-0005-0000-0000-00007C0F0000}"/>
    <cellStyle name="level2a 2 3 2 3" xfId="3983" xr:uid="{00000000-0005-0000-0000-00007D0F0000}"/>
    <cellStyle name="level2a 2 3 2_STUD aligned by INSTIT" xfId="3984" xr:uid="{00000000-0005-0000-0000-00007E0F0000}"/>
    <cellStyle name="level2a 2 3 3" xfId="3985" xr:uid="{00000000-0005-0000-0000-00007F0F0000}"/>
    <cellStyle name="level2a 2 3 3 2" xfId="3986" xr:uid="{00000000-0005-0000-0000-0000800F0000}"/>
    <cellStyle name="level2a 2 3 3 2 2" xfId="3987" xr:uid="{00000000-0005-0000-0000-0000810F0000}"/>
    <cellStyle name="level2a 2 3 3 2 3" xfId="3988" xr:uid="{00000000-0005-0000-0000-0000820F0000}"/>
    <cellStyle name="level2a 2 3 3 3" xfId="3989" xr:uid="{00000000-0005-0000-0000-0000830F0000}"/>
    <cellStyle name="level2a 2 3 3 3 2" xfId="3990" xr:uid="{00000000-0005-0000-0000-0000840F0000}"/>
    <cellStyle name="level2a 2 3 3 3 3" xfId="3991" xr:uid="{00000000-0005-0000-0000-0000850F0000}"/>
    <cellStyle name="level2a 2 3 3 3 4" xfId="3992" xr:uid="{00000000-0005-0000-0000-0000860F0000}"/>
    <cellStyle name="level2a 2 3 3 4" xfId="3993" xr:uid="{00000000-0005-0000-0000-0000870F0000}"/>
    <cellStyle name="level2a 2 3 4" xfId="3994" xr:uid="{00000000-0005-0000-0000-0000880F0000}"/>
    <cellStyle name="level2a 2 3 4 2" xfId="3995" xr:uid="{00000000-0005-0000-0000-0000890F0000}"/>
    <cellStyle name="level2a 2 3 4 3" xfId="3996" xr:uid="{00000000-0005-0000-0000-00008A0F0000}"/>
    <cellStyle name="level2a 2 3 5" xfId="3997" xr:uid="{00000000-0005-0000-0000-00008B0F0000}"/>
    <cellStyle name="level2a 2 3 5 2" xfId="3998" xr:uid="{00000000-0005-0000-0000-00008C0F0000}"/>
    <cellStyle name="level2a 2 3 6" xfId="3999" xr:uid="{00000000-0005-0000-0000-00008D0F0000}"/>
    <cellStyle name="level2a 2 3_STUD aligned by INSTIT" xfId="4000" xr:uid="{00000000-0005-0000-0000-00008E0F0000}"/>
    <cellStyle name="level2a 2 4" xfId="4001" xr:uid="{00000000-0005-0000-0000-00008F0F0000}"/>
    <cellStyle name="level2a 2 4 2" xfId="4002" xr:uid="{00000000-0005-0000-0000-0000900F0000}"/>
    <cellStyle name="level2a 2 5" xfId="4003" xr:uid="{00000000-0005-0000-0000-0000910F0000}"/>
    <cellStyle name="level2a 2_STUD aligned by INSTIT" xfId="4004" xr:uid="{00000000-0005-0000-0000-0000920F0000}"/>
    <cellStyle name="level2a 3" xfId="4005" xr:uid="{00000000-0005-0000-0000-0000930F0000}"/>
    <cellStyle name="level2a 3 2" xfId="4006" xr:uid="{00000000-0005-0000-0000-0000940F0000}"/>
    <cellStyle name="level2a 3 2 2" xfId="4007" xr:uid="{00000000-0005-0000-0000-0000950F0000}"/>
    <cellStyle name="level2a 3 2 2 2" xfId="4008" xr:uid="{00000000-0005-0000-0000-0000960F0000}"/>
    <cellStyle name="level2a 3 2 2 3" xfId="4009" xr:uid="{00000000-0005-0000-0000-0000970F0000}"/>
    <cellStyle name="level2a 3 2 3" xfId="4010" xr:uid="{00000000-0005-0000-0000-0000980F0000}"/>
    <cellStyle name="level2a 3 2_STUD aligned by INSTIT" xfId="4011" xr:uid="{00000000-0005-0000-0000-0000990F0000}"/>
    <cellStyle name="level2a 3 3" xfId="4012" xr:uid="{00000000-0005-0000-0000-00009A0F0000}"/>
    <cellStyle name="level2a 3 3 2" xfId="4013" xr:uid="{00000000-0005-0000-0000-00009B0F0000}"/>
    <cellStyle name="level2a 3 3 2 2" xfId="4014" xr:uid="{00000000-0005-0000-0000-00009C0F0000}"/>
    <cellStyle name="level2a 3 3 2 3" xfId="4015" xr:uid="{00000000-0005-0000-0000-00009D0F0000}"/>
    <cellStyle name="level2a 3 3 3" xfId="4016" xr:uid="{00000000-0005-0000-0000-00009E0F0000}"/>
    <cellStyle name="level2a 3 3 3 2" xfId="4017" xr:uid="{00000000-0005-0000-0000-00009F0F0000}"/>
    <cellStyle name="level2a 3 3 3 3" xfId="4018" xr:uid="{00000000-0005-0000-0000-0000A00F0000}"/>
    <cellStyle name="level2a 3 3 3 4" xfId="4019" xr:uid="{00000000-0005-0000-0000-0000A10F0000}"/>
    <cellStyle name="level2a 3 3 4" xfId="4020" xr:uid="{00000000-0005-0000-0000-0000A20F0000}"/>
    <cellStyle name="level2a 3 4" xfId="4021" xr:uid="{00000000-0005-0000-0000-0000A30F0000}"/>
    <cellStyle name="level2a 3 4 2" xfId="4022" xr:uid="{00000000-0005-0000-0000-0000A40F0000}"/>
    <cellStyle name="level2a 3 4 3" xfId="4023" xr:uid="{00000000-0005-0000-0000-0000A50F0000}"/>
    <cellStyle name="level2a 3 5" xfId="4024" xr:uid="{00000000-0005-0000-0000-0000A60F0000}"/>
    <cellStyle name="level2a 3 5 2" xfId="4025" xr:uid="{00000000-0005-0000-0000-0000A70F0000}"/>
    <cellStyle name="level2a 3 6" xfId="4026" xr:uid="{00000000-0005-0000-0000-0000A80F0000}"/>
    <cellStyle name="level2a 3_STUD aligned by INSTIT" xfId="4027" xr:uid="{00000000-0005-0000-0000-0000A90F0000}"/>
    <cellStyle name="level2a 4" xfId="4028" xr:uid="{00000000-0005-0000-0000-0000AA0F0000}"/>
    <cellStyle name="level2a 4 2" xfId="4029" xr:uid="{00000000-0005-0000-0000-0000AB0F0000}"/>
    <cellStyle name="level2a 4 2 2" xfId="4030" xr:uid="{00000000-0005-0000-0000-0000AC0F0000}"/>
    <cellStyle name="level2a 4 2 2 2" xfId="4031" xr:uid="{00000000-0005-0000-0000-0000AD0F0000}"/>
    <cellStyle name="level2a 4 2 2 3" xfId="4032" xr:uid="{00000000-0005-0000-0000-0000AE0F0000}"/>
    <cellStyle name="level2a 4 2 3" xfId="4033" xr:uid="{00000000-0005-0000-0000-0000AF0F0000}"/>
    <cellStyle name="level2a 4 2_STUD aligned by INSTIT" xfId="4034" xr:uid="{00000000-0005-0000-0000-0000B00F0000}"/>
    <cellStyle name="level2a 4 3" xfId="4035" xr:uid="{00000000-0005-0000-0000-0000B10F0000}"/>
    <cellStyle name="level2a 4 3 2" xfId="4036" xr:uid="{00000000-0005-0000-0000-0000B20F0000}"/>
    <cellStyle name="level2a 4 3 2 2" xfId="4037" xr:uid="{00000000-0005-0000-0000-0000B30F0000}"/>
    <cellStyle name="level2a 4 3 2 3" xfId="4038" xr:uid="{00000000-0005-0000-0000-0000B40F0000}"/>
    <cellStyle name="level2a 4 3 3" xfId="4039" xr:uid="{00000000-0005-0000-0000-0000B50F0000}"/>
    <cellStyle name="level2a 4 3 3 2" xfId="4040" xr:uid="{00000000-0005-0000-0000-0000B60F0000}"/>
    <cellStyle name="level2a 4 3 3 3" xfId="4041" xr:uid="{00000000-0005-0000-0000-0000B70F0000}"/>
    <cellStyle name="level2a 4 3 3 4" xfId="4042" xr:uid="{00000000-0005-0000-0000-0000B80F0000}"/>
    <cellStyle name="level2a 4 3 4" xfId="4043" xr:uid="{00000000-0005-0000-0000-0000B90F0000}"/>
    <cellStyle name="level2a 4 4" xfId="4044" xr:uid="{00000000-0005-0000-0000-0000BA0F0000}"/>
    <cellStyle name="level2a 4 4 2" xfId="4045" xr:uid="{00000000-0005-0000-0000-0000BB0F0000}"/>
    <cellStyle name="level2a 4 4 3" xfId="4046" xr:uid="{00000000-0005-0000-0000-0000BC0F0000}"/>
    <cellStyle name="level2a 4 5" xfId="4047" xr:uid="{00000000-0005-0000-0000-0000BD0F0000}"/>
    <cellStyle name="level2a 4 5 2" xfId="4048" xr:uid="{00000000-0005-0000-0000-0000BE0F0000}"/>
    <cellStyle name="level2a 4 6" xfId="4049" xr:uid="{00000000-0005-0000-0000-0000BF0F0000}"/>
    <cellStyle name="level2a 4_STUD aligned by INSTIT" xfId="4050" xr:uid="{00000000-0005-0000-0000-0000C00F0000}"/>
    <cellStyle name="level2a 5" xfId="4051" xr:uid="{00000000-0005-0000-0000-0000C10F0000}"/>
    <cellStyle name="level2a 5 2" xfId="4052" xr:uid="{00000000-0005-0000-0000-0000C20F0000}"/>
    <cellStyle name="level2a 6" xfId="4053" xr:uid="{00000000-0005-0000-0000-0000C30F0000}"/>
    <cellStyle name="level2a 7" xfId="4054" xr:uid="{00000000-0005-0000-0000-0000C40F0000}"/>
    <cellStyle name="level2a_STUD aligned by INSTIT" xfId="4055" xr:uid="{00000000-0005-0000-0000-0000C50F0000}"/>
    <cellStyle name="level3" xfId="4056" xr:uid="{00000000-0005-0000-0000-0000C60F0000}"/>
    <cellStyle name="level3 2" xfId="4057" xr:uid="{00000000-0005-0000-0000-0000C70F0000}"/>
    <cellStyle name="level3 2 2" xfId="4058" xr:uid="{00000000-0005-0000-0000-0000C80F0000}"/>
    <cellStyle name="level3 2 2 2" xfId="4059" xr:uid="{00000000-0005-0000-0000-0000C90F0000}"/>
    <cellStyle name="level3 2 2 2 2" xfId="4060" xr:uid="{00000000-0005-0000-0000-0000CA0F0000}"/>
    <cellStyle name="level3 2 2 2 2 2" xfId="4061" xr:uid="{00000000-0005-0000-0000-0000CB0F0000}"/>
    <cellStyle name="level3 2 2 2 2 2 2" xfId="4062" xr:uid="{00000000-0005-0000-0000-0000CC0F0000}"/>
    <cellStyle name="level3 2 2 2 2 3" xfId="4063" xr:uid="{00000000-0005-0000-0000-0000CD0F0000}"/>
    <cellStyle name="level3 2 2 2 2 3 2" xfId="4064" xr:uid="{00000000-0005-0000-0000-0000CE0F0000}"/>
    <cellStyle name="level3 2 2 2 2 4" xfId="4065" xr:uid="{00000000-0005-0000-0000-0000CF0F0000}"/>
    <cellStyle name="level3 2 2 2 3" xfId="4066" xr:uid="{00000000-0005-0000-0000-0000D00F0000}"/>
    <cellStyle name="level3 2 2 2 3 2" xfId="4067" xr:uid="{00000000-0005-0000-0000-0000D10F0000}"/>
    <cellStyle name="level3 2 2 3" xfId="4068" xr:uid="{00000000-0005-0000-0000-0000D20F0000}"/>
    <cellStyle name="level3 2 2 3 2" xfId="4069" xr:uid="{00000000-0005-0000-0000-0000D30F0000}"/>
    <cellStyle name="level3 2 2 3 2 2" xfId="4070" xr:uid="{00000000-0005-0000-0000-0000D40F0000}"/>
    <cellStyle name="level3 2 2 3 3" xfId="4071" xr:uid="{00000000-0005-0000-0000-0000D50F0000}"/>
    <cellStyle name="level3 2 2 3 3 2" xfId="4072" xr:uid="{00000000-0005-0000-0000-0000D60F0000}"/>
    <cellStyle name="level3 2 2 4" xfId="4073" xr:uid="{00000000-0005-0000-0000-0000D70F0000}"/>
    <cellStyle name="level3 2 2 4 2" xfId="4074" xr:uid="{00000000-0005-0000-0000-0000D80F0000}"/>
    <cellStyle name="level3 2 3" xfId="4075" xr:uid="{00000000-0005-0000-0000-0000D90F0000}"/>
    <cellStyle name="level3 2 3 2" xfId="4076" xr:uid="{00000000-0005-0000-0000-0000DA0F0000}"/>
    <cellStyle name="level3 2 3 2 2" xfId="4077" xr:uid="{00000000-0005-0000-0000-0000DB0F0000}"/>
    <cellStyle name="level3 2 3 2 2 2" xfId="4078" xr:uid="{00000000-0005-0000-0000-0000DC0F0000}"/>
    <cellStyle name="level3 2 3 2 3" xfId="4079" xr:uid="{00000000-0005-0000-0000-0000DD0F0000}"/>
    <cellStyle name="level3 2 3 2 3 2" xfId="4080" xr:uid="{00000000-0005-0000-0000-0000DE0F0000}"/>
    <cellStyle name="level3 2 3 3" xfId="4081" xr:uid="{00000000-0005-0000-0000-0000DF0F0000}"/>
    <cellStyle name="level3 2 3 3 2" xfId="4082" xr:uid="{00000000-0005-0000-0000-0000E00F0000}"/>
    <cellStyle name="level3 2 3 3 2 2" xfId="4083" xr:uid="{00000000-0005-0000-0000-0000E10F0000}"/>
    <cellStyle name="level3 2 3 3 3" xfId="4084" xr:uid="{00000000-0005-0000-0000-0000E20F0000}"/>
    <cellStyle name="level3 2 3 3 3 2" xfId="4085" xr:uid="{00000000-0005-0000-0000-0000E30F0000}"/>
    <cellStyle name="level3 2 3 3 4" xfId="4086" xr:uid="{00000000-0005-0000-0000-0000E40F0000}"/>
    <cellStyle name="level3 2 3 4" xfId="4087" xr:uid="{00000000-0005-0000-0000-0000E50F0000}"/>
    <cellStyle name="level3 2 3 4 2" xfId="4088" xr:uid="{00000000-0005-0000-0000-0000E60F0000}"/>
    <cellStyle name="level3 2 4" xfId="4089" xr:uid="{00000000-0005-0000-0000-0000E70F0000}"/>
    <cellStyle name="level3 2 4 2" xfId="4090" xr:uid="{00000000-0005-0000-0000-0000E80F0000}"/>
    <cellStyle name="level3 2 4 2 2" xfId="4091" xr:uid="{00000000-0005-0000-0000-0000E90F0000}"/>
    <cellStyle name="level3 2 4 3" xfId="4092" xr:uid="{00000000-0005-0000-0000-0000EA0F0000}"/>
    <cellStyle name="level3 2 4 3 2" xfId="4093" xr:uid="{00000000-0005-0000-0000-0000EB0F0000}"/>
    <cellStyle name="level3 2 4 4" xfId="4094" xr:uid="{00000000-0005-0000-0000-0000EC0F0000}"/>
    <cellStyle name="level3 2 5" xfId="4095" xr:uid="{00000000-0005-0000-0000-0000ED0F0000}"/>
    <cellStyle name="level3 2 5 2" xfId="4096" xr:uid="{00000000-0005-0000-0000-0000EE0F0000}"/>
    <cellStyle name="level3 3" xfId="4097" xr:uid="{00000000-0005-0000-0000-0000EF0F0000}"/>
    <cellStyle name="level3 3 2" xfId="4098" xr:uid="{00000000-0005-0000-0000-0000F00F0000}"/>
    <cellStyle name="level3 3 2 2" xfId="4099" xr:uid="{00000000-0005-0000-0000-0000F10F0000}"/>
    <cellStyle name="level3 3 2 2 2" xfId="4100" xr:uid="{00000000-0005-0000-0000-0000F20F0000}"/>
    <cellStyle name="level3 3 2 2 2 2" xfId="4101" xr:uid="{00000000-0005-0000-0000-0000F30F0000}"/>
    <cellStyle name="level3 3 2 2 3" xfId="4102" xr:uid="{00000000-0005-0000-0000-0000F40F0000}"/>
    <cellStyle name="level3 3 2 2 3 2" xfId="4103" xr:uid="{00000000-0005-0000-0000-0000F50F0000}"/>
    <cellStyle name="level3 3 2 2 4" xfId="4104" xr:uid="{00000000-0005-0000-0000-0000F60F0000}"/>
    <cellStyle name="level3 3 2 3" xfId="4105" xr:uid="{00000000-0005-0000-0000-0000F70F0000}"/>
    <cellStyle name="level3 3 2 3 2" xfId="4106" xr:uid="{00000000-0005-0000-0000-0000F80F0000}"/>
    <cellStyle name="level3 3 3" xfId="4107" xr:uid="{00000000-0005-0000-0000-0000F90F0000}"/>
    <cellStyle name="level3 3 3 2" xfId="4108" xr:uid="{00000000-0005-0000-0000-0000FA0F0000}"/>
    <cellStyle name="level3 3 3 2 2" xfId="4109" xr:uid="{00000000-0005-0000-0000-0000FB0F0000}"/>
    <cellStyle name="level3 3 3 3" xfId="4110" xr:uid="{00000000-0005-0000-0000-0000FC0F0000}"/>
    <cellStyle name="level3 3 3 3 2" xfId="4111" xr:uid="{00000000-0005-0000-0000-0000FD0F0000}"/>
    <cellStyle name="level3 3 4" xfId="4112" xr:uid="{00000000-0005-0000-0000-0000FE0F0000}"/>
    <cellStyle name="level3 3 4 2" xfId="4113" xr:uid="{00000000-0005-0000-0000-0000FF0F0000}"/>
    <cellStyle name="level3 4" xfId="4114" xr:uid="{00000000-0005-0000-0000-000000100000}"/>
    <cellStyle name="level3 4 2" xfId="4115" xr:uid="{00000000-0005-0000-0000-000001100000}"/>
    <cellStyle name="level3 4 2 2" xfId="4116" xr:uid="{00000000-0005-0000-0000-000002100000}"/>
    <cellStyle name="level3 4 2 2 2" xfId="4117" xr:uid="{00000000-0005-0000-0000-000003100000}"/>
    <cellStyle name="level3 4 2 3" xfId="4118" xr:uid="{00000000-0005-0000-0000-000004100000}"/>
    <cellStyle name="level3 4 2 3 2" xfId="4119" xr:uid="{00000000-0005-0000-0000-000005100000}"/>
    <cellStyle name="level3 4 3" xfId="4120" xr:uid="{00000000-0005-0000-0000-000006100000}"/>
    <cellStyle name="level3 4 3 2" xfId="4121" xr:uid="{00000000-0005-0000-0000-000007100000}"/>
    <cellStyle name="level3 4 3 2 2" xfId="4122" xr:uid="{00000000-0005-0000-0000-000008100000}"/>
    <cellStyle name="level3 4 3 3" xfId="4123" xr:uid="{00000000-0005-0000-0000-000009100000}"/>
    <cellStyle name="level3 4 3 3 2" xfId="4124" xr:uid="{00000000-0005-0000-0000-00000A100000}"/>
    <cellStyle name="level3 4 3 4" xfId="4125" xr:uid="{00000000-0005-0000-0000-00000B100000}"/>
    <cellStyle name="level3 4 4" xfId="4126" xr:uid="{00000000-0005-0000-0000-00000C100000}"/>
    <cellStyle name="level3 4 4 2" xfId="4127" xr:uid="{00000000-0005-0000-0000-00000D100000}"/>
    <cellStyle name="level3 5" xfId="4128" xr:uid="{00000000-0005-0000-0000-00000E100000}"/>
    <cellStyle name="level3 5 2" xfId="4129" xr:uid="{00000000-0005-0000-0000-00000F100000}"/>
    <cellStyle name="level3 5 2 2" xfId="4130" xr:uid="{00000000-0005-0000-0000-000010100000}"/>
    <cellStyle name="level3 5 3" xfId="4131" xr:uid="{00000000-0005-0000-0000-000011100000}"/>
    <cellStyle name="level3 5 3 2" xfId="4132" xr:uid="{00000000-0005-0000-0000-000012100000}"/>
    <cellStyle name="level3 5 4" xfId="4133" xr:uid="{00000000-0005-0000-0000-000013100000}"/>
    <cellStyle name="level3 6" xfId="4134" xr:uid="{00000000-0005-0000-0000-000014100000}"/>
    <cellStyle name="level3 6 2" xfId="4135" xr:uid="{00000000-0005-0000-0000-000015100000}"/>
    <cellStyle name="level3_STUD aligned by INSTIT" xfId="4136" xr:uid="{00000000-0005-0000-0000-000016100000}"/>
    <cellStyle name="Line titles-Rows" xfId="4137" xr:uid="{00000000-0005-0000-0000-000017100000}"/>
    <cellStyle name="Migliaia (0)_conti99" xfId="4138" xr:uid="{00000000-0005-0000-0000-000018100000}"/>
    <cellStyle name="Neutral" xfId="24088" builtinId="28" customBuiltin="1"/>
    <cellStyle name="Normal" xfId="0" builtinId="0"/>
    <cellStyle name="Normal - Style1" xfId="4139" xr:uid="{00000000-0005-0000-0000-00001A100000}"/>
    <cellStyle name="Normal 10" xfId="4140" xr:uid="{00000000-0005-0000-0000-00001B100000}"/>
    <cellStyle name="Normal 10 2" xfId="4141" xr:uid="{00000000-0005-0000-0000-00001C100000}"/>
    <cellStyle name="Normal 10 3" xfId="4142" xr:uid="{00000000-0005-0000-0000-00001D100000}"/>
    <cellStyle name="Normal 10_Tertiary Salaries Survey" xfId="4143" xr:uid="{00000000-0005-0000-0000-00001E100000}"/>
    <cellStyle name="Normal 11" xfId="4144" xr:uid="{00000000-0005-0000-0000-00001F100000}"/>
    <cellStyle name="Normal 11 10" xfId="4145" xr:uid="{00000000-0005-0000-0000-000020100000}"/>
    <cellStyle name="Normal 11 2" xfId="4146" xr:uid="{00000000-0005-0000-0000-000021100000}"/>
    <cellStyle name="Normal 11 3" xfId="4147" xr:uid="{00000000-0005-0000-0000-000022100000}"/>
    <cellStyle name="Normal 11 3 2" xfId="4148" xr:uid="{00000000-0005-0000-0000-000023100000}"/>
    <cellStyle name="Normal 11 3 3" xfId="4149" xr:uid="{00000000-0005-0000-0000-000024100000}"/>
    <cellStyle name="Normal 11 3_Tertiary Salaries Survey" xfId="4150" xr:uid="{00000000-0005-0000-0000-000025100000}"/>
    <cellStyle name="Normal 11 4" xfId="4151" xr:uid="{00000000-0005-0000-0000-000026100000}"/>
    <cellStyle name="Normal 11 5" xfId="4152" xr:uid="{00000000-0005-0000-0000-000027100000}"/>
    <cellStyle name="Normal 11 6" xfId="4153" xr:uid="{00000000-0005-0000-0000-000028100000}"/>
    <cellStyle name="Normal 11 7" xfId="3" xr:uid="{00000000-0005-0000-0000-000029100000}"/>
    <cellStyle name="Normal 11 8" xfId="4154" xr:uid="{00000000-0005-0000-0000-00002A100000}"/>
    <cellStyle name="Normal 11 9" xfId="4155" xr:uid="{00000000-0005-0000-0000-00002B100000}"/>
    <cellStyle name="Normal 11_STUD aligned by INSTIT" xfId="4156" xr:uid="{00000000-0005-0000-0000-00002C100000}"/>
    <cellStyle name="Normal 12" xfId="4157" xr:uid="{00000000-0005-0000-0000-00002D100000}"/>
    <cellStyle name="Normal 12 2" xfId="4158" xr:uid="{00000000-0005-0000-0000-00002E100000}"/>
    <cellStyle name="Normal 12 3" xfId="4" xr:uid="{00000000-0005-0000-0000-00002F100000}"/>
    <cellStyle name="Normal 12 3 2" xfId="4159" xr:uid="{00000000-0005-0000-0000-000030100000}"/>
    <cellStyle name="Normal 12 4" xfId="4160" xr:uid="{00000000-0005-0000-0000-000031100000}"/>
    <cellStyle name="Normal 12_Tertiary Salaries Survey" xfId="4161" xr:uid="{00000000-0005-0000-0000-000032100000}"/>
    <cellStyle name="Normal 13" xfId="4162" xr:uid="{00000000-0005-0000-0000-000033100000}"/>
    <cellStyle name="Normal 13 2" xfId="4163" xr:uid="{00000000-0005-0000-0000-000034100000}"/>
    <cellStyle name="Normal 13 3" xfId="4164" xr:uid="{00000000-0005-0000-0000-000035100000}"/>
    <cellStyle name="Normal 13 4" xfId="4165" xr:uid="{00000000-0005-0000-0000-000036100000}"/>
    <cellStyle name="Normal 13_Tertiary Salaries Survey" xfId="4166" xr:uid="{00000000-0005-0000-0000-000037100000}"/>
    <cellStyle name="Normal 14" xfId="5" xr:uid="{00000000-0005-0000-0000-000038100000}"/>
    <cellStyle name="Normal 14 2" xfId="4167" xr:uid="{00000000-0005-0000-0000-000039100000}"/>
    <cellStyle name="Normal 14 2 10" xfId="6" xr:uid="{00000000-0005-0000-0000-00003A100000}"/>
    <cellStyle name="Normal 14 2 10 2" xfId="24122" xr:uid="{00000000-0005-0000-0000-00005B100000}"/>
    <cellStyle name="Normal 14 2 2" xfId="24079" xr:uid="{00000000-0005-0000-0000-00003B100000}"/>
    <cellStyle name="Normal 14 3" xfId="7" xr:uid="{00000000-0005-0000-0000-00003C100000}"/>
    <cellStyle name="Normal 14 3 2" xfId="4168" xr:uid="{00000000-0005-0000-0000-00003D100000}"/>
    <cellStyle name="Normal 14 3 3" xfId="24123" xr:uid="{00000000-0005-0000-0000-00005C100000}"/>
    <cellStyle name="Normal 14 4" xfId="14" xr:uid="{00000000-0005-0000-0000-00003E100000}"/>
    <cellStyle name="Normal 14_Tertiary Salaries Survey" xfId="4169" xr:uid="{00000000-0005-0000-0000-00003F100000}"/>
    <cellStyle name="Normal 147" xfId="8" xr:uid="{00000000-0005-0000-0000-000040100000}"/>
    <cellStyle name="Normal 147 2" xfId="24124" xr:uid="{00000000-0005-0000-0000-000060100000}"/>
    <cellStyle name="Normal 15" xfId="4170" xr:uid="{00000000-0005-0000-0000-000041100000}"/>
    <cellStyle name="Normal 15 2" xfId="4171" xr:uid="{00000000-0005-0000-0000-000042100000}"/>
    <cellStyle name="Normal 15 2 2" xfId="24075" xr:uid="{00000000-0005-0000-0000-000043100000}"/>
    <cellStyle name="Normal 15 3" xfId="4172" xr:uid="{00000000-0005-0000-0000-000044100000}"/>
    <cellStyle name="Normal 15 4" xfId="4173" xr:uid="{00000000-0005-0000-0000-000045100000}"/>
    <cellStyle name="Normal 15 5" xfId="4174" xr:uid="{00000000-0005-0000-0000-000046100000}"/>
    <cellStyle name="Normal 15_Tertiary Salaries Survey" xfId="4175" xr:uid="{00000000-0005-0000-0000-000047100000}"/>
    <cellStyle name="Normal 16" xfId="4176" xr:uid="{00000000-0005-0000-0000-000048100000}"/>
    <cellStyle name="Normal 16 2" xfId="4177" xr:uid="{00000000-0005-0000-0000-000049100000}"/>
    <cellStyle name="Normal 16 3" xfId="4178" xr:uid="{00000000-0005-0000-0000-00004A100000}"/>
    <cellStyle name="Normal 16 4" xfId="4179" xr:uid="{00000000-0005-0000-0000-00004B100000}"/>
    <cellStyle name="Normal 16 5" xfId="4180" xr:uid="{00000000-0005-0000-0000-00004C100000}"/>
    <cellStyle name="Normal 16 6" xfId="4181" xr:uid="{00000000-0005-0000-0000-00004D100000}"/>
    <cellStyle name="Normal 16_Tertiary Salaries Survey" xfId="4182" xr:uid="{00000000-0005-0000-0000-00004E100000}"/>
    <cellStyle name="Normal 17" xfId="4183" xr:uid="{00000000-0005-0000-0000-00004F100000}"/>
    <cellStyle name="Normal 17 2" xfId="4184" xr:uid="{00000000-0005-0000-0000-000050100000}"/>
    <cellStyle name="Normal 17 3" xfId="4185" xr:uid="{00000000-0005-0000-0000-000051100000}"/>
    <cellStyle name="Normal 17_Tertiary Salaries Survey" xfId="4186" xr:uid="{00000000-0005-0000-0000-000052100000}"/>
    <cellStyle name="Normal 172" xfId="9" xr:uid="{00000000-0005-0000-0000-000053100000}"/>
    <cellStyle name="Normal 18" xfId="4187" xr:uid="{00000000-0005-0000-0000-000054100000}"/>
    <cellStyle name="Normal 18 2" xfId="4188" xr:uid="{00000000-0005-0000-0000-000055100000}"/>
    <cellStyle name="Normal 18 3" xfId="4189" xr:uid="{00000000-0005-0000-0000-000056100000}"/>
    <cellStyle name="Normal 18_Tertiary Salaries Survey" xfId="4190" xr:uid="{00000000-0005-0000-0000-000057100000}"/>
    <cellStyle name="Normal 19" xfId="4191" xr:uid="{00000000-0005-0000-0000-000058100000}"/>
    <cellStyle name="Normal 19 2" xfId="4192" xr:uid="{00000000-0005-0000-0000-000059100000}"/>
    <cellStyle name="Normal 19 3" xfId="4193" xr:uid="{00000000-0005-0000-0000-00005A100000}"/>
    <cellStyle name="Normal 19_Tertiary Salaries Survey" xfId="4194" xr:uid="{00000000-0005-0000-0000-00005B100000}"/>
    <cellStyle name="Normal 2" xfId="10" xr:uid="{00000000-0005-0000-0000-00005C100000}"/>
    <cellStyle name="Normal 2 10" xfId="4195" xr:uid="{00000000-0005-0000-0000-00005D100000}"/>
    <cellStyle name="Normal 2 10 2" xfId="4196" xr:uid="{00000000-0005-0000-0000-00005E100000}"/>
    <cellStyle name="Normal 2 10 2 2" xfId="4197" xr:uid="{00000000-0005-0000-0000-00005F100000}"/>
    <cellStyle name="Normal 2 10 2 2 2" xfId="4198" xr:uid="{00000000-0005-0000-0000-000060100000}"/>
    <cellStyle name="Normal 2 10 2 2 3" xfId="4199" xr:uid="{00000000-0005-0000-0000-000061100000}"/>
    <cellStyle name="Normal 2 10 2 3" xfId="4200" xr:uid="{00000000-0005-0000-0000-000062100000}"/>
    <cellStyle name="Normal 2 10 2 3 2" xfId="4201" xr:uid="{00000000-0005-0000-0000-000063100000}"/>
    <cellStyle name="Normal 2 10 2 3 3" xfId="4202" xr:uid="{00000000-0005-0000-0000-000064100000}"/>
    <cellStyle name="Normal 2 10 2 4" xfId="4203" xr:uid="{00000000-0005-0000-0000-000065100000}"/>
    <cellStyle name="Normal 2 10 2 5" xfId="4204" xr:uid="{00000000-0005-0000-0000-000066100000}"/>
    <cellStyle name="Normal 2 10 3" xfId="4205" xr:uid="{00000000-0005-0000-0000-000067100000}"/>
    <cellStyle name="Normal 2 10 3 2" xfId="4206" xr:uid="{00000000-0005-0000-0000-000068100000}"/>
    <cellStyle name="Normal 2 10 3 3" xfId="4207" xr:uid="{00000000-0005-0000-0000-000069100000}"/>
    <cellStyle name="Normal 2 10 4" xfId="4208" xr:uid="{00000000-0005-0000-0000-00006A100000}"/>
    <cellStyle name="Normal 2 10 4 2" xfId="4209" xr:uid="{00000000-0005-0000-0000-00006B100000}"/>
    <cellStyle name="Normal 2 10 4 3" xfId="4210" xr:uid="{00000000-0005-0000-0000-00006C100000}"/>
    <cellStyle name="Normal 2 10 5" xfId="4211" xr:uid="{00000000-0005-0000-0000-00006D100000}"/>
    <cellStyle name="Normal 2 10 5 2" xfId="4212" xr:uid="{00000000-0005-0000-0000-00006E100000}"/>
    <cellStyle name="Normal 2 10 5 3" xfId="4213" xr:uid="{00000000-0005-0000-0000-00006F100000}"/>
    <cellStyle name="Normal 2 10 6" xfId="4214" xr:uid="{00000000-0005-0000-0000-000070100000}"/>
    <cellStyle name="Normal 2 10 7" xfId="4215" xr:uid="{00000000-0005-0000-0000-000071100000}"/>
    <cellStyle name="Normal 2 11" xfId="4216" xr:uid="{00000000-0005-0000-0000-000072100000}"/>
    <cellStyle name="Normal 2 11 2" xfId="4217" xr:uid="{00000000-0005-0000-0000-000073100000}"/>
    <cellStyle name="Normal 2 11 2 2" xfId="4218" xr:uid="{00000000-0005-0000-0000-000074100000}"/>
    <cellStyle name="Normal 2 11 2 2 2" xfId="4219" xr:uid="{00000000-0005-0000-0000-000075100000}"/>
    <cellStyle name="Normal 2 11 2 2 3" xfId="4220" xr:uid="{00000000-0005-0000-0000-000076100000}"/>
    <cellStyle name="Normal 2 11 2 3" xfId="4221" xr:uid="{00000000-0005-0000-0000-000077100000}"/>
    <cellStyle name="Normal 2 11 2 3 2" xfId="4222" xr:uid="{00000000-0005-0000-0000-000078100000}"/>
    <cellStyle name="Normal 2 11 2 3 3" xfId="4223" xr:uid="{00000000-0005-0000-0000-000079100000}"/>
    <cellStyle name="Normal 2 11 2 4" xfId="4224" xr:uid="{00000000-0005-0000-0000-00007A100000}"/>
    <cellStyle name="Normal 2 11 2 5" xfId="4225" xr:uid="{00000000-0005-0000-0000-00007B100000}"/>
    <cellStyle name="Normal 2 11 3" xfId="4226" xr:uid="{00000000-0005-0000-0000-00007C100000}"/>
    <cellStyle name="Normal 2 11 3 2" xfId="4227" xr:uid="{00000000-0005-0000-0000-00007D100000}"/>
    <cellStyle name="Normal 2 11 3 3" xfId="4228" xr:uid="{00000000-0005-0000-0000-00007E100000}"/>
    <cellStyle name="Normal 2 11 4" xfId="4229" xr:uid="{00000000-0005-0000-0000-00007F100000}"/>
    <cellStyle name="Normal 2 11 4 2" xfId="4230" xr:uid="{00000000-0005-0000-0000-000080100000}"/>
    <cellStyle name="Normal 2 11 4 3" xfId="4231" xr:uid="{00000000-0005-0000-0000-000081100000}"/>
    <cellStyle name="Normal 2 11 5" xfId="4232" xr:uid="{00000000-0005-0000-0000-000082100000}"/>
    <cellStyle name="Normal 2 11 5 2" xfId="4233" xr:uid="{00000000-0005-0000-0000-000083100000}"/>
    <cellStyle name="Normal 2 11 5 3" xfId="4234" xr:uid="{00000000-0005-0000-0000-000084100000}"/>
    <cellStyle name="Normal 2 11 6" xfId="4235" xr:uid="{00000000-0005-0000-0000-000085100000}"/>
    <cellStyle name="Normal 2 11 7" xfId="4236" xr:uid="{00000000-0005-0000-0000-000086100000}"/>
    <cellStyle name="Normal 2 12" xfId="4237" xr:uid="{00000000-0005-0000-0000-000087100000}"/>
    <cellStyle name="Normal 2 12 2" xfId="4238" xr:uid="{00000000-0005-0000-0000-000088100000}"/>
    <cellStyle name="Normal 2 12 2 2" xfId="4239" xr:uid="{00000000-0005-0000-0000-000089100000}"/>
    <cellStyle name="Normal 2 12 2 2 2" xfId="4240" xr:uid="{00000000-0005-0000-0000-00008A100000}"/>
    <cellStyle name="Normal 2 12 2 2 3" xfId="4241" xr:uid="{00000000-0005-0000-0000-00008B100000}"/>
    <cellStyle name="Normal 2 12 2 3" xfId="4242" xr:uid="{00000000-0005-0000-0000-00008C100000}"/>
    <cellStyle name="Normal 2 12 2 3 2" xfId="4243" xr:uid="{00000000-0005-0000-0000-00008D100000}"/>
    <cellStyle name="Normal 2 12 2 3 3" xfId="4244" xr:uid="{00000000-0005-0000-0000-00008E100000}"/>
    <cellStyle name="Normal 2 12 2 4" xfId="4245" xr:uid="{00000000-0005-0000-0000-00008F100000}"/>
    <cellStyle name="Normal 2 12 2 5" xfId="4246" xr:uid="{00000000-0005-0000-0000-000090100000}"/>
    <cellStyle name="Normal 2 12 3" xfId="4247" xr:uid="{00000000-0005-0000-0000-000091100000}"/>
    <cellStyle name="Normal 2 12 3 2" xfId="4248" xr:uid="{00000000-0005-0000-0000-000092100000}"/>
    <cellStyle name="Normal 2 12 3 3" xfId="4249" xr:uid="{00000000-0005-0000-0000-000093100000}"/>
    <cellStyle name="Normal 2 12 4" xfId="4250" xr:uid="{00000000-0005-0000-0000-000094100000}"/>
    <cellStyle name="Normal 2 12 4 2" xfId="4251" xr:uid="{00000000-0005-0000-0000-000095100000}"/>
    <cellStyle name="Normal 2 12 4 3" xfId="4252" xr:uid="{00000000-0005-0000-0000-000096100000}"/>
    <cellStyle name="Normal 2 12 5" xfId="4253" xr:uid="{00000000-0005-0000-0000-000097100000}"/>
    <cellStyle name="Normal 2 12 5 2" xfId="4254" xr:uid="{00000000-0005-0000-0000-000098100000}"/>
    <cellStyle name="Normal 2 12 5 3" xfId="4255" xr:uid="{00000000-0005-0000-0000-000099100000}"/>
    <cellStyle name="Normal 2 12 6" xfId="4256" xr:uid="{00000000-0005-0000-0000-00009A100000}"/>
    <cellStyle name="Normal 2 12 7" xfId="4257" xr:uid="{00000000-0005-0000-0000-00009B100000}"/>
    <cellStyle name="Normal 2 13" xfId="4258" xr:uid="{00000000-0005-0000-0000-00009C100000}"/>
    <cellStyle name="Normal 2 13 2" xfId="4259" xr:uid="{00000000-0005-0000-0000-00009D100000}"/>
    <cellStyle name="Normal 2 13 2 2" xfId="4260" xr:uid="{00000000-0005-0000-0000-00009E100000}"/>
    <cellStyle name="Normal 2 13 2 2 2" xfId="4261" xr:uid="{00000000-0005-0000-0000-00009F100000}"/>
    <cellStyle name="Normal 2 13 2 2 3" xfId="4262" xr:uid="{00000000-0005-0000-0000-0000A0100000}"/>
    <cellStyle name="Normal 2 13 2 3" xfId="4263" xr:uid="{00000000-0005-0000-0000-0000A1100000}"/>
    <cellStyle name="Normal 2 13 2 3 2" xfId="4264" xr:uid="{00000000-0005-0000-0000-0000A2100000}"/>
    <cellStyle name="Normal 2 13 2 3 3" xfId="4265" xr:uid="{00000000-0005-0000-0000-0000A3100000}"/>
    <cellStyle name="Normal 2 13 2 4" xfId="4266" xr:uid="{00000000-0005-0000-0000-0000A4100000}"/>
    <cellStyle name="Normal 2 13 2 5" xfId="4267" xr:uid="{00000000-0005-0000-0000-0000A5100000}"/>
    <cellStyle name="Normal 2 13 3" xfId="4268" xr:uid="{00000000-0005-0000-0000-0000A6100000}"/>
    <cellStyle name="Normal 2 13 3 2" xfId="4269" xr:uid="{00000000-0005-0000-0000-0000A7100000}"/>
    <cellStyle name="Normal 2 13 3 3" xfId="4270" xr:uid="{00000000-0005-0000-0000-0000A8100000}"/>
    <cellStyle name="Normal 2 13 4" xfId="4271" xr:uid="{00000000-0005-0000-0000-0000A9100000}"/>
    <cellStyle name="Normal 2 13 4 2" xfId="4272" xr:uid="{00000000-0005-0000-0000-0000AA100000}"/>
    <cellStyle name="Normal 2 13 4 3" xfId="4273" xr:uid="{00000000-0005-0000-0000-0000AB100000}"/>
    <cellStyle name="Normal 2 13 5" xfId="4274" xr:uid="{00000000-0005-0000-0000-0000AC100000}"/>
    <cellStyle name="Normal 2 13 5 2" xfId="4275" xr:uid="{00000000-0005-0000-0000-0000AD100000}"/>
    <cellStyle name="Normal 2 13 5 3" xfId="4276" xr:uid="{00000000-0005-0000-0000-0000AE100000}"/>
    <cellStyle name="Normal 2 13 6" xfId="4277" xr:uid="{00000000-0005-0000-0000-0000AF100000}"/>
    <cellStyle name="Normal 2 13 7" xfId="4278" xr:uid="{00000000-0005-0000-0000-0000B0100000}"/>
    <cellStyle name="Normal 2 14" xfId="4279" xr:uid="{00000000-0005-0000-0000-0000B1100000}"/>
    <cellStyle name="Normal 2 14 2" xfId="4280" xr:uid="{00000000-0005-0000-0000-0000B2100000}"/>
    <cellStyle name="Normal 2 14 2 2" xfId="4281" xr:uid="{00000000-0005-0000-0000-0000B3100000}"/>
    <cellStyle name="Normal 2 14 2 2 2" xfId="4282" xr:uid="{00000000-0005-0000-0000-0000B4100000}"/>
    <cellStyle name="Normal 2 14 2 2 3" xfId="4283" xr:uid="{00000000-0005-0000-0000-0000B5100000}"/>
    <cellStyle name="Normal 2 14 2 3" xfId="4284" xr:uid="{00000000-0005-0000-0000-0000B6100000}"/>
    <cellStyle name="Normal 2 14 2 3 2" xfId="4285" xr:uid="{00000000-0005-0000-0000-0000B7100000}"/>
    <cellStyle name="Normal 2 14 2 3 3" xfId="4286" xr:uid="{00000000-0005-0000-0000-0000B8100000}"/>
    <cellStyle name="Normal 2 14 2 4" xfId="4287" xr:uid="{00000000-0005-0000-0000-0000B9100000}"/>
    <cellStyle name="Normal 2 14 2 5" xfId="4288" xr:uid="{00000000-0005-0000-0000-0000BA100000}"/>
    <cellStyle name="Normal 2 14 3" xfId="4289" xr:uid="{00000000-0005-0000-0000-0000BB100000}"/>
    <cellStyle name="Normal 2 14 3 2" xfId="4290" xr:uid="{00000000-0005-0000-0000-0000BC100000}"/>
    <cellStyle name="Normal 2 14 3 3" xfId="4291" xr:uid="{00000000-0005-0000-0000-0000BD100000}"/>
    <cellStyle name="Normal 2 14 4" xfId="4292" xr:uid="{00000000-0005-0000-0000-0000BE100000}"/>
    <cellStyle name="Normal 2 14 4 2" xfId="4293" xr:uid="{00000000-0005-0000-0000-0000BF100000}"/>
    <cellStyle name="Normal 2 14 4 3" xfId="4294" xr:uid="{00000000-0005-0000-0000-0000C0100000}"/>
    <cellStyle name="Normal 2 14 5" xfId="4295" xr:uid="{00000000-0005-0000-0000-0000C1100000}"/>
    <cellStyle name="Normal 2 14 5 2" xfId="4296" xr:uid="{00000000-0005-0000-0000-0000C2100000}"/>
    <cellStyle name="Normal 2 14 5 3" xfId="4297" xr:uid="{00000000-0005-0000-0000-0000C3100000}"/>
    <cellStyle name="Normal 2 14 6" xfId="4298" xr:uid="{00000000-0005-0000-0000-0000C4100000}"/>
    <cellStyle name="Normal 2 14 7" xfId="4299" xr:uid="{00000000-0005-0000-0000-0000C5100000}"/>
    <cellStyle name="Normal 2 15" xfId="4300" xr:uid="{00000000-0005-0000-0000-0000C6100000}"/>
    <cellStyle name="Normal 2 15 2" xfId="4301" xr:uid="{00000000-0005-0000-0000-0000C7100000}"/>
    <cellStyle name="Normal 2 15 2 2" xfId="4302" xr:uid="{00000000-0005-0000-0000-0000C8100000}"/>
    <cellStyle name="Normal 2 15 2 2 2" xfId="4303" xr:uid="{00000000-0005-0000-0000-0000C9100000}"/>
    <cellStyle name="Normal 2 15 2 2 3" xfId="4304" xr:uid="{00000000-0005-0000-0000-0000CA100000}"/>
    <cellStyle name="Normal 2 15 2 3" xfId="4305" xr:uid="{00000000-0005-0000-0000-0000CB100000}"/>
    <cellStyle name="Normal 2 15 2 3 2" xfId="4306" xr:uid="{00000000-0005-0000-0000-0000CC100000}"/>
    <cellStyle name="Normal 2 15 2 3 3" xfId="4307" xr:uid="{00000000-0005-0000-0000-0000CD100000}"/>
    <cellStyle name="Normal 2 15 2 4" xfId="4308" xr:uid="{00000000-0005-0000-0000-0000CE100000}"/>
    <cellStyle name="Normal 2 15 2 5" xfId="4309" xr:uid="{00000000-0005-0000-0000-0000CF100000}"/>
    <cellStyle name="Normal 2 15 3" xfId="4310" xr:uid="{00000000-0005-0000-0000-0000D0100000}"/>
    <cellStyle name="Normal 2 15 3 2" xfId="4311" xr:uid="{00000000-0005-0000-0000-0000D1100000}"/>
    <cellStyle name="Normal 2 15 3 3" xfId="4312" xr:uid="{00000000-0005-0000-0000-0000D2100000}"/>
    <cellStyle name="Normal 2 15 4" xfId="4313" xr:uid="{00000000-0005-0000-0000-0000D3100000}"/>
    <cellStyle name="Normal 2 15 4 2" xfId="4314" xr:uid="{00000000-0005-0000-0000-0000D4100000}"/>
    <cellStyle name="Normal 2 15 4 3" xfId="4315" xr:uid="{00000000-0005-0000-0000-0000D5100000}"/>
    <cellStyle name="Normal 2 15 5" xfId="4316" xr:uid="{00000000-0005-0000-0000-0000D6100000}"/>
    <cellStyle name="Normal 2 15 5 2" xfId="4317" xr:uid="{00000000-0005-0000-0000-0000D7100000}"/>
    <cellStyle name="Normal 2 15 5 3" xfId="4318" xr:uid="{00000000-0005-0000-0000-0000D8100000}"/>
    <cellStyle name="Normal 2 15 6" xfId="4319" xr:uid="{00000000-0005-0000-0000-0000D9100000}"/>
    <cellStyle name="Normal 2 15 7" xfId="4320" xr:uid="{00000000-0005-0000-0000-0000DA100000}"/>
    <cellStyle name="Normal 2 16" xfId="4321" xr:uid="{00000000-0005-0000-0000-0000DB100000}"/>
    <cellStyle name="Normal 2 16 2" xfId="4322" xr:uid="{00000000-0005-0000-0000-0000DC100000}"/>
    <cellStyle name="Normal 2 16 2 2" xfId="4323" xr:uid="{00000000-0005-0000-0000-0000DD100000}"/>
    <cellStyle name="Normal 2 16 2 2 2" xfId="4324" xr:uid="{00000000-0005-0000-0000-0000DE100000}"/>
    <cellStyle name="Normal 2 16 2 2 3" xfId="4325" xr:uid="{00000000-0005-0000-0000-0000DF100000}"/>
    <cellStyle name="Normal 2 16 2 3" xfId="4326" xr:uid="{00000000-0005-0000-0000-0000E0100000}"/>
    <cellStyle name="Normal 2 16 2 3 2" xfId="4327" xr:uid="{00000000-0005-0000-0000-0000E1100000}"/>
    <cellStyle name="Normal 2 16 2 3 3" xfId="4328" xr:uid="{00000000-0005-0000-0000-0000E2100000}"/>
    <cellStyle name="Normal 2 16 2 4" xfId="4329" xr:uid="{00000000-0005-0000-0000-0000E3100000}"/>
    <cellStyle name="Normal 2 16 2 5" xfId="4330" xr:uid="{00000000-0005-0000-0000-0000E4100000}"/>
    <cellStyle name="Normal 2 16 3" xfId="4331" xr:uid="{00000000-0005-0000-0000-0000E5100000}"/>
    <cellStyle name="Normal 2 16 3 2" xfId="4332" xr:uid="{00000000-0005-0000-0000-0000E6100000}"/>
    <cellStyle name="Normal 2 16 3 3" xfId="4333" xr:uid="{00000000-0005-0000-0000-0000E7100000}"/>
    <cellStyle name="Normal 2 16 4" xfId="4334" xr:uid="{00000000-0005-0000-0000-0000E8100000}"/>
    <cellStyle name="Normal 2 16 4 2" xfId="4335" xr:uid="{00000000-0005-0000-0000-0000E9100000}"/>
    <cellStyle name="Normal 2 16 4 3" xfId="4336" xr:uid="{00000000-0005-0000-0000-0000EA100000}"/>
    <cellStyle name="Normal 2 16 5" xfId="4337" xr:uid="{00000000-0005-0000-0000-0000EB100000}"/>
    <cellStyle name="Normal 2 16 5 2" xfId="4338" xr:uid="{00000000-0005-0000-0000-0000EC100000}"/>
    <cellStyle name="Normal 2 16 5 3" xfId="4339" xr:uid="{00000000-0005-0000-0000-0000ED100000}"/>
    <cellStyle name="Normal 2 16 6" xfId="4340" xr:uid="{00000000-0005-0000-0000-0000EE100000}"/>
    <cellStyle name="Normal 2 16 7" xfId="4341" xr:uid="{00000000-0005-0000-0000-0000EF100000}"/>
    <cellStyle name="Normal 2 17" xfId="4342" xr:uid="{00000000-0005-0000-0000-0000F0100000}"/>
    <cellStyle name="Normal 2 17 2" xfId="4343" xr:uid="{00000000-0005-0000-0000-0000F1100000}"/>
    <cellStyle name="Normal 2 18" xfId="4344" xr:uid="{00000000-0005-0000-0000-0000F2100000}"/>
    <cellStyle name="Normal 2 19" xfId="4345" xr:uid="{00000000-0005-0000-0000-0000F3100000}"/>
    <cellStyle name="Normal 2 19 2" xfId="4346" xr:uid="{00000000-0005-0000-0000-0000F4100000}"/>
    <cellStyle name="Normal 2 19 2 2" xfId="4347" xr:uid="{00000000-0005-0000-0000-0000F5100000}"/>
    <cellStyle name="Normal 2 19 2 3" xfId="4348" xr:uid="{00000000-0005-0000-0000-0000F6100000}"/>
    <cellStyle name="Normal 2 19 3" xfId="4349" xr:uid="{00000000-0005-0000-0000-0000F7100000}"/>
    <cellStyle name="Normal 2 19 4" xfId="4350" xr:uid="{00000000-0005-0000-0000-0000F8100000}"/>
    <cellStyle name="Normal 2 2" xfId="20" xr:uid="{00000000-0005-0000-0000-0000F9100000}"/>
    <cellStyle name="Normal 2 2 10" xfId="24077" xr:uid="{00000000-0005-0000-0000-0000FA100000}"/>
    <cellStyle name="Normal 2 2 2" xfId="4351" xr:uid="{00000000-0005-0000-0000-0000FB100000}"/>
    <cellStyle name="Normal 2 2 2 2" xfId="4352" xr:uid="{00000000-0005-0000-0000-0000FC100000}"/>
    <cellStyle name="Normal 2 2 2 2 2" xfId="24078" xr:uid="{00000000-0005-0000-0000-0000FD100000}"/>
    <cellStyle name="Normal 2 2 2 3" xfId="4353" xr:uid="{00000000-0005-0000-0000-0000FE100000}"/>
    <cellStyle name="Normal 2 2 2 4" xfId="11" xr:uid="{00000000-0005-0000-0000-0000FF100000}"/>
    <cellStyle name="Normal 2 2 3" xfId="12" xr:uid="{00000000-0005-0000-0000-000000110000}"/>
    <cellStyle name="Normal 2 2 3 2" xfId="4354" xr:uid="{00000000-0005-0000-0000-000001110000}"/>
    <cellStyle name="Normal 2 2 3 3" xfId="24125" xr:uid="{00000000-0005-0000-0000-00001D110000}"/>
    <cellStyle name="Normal 2 2 4" xfId="4355" xr:uid="{00000000-0005-0000-0000-000002110000}"/>
    <cellStyle name="Normal 2 2 5" xfId="4356" xr:uid="{00000000-0005-0000-0000-000003110000}"/>
    <cellStyle name="Normal 2 2 6" xfId="4357" xr:uid="{00000000-0005-0000-0000-000004110000}"/>
    <cellStyle name="Normal 2 2 7" xfId="4358" xr:uid="{00000000-0005-0000-0000-000005110000}"/>
    <cellStyle name="Normal 2 2 8" xfId="4359" xr:uid="{00000000-0005-0000-0000-000006110000}"/>
    <cellStyle name="Normal 2 2 9" xfId="4360" xr:uid="{00000000-0005-0000-0000-000007110000}"/>
    <cellStyle name="Normal 2 2_Tertiary Salaries Survey" xfId="4361" xr:uid="{00000000-0005-0000-0000-000008110000}"/>
    <cellStyle name="Normal 2 20" xfId="4362" xr:uid="{00000000-0005-0000-0000-000009110000}"/>
    <cellStyle name="Normal 2 20 2" xfId="4363" xr:uid="{00000000-0005-0000-0000-00000A110000}"/>
    <cellStyle name="Normal 2 20 3" xfId="4364" xr:uid="{00000000-0005-0000-0000-00000B110000}"/>
    <cellStyle name="Normal 2 21" xfId="4365" xr:uid="{00000000-0005-0000-0000-00000C110000}"/>
    <cellStyle name="Normal 2 22" xfId="4366" xr:uid="{00000000-0005-0000-0000-00000D110000}"/>
    <cellStyle name="Normal 2 23" xfId="13" xr:uid="{00000000-0005-0000-0000-00000E110000}"/>
    <cellStyle name="Normal 2 24" xfId="24066" xr:uid="{00000000-0005-0000-0000-00000F110000}"/>
    <cellStyle name="Normal 2 25" xfId="24067" xr:uid="{00000000-0005-0000-0000-000010110000}"/>
    <cellStyle name="Normal 2 26" xfId="24068" xr:uid="{00000000-0005-0000-0000-000011110000}"/>
    <cellStyle name="Normal 2 27" xfId="24069" xr:uid="{00000000-0005-0000-0000-000012110000}"/>
    <cellStyle name="Normal 2 28" xfId="24070" xr:uid="{00000000-0005-0000-0000-000013110000}"/>
    <cellStyle name="Normal 2 29" xfId="24071" xr:uid="{00000000-0005-0000-0000-000014110000}"/>
    <cellStyle name="Normal 2 3" xfId="4367" xr:uid="{00000000-0005-0000-0000-000015110000}"/>
    <cellStyle name="Normal 2 3 2" xfId="4368" xr:uid="{00000000-0005-0000-0000-000016110000}"/>
    <cellStyle name="Normal 2 3 2 2" xfId="4369" xr:uid="{00000000-0005-0000-0000-000017110000}"/>
    <cellStyle name="Normal 2 3 2 2 2" xfId="4370" xr:uid="{00000000-0005-0000-0000-000018110000}"/>
    <cellStyle name="Normal 2 3 2 2 3" xfId="4371" xr:uid="{00000000-0005-0000-0000-000019110000}"/>
    <cellStyle name="Normal 2 3 2 3" xfId="4372" xr:uid="{00000000-0005-0000-0000-00001A110000}"/>
    <cellStyle name="Normal 2 3 2 3 2" xfId="4373" xr:uid="{00000000-0005-0000-0000-00001B110000}"/>
    <cellStyle name="Normal 2 3 2 3 3" xfId="4374" xr:uid="{00000000-0005-0000-0000-00001C110000}"/>
    <cellStyle name="Normal 2 3 2 4" xfId="4375" xr:uid="{00000000-0005-0000-0000-00001D110000}"/>
    <cellStyle name="Normal 2 3 2 5" xfId="4376" xr:uid="{00000000-0005-0000-0000-00001E110000}"/>
    <cellStyle name="Normal 2 3 2 6" xfId="24080" xr:uid="{00000000-0005-0000-0000-00001F110000}"/>
    <cellStyle name="Normal 2 3 3" xfId="4377" xr:uid="{00000000-0005-0000-0000-000020110000}"/>
    <cellStyle name="Normal 2 3 3 2" xfId="4378" xr:uid="{00000000-0005-0000-0000-000021110000}"/>
    <cellStyle name="Normal 2 3 3 3" xfId="4379" xr:uid="{00000000-0005-0000-0000-000022110000}"/>
    <cellStyle name="Normal 2 3 4" xfId="4380" xr:uid="{00000000-0005-0000-0000-000023110000}"/>
    <cellStyle name="Normal 2 3 5" xfId="24076" xr:uid="{00000000-0005-0000-0000-000024110000}"/>
    <cellStyle name="Normal 2 3_Tertiary Salaries Survey" xfId="4381" xr:uid="{00000000-0005-0000-0000-000025110000}"/>
    <cellStyle name="Normal 2 30" xfId="24072" xr:uid="{00000000-0005-0000-0000-000026110000}"/>
    <cellStyle name="Normal 2 31" xfId="24073" xr:uid="{00000000-0005-0000-0000-000027110000}"/>
    <cellStyle name="Normal 2 4" xfId="4382" xr:uid="{00000000-0005-0000-0000-000028110000}"/>
    <cellStyle name="Normal 2 4 2" xfId="4383" xr:uid="{00000000-0005-0000-0000-000029110000}"/>
    <cellStyle name="Normal 2 4 2 2" xfId="4384" xr:uid="{00000000-0005-0000-0000-00002A110000}"/>
    <cellStyle name="Normal 2 4 2 2 2" xfId="4385" xr:uid="{00000000-0005-0000-0000-00002B110000}"/>
    <cellStyle name="Normal 2 4 2 2 2 2" xfId="4386" xr:uid="{00000000-0005-0000-0000-00002C110000}"/>
    <cellStyle name="Normal 2 4 2 2 2 3" xfId="4387" xr:uid="{00000000-0005-0000-0000-00002D110000}"/>
    <cellStyle name="Normal 2 4 2 2 3" xfId="4388" xr:uid="{00000000-0005-0000-0000-00002E110000}"/>
    <cellStyle name="Normal 2 4 2 2 3 2" xfId="4389" xr:uid="{00000000-0005-0000-0000-00002F110000}"/>
    <cellStyle name="Normal 2 4 2 2 3 3" xfId="4390" xr:uid="{00000000-0005-0000-0000-000030110000}"/>
    <cellStyle name="Normal 2 4 2 2 4" xfId="4391" xr:uid="{00000000-0005-0000-0000-000031110000}"/>
    <cellStyle name="Normal 2 4 2 2 5" xfId="4392" xr:uid="{00000000-0005-0000-0000-000032110000}"/>
    <cellStyle name="Normal 2 4 2 3" xfId="4393" xr:uid="{00000000-0005-0000-0000-000033110000}"/>
    <cellStyle name="Normal 2 4 2 3 2" xfId="4394" xr:uid="{00000000-0005-0000-0000-000034110000}"/>
    <cellStyle name="Normal 2 4 2 3 3" xfId="4395" xr:uid="{00000000-0005-0000-0000-000035110000}"/>
    <cellStyle name="Normal 2 4 2 4" xfId="4396" xr:uid="{00000000-0005-0000-0000-000036110000}"/>
    <cellStyle name="Normal 2 4 2 4 2" xfId="4397" xr:uid="{00000000-0005-0000-0000-000037110000}"/>
    <cellStyle name="Normal 2 4 2 4 3" xfId="4398" xr:uid="{00000000-0005-0000-0000-000038110000}"/>
    <cellStyle name="Normal 2 4 2 5" xfId="4399" xr:uid="{00000000-0005-0000-0000-000039110000}"/>
    <cellStyle name="Normal 2 4 2 6" xfId="4400" xr:uid="{00000000-0005-0000-0000-00003A110000}"/>
    <cellStyle name="Normal 2 4 3" xfId="4401" xr:uid="{00000000-0005-0000-0000-00003B110000}"/>
    <cellStyle name="Normal 2 4 3 2" xfId="4402" xr:uid="{00000000-0005-0000-0000-00003C110000}"/>
    <cellStyle name="Normal 2 4 3 2 2" xfId="4403" xr:uid="{00000000-0005-0000-0000-00003D110000}"/>
    <cellStyle name="Normal 2 4 3 2 3" xfId="4404" xr:uid="{00000000-0005-0000-0000-00003E110000}"/>
    <cellStyle name="Normal 2 4 3 3" xfId="4405" xr:uid="{00000000-0005-0000-0000-00003F110000}"/>
    <cellStyle name="Normal 2 4 3 3 2" xfId="4406" xr:uid="{00000000-0005-0000-0000-000040110000}"/>
    <cellStyle name="Normal 2 4 3 3 3" xfId="4407" xr:uid="{00000000-0005-0000-0000-000041110000}"/>
    <cellStyle name="Normal 2 4 3 4" xfId="4408" xr:uid="{00000000-0005-0000-0000-000042110000}"/>
    <cellStyle name="Normal 2 4 3 5" xfId="4409" xr:uid="{00000000-0005-0000-0000-000043110000}"/>
    <cellStyle name="Normal 2 4 4" xfId="4410" xr:uid="{00000000-0005-0000-0000-000044110000}"/>
    <cellStyle name="Normal 2 4 4 2" xfId="4411" xr:uid="{00000000-0005-0000-0000-000045110000}"/>
    <cellStyle name="Normal 2 4 4 2 2" xfId="4412" xr:uid="{00000000-0005-0000-0000-000046110000}"/>
    <cellStyle name="Normal 2 4 4 2 3" xfId="4413" xr:uid="{00000000-0005-0000-0000-000047110000}"/>
    <cellStyle name="Normal 2 4 4 3" xfId="4414" xr:uid="{00000000-0005-0000-0000-000048110000}"/>
    <cellStyle name="Normal 2 4 4 3 2" xfId="4415" xr:uid="{00000000-0005-0000-0000-000049110000}"/>
    <cellStyle name="Normal 2 4 4 3 3" xfId="4416" xr:uid="{00000000-0005-0000-0000-00004A110000}"/>
    <cellStyle name="Normal 2 4 4 4" xfId="4417" xr:uid="{00000000-0005-0000-0000-00004B110000}"/>
    <cellStyle name="Normal 2 4 4 5" xfId="4418" xr:uid="{00000000-0005-0000-0000-00004C110000}"/>
    <cellStyle name="Normal 2 4 5" xfId="4419" xr:uid="{00000000-0005-0000-0000-00004D110000}"/>
    <cellStyle name="Normal 2 4 5 2" xfId="4420" xr:uid="{00000000-0005-0000-0000-00004E110000}"/>
    <cellStyle name="Normal 2 4 5 3" xfId="4421" xr:uid="{00000000-0005-0000-0000-00004F110000}"/>
    <cellStyle name="Normal 2 4 6" xfId="4422" xr:uid="{00000000-0005-0000-0000-000050110000}"/>
    <cellStyle name="Normal 2 4 6 2" xfId="4423" xr:uid="{00000000-0005-0000-0000-000051110000}"/>
    <cellStyle name="Normal 2 4 6 3" xfId="4424" xr:uid="{00000000-0005-0000-0000-000052110000}"/>
    <cellStyle name="Normal 2 4 7" xfId="4425" xr:uid="{00000000-0005-0000-0000-000053110000}"/>
    <cellStyle name="Normal 2 4 7 2" xfId="4426" xr:uid="{00000000-0005-0000-0000-000054110000}"/>
    <cellStyle name="Normal 2 4 7 3" xfId="4427" xr:uid="{00000000-0005-0000-0000-000055110000}"/>
    <cellStyle name="Normal 2 4 8" xfId="4428" xr:uid="{00000000-0005-0000-0000-000056110000}"/>
    <cellStyle name="Normal 2 4 9" xfId="4429" xr:uid="{00000000-0005-0000-0000-000057110000}"/>
    <cellStyle name="Normal 2 4_EAG2010_D6_April 28" xfId="4430" xr:uid="{00000000-0005-0000-0000-000058110000}"/>
    <cellStyle name="Normal 2 5" xfId="4431" xr:uid="{00000000-0005-0000-0000-000059110000}"/>
    <cellStyle name="Normal 2 5 2" xfId="4432" xr:uid="{00000000-0005-0000-0000-00005A110000}"/>
    <cellStyle name="Normal 2 5 2 2" xfId="4433" xr:uid="{00000000-0005-0000-0000-00005B110000}"/>
    <cellStyle name="Normal 2 5 2 2 2" xfId="4434" xr:uid="{00000000-0005-0000-0000-00005C110000}"/>
    <cellStyle name="Normal 2 5 2 2 3" xfId="4435" xr:uid="{00000000-0005-0000-0000-00005D110000}"/>
    <cellStyle name="Normal 2 5 2 3" xfId="4436" xr:uid="{00000000-0005-0000-0000-00005E110000}"/>
    <cellStyle name="Normal 2 5 2 3 2" xfId="4437" xr:uid="{00000000-0005-0000-0000-00005F110000}"/>
    <cellStyle name="Normal 2 5 2 3 3" xfId="4438" xr:uid="{00000000-0005-0000-0000-000060110000}"/>
    <cellStyle name="Normal 2 5 2 4" xfId="4439" xr:uid="{00000000-0005-0000-0000-000061110000}"/>
    <cellStyle name="Normal 2 5 2 5" xfId="4440" xr:uid="{00000000-0005-0000-0000-000062110000}"/>
    <cellStyle name="Normal 2 5 3" xfId="4441" xr:uid="{00000000-0005-0000-0000-000063110000}"/>
    <cellStyle name="Normal 2 5 3 2" xfId="4442" xr:uid="{00000000-0005-0000-0000-000064110000}"/>
    <cellStyle name="Normal 2 5 3 3" xfId="4443" xr:uid="{00000000-0005-0000-0000-000065110000}"/>
    <cellStyle name="Normal 2 5 4" xfId="4444" xr:uid="{00000000-0005-0000-0000-000066110000}"/>
    <cellStyle name="Normal 2 5 4 2" xfId="4445" xr:uid="{00000000-0005-0000-0000-000067110000}"/>
    <cellStyle name="Normal 2 5 4 3" xfId="4446" xr:uid="{00000000-0005-0000-0000-000068110000}"/>
    <cellStyle name="Normal 2 5 5" xfId="4447" xr:uid="{00000000-0005-0000-0000-000069110000}"/>
    <cellStyle name="Normal 2 5 5 2" xfId="4448" xr:uid="{00000000-0005-0000-0000-00006A110000}"/>
    <cellStyle name="Normal 2 5 5 3" xfId="4449" xr:uid="{00000000-0005-0000-0000-00006B110000}"/>
    <cellStyle name="Normal 2 6" xfId="4450" xr:uid="{00000000-0005-0000-0000-00006C110000}"/>
    <cellStyle name="Normal 2 6 2" xfId="4451" xr:uid="{00000000-0005-0000-0000-00006D110000}"/>
    <cellStyle name="Normal 2 6 2 2" xfId="4452" xr:uid="{00000000-0005-0000-0000-00006E110000}"/>
    <cellStyle name="Normal 2 6 2 2 2" xfId="4453" xr:uid="{00000000-0005-0000-0000-00006F110000}"/>
    <cellStyle name="Normal 2 6 2 2 3" xfId="4454" xr:uid="{00000000-0005-0000-0000-000070110000}"/>
    <cellStyle name="Normal 2 6 2 3" xfId="4455" xr:uid="{00000000-0005-0000-0000-000071110000}"/>
    <cellStyle name="Normal 2 6 2 3 2" xfId="4456" xr:uid="{00000000-0005-0000-0000-000072110000}"/>
    <cellStyle name="Normal 2 6 2 3 3" xfId="4457" xr:uid="{00000000-0005-0000-0000-000073110000}"/>
    <cellStyle name="Normal 2 6 2 4" xfId="4458" xr:uid="{00000000-0005-0000-0000-000074110000}"/>
    <cellStyle name="Normal 2 6 2 5" xfId="4459" xr:uid="{00000000-0005-0000-0000-000075110000}"/>
    <cellStyle name="Normal 2 6 3" xfId="4460" xr:uid="{00000000-0005-0000-0000-000076110000}"/>
    <cellStyle name="Normal 2 6 3 2" xfId="4461" xr:uid="{00000000-0005-0000-0000-000077110000}"/>
    <cellStyle name="Normal 2 6 3 3" xfId="4462" xr:uid="{00000000-0005-0000-0000-000078110000}"/>
    <cellStyle name="Normal 2 6 4" xfId="4463" xr:uid="{00000000-0005-0000-0000-000079110000}"/>
    <cellStyle name="Normal 2 6 4 2" xfId="4464" xr:uid="{00000000-0005-0000-0000-00007A110000}"/>
    <cellStyle name="Normal 2 6 4 3" xfId="4465" xr:uid="{00000000-0005-0000-0000-00007B110000}"/>
    <cellStyle name="Normal 2 6 5" xfId="4466" xr:uid="{00000000-0005-0000-0000-00007C110000}"/>
    <cellStyle name="Normal 2 6 5 2" xfId="4467" xr:uid="{00000000-0005-0000-0000-00007D110000}"/>
    <cellStyle name="Normal 2 6 5 3" xfId="4468" xr:uid="{00000000-0005-0000-0000-00007E110000}"/>
    <cellStyle name="Normal 2 7" xfId="4469" xr:uid="{00000000-0005-0000-0000-00007F110000}"/>
    <cellStyle name="Normal 2 7 2" xfId="4470" xr:uid="{00000000-0005-0000-0000-000080110000}"/>
    <cellStyle name="Normal 2 7 2 2" xfId="4471" xr:uid="{00000000-0005-0000-0000-000081110000}"/>
    <cellStyle name="Normal 2 7 2 2 2" xfId="4472" xr:uid="{00000000-0005-0000-0000-000082110000}"/>
    <cellStyle name="Normal 2 7 2 2 3" xfId="4473" xr:uid="{00000000-0005-0000-0000-000083110000}"/>
    <cellStyle name="Normal 2 7 2 3" xfId="4474" xr:uid="{00000000-0005-0000-0000-000084110000}"/>
    <cellStyle name="Normal 2 7 2 3 2" xfId="4475" xr:uid="{00000000-0005-0000-0000-000085110000}"/>
    <cellStyle name="Normal 2 7 2 3 3" xfId="4476" xr:uid="{00000000-0005-0000-0000-000086110000}"/>
    <cellStyle name="Normal 2 7 2 4" xfId="4477" xr:uid="{00000000-0005-0000-0000-000087110000}"/>
    <cellStyle name="Normal 2 7 2 5" xfId="4478" xr:uid="{00000000-0005-0000-0000-000088110000}"/>
    <cellStyle name="Normal 2 7 3" xfId="4479" xr:uid="{00000000-0005-0000-0000-000089110000}"/>
    <cellStyle name="Normal 2 7 3 2" xfId="4480" xr:uid="{00000000-0005-0000-0000-00008A110000}"/>
    <cellStyle name="Normal 2 7 3 3" xfId="4481" xr:uid="{00000000-0005-0000-0000-00008B110000}"/>
    <cellStyle name="Normal 2 7 4" xfId="4482" xr:uid="{00000000-0005-0000-0000-00008C110000}"/>
    <cellStyle name="Normal 2 7 4 2" xfId="4483" xr:uid="{00000000-0005-0000-0000-00008D110000}"/>
    <cellStyle name="Normal 2 7 4 3" xfId="4484" xr:uid="{00000000-0005-0000-0000-00008E110000}"/>
    <cellStyle name="Normal 2 7 5" xfId="4485" xr:uid="{00000000-0005-0000-0000-00008F110000}"/>
    <cellStyle name="Normal 2 7 5 2" xfId="4486" xr:uid="{00000000-0005-0000-0000-000090110000}"/>
    <cellStyle name="Normal 2 7 5 3" xfId="4487" xr:uid="{00000000-0005-0000-0000-000091110000}"/>
    <cellStyle name="Normal 2 8" xfId="4488" xr:uid="{00000000-0005-0000-0000-000092110000}"/>
    <cellStyle name="Normal 2 8 2" xfId="4489" xr:uid="{00000000-0005-0000-0000-000093110000}"/>
    <cellStyle name="Normal 2 8 2 2" xfId="4490" xr:uid="{00000000-0005-0000-0000-000094110000}"/>
    <cellStyle name="Normal 2 8 2 2 2" xfId="4491" xr:uid="{00000000-0005-0000-0000-000095110000}"/>
    <cellStyle name="Normal 2 8 2 2 3" xfId="4492" xr:uid="{00000000-0005-0000-0000-000096110000}"/>
    <cellStyle name="Normal 2 8 2 3" xfId="4493" xr:uid="{00000000-0005-0000-0000-000097110000}"/>
    <cellStyle name="Normal 2 8 2 3 2" xfId="4494" xr:uid="{00000000-0005-0000-0000-000098110000}"/>
    <cellStyle name="Normal 2 8 2 3 3" xfId="4495" xr:uid="{00000000-0005-0000-0000-000099110000}"/>
    <cellStyle name="Normal 2 8 3" xfId="4496" xr:uid="{00000000-0005-0000-0000-00009A110000}"/>
    <cellStyle name="Normal 2 8 3 2" xfId="4497" xr:uid="{00000000-0005-0000-0000-00009B110000}"/>
    <cellStyle name="Normal 2 8 3 3" xfId="4498" xr:uid="{00000000-0005-0000-0000-00009C110000}"/>
    <cellStyle name="Normal 2 8 4" xfId="4499" xr:uid="{00000000-0005-0000-0000-00009D110000}"/>
    <cellStyle name="Normal 2 8 4 2" xfId="4500" xr:uid="{00000000-0005-0000-0000-00009E110000}"/>
    <cellStyle name="Normal 2 8 4 3" xfId="4501" xr:uid="{00000000-0005-0000-0000-00009F110000}"/>
    <cellStyle name="Normal 2 8 5" xfId="4502" xr:uid="{00000000-0005-0000-0000-0000A0110000}"/>
    <cellStyle name="Normal 2 8 5 2" xfId="4503" xr:uid="{00000000-0005-0000-0000-0000A1110000}"/>
    <cellStyle name="Normal 2 8 5 3" xfId="4504" xr:uid="{00000000-0005-0000-0000-0000A2110000}"/>
    <cellStyle name="Normal 2 9" xfId="4505" xr:uid="{00000000-0005-0000-0000-0000A3110000}"/>
    <cellStyle name="Normal 2 9 2" xfId="4506" xr:uid="{00000000-0005-0000-0000-0000A4110000}"/>
    <cellStyle name="Normal 2 9 2 2" xfId="4507" xr:uid="{00000000-0005-0000-0000-0000A5110000}"/>
    <cellStyle name="Normal 2 9 2 2 2" xfId="4508" xr:uid="{00000000-0005-0000-0000-0000A6110000}"/>
    <cellStyle name="Normal 2 9 2 2 3" xfId="4509" xr:uid="{00000000-0005-0000-0000-0000A7110000}"/>
    <cellStyle name="Normal 2 9 2 3" xfId="4510" xr:uid="{00000000-0005-0000-0000-0000A8110000}"/>
    <cellStyle name="Normal 2 9 2 3 2" xfId="4511" xr:uid="{00000000-0005-0000-0000-0000A9110000}"/>
    <cellStyle name="Normal 2 9 2 3 3" xfId="4512" xr:uid="{00000000-0005-0000-0000-0000AA110000}"/>
    <cellStyle name="Normal 2 9 2 4" xfId="4513" xr:uid="{00000000-0005-0000-0000-0000AB110000}"/>
    <cellStyle name="Normal 2 9 2 5" xfId="4514" xr:uid="{00000000-0005-0000-0000-0000AC110000}"/>
    <cellStyle name="Normal 2 9 3" xfId="4515" xr:uid="{00000000-0005-0000-0000-0000AD110000}"/>
    <cellStyle name="Normal 2 9 3 2" xfId="4516" xr:uid="{00000000-0005-0000-0000-0000AE110000}"/>
    <cellStyle name="Normal 2 9 3 3" xfId="4517" xr:uid="{00000000-0005-0000-0000-0000AF110000}"/>
    <cellStyle name="Normal 2 9 4" xfId="4518" xr:uid="{00000000-0005-0000-0000-0000B0110000}"/>
    <cellStyle name="Normal 2 9 4 2" xfId="4519" xr:uid="{00000000-0005-0000-0000-0000B1110000}"/>
    <cellStyle name="Normal 2 9 4 3" xfId="4520" xr:uid="{00000000-0005-0000-0000-0000B2110000}"/>
    <cellStyle name="Normal 2 9 5" xfId="4521" xr:uid="{00000000-0005-0000-0000-0000B3110000}"/>
    <cellStyle name="Normal 2 9 5 2" xfId="4522" xr:uid="{00000000-0005-0000-0000-0000B4110000}"/>
    <cellStyle name="Normal 2 9 5 3" xfId="4523" xr:uid="{00000000-0005-0000-0000-0000B5110000}"/>
    <cellStyle name="Normal 2 9 6" xfId="4524" xr:uid="{00000000-0005-0000-0000-0000B6110000}"/>
    <cellStyle name="Normal 2 9 7" xfId="4525" xr:uid="{00000000-0005-0000-0000-0000B7110000}"/>
    <cellStyle name="Normal 2_AUG_TabChap2" xfId="4526" xr:uid="{00000000-0005-0000-0000-0000B8110000}"/>
    <cellStyle name="Normal 20" xfId="4527" xr:uid="{00000000-0005-0000-0000-0000B9110000}"/>
    <cellStyle name="Normal 21" xfId="4528" xr:uid="{00000000-0005-0000-0000-0000BA110000}"/>
    <cellStyle name="Normal 22" xfId="4529" xr:uid="{00000000-0005-0000-0000-0000BB110000}"/>
    <cellStyle name="Normal 23" xfId="4530" xr:uid="{00000000-0005-0000-0000-0000BC110000}"/>
    <cellStyle name="Normal 24" xfId="4531" xr:uid="{00000000-0005-0000-0000-0000BD110000}"/>
    <cellStyle name="Normal 25" xfId="4532" xr:uid="{00000000-0005-0000-0000-0000BE110000}"/>
    <cellStyle name="Normal 25 2" xfId="4533" xr:uid="{00000000-0005-0000-0000-0000BF110000}"/>
    <cellStyle name="Normal 25 3" xfId="4534" xr:uid="{00000000-0005-0000-0000-0000C0110000}"/>
    <cellStyle name="Normal 26" xfId="4535" xr:uid="{00000000-0005-0000-0000-0000C1110000}"/>
    <cellStyle name="Normal 27" xfId="4536" xr:uid="{00000000-0005-0000-0000-0000C2110000}"/>
    <cellStyle name="Normal 28" xfId="4537" xr:uid="{00000000-0005-0000-0000-0000C3110000}"/>
    <cellStyle name="Normal 29" xfId="4538" xr:uid="{00000000-0005-0000-0000-0000C4110000}"/>
    <cellStyle name="Normal 3" xfId="2" xr:uid="{00000000-0005-0000-0000-0000C5110000}"/>
    <cellStyle name="Normal 3 2" xfId="18" xr:uid="{00000000-0005-0000-0000-0000C6110000}"/>
    <cellStyle name="Normal 3 2 2" xfId="4539" xr:uid="{00000000-0005-0000-0000-0000C7110000}"/>
    <cellStyle name="Normal 3 2 2 2" xfId="4540" xr:uid="{00000000-0005-0000-0000-0000C8110000}"/>
    <cellStyle name="Normal 3 2 2 2 2" xfId="4541" xr:uid="{00000000-0005-0000-0000-0000C9110000}"/>
    <cellStyle name="Normal 3 2 2 2 3" xfId="4542" xr:uid="{00000000-0005-0000-0000-0000CA110000}"/>
    <cellStyle name="Normal 3 2 2 3" xfId="4543" xr:uid="{00000000-0005-0000-0000-0000CB110000}"/>
    <cellStyle name="Normal 3 2 2 3 2" xfId="4544" xr:uid="{00000000-0005-0000-0000-0000CC110000}"/>
    <cellStyle name="Normal 3 2 2 3 3" xfId="4545" xr:uid="{00000000-0005-0000-0000-0000CD110000}"/>
    <cellStyle name="Normal 3 2 2 4" xfId="4546" xr:uid="{00000000-0005-0000-0000-0000CE110000}"/>
    <cellStyle name="Normal 3 2 2 5" xfId="4547" xr:uid="{00000000-0005-0000-0000-0000CF110000}"/>
    <cellStyle name="Normal 3 2 2_Tertiary Salaries Survey" xfId="4548" xr:uid="{00000000-0005-0000-0000-0000D0110000}"/>
    <cellStyle name="Normal 3 2 3" xfId="4549" xr:uid="{00000000-0005-0000-0000-0000D1110000}"/>
    <cellStyle name="Normal 3 2_Tertiary Salaries Survey" xfId="4550" xr:uid="{00000000-0005-0000-0000-0000D2110000}"/>
    <cellStyle name="Normal 3 3" xfId="19" xr:uid="{00000000-0005-0000-0000-0000D3110000}"/>
    <cellStyle name="Normal 3 3 2" xfId="21" xr:uid="{00000000-0005-0000-0000-0000D4110000}"/>
    <cellStyle name="Normal 3 3 2 2" xfId="4551" xr:uid="{00000000-0005-0000-0000-0000D5110000}"/>
    <cellStyle name="Normal 3 4" xfId="4552" xr:uid="{00000000-0005-0000-0000-0000D6110000}"/>
    <cellStyle name="Normal 3 4 2" xfId="24074" xr:uid="{00000000-0005-0000-0000-0000D7110000}"/>
    <cellStyle name="Normal 3 5" xfId="4553" xr:uid="{00000000-0005-0000-0000-0000D8110000}"/>
    <cellStyle name="Normal 3 6" xfId="4554" xr:uid="{00000000-0005-0000-0000-0000D9110000}"/>
    <cellStyle name="Normal 3 7" xfId="15" xr:uid="{00000000-0005-0000-0000-0000DA110000}"/>
    <cellStyle name="Normal 3_Tertiary Salaries Survey" xfId="4555" xr:uid="{00000000-0005-0000-0000-0000DB110000}"/>
    <cellStyle name="Normal 30" xfId="4556" xr:uid="{00000000-0005-0000-0000-0000DC110000}"/>
    <cellStyle name="Normal 31" xfId="4557" xr:uid="{00000000-0005-0000-0000-0000DD110000}"/>
    <cellStyle name="Normal 32" xfId="4558" xr:uid="{00000000-0005-0000-0000-0000DE110000}"/>
    <cellStyle name="Normal 33" xfId="24063" xr:uid="{00000000-0005-0000-0000-0000DF110000}"/>
    <cellStyle name="Normal 4" xfId="16" xr:uid="{00000000-0005-0000-0000-0000E0110000}"/>
    <cellStyle name="Normal 4 10" xfId="4559" xr:uid="{00000000-0005-0000-0000-0000E1110000}"/>
    <cellStyle name="Normal 4 2" xfId="4560" xr:uid="{00000000-0005-0000-0000-0000E2110000}"/>
    <cellStyle name="Normal 4 2 2" xfId="4561" xr:uid="{00000000-0005-0000-0000-0000E3110000}"/>
    <cellStyle name="Normal 4 2 2 2" xfId="4562" xr:uid="{00000000-0005-0000-0000-0000E4110000}"/>
    <cellStyle name="Normal 4 2 2 2 2" xfId="4563" xr:uid="{00000000-0005-0000-0000-0000E5110000}"/>
    <cellStyle name="Normal 4 2 2 2 2 2" xfId="4564" xr:uid="{00000000-0005-0000-0000-0000E6110000}"/>
    <cellStyle name="Normal 4 2 2 2 2 3" xfId="4565" xr:uid="{00000000-0005-0000-0000-0000E7110000}"/>
    <cellStyle name="Normal 4 2 2 2 2_Tertiary Salaries Survey" xfId="4566" xr:uid="{00000000-0005-0000-0000-0000E8110000}"/>
    <cellStyle name="Normal 4 2 2 2 3" xfId="4567" xr:uid="{00000000-0005-0000-0000-0000E9110000}"/>
    <cellStyle name="Normal 4 2 2 2 4" xfId="4568" xr:uid="{00000000-0005-0000-0000-0000EA110000}"/>
    <cellStyle name="Normal 4 2 2 2 5" xfId="4569" xr:uid="{00000000-0005-0000-0000-0000EB110000}"/>
    <cellStyle name="Normal 4 2 2 2_STUD aligned by INSTIT" xfId="4570" xr:uid="{00000000-0005-0000-0000-0000EC110000}"/>
    <cellStyle name="Normal 4 2 2 3" xfId="4571" xr:uid="{00000000-0005-0000-0000-0000ED110000}"/>
    <cellStyle name="Normal 4 2 2 3 2" xfId="4572" xr:uid="{00000000-0005-0000-0000-0000EE110000}"/>
    <cellStyle name="Normal 4 2 2 3 3" xfId="4573" xr:uid="{00000000-0005-0000-0000-0000EF110000}"/>
    <cellStyle name="Normal 4 2 2 3_Tertiary Salaries Survey" xfId="4574" xr:uid="{00000000-0005-0000-0000-0000F0110000}"/>
    <cellStyle name="Normal 4 2 2 4" xfId="4575" xr:uid="{00000000-0005-0000-0000-0000F1110000}"/>
    <cellStyle name="Normal 4 2 2 5" xfId="4576" xr:uid="{00000000-0005-0000-0000-0000F2110000}"/>
    <cellStyle name="Normal 4 2 2 6" xfId="4577" xr:uid="{00000000-0005-0000-0000-0000F3110000}"/>
    <cellStyle name="Normal 4 2 2 7" xfId="4578" xr:uid="{00000000-0005-0000-0000-0000F4110000}"/>
    <cellStyle name="Normal 4 2 2 8" xfId="4579" xr:uid="{00000000-0005-0000-0000-0000F5110000}"/>
    <cellStyle name="Normal 4 2 2 9" xfId="4580" xr:uid="{00000000-0005-0000-0000-0000F6110000}"/>
    <cellStyle name="Normal 4 2 2_STUD aligned by INSTIT" xfId="4581" xr:uid="{00000000-0005-0000-0000-0000F7110000}"/>
    <cellStyle name="Normal 4 2 3" xfId="4582" xr:uid="{00000000-0005-0000-0000-0000F8110000}"/>
    <cellStyle name="Normal 4 2 3 2" xfId="4583" xr:uid="{00000000-0005-0000-0000-0000F9110000}"/>
    <cellStyle name="Normal 4 2 3 2 2" xfId="4584" xr:uid="{00000000-0005-0000-0000-0000FA110000}"/>
    <cellStyle name="Normal 4 2 3 2 3" xfId="4585" xr:uid="{00000000-0005-0000-0000-0000FB110000}"/>
    <cellStyle name="Normal 4 2 3 2_Tertiary Salaries Survey" xfId="4586" xr:uid="{00000000-0005-0000-0000-0000FC110000}"/>
    <cellStyle name="Normal 4 2 3 3" xfId="4587" xr:uid="{00000000-0005-0000-0000-0000FD110000}"/>
    <cellStyle name="Normal 4 2 3 4" xfId="4588" xr:uid="{00000000-0005-0000-0000-0000FE110000}"/>
    <cellStyle name="Normal 4 2 3 5" xfId="4589" xr:uid="{00000000-0005-0000-0000-0000FF110000}"/>
    <cellStyle name="Normal 4 2 3_STUD aligned by INSTIT" xfId="4590" xr:uid="{00000000-0005-0000-0000-000000120000}"/>
    <cellStyle name="Normal 4 2 4" xfId="4591" xr:uid="{00000000-0005-0000-0000-000001120000}"/>
    <cellStyle name="Normal 4 2 4 2" xfId="4592" xr:uid="{00000000-0005-0000-0000-000002120000}"/>
    <cellStyle name="Normal 4 2 4 3" xfId="4593" xr:uid="{00000000-0005-0000-0000-000003120000}"/>
    <cellStyle name="Normal 4 2 4_Tertiary Salaries Survey" xfId="4594" xr:uid="{00000000-0005-0000-0000-000004120000}"/>
    <cellStyle name="Normal 4 2 5" xfId="4595" xr:uid="{00000000-0005-0000-0000-000005120000}"/>
    <cellStyle name="Normal 4 2 6" xfId="4596" xr:uid="{00000000-0005-0000-0000-000006120000}"/>
    <cellStyle name="Normal 4 2 7" xfId="4597" xr:uid="{00000000-0005-0000-0000-000007120000}"/>
    <cellStyle name="Normal 4 2_STUD aligned by INSTIT" xfId="4598" xr:uid="{00000000-0005-0000-0000-000008120000}"/>
    <cellStyle name="Normal 4 3" xfId="4599" xr:uid="{00000000-0005-0000-0000-000009120000}"/>
    <cellStyle name="Normal 4 3 2" xfId="4600" xr:uid="{00000000-0005-0000-0000-00000A120000}"/>
    <cellStyle name="Normal 4 3 3" xfId="4601" xr:uid="{00000000-0005-0000-0000-00000B120000}"/>
    <cellStyle name="Normal 4 4" xfId="4602" xr:uid="{00000000-0005-0000-0000-00000C120000}"/>
    <cellStyle name="Normal 4 5" xfId="4603" xr:uid="{00000000-0005-0000-0000-00000D120000}"/>
    <cellStyle name="Normal 4 6" xfId="4604" xr:uid="{00000000-0005-0000-0000-00000E120000}"/>
    <cellStyle name="Normal 4 7" xfId="4605" xr:uid="{00000000-0005-0000-0000-00000F120000}"/>
    <cellStyle name="Normal 4 8" xfId="4606" xr:uid="{00000000-0005-0000-0000-000010120000}"/>
    <cellStyle name="Normal 4 9" xfId="4607" xr:uid="{00000000-0005-0000-0000-000011120000}"/>
    <cellStyle name="Normal 4_Tertiary Salaries Survey" xfId="4608" xr:uid="{00000000-0005-0000-0000-000012120000}"/>
    <cellStyle name="Normal 5" xfId="4609" xr:uid="{00000000-0005-0000-0000-000013120000}"/>
    <cellStyle name="Normal 5 2" xfId="4610" xr:uid="{00000000-0005-0000-0000-000014120000}"/>
    <cellStyle name="Normal 5 2 2" xfId="4611" xr:uid="{00000000-0005-0000-0000-000015120000}"/>
    <cellStyle name="Normal 5 2 3" xfId="4612" xr:uid="{00000000-0005-0000-0000-000016120000}"/>
    <cellStyle name="Normal 5 2 4" xfId="4613" xr:uid="{00000000-0005-0000-0000-000017120000}"/>
    <cellStyle name="Normal 5 2 4 2" xfId="4614" xr:uid="{00000000-0005-0000-0000-000018120000}"/>
    <cellStyle name="Normal 5 2 4 3" xfId="4615" xr:uid="{00000000-0005-0000-0000-000019120000}"/>
    <cellStyle name="Normal 5 2_Tertiary Salaries Survey" xfId="4616" xr:uid="{00000000-0005-0000-0000-00001A120000}"/>
    <cellStyle name="Normal 5 3" xfId="4617" xr:uid="{00000000-0005-0000-0000-00001B120000}"/>
    <cellStyle name="Normal 5 4" xfId="4618" xr:uid="{00000000-0005-0000-0000-00001C120000}"/>
    <cellStyle name="Normal 5 5" xfId="4619" xr:uid="{00000000-0005-0000-0000-00001D120000}"/>
    <cellStyle name="Normal 5_Tertiary Salaries Survey" xfId="4620" xr:uid="{00000000-0005-0000-0000-00001E120000}"/>
    <cellStyle name="Normal 6" xfId="4621" xr:uid="{00000000-0005-0000-0000-00001F120000}"/>
    <cellStyle name="Normal 6 10" xfId="4622" xr:uid="{00000000-0005-0000-0000-000020120000}"/>
    <cellStyle name="Normal 6 10 2" xfId="4623" xr:uid="{00000000-0005-0000-0000-000021120000}"/>
    <cellStyle name="Normal 6 10 3" xfId="4624" xr:uid="{00000000-0005-0000-0000-000022120000}"/>
    <cellStyle name="Normal 6 2" xfId="4625" xr:uid="{00000000-0005-0000-0000-000023120000}"/>
    <cellStyle name="Normal 6 2 2" xfId="4626" xr:uid="{00000000-0005-0000-0000-000024120000}"/>
    <cellStyle name="Normal 6 2 2 2" xfId="4627" xr:uid="{00000000-0005-0000-0000-000025120000}"/>
    <cellStyle name="Normal 6 2 2 2 2" xfId="4628" xr:uid="{00000000-0005-0000-0000-000026120000}"/>
    <cellStyle name="Normal 6 2 2 2 2 2" xfId="4629" xr:uid="{00000000-0005-0000-0000-000027120000}"/>
    <cellStyle name="Normal 6 2 2 2 2 3" xfId="4630" xr:uid="{00000000-0005-0000-0000-000028120000}"/>
    <cellStyle name="Normal 6 2 2 2 2_Tertiary Salaries Survey" xfId="4631" xr:uid="{00000000-0005-0000-0000-000029120000}"/>
    <cellStyle name="Normal 6 2 2 2 3" xfId="4632" xr:uid="{00000000-0005-0000-0000-00002A120000}"/>
    <cellStyle name="Normal 6 2 2 2 4" xfId="4633" xr:uid="{00000000-0005-0000-0000-00002B120000}"/>
    <cellStyle name="Normal 6 2 2 2 5" xfId="4634" xr:uid="{00000000-0005-0000-0000-00002C120000}"/>
    <cellStyle name="Normal 6 2 2 2_STUD aligned by INSTIT" xfId="4635" xr:uid="{00000000-0005-0000-0000-00002D120000}"/>
    <cellStyle name="Normal 6 2 2 3" xfId="4636" xr:uid="{00000000-0005-0000-0000-00002E120000}"/>
    <cellStyle name="Normal 6 2 2 3 2" xfId="4637" xr:uid="{00000000-0005-0000-0000-00002F120000}"/>
    <cellStyle name="Normal 6 2 2 3 3" xfId="4638" xr:uid="{00000000-0005-0000-0000-000030120000}"/>
    <cellStyle name="Normal 6 2 2 3_Tertiary Salaries Survey" xfId="4639" xr:uid="{00000000-0005-0000-0000-000031120000}"/>
    <cellStyle name="Normal 6 2 2 4" xfId="4640" xr:uid="{00000000-0005-0000-0000-000032120000}"/>
    <cellStyle name="Normal 6 2 2 5" xfId="4641" xr:uid="{00000000-0005-0000-0000-000033120000}"/>
    <cellStyle name="Normal 6 2 2 6" xfId="4642" xr:uid="{00000000-0005-0000-0000-000034120000}"/>
    <cellStyle name="Normal 6 2 2_STUD aligned by INSTIT" xfId="4643" xr:uid="{00000000-0005-0000-0000-000035120000}"/>
    <cellStyle name="Normal 6 2 3" xfId="4644" xr:uid="{00000000-0005-0000-0000-000036120000}"/>
    <cellStyle name="Normal 6 2 3 2" xfId="4645" xr:uid="{00000000-0005-0000-0000-000037120000}"/>
    <cellStyle name="Normal 6 2 3 2 2" xfId="4646" xr:uid="{00000000-0005-0000-0000-000038120000}"/>
    <cellStyle name="Normal 6 2 3 2 3" xfId="4647" xr:uid="{00000000-0005-0000-0000-000039120000}"/>
    <cellStyle name="Normal 6 2 3 2_Tertiary Salaries Survey" xfId="4648" xr:uid="{00000000-0005-0000-0000-00003A120000}"/>
    <cellStyle name="Normal 6 2 3 3" xfId="4649" xr:uid="{00000000-0005-0000-0000-00003B120000}"/>
    <cellStyle name="Normal 6 2 3 4" xfId="4650" xr:uid="{00000000-0005-0000-0000-00003C120000}"/>
    <cellStyle name="Normal 6 2 3 5" xfId="4651" xr:uid="{00000000-0005-0000-0000-00003D120000}"/>
    <cellStyle name="Normal 6 2 3_STUD aligned by INSTIT" xfId="4652" xr:uid="{00000000-0005-0000-0000-00003E120000}"/>
    <cellStyle name="Normal 6 2 4" xfId="4653" xr:uid="{00000000-0005-0000-0000-00003F120000}"/>
    <cellStyle name="Normal 6 2 4 2" xfId="4654" xr:uid="{00000000-0005-0000-0000-000040120000}"/>
    <cellStyle name="Normal 6 2 4 3" xfId="4655" xr:uid="{00000000-0005-0000-0000-000041120000}"/>
    <cellStyle name="Normal 6 2 4_Tertiary Salaries Survey" xfId="4656" xr:uid="{00000000-0005-0000-0000-000042120000}"/>
    <cellStyle name="Normal 6 2 5" xfId="4657" xr:uid="{00000000-0005-0000-0000-000043120000}"/>
    <cellStyle name="Normal 6 2 6" xfId="4658" xr:uid="{00000000-0005-0000-0000-000044120000}"/>
    <cellStyle name="Normal 6 2 7" xfId="4659" xr:uid="{00000000-0005-0000-0000-000045120000}"/>
    <cellStyle name="Normal 6 2_STUD aligned by INSTIT" xfId="4660" xr:uid="{00000000-0005-0000-0000-000046120000}"/>
    <cellStyle name="Normal 6 3" xfId="4661" xr:uid="{00000000-0005-0000-0000-000047120000}"/>
    <cellStyle name="Normal 6 3 2" xfId="4662" xr:uid="{00000000-0005-0000-0000-000048120000}"/>
    <cellStyle name="Normal 6 3 2 2" xfId="4663" xr:uid="{00000000-0005-0000-0000-000049120000}"/>
    <cellStyle name="Normal 6 3 2 2 2" xfId="4664" xr:uid="{00000000-0005-0000-0000-00004A120000}"/>
    <cellStyle name="Normal 6 3 2 2 3" xfId="4665" xr:uid="{00000000-0005-0000-0000-00004B120000}"/>
    <cellStyle name="Normal 6 3 2 2_Tertiary Salaries Survey" xfId="4666" xr:uid="{00000000-0005-0000-0000-00004C120000}"/>
    <cellStyle name="Normal 6 3 2 3" xfId="4667" xr:uid="{00000000-0005-0000-0000-00004D120000}"/>
    <cellStyle name="Normal 6 3 2 4" xfId="4668" xr:uid="{00000000-0005-0000-0000-00004E120000}"/>
    <cellStyle name="Normal 6 3 2 5" xfId="4669" xr:uid="{00000000-0005-0000-0000-00004F120000}"/>
    <cellStyle name="Normal 6 3 2_STUD aligned by INSTIT" xfId="4670" xr:uid="{00000000-0005-0000-0000-000050120000}"/>
    <cellStyle name="Normal 6 3 3" xfId="4671" xr:uid="{00000000-0005-0000-0000-000051120000}"/>
    <cellStyle name="Normal 6 3 3 2" xfId="4672" xr:uid="{00000000-0005-0000-0000-000052120000}"/>
    <cellStyle name="Normal 6 3 3 3" xfId="4673" xr:uid="{00000000-0005-0000-0000-000053120000}"/>
    <cellStyle name="Normal 6 3 3_Tertiary Salaries Survey" xfId="4674" xr:uid="{00000000-0005-0000-0000-000054120000}"/>
    <cellStyle name="Normal 6 3 4" xfId="4675" xr:uid="{00000000-0005-0000-0000-000055120000}"/>
    <cellStyle name="Normal 6 3 5" xfId="4676" xr:uid="{00000000-0005-0000-0000-000056120000}"/>
    <cellStyle name="Normal 6 3 6" xfId="4677" xr:uid="{00000000-0005-0000-0000-000057120000}"/>
    <cellStyle name="Normal 6 3_STUD aligned by INSTIT" xfId="4678" xr:uid="{00000000-0005-0000-0000-000058120000}"/>
    <cellStyle name="Normal 6 4" xfId="4679" xr:uid="{00000000-0005-0000-0000-000059120000}"/>
    <cellStyle name="Normal 6 4 2" xfId="4680" xr:uid="{00000000-0005-0000-0000-00005A120000}"/>
    <cellStyle name="Normal 6 4 2 2" xfId="4681" xr:uid="{00000000-0005-0000-0000-00005B120000}"/>
    <cellStyle name="Normal 6 4 2 3" xfId="4682" xr:uid="{00000000-0005-0000-0000-00005C120000}"/>
    <cellStyle name="Normal 6 4 2_Tertiary Salaries Survey" xfId="4683" xr:uid="{00000000-0005-0000-0000-00005D120000}"/>
    <cellStyle name="Normal 6 4 3" xfId="4684" xr:uid="{00000000-0005-0000-0000-00005E120000}"/>
    <cellStyle name="Normal 6 4 4" xfId="4685" xr:uid="{00000000-0005-0000-0000-00005F120000}"/>
    <cellStyle name="Normal 6 4 5" xfId="4686" xr:uid="{00000000-0005-0000-0000-000060120000}"/>
    <cellStyle name="Normal 6 4_STUD aligned by INSTIT" xfId="4687" xr:uid="{00000000-0005-0000-0000-000061120000}"/>
    <cellStyle name="Normal 6 5" xfId="4688" xr:uid="{00000000-0005-0000-0000-000062120000}"/>
    <cellStyle name="Normal 6 5 2" xfId="4689" xr:uid="{00000000-0005-0000-0000-000063120000}"/>
    <cellStyle name="Normal 6 5 3" xfId="4690" xr:uid="{00000000-0005-0000-0000-000064120000}"/>
    <cellStyle name="Normal 6 5_Tertiary Salaries Survey" xfId="4691" xr:uid="{00000000-0005-0000-0000-000065120000}"/>
    <cellStyle name="Normal 6 6" xfId="4692" xr:uid="{00000000-0005-0000-0000-000066120000}"/>
    <cellStyle name="Normal 6 7" xfId="4693" xr:uid="{00000000-0005-0000-0000-000067120000}"/>
    <cellStyle name="Normal 6 8" xfId="4694" xr:uid="{00000000-0005-0000-0000-000068120000}"/>
    <cellStyle name="Normal 6 9" xfId="4695" xr:uid="{00000000-0005-0000-0000-000069120000}"/>
    <cellStyle name="Normal 6_STUD aligned by INSTIT" xfId="4696" xr:uid="{00000000-0005-0000-0000-00006A120000}"/>
    <cellStyle name="Normal 7" xfId="4697" xr:uid="{00000000-0005-0000-0000-00006B120000}"/>
    <cellStyle name="Normal 7 2" xfId="4698" xr:uid="{00000000-0005-0000-0000-00006C120000}"/>
    <cellStyle name="Normal 7 2 2" xfId="4699" xr:uid="{00000000-0005-0000-0000-00006D120000}"/>
    <cellStyle name="Normal 7 2 3" xfId="4700" xr:uid="{00000000-0005-0000-0000-00006E120000}"/>
    <cellStyle name="Normal 7 3" xfId="4701" xr:uid="{00000000-0005-0000-0000-00006F120000}"/>
    <cellStyle name="Normal 8" xfId="4702" xr:uid="{00000000-0005-0000-0000-000070120000}"/>
    <cellStyle name="Normal 8 10" xfId="4703" xr:uid="{00000000-0005-0000-0000-000071120000}"/>
    <cellStyle name="Normal 8 11" xfId="4704" xr:uid="{00000000-0005-0000-0000-000072120000}"/>
    <cellStyle name="Normal 8 2" xfId="4705" xr:uid="{00000000-0005-0000-0000-000073120000}"/>
    <cellStyle name="Normal 8 2 2" xfId="4706" xr:uid="{00000000-0005-0000-0000-000074120000}"/>
    <cellStyle name="Normal 8 2 2 2" xfId="4707" xr:uid="{00000000-0005-0000-0000-000075120000}"/>
    <cellStyle name="Normal 8 2 2 2 2" xfId="4708" xr:uid="{00000000-0005-0000-0000-000076120000}"/>
    <cellStyle name="Normal 8 2 2 2 3" xfId="4709" xr:uid="{00000000-0005-0000-0000-000077120000}"/>
    <cellStyle name="Normal 8 2 2 2_Tertiary Salaries Survey" xfId="4710" xr:uid="{00000000-0005-0000-0000-000078120000}"/>
    <cellStyle name="Normal 8 2 2 3" xfId="4711" xr:uid="{00000000-0005-0000-0000-000079120000}"/>
    <cellStyle name="Normal 8 2 2 4" xfId="4712" xr:uid="{00000000-0005-0000-0000-00007A120000}"/>
    <cellStyle name="Normal 8 2 2 5" xfId="4713" xr:uid="{00000000-0005-0000-0000-00007B120000}"/>
    <cellStyle name="Normal 8 2 2_STUD aligned by INSTIT" xfId="4714" xr:uid="{00000000-0005-0000-0000-00007C120000}"/>
    <cellStyle name="Normal 8 2 3" xfId="4715" xr:uid="{00000000-0005-0000-0000-00007D120000}"/>
    <cellStyle name="Normal 8 2 3 2" xfId="4716" xr:uid="{00000000-0005-0000-0000-00007E120000}"/>
    <cellStyle name="Normal 8 2 3 3" xfId="4717" xr:uid="{00000000-0005-0000-0000-00007F120000}"/>
    <cellStyle name="Normal 8 2 3_Tertiary Salaries Survey" xfId="4718" xr:uid="{00000000-0005-0000-0000-000080120000}"/>
    <cellStyle name="Normal 8 2 4" xfId="4719" xr:uid="{00000000-0005-0000-0000-000081120000}"/>
    <cellStyle name="Normal 8 2 5" xfId="4720" xr:uid="{00000000-0005-0000-0000-000082120000}"/>
    <cellStyle name="Normal 8 2 6" xfId="4721" xr:uid="{00000000-0005-0000-0000-000083120000}"/>
    <cellStyle name="Normal 8 2_STUD aligned by INSTIT" xfId="4722" xr:uid="{00000000-0005-0000-0000-000084120000}"/>
    <cellStyle name="Normal 8 3" xfId="4723" xr:uid="{00000000-0005-0000-0000-000085120000}"/>
    <cellStyle name="Normal 8 3 2" xfId="4724" xr:uid="{00000000-0005-0000-0000-000086120000}"/>
    <cellStyle name="Normal 8 3 2 2" xfId="4725" xr:uid="{00000000-0005-0000-0000-000087120000}"/>
    <cellStyle name="Normal 8 3 2 3" xfId="4726" xr:uid="{00000000-0005-0000-0000-000088120000}"/>
    <cellStyle name="Normal 8 3 2_Tertiary Salaries Survey" xfId="4727" xr:uid="{00000000-0005-0000-0000-000089120000}"/>
    <cellStyle name="Normal 8 3 3" xfId="4728" xr:uid="{00000000-0005-0000-0000-00008A120000}"/>
    <cellStyle name="Normal 8 3 4" xfId="4729" xr:uid="{00000000-0005-0000-0000-00008B120000}"/>
    <cellStyle name="Normal 8 3 5" xfId="4730" xr:uid="{00000000-0005-0000-0000-00008C120000}"/>
    <cellStyle name="Normal 8 3_STUD aligned by INSTIT" xfId="4731" xr:uid="{00000000-0005-0000-0000-00008D120000}"/>
    <cellStyle name="Normal 8 4" xfId="4732" xr:uid="{00000000-0005-0000-0000-00008E120000}"/>
    <cellStyle name="Normal 8 4 2" xfId="4733" xr:uid="{00000000-0005-0000-0000-00008F120000}"/>
    <cellStyle name="Normal 8 4 3" xfId="4734" xr:uid="{00000000-0005-0000-0000-000090120000}"/>
    <cellStyle name="Normal 8 4_Tertiary Salaries Survey" xfId="4735" xr:uid="{00000000-0005-0000-0000-000091120000}"/>
    <cellStyle name="Normal 8 5" xfId="4736" xr:uid="{00000000-0005-0000-0000-000092120000}"/>
    <cellStyle name="Normal 8 6" xfId="4737" xr:uid="{00000000-0005-0000-0000-000093120000}"/>
    <cellStyle name="Normal 8 7" xfId="4738" xr:uid="{00000000-0005-0000-0000-000094120000}"/>
    <cellStyle name="Normal 8 8" xfId="4739" xr:uid="{00000000-0005-0000-0000-000095120000}"/>
    <cellStyle name="Normal 8 9" xfId="4740" xr:uid="{00000000-0005-0000-0000-000096120000}"/>
    <cellStyle name="Normal 8_STUD aligned by INSTIT" xfId="4741" xr:uid="{00000000-0005-0000-0000-000097120000}"/>
    <cellStyle name="Normal 9" xfId="4742" xr:uid="{00000000-0005-0000-0000-000098120000}"/>
    <cellStyle name="Normal 9 2" xfId="4743" xr:uid="{00000000-0005-0000-0000-000099120000}"/>
    <cellStyle name="Normal 9 3" xfId="4744" xr:uid="{00000000-0005-0000-0000-00009A120000}"/>
    <cellStyle name="Normál_8gradk" xfId="4745" xr:uid="{00000000-0005-0000-0000-00009B120000}"/>
    <cellStyle name="Normal-blank" xfId="4746" xr:uid="{00000000-0005-0000-0000-00009C120000}"/>
    <cellStyle name="Normal-bottom" xfId="4747" xr:uid="{00000000-0005-0000-0000-00009D120000}"/>
    <cellStyle name="Normal-center" xfId="4748" xr:uid="{00000000-0005-0000-0000-00009E120000}"/>
    <cellStyle name="Normal-droit" xfId="4749" xr:uid="{00000000-0005-0000-0000-00009F120000}"/>
    <cellStyle name="Normale 2" xfId="4750" xr:uid="{00000000-0005-0000-0000-0000A0120000}"/>
    <cellStyle name="Normale 3" xfId="4751" xr:uid="{00000000-0005-0000-0000-0000A1120000}"/>
    <cellStyle name="Normal-top" xfId="4752" xr:uid="{00000000-0005-0000-0000-0000A2120000}"/>
    <cellStyle name="Notas" xfId="24095" builtinId="10" customBuiltin="1"/>
    <cellStyle name="Note 10 2" xfId="4753" xr:uid="{00000000-0005-0000-0000-0000A3120000}"/>
    <cellStyle name="Note 10 2 2" xfId="4754" xr:uid="{00000000-0005-0000-0000-0000A4120000}"/>
    <cellStyle name="Note 10 2 2 2" xfId="4755" xr:uid="{00000000-0005-0000-0000-0000A5120000}"/>
    <cellStyle name="Note 10 2 2 3" xfId="4756" xr:uid="{00000000-0005-0000-0000-0000A6120000}"/>
    <cellStyle name="Note 10 2 3" xfId="4757" xr:uid="{00000000-0005-0000-0000-0000A7120000}"/>
    <cellStyle name="Note 10 2 3 2" xfId="4758" xr:uid="{00000000-0005-0000-0000-0000A8120000}"/>
    <cellStyle name="Note 10 2 4" xfId="4759" xr:uid="{00000000-0005-0000-0000-0000A9120000}"/>
    <cellStyle name="Note 10 3" xfId="4760" xr:uid="{00000000-0005-0000-0000-0000AA120000}"/>
    <cellStyle name="Note 10 3 2" xfId="4761" xr:uid="{00000000-0005-0000-0000-0000AB120000}"/>
    <cellStyle name="Note 10 3 2 2" xfId="4762" xr:uid="{00000000-0005-0000-0000-0000AC120000}"/>
    <cellStyle name="Note 10 3 2 3" xfId="4763" xr:uid="{00000000-0005-0000-0000-0000AD120000}"/>
    <cellStyle name="Note 10 3 3" xfId="4764" xr:uid="{00000000-0005-0000-0000-0000AE120000}"/>
    <cellStyle name="Note 10 3 3 2" xfId="4765" xr:uid="{00000000-0005-0000-0000-0000AF120000}"/>
    <cellStyle name="Note 10 3 4" xfId="4766" xr:uid="{00000000-0005-0000-0000-0000B0120000}"/>
    <cellStyle name="Note 10 4" xfId="4767" xr:uid="{00000000-0005-0000-0000-0000B1120000}"/>
    <cellStyle name="Note 10 4 2" xfId="4768" xr:uid="{00000000-0005-0000-0000-0000B2120000}"/>
    <cellStyle name="Note 10 4 2 2" xfId="4769" xr:uid="{00000000-0005-0000-0000-0000B3120000}"/>
    <cellStyle name="Note 10 4 2 3" xfId="4770" xr:uid="{00000000-0005-0000-0000-0000B4120000}"/>
    <cellStyle name="Note 10 4 3" xfId="4771" xr:uid="{00000000-0005-0000-0000-0000B5120000}"/>
    <cellStyle name="Note 10 4 3 2" xfId="4772" xr:uid="{00000000-0005-0000-0000-0000B6120000}"/>
    <cellStyle name="Note 10 4 4" xfId="4773" xr:uid="{00000000-0005-0000-0000-0000B7120000}"/>
    <cellStyle name="Note 10 5" xfId="4774" xr:uid="{00000000-0005-0000-0000-0000B8120000}"/>
    <cellStyle name="Note 10 5 2" xfId="4775" xr:uid="{00000000-0005-0000-0000-0000B9120000}"/>
    <cellStyle name="Note 10 5 2 2" xfId="4776" xr:uid="{00000000-0005-0000-0000-0000BA120000}"/>
    <cellStyle name="Note 10 5 2 3" xfId="4777" xr:uid="{00000000-0005-0000-0000-0000BB120000}"/>
    <cellStyle name="Note 10 5 3" xfId="4778" xr:uid="{00000000-0005-0000-0000-0000BC120000}"/>
    <cellStyle name="Note 10 5 3 2" xfId="4779" xr:uid="{00000000-0005-0000-0000-0000BD120000}"/>
    <cellStyle name="Note 10 5 4" xfId="4780" xr:uid="{00000000-0005-0000-0000-0000BE120000}"/>
    <cellStyle name="Note 10 6" xfId="4781" xr:uid="{00000000-0005-0000-0000-0000BF120000}"/>
    <cellStyle name="Note 10 6 2" xfId="4782" xr:uid="{00000000-0005-0000-0000-0000C0120000}"/>
    <cellStyle name="Note 10 6 2 2" xfId="4783" xr:uid="{00000000-0005-0000-0000-0000C1120000}"/>
    <cellStyle name="Note 10 6 2 3" xfId="4784" xr:uid="{00000000-0005-0000-0000-0000C2120000}"/>
    <cellStyle name="Note 10 6 3" xfId="4785" xr:uid="{00000000-0005-0000-0000-0000C3120000}"/>
    <cellStyle name="Note 10 6 3 2" xfId="4786" xr:uid="{00000000-0005-0000-0000-0000C4120000}"/>
    <cellStyle name="Note 10 6 4" xfId="4787" xr:uid="{00000000-0005-0000-0000-0000C5120000}"/>
    <cellStyle name="Note 10 7" xfId="4788" xr:uid="{00000000-0005-0000-0000-0000C6120000}"/>
    <cellStyle name="Note 10 7 2" xfId="4789" xr:uid="{00000000-0005-0000-0000-0000C7120000}"/>
    <cellStyle name="Note 10 7 2 2" xfId="4790" xr:uid="{00000000-0005-0000-0000-0000C8120000}"/>
    <cellStyle name="Note 10 7 2 3" xfId="4791" xr:uid="{00000000-0005-0000-0000-0000C9120000}"/>
    <cellStyle name="Note 10 7 3" xfId="4792" xr:uid="{00000000-0005-0000-0000-0000CA120000}"/>
    <cellStyle name="Note 10 7 3 2" xfId="4793" xr:uid="{00000000-0005-0000-0000-0000CB120000}"/>
    <cellStyle name="Note 10 7 4" xfId="4794" xr:uid="{00000000-0005-0000-0000-0000CC120000}"/>
    <cellStyle name="Note 11 2" xfId="4795" xr:uid="{00000000-0005-0000-0000-0000CD120000}"/>
    <cellStyle name="Note 11 2 2" xfId="4796" xr:uid="{00000000-0005-0000-0000-0000CE120000}"/>
    <cellStyle name="Note 11 2 2 2" xfId="4797" xr:uid="{00000000-0005-0000-0000-0000CF120000}"/>
    <cellStyle name="Note 11 2 2 3" xfId="4798" xr:uid="{00000000-0005-0000-0000-0000D0120000}"/>
    <cellStyle name="Note 11 2 3" xfId="4799" xr:uid="{00000000-0005-0000-0000-0000D1120000}"/>
    <cellStyle name="Note 11 2 3 2" xfId="4800" xr:uid="{00000000-0005-0000-0000-0000D2120000}"/>
    <cellStyle name="Note 11 2 4" xfId="4801" xr:uid="{00000000-0005-0000-0000-0000D3120000}"/>
    <cellStyle name="Note 11 3" xfId="4802" xr:uid="{00000000-0005-0000-0000-0000D4120000}"/>
    <cellStyle name="Note 11 3 2" xfId="4803" xr:uid="{00000000-0005-0000-0000-0000D5120000}"/>
    <cellStyle name="Note 11 3 2 2" xfId="4804" xr:uid="{00000000-0005-0000-0000-0000D6120000}"/>
    <cellStyle name="Note 11 3 2 3" xfId="4805" xr:uid="{00000000-0005-0000-0000-0000D7120000}"/>
    <cellStyle name="Note 11 3 3" xfId="4806" xr:uid="{00000000-0005-0000-0000-0000D8120000}"/>
    <cellStyle name="Note 11 3 3 2" xfId="4807" xr:uid="{00000000-0005-0000-0000-0000D9120000}"/>
    <cellStyle name="Note 11 3 4" xfId="4808" xr:uid="{00000000-0005-0000-0000-0000DA120000}"/>
    <cellStyle name="Note 11 4" xfId="4809" xr:uid="{00000000-0005-0000-0000-0000DB120000}"/>
    <cellStyle name="Note 11 4 2" xfId="4810" xr:uid="{00000000-0005-0000-0000-0000DC120000}"/>
    <cellStyle name="Note 11 4 2 2" xfId="4811" xr:uid="{00000000-0005-0000-0000-0000DD120000}"/>
    <cellStyle name="Note 11 4 2 3" xfId="4812" xr:uid="{00000000-0005-0000-0000-0000DE120000}"/>
    <cellStyle name="Note 11 4 3" xfId="4813" xr:uid="{00000000-0005-0000-0000-0000DF120000}"/>
    <cellStyle name="Note 11 4 3 2" xfId="4814" xr:uid="{00000000-0005-0000-0000-0000E0120000}"/>
    <cellStyle name="Note 11 4 4" xfId="4815" xr:uid="{00000000-0005-0000-0000-0000E1120000}"/>
    <cellStyle name="Note 11 5" xfId="4816" xr:uid="{00000000-0005-0000-0000-0000E2120000}"/>
    <cellStyle name="Note 11 5 2" xfId="4817" xr:uid="{00000000-0005-0000-0000-0000E3120000}"/>
    <cellStyle name="Note 11 5 2 2" xfId="4818" xr:uid="{00000000-0005-0000-0000-0000E4120000}"/>
    <cellStyle name="Note 11 5 2 3" xfId="4819" xr:uid="{00000000-0005-0000-0000-0000E5120000}"/>
    <cellStyle name="Note 11 5 3" xfId="4820" xr:uid="{00000000-0005-0000-0000-0000E6120000}"/>
    <cellStyle name="Note 11 5 3 2" xfId="4821" xr:uid="{00000000-0005-0000-0000-0000E7120000}"/>
    <cellStyle name="Note 11 5 4" xfId="4822" xr:uid="{00000000-0005-0000-0000-0000E8120000}"/>
    <cellStyle name="Note 11 6" xfId="4823" xr:uid="{00000000-0005-0000-0000-0000E9120000}"/>
    <cellStyle name="Note 11 6 2" xfId="4824" xr:uid="{00000000-0005-0000-0000-0000EA120000}"/>
    <cellStyle name="Note 11 6 2 2" xfId="4825" xr:uid="{00000000-0005-0000-0000-0000EB120000}"/>
    <cellStyle name="Note 11 6 2 3" xfId="4826" xr:uid="{00000000-0005-0000-0000-0000EC120000}"/>
    <cellStyle name="Note 11 6 3" xfId="4827" xr:uid="{00000000-0005-0000-0000-0000ED120000}"/>
    <cellStyle name="Note 11 6 3 2" xfId="4828" xr:uid="{00000000-0005-0000-0000-0000EE120000}"/>
    <cellStyle name="Note 11 6 4" xfId="4829" xr:uid="{00000000-0005-0000-0000-0000EF120000}"/>
    <cellStyle name="Note 12 2" xfId="4830" xr:uid="{00000000-0005-0000-0000-0000F0120000}"/>
    <cellStyle name="Note 12 2 2" xfId="4831" xr:uid="{00000000-0005-0000-0000-0000F1120000}"/>
    <cellStyle name="Note 12 2 2 2" xfId="4832" xr:uid="{00000000-0005-0000-0000-0000F2120000}"/>
    <cellStyle name="Note 12 2 2 3" xfId="4833" xr:uid="{00000000-0005-0000-0000-0000F3120000}"/>
    <cellStyle name="Note 12 2 3" xfId="4834" xr:uid="{00000000-0005-0000-0000-0000F4120000}"/>
    <cellStyle name="Note 12 2 3 2" xfId="4835" xr:uid="{00000000-0005-0000-0000-0000F5120000}"/>
    <cellStyle name="Note 12 2 4" xfId="4836" xr:uid="{00000000-0005-0000-0000-0000F6120000}"/>
    <cellStyle name="Note 12 3" xfId="4837" xr:uid="{00000000-0005-0000-0000-0000F7120000}"/>
    <cellStyle name="Note 12 3 2" xfId="4838" xr:uid="{00000000-0005-0000-0000-0000F8120000}"/>
    <cellStyle name="Note 12 3 2 2" xfId="4839" xr:uid="{00000000-0005-0000-0000-0000F9120000}"/>
    <cellStyle name="Note 12 3 2 3" xfId="4840" xr:uid="{00000000-0005-0000-0000-0000FA120000}"/>
    <cellStyle name="Note 12 3 3" xfId="4841" xr:uid="{00000000-0005-0000-0000-0000FB120000}"/>
    <cellStyle name="Note 12 3 3 2" xfId="4842" xr:uid="{00000000-0005-0000-0000-0000FC120000}"/>
    <cellStyle name="Note 12 3 4" xfId="4843" xr:uid="{00000000-0005-0000-0000-0000FD120000}"/>
    <cellStyle name="Note 12 4" xfId="4844" xr:uid="{00000000-0005-0000-0000-0000FE120000}"/>
    <cellStyle name="Note 12 4 2" xfId="4845" xr:uid="{00000000-0005-0000-0000-0000FF120000}"/>
    <cellStyle name="Note 12 4 2 2" xfId="4846" xr:uid="{00000000-0005-0000-0000-000000130000}"/>
    <cellStyle name="Note 12 4 2 3" xfId="4847" xr:uid="{00000000-0005-0000-0000-000001130000}"/>
    <cellStyle name="Note 12 4 3" xfId="4848" xr:uid="{00000000-0005-0000-0000-000002130000}"/>
    <cellStyle name="Note 12 4 3 2" xfId="4849" xr:uid="{00000000-0005-0000-0000-000003130000}"/>
    <cellStyle name="Note 12 4 4" xfId="4850" xr:uid="{00000000-0005-0000-0000-000004130000}"/>
    <cellStyle name="Note 12 5" xfId="4851" xr:uid="{00000000-0005-0000-0000-000005130000}"/>
    <cellStyle name="Note 12 5 2" xfId="4852" xr:uid="{00000000-0005-0000-0000-000006130000}"/>
    <cellStyle name="Note 12 5 2 2" xfId="4853" xr:uid="{00000000-0005-0000-0000-000007130000}"/>
    <cellStyle name="Note 12 5 2 3" xfId="4854" xr:uid="{00000000-0005-0000-0000-000008130000}"/>
    <cellStyle name="Note 12 5 3" xfId="4855" xr:uid="{00000000-0005-0000-0000-000009130000}"/>
    <cellStyle name="Note 12 5 3 2" xfId="4856" xr:uid="{00000000-0005-0000-0000-00000A130000}"/>
    <cellStyle name="Note 12 5 4" xfId="4857" xr:uid="{00000000-0005-0000-0000-00000B130000}"/>
    <cellStyle name="Note 13 2" xfId="4858" xr:uid="{00000000-0005-0000-0000-00000C130000}"/>
    <cellStyle name="Note 13 2 2" xfId="4859" xr:uid="{00000000-0005-0000-0000-00000D130000}"/>
    <cellStyle name="Note 13 2 2 2" xfId="4860" xr:uid="{00000000-0005-0000-0000-00000E130000}"/>
    <cellStyle name="Note 13 2 2 3" xfId="4861" xr:uid="{00000000-0005-0000-0000-00000F130000}"/>
    <cellStyle name="Note 13 2 3" xfId="4862" xr:uid="{00000000-0005-0000-0000-000010130000}"/>
    <cellStyle name="Note 13 2 3 2" xfId="4863" xr:uid="{00000000-0005-0000-0000-000011130000}"/>
    <cellStyle name="Note 13 2 4" xfId="4864" xr:uid="{00000000-0005-0000-0000-000012130000}"/>
    <cellStyle name="Note 14 2" xfId="4865" xr:uid="{00000000-0005-0000-0000-000013130000}"/>
    <cellStyle name="Note 14 2 2" xfId="4866" xr:uid="{00000000-0005-0000-0000-000014130000}"/>
    <cellStyle name="Note 14 2 2 2" xfId="4867" xr:uid="{00000000-0005-0000-0000-000015130000}"/>
    <cellStyle name="Note 14 2 2 3" xfId="4868" xr:uid="{00000000-0005-0000-0000-000016130000}"/>
    <cellStyle name="Note 14 2 3" xfId="4869" xr:uid="{00000000-0005-0000-0000-000017130000}"/>
    <cellStyle name="Note 14 2 3 2" xfId="4870" xr:uid="{00000000-0005-0000-0000-000018130000}"/>
    <cellStyle name="Note 14 2 4" xfId="4871" xr:uid="{00000000-0005-0000-0000-000019130000}"/>
    <cellStyle name="Note 15 2" xfId="4872" xr:uid="{00000000-0005-0000-0000-00001A130000}"/>
    <cellStyle name="Note 15 2 2" xfId="4873" xr:uid="{00000000-0005-0000-0000-00001B130000}"/>
    <cellStyle name="Note 15 2 2 2" xfId="4874" xr:uid="{00000000-0005-0000-0000-00001C130000}"/>
    <cellStyle name="Note 15 2 2 3" xfId="4875" xr:uid="{00000000-0005-0000-0000-00001D130000}"/>
    <cellStyle name="Note 15 2 3" xfId="4876" xr:uid="{00000000-0005-0000-0000-00001E130000}"/>
    <cellStyle name="Note 15 2 3 2" xfId="4877" xr:uid="{00000000-0005-0000-0000-00001F130000}"/>
    <cellStyle name="Note 15 2 4" xfId="4878" xr:uid="{00000000-0005-0000-0000-000020130000}"/>
    <cellStyle name="Note 2 2" xfId="4879" xr:uid="{00000000-0005-0000-0000-000021130000}"/>
    <cellStyle name="Note 2 2 2" xfId="4880" xr:uid="{00000000-0005-0000-0000-000022130000}"/>
    <cellStyle name="Note 2 2 2 2" xfId="4881" xr:uid="{00000000-0005-0000-0000-000023130000}"/>
    <cellStyle name="Note 2 2 2 3" xfId="4882" xr:uid="{00000000-0005-0000-0000-000024130000}"/>
    <cellStyle name="Note 2 2 3" xfId="4883" xr:uid="{00000000-0005-0000-0000-000025130000}"/>
    <cellStyle name="Note 2 2 3 2" xfId="4884" xr:uid="{00000000-0005-0000-0000-000026130000}"/>
    <cellStyle name="Note 2 2 4" xfId="4885" xr:uid="{00000000-0005-0000-0000-000027130000}"/>
    <cellStyle name="Note 2 3" xfId="4886" xr:uid="{00000000-0005-0000-0000-000028130000}"/>
    <cellStyle name="Note 2 3 2" xfId="4887" xr:uid="{00000000-0005-0000-0000-000029130000}"/>
    <cellStyle name="Note 2 3 2 2" xfId="4888" xr:uid="{00000000-0005-0000-0000-00002A130000}"/>
    <cellStyle name="Note 2 3 2 3" xfId="4889" xr:uid="{00000000-0005-0000-0000-00002B130000}"/>
    <cellStyle name="Note 2 3 3" xfId="4890" xr:uid="{00000000-0005-0000-0000-00002C130000}"/>
    <cellStyle name="Note 2 3 3 2" xfId="4891" xr:uid="{00000000-0005-0000-0000-00002D130000}"/>
    <cellStyle name="Note 2 3 4" xfId="4892" xr:uid="{00000000-0005-0000-0000-00002E130000}"/>
    <cellStyle name="Note 2 4" xfId="4893" xr:uid="{00000000-0005-0000-0000-00002F130000}"/>
    <cellStyle name="Note 2 4 2" xfId="4894" xr:uid="{00000000-0005-0000-0000-000030130000}"/>
    <cellStyle name="Note 2 4 2 2" xfId="4895" xr:uid="{00000000-0005-0000-0000-000031130000}"/>
    <cellStyle name="Note 2 4 2 3" xfId="4896" xr:uid="{00000000-0005-0000-0000-000032130000}"/>
    <cellStyle name="Note 2 4 3" xfId="4897" xr:uid="{00000000-0005-0000-0000-000033130000}"/>
    <cellStyle name="Note 2 4 3 2" xfId="4898" xr:uid="{00000000-0005-0000-0000-000034130000}"/>
    <cellStyle name="Note 2 4 4" xfId="4899" xr:uid="{00000000-0005-0000-0000-000035130000}"/>
    <cellStyle name="Note 2 5" xfId="4900" xr:uid="{00000000-0005-0000-0000-000036130000}"/>
    <cellStyle name="Note 2 5 2" xfId="4901" xr:uid="{00000000-0005-0000-0000-000037130000}"/>
    <cellStyle name="Note 2 5 2 2" xfId="4902" xr:uid="{00000000-0005-0000-0000-000038130000}"/>
    <cellStyle name="Note 2 5 2 3" xfId="4903" xr:uid="{00000000-0005-0000-0000-000039130000}"/>
    <cellStyle name="Note 2 5 3" xfId="4904" xr:uid="{00000000-0005-0000-0000-00003A130000}"/>
    <cellStyle name="Note 2 5 3 2" xfId="4905" xr:uid="{00000000-0005-0000-0000-00003B130000}"/>
    <cellStyle name="Note 2 5 4" xfId="4906" xr:uid="{00000000-0005-0000-0000-00003C130000}"/>
    <cellStyle name="Note 2 6" xfId="4907" xr:uid="{00000000-0005-0000-0000-00003D130000}"/>
    <cellStyle name="Note 2 6 2" xfId="4908" xr:uid="{00000000-0005-0000-0000-00003E130000}"/>
    <cellStyle name="Note 2 6 2 2" xfId="4909" xr:uid="{00000000-0005-0000-0000-00003F130000}"/>
    <cellStyle name="Note 2 6 2 3" xfId="4910" xr:uid="{00000000-0005-0000-0000-000040130000}"/>
    <cellStyle name="Note 2 6 3" xfId="4911" xr:uid="{00000000-0005-0000-0000-000041130000}"/>
    <cellStyle name="Note 2 6 3 2" xfId="4912" xr:uid="{00000000-0005-0000-0000-000042130000}"/>
    <cellStyle name="Note 2 6 4" xfId="4913" xr:uid="{00000000-0005-0000-0000-000043130000}"/>
    <cellStyle name="Note 2 7" xfId="4914" xr:uid="{00000000-0005-0000-0000-000044130000}"/>
    <cellStyle name="Note 2 7 2" xfId="4915" xr:uid="{00000000-0005-0000-0000-000045130000}"/>
    <cellStyle name="Note 2 7 2 2" xfId="4916" xr:uid="{00000000-0005-0000-0000-000046130000}"/>
    <cellStyle name="Note 2 7 2 3" xfId="4917" xr:uid="{00000000-0005-0000-0000-000047130000}"/>
    <cellStyle name="Note 2 7 3" xfId="4918" xr:uid="{00000000-0005-0000-0000-000048130000}"/>
    <cellStyle name="Note 2 7 3 2" xfId="4919" xr:uid="{00000000-0005-0000-0000-000049130000}"/>
    <cellStyle name="Note 2 7 4" xfId="4920" xr:uid="{00000000-0005-0000-0000-00004A130000}"/>
    <cellStyle name="Note 2 8" xfId="4921" xr:uid="{00000000-0005-0000-0000-00004B130000}"/>
    <cellStyle name="Note 2 8 2" xfId="4922" xr:uid="{00000000-0005-0000-0000-00004C130000}"/>
    <cellStyle name="Note 2 8 2 2" xfId="4923" xr:uid="{00000000-0005-0000-0000-00004D130000}"/>
    <cellStyle name="Note 2 8 2 3" xfId="4924" xr:uid="{00000000-0005-0000-0000-00004E130000}"/>
    <cellStyle name="Note 2 8 3" xfId="4925" xr:uid="{00000000-0005-0000-0000-00004F130000}"/>
    <cellStyle name="Note 2 8 3 2" xfId="4926" xr:uid="{00000000-0005-0000-0000-000050130000}"/>
    <cellStyle name="Note 2 8 4" xfId="4927" xr:uid="{00000000-0005-0000-0000-000051130000}"/>
    <cellStyle name="Note 3 2" xfId="4928" xr:uid="{00000000-0005-0000-0000-000052130000}"/>
    <cellStyle name="Note 3 2 2" xfId="4929" xr:uid="{00000000-0005-0000-0000-000053130000}"/>
    <cellStyle name="Note 3 2 2 2" xfId="4930" xr:uid="{00000000-0005-0000-0000-000054130000}"/>
    <cellStyle name="Note 3 2 2 3" xfId="4931" xr:uid="{00000000-0005-0000-0000-000055130000}"/>
    <cellStyle name="Note 3 2 3" xfId="4932" xr:uid="{00000000-0005-0000-0000-000056130000}"/>
    <cellStyle name="Note 3 2 3 2" xfId="4933" xr:uid="{00000000-0005-0000-0000-000057130000}"/>
    <cellStyle name="Note 3 2 4" xfId="4934" xr:uid="{00000000-0005-0000-0000-000058130000}"/>
    <cellStyle name="Note 3 3" xfId="4935" xr:uid="{00000000-0005-0000-0000-000059130000}"/>
    <cellStyle name="Note 3 3 2" xfId="4936" xr:uid="{00000000-0005-0000-0000-00005A130000}"/>
    <cellStyle name="Note 3 3 2 2" xfId="4937" xr:uid="{00000000-0005-0000-0000-00005B130000}"/>
    <cellStyle name="Note 3 3 2 3" xfId="4938" xr:uid="{00000000-0005-0000-0000-00005C130000}"/>
    <cellStyle name="Note 3 3 3" xfId="4939" xr:uid="{00000000-0005-0000-0000-00005D130000}"/>
    <cellStyle name="Note 3 3 3 2" xfId="4940" xr:uid="{00000000-0005-0000-0000-00005E130000}"/>
    <cellStyle name="Note 3 3 4" xfId="4941" xr:uid="{00000000-0005-0000-0000-00005F130000}"/>
    <cellStyle name="Note 3 4" xfId="4942" xr:uid="{00000000-0005-0000-0000-000060130000}"/>
    <cellStyle name="Note 3 4 2" xfId="4943" xr:uid="{00000000-0005-0000-0000-000061130000}"/>
    <cellStyle name="Note 3 4 2 2" xfId="4944" xr:uid="{00000000-0005-0000-0000-000062130000}"/>
    <cellStyle name="Note 3 4 2 3" xfId="4945" xr:uid="{00000000-0005-0000-0000-000063130000}"/>
    <cellStyle name="Note 3 4 3" xfId="4946" xr:uid="{00000000-0005-0000-0000-000064130000}"/>
    <cellStyle name="Note 3 4 3 2" xfId="4947" xr:uid="{00000000-0005-0000-0000-000065130000}"/>
    <cellStyle name="Note 3 4 4" xfId="4948" xr:uid="{00000000-0005-0000-0000-000066130000}"/>
    <cellStyle name="Note 3 5" xfId="4949" xr:uid="{00000000-0005-0000-0000-000067130000}"/>
    <cellStyle name="Note 3 5 2" xfId="4950" xr:uid="{00000000-0005-0000-0000-000068130000}"/>
    <cellStyle name="Note 3 5 2 2" xfId="4951" xr:uid="{00000000-0005-0000-0000-000069130000}"/>
    <cellStyle name="Note 3 5 2 3" xfId="4952" xr:uid="{00000000-0005-0000-0000-00006A130000}"/>
    <cellStyle name="Note 3 5 3" xfId="4953" xr:uid="{00000000-0005-0000-0000-00006B130000}"/>
    <cellStyle name="Note 3 5 3 2" xfId="4954" xr:uid="{00000000-0005-0000-0000-00006C130000}"/>
    <cellStyle name="Note 3 5 4" xfId="4955" xr:uid="{00000000-0005-0000-0000-00006D130000}"/>
    <cellStyle name="Note 3 6" xfId="4956" xr:uid="{00000000-0005-0000-0000-00006E130000}"/>
    <cellStyle name="Note 3 6 2" xfId="4957" xr:uid="{00000000-0005-0000-0000-00006F130000}"/>
    <cellStyle name="Note 3 6 2 2" xfId="4958" xr:uid="{00000000-0005-0000-0000-000070130000}"/>
    <cellStyle name="Note 3 6 2 3" xfId="4959" xr:uid="{00000000-0005-0000-0000-000071130000}"/>
    <cellStyle name="Note 3 6 3" xfId="4960" xr:uid="{00000000-0005-0000-0000-000072130000}"/>
    <cellStyle name="Note 3 6 3 2" xfId="4961" xr:uid="{00000000-0005-0000-0000-000073130000}"/>
    <cellStyle name="Note 3 6 4" xfId="4962" xr:uid="{00000000-0005-0000-0000-000074130000}"/>
    <cellStyle name="Note 3 7" xfId="4963" xr:uid="{00000000-0005-0000-0000-000075130000}"/>
    <cellStyle name="Note 3 7 2" xfId="4964" xr:uid="{00000000-0005-0000-0000-000076130000}"/>
    <cellStyle name="Note 3 7 2 2" xfId="4965" xr:uid="{00000000-0005-0000-0000-000077130000}"/>
    <cellStyle name="Note 3 7 2 3" xfId="4966" xr:uid="{00000000-0005-0000-0000-000078130000}"/>
    <cellStyle name="Note 3 7 3" xfId="4967" xr:uid="{00000000-0005-0000-0000-000079130000}"/>
    <cellStyle name="Note 3 7 3 2" xfId="4968" xr:uid="{00000000-0005-0000-0000-00007A130000}"/>
    <cellStyle name="Note 3 7 4" xfId="4969" xr:uid="{00000000-0005-0000-0000-00007B130000}"/>
    <cellStyle name="Note 3 8" xfId="4970" xr:uid="{00000000-0005-0000-0000-00007C130000}"/>
    <cellStyle name="Note 3 8 2" xfId="4971" xr:uid="{00000000-0005-0000-0000-00007D130000}"/>
    <cellStyle name="Note 3 8 2 2" xfId="4972" xr:uid="{00000000-0005-0000-0000-00007E130000}"/>
    <cellStyle name="Note 3 8 2 3" xfId="4973" xr:uid="{00000000-0005-0000-0000-00007F130000}"/>
    <cellStyle name="Note 3 8 3" xfId="4974" xr:uid="{00000000-0005-0000-0000-000080130000}"/>
    <cellStyle name="Note 3 8 3 2" xfId="4975" xr:uid="{00000000-0005-0000-0000-000081130000}"/>
    <cellStyle name="Note 3 8 4" xfId="4976" xr:uid="{00000000-0005-0000-0000-000082130000}"/>
    <cellStyle name="Note 4 2" xfId="4977" xr:uid="{00000000-0005-0000-0000-000083130000}"/>
    <cellStyle name="Note 4 2 2" xfId="4978" xr:uid="{00000000-0005-0000-0000-000084130000}"/>
    <cellStyle name="Note 4 2 2 2" xfId="4979" xr:uid="{00000000-0005-0000-0000-000085130000}"/>
    <cellStyle name="Note 4 2 2 3" xfId="4980" xr:uid="{00000000-0005-0000-0000-000086130000}"/>
    <cellStyle name="Note 4 2 3" xfId="4981" xr:uid="{00000000-0005-0000-0000-000087130000}"/>
    <cellStyle name="Note 4 2 3 2" xfId="4982" xr:uid="{00000000-0005-0000-0000-000088130000}"/>
    <cellStyle name="Note 4 2 4" xfId="4983" xr:uid="{00000000-0005-0000-0000-000089130000}"/>
    <cellStyle name="Note 4 3" xfId="4984" xr:uid="{00000000-0005-0000-0000-00008A130000}"/>
    <cellStyle name="Note 4 3 2" xfId="4985" xr:uid="{00000000-0005-0000-0000-00008B130000}"/>
    <cellStyle name="Note 4 3 2 2" xfId="4986" xr:uid="{00000000-0005-0000-0000-00008C130000}"/>
    <cellStyle name="Note 4 3 2 3" xfId="4987" xr:uid="{00000000-0005-0000-0000-00008D130000}"/>
    <cellStyle name="Note 4 3 3" xfId="4988" xr:uid="{00000000-0005-0000-0000-00008E130000}"/>
    <cellStyle name="Note 4 3 3 2" xfId="4989" xr:uid="{00000000-0005-0000-0000-00008F130000}"/>
    <cellStyle name="Note 4 3 4" xfId="4990" xr:uid="{00000000-0005-0000-0000-000090130000}"/>
    <cellStyle name="Note 4 4" xfId="4991" xr:uid="{00000000-0005-0000-0000-000091130000}"/>
    <cellStyle name="Note 4 4 2" xfId="4992" xr:uid="{00000000-0005-0000-0000-000092130000}"/>
    <cellStyle name="Note 4 4 2 2" xfId="4993" xr:uid="{00000000-0005-0000-0000-000093130000}"/>
    <cellStyle name="Note 4 4 2 3" xfId="4994" xr:uid="{00000000-0005-0000-0000-000094130000}"/>
    <cellStyle name="Note 4 4 3" xfId="4995" xr:uid="{00000000-0005-0000-0000-000095130000}"/>
    <cellStyle name="Note 4 4 3 2" xfId="4996" xr:uid="{00000000-0005-0000-0000-000096130000}"/>
    <cellStyle name="Note 4 4 4" xfId="4997" xr:uid="{00000000-0005-0000-0000-000097130000}"/>
    <cellStyle name="Note 4 5" xfId="4998" xr:uid="{00000000-0005-0000-0000-000098130000}"/>
    <cellStyle name="Note 4 5 2" xfId="4999" xr:uid="{00000000-0005-0000-0000-000099130000}"/>
    <cellStyle name="Note 4 5 2 2" xfId="5000" xr:uid="{00000000-0005-0000-0000-00009A130000}"/>
    <cellStyle name="Note 4 5 2 3" xfId="5001" xr:uid="{00000000-0005-0000-0000-00009B130000}"/>
    <cellStyle name="Note 4 5 3" xfId="5002" xr:uid="{00000000-0005-0000-0000-00009C130000}"/>
    <cellStyle name="Note 4 5 3 2" xfId="5003" xr:uid="{00000000-0005-0000-0000-00009D130000}"/>
    <cellStyle name="Note 4 5 4" xfId="5004" xr:uid="{00000000-0005-0000-0000-00009E130000}"/>
    <cellStyle name="Note 4 6" xfId="5005" xr:uid="{00000000-0005-0000-0000-00009F130000}"/>
    <cellStyle name="Note 4 6 2" xfId="5006" xr:uid="{00000000-0005-0000-0000-0000A0130000}"/>
    <cellStyle name="Note 4 6 2 2" xfId="5007" xr:uid="{00000000-0005-0000-0000-0000A1130000}"/>
    <cellStyle name="Note 4 6 2 3" xfId="5008" xr:uid="{00000000-0005-0000-0000-0000A2130000}"/>
    <cellStyle name="Note 4 6 3" xfId="5009" xr:uid="{00000000-0005-0000-0000-0000A3130000}"/>
    <cellStyle name="Note 4 6 3 2" xfId="5010" xr:uid="{00000000-0005-0000-0000-0000A4130000}"/>
    <cellStyle name="Note 4 6 4" xfId="5011" xr:uid="{00000000-0005-0000-0000-0000A5130000}"/>
    <cellStyle name="Note 4 7" xfId="5012" xr:uid="{00000000-0005-0000-0000-0000A6130000}"/>
    <cellStyle name="Note 4 7 2" xfId="5013" xr:uid="{00000000-0005-0000-0000-0000A7130000}"/>
    <cellStyle name="Note 4 7 2 2" xfId="5014" xr:uid="{00000000-0005-0000-0000-0000A8130000}"/>
    <cellStyle name="Note 4 7 2 3" xfId="5015" xr:uid="{00000000-0005-0000-0000-0000A9130000}"/>
    <cellStyle name="Note 4 7 3" xfId="5016" xr:uid="{00000000-0005-0000-0000-0000AA130000}"/>
    <cellStyle name="Note 4 7 3 2" xfId="5017" xr:uid="{00000000-0005-0000-0000-0000AB130000}"/>
    <cellStyle name="Note 4 7 4" xfId="5018" xr:uid="{00000000-0005-0000-0000-0000AC130000}"/>
    <cellStyle name="Note 4 8" xfId="5019" xr:uid="{00000000-0005-0000-0000-0000AD130000}"/>
    <cellStyle name="Note 4 8 2" xfId="5020" xr:uid="{00000000-0005-0000-0000-0000AE130000}"/>
    <cellStyle name="Note 4 8 2 2" xfId="5021" xr:uid="{00000000-0005-0000-0000-0000AF130000}"/>
    <cellStyle name="Note 4 8 2 3" xfId="5022" xr:uid="{00000000-0005-0000-0000-0000B0130000}"/>
    <cellStyle name="Note 4 8 3" xfId="5023" xr:uid="{00000000-0005-0000-0000-0000B1130000}"/>
    <cellStyle name="Note 4 8 3 2" xfId="5024" xr:uid="{00000000-0005-0000-0000-0000B2130000}"/>
    <cellStyle name="Note 4 8 4" xfId="5025" xr:uid="{00000000-0005-0000-0000-0000B3130000}"/>
    <cellStyle name="Note 5 2" xfId="5026" xr:uid="{00000000-0005-0000-0000-0000B4130000}"/>
    <cellStyle name="Note 5 2 2" xfId="5027" xr:uid="{00000000-0005-0000-0000-0000B5130000}"/>
    <cellStyle name="Note 5 2 2 2" xfId="5028" xr:uid="{00000000-0005-0000-0000-0000B6130000}"/>
    <cellStyle name="Note 5 2 2 3" xfId="5029" xr:uid="{00000000-0005-0000-0000-0000B7130000}"/>
    <cellStyle name="Note 5 2 3" xfId="5030" xr:uid="{00000000-0005-0000-0000-0000B8130000}"/>
    <cellStyle name="Note 5 2 3 2" xfId="5031" xr:uid="{00000000-0005-0000-0000-0000B9130000}"/>
    <cellStyle name="Note 5 2 4" xfId="5032" xr:uid="{00000000-0005-0000-0000-0000BA130000}"/>
    <cellStyle name="Note 5 3" xfId="5033" xr:uid="{00000000-0005-0000-0000-0000BB130000}"/>
    <cellStyle name="Note 5 3 2" xfId="5034" xr:uid="{00000000-0005-0000-0000-0000BC130000}"/>
    <cellStyle name="Note 5 3 2 2" xfId="5035" xr:uid="{00000000-0005-0000-0000-0000BD130000}"/>
    <cellStyle name="Note 5 3 2 3" xfId="5036" xr:uid="{00000000-0005-0000-0000-0000BE130000}"/>
    <cellStyle name="Note 5 3 3" xfId="5037" xr:uid="{00000000-0005-0000-0000-0000BF130000}"/>
    <cellStyle name="Note 5 3 3 2" xfId="5038" xr:uid="{00000000-0005-0000-0000-0000C0130000}"/>
    <cellStyle name="Note 5 3 4" xfId="5039" xr:uid="{00000000-0005-0000-0000-0000C1130000}"/>
    <cellStyle name="Note 5 4" xfId="5040" xr:uid="{00000000-0005-0000-0000-0000C2130000}"/>
    <cellStyle name="Note 5 4 2" xfId="5041" xr:uid="{00000000-0005-0000-0000-0000C3130000}"/>
    <cellStyle name="Note 5 4 2 2" xfId="5042" xr:uid="{00000000-0005-0000-0000-0000C4130000}"/>
    <cellStyle name="Note 5 4 2 3" xfId="5043" xr:uid="{00000000-0005-0000-0000-0000C5130000}"/>
    <cellStyle name="Note 5 4 3" xfId="5044" xr:uid="{00000000-0005-0000-0000-0000C6130000}"/>
    <cellStyle name="Note 5 4 3 2" xfId="5045" xr:uid="{00000000-0005-0000-0000-0000C7130000}"/>
    <cellStyle name="Note 5 4 4" xfId="5046" xr:uid="{00000000-0005-0000-0000-0000C8130000}"/>
    <cellStyle name="Note 5 5" xfId="5047" xr:uid="{00000000-0005-0000-0000-0000C9130000}"/>
    <cellStyle name="Note 5 5 2" xfId="5048" xr:uid="{00000000-0005-0000-0000-0000CA130000}"/>
    <cellStyle name="Note 5 5 2 2" xfId="5049" xr:uid="{00000000-0005-0000-0000-0000CB130000}"/>
    <cellStyle name="Note 5 5 2 3" xfId="5050" xr:uid="{00000000-0005-0000-0000-0000CC130000}"/>
    <cellStyle name="Note 5 5 3" xfId="5051" xr:uid="{00000000-0005-0000-0000-0000CD130000}"/>
    <cellStyle name="Note 5 5 3 2" xfId="5052" xr:uid="{00000000-0005-0000-0000-0000CE130000}"/>
    <cellStyle name="Note 5 5 4" xfId="5053" xr:uid="{00000000-0005-0000-0000-0000CF130000}"/>
    <cellStyle name="Note 5 6" xfId="5054" xr:uid="{00000000-0005-0000-0000-0000D0130000}"/>
    <cellStyle name="Note 5 6 2" xfId="5055" xr:uid="{00000000-0005-0000-0000-0000D1130000}"/>
    <cellStyle name="Note 5 6 2 2" xfId="5056" xr:uid="{00000000-0005-0000-0000-0000D2130000}"/>
    <cellStyle name="Note 5 6 2 3" xfId="5057" xr:uid="{00000000-0005-0000-0000-0000D3130000}"/>
    <cellStyle name="Note 5 6 3" xfId="5058" xr:uid="{00000000-0005-0000-0000-0000D4130000}"/>
    <cellStyle name="Note 5 6 3 2" xfId="5059" xr:uid="{00000000-0005-0000-0000-0000D5130000}"/>
    <cellStyle name="Note 5 6 4" xfId="5060" xr:uid="{00000000-0005-0000-0000-0000D6130000}"/>
    <cellStyle name="Note 5 7" xfId="5061" xr:uid="{00000000-0005-0000-0000-0000D7130000}"/>
    <cellStyle name="Note 5 7 2" xfId="5062" xr:uid="{00000000-0005-0000-0000-0000D8130000}"/>
    <cellStyle name="Note 5 7 2 2" xfId="5063" xr:uid="{00000000-0005-0000-0000-0000D9130000}"/>
    <cellStyle name="Note 5 7 2 3" xfId="5064" xr:uid="{00000000-0005-0000-0000-0000DA130000}"/>
    <cellStyle name="Note 5 7 3" xfId="5065" xr:uid="{00000000-0005-0000-0000-0000DB130000}"/>
    <cellStyle name="Note 5 7 3 2" xfId="5066" xr:uid="{00000000-0005-0000-0000-0000DC130000}"/>
    <cellStyle name="Note 5 7 4" xfId="5067" xr:uid="{00000000-0005-0000-0000-0000DD130000}"/>
    <cellStyle name="Note 5 8" xfId="5068" xr:uid="{00000000-0005-0000-0000-0000DE130000}"/>
    <cellStyle name="Note 5 8 2" xfId="5069" xr:uid="{00000000-0005-0000-0000-0000DF130000}"/>
    <cellStyle name="Note 5 8 2 2" xfId="5070" xr:uid="{00000000-0005-0000-0000-0000E0130000}"/>
    <cellStyle name="Note 5 8 2 3" xfId="5071" xr:uid="{00000000-0005-0000-0000-0000E1130000}"/>
    <cellStyle name="Note 5 8 3" xfId="5072" xr:uid="{00000000-0005-0000-0000-0000E2130000}"/>
    <cellStyle name="Note 5 8 3 2" xfId="5073" xr:uid="{00000000-0005-0000-0000-0000E3130000}"/>
    <cellStyle name="Note 5 8 4" xfId="5074" xr:uid="{00000000-0005-0000-0000-0000E4130000}"/>
    <cellStyle name="Note 6 2" xfId="5075" xr:uid="{00000000-0005-0000-0000-0000E5130000}"/>
    <cellStyle name="Note 6 2 2" xfId="5076" xr:uid="{00000000-0005-0000-0000-0000E6130000}"/>
    <cellStyle name="Note 6 2 2 2" xfId="5077" xr:uid="{00000000-0005-0000-0000-0000E7130000}"/>
    <cellStyle name="Note 6 2 2 3" xfId="5078" xr:uid="{00000000-0005-0000-0000-0000E8130000}"/>
    <cellStyle name="Note 6 2 3" xfId="5079" xr:uid="{00000000-0005-0000-0000-0000E9130000}"/>
    <cellStyle name="Note 6 2 3 2" xfId="5080" xr:uid="{00000000-0005-0000-0000-0000EA130000}"/>
    <cellStyle name="Note 6 2 4" xfId="5081" xr:uid="{00000000-0005-0000-0000-0000EB130000}"/>
    <cellStyle name="Note 6 3" xfId="5082" xr:uid="{00000000-0005-0000-0000-0000EC130000}"/>
    <cellStyle name="Note 6 3 2" xfId="5083" xr:uid="{00000000-0005-0000-0000-0000ED130000}"/>
    <cellStyle name="Note 6 3 2 2" xfId="5084" xr:uid="{00000000-0005-0000-0000-0000EE130000}"/>
    <cellStyle name="Note 6 3 2 3" xfId="5085" xr:uid="{00000000-0005-0000-0000-0000EF130000}"/>
    <cellStyle name="Note 6 3 3" xfId="5086" xr:uid="{00000000-0005-0000-0000-0000F0130000}"/>
    <cellStyle name="Note 6 3 3 2" xfId="5087" xr:uid="{00000000-0005-0000-0000-0000F1130000}"/>
    <cellStyle name="Note 6 3 4" xfId="5088" xr:uid="{00000000-0005-0000-0000-0000F2130000}"/>
    <cellStyle name="Note 6 4" xfId="5089" xr:uid="{00000000-0005-0000-0000-0000F3130000}"/>
    <cellStyle name="Note 6 4 2" xfId="5090" xr:uid="{00000000-0005-0000-0000-0000F4130000}"/>
    <cellStyle name="Note 6 4 2 2" xfId="5091" xr:uid="{00000000-0005-0000-0000-0000F5130000}"/>
    <cellStyle name="Note 6 4 2 3" xfId="5092" xr:uid="{00000000-0005-0000-0000-0000F6130000}"/>
    <cellStyle name="Note 6 4 3" xfId="5093" xr:uid="{00000000-0005-0000-0000-0000F7130000}"/>
    <cellStyle name="Note 6 4 3 2" xfId="5094" xr:uid="{00000000-0005-0000-0000-0000F8130000}"/>
    <cellStyle name="Note 6 4 4" xfId="5095" xr:uid="{00000000-0005-0000-0000-0000F9130000}"/>
    <cellStyle name="Note 6 5" xfId="5096" xr:uid="{00000000-0005-0000-0000-0000FA130000}"/>
    <cellStyle name="Note 6 5 2" xfId="5097" xr:uid="{00000000-0005-0000-0000-0000FB130000}"/>
    <cellStyle name="Note 6 5 2 2" xfId="5098" xr:uid="{00000000-0005-0000-0000-0000FC130000}"/>
    <cellStyle name="Note 6 5 2 3" xfId="5099" xr:uid="{00000000-0005-0000-0000-0000FD130000}"/>
    <cellStyle name="Note 6 5 3" xfId="5100" xr:uid="{00000000-0005-0000-0000-0000FE130000}"/>
    <cellStyle name="Note 6 5 3 2" xfId="5101" xr:uid="{00000000-0005-0000-0000-0000FF130000}"/>
    <cellStyle name="Note 6 5 4" xfId="5102" xr:uid="{00000000-0005-0000-0000-000000140000}"/>
    <cellStyle name="Note 6 6" xfId="5103" xr:uid="{00000000-0005-0000-0000-000001140000}"/>
    <cellStyle name="Note 6 6 2" xfId="5104" xr:uid="{00000000-0005-0000-0000-000002140000}"/>
    <cellStyle name="Note 6 6 2 2" xfId="5105" xr:uid="{00000000-0005-0000-0000-000003140000}"/>
    <cellStyle name="Note 6 6 2 3" xfId="5106" xr:uid="{00000000-0005-0000-0000-000004140000}"/>
    <cellStyle name="Note 6 6 3" xfId="5107" xr:uid="{00000000-0005-0000-0000-000005140000}"/>
    <cellStyle name="Note 6 6 3 2" xfId="5108" xr:uid="{00000000-0005-0000-0000-000006140000}"/>
    <cellStyle name="Note 6 6 4" xfId="5109" xr:uid="{00000000-0005-0000-0000-000007140000}"/>
    <cellStyle name="Note 6 7" xfId="5110" xr:uid="{00000000-0005-0000-0000-000008140000}"/>
    <cellStyle name="Note 6 7 2" xfId="5111" xr:uid="{00000000-0005-0000-0000-000009140000}"/>
    <cellStyle name="Note 6 7 2 2" xfId="5112" xr:uid="{00000000-0005-0000-0000-00000A140000}"/>
    <cellStyle name="Note 6 7 2 3" xfId="5113" xr:uid="{00000000-0005-0000-0000-00000B140000}"/>
    <cellStyle name="Note 6 7 3" xfId="5114" xr:uid="{00000000-0005-0000-0000-00000C140000}"/>
    <cellStyle name="Note 6 7 3 2" xfId="5115" xr:uid="{00000000-0005-0000-0000-00000D140000}"/>
    <cellStyle name="Note 6 7 4" xfId="5116" xr:uid="{00000000-0005-0000-0000-00000E140000}"/>
    <cellStyle name="Note 6 8" xfId="5117" xr:uid="{00000000-0005-0000-0000-00000F140000}"/>
    <cellStyle name="Note 6 8 2" xfId="5118" xr:uid="{00000000-0005-0000-0000-000010140000}"/>
    <cellStyle name="Note 6 8 2 2" xfId="5119" xr:uid="{00000000-0005-0000-0000-000011140000}"/>
    <cellStyle name="Note 6 8 2 3" xfId="5120" xr:uid="{00000000-0005-0000-0000-000012140000}"/>
    <cellStyle name="Note 6 8 3" xfId="5121" xr:uid="{00000000-0005-0000-0000-000013140000}"/>
    <cellStyle name="Note 6 8 3 2" xfId="5122" xr:uid="{00000000-0005-0000-0000-000014140000}"/>
    <cellStyle name="Note 6 8 4" xfId="5123" xr:uid="{00000000-0005-0000-0000-000015140000}"/>
    <cellStyle name="Note 7 2" xfId="5124" xr:uid="{00000000-0005-0000-0000-000016140000}"/>
    <cellStyle name="Note 7 2 2" xfId="5125" xr:uid="{00000000-0005-0000-0000-000017140000}"/>
    <cellStyle name="Note 7 2 2 2" xfId="5126" xr:uid="{00000000-0005-0000-0000-000018140000}"/>
    <cellStyle name="Note 7 2 2 3" xfId="5127" xr:uid="{00000000-0005-0000-0000-000019140000}"/>
    <cellStyle name="Note 7 2 3" xfId="5128" xr:uid="{00000000-0005-0000-0000-00001A140000}"/>
    <cellStyle name="Note 7 2 3 2" xfId="5129" xr:uid="{00000000-0005-0000-0000-00001B140000}"/>
    <cellStyle name="Note 7 2 4" xfId="5130" xr:uid="{00000000-0005-0000-0000-00001C140000}"/>
    <cellStyle name="Note 7 3" xfId="5131" xr:uid="{00000000-0005-0000-0000-00001D140000}"/>
    <cellStyle name="Note 7 3 2" xfId="5132" xr:uid="{00000000-0005-0000-0000-00001E140000}"/>
    <cellStyle name="Note 7 3 2 2" xfId="5133" xr:uid="{00000000-0005-0000-0000-00001F140000}"/>
    <cellStyle name="Note 7 3 2 3" xfId="5134" xr:uid="{00000000-0005-0000-0000-000020140000}"/>
    <cellStyle name="Note 7 3 3" xfId="5135" xr:uid="{00000000-0005-0000-0000-000021140000}"/>
    <cellStyle name="Note 7 3 3 2" xfId="5136" xr:uid="{00000000-0005-0000-0000-000022140000}"/>
    <cellStyle name="Note 7 3 4" xfId="5137" xr:uid="{00000000-0005-0000-0000-000023140000}"/>
    <cellStyle name="Note 7 4" xfId="5138" xr:uid="{00000000-0005-0000-0000-000024140000}"/>
    <cellStyle name="Note 7 4 2" xfId="5139" xr:uid="{00000000-0005-0000-0000-000025140000}"/>
    <cellStyle name="Note 7 4 2 2" xfId="5140" xr:uid="{00000000-0005-0000-0000-000026140000}"/>
    <cellStyle name="Note 7 4 2 3" xfId="5141" xr:uid="{00000000-0005-0000-0000-000027140000}"/>
    <cellStyle name="Note 7 4 3" xfId="5142" xr:uid="{00000000-0005-0000-0000-000028140000}"/>
    <cellStyle name="Note 7 4 3 2" xfId="5143" xr:uid="{00000000-0005-0000-0000-000029140000}"/>
    <cellStyle name="Note 7 4 4" xfId="5144" xr:uid="{00000000-0005-0000-0000-00002A140000}"/>
    <cellStyle name="Note 7 5" xfId="5145" xr:uid="{00000000-0005-0000-0000-00002B140000}"/>
    <cellStyle name="Note 7 5 2" xfId="5146" xr:uid="{00000000-0005-0000-0000-00002C140000}"/>
    <cellStyle name="Note 7 5 2 2" xfId="5147" xr:uid="{00000000-0005-0000-0000-00002D140000}"/>
    <cellStyle name="Note 7 5 2 3" xfId="5148" xr:uid="{00000000-0005-0000-0000-00002E140000}"/>
    <cellStyle name="Note 7 5 3" xfId="5149" xr:uid="{00000000-0005-0000-0000-00002F140000}"/>
    <cellStyle name="Note 7 5 3 2" xfId="5150" xr:uid="{00000000-0005-0000-0000-000030140000}"/>
    <cellStyle name="Note 7 5 4" xfId="5151" xr:uid="{00000000-0005-0000-0000-000031140000}"/>
    <cellStyle name="Note 7 6" xfId="5152" xr:uid="{00000000-0005-0000-0000-000032140000}"/>
    <cellStyle name="Note 7 6 2" xfId="5153" xr:uid="{00000000-0005-0000-0000-000033140000}"/>
    <cellStyle name="Note 7 6 2 2" xfId="5154" xr:uid="{00000000-0005-0000-0000-000034140000}"/>
    <cellStyle name="Note 7 6 2 3" xfId="5155" xr:uid="{00000000-0005-0000-0000-000035140000}"/>
    <cellStyle name="Note 7 6 3" xfId="5156" xr:uid="{00000000-0005-0000-0000-000036140000}"/>
    <cellStyle name="Note 7 6 3 2" xfId="5157" xr:uid="{00000000-0005-0000-0000-000037140000}"/>
    <cellStyle name="Note 7 6 4" xfId="5158" xr:uid="{00000000-0005-0000-0000-000038140000}"/>
    <cellStyle name="Note 7 7" xfId="5159" xr:uid="{00000000-0005-0000-0000-000039140000}"/>
    <cellStyle name="Note 7 7 2" xfId="5160" xr:uid="{00000000-0005-0000-0000-00003A140000}"/>
    <cellStyle name="Note 7 7 2 2" xfId="5161" xr:uid="{00000000-0005-0000-0000-00003B140000}"/>
    <cellStyle name="Note 7 7 2 3" xfId="5162" xr:uid="{00000000-0005-0000-0000-00003C140000}"/>
    <cellStyle name="Note 7 7 3" xfId="5163" xr:uid="{00000000-0005-0000-0000-00003D140000}"/>
    <cellStyle name="Note 7 7 3 2" xfId="5164" xr:uid="{00000000-0005-0000-0000-00003E140000}"/>
    <cellStyle name="Note 7 7 4" xfId="5165" xr:uid="{00000000-0005-0000-0000-00003F140000}"/>
    <cellStyle name="Note 7 8" xfId="5166" xr:uid="{00000000-0005-0000-0000-000040140000}"/>
    <cellStyle name="Note 7 8 2" xfId="5167" xr:uid="{00000000-0005-0000-0000-000041140000}"/>
    <cellStyle name="Note 7 8 2 2" xfId="5168" xr:uid="{00000000-0005-0000-0000-000042140000}"/>
    <cellStyle name="Note 7 8 2 3" xfId="5169" xr:uid="{00000000-0005-0000-0000-000043140000}"/>
    <cellStyle name="Note 7 8 3" xfId="5170" xr:uid="{00000000-0005-0000-0000-000044140000}"/>
    <cellStyle name="Note 7 8 3 2" xfId="5171" xr:uid="{00000000-0005-0000-0000-000045140000}"/>
    <cellStyle name="Note 7 8 4" xfId="5172" xr:uid="{00000000-0005-0000-0000-000046140000}"/>
    <cellStyle name="Note 8 2" xfId="5173" xr:uid="{00000000-0005-0000-0000-000047140000}"/>
    <cellStyle name="Note 8 2 2" xfId="5174" xr:uid="{00000000-0005-0000-0000-000048140000}"/>
    <cellStyle name="Note 8 2 2 2" xfId="5175" xr:uid="{00000000-0005-0000-0000-000049140000}"/>
    <cellStyle name="Note 8 2 2 3" xfId="5176" xr:uid="{00000000-0005-0000-0000-00004A140000}"/>
    <cellStyle name="Note 8 2 3" xfId="5177" xr:uid="{00000000-0005-0000-0000-00004B140000}"/>
    <cellStyle name="Note 8 2 3 2" xfId="5178" xr:uid="{00000000-0005-0000-0000-00004C140000}"/>
    <cellStyle name="Note 8 2 4" xfId="5179" xr:uid="{00000000-0005-0000-0000-00004D140000}"/>
    <cellStyle name="Note 8 3" xfId="5180" xr:uid="{00000000-0005-0000-0000-00004E140000}"/>
    <cellStyle name="Note 8 3 2" xfId="5181" xr:uid="{00000000-0005-0000-0000-00004F140000}"/>
    <cellStyle name="Note 8 3 2 2" xfId="5182" xr:uid="{00000000-0005-0000-0000-000050140000}"/>
    <cellStyle name="Note 8 3 2 3" xfId="5183" xr:uid="{00000000-0005-0000-0000-000051140000}"/>
    <cellStyle name="Note 8 3 3" xfId="5184" xr:uid="{00000000-0005-0000-0000-000052140000}"/>
    <cellStyle name="Note 8 3 3 2" xfId="5185" xr:uid="{00000000-0005-0000-0000-000053140000}"/>
    <cellStyle name="Note 8 3 4" xfId="5186" xr:uid="{00000000-0005-0000-0000-000054140000}"/>
    <cellStyle name="Note 8 4" xfId="5187" xr:uid="{00000000-0005-0000-0000-000055140000}"/>
    <cellStyle name="Note 8 4 2" xfId="5188" xr:uid="{00000000-0005-0000-0000-000056140000}"/>
    <cellStyle name="Note 8 4 2 2" xfId="5189" xr:uid="{00000000-0005-0000-0000-000057140000}"/>
    <cellStyle name="Note 8 4 2 3" xfId="5190" xr:uid="{00000000-0005-0000-0000-000058140000}"/>
    <cellStyle name="Note 8 4 3" xfId="5191" xr:uid="{00000000-0005-0000-0000-000059140000}"/>
    <cellStyle name="Note 8 4 3 2" xfId="5192" xr:uid="{00000000-0005-0000-0000-00005A140000}"/>
    <cellStyle name="Note 8 4 4" xfId="5193" xr:uid="{00000000-0005-0000-0000-00005B140000}"/>
    <cellStyle name="Note 8 5" xfId="5194" xr:uid="{00000000-0005-0000-0000-00005C140000}"/>
    <cellStyle name="Note 8 5 2" xfId="5195" xr:uid="{00000000-0005-0000-0000-00005D140000}"/>
    <cellStyle name="Note 8 5 2 2" xfId="5196" xr:uid="{00000000-0005-0000-0000-00005E140000}"/>
    <cellStyle name="Note 8 5 2 3" xfId="5197" xr:uid="{00000000-0005-0000-0000-00005F140000}"/>
    <cellStyle name="Note 8 5 3" xfId="5198" xr:uid="{00000000-0005-0000-0000-000060140000}"/>
    <cellStyle name="Note 8 5 3 2" xfId="5199" xr:uid="{00000000-0005-0000-0000-000061140000}"/>
    <cellStyle name="Note 8 5 4" xfId="5200" xr:uid="{00000000-0005-0000-0000-000062140000}"/>
    <cellStyle name="Note 8 6" xfId="5201" xr:uid="{00000000-0005-0000-0000-000063140000}"/>
    <cellStyle name="Note 8 6 2" xfId="5202" xr:uid="{00000000-0005-0000-0000-000064140000}"/>
    <cellStyle name="Note 8 6 2 2" xfId="5203" xr:uid="{00000000-0005-0000-0000-000065140000}"/>
    <cellStyle name="Note 8 6 2 3" xfId="5204" xr:uid="{00000000-0005-0000-0000-000066140000}"/>
    <cellStyle name="Note 8 6 3" xfId="5205" xr:uid="{00000000-0005-0000-0000-000067140000}"/>
    <cellStyle name="Note 8 6 3 2" xfId="5206" xr:uid="{00000000-0005-0000-0000-000068140000}"/>
    <cellStyle name="Note 8 6 4" xfId="5207" xr:uid="{00000000-0005-0000-0000-000069140000}"/>
    <cellStyle name="Note 8 7" xfId="5208" xr:uid="{00000000-0005-0000-0000-00006A140000}"/>
    <cellStyle name="Note 8 7 2" xfId="5209" xr:uid="{00000000-0005-0000-0000-00006B140000}"/>
    <cellStyle name="Note 8 7 2 2" xfId="5210" xr:uid="{00000000-0005-0000-0000-00006C140000}"/>
    <cellStyle name="Note 8 7 2 3" xfId="5211" xr:uid="{00000000-0005-0000-0000-00006D140000}"/>
    <cellStyle name="Note 8 7 3" xfId="5212" xr:uid="{00000000-0005-0000-0000-00006E140000}"/>
    <cellStyle name="Note 8 7 3 2" xfId="5213" xr:uid="{00000000-0005-0000-0000-00006F140000}"/>
    <cellStyle name="Note 8 7 4" xfId="5214" xr:uid="{00000000-0005-0000-0000-000070140000}"/>
    <cellStyle name="Note 8 8" xfId="5215" xr:uid="{00000000-0005-0000-0000-000071140000}"/>
    <cellStyle name="Note 8 8 2" xfId="5216" xr:uid="{00000000-0005-0000-0000-000072140000}"/>
    <cellStyle name="Note 8 8 2 2" xfId="5217" xr:uid="{00000000-0005-0000-0000-000073140000}"/>
    <cellStyle name="Note 8 8 2 3" xfId="5218" xr:uid="{00000000-0005-0000-0000-000074140000}"/>
    <cellStyle name="Note 8 8 3" xfId="5219" xr:uid="{00000000-0005-0000-0000-000075140000}"/>
    <cellStyle name="Note 8 8 3 2" xfId="5220" xr:uid="{00000000-0005-0000-0000-000076140000}"/>
    <cellStyle name="Note 8 8 4" xfId="5221" xr:uid="{00000000-0005-0000-0000-000077140000}"/>
    <cellStyle name="Note 9 2" xfId="5222" xr:uid="{00000000-0005-0000-0000-000078140000}"/>
    <cellStyle name="Note 9 2 2" xfId="5223" xr:uid="{00000000-0005-0000-0000-000079140000}"/>
    <cellStyle name="Note 9 2 2 2" xfId="5224" xr:uid="{00000000-0005-0000-0000-00007A140000}"/>
    <cellStyle name="Note 9 2 2 3" xfId="5225" xr:uid="{00000000-0005-0000-0000-00007B140000}"/>
    <cellStyle name="Note 9 2 3" xfId="5226" xr:uid="{00000000-0005-0000-0000-00007C140000}"/>
    <cellStyle name="Note 9 2 3 2" xfId="5227" xr:uid="{00000000-0005-0000-0000-00007D140000}"/>
    <cellStyle name="Note 9 2 4" xfId="5228" xr:uid="{00000000-0005-0000-0000-00007E140000}"/>
    <cellStyle name="Note 9 3" xfId="5229" xr:uid="{00000000-0005-0000-0000-00007F140000}"/>
    <cellStyle name="Note 9 3 2" xfId="5230" xr:uid="{00000000-0005-0000-0000-000080140000}"/>
    <cellStyle name="Note 9 3 2 2" xfId="5231" xr:uid="{00000000-0005-0000-0000-000081140000}"/>
    <cellStyle name="Note 9 3 2 3" xfId="5232" xr:uid="{00000000-0005-0000-0000-000082140000}"/>
    <cellStyle name="Note 9 3 3" xfId="5233" xr:uid="{00000000-0005-0000-0000-000083140000}"/>
    <cellStyle name="Note 9 3 3 2" xfId="5234" xr:uid="{00000000-0005-0000-0000-000084140000}"/>
    <cellStyle name="Note 9 3 4" xfId="5235" xr:uid="{00000000-0005-0000-0000-000085140000}"/>
    <cellStyle name="Note 9 4" xfId="5236" xr:uid="{00000000-0005-0000-0000-000086140000}"/>
    <cellStyle name="Note 9 4 2" xfId="5237" xr:uid="{00000000-0005-0000-0000-000087140000}"/>
    <cellStyle name="Note 9 4 2 2" xfId="5238" xr:uid="{00000000-0005-0000-0000-000088140000}"/>
    <cellStyle name="Note 9 4 2 3" xfId="5239" xr:uid="{00000000-0005-0000-0000-000089140000}"/>
    <cellStyle name="Note 9 4 3" xfId="5240" xr:uid="{00000000-0005-0000-0000-00008A140000}"/>
    <cellStyle name="Note 9 4 3 2" xfId="5241" xr:uid="{00000000-0005-0000-0000-00008B140000}"/>
    <cellStyle name="Note 9 4 4" xfId="5242" xr:uid="{00000000-0005-0000-0000-00008C140000}"/>
    <cellStyle name="Note 9 5" xfId="5243" xr:uid="{00000000-0005-0000-0000-00008D140000}"/>
    <cellStyle name="Note 9 5 2" xfId="5244" xr:uid="{00000000-0005-0000-0000-00008E140000}"/>
    <cellStyle name="Note 9 5 2 2" xfId="5245" xr:uid="{00000000-0005-0000-0000-00008F140000}"/>
    <cellStyle name="Note 9 5 2 3" xfId="5246" xr:uid="{00000000-0005-0000-0000-000090140000}"/>
    <cellStyle name="Note 9 5 3" xfId="5247" xr:uid="{00000000-0005-0000-0000-000091140000}"/>
    <cellStyle name="Note 9 5 3 2" xfId="5248" xr:uid="{00000000-0005-0000-0000-000092140000}"/>
    <cellStyle name="Note 9 5 4" xfId="5249" xr:uid="{00000000-0005-0000-0000-000093140000}"/>
    <cellStyle name="Note 9 6" xfId="5250" xr:uid="{00000000-0005-0000-0000-000094140000}"/>
    <cellStyle name="Note 9 6 2" xfId="5251" xr:uid="{00000000-0005-0000-0000-000095140000}"/>
    <cellStyle name="Note 9 6 2 2" xfId="5252" xr:uid="{00000000-0005-0000-0000-000096140000}"/>
    <cellStyle name="Note 9 6 2 3" xfId="5253" xr:uid="{00000000-0005-0000-0000-000097140000}"/>
    <cellStyle name="Note 9 6 3" xfId="5254" xr:uid="{00000000-0005-0000-0000-000098140000}"/>
    <cellStyle name="Note 9 6 3 2" xfId="5255" xr:uid="{00000000-0005-0000-0000-000099140000}"/>
    <cellStyle name="Note 9 6 4" xfId="5256" xr:uid="{00000000-0005-0000-0000-00009A140000}"/>
    <cellStyle name="Note 9 7" xfId="5257" xr:uid="{00000000-0005-0000-0000-00009B140000}"/>
    <cellStyle name="Note 9 7 2" xfId="5258" xr:uid="{00000000-0005-0000-0000-00009C140000}"/>
    <cellStyle name="Note 9 7 2 2" xfId="5259" xr:uid="{00000000-0005-0000-0000-00009D140000}"/>
    <cellStyle name="Note 9 7 2 3" xfId="5260" xr:uid="{00000000-0005-0000-0000-00009E140000}"/>
    <cellStyle name="Note 9 7 3" xfId="5261" xr:uid="{00000000-0005-0000-0000-00009F140000}"/>
    <cellStyle name="Note 9 7 3 2" xfId="5262" xr:uid="{00000000-0005-0000-0000-0000A0140000}"/>
    <cellStyle name="Note 9 7 4" xfId="5263" xr:uid="{00000000-0005-0000-0000-0000A1140000}"/>
    <cellStyle name="Note 9 8" xfId="5264" xr:uid="{00000000-0005-0000-0000-0000A2140000}"/>
    <cellStyle name="Note 9 8 2" xfId="5265" xr:uid="{00000000-0005-0000-0000-0000A3140000}"/>
    <cellStyle name="Note 9 8 2 2" xfId="5266" xr:uid="{00000000-0005-0000-0000-0000A4140000}"/>
    <cellStyle name="Note 9 8 2 3" xfId="5267" xr:uid="{00000000-0005-0000-0000-0000A5140000}"/>
    <cellStyle name="Note 9 8 3" xfId="5268" xr:uid="{00000000-0005-0000-0000-0000A6140000}"/>
    <cellStyle name="Note 9 8 3 2" xfId="5269" xr:uid="{00000000-0005-0000-0000-0000A7140000}"/>
    <cellStyle name="Note 9 8 4" xfId="5270" xr:uid="{00000000-0005-0000-0000-0000A8140000}"/>
    <cellStyle name="notes" xfId="5271" xr:uid="{00000000-0005-0000-0000-0000A9140000}"/>
    <cellStyle name="Percent [2]" xfId="5272" xr:uid="{00000000-0005-0000-0000-0000AA140000}"/>
    <cellStyle name="Percent 10" xfId="5273" xr:uid="{00000000-0005-0000-0000-0000AB140000}"/>
    <cellStyle name="Percent 11" xfId="5274" xr:uid="{00000000-0005-0000-0000-0000AC140000}"/>
    <cellStyle name="Percent 12" xfId="5275" xr:uid="{00000000-0005-0000-0000-0000AD140000}"/>
    <cellStyle name="Percent 13" xfId="5276" xr:uid="{00000000-0005-0000-0000-0000AE140000}"/>
    <cellStyle name="Percent 2" xfId="17" xr:uid="{00000000-0005-0000-0000-0000AF140000}"/>
    <cellStyle name="Percent 2 2" xfId="5277" xr:uid="{00000000-0005-0000-0000-0000B0140000}"/>
    <cellStyle name="Percent 2 2 2" xfId="5278" xr:uid="{00000000-0005-0000-0000-0000B1140000}"/>
    <cellStyle name="Percent 2 2 3" xfId="5279" xr:uid="{00000000-0005-0000-0000-0000B2140000}"/>
    <cellStyle name="Percent 2 2_Tertiary Salaries Survey" xfId="5280" xr:uid="{00000000-0005-0000-0000-0000B3140000}"/>
    <cellStyle name="Percent 2 3" xfId="5281" xr:uid="{00000000-0005-0000-0000-0000B4140000}"/>
    <cellStyle name="Percent 2_Tertiary Salaries Survey" xfId="5282" xr:uid="{00000000-0005-0000-0000-0000B5140000}"/>
    <cellStyle name="Percent 3" xfId="5283" xr:uid="{00000000-0005-0000-0000-0000B6140000}"/>
    <cellStyle name="Percent 3 2" xfId="5284" xr:uid="{00000000-0005-0000-0000-0000B7140000}"/>
    <cellStyle name="Percent 3 2 2" xfId="5285" xr:uid="{00000000-0005-0000-0000-0000B8140000}"/>
    <cellStyle name="Percent 3 2 2 2" xfId="5286" xr:uid="{00000000-0005-0000-0000-0000B9140000}"/>
    <cellStyle name="Percent 3 2 2 3" xfId="5287" xr:uid="{00000000-0005-0000-0000-0000BA140000}"/>
    <cellStyle name="Percent 3 2 3" xfId="5288" xr:uid="{00000000-0005-0000-0000-0000BB140000}"/>
    <cellStyle name="Percent 3 2 3 2" xfId="5289" xr:uid="{00000000-0005-0000-0000-0000BC140000}"/>
    <cellStyle name="Percent 3 2 3 3" xfId="5290" xr:uid="{00000000-0005-0000-0000-0000BD140000}"/>
    <cellStyle name="Percent 3 2 4" xfId="5291" xr:uid="{00000000-0005-0000-0000-0000BE140000}"/>
    <cellStyle name="Percent 3 2 5" xfId="5292" xr:uid="{00000000-0005-0000-0000-0000BF140000}"/>
    <cellStyle name="Percent 3 3" xfId="5293" xr:uid="{00000000-0005-0000-0000-0000C0140000}"/>
    <cellStyle name="Percent 3 3 2" xfId="5294" xr:uid="{00000000-0005-0000-0000-0000C1140000}"/>
    <cellStyle name="Percent 3 3 3" xfId="5295" xr:uid="{00000000-0005-0000-0000-0000C2140000}"/>
    <cellStyle name="Percent 3_Tertiary Salaries Survey" xfId="5296" xr:uid="{00000000-0005-0000-0000-0000C3140000}"/>
    <cellStyle name="Percent 4" xfId="5297" xr:uid="{00000000-0005-0000-0000-0000C4140000}"/>
    <cellStyle name="Percent 5" xfId="5298" xr:uid="{00000000-0005-0000-0000-0000C5140000}"/>
    <cellStyle name="Percent 6" xfId="5299" xr:uid="{00000000-0005-0000-0000-0000C6140000}"/>
    <cellStyle name="Percent 7" xfId="5300" xr:uid="{00000000-0005-0000-0000-0000C7140000}"/>
    <cellStyle name="Percent 8" xfId="5301" xr:uid="{00000000-0005-0000-0000-0000C8140000}"/>
    <cellStyle name="Percent 9" xfId="5302" xr:uid="{00000000-0005-0000-0000-0000C9140000}"/>
    <cellStyle name="Prozent_SubCatperStud" xfId="5303" xr:uid="{00000000-0005-0000-0000-0000CA140000}"/>
    <cellStyle name="row" xfId="5304" xr:uid="{00000000-0005-0000-0000-0000CB140000}"/>
    <cellStyle name="row 10" xfId="5305" xr:uid="{00000000-0005-0000-0000-0000CC140000}"/>
    <cellStyle name="row 11" xfId="5306" xr:uid="{00000000-0005-0000-0000-0000CD140000}"/>
    <cellStyle name="row 12" xfId="5307" xr:uid="{00000000-0005-0000-0000-0000CE140000}"/>
    <cellStyle name="row 13" xfId="5308" xr:uid="{00000000-0005-0000-0000-0000CF140000}"/>
    <cellStyle name="row 14" xfId="5309" xr:uid="{00000000-0005-0000-0000-0000D0140000}"/>
    <cellStyle name="row 2" xfId="5310" xr:uid="{00000000-0005-0000-0000-0000D1140000}"/>
    <cellStyle name="row 2 10" xfId="5311" xr:uid="{00000000-0005-0000-0000-0000D2140000}"/>
    <cellStyle name="row 2 10 2" xfId="5312" xr:uid="{00000000-0005-0000-0000-0000D3140000}"/>
    <cellStyle name="row 2 10 2 2" xfId="5313" xr:uid="{00000000-0005-0000-0000-0000D4140000}"/>
    <cellStyle name="row 2 10 2_Tertiary Salaries Survey" xfId="5314" xr:uid="{00000000-0005-0000-0000-0000D5140000}"/>
    <cellStyle name="row 2 10 3" xfId="5315" xr:uid="{00000000-0005-0000-0000-0000D6140000}"/>
    <cellStyle name="row 2 10 3 2" xfId="5316" xr:uid="{00000000-0005-0000-0000-0000D7140000}"/>
    <cellStyle name="row 2 10 3_Tertiary Salaries Survey" xfId="5317" xr:uid="{00000000-0005-0000-0000-0000D8140000}"/>
    <cellStyle name="row 2 10 4" xfId="5318" xr:uid="{00000000-0005-0000-0000-0000D9140000}"/>
    <cellStyle name="row 2 10 5" xfId="5319" xr:uid="{00000000-0005-0000-0000-0000DA140000}"/>
    <cellStyle name="row 2 10 6" xfId="5320" xr:uid="{00000000-0005-0000-0000-0000DB140000}"/>
    <cellStyle name="row 2 10_Tertiary Salaries Survey" xfId="5321" xr:uid="{00000000-0005-0000-0000-0000DC140000}"/>
    <cellStyle name="row 2 11" xfId="5322" xr:uid="{00000000-0005-0000-0000-0000DD140000}"/>
    <cellStyle name="row 2 11 2" xfId="5323" xr:uid="{00000000-0005-0000-0000-0000DE140000}"/>
    <cellStyle name="row 2 11 2 2" xfId="5324" xr:uid="{00000000-0005-0000-0000-0000DF140000}"/>
    <cellStyle name="row 2 11 2_Tertiary Salaries Survey" xfId="5325" xr:uid="{00000000-0005-0000-0000-0000E0140000}"/>
    <cellStyle name="row 2 11 3" xfId="5326" xr:uid="{00000000-0005-0000-0000-0000E1140000}"/>
    <cellStyle name="row 2 11 3 2" xfId="5327" xr:uid="{00000000-0005-0000-0000-0000E2140000}"/>
    <cellStyle name="row 2 11 3_Tertiary Salaries Survey" xfId="5328" xr:uid="{00000000-0005-0000-0000-0000E3140000}"/>
    <cellStyle name="row 2 11 4" xfId="5329" xr:uid="{00000000-0005-0000-0000-0000E4140000}"/>
    <cellStyle name="row 2 11 5" xfId="5330" xr:uid="{00000000-0005-0000-0000-0000E5140000}"/>
    <cellStyle name="row 2 11 6" xfId="5331" xr:uid="{00000000-0005-0000-0000-0000E6140000}"/>
    <cellStyle name="row 2 11_Tertiary Salaries Survey" xfId="5332" xr:uid="{00000000-0005-0000-0000-0000E7140000}"/>
    <cellStyle name="row 2 12" xfId="5333" xr:uid="{00000000-0005-0000-0000-0000E8140000}"/>
    <cellStyle name="row 2 13" xfId="5334" xr:uid="{00000000-0005-0000-0000-0000E9140000}"/>
    <cellStyle name="row 2 14" xfId="5335" xr:uid="{00000000-0005-0000-0000-0000EA140000}"/>
    <cellStyle name="row 2 15" xfId="5336" xr:uid="{00000000-0005-0000-0000-0000EB140000}"/>
    <cellStyle name="row 2 2" xfId="5337" xr:uid="{00000000-0005-0000-0000-0000EC140000}"/>
    <cellStyle name="row 2 2 2" xfId="5338" xr:uid="{00000000-0005-0000-0000-0000ED140000}"/>
    <cellStyle name="row 2 2 2 2" xfId="5339" xr:uid="{00000000-0005-0000-0000-0000EE140000}"/>
    <cellStyle name="row 2 2 2 2 2" xfId="5340" xr:uid="{00000000-0005-0000-0000-0000EF140000}"/>
    <cellStyle name="row 2 2 2 2 3" xfId="5341" xr:uid="{00000000-0005-0000-0000-0000F0140000}"/>
    <cellStyle name="row 2 2 2 2 4" xfId="5342" xr:uid="{00000000-0005-0000-0000-0000F1140000}"/>
    <cellStyle name="row 2 2 2 2 5" xfId="5343" xr:uid="{00000000-0005-0000-0000-0000F2140000}"/>
    <cellStyle name="row 2 2 2 2_Tertiary Salaries Survey" xfId="5344" xr:uid="{00000000-0005-0000-0000-0000F3140000}"/>
    <cellStyle name="row 2 2 2 3" xfId="5345" xr:uid="{00000000-0005-0000-0000-0000F4140000}"/>
    <cellStyle name="row 2 2 2 4" xfId="5346" xr:uid="{00000000-0005-0000-0000-0000F5140000}"/>
    <cellStyle name="row 2 2 2 5" xfId="5347" xr:uid="{00000000-0005-0000-0000-0000F6140000}"/>
    <cellStyle name="row 2 2 2 6" xfId="5348" xr:uid="{00000000-0005-0000-0000-0000F7140000}"/>
    <cellStyle name="row 2 2 2_STUD aligned by INSTIT" xfId="5349" xr:uid="{00000000-0005-0000-0000-0000F8140000}"/>
    <cellStyle name="row 2 2 3" xfId="5350" xr:uid="{00000000-0005-0000-0000-0000F9140000}"/>
    <cellStyle name="row 2 2 3 2" xfId="5351" xr:uid="{00000000-0005-0000-0000-0000FA140000}"/>
    <cellStyle name="row 2 2 3 3" xfId="5352" xr:uid="{00000000-0005-0000-0000-0000FB140000}"/>
    <cellStyle name="row 2 2 3 4" xfId="5353" xr:uid="{00000000-0005-0000-0000-0000FC140000}"/>
    <cellStyle name="row 2 2 3 5" xfId="5354" xr:uid="{00000000-0005-0000-0000-0000FD140000}"/>
    <cellStyle name="row 2 2 3_Tertiary Salaries Survey" xfId="5355" xr:uid="{00000000-0005-0000-0000-0000FE140000}"/>
    <cellStyle name="row 2 2 4" xfId="5356" xr:uid="{00000000-0005-0000-0000-0000FF140000}"/>
    <cellStyle name="row 2 2 5" xfId="5357" xr:uid="{00000000-0005-0000-0000-000000150000}"/>
    <cellStyle name="row 2 2 6" xfId="5358" xr:uid="{00000000-0005-0000-0000-000001150000}"/>
    <cellStyle name="row 2 2 7" xfId="5359" xr:uid="{00000000-0005-0000-0000-000002150000}"/>
    <cellStyle name="row 2 2_STUD aligned by INSTIT" xfId="5360" xr:uid="{00000000-0005-0000-0000-000003150000}"/>
    <cellStyle name="row 2 3" xfId="5361" xr:uid="{00000000-0005-0000-0000-000004150000}"/>
    <cellStyle name="row 2 3 2" xfId="5362" xr:uid="{00000000-0005-0000-0000-000005150000}"/>
    <cellStyle name="row 2 3 2 2" xfId="5363" xr:uid="{00000000-0005-0000-0000-000006150000}"/>
    <cellStyle name="row 2 3 2 3" xfId="5364" xr:uid="{00000000-0005-0000-0000-000007150000}"/>
    <cellStyle name="row 2 3 2 4" xfId="5365" xr:uid="{00000000-0005-0000-0000-000008150000}"/>
    <cellStyle name="row 2 3 2 5" xfId="5366" xr:uid="{00000000-0005-0000-0000-000009150000}"/>
    <cellStyle name="row 2 3 2_Tertiary Salaries Survey" xfId="5367" xr:uid="{00000000-0005-0000-0000-00000A150000}"/>
    <cellStyle name="row 2 3 3" xfId="5368" xr:uid="{00000000-0005-0000-0000-00000B150000}"/>
    <cellStyle name="row 2 3 4" xfId="5369" xr:uid="{00000000-0005-0000-0000-00000C150000}"/>
    <cellStyle name="row 2 3 5" xfId="5370" xr:uid="{00000000-0005-0000-0000-00000D150000}"/>
    <cellStyle name="row 2 3 6" xfId="5371" xr:uid="{00000000-0005-0000-0000-00000E150000}"/>
    <cellStyle name="row 2 3_STUD aligned by INSTIT" xfId="5372" xr:uid="{00000000-0005-0000-0000-00000F150000}"/>
    <cellStyle name="row 2 4" xfId="5373" xr:uid="{00000000-0005-0000-0000-000010150000}"/>
    <cellStyle name="row 2 4 10" xfId="5374" xr:uid="{00000000-0005-0000-0000-000011150000}"/>
    <cellStyle name="row 2 4 2" xfId="5375" xr:uid="{00000000-0005-0000-0000-000012150000}"/>
    <cellStyle name="row 2 4 2 2" xfId="5376" xr:uid="{00000000-0005-0000-0000-000013150000}"/>
    <cellStyle name="row 2 4 2 3" xfId="5377" xr:uid="{00000000-0005-0000-0000-000014150000}"/>
    <cellStyle name="row 2 4 2 4" xfId="5378" xr:uid="{00000000-0005-0000-0000-000015150000}"/>
    <cellStyle name="row 2 4 2 5" xfId="5379" xr:uid="{00000000-0005-0000-0000-000016150000}"/>
    <cellStyle name="row 2 4 2_Tertiary Salaries Survey" xfId="5380" xr:uid="{00000000-0005-0000-0000-000017150000}"/>
    <cellStyle name="row 2 4 3" xfId="5381" xr:uid="{00000000-0005-0000-0000-000018150000}"/>
    <cellStyle name="row 2 4 3 2" xfId="5382" xr:uid="{00000000-0005-0000-0000-000019150000}"/>
    <cellStyle name="row 2 4 3 2 2" xfId="5383" xr:uid="{00000000-0005-0000-0000-00001A150000}"/>
    <cellStyle name="row 2 4 3 2_Tertiary Salaries Survey" xfId="5384" xr:uid="{00000000-0005-0000-0000-00001B150000}"/>
    <cellStyle name="row 2 4 3 3" xfId="5385" xr:uid="{00000000-0005-0000-0000-00001C150000}"/>
    <cellStyle name="row 2 4 3 3 2" xfId="5386" xr:uid="{00000000-0005-0000-0000-00001D150000}"/>
    <cellStyle name="row 2 4 3 3_Tertiary Salaries Survey" xfId="5387" xr:uid="{00000000-0005-0000-0000-00001E150000}"/>
    <cellStyle name="row 2 4 3 4" xfId="5388" xr:uid="{00000000-0005-0000-0000-00001F150000}"/>
    <cellStyle name="row 2 4 3 5" xfId="5389" xr:uid="{00000000-0005-0000-0000-000020150000}"/>
    <cellStyle name="row 2 4 3 6" xfId="5390" xr:uid="{00000000-0005-0000-0000-000021150000}"/>
    <cellStyle name="row 2 4 3_Tertiary Salaries Survey" xfId="5391" xr:uid="{00000000-0005-0000-0000-000022150000}"/>
    <cellStyle name="row 2 4 4" xfId="5392" xr:uid="{00000000-0005-0000-0000-000023150000}"/>
    <cellStyle name="row 2 4 4 2" xfId="5393" xr:uid="{00000000-0005-0000-0000-000024150000}"/>
    <cellStyle name="row 2 4 4 2 2" xfId="5394" xr:uid="{00000000-0005-0000-0000-000025150000}"/>
    <cellStyle name="row 2 4 4 2_Tertiary Salaries Survey" xfId="5395" xr:uid="{00000000-0005-0000-0000-000026150000}"/>
    <cellStyle name="row 2 4 4 3" xfId="5396" xr:uid="{00000000-0005-0000-0000-000027150000}"/>
    <cellStyle name="row 2 4 4 3 2" xfId="5397" xr:uid="{00000000-0005-0000-0000-000028150000}"/>
    <cellStyle name="row 2 4 4 3_Tertiary Salaries Survey" xfId="5398" xr:uid="{00000000-0005-0000-0000-000029150000}"/>
    <cellStyle name="row 2 4 4 4" xfId="5399" xr:uid="{00000000-0005-0000-0000-00002A150000}"/>
    <cellStyle name="row 2 4 4 5" xfId="5400" xr:uid="{00000000-0005-0000-0000-00002B150000}"/>
    <cellStyle name="row 2 4 4 6" xfId="5401" xr:uid="{00000000-0005-0000-0000-00002C150000}"/>
    <cellStyle name="row 2 4 4_Tertiary Salaries Survey" xfId="5402" xr:uid="{00000000-0005-0000-0000-00002D150000}"/>
    <cellStyle name="row 2 4 5" xfId="5403" xr:uid="{00000000-0005-0000-0000-00002E150000}"/>
    <cellStyle name="row 2 4 5 2" xfId="5404" xr:uid="{00000000-0005-0000-0000-00002F150000}"/>
    <cellStyle name="row 2 4 5 2 2" xfId="5405" xr:uid="{00000000-0005-0000-0000-000030150000}"/>
    <cellStyle name="row 2 4 5 2_Tertiary Salaries Survey" xfId="5406" xr:uid="{00000000-0005-0000-0000-000031150000}"/>
    <cellStyle name="row 2 4 5 3" xfId="5407" xr:uid="{00000000-0005-0000-0000-000032150000}"/>
    <cellStyle name="row 2 4 5 3 2" xfId="5408" xr:uid="{00000000-0005-0000-0000-000033150000}"/>
    <cellStyle name="row 2 4 5 3_Tertiary Salaries Survey" xfId="5409" xr:uid="{00000000-0005-0000-0000-000034150000}"/>
    <cellStyle name="row 2 4 5 4" xfId="5410" xr:uid="{00000000-0005-0000-0000-000035150000}"/>
    <cellStyle name="row 2 4 5 5" xfId="5411" xr:uid="{00000000-0005-0000-0000-000036150000}"/>
    <cellStyle name="row 2 4 5 6" xfId="5412" xr:uid="{00000000-0005-0000-0000-000037150000}"/>
    <cellStyle name="row 2 4 5_Tertiary Salaries Survey" xfId="5413" xr:uid="{00000000-0005-0000-0000-000038150000}"/>
    <cellStyle name="row 2 4 6" xfId="5414" xr:uid="{00000000-0005-0000-0000-000039150000}"/>
    <cellStyle name="row 2 4 6 2" xfId="5415" xr:uid="{00000000-0005-0000-0000-00003A150000}"/>
    <cellStyle name="row 2 4 6 2 2" xfId="5416" xr:uid="{00000000-0005-0000-0000-00003B150000}"/>
    <cellStyle name="row 2 4 6 2_Tertiary Salaries Survey" xfId="5417" xr:uid="{00000000-0005-0000-0000-00003C150000}"/>
    <cellStyle name="row 2 4 6 3" xfId="5418" xr:uid="{00000000-0005-0000-0000-00003D150000}"/>
    <cellStyle name="row 2 4 6 3 2" xfId="5419" xr:uid="{00000000-0005-0000-0000-00003E150000}"/>
    <cellStyle name="row 2 4 6 3_Tertiary Salaries Survey" xfId="5420" xr:uid="{00000000-0005-0000-0000-00003F150000}"/>
    <cellStyle name="row 2 4 6 4" xfId="5421" xr:uid="{00000000-0005-0000-0000-000040150000}"/>
    <cellStyle name="row 2 4 6 5" xfId="5422" xr:uid="{00000000-0005-0000-0000-000041150000}"/>
    <cellStyle name="row 2 4 6 6" xfId="5423" xr:uid="{00000000-0005-0000-0000-000042150000}"/>
    <cellStyle name="row 2 4 6_Tertiary Salaries Survey" xfId="5424" xr:uid="{00000000-0005-0000-0000-000043150000}"/>
    <cellStyle name="row 2 4 7" xfId="5425" xr:uid="{00000000-0005-0000-0000-000044150000}"/>
    <cellStyle name="row 2 4 8" xfId="5426" xr:uid="{00000000-0005-0000-0000-000045150000}"/>
    <cellStyle name="row 2 4 9" xfId="5427" xr:uid="{00000000-0005-0000-0000-000046150000}"/>
    <cellStyle name="row 2 4_STUD aligned by INSTIT" xfId="5428" xr:uid="{00000000-0005-0000-0000-000047150000}"/>
    <cellStyle name="row 2 5" xfId="5429" xr:uid="{00000000-0005-0000-0000-000048150000}"/>
    <cellStyle name="row 2 5 10" xfId="5430" xr:uid="{00000000-0005-0000-0000-000049150000}"/>
    <cellStyle name="row 2 5 2" xfId="5431" xr:uid="{00000000-0005-0000-0000-00004A150000}"/>
    <cellStyle name="row 2 5 2 2" xfId="5432" xr:uid="{00000000-0005-0000-0000-00004B150000}"/>
    <cellStyle name="row 2 5 2 2 2" xfId="5433" xr:uid="{00000000-0005-0000-0000-00004C150000}"/>
    <cellStyle name="row 2 5 2 2_Tertiary Salaries Survey" xfId="5434" xr:uid="{00000000-0005-0000-0000-00004D150000}"/>
    <cellStyle name="row 2 5 2 3" xfId="5435" xr:uid="{00000000-0005-0000-0000-00004E150000}"/>
    <cellStyle name="row 2 5 2 3 2" xfId="5436" xr:uid="{00000000-0005-0000-0000-00004F150000}"/>
    <cellStyle name="row 2 5 2 3_Tertiary Salaries Survey" xfId="5437" xr:uid="{00000000-0005-0000-0000-000050150000}"/>
    <cellStyle name="row 2 5 2 4" xfId="5438" xr:uid="{00000000-0005-0000-0000-000051150000}"/>
    <cellStyle name="row 2 5 2 5" xfId="5439" xr:uid="{00000000-0005-0000-0000-000052150000}"/>
    <cellStyle name="row 2 5 2_Tertiary Salaries Survey" xfId="5440" xr:uid="{00000000-0005-0000-0000-000053150000}"/>
    <cellStyle name="row 2 5 3" xfId="5441" xr:uid="{00000000-0005-0000-0000-000054150000}"/>
    <cellStyle name="row 2 5 3 2" xfId="5442" xr:uid="{00000000-0005-0000-0000-000055150000}"/>
    <cellStyle name="row 2 5 3 2 2" xfId="5443" xr:uid="{00000000-0005-0000-0000-000056150000}"/>
    <cellStyle name="row 2 5 3 2_Tertiary Salaries Survey" xfId="5444" xr:uid="{00000000-0005-0000-0000-000057150000}"/>
    <cellStyle name="row 2 5 3 3" xfId="5445" xr:uid="{00000000-0005-0000-0000-000058150000}"/>
    <cellStyle name="row 2 5 3 3 2" xfId="5446" xr:uid="{00000000-0005-0000-0000-000059150000}"/>
    <cellStyle name="row 2 5 3 3_Tertiary Salaries Survey" xfId="5447" xr:uid="{00000000-0005-0000-0000-00005A150000}"/>
    <cellStyle name="row 2 5 3 4" xfId="5448" xr:uid="{00000000-0005-0000-0000-00005B150000}"/>
    <cellStyle name="row 2 5 3 5" xfId="5449" xr:uid="{00000000-0005-0000-0000-00005C150000}"/>
    <cellStyle name="row 2 5 3 6" xfId="5450" xr:uid="{00000000-0005-0000-0000-00005D150000}"/>
    <cellStyle name="row 2 5 3 7" xfId="5451" xr:uid="{00000000-0005-0000-0000-00005E150000}"/>
    <cellStyle name="row 2 5 3_Tertiary Salaries Survey" xfId="5452" xr:uid="{00000000-0005-0000-0000-00005F150000}"/>
    <cellStyle name="row 2 5 4" xfId="5453" xr:uid="{00000000-0005-0000-0000-000060150000}"/>
    <cellStyle name="row 2 5 4 2" xfId="5454" xr:uid="{00000000-0005-0000-0000-000061150000}"/>
    <cellStyle name="row 2 5 4 2 2" xfId="5455" xr:uid="{00000000-0005-0000-0000-000062150000}"/>
    <cellStyle name="row 2 5 4 2_Tertiary Salaries Survey" xfId="5456" xr:uid="{00000000-0005-0000-0000-000063150000}"/>
    <cellStyle name="row 2 5 4 3" xfId="5457" xr:uid="{00000000-0005-0000-0000-000064150000}"/>
    <cellStyle name="row 2 5 4 3 2" xfId="5458" xr:uid="{00000000-0005-0000-0000-000065150000}"/>
    <cellStyle name="row 2 5 4 3_Tertiary Salaries Survey" xfId="5459" xr:uid="{00000000-0005-0000-0000-000066150000}"/>
    <cellStyle name="row 2 5 4 4" xfId="5460" xr:uid="{00000000-0005-0000-0000-000067150000}"/>
    <cellStyle name="row 2 5 4 5" xfId="5461" xr:uid="{00000000-0005-0000-0000-000068150000}"/>
    <cellStyle name="row 2 5 4 6" xfId="5462" xr:uid="{00000000-0005-0000-0000-000069150000}"/>
    <cellStyle name="row 2 5 4_Tertiary Salaries Survey" xfId="5463" xr:uid="{00000000-0005-0000-0000-00006A150000}"/>
    <cellStyle name="row 2 5 5" xfId="5464" xr:uid="{00000000-0005-0000-0000-00006B150000}"/>
    <cellStyle name="row 2 5 5 2" xfId="5465" xr:uid="{00000000-0005-0000-0000-00006C150000}"/>
    <cellStyle name="row 2 5 5 2 2" xfId="5466" xr:uid="{00000000-0005-0000-0000-00006D150000}"/>
    <cellStyle name="row 2 5 5 2_Tertiary Salaries Survey" xfId="5467" xr:uid="{00000000-0005-0000-0000-00006E150000}"/>
    <cellStyle name="row 2 5 5 3" xfId="5468" xr:uid="{00000000-0005-0000-0000-00006F150000}"/>
    <cellStyle name="row 2 5 5 3 2" xfId="5469" xr:uid="{00000000-0005-0000-0000-000070150000}"/>
    <cellStyle name="row 2 5 5 3_Tertiary Salaries Survey" xfId="5470" xr:uid="{00000000-0005-0000-0000-000071150000}"/>
    <cellStyle name="row 2 5 5 4" xfId="5471" xr:uid="{00000000-0005-0000-0000-000072150000}"/>
    <cellStyle name="row 2 5 5 5" xfId="5472" xr:uid="{00000000-0005-0000-0000-000073150000}"/>
    <cellStyle name="row 2 5 5 6" xfId="5473" xr:uid="{00000000-0005-0000-0000-000074150000}"/>
    <cellStyle name="row 2 5 5_Tertiary Salaries Survey" xfId="5474" xr:uid="{00000000-0005-0000-0000-000075150000}"/>
    <cellStyle name="row 2 5 6" xfId="5475" xr:uid="{00000000-0005-0000-0000-000076150000}"/>
    <cellStyle name="row 2 5 6 2" xfId="5476" xr:uid="{00000000-0005-0000-0000-000077150000}"/>
    <cellStyle name="row 2 5 6 2 2" xfId="5477" xr:uid="{00000000-0005-0000-0000-000078150000}"/>
    <cellStyle name="row 2 5 6 2_Tertiary Salaries Survey" xfId="5478" xr:uid="{00000000-0005-0000-0000-000079150000}"/>
    <cellStyle name="row 2 5 6 3" xfId="5479" xr:uid="{00000000-0005-0000-0000-00007A150000}"/>
    <cellStyle name="row 2 5 6 3 2" xfId="5480" xr:uid="{00000000-0005-0000-0000-00007B150000}"/>
    <cellStyle name="row 2 5 6 3_Tertiary Salaries Survey" xfId="5481" xr:uid="{00000000-0005-0000-0000-00007C150000}"/>
    <cellStyle name="row 2 5 6 4" xfId="5482" xr:uid="{00000000-0005-0000-0000-00007D150000}"/>
    <cellStyle name="row 2 5 6 5" xfId="5483" xr:uid="{00000000-0005-0000-0000-00007E150000}"/>
    <cellStyle name="row 2 5 6 6" xfId="5484" xr:uid="{00000000-0005-0000-0000-00007F150000}"/>
    <cellStyle name="row 2 5 6_Tertiary Salaries Survey" xfId="5485" xr:uid="{00000000-0005-0000-0000-000080150000}"/>
    <cellStyle name="row 2 5 7" xfId="5486" xr:uid="{00000000-0005-0000-0000-000081150000}"/>
    <cellStyle name="row 2 5 7 2" xfId="5487" xr:uid="{00000000-0005-0000-0000-000082150000}"/>
    <cellStyle name="row 2 5 7_Tertiary Salaries Survey" xfId="5488" xr:uid="{00000000-0005-0000-0000-000083150000}"/>
    <cellStyle name="row 2 5 8" xfId="5489" xr:uid="{00000000-0005-0000-0000-000084150000}"/>
    <cellStyle name="row 2 5 8 2" xfId="5490" xr:uid="{00000000-0005-0000-0000-000085150000}"/>
    <cellStyle name="row 2 5 8_Tertiary Salaries Survey" xfId="5491" xr:uid="{00000000-0005-0000-0000-000086150000}"/>
    <cellStyle name="row 2 5 9" xfId="5492" xr:uid="{00000000-0005-0000-0000-000087150000}"/>
    <cellStyle name="row 2 5_STUD aligned by INSTIT" xfId="5493" xr:uid="{00000000-0005-0000-0000-000088150000}"/>
    <cellStyle name="row 2 6" xfId="5494" xr:uid="{00000000-0005-0000-0000-000089150000}"/>
    <cellStyle name="row 2 6 10" xfId="5495" xr:uid="{00000000-0005-0000-0000-00008A150000}"/>
    <cellStyle name="row 2 6 2" xfId="5496" xr:uid="{00000000-0005-0000-0000-00008B150000}"/>
    <cellStyle name="row 2 6 2 2" xfId="5497" xr:uid="{00000000-0005-0000-0000-00008C150000}"/>
    <cellStyle name="row 2 6 2 2 2" xfId="5498" xr:uid="{00000000-0005-0000-0000-00008D150000}"/>
    <cellStyle name="row 2 6 2 2_Tertiary Salaries Survey" xfId="5499" xr:uid="{00000000-0005-0000-0000-00008E150000}"/>
    <cellStyle name="row 2 6 2 3" xfId="5500" xr:uid="{00000000-0005-0000-0000-00008F150000}"/>
    <cellStyle name="row 2 6 2 3 2" xfId="5501" xr:uid="{00000000-0005-0000-0000-000090150000}"/>
    <cellStyle name="row 2 6 2 3_Tertiary Salaries Survey" xfId="5502" xr:uid="{00000000-0005-0000-0000-000091150000}"/>
    <cellStyle name="row 2 6 2 4" xfId="5503" xr:uid="{00000000-0005-0000-0000-000092150000}"/>
    <cellStyle name="row 2 6 2 5" xfId="5504" xr:uid="{00000000-0005-0000-0000-000093150000}"/>
    <cellStyle name="row 2 6 2_Tertiary Salaries Survey" xfId="5505" xr:uid="{00000000-0005-0000-0000-000094150000}"/>
    <cellStyle name="row 2 6 3" xfId="5506" xr:uid="{00000000-0005-0000-0000-000095150000}"/>
    <cellStyle name="row 2 6 3 2" xfId="5507" xr:uid="{00000000-0005-0000-0000-000096150000}"/>
    <cellStyle name="row 2 6 3 2 2" xfId="5508" xr:uid="{00000000-0005-0000-0000-000097150000}"/>
    <cellStyle name="row 2 6 3 2_Tertiary Salaries Survey" xfId="5509" xr:uid="{00000000-0005-0000-0000-000098150000}"/>
    <cellStyle name="row 2 6 3 3" xfId="5510" xr:uid="{00000000-0005-0000-0000-000099150000}"/>
    <cellStyle name="row 2 6 3 3 2" xfId="5511" xr:uid="{00000000-0005-0000-0000-00009A150000}"/>
    <cellStyle name="row 2 6 3 3_Tertiary Salaries Survey" xfId="5512" xr:uid="{00000000-0005-0000-0000-00009B150000}"/>
    <cellStyle name="row 2 6 3 4" xfId="5513" xr:uid="{00000000-0005-0000-0000-00009C150000}"/>
    <cellStyle name="row 2 6 3 5" xfId="5514" xr:uid="{00000000-0005-0000-0000-00009D150000}"/>
    <cellStyle name="row 2 6 3 6" xfId="5515" xr:uid="{00000000-0005-0000-0000-00009E150000}"/>
    <cellStyle name="row 2 6 3 7" xfId="5516" xr:uid="{00000000-0005-0000-0000-00009F150000}"/>
    <cellStyle name="row 2 6 3_Tertiary Salaries Survey" xfId="5517" xr:uid="{00000000-0005-0000-0000-0000A0150000}"/>
    <cellStyle name="row 2 6 4" xfId="5518" xr:uid="{00000000-0005-0000-0000-0000A1150000}"/>
    <cellStyle name="row 2 6 4 2" xfId="5519" xr:uid="{00000000-0005-0000-0000-0000A2150000}"/>
    <cellStyle name="row 2 6 4 2 2" xfId="5520" xr:uid="{00000000-0005-0000-0000-0000A3150000}"/>
    <cellStyle name="row 2 6 4 2_Tertiary Salaries Survey" xfId="5521" xr:uid="{00000000-0005-0000-0000-0000A4150000}"/>
    <cellStyle name="row 2 6 4 3" xfId="5522" xr:uid="{00000000-0005-0000-0000-0000A5150000}"/>
    <cellStyle name="row 2 6 4 3 2" xfId="5523" xr:uid="{00000000-0005-0000-0000-0000A6150000}"/>
    <cellStyle name="row 2 6 4 3_Tertiary Salaries Survey" xfId="5524" xr:uid="{00000000-0005-0000-0000-0000A7150000}"/>
    <cellStyle name="row 2 6 4 4" xfId="5525" xr:uid="{00000000-0005-0000-0000-0000A8150000}"/>
    <cellStyle name="row 2 6 4 5" xfId="5526" xr:uid="{00000000-0005-0000-0000-0000A9150000}"/>
    <cellStyle name="row 2 6 4 6" xfId="5527" xr:uid="{00000000-0005-0000-0000-0000AA150000}"/>
    <cellStyle name="row 2 6 4_Tertiary Salaries Survey" xfId="5528" xr:uid="{00000000-0005-0000-0000-0000AB150000}"/>
    <cellStyle name="row 2 6 5" xfId="5529" xr:uid="{00000000-0005-0000-0000-0000AC150000}"/>
    <cellStyle name="row 2 6 5 2" xfId="5530" xr:uid="{00000000-0005-0000-0000-0000AD150000}"/>
    <cellStyle name="row 2 6 5 2 2" xfId="5531" xr:uid="{00000000-0005-0000-0000-0000AE150000}"/>
    <cellStyle name="row 2 6 5 2_Tertiary Salaries Survey" xfId="5532" xr:uid="{00000000-0005-0000-0000-0000AF150000}"/>
    <cellStyle name="row 2 6 5 3" xfId="5533" xr:uid="{00000000-0005-0000-0000-0000B0150000}"/>
    <cellStyle name="row 2 6 5 3 2" xfId="5534" xr:uid="{00000000-0005-0000-0000-0000B1150000}"/>
    <cellStyle name="row 2 6 5 3_Tertiary Salaries Survey" xfId="5535" xr:uid="{00000000-0005-0000-0000-0000B2150000}"/>
    <cellStyle name="row 2 6 5 4" xfId="5536" xr:uid="{00000000-0005-0000-0000-0000B3150000}"/>
    <cellStyle name="row 2 6 5 5" xfId="5537" xr:uid="{00000000-0005-0000-0000-0000B4150000}"/>
    <cellStyle name="row 2 6 5 6" xfId="5538" xr:uid="{00000000-0005-0000-0000-0000B5150000}"/>
    <cellStyle name="row 2 6 5_Tertiary Salaries Survey" xfId="5539" xr:uid="{00000000-0005-0000-0000-0000B6150000}"/>
    <cellStyle name="row 2 6 6" xfId="5540" xr:uid="{00000000-0005-0000-0000-0000B7150000}"/>
    <cellStyle name="row 2 6 6 2" xfId="5541" xr:uid="{00000000-0005-0000-0000-0000B8150000}"/>
    <cellStyle name="row 2 6 6 2 2" xfId="5542" xr:uid="{00000000-0005-0000-0000-0000B9150000}"/>
    <cellStyle name="row 2 6 6 2_Tertiary Salaries Survey" xfId="5543" xr:uid="{00000000-0005-0000-0000-0000BA150000}"/>
    <cellStyle name="row 2 6 6 3" xfId="5544" xr:uid="{00000000-0005-0000-0000-0000BB150000}"/>
    <cellStyle name="row 2 6 6 3 2" xfId="5545" xr:uid="{00000000-0005-0000-0000-0000BC150000}"/>
    <cellStyle name="row 2 6 6 3_Tertiary Salaries Survey" xfId="5546" xr:uid="{00000000-0005-0000-0000-0000BD150000}"/>
    <cellStyle name="row 2 6 6 4" xfId="5547" xr:uid="{00000000-0005-0000-0000-0000BE150000}"/>
    <cellStyle name="row 2 6 6 5" xfId="5548" xr:uid="{00000000-0005-0000-0000-0000BF150000}"/>
    <cellStyle name="row 2 6 6 6" xfId="5549" xr:uid="{00000000-0005-0000-0000-0000C0150000}"/>
    <cellStyle name="row 2 6 6_Tertiary Salaries Survey" xfId="5550" xr:uid="{00000000-0005-0000-0000-0000C1150000}"/>
    <cellStyle name="row 2 6 7" xfId="5551" xr:uid="{00000000-0005-0000-0000-0000C2150000}"/>
    <cellStyle name="row 2 6 7 2" xfId="5552" xr:uid="{00000000-0005-0000-0000-0000C3150000}"/>
    <cellStyle name="row 2 6 7_Tertiary Salaries Survey" xfId="5553" xr:uid="{00000000-0005-0000-0000-0000C4150000}"/>
    <cellStyle name="row 2 6 8" xfId="5554" xr:uid="{00000000-0005-0000-0000-0000C5150000}"/>
    <cellStyle name="row 2 6 8 2" xfId="5555" xr:uid="{00000000-0005-0000-0000-0000C6150000}"/>
    <cellStyle name="row 2 6 8_Tertiary Salaries Survey" xfId="5556" xr:uid="{00000000-0005-0000-0000-0000C7150000}"/>
    <cellStyle name="row 2 6 9" xfId="5557" xr:uid="{00000000-0005-0000-0000-0000C8150000}"/>
    <cellStyle name="row 2 6_STUD aligned by INSTIT" xfId="5558" xr:uid="{00000000-0005-0000-0000-0000C9150000}"/>
    <cellStyle name="row 2 7" xfId="5559" xr:uid="{00000000-0005-0000-0000-0000CA150000}"/>
    <cellStyle name="row 2 7 2" xfId="5560" xr:uid="{00000000-0005-0000-0000-0000CB150000}"/>
    <cellStyle name="row 2 7 3" xfId="5561" xr:uid="{00000000-0005-0000-0000-0000CC150000}"/>
    <cellStyle name="row 2 7 4" xfId="5562" xr:uid="{00000000-0005-0000-0000-0000CD150000}"/>
    <cellStyle name="row 2 7 5" xfId="5563" xr:uid="{00000000-0005-0000-0000-0000CE150000}"/>
    <cellStyle name="row 2 7_Tertiary Salaries Survey" xfId="5564" xr:uid="{00000000-0005-0000-0000-0000CF150000}"/>
    <cellStyle name="row 2 8" xfId="5565" xr:uid="{00000000-0005-0000-0000-0000D0150000}"/>
    <cellStyle name="row 2 8 2" xfId="5566" xr:uid="{00000000-0005-0000-0000-0000D1150000}"/>
    <cellStyle name="row 2 8 2 2" xfId="5567" xr:uid="{00000000-0005-0000-0000-0000D2150000}"/>
    <cellStyle name="row 2 8 2_Tertiary Salaries Survey" xfId="5568" xr:uid="{00000000-0005-0000-0000-0000D3150000}"/>
    <cellStyle name="row 2 8 3" xfId="5569" xr:uid="{00000000-0005-0000-0000-0000D4150000}"/>
    <cellStyle name="row 2 8 3 2" xfId="5570" xr:uid="{00000000-0005-0000-0000-0000D5150000}"/>
    <cellStyle name="row 2 8 3_Tertiary Salaries Survey" xfId="5571" xr:uid="{00000000-0005-0000-0000-0000D6150000}"/>
    <cellStyle name="row 2 8 4" xfId="5572" xr:uid="{00000000-0005-0000-0000-0000D7150000}"/>
    <cellStyle name="row 2 8 5" xfId="5573" xr:uid="{00000000-0005-0000-0000-0000D8150000}"/>
    <cellStyle name="row 2 8 6" xfId="5574" xr:uid="{00000000-0005-0000-0000-0000D9150000}"/>
    <cellStyle name="row 2 8_Tertiary Salaries Survey" xfId="5575" xr:uid="{00000000-0005-0000-0000-0000DA150000}"/>
    <cellStyle name="row 2 9" xfId="5576" xr:uid="{00000000-0005-0000-0000-0000DB150000}"/>
    <cellStyle name="row 2 9 2" xfId="5577" xr:uid="{00000000-0005-0000-0000-0000DC150000}"/>
    <cellStyle name="row 2 9 2 2" xfId="5578" xr:uid="{00000000-0005-0000-0000-0000DD150000}"/>
    <cellStyle name="row 2 9 2_Tertiary Salaries Survey" xfId="5579" xr:uid="{00000000-0005-0000-0000-0000DE150000}"/>
    <cellStyle name="row 2 9 3" xfId="5580" xr:uid="{00000000-0005-0000-0000-0000DF150000}"/>
    <cellStyle name="row 2 9 3 2" xfId="5581" xr:uid="{00000000-0005-0000-0000-0000E0150000}"/>
    <cellStyle name="row 2 9 3_Tertiary Salaries Survey" xfId="5582" xr:uid="{00000000-0005-0000-0000-0000E1150000}"/>
    <cellStyle name="row 2 9 4" xfId="5583" xr:uid="{00000000-0005-0000-0000-0000E2150000}"/>
    <cellStyle name="row 2 9 5" xfId="5584" xr:uid="{00000000-0005-0000-0000-0000E3150000}"/>
    <cellStyle name="row 2 9 6" xfId="5585" xr:uid="{00000000-0005-0000-0000-0000E4150000}"/>
    <cellStyle name="row 2 9_Tertiary Salaries Survey" xfId="5586" xr:uid="{00000000-0005-0000-0000-0000E5150000}"/>
    <cellStyle name="row 2_STUD aligned by INSTIT" xfId="5587" xr:uid="{00000000-0005-0000-0000-0000E6150000}"/>
    <cellStyle name="row 3" xfId="5588" xr:uid="{00000000-0005-0000-0000-0000E7150000}"/>
    <cellStyle name="row 3 2" xfId="5589" xr:uid="{00000000-0005-0000-0000-0000E8150000}"/>
    <cellStyle name="row 3 2 2" xfId="5590" xr:uid="{00000000-0005-0000-0000-0000E9150000}"/>
    <cellStyle name="row 3 2 2 2" xfId="5591" xr:uid="{00000000-0005-0000-0000-0000EA150000}"/>
    <cellStyle name="row 3 2 2 3" xfId="5592" xr:uid="{00000000-0005-0000-0000-0000EB150000}"/>
    <cellStyle name="row 3 2 2 4" xfId="5593" xr:uid="{00000000-0005-0000-0000-0000EC150000}"/>
    <cellStyle name="row 3 2 2 5" xfId="5594" xr:uid="{00000000-0005-0000-0000-0000ED150000}"/>
    <cellStyle name="row 3 2 2_Tertiary Salaries Survey" xfId="5595" xr:uid="{00000000-0005-0000-0000-0000EE150000}"/>
    <cellStyle name="row 3 2 3" xfId="5596" xr:uid="{00000000-0005-0000-0000-0000EF150000}"/>
    <cellStyle name="row 3 2 4" xfId="5597" xr:uid="{00000000-0005-0000-0000-0000F0150000}"/>
    <cellStyle name="row 3 2 5" xfId="5598" xr:uid="{00000000-0005-0000-0000-0000F1150000}"/>
    <cellStyle name="row 3 2 6" xfId="5599" xr:uid="{00000000-0005-0000-0000-0000F2150000}"/>
    <cellStyle name="row 3 2_STUD aligned by INSTIT" xfId="5600" xr:uid="{00000000-0005-0000-0000-0000F3150000}"/>
    <cellStyle name="row 3 3" xfId="5601" xr:uid="{00000000-0005-0000-0000-0000F4150000}"/>
    <cellStyle name="row 3 3 2" xfId="5602" xr:uid="{00000000-0005-0000-0000-0000F5150000}"/>
    <cellStyle name="row 3 3 3" xfId="5603" xr:uid="{00000000-0005-0000-0000-0000F6150000}"/>
    <cellStyle name="row 3 3 4" xfId="5604" xr:uid="{00000000-0005-0000-0000-0000F7150000}"/>
    <cellStyle name="row 3 3 5" xfId="5605" xr:uid="{00000000-0005-0000-0000-0000F8150000}"/>
    <cellStyle name="row 3 3_Tertiary Salaries Survey" xfId="5606" xr:uid="{00000000-0005-0000-0000-0000F9150000}"/>
    <cellStyle name="row 3 4" xfId="5607" xr:uid="{00000000-0005-0000-0000-0000FA150000}"/>
    <cellStyle name="row 3 5" xfId="5608" xr:uid="{00000000-0005-0000-0000-0000FB150000}"/>
    <cellStyle name="row 3 6" xfId="5609" xr:uid="{00000000-0005-0000-0000-0000FC150000}"/>
    <cellStyle name="row 3 7" xfId="5610" xr:uid="{00000000-0005-0000-0000-0000FD150000}"/>
    <cellStyle name="row 3 8" xfId="5611" xr:uid="{00000000-0005-0000-0000-0000FE150000}"/>
    <cellStyle name="row 3_STUD aligned by INSTIT" xfId="5612" xr:uid="{00000000-0005-0000-0000-0000FF150000}"/>
    <cellStyle name="row 4" xfId="5613" xr:uid="{00000000-0005-0000-0000-000000160000}"/>
    <cellStyle name="row 4 2" xfId="5614" xr:uid="{00000000-0005-0000-0000-000001160000}"/>
    <cellStyle name="row 4 2 2" xfId="5615" xr:uid="{00000000-0005-0000-0000-000002160000}"/>
    <cellStyle name="row 4 2 2 2" xfId="5616" xr:uid="{00000000-0005-0000-0000-000003160000}"/>
    <cellStyle name="row 4 2 2 3" xfId="5617" xr:uid="{00000000-0005-0000-0000-000004160000}"/>
    <cellStyle name="row 4 2 2 4" xfId="5618" xr:uid="{00000000-0005-0000-0000-000005160000}"/>
    <cellStyle name="row 4 2 2 5" xfId="5619" xr:uid="{00000000-0005-0000-0000-000006160000}"/>
    <cellStyle name="row 4 2 2_Tertiary Salaries Survey" xfId="5620" xr:uid="{00000000-0005-0000-0000-000007160000}"/>
    <cellStyle name="row 4 2 3" xfId="5621" xr:uid="{00000000-0005-0000-0000-000008160000}"/>
    <cellStyle name="row 4 2 4" xfId="5622" xr:uid="{00000000-0005-0000-0000-000009160000}"/>
    <cellStyle name="row 4 2 5" xfId="5623" xr:uid="{00000000-0005-0000-0000-00000A160000}"/>
    <cellStyle name="row 4 2 6" xfId="5624" xr:uid="{00000000-0005-0000-0000-00000B160000}"/>
    <cellStyle name="row 4 2_STUD aligned by INSTIT" xfId="5625" xr:uid="{00000000-0005-0000-0000-00000C160000}"/>
    <cellStyle name="row 4 3" xfId="5626" xr:uid="{00000000-0005-0000-0000-00000D160000}"/>
    <cellStyle name="row 4 3 2" xfId="5627" xr:uid="{00000000-0005-0000-0000-00000E160000}"/>
    <cellStyle name="row 4 3 3" xfId="5628" xr:uid="{00000000-0005-0000-0000-00000F160000}"/>
    <cellStyle name="row 4 3 4" xfId="5629" xr:uid="{00000000-0005-0000-0000-000010160000}"/>
    <cellStyle name="row 4 3 5" xfId="5630" xr:uid="{00000000-0005-0000-0000-000011160000}"/>
    <cellStyle name="row 4 3_Tertiary Salaries Survey" xfId="5631" xr:uid="{00000000-0005-0000-0000-000012160000}"/>
    <cellStyle name="row 4 4" xfId="5632" xr:uid="{00000000-0005-0000-0000-000013160000}"/>
    <cellStyle name="row 4 5" xfId="5633" xr:uid="{00000000-0005-0000-0000-000014160000}"/>
    <cellStyle name="row 4 6" xfId="5634" xr:uid="{00000000-0005-0000-0000-000015160000}"/>
    <cellStyle name="row 4 7" xfId="5635" xr:uid="{00000000-0005-0000-0000-000016160000}"/>
    <cellStyle name="row 4 8" xfId="5636" xr:uid="{00000000-0005-0000-0000-000017160000}"/>
    <cellStyle name="row 4_STUD aligned by INSTIT" xfId="5637" xr:uid="{00000000-0005-0000-0000-000018160000}"/>
    <cellStyle name="row 5" xfId="5638" xr:uid="{00000000-0005-0000-0000-000019160000}"/>
    <cellStyle name="row 5 10" xfId="5639" xr:uid="{00000000-0005-0000-0000-00001A160000}"/>
    <cellStyle name="row 5 2" xfId="5640" xr:uid="{00000000-0005-0000-0000-00001B160000}"/>
    <cellStyle name="row 5 2 2" xfId="5641" xr:uid="{00000000-0005-0000-0000-00001C160000}"/>
    <cellStyle name="row 5 2 3" xfId="5642" xr:uid="{00000000-0005-0000-0000-00001D160000}"/>
    <cellStyle name="row 5 2 4" xfId="5643" xr:uid="{00000000-0005-0000-0000-00001E160000}"/>
    <cellStyle name="row 5 2 5" xfId="5644" xr:uid="{00000000-0005-0000-0000-00001F160000}"/>
    <cellStyle name="row 5 2_Tertiary Salaries Survey" xfId="5645" xr:uid="{00000000-0005-0000-0000-000020160000}"/>
    <cellStyle name="row 5 3" xfId="5646" xr:uid="{00000000-0005-0000-0000-000021160000}"/>
    <cellStyle name="row 5 3 2" xfId="5647" xr:uid="{00000000-0005-0000-0000-000022160000}"/>
    <cellStyle name="row 5 3 2 2" xfId="5648" xr:uid="{00000000-0005-0000-0000-000023160000}"/>
    <cellStyle name="row 5 3 2_Tertiary Salaries Survey" xfId="5649" xr:uid="{00000000-0005-0000-0000-000024160000}"/>
    <cellStyle name="row 5 3 3" xfId="5650" xr:uid="{00000000-0005-0000-0000-000025160000}"/>
    <cellStyle name="row 5 3 3 2" xfId="5651" xr:uid="{00000000-0005-0000-0000-000026160000}"/>
    <cellStyle name="row 5 3 3_Tertiary Salaries Survey" xfId="5652" xr:uid="{00000000-0005-0000-0000-000027160000}"/>
    <cellStyle name="row 5 3 4" xfId="5653" xr:uid="{00000000-0005-0000-0000-000028160000}"/>
    <cellStyle name="row 5 3 5" xfId="5654" xr:uid="{00000000-0005-0000-0000-000029160000}"/>
    <cellStyle name="row 5 3 6" xfId="5655" xr:uid="{00000000-0005-0000-0000-00002A160000}"/>
    <cellStyle name="row 5 3_Tertiary Salaries Survey" xfId="5656" xr:uid="{00000000-0005-0000-0000-00002B160000}"/>
    <cellStyle name="row 5 4" xfId="5657" xr:uid="{00000000-0005-0000-0000-00002C160000}"/>
    <cellStyle name="row 5 4 2" xfId="5658" xr:uid="{00000000-0005-0000-0000-00002D160000}"/>
    <cellStyle name="row 5 4 2 2" xfId="5659" xr:uid="{00000000-0005-0000-0000-00002E160000}"/>
    <cellStyle name="row 5 4 2_Tertiary Salaries Survey" xfId="5660" xr:uid="{00000000-0005-0000-0000-00002F160000}"/>
    <cellStyle name="row 5 4 3" xfId="5661" xr:uid="{00000000-0005-0000-0000-000030160000}"/>
    <cellStyle name="row 5 4 3 2" xfId="5662" xr:uid="{00000000-0005-0000-0000-000031160000}"/>
    <cellStyle name="row 5 4 3_Tertiary Salaries Survey" xfId="5663" xr:uid="{00000000-0005-0000-0000-000032160000}"/>
    <cellStyle name="row 5 4 4" xfId="5664" xr:uid="{00000000-0005-0000-0000-000033160000}"/>
    <cellStyle name="row 5 4 5" xfId="5665" xr:uid="{00000000-0005-0000-0000-000034160000}"/>
    <cellStyle name="row 5 4 6" xfId="5666" xr:uid="{00000000-0005-0000-0000-000035160000}"/>
    <cellStyle name="row 5 4_Tertiary Salaries Survey" xfId="5667" xr:uid="{00000000-0005-0000-0000-000036160000}"/>
    <cellStyle name="row 5 5" xfId="5668" xr:uid="{00000000-0005-0000-0000-000037160000}"/>
    <cellStyle name="row 5 5 2" xfId="5669" xr:uid="{00000000-0005-0000-0000-000038160000}"/>
    <cellStyle name="row 5 5 2 2" xfId="5670" xr:uid="{00000000-0005-0000-0000-000039160000}"/>
    <cellStyle name="row 5 5 2_Tertiary Salaries Survey" xfId="5671" xr:uid="{00000000-0005-0000-0000-00003A160000}"/>
    <cellStyle name="row 5 5 3" xfId="5672" xr:uid="{00000000-0005-0000-0000-00003B160000}"/>
    <cellStyle name="row 5 5 3 2" xfId="5673" xr:uid="{00000000-0005-0000-0000-00003C160000}"/>
    <cellStyle name="row 5 5 3_Tertiary Salaries Survey" xfId="5674" xr:uid="{00000000-0005-0000-0000-00003D160000}"/>
    <cellStyle name="row 5 5 4" xfId="5675" xr:uid="{00000000-0005-0000-0000-00003E160000}"/>
    <cellStyle name="row 5 5 5" xfId="5676" xr:uid="{00000000-0005-0000-0000-00003F160000}"/>
    <cellStyle name="row 5 5 6" xfId="5677" xr:uid="{00000000-0005-0000-0000-000040160000}"/>
    <cellStyle name="row 5 5_Tertiary Salaries Survey" xfId="5678" xr:uid="{00000000-0005-0000-0000-000041160000}"/>
    <cellStyle name="row 5 6" xfId="5679" xr:uid="{00000000-0005-0000-0000-000042160000}"/>
    <cellStyle name="row 5 6 2" xfId="5680" xr:uid="{00000000-0005-0000-0000-000043160000}"/>
    <cellStyle name="row 5 6 2 2" xfId="5681" xr:uid="{00000000-0005-0000-0000-000044160000}"/>
    <cellStyle name="row 5 6 2_Tertiary Salaries Survey" xfId="5682" xr:uid="{00000000-0005-0000-0000-000045160000}"/>
    <cellStyle name="row 5 6 3" xfId="5683" xr:uid="{00000000-0005-0000-0000-000046160000}"/>
    <cellStyle name="row 5 6 3 2" xfId="5684" xr:uid="{00000000-0005-0000-0000-000047160000}"/>
    <cellStyle name="row 5 6 3_Tertiary Salaries Survey" xfId="5685" xr:uid="{00000000-0005-0000-0000-000048160000}"/>
    <cellStyle name="row 5 6 4" xfId="5686" xr:uid="{00000000-0005-0000-0000-000049160000}"/>
    <cellStyle name="row 5 6 5" xfId="5687" xr:uid="{00000000-0005-0000-0000-00004A160000}"/>
    <cellStyle name="row 5 6 6" xfId="5688" xr:uid="{00000000-0005-0000-0000-00004B160000}"/>
    <cellStyle name="row 5 6_Tertiary Salaries Survey" xfId="5689" xr:uid="{00000000-0005-0000-0000-00004C160000}"/>
    <cellStyle name="row 5 7" xfId="5690" xr:uid="{00000000-0005-0000-0000-00004D160000}"/>
    <cellStyle name="row 5 8" xfId="5691" xr:uid="{00000000-0005-0000-0000-00004E160000}"/>
    <cellStyle name="row 5 9" xfId="5692" xr:uid="{00000000-0005-0000-0000-00004F160000}"/>
    <cellStyle name="row 5_STUD aligned by INSTIT" xfId="5693" xr:uid="{00000000-0005-0000-0000-000050160000}"/>
    <cellStyle name="row 6" xfId="5694" xr:uid="{00000000-0005-0000-0000-000051160000}"/>
    <cellStyle name="row 6 10" xfId="5695" xr:uid="{00000000-0005-0000-0000-000052160000}"/>
    <cellStyle name="row 6 2" xfId="5696" xr:uid="{00000000-0005-0000-0000-000053160000}"/>
    <cellStyle name="row 6 2 2" xfId="5697" xr:uid="{00000000-0005-0000-0000-000054160000}"/>
    <cellStyle name="row 6 2 2 2" xfId="5698" xr:uid="{00000000-0005-0000-0000-000055160000}"/>
    <cellStyle name="row 6 2 2_Tertiary Salaries Survey" xfId="5699" xr:uid="{00000000-0005-0000-0000-000056160000}"/>
    <cellStyle name="row 6 2 3" xfId="5700" xr:uid="{00000000-0005-0000-0000-000057160000}"/>
    <cellStyle name="row 6 2 3 2" xfId="5701" xr:uid="{00000000-0005-0000-0000-000058160000}"/>
    <cellStyle name="row 6 2 3_Tertiary Salaries Survey" xfId="5702" xr:uid="{00000000-0005-0000-0000-000059160000}"/>
    <cellStyle name="row 6 2 4" xfId="5703" xr:uid="{00000000-0005-0000-0000-00005A160000}"/>
    <cellStyle name="row 6 2 5" xfId="5704" xr:uid="{00000000-0005-0000-0000-00005B160000}"/>
    <cellStyle name="row 6 2_Tertiary Salaries Survey" xfId="5705" xr:uid="{00000000-0005-0000-0000-00005C160000}"/>
    <cellStyle name="row 6 3" xfId="5706" xr:uid="{00000000-0005-0000-0000-00005D160000}"/>
    <cellStyle name="row 6 3 2" xfId="5707" xr:uid="{00000000-0005-0000-0000-00005E160000}"/>
    <cellStyle name="row 6 3 2 2" xfId="5708" xr:uid="{00000000-0005-0000-0000-00005F160000}"/>
    <cellStyle name="row 6 3 2_Tertiary Salaries Survey" xfId="5709" xr:uid="{00000000-0005-0000-0000-000060160000}"/>
    <cellStyle name="row 6 3 3" xfId="5710" xr:uid="{00000000-0005-0000-0000-000061160000}"/>
    <cellStyle name="row 6 3 3 2" xfId="5711" xr:uid="{00000000-0005-0000-0000-000062160000}"/>
    <cellStyle name="row 6 3 3_Tertiary Salaries Survey" xfId="5712" xr:uid="{00000000-0005-0000-0000-000063160000}"/>
    <cellStyle name="row 6 3 4" xfId="5713" xr:uid="{00000000-0005-0000-0000-000064160000}"/>
    <cellStyle name="row 6 3 5" xfId="5714" xr:uid="{00000000-0005-0000-0000-000065160000}"/>
    <cellStyle name="row 6 3 6" xfId="5715" xr:uid="{00000000-0005-0000-0000-000066160000}"/>
    <cellStyle name="row 6 3 7" xfId="5716" xr:uid="{00000000-0005-0000-0000-000067160000}"/>
    <cellStyle name="row 6 3_Tertiary Salaries Survey" xfId="5717" xr:uid="{00000000-0005-0000-0000-000068160000}"/>
    <cellStyle name="row 6 4" xfId="5718" xr:uid="{00000000-0005-0000-0000-000069160000}"/>
    <cellStyle name="row 6 4 2" xfId="5719" xr:uid="{00000000-0005-0000-0000-00006A160000}"/>
    <cellStyle name="row 6 4 2 2" xfId="5720" xr:uid="{00000000-0005-0000-0000-00006B160000}"/>
    <cellStyle name="row 6 4 2_Tertiary Salaries Survey" xfId="5721" xr:uid="{00000000-0005-0000-0000-00006C160000}"/>
    <cellStyle name="row 6 4 3" xfId="5722" xr:uid="{00000000-0005-0000-0000-00006D160000}"/>
    <cellStyle name="row 6 4 3 2" xfId="5723" xr:uid="{00000000-0005-0000-0000-00006E160000}"/>
    <cellStyle name="row 6 4 3_Tertiary Salaries Survey" xfId="5724" xr:uid="{00000000-0005-0000-0000-00006F160000}"/>
    <cellStyle name="row 6 4 4" xfId="5725" xr:uid="{00000000-0005-0000-0000-000070160000}"/>
    <cellStyle name="row 6 4 5" xfId="5726" xr:uid="{00000000-0005-0000-0000-000071160000}"/>
    <cellStyle name="row 6 4 6" xfId="5727" xr:uid="{00000000-0005-0000-0000-000072160000}"/>
    <cellStyle name="row 6 4_Tertiary Salaries Survey" xfId="5728" xr:uid="{00000000-0005-0000-0000-000073160000}"/>
    <cellStyle name="row 6 5" xfId="5729" xr:uid="{00000000-0005-0000-0000-000074160000}"/>
    <cellStyle name="row 6 5 2" xfId="5730" xr:uid="{00000000-0005-0000-0000-000075160000}"/>
    <cellStyle name="row 6 5 2 2" xfId="5731" xr:uid="{00000000-0005-0000-0000-000076160000}"/>
    <cellStyle name="row 6 5 2_Tertiary Salaries Survey" xfId="5732" xr:uid="{00000000-0005-0000-0000-000077160000}"/>
    <cellStyle name="row 6 5 3" xfId="5733" xr:uid="{00000000-0005-0000-0000-000078160000}"/>
    <cellStyle name="row 6 5 3 2" xfId="5734" xr:uid="{00000000-0005-0000-0000-000079160000}"/>
    <cellStyle name="row 6 5 3_Tertiary Salaries Survey" xfId="5735" xr:uid="{00000000-0005-0000-0000-00007A160000}"/>
    <cellStyle name="row 6 5 4" xfId="5736" xr:uid="{00000000-0005-0000-0000-00007B160000}"/>
    <cellStyle name="row 6 5 5" xfId="5737" xr:uid="{00000000-0005-0000-0000-00007C160000}"/>
    <cellStyle name="row 6 5 6" xfId="5738" xr:uid="{00000000-0005-0000-0000-00007D160000}"/>
    <cellStyle name="row 6 5_Tertiary Salaries Survey" xfId="5739" xr:uid="{00000000-0005-0000-0000-00007E160000}"/>
    <cellStyle name="row 6 6" xfId="5740" xr:uid="{00000000-0005-0000-0000-00007F160000}"/>
    <cellStyle name="row 6 6 2" xfId="5741" xr:uid="{00000000-0005-0000-0000-000080160000}"/>
    <cellStyle name="row 6 6 2 2" xfId="5742" xr:uid="{00000000-0005-0000-0000-000081160000}"/>
    <cellStyle name="row 6 6 2_Tertiary Salaries Survey" xfId="5743" xr:uid="{00000000-0005-0000-0000-000082160000}"/>
    <cellStyle name="row 6 6 3" xfId="5744" xr:uid="{00000000-0005-0000-0000-000083160000}"/>
    <cellStyle name="row 6 6 3 2" xfId="5745" xr:uid="{00000000-0005-0000-0000-000084160000}"/>
    <cellStyle name="row 6 6 3_Tertiary Salaries Survey" xfId="5746" xr:uid="{00000000-0005-0000-0000-000085160000}"/>
    <cellStyle name="row 6 6 4" xfId="5747" xr:uid="{00000000-0005-0000-0000-000086160000}"/>
    <cellStyle name="row 6 6 5" xfId="5748" xr:uid="{00000000-0005-0000-0000-000087160000}"/>
    <cellStyle name="row 6 6 6" xfId="5749" xr:uid="{00000000-0005-0000-0000-000088160000}"/>
    <cellStyle name="row 6 6_Tertiary Salaries Survey" xfId="5750" xr:uid="{00000000-0005-0000-0000-000089160000}"/>
    <cellStyle name="row 6 7" xfId="5751" xr:uid="{00000000-0005-0000-0000-00008A160000}"/>
    <cellStyle name="row 6 7 2" xfId="5752" xr:uid="{00000000-0005-0000-0000-00008B160000}"/>
    <cellStyle name="row 6 7_Tertiary Salaries Survey" xfId="5753" xr:uid="{00000000-0005-0000-0000-00008C160000}"/>
    <cellStyle name="row 6 8" xfId="5754" xr:uid="{00000000-0005-0000-0000-00008D160000}"/>
    <cellStyle name="row 6 8 2" xfId="5755" xr:uid="{00000000-0005-0000-0000-00008E160000}"/>
    <cellStyle name="row 6 8_Tertiary Salaries Survey" xfId="5756" xr:uid="{00000000-0005-0000-0000-00008F160000}"/>
    <cellStyle name="row 6 9" xfId="5757" xr:uid="{00000000-0005-0000-0000-000090160000}"/>
    <cellStyle name="row 6_STUD aligned by INSTIT" xfId="5758" xr:uid="{00000000-0005-0000-0000-000091160000}"/>
    <cellStyle name="row 7" xfId="5759" xr:uid="{00000000-0005-0000-0000-000092160000}"/>
    <cellStyle name="row 7 2" xfId="5760" xr:uid="{00000000-0005-0000-0000-000093160000}"/>
    <cellStyle name="row 7 3" xfId="5761" xr:uid="{00000000-0005-0000-0000-000094160000}"/>
    <cellStyle name="row 7 4" xfId="5762" xr:uid="{00000000-0005-0000-0000-000095160000}"/>
    <cellStyle name="row 7 5" xfId="5763" xr:uid="{00000000-0005-0000-0000-000096160000}"/>
    <cellStyle name="row 7_Tertiary Salaries Survey" xfId="5764" xr:uid="{00000000-0005-0000-0000-000097160000}"/>
    <cellStyle name="row 8" xfId="5765" xr:uid="{00000000-0005-0000-0000-000098160000}"/>
    <cellStyle name="row 9" xfId="5766" xr:uid="{00000000-0005-0000-0000-000099160000}"/>
    <cellStyle name="row_ENRLSUP5" xfId="5767" xr:uid="{00000000-0005-0000-0000-00009A160000}"/>
    <cellStyle name="RowCodes" xfId="5768" xr:uid="{00000000-0005-0000-0000-00009B160000}"/>
    <cellStyle name="RowCodes 2" xfId="5769" xr:uid="{00000000-0005-0000-0000-00009C160000}"/>
    <cellStyle name="Row-Col Headings" xfId="5770" xr:uid="{00000000-0005-0000-0000-00009D160000}"/>
    <cellStyle name="Row-Col Headings 2" xfId="5771" xr:uid="{00000000-0005-0000-0000-00009E160000}"/>
    <cellStyle name="RowTitles" xfId="5772" xr:uid="{00000000-0005-0000-0000-00009F160000}"/>
    <cellStyle name="RowTitles 2" xfId="5773" xr:uid="{00000000-0005-0000-0000-0000A0160000}"/>
    <cellStyle name="RowTitles 2 2" xfId="5774" xr:uid="{00000000-0005-0000-0000-0000A1160000}"/>
    <cellStyle name="RowTitles 2 2 2" xfId="5775" xr:uid="{00000000-0005-0000-0000-0000A2160000}"/>
    <cellStyle name="RowTitles 2 2 2 2" xfId="5776" xr:uid="{00000000-0005-0000-0000-0000A3160000}"/>
    <cellStyle name="RowTitles 2 2 2 3" xfId="5777" xr:uid="{00000000-0005-0000-0000-0000A4160000}"/>
    <cellStyle name="RowTitles 2 2 2 4" xfId="5778" xr:uid="{00000000-0005-0000-0000-0000A5160000}"/>
    <cellStyle name="RowTitles 2 2 2 5" xfId="5779" xr:uid="{00000000-0005-0000-0000-0000A6160000}"/>
    <cellStyle name="RowTitles 2 2 2_Tertiary Salaries Survey" xfId="5780" xr:uid="{00000000-0005-0000-0000-0000A7160000}"/>
    <cellStyle name="RowTitles 2 2 3" xfId="5781" xr:uid="{00000000-0005-0000-0000-0000A8160000}"/>
    <cellStyle name="RowTitles 2 2 4" xfId="5782" xr:uid="{00000000-0005-0000-0000-0000A9160000}"/>
    <cellStyle name="RowTitles 2 2 5" xfId="5783" xr:uid="{00000000-0005-0000-0000-0000AA160000}"/>
    <cellStyle name="RowTitles 2 2 6" xfId="5784" xr:uid="{00000000-0005-0000-0000-0000AB160000}"/>
    <cellStyle name="RowTitles 2 2_STUD aligned by INSTIT" xfId="5785" xr:uid="{00000000-0005-0000-0000-0000AC160000}"/>
    <cellStyle name="RowTitles 2 3" xfId="5786" xr:uid="{00000000-0005-0000-0000-0000AD160000}"/>
    <cellStyle name="RowTitles 2 3 2" xfId="5787" xr:uid="{00000000-0005-0000-0000-0000AE160000}"/>
    <cellStyle name="RowTitles 2 3 3" xfId="5788" xr:uid="{00000000-0005-0000-0000-0000AF160000}"/>
    <cellStyle name="RowTitles 2 3 4" xfId="5789" xr:uid="{00000000-0005-0000-0000-0000B0160000}"/>
    <cellStyle name="RowTitles 2 3 5" xfId="5790" xr:uid="{00000000-0005-0000-0000-0000B1160000}"/>
    <cellStyle name="RowTitles 2 3_Tertiary Salaries Survey" xfId="5791" xr:uid="{00000000-0005-0000-0000-0000B2160000}"/>
    <cellStyle name="RowTitles 2 4" xfId="5792" xr:uid="{00000000-0005-0000-0000-0000B3160000}"/>
    <cellStyle name="RowTitles 2 5" xfId="5793" xr:uid="{00000000-0005-0000-0000-0000B4160000}"/>
    <cellStyle name="RowTitles 2 6" xfId="5794" xr:uid="{00000000-0005-0000-0000-0000B5160000}"/>
    <cellStyle name="RowTitles 2 7" xfId="5795" xr:uid="{00000000-0005-0000-0000-0000B6160000}"/>
    <cellStyle name="RowTitles 2_STUD aligned by INSTIT" xfId="5796" xr:uid="{00000000-0005-0000-0000-0000B7160000}"/>
    <cellStyle name="RowTitles 3" xfId="5797" xr:uid="{00000000-0005-0000-0000-0000B8160000}"/>
    <cellStyle name="RowTitles 3 2" xfId="5798" xr:uid="{00000000-0005-0000-0000-0000B9160000}"/>
    <cellStyle name="RowTitles 3 2 2" xfId="5799" xr:uid="{00000000-0005-0000-0000-0000BA160000}"/>
    <cellStyle name="RowTitles 3 2 3" xfId="5800" xr:uid="{00000000-0005-0000-0000-0000BB160000}"/>
    <cellStyle name="RowTitles 3 2 4" xfId="5801" xr:uid="{00000000-0005-0000-0000-0000BC160000}"/>
    <cellStyle name="RowTitles 3 2 5" xfId="5802" xr:uid="{00000000-0005-0000-0000-0000BD160000}"/>
    <cellStyle name="RowTitles 3 2_Tertiary Salaries Survey" xfId="5803" xr:uid="{00000000-0005-0000-0000-0000BE160000}"/>
    <cellStyle name="RowTitles 3 3" xfId="5804" xr:uid="{00000000-0005-0000-0000-0000BF160000}"/>
    <cellStyle name="RowTitles 3 4" xfId="5805" xr:uid="{00000000-0005-0000-0000-0000C0160000}"/>
    <cellStyle name="RowTitles 3 5" xfId="5806" xr:uid="{00000000-0005-0000-0000-0000C1160000}"/>
    <cellStyle name="RowTitles 3 6" xfId="5807" xr:uid="{00000000-0005-0000-0000-0000C2160000}"/>
    <cellStyle name="RowTitles 3_STUD aligned by INSTIT" xfId="5808" xr:uid="{00000000-0005-0000-0000-0000C3160000}"/>
    <cellStyle name="RowTitles 4" xfId="5809" xr:uid="{00000000-0005-0000-0000-0000C4160000}"/>
    <cellStyle name="RowTitles 4 2" xfId="5810" xr:uid="{00000000-0005-0000-0000-0000C5160000}"/>
    <cellStyle name="RowTitles 4 3" xfId="5811" xr:uid="{00000000-0005-0000-0000-0000C6160000}"/>
    <cellStyle name="RowTitles 4 4" xfId="5812" xr:uid="{00000000-0005-0000-0000-0000C7160000}"/>
    <cellStyle name="RowTitles 4 5" xfId="5813" xr:uid="{00000000-0005-0000-0000-0000C8160000}"/>
    <cellStyle name="RowTitles 4_Tertiary Salaries Survey" xfId="5814" xr:uid="{00000000-0005-0000-0000-0000C9160000}"/>
    <cellStyle name="RowTitles 5" xfId="5815" xr:uid="{00000000-0005-0000-0000-0000CA160000}"/>
    <cellStyle name="RowTitles 6" xfId="5816" xr:uid="{00000000-0005-0000-0000-0000CB160000}"/>
    <cellStyle name="RowTitles 7" xfId="5817" xr:uid="{00000000-0005-0000-0000-0000CC160000}"/>
    <cellStyle name="RowTitles 8" xfId="5818" xr:uid="{00000000-0005-0000-0000-0000CD160000}"/>
    <cellStyle name="RowTitles_CENTRAL_GOVT" xfId="5819" xr:uid="{00000000-0005-0000-0000-0000CE160000}"/>
    <cellStyle name="RowTitles1-Detail" xfId="5820" xr:uid="{00000000-0005-0000-0000-0000CF160000}"/>
    <cellStyle name="RowTitles1-Detail 10" xfId="5821" xr:uid="{00000000-0005-0000-0000-0000D0160000}"/>
    <cellStyle name="RowTitles1-Detail 10 2" xfId="5822" xr:uid="{00000000-0005-0000-0000-0000D1160000}"/>
    <cellStyle name="RowTitles1-Detail 10 2 2" xfId="5823" xr:uid="{00000000-0005-0000-0000-0000D2160000}"/>
    <cellStyle name="RowTitles1-Detail 10 2 2 2" xfId="5824" xr:uid="{00000000-0005-0000-0000-0000D3160000}"/>
    <cellStyle name="RowTitles1-Detail 10 2 2_Tertiary Salaries Survey" xfId="5825" xr:uid="{00000000-0005-0000-0000-0000D4160000}"/>
    <cellStyle name="RowTitles1-Detail 10 2 3" xfId="5826" xr:uid="{00000000-0005-0000-0000-0000D5160000}"/>
    <cellStyle name="RowTitles1-Detail 10 2_Tertiary Salaries Survey" xfId="5827" xr:uid="{00000000-0005-0000-0000-0000D6160000}"/>
    <cellStyle name="RowTitles1-Detail 10 3" xfId="5828" xr:uid="{00000000-0005-0000-0000-0000D7160000}"/>
    <cellStyle name="RowTitles1-Detail 10 3 2" xfId="5829" xr:uid="{00000000-0005-0000-0000-0000D8160000}"/>
    <cellStyle name="RowTitles1-Detail 10 3 2 2" xfId="5830" xr:uid="{00000000-0005-0000-0000-0000D9160000}"/>
    <cellStyle name="RowTitles1-Detail 10 3 2_Tertiary Salaries Survey" xfId="5831" xr:uid="{00000000-0005-0000-0000-0000DA160000}"/>
    <cellStyle name="RowTitles1-Detail 10 3 3" xfId="5832" xr:uid="{00000000-0005-0000-0000-0000DB160000}"/>
    <cellStyle name="RowTitles1-Detail 10 3_Tertiary Salaries Survey" xfId="5833" xr:uid="{00000000-0005-0000-0000-0000DC160000}"/>
    <cellStyle name="RowTitles1-Detail 10 4" xfId="5834" xr:uid="{00000000-0005-0000-0000-0000DD160000}"/>
    <cellStyle name="RowTitles1-Detail 10 4 2" xfId="5835" xr:uid="{00000000-0005-0000-0000-0000DE160000}"/>
    <cellStyle name="RowTitles1-Detail 10 4_Tertiary Salaries Survey" xfId="5836" xr:uid="{00000000-0005-0000-0000-0000DF160000}"/>
    <cellStyle name="RowTitles1-Detail 10 5" xfId="5837" xr:uid="{00000000-0005-0000-0000-0000E0160000}"/>
    <cellStyle name="RowTitles1-Detail 10_Tertiary Salaries Survey" xfId="5838" xr:uid="{00000000-0005-0000-0000-0000E1160000}"/>
    <cellStyle name="RowTitles1-Detail 11" xfId="5839" xr:uid="{00000000-0005-0000-0000-0000E2160000}"/>
    <cellStyle name="RowTitles1-Detail 11 2" xfId="5840" xr:uid="{00000000-0005-0000-0000-0000E3160000}"/>
    <cellStyle name="RowTitles1-Detail 11 2 2" xfId="5841" xr:uid="{00000000-0005-0000-0000-0000E4160000}"/>
    <cellStyle name="RowTitles1-Detail 11 2 2 2" xfId="5842" xr:uid="{00000000-0005-0000-0000-0000E5160000}"/>
    <cellStyle name="RowTitles1-Detail 11 2 2_Tertiary Salaries Survey" xfId="5843" xr:uid="{00000000-0005-0000-0000-0000E6160000}"/>
    <cellStyle name="RowTitles1-Detail 11 2 3" xfId="5844" xr:uid="{00000000-0005-0000-0000-0000E7160000}"/>
    <cellStyle name="RowTitles1-Detail 11 2_Tertiary Salaries Survey" xfId="5845" xr:uid="{00000000-0005-0000-0000-0000E8160000}"/>
    <cellStyle name="RowTitles1-Detail 11 3" xfId="5846" xr:uid="{00000000-0005-0000-0000-0000E9160000}"/>
    <cellStyle name="RowTitles1-Detail 11 3 2" xfId="5847" xr:uid="{00000000-0005-0000-0000-0000EA160000}"/>
    <cellStyle name="RowTitles1-Detail 11 3 2 2" xfId="5848" xr:uid="{00000000-0005-0000-0000-0000EB160000}"/>
    <cellStyle name="RowTitles1-Detail 11 3 2_Tertiary Salaries Survey" xfId="5849" xr:uid="{00000000-0005-0000-0000-0000EC160000}"/>
    <cellStyle name="RowTitles1-Detail 11 3 3" xfId="5850" xr:uid="{00000000-0005-0000-0000-0000ED160000}"/>
    <cellStyle name="RowTitles1-Detail 11 3_Tertiary Salaries Survey" xfId="5851" xr:uid="{00000000-0005-0000-0000-0000EE160000}"/>
    <cellStyle name="RowTitles1-Detail 11 4" xfId="5852" xr:uid="{00000000-0005-0000-0000-0000EF160000}"/>
    <cellStyle name="RowTitles1-Detail 11 4 2" xfId="5853" xr:uid="{00000000-0005-0000-0000-0000F0160000}"/>
    <cellStyle name="RowTitles1-Detail 11 4_Tertiary Salaries Survey" xfId="5854" xr:uid="{00000000-0005-0000-0000-0000F1160000}"/>
    <cellStyle name="RowTitles1-Detail 11 5" xfId="5855" xr:uid="{00000000-0005-0000-0000-0000F2160000}"/>
    <cellStyle name="RowTitles1-Detail 11_Tertiary Salaries Survey" xfId="5856" xr:uid="{00000000-0005-0000-0000-0000F3160000}"/>
    <cellStyle name="RowTitles1-Detail 12" xfId="5857" xr:uid="{00000000-0005-0000-0000-0000F4160000}"/>
    <cellStyle name="RowTitles1-Detail 12 2" xfId="5858" xr:uid="{00000000-0005-0000-0000-0000F5160000}"/>
    <cellStyle name="RowTitles1-Detail 12 2 2" xfId="5859" xr:uid="{00000000-0005-0000-0000-0000F6160000}"/>
    <cellStyle name="RowTitles1-Detail 12 2 2 2" xfId="5860" xr:uid="{00000000-0005-0000-0000-0000F7160000}"/>
    <cellStyle name="RowTitles1-Detail 12 2 2_Tertiary Salaries Survey" xfId="5861" xr:uid="{00000000-0005-0000-0000-0000F8160000}"/>
    <cellStyle name="RowTitles1-Detail 12 2 3" xfId="5862" xr:uid="{00000000-0005-0000-0000-0000F9160000}"/>
    <cellStyle name="RowTitles1-Detail 12 2_Tertiary Salaries Survey" xfId="5863" xr:uid="{00000000-0005-0000-0000-0000FA160000}"/>
    <cellStyle name="RowTitles1-Detail 12 3" xfId="5864" xr:uid="{00000000-0005-0000-0000-0000FB160000}"/>
    <cellStyle name="RowTitles1-Detail 12 3 2" xfId="5865" xr:uid="{00000000-0005-0000-0000-0000FC160000}"/>
    <cellStyle name="RowTitles1-Detail 12 3 2 2" xfId="5866" xr:uid="{00000000-0005-0000-0000-0000FD160000}"/>
    <cellStyle name="RowTitles1-Detail 12 3 2_Tertiary Salaries Survey" xfId="5867" xr:uid="{00000000-0005-0000-0000-0000FE160000}"/>
    <cellStyle name="RowTitles1-Detail 12 3 3" xfId="5868" xr:uid="{00000000-0005-0000-0000-0000FF160000}"/>
    <cellStyle name="RowTitles1-Detail 12 3_Tertiary Salaries Survey" xfId="5869" xr:uid="{00000000-0005-0000-0000-000000170000}"/>
    <cellStyle name="RowTitles1-Detail 12 4" xfId="5870" xr:uid="{00000000-0005-0000-0000-000001170000}"/>
    <cellStyle name="RowTitles1-Detail 12 4 2" xfId="5871" xr:uid="{00000000-0005-0000-0000-000002170000}"/>
    <cellStyle name="RowTitles1-Detail 12 4_Tertiary Salaries Survey" xfId="5872" xr:uid="{00000000-0005-0000-0000-000003170000}"/>
    <cellStyle name="RowTitles1-Detail 12 5" xfId="5873" xr:uid="{00000000-0005-0000-0000-000004170000}"/>
    <cellStyle name="RowTitles1-Detail 12_Tertiary Salaries Survey" xfId="5874" xr:uid="{00000000-0005-0000-0000-000005170000}"/>
    <cellStyle name="RowTitles1-Detail 13" xfId="5875" xr:uid="{00000000-0005-0000-0000-000006170000}"/>
    <cellStyle name="RowTitles1-Detail 13 2" xfId="5876" xr:uid="{00000000-0005-0000-0000-000007170000}"/>
    <cellStyle name="RowTitles1-Detail 13 2 2" xfId="5877" xr:uid="{00000000-0005-0000-0000-000008170000}"/>
    <cellStyle name="RowTitles1-Detail 13 2_Tertiary Salaries Survey" xfId="5878" xr:uid="{00000000-0005-0000-0000-000009170000}"/>
    <cellStyle name="RowTitles1-Detail 13 3" xfId="5879" xr:uid="{00000000-0005-0000-0000-00000A170000}"/>
    <cellStyle name="RowTitles1-Detail 13_Tertiary Salaries Survey" xfId="5880" xr:uid="{00000000-0005-0000-0000-00000B170000}"/>
    <cellStyle name="RowTitles1-Detail 14" xfId="5881" xr:uid="{00000000-0005-0000-0000-00000C170000}"/>
    <cellStyle name="RowTitles1-Detail 15" xfId="5882" xr:uid="{00000000-0005-0000-0000-00000D170000}"/>
    <cellStyle name="RowTitles1-Detail 2" xfId="5883" xr:uid="{00000000-0005-0000-0000-00000E170000}"/>
    <cellStyle name="RowTitles1-Detail 2 10" xfId="5884" xr:uid="{00000000-0005-0000-0000-00000F170000}"/>
    <cellStyle name="RowTitles1-Detail 2 10 2" xfId="5885" xr:uid="{00000000-0005-0000-0000-000010170000}"/>
    <cellStyle name="RowTitles1-Detail 2 10 2 2" xfId="5886" xr:uid="{00000000-0005-0000-0000-000011170000}"/>
    <cellStyle name="RowTitles1-Detail 2 10 2 2 2" xfId="5887" xr:uid="{00000000-0005-0000-0000-000012170000}"/>
    <cellStyle name="RowTitles1-Detail 2 10 2 2_Tertiary Salaries Survey" xfId="5888" xr:uid="{00000000-0005-0000-0000-000013170000}"/>
    <cellStyle name="RowTitles1-Detail 2 10 2 3" xfId="5889" xr:uid="{00000000-0005-0000-0000-000014170000}"/>
    <cellStyle name="RowTitles1-Detail 2 10 2_Tertiary Salaries Survey" xfId="5890" xr:uid="{00000000-0005-0000-0000-000015170000}"/>
    <cellStyle name="RowTitles1-Detail 2 10 3" xfId="5891" xr:uid="{00000000-0005-0000-0000-000016170000}"/>
    <cellStyle name="RowTitles1-Detail 2 10 3 2" xfId="5892" xr:uid="{00000000-0005-0000-0000-000017170000}"/>
    <cellStyle name="RowTitles1-Detail 2 10 3 2 2" xfId="5893" xr:uid="{00000000-0005-0000-0000-000018170000}"/>
    <cellStyle name="RowTitles1-Detail 2 10 3 2_Tertiary Salaries Survey" xfId="5894" xr:uid="{00000000-0005-0000-0000-000019170000}"/>
    <cellStyle name="RowTitles1-Detail 2 10 3 3" xfId="5895" xr:uid="{00000000-0005-0000-0000-00001A170000}"/>
    <cellStyle name="RowTitles1-Detail 2 10 3_Tertiary Salaries Survey" xfId="5896" xr:uid="{00000000-0005-0000-0000-00001B170000}"/>
    <cellStyle name="RowTitles1-Detail 2 10 4" xfId="5897" xr:uid="{00000000-0005-0000-0000-00001C170000}"/>
    <cellStyle name="RowTitles1-Detail 2 10 5" xfId="5898" xr:uid="{00000000-0005-0000-0000-00001D170000}"/>
    <cellStyle name="RowTitles1-Detail 2 10 5 2" xfId="5899" xr:uid="{00000000-0005-0000-0000-00001E170000}"/>
    <cellStyle name="RowTitles1-Detail 2 10 5_Tertiary Salaries Survey" xfId="5900" xr:uid="{00000000-0005-0000-0000-00001F170000}"/>
    <cellStyle name="RowTitles1-Detail 2 10 6" xfId="5901" xr:uid="{00000000-0005-0000-0000-000020170000}"/>
    <cellStyle name="RowTitles1-Detail 2 10_Tertiary Salaries Survey" xfId="5902" xr:uid="{00000000-0005-0000-0000-000021170000}"/>
    <cellStyle name="RowTitles1-Detail 2 11" xfId="5903" xr:uid="{00000000-0005-0000-0000-000022170000}"/>
    <cellStyle name="RowTitles1-Detail 2 11 2" xfId="5904" xr:uid="{00000000-0005-0000-0000-000023170000}"/>
    <cellStyle name="RowTitles1-Detail 2 11 2 2" xfId="5905" xr:uid="{00000000-0005-0000-0000-000024170000}"/>
    <cellStyle name="RowTitles1-Detail 2 11 2 2 2" xfId="5906" xr:uid="{00000000-0005-0000-0000-000025170000}"/>
    <cellStyle name="RowTitles1-Detail 2 11 2 2_Tertiary Salaries Survey" xfId="5907" xr:uid="{00000000-0005-0000-0000-000026170000}"/>
    <cellStyle name="RowTitles1-Detail 2 11 2 3" xfId="5908" xr:uid="{00000000-0005-0000-0000-000027170000}"/>
    <cellStyle name="RowTitles1-Detail 2 11 2_Tertiary Salaries Survey" xfId="5909" xr:uid="{00000000-0005-0000-0000-000028170000}"/>
    <cellStyle name="RowTitles1-Detail 2 11 3" xfId="5910" xr:uid="{00000000-0005-0000-0000-000029170000}"/>
    <cellStyle name="RowTitles1-Detail 2 11 3 2" xfId="5911" xr:uid="{00000000-0005-0000-0000-00002A170000}"/>
    <cellStyle name="RowTitles1-Detail 2 11 3 2 2" xfId="5912" xr:uid="{00000000-0005-0000-0000-00002B170000}"/>
    <cellStyle name="RowTitles1-Detail 2 11 3 2_Tertiary Salaries Survey" xfId="5913" xr:uid="{00000000-0005-0000-0000-00002C170000}"/>
    <cellStyle name="RowTitles1-Detail 2 11 3 3" xfId="5914" xr:uid="{00000000-0005-0000-0000-00002D170000}"/>
    <cellStyle name="RowTitles1-Detail 2 11 3_Tertiary Salaries Survey" xfId="5915" xr:uid="{00000000-0005-0000-0000-00002E170000}"/>
    <cellStyle name="RowTitles1-Detail 2 11 4" xfId="5916" xr:uid="{00000000-0005-0000-0000-00002F170000}"/>
    <cellStyle name="RowTitles1-Detail 2 11 4 2" xfId="5917" xr:uid="{00000000-0005-0000-0000-000030170000}"/>
    <cellStyle name="RowTitles1-Detail 2 11 4_Tertiary Salaries Survey" xfId="5918" xr:uid="{00000000-0005-0000-0000-000031170000}"/>
    <cellStyle name="RowTitles1-Detail 2 11 5" xfId="5919" xr:uid="{00000000-0005-0000-0000-000032170000}"/>
    <cellStyle name="RowTitles1-Detail 2 11_Tertiary Salaries Survey" xfId="5920" xr:uid="{00000000-0005-0000-0000-000033170000}"/>
    <cellStyle name="RowTitles1-Detail 2 12" xfId="5921" xr:uid="{00000000-0005-0000-0000-000034170000}"/>
    <cellStyle name="RowTitles1-Detail 2 12 2" xfId="5922" xr:uid="{00000000-0005-0000-0000-000035170000}"/>
    <cellStyle name="RowTitles1-Detail 2 12 2 2" xfId="5923" xr:uid="{00000000-0005-0000-0000-000036170000}"/>
    <cellStyle name="RowTitles1-Detail 2 12 2 2 2" xfId="5924" xr:uid="{00000000-0005-0000-0000-000037170000}"/>
    <cellStyle name="RowTitles1-Detail 2 12 2 2_Tertiary Salaries Survey" xfId="5925" xr:uid="{00000000-0005-0000-0000-000038170000}"/>
    <cellStyle name="RowTitles1-Detail 2 12 2 3" xfId="5926" xr:uid="{00000000-0005-0000-0000-000039170000}"/>
    <cellStyle name="RowTitles1-Detail 2 12 2_Tertiary Salaries Survey" xfId="5927" xr:uid="{00000000-0005-0000-0000-00003A170000}"/>
    <cellStyle name="RowTitles1-Detail 2 12 3" xfId="5928" xr:uid="{00000000-0005-0000-0000-00003B170000}"/>
    <cellStyle name="RowTitles1-Detail 2 12 3 2" xfId="5929" xr:uid="{00000000-0005-0000-0000-00003C170000}"/>
    <cellStyle name="RowTitles1-Detail 2 12 3 2 2" xfId="5930" xr:uid="{00000000-0005-0000-0000-00003D170000}"/>
    <cellStyle name="RowTitles1-Detail 2 12 3 2_Tertiary Salaries Survey" xfId="5931" xr:uid="{00000000-0005-0000-0000-00003E170000}"/>
    <cellStyle name="RowTitles1-Detail 2 12 3 3" xfId="5932" xr:uid="{00000000-0005-0000-0000-00003F170000}"/>
    <cellStyle name="RowTitles1-Detail 2 12 3_Tertiary Salaries Survey" xfId="5933" xr:uid="{00000000-0005-0000-0000-000040170000}"/>
    <cellStyle name="RowTitles1-Detail 2 12 4" xfId="5934" xr:uid="{00000000-0005-0000-0000-000041170000}"/>
    <cellStyle name="RowTitles1-Detail 2 12 4 2" xfId="5935" xr:uid="{00000000-0005-0000-0000-000042170000}"/>
    <cellStyle name="RowTitles1-Detail 2 12 4_Tertiary Salaries Survey" xfId="5936" xr:uid="{00000000-0005-0000-0000-000043170000}"/>
    <cellStyle name="RowTitles1-Detail 2 12 5" xfId="5937" xr:uid="{00000000-0005-0000-0000-000044170000}"/>
    <cellStyle name="RowTitles1-Detail 2 12_Tertiary Salaries Survey" xfId="5938" xr:uid="{00000000-0005-0000-0000-000045170000}"/>
    <cellStyle name="RowTitles1-Detail 2 13" xfId="5939" xr:uid="{00000000-0005-0000-0000-000046170000}"/>
    <cellStyle name="RowTitles1-Detail 2 13 2" xfId="5940" xr:uid="{00000000-0005-0000-0000-000047170000}"/>
    <cellStyle name="RowTitles1-Detail 2 13 2 2" xfId="5941" xr:uid="{00000000-0005-0000-0000-000048170000}"/>
    <cellStyle name="RowTitles1-Detail 2 13 2_Tertiary Salaries Survey" xfId="5942" xr:uid="{00000000-0005-0000-0000-000049170000}"/>
    <cellStyle name="RowTitles1-Detail 2 13 3" xfId="5943" xr:uid="{00000000-0005-0000-0000-00004A170000}"/>
    <cellStyle name="RowTitles1-Detail 2 13_Tertiary Salaries Survey" xfId="5944" xr:uid="{00000000-0005-0000-0000-00004B170000}"/>
    <cellStyle name="RowTitles1-Detail 2 14" xfId="5945" xr:uid="{00000000-0005-0000-0000-00004C170000}"/>
    <cellStyle name="RowTitles1-Detail 2 15" xfId="5946" xr:uid="{00000000-0005-0000-0000-00004D170000}"/>
    <cellStyle name="RowTitles1-Detail 2 16" xfId="5947" xr:uid="{00000000-0005-0000-0000-00004E170000}"/>
    <cellStyle name="RowTitles1-Detail 2 2" xfId="5948" xr:uid="{00000000-0005-0000-0000-00004F170000}"/>
    <cellStyle name="RowTitles1-Detail 2 2 10" xfId="5949" xr:uid="{00000000-0005-0000-0000-000050170000}"/>
    <cellStyle name="RowTitles1-Detail 2 2 10 2" xfId="5950" xr:uid="{00000000-0005-0000-0000-000051170000}"/>
    <cellStyle name="RowTitles1-Detail 2 2 10 2 2" xfId="5951" xr:uid="{00000000-0005-0000-0000-000052170000}"/>
    <cellStyle name="RowTitles1-Detail 2 2 10 2 2 2" xfId="5952" xr:uid="{00000000-0005-0000-0000-000053170000}"/>
    <cellStyle name="RowTitles1-Detail 2 2 10 2 2_Tertiary Salaries Survey" xfId="5953" xr:uid="{00000000-0005-0000-0000-000054170000}"/>
    <cellStyle name="RowTitles1-Detail 2 2 10 2 3" xfId="5954" xr:uid="{00000000-0005-0000-0000-000055170000}"/>
    <cellStyle name="RowTitles1-Detail 2 2 10 2_Tertiary Salaries Survey" xfId="5955" xr:uid="{00000000-0005-0000-0000-000056170000}"/>
    <cellStyle name="RowTitles1-Detail 2 2 10 3" xfId="5956" xr:uid="{00000000-0005-0000-0000-000057170000}"/>
    <cellStyle name="RowTitles1-Detail 2 2 10 3 2" xfId="5957" xr:uid="{00000000-0005-0000-0000-000058170000}"/>
    <cellStyle name="RowTitles1-Detail 2 2 10 3 2 2" xfId="5958" xr:uid="{00000000-0005-0000-0000-000059170000}"/>
    <cellStyle name="RowTitles1-Detail 2 2 10 3 2_Tertiary Salaries Survey" xfId="5959" xr:uid="{00000000-0005-0000-0000-00005A170000}"/>
    <cellStyle name="RowTitles1-Detail 2 2 10 3 3" xfId="5960" xr:uid="{00000000-0005-0000-0000-00005B170000}"/>
    <cellStyle name="RowTitles1-Detail 2 2 10 3_Tertiary Salaries Survey" xfId="5961" xr:uid="{00000000-0005-0000-0000-00005C170000}"/>
    <cellStyle name="RowTitles1-Detail 2 2 10 4" xfId="5962" xr:uid="{00000000-0005-0000-0000-00005D170000}"/>
    <cellStyle name="RowTitles1-Detail 2 2 10 4 2" xfId="5963" xr:uid="{00000000-0005-0000-0000-00005E170000}"/>
    <cellStyle name="RowTitles1-Detail 2 2 10 4_Tertiary Salaries Survey" xfId="5964" xr:uid="{00000000-0005-0000-0000-00005F170000}"/>
    <cellStyle name="RowTitles1-Detail 2 2 10 5" xfId="5965" xr:uid="{00000000-0005-0000-0000-000060170000}"/>
    <cellStyle name="RowTitles1-Detail 2 2 10_Tertiary Salaries Survey" xfId="5966" xr:uid="{00000000-0005-0000-0000-000061170000}"/>
    <cellStyle name="RowTitles1-Detail 2 2 11" xfId="5967" xr:uid="{00000000-0005-0000-0000-000062170000}"/>
    <cellStyle name="RowTitles1-Detail 2 2 11 2" xfId="5968" xr:uid="{00000000-0005-0000-0000-000063170000}"/>
    <cellStyle name="RowTitles1-Detail 2 2 11 2 2" xfId="5969" xr:uid="{00000000-0005-0000-0000-000064170000}"/>
    <cellStyle name="RowTitles1-Detail 2 2 11 2 2 2" xfId="5970" xr:uid="{00000000-0005-0000-0000-000065170000}"/>
    <cellStyle name="RowTitles1-Detail 2 2 11 2 2_Tertiary Salaries Survey" xfId="5971" xr:uid="{00000000-0005-0000-0000-000066170000}"/>
    <cellStyle name="RowTitles1-Detail 2 2 11 2 3" xfId="5972" xr:uid="{00000000-0005-0000-0000-000067170000}"/>
    <cellStyle name="RowTitles1-Detail 2 2 11 2_Tertiary Salaries Survey" xfId="5973" xr:uid="{00000000-0005-0000-0000-000068170000}"/>
    <cellStyle name="RowTitles1-Detail 2 2 11 3" xfId="5974" xr:uid="{00000000-0005-0000-0000-000069170000}"/>
    <cellStyle name="RowTitles1-Detail 2 2 11 3 2" xfId="5975" xr:uid="{00000000-0005-0000-0000-00006A170000}"/>
    <cellStyle name="RowTitles1-Detail 2 2 11 3 2 2" xfId="5976" xr:uid="{00000000-0005-0000-0000-00006B170000}"/>
    <cellStyle name="RowTitles1-Detail 2 2 11 3 2_Tertiary Salaries Survey" xfId="5977" xr:uid="{00000000-0005-0000-0000-00006C170000}"/>
    <cellStyle name="RowTitles1-Detail 2 2 11 3 3" xfId="5978" xr:uid="{00000000-0005-0000-0000-00006D170000}"/>
    <cellStyle name="RowTitles1-Detail 2 2 11 3_Tertiary Salaries Survey" xfId="5979" xr:uid="{00000000-0005-0000-0000-00006E170000}"/>
    <cellStyle name="RowTitles1-Detail 2 2 11 4" xfId="5980" xr:uid="{00000000-0005-0000-0000-00006F170000}"/>
    <cellStyle name="RowTitles1-Detail 2 2 11 4 2" xfId="5981" xr:uid="{00000000-0005-0000-0000-000070170000}"/>
    <cellStyle name="RowTitles1-Detail 2 2 11 4_Tertiary Salaries Survey" xfId="5982" xr:uid="{00000000-0005-0000-0000-000071170000}"/>
    <cellStyle name="RowTitles1-Detail 2 2 11 5" xfId="5983" xr:uid="{00000000-0005-0000-0000-000072170000}"/>
    <cellStyle name="RowTitles1-Detail 2 2 11_Tertiary Salaries Survey" xfId="5984" xr:uid="{00000000-0005-0000-0000-000073170000}"/>
    <cellStyle name="RowTitles1-Detail 2 2 12" xfId="5985" xr:uid="{00000000-0005-0000-0000-000074170000}"/>
    <cellStyle name="RowTitles1-Detail 2 2 12 2" xfId="5986" xr:uid="{00000000-0005-0000-0000-000075170000}"/>
    <cellStyle name="RowTitles1-Detail 2 2 12 2 2" xfId="5987" xr:uid="{00000000-0005-0000-0000-000076170000}"/>
    <cellStyle name="RowTitles1-Detail 2 2 12 2_Tertiary Salaries Survey" xfId="5988" xr:uid="{00000000-0005-0000-0000-000077170000}"/>
    <cellStyle name="RowTitles1-Detail 2 2 12 3" xfId="5989" xr:uid="{00000000-0005-0000-0000-000078170000}"/>
    <cellStyle name="RowTitles1-Detail 2 2 12_Tertiary Salaries Survey" xfId="5990" xr:uid="{00000000-0005-0000-0000-000079170000}"/>
    <cellStyle name="RowTitles1-Detail 2 2 13" xfId="5991" xr:uid="{00000000-0005-0000-0000-00007A170000}"/>
    <cellStyle name="RowTitles1-Detail 2 2 14" xfId="5992" xr:uid="{00000000-0005-0000-0000-00007B170000}"/>
    <cellStyle name="RowTitles1-Detail 2 2 15" xfId="5993" xr:uid="{00000000-0005-0000-0000-00007C170000}"/>
    <cellStyle name="RowTitles1-Detail 2 2 2" xfId="5994" xr:uid="{00000000-0005-0000-0000-00007D170000}"/>
    <cellStyle name="RowTitles1-Detail 2 2 2 10" xfId="5995" xr:uid="{00000000-0005-0000-0000-00007E170000}"/>
    <cellStyle name="RowTitles1-Detail 2 2 2 10 2" xfId="5996" xr:uid="{00000000-0005-0000-0000-00007F170000}"/>
    <cellStyle name="RowTitles1-Detail 2 2 2 10 2 2" xfId="5997" xr:uid="{00000000-0005-0000-0000-000080170000}"/>
    <cellStyle name="RowTitles1-Detail 2 2 2 10 2 2 2" xfId="5998" xr:uid="{00000000-0005-0000-0000-000081170000}"/>
    <cellStyle name="RowTitles1-Detail 2 2 2 10 2 2_Tertiary Salaries Survey" xfId="5999" xr:uid="{00000000-0005-0000-0000-000082170000}"/>
    <cellStyle name="RowTitles1-Detail 2 2 2 10 2 3" xfId="6000" xr:uid="{00000000-0005-0000-0000-000083170000}"/>
    <cellStyle name="RowTitles1-Detail 2 2 2 10 2_Tertiary Salaries Survey" xfId="6001" xr:uid="{00000000-0005-0000-0000-000084170000}"/>
    <cellStyle name="RowTitles1-Detail 2 2 2 10 3" xfId="6002" xr:uid="{00000000-0005-0000-0000-000085170000}"/>
    <cellStyle name="RowTitles1-Detail 2 2 2 10 3 2" xfId="6003" xr:uid="{00000000-0005-0000-0000-000086170000}"/>
    <cellStyle name="RowTitles1-Detail 2 2 2 10 3 2 2" xfId="6004" xr:uid="{00000000-0005-0000-0000-000087170000}"/>
    <cellStyle name="RowTitles1-Detail 2 2 2 10 3 2_Tertiary Salaries Survey" xfId="6005" xr:uid="{00000000-0005-0000-0000-000088170000}"/>
    <cellStyle name="RowTitles1-Detail 2 2 2 10 3 3" xfId="6006" xr:uid="{00000000-0005-0000-0000-000089170000}"/>
    <cellStyle name="RowTitles1-Detail 2 2 2 10 3_Tertiary Salaries Survey" xfId="6007" xr:uid="{00000000-0005-0000-0000-00008A170000}"/>
    <cellStyle name="RowTitles1-Detail 2 2 2 10 4" xfId="6008" xr:uid="{00000000-0005-0000-0000-00008B170000}"/>
    <cellStyle name="RowTitles1-Detail 2 2 2 10 4 2" xfId="6009" xr:uid="{00000000-0005-0000-0000-00008C170000}"/>
    <cellStyle name="RowTitles1-Detail 2 2 2 10 4_Tertiary Salaries Survey" xfId="6010" xr:uid="{00000000-0005-0000-0000-00008D170000}"/>
    <cellStyle name="RowTitles1-Detail 2 2 2 10 5" xfId="6011" xr:uid="{00000000-0005-0000-0000-00008E170000}"/>
    <cellStyle name="RowTitles1-Detail 2 2 2 10_Tertiary Salaries Survey" xfId="6012" xr:uid="{00000000-0005-0000-0000-00008F170000}"/>
    <cellStyle name="RowTitles1-Detail 2 2 2 11" xfId="6013" xr:uid="{00000000-0005-0000-0000-000090170000}"/>
    <cellStyle name="RowTitles1-Detail 2 2 2 11 2" xfId="6014" xr:uid="{00000000-0005-0000-0000-000091170000}"/>
    <cellStyle name="RowTitles1-Detail 2 2 2 11 2 2" xfId="6015" xr:uid="{00000000-0005-0000-0000-000092170000}"/>
    <cellStyle name="RowTitles1-Detail 2 2 2 11 2_Tertiary Salaries Survey" xfId="6016" xr:uid="{00000000-0005-0000-0000-000093170000}"/>
    <cellStyle name="RowTitles1-Detail 2 2 2 11 3" xfId="6017" xr:uid="{00000000-0005-0000-0000-000094170000}"/>
    <cellStyle name="RowTitles1-Detail 2 2 2 11_Tertiary Salaries Survey" xfId="6018" xr:uid="{00000000-0005-0000-0000-000095170000}"/>
    <cellStyle name="RowTitles1-Detail 2 2 2 12" xfId="6019" xr:uid="{00000000-0005-0000-0000-000096170000}"/>
    <cellStyle name="RowTitles1-Detail 2 2 2 13" xfId="6020" xr:uid="{00000000-0005-0000-0000-000097170000}"/>
    <cellStyle name="RowTitles1-Detail 2 2 2 2" xfId="6021" xr:uid="{00000000-0005-0000-0000-000098170000}"/>
    <cellStyle name="RowTitles1-Detail 2 2 2 2 10" xfId="6022" xr:uid="{00000000-0005-0000-0000-000099170000}"/>
    <cellStyle name="RowTitles1-Detail 2 2 2 2 10 2" xfId="6023" xr:uid="{00000000-0005-0000-0000-00009A170000}"/>
    <cellStyle name="RowTitles1-Detail 2 2 2 2 10 2 2" xfId="6024" xr:uid="{00000000-0005-0000-0000-00009B170000}"/>
    <cellStyle name="RowTitles1-Detail 2 2 2 2 10 2_Tertiary Salaries Survey" xfId="6025" xr:uid="{00000000-0005-0000-0000-00009C170000}"/>
    <cellStyle name="RowTitles1-Detail 2 2 2 2 10 3" xfId="6026" xr:uid="{00000000-0005-0000-0000-00009D170000}"/>
    <cellStyle name="RowTitles1-Detail 2 2 2 2 10_Tertiary Salaries Survey" xfId="6027" xr:uid="{00000000-0005-0000-0000-00009E170000}"/>
    <cellStyle name="RowTitles1-Detail 2 2 2 2 11" xfId="6028" xr:uid="{00000000-0005-0000-0000-00009F170000}"/>
    <cellStyle name="RowTitles1-Detail 2 2 2 2 12" xfId="6029" xr:uid="{00000000-0005-0000-0000-0000A0170000}"/>
    <cellStyle name="RowTitles1-Detail 2 2 2 2 2" xfId="6030" xr:uid="{00000000-0005-0000-0000-0000A1170000}"/>
    <cellStyle name="RowTitles1-Detail 2 2 2 2 2 2" xfId="6031" xr:uid="{00000000-0005-0000-0000-0000A2170000}"/>
    <cellStyle name="RowTitles1-Detail 2 2 2 2 2 2 2" xfId="6032" xr:uid="{00000000-0005-0000-0000-0000A3170000}"/>
    <cellStyle name="RowTitles1-Detail 2 2 2 2 2 2 2 2" xfId="6033" xr:uid="{00000000-0005-0000-0000-0000A4170000}"/>
    <cellStyle name="RowTitles1-Detail 2 2 2 2 2 2 2 2 2" xfId="6034" xr:uid="{00000000-0005-0000-0000-0000A5170000}"/>
    <cellStyle name="RowTitles1-Detail 2 2 2 2 2 2 2 2_Tertiary Salaries Survey" xfId="6035" xr:uid="{00000000-0005-0000-0000-0000A6170000}"/>
    <cellStyle name="RowTitles1-Detail 2 2 2 2 2 2 2 3" xfId="6036" xr:uid="{00000000-0005-0000-0000-0000A7170000}"/>
    <cellStyle name="RowTitles1-Detail 2 2 2 2 2 2 2_Tertiary Salaries Survey" xfId="6037" xr:uid="{00000000-0005-0000-0000-0000A8170000}"/>
    <cellStyle name="RowTitles1-Detail 2 2 2 2 2 2 3" xfId="6038" xr:uid="{00000000-0005-0000-0000-0000A9170000}"/>
    <cellStyle name="RowTitles1-Detail 2 2 2 2 2 2 3 2" xfId="6039" xr:uid="{00000000-0005-0000-0000-0000AA170000}"/>
    <cellStyle name="RowTitles1-Detail 2 2 2 2 2 2 3 2 2" xfId="6040" xr:uid="{00000000-0005-0000-0000-0000AB170000}"/>
    <cellStyle name="RowTitles1-Detail 2 2 2 2 2 2 3 2_Tertiary Salaries Survey" xfId="6041" xr:uid="{00000000-0005-0000-0000-0000AC170000}"/>
    <cellStyle name="RowTitles1-Detail 2 2 2 2 2 2 3 3" xfId="6042" xr:uid="{00000000-0005-0000-0000-0000AD170000}"/>
    <cellStyle name="RowTitles1-Detail 2 2 2 2 2 2 3_Tertiary Salaries Survey" xfId="6043" xr:uid="{00000000-0005-0000-0000-0000AE170000}"/>
    <cellStyle name="RowTitles1-Detail 2 2 2 2 2 2 4" xfId="6044" xr:uid="{00000000-0005-0000-0000-0000AF170000}"/>
    <cellStyle name="RowTitles1-Detail 2 2 2 2 2 2 5" xfId="6045" xr:uid="{00000000-0005-0000-0000-0000B0170000}"/>
    <cellStyle name="RowTitles1-Detail 2 2 2 2 2 2_Tertiary Salaries Survey" xfId="6046" xr:uid="{00000000-0005-0000-0000-0000B1170000}"/>
    <cellStyle name="RowTitles1-Detail 2 2 2 2 2 3" xfId="6047" xr:uid="{00000000-0005-0000-0000-0000B2170000}"/>
    <cellStyle name="RowTitles1-Detail 2 2 2 2 2 3 2" xfId="6048" xr:uid="{00000000-0005-0000-0000-0000B3170000}"/>
    <cellStyle name="RowTitles1-Detail 2 2 2 2 2 3 2 2" xfId="6049" xr:uid="{00000000-0005-0000-0000-0000B4170000}"/>
    <cellStyle name="RowTitles1-Detail 2 2 2 2 2 3 2 2 2" xfId="6050" xr:uid="{00000000-0005-0000-0000-0000B5170000}"/>
    <cellStyle name="RowTitles1-Detail 2 2 2 2 2 3 2 2_Tertiary Salaries Survey" xfId="6051" xr:uid="{00000000-0005-0000-0000-0000B6170000}"/>
    <cellStyle name="RowTitles1-Detail 2 2 2 2 2 3 2 3" xfId="6052" xr:uid="{00000000-0005-0000-0000-0000B7170000}"/>
    <cellStyle name="RowTitles1-Detail 2 2 2 2 2 3 2_Tertiary Salaries Survey" xfId="6053" xr:uid="{00000000-0005-0000-0000-0000B8170000}"/>
    <cellStyle name="RowTitles1-Detail 2 2 2 2 2 3 3" xfId="6054" xr:uid="{00000000-0005-0000-0000-0000B9170000}"/>
    <cellStyle name="RowTitles1-Detail 2 2 2 2 2 3 3 2" xfId="6055" xr:uid="{00000000-0005-0000-0000-0000BA170000}"/>
    <cellStyle name="RowTitles1-Detail 2 2 2 2 2 3 3 2 2" xfId="6056" xr:uid="{00000000-0005-0000-0000-0000BB170000}"/>
    <cellStyle name="RowTitles1-Detail 2 2 2 2 2 3 3 2_Tertiary Salaries Survey" xfId="6057" xr:uid="{00000000-0005-0000-0000-0000BC170000}"/>
    <cellStyle name="RowTitles1-Detail 2 2 2 2 2 3 3 3" xfId="6058" xr:uid="{00000000-0005-0000-0000-0000BD170000}"/>
    <cellStyle name="RowTitles1-Detail 2 2 2 2 2 3 3_Tertiary Salaries Survey" xfId="6059" xr:uid="{00000000-0005-0000-0000-0000BE170000}"/>
    <cellStyle name="RowTitles1-Detail 2 2 2 2 2 3 4" xfId="6060" xr:uid="{00000000-0005-0000-0000-0000BF170000}"/>
    <cellStyle name="RowTitles1-Detail 2 2 2 2 2 3 5" xfId="6061" xr:uid="{00000000-0005-0000-0000-0000C0170000}"/>
    <cellStyle name="RowTitles1-Detail 2 2 2 2 2 3 5 2" xfId="6062" xr:uid="{00000000-0005-0000-0000-0000C1170000}"/>
    <cellStyle name="RowTitles1-Detail 2 2 2 2 2 3 5_Tertiary Salaries Survey" xfId="6063" xr:uid="{00000000-0005-0000-0000-0000C2170000}"/>
    <cellStyle name="RowTitles1-Detail 2 2 2 2 2 3 6" xfId="6064" xr:uid="{00000000-0005-0000-0000-0000C3170000}"/>
    <cellStyle name="RowTitles1-Detail 2 2 2 2 2 3_Tertiary Salaries Survey" xfId="6065" xr:uid="{00000000-0005-0000-0000-0000C4170000}"/>
    <cellStyle name="RowTitles1-Detail 2 2 2 2 2 4" xfId="6066" xr:uid="{00000000-0005-0000-0000-0000C5170000}"/>
    <cellStyle name="RowTitles1-Detail 2 2 2 2 2 4 2" xfId="6067" xr:uid="{00000000-0005-0000-0000-0000C6170000}"/>
    <cellStyle name="RowTitles1-Detail 2 2 2 2 2 4 2 2" xfId="6068" xr:uid="{00000000-0005-0000-0000-0000C7170000}"/>
    <cellStyle name="RowTitles1-Detail 2 2 2 2 2 4 2 2 2" xfId="6069" xr:uid="{00000000-0005-0000-0000-0000C8170000}"/>
    <cellStyle name="RowTitles1-Detail 2 2 2 2 2 4 2 2_Tertiary Salaries Survey" xfId="6070" xr:uid="{00000000-0005-0000-0000-0000C9170000}"/>
    <cellStyle name="RowTitles1-Detail 2 2 2 2 2 4 2 3" xfId="6071" xr:uid="{00000000-0005-0000-0000-0000CA170000}"/>
    <cellStyle name="RowTitles1-Detail 2 2 2 2 2 4 2_Tertiary Salaries Survey" xfId="6072" xr:uid="{00000000-0005-0000-0000-0000CB170000}"/>
    <cellStyle name="RowTitles1-Detail 2 2 2 2 2 4 3" xfId="6073" xr:uid="{00000000-0005-0000-0000-0000CC170000}"/>
    <cellStyle name="RowTitles1-Detail 2 2 2 2 2 4 3 2" xfId="6074" xr:uid="{00000000-0005-0000-0000-0000CD170000}"/>
    <cellStyle name="RowTitles1-Detail 2 2 2 2 2 4 3 2 2" xfId="6075" xr:uid="{00000000-0005-0000-0000-0000CE170000}"/>
    <cellStyle name="RowTitles1-Detail 2 2 2 2 2 4 3 2_Tertiary Salaries Survey" xfId="6076" xr:uid="{00000000-0005-0000-0000-0000CF170000}"/>
    <cellStyle name="RowTitles1-Detail 2 2 2 2 2 4 3 3" xfId="6077" xr:uid="{00000000-0005-0000-0000-0000D0170000}"/>
    <cellStyle name="RowTitles1-Detail 2 2 2 2 2 4 3_Tertiary Salaries Survey" xfId="6078" xr:uid="{00000000-0005-0000-0000-0000D1170000}"/>
    <cellStyle name="RowTitles1-Detail 2 2 2 2 2 4 4" xfId="6079" xr:uid="{00000000-0005-0000-0000-0000D2170000}"/>
    <cellStyle name="RowTitles1-Detail 2 2 2 2 2 4 4 2" xfId="6080" xr:uid="{00000000-0005-0000-0000-0000D3170000}"/>
    <cellStyle name="RowTitles1-Detail 2 2 2 2 2 4 4_Tertiary Salaries Survey" xfId="6081" xr:uid="{00000000-0005-0000-0000-0000D4170000}"/>
    <cellStyle name="RowTitles1-Detail 2 2 2 2 2 4 5" xfId="6082" xr:uid="{00000000-0005-0000-0000-0000D5170000}"/>
    <cellStyle name="RowTitles1-Detail 2 2 2 2 2 4_Tertiary Salaries Survey" xfId="6083" xr:uid="{00000000-0005-0000-0000-0000D6170000}"/>
    <cellStyle name="RowTitles1-Detail 2 2 2 2 2 5" xfId="6084" xr:uid="{00000000-0005-0000-0000-0000D7170000}"/>
    <cellStyle name="RowTitles1-Detail 2 2 2 2 2 5 2" xfId="6085" xr:uid="{00000000-0005-0000-0000-0000D8170000}"/>
    <cellStyle name="RowTitles1-Detail 2 2 2 2 2 5 2 2" xfId="6086" xr:uid="{00000000-0005-0000-0000-0000D9170000}"/>
    <cellStyle name="RowTitles1-Detail 2 2 2 2 2 5 2 2 2" xfId="6087" xr:uid="{00000000-0005-0000-0000-0000DA170000}"/>
    <cellStyle name="RowTitles1-Detail 2 2 2 2 2 5 2 2_Tertiary Salaries Survey" xfId="6088" xr:uid="{00000000-0005-0000-0000-0000DB170000}"/>
    <cellStyle name="RowTitles1-Detail 2 2 2 2 2 5 2 3" xfId="6089" xr:uid="{00000000-0005-0000-0000-0000DC170000}"/>
    <cellStyle name="RowTitles1-Detail 2 2 2 2 2 5 2_Tertiary Salaries Survey" xfId="6090" xr:uid="{00000000-0005-0000-0000-0000DD170000}"/>
    <cellStyle name="RowTitles1-Detail 2 2 2 2 2 5 3" xfId="6091" xr:uid="{00000000-0005-0000-0000-0000DE170000}"/>
    <cellStyle name="RowTitles1-Detail 2 2 2 2 2 5 3 2" xfId="6092" xr:uid="{00000000-0005-0000-0000-0000DF170000}"/>
    <cellStyle name="RowTitles1-Detail 2 2 2 2 2 5 3 2 2" xfId="6093" xr:uid="{00000000-0005-0000-0000-0000E0170000}"/>
    <cellStyle name="RowTitles1-Detail 2 2 2 2 2 5 3 2_Tertiary Salaries Survey" xfId="6094" xr:uid="{00000000-0005-0000-0000-0000E1170000}"/>
    <cellStyle name="RowTitles1-Detail 2 2 2 2 2 5 3 3" xfId="6095" xr:uid="{00000000-0005-0000-0000-0000E2170000}"/>
    <cellStyle name="RowTitles1-Detail 2 2 2 2 2 5 3_Tertiary Salaries Survey" xfId="6096" xr:uid="{00000000-0005-0000-0000-0000E3170000}"/>
    <cellStyle name="RowTitles1-Detail 2 2 2 2 2 5 4" xfId="6097" xr:uid="{00000000-0005-0000-0000-0000E4170000}"/>
    <cellStyle name="RowTitles1-Detail 2 2 2 2 2 5 4 2" xfId="6098" xr:uid="{00000000-0005-0000-0000-0000E5170000}"/>
    <cellStyle name="RowTitles1-Detail 2 2 2 2 2 5 4_Tertiary Salaries Survey" xfId="6099" xr:uid="{00000000-0005-0000-0000-0000E6170000}"/>
    <cellStyle name="RowTitles1-Detail 2 2 2 2 2 5 5" xfId="6100" xr:uid="{00000000-0005-0000-0000-0000E7170000}"/>
    <cellStyle name="RowTitles1-Detail 2 2 2 2 2 5_Tertiary Salaries Survey" xfId="6101" xr:uid="{00000000-0005-0000-0000-0000E8170000}"/>
    <cellStyle name="RowTitles1-Detail 2 2 2 2 2 6" xfId="6102" xr:uid="{00000000-0005-0000-0000-0000E9170000}"/>
    <cellStyle name="RowTitles1-Detail 2 2 2 2 2 6 2" xfId="6103" xr:uid="{00000000-0005-0000-0000-0000EA170000}"/>
    <cellStyle name="RowTitles1-Detail 2 2 2 2 2 6 2 2" xfId="6104" xr:uid="{00000000-0005-0000-0000-0000EB170000}"/>
    <cellStyle name="RowTitles1-Detail 2 2 2 2 2 6 2 2 2" xfId="6105" xr:uid="{00000000-0005-0000-0000-0000EC170000}"/>
    <cellStyle name="RowTitles1-Detail 2 2 2 2 2 6 2 2_Tertiary Salaries Survey" xfId="6106" xr:uid="{00000000-0005-0000-0000-0000ED170000}"/>
    <cellStyle name="RowTitles1-Detail 2 2 2 2 2 6 2 3" xfId="6107" xr:uid="{00000000-0005-0000-0000-0000EE170000}"/>
    <cellStyle name="RowTitles1-Detail 2 2 2 2 2 6 2_Tertiary Salaries Survey" xfId="6108" xr:uid="{00000000-0005-0000-0000-0000EF170000}"/>
    <cellStyle name="RowTitles1-Detail 2 2 2 2 2 6 3" xfId="6109" xr:uid="{00000000-0005-0000-0000-0000F0170000}"/>
    <cellStyle name="RowTitles1-Detail 2 2 2 2 2 6 3 2" xfId="6110" xr:uid="{00000000-0005-0000-0000-0000F1170000}"/>
    <cellStyle name="RowTitles1-Detail 2 2 2 2 2 6 3 2 2" xfId="6111" xr:uid="{00000000-0005-0000-0000-0000F2170000}"/>
    <cellStyle name="RowTitles1-Detail 2 2 2 2 2 6 3 2_Tertiary Salaries Survey" xfId="6112" xr:uid="{00000000-0005-0000-0000-0000F3170000}"/>
    <cellStyle name="RowTitles1-Detail 2 2 2 2 2 6 3 3" xfId="6113" xr:uid="{00000000-0005-0000-0000-0000F4170000}"/>
    <cellStyle name="RowTitles1-Detail 2 2 2 2 2 6 3_Tertiary Salaries Survey" xfId="6114" xr:uid="{00000000-0005-0000-0000-0000F5170000}"/>
    <cellStyle name="RowTitles1-Detail 2 2 2 2 2 6 4" xfId="6115" xr:uid="{00000000-0005-0000-0000-0000F6170000}"/>
    <cellStyle name="RowTitles1-Detail 2 2 2 2 2 6 4 2" xfId="6116" xr:uid="{00000000-0005-0000-0000-0000F7170000}"/>
    <cellStyle name="RowTitles1-Detail 2 2 2 2 2 6 4_Tertiary Salaries Survey" xfId="6117" xr:uid="{00000000-0005-0000-0000-0000F8170000}"/>
    <cellStyle name="RowTitles1-Detail 2 2 2 2 2 6 5" xfId="6118" xr:uid="{00000000-0005-0000-0000-0000F9170000}"/>
    <cellStyle name="RowTitles1-Detail 2 2 2 2 2 6_Tertiary Salaries Survey" xfId="6119" xr:uid="{00000000-0005-0000-0000-0000FA170000}"/>
    <cellStyle name="RowTitles1-Detail 2 2 2 2 2 7" xfId="6120" xr:uid="{00000000-0005-0000-0000-0000FB170000}"/>
    <cellStyle name="RowTitles1-Detail 2 2 2 2 2 7 2" xfId="6121" xr:uid="{00000000-0005-0000-0000-0000FC170000}"/>
    <cellStyle name="RowTitles1-Detail 2 2 2 2 2 7 2 2" xfId="6122" xr:uid="{00000000-0005-0000-0000-0000FD170000}"/>
    <cellStyle name="RowTitles1-Detail 2 2 2 2 2 7 2_Tertiary Salaries Survey" xfId="6123" xr:uid="{00000000-0005-0000-0000-0000FE170000}"/>
    <cellStyle name="RowTitles1-Detail 2 2 2 2 2 7 3" xfId="6124" xr:uid="{00000000-0005-0000-0000-0000FF170000}"/>
    <cellStyle name="RowTitles1-Detail 2 2 2 2 2 7_Tertiary Salaries Survey" xfId="6125" xr:uid="{00000000-0005-0000-0000-000000180000}"/>
    <cellStyle name="RowTitles1-Detail 2 2 2 2 2 8" xfId="6126" xr:uid="{00000000-0005-0000-0000-000001180000}"/>
    <cellStyle name="RowTitles1-Detail 2 2 2 2 2 9" xfId="6127" xr:uid="{00000000-0005-0000-0000-000002180000}"/>
    <cellStyle name="RowTitles1-Detail 2 2 2 2 2_STUD aligned by INSTIT" xfId="6128" xr:uid="{00000000-0005-0000-0000-000003180000}"/>
    <cellStyle name="RowTitles1-Detail 2 2 2 2 3" xfId="6129" xr:uid="{00000000-0005-0000-0000-000004180000}"/>
    <cellStyle name="RowTitles1-Detail 2 2 2 2 3 2" xfId="6130" xr:uid="{00000000-0005-0000-0000-000005180000}"/>
    <cellStyle name="RowTitles1-Detail 2 2 2 2 3 2 2" xfId="6131" xr:uid="{00000000-0005-0000-0000-000006180000}"/>
    <cellStyle name="RowTitles1-Detail 2 2 2 2 3 2 2 2" xfId="6132" xr:uid="{00000000-0005-0000-0000-000007180000}"/>
    <cellStyle name="RowTitles1-Detail 2 2 2 2 3 2 2 2 2" xfId="6133" xr:uid="{00000000-0005-0000-0000-000008180000}"/>
    <cellStyle name="RowTitles1-Detail 2 2 2 2 3 2 2 2_Tertiary Salaries Survey" xfId="6134" xr:uid="{00000000-0005-0000-0000-000009180000}"/>
    <cellStyle name="RowTitles1-Detail 2 2 2 2 3 2 2 3" xfId="6135" xr:uid="{00000000-0005-0000-0000-00000A180000}"/>
    <cellStyle name="RowTitles1-Detail 2 2 2 2 3 2 2_Tertiary Salaries Survey" xfId="6136" xr:uid="{00000000-0005-0000-0000-00000B180000}"/>
    <cellStyle name="RowTitles1-Detail 2 2 2 2 3 2 3" xfId="6137" xr:uid="{00000000-0005-0000-0000-00000C180000}"/>
    <cellStyle name="RowTitles1-Detail 2 2 2 2 3 2 3 2" xfId="6138" xr:uid="{00000000-0005-0000-0000-00000D180000}"/>
    <cellStyle name="RowTitles1-Detail 2 2 2 2 3 2 3 2 2" xfId="6139" xr:uid="{00000000-0005-0000-0000-00000E180000}"/>
    <cellStyle name="RowTitles1-Detail 2 2 2 2 3 2 3 2_Tertiary Salaries Survey" xfId="6140" xr:uid="{00000000-0005-0000-0000-00000F180000}"/>
    <cellStyle name="RowTitles1-Detail 2 2 2 2 3 2 3 3" xfId="6141" xr:uid="{00000000-0005-0000-0000-000010180000}"/>
    <cellStyle name="RowTitles1-Detail 2 2 2 2 3 2 3_Tertiary Salaries Survey" xfId="6142" xr:uid="{00000000-0005-0000-0000-000011180000}"/>
    <cellStyle name="RowTitles1-Detail 2 2 2 2 3 2 4" xfId="6143" xr:uid="{00000000-0005-0000-0000-000012180000}"/>
    <cellStyle name="RowTitles1-Detail 2 2 2 2 3 2 5" xfId="6144" xr:uid="{00000000-0005-0000-0000-000013180000}"/>
    <cellStyle name="RowTitles1-Detail 2 2 2 2 3 2 5 2" xfId="6145" xr:uid="{00000000-0005-0000-0000-000014180000}"/>
    <cellStyle name="RowTitles1-Detail 2 2 2 2 3 2 5_Tertiary Salaries Survey" xfId="6146" xr:uid="{00000000-0005-0000-0000-000015180000}"/>
    <cellStyle name="RowTitles1-Detail 2 2 2 2 3 2 6" xfId="6147" xr:uid="{00000000-0005-0000-0000-000016180000}"/>
    <cellStyle name="RowTitles1-Detail 2 2 2 2 3 2_Tertiary Salaries Survey" xfId="6148" xr:uid="{00000000-0005-0000-0000-000017180000}"/>
    <cellStyle name="RowTitles1-Detail 2 2 2 2 3 3" xfId="6149" xr:uid="{00000000-0005-0000-0000-000018180000}"/>
    <cellStyle name="RowTitles1-Detail 2 2 2 2 3 3 2" xfId="6150" xr:uid="{00000000-0005-0000-0000-000019180000}"/>
    <cellStyle name="RowTitles1-Detail 2 2 2 2 3 3 2 2" xfId="6151" xr:uid="{00000000-0005-0000-0000-00001A180000}"/>
    <cellStyle name="RowTitles1-Detail 2 2 2 2 3 3 2 2 2" xfId="6152" xr:uid="{00000000-0005-0000-0000-00001B180000}"/>
    <cellStyle name="RowTitles1-Detail 2 2 2 2 3 3 2 2_Tertiary Salaries Survey" xfId="6153" xr:uid="{00000000-0005-0000-0000-00001C180000}"/>
    <cellStyle name="RowTitles1-Detail 2 2 2 2 3 3 2 3" xfId="6154" xr:uid="{00000000-0005-0000-0000-00001D180000}"/>
    <cellStyle name="RowTitles1-Detail 2 2 2 2 3 3 2_Tertiary Salaries Survey" xfId="6155" xr:uid="{00000000-0005-0000-0000-00001E180000}"/>
    <cellStyle name="RowTitles1-Detail 2 2 2 2 3 3 3" xfId="6156" xr:uid="{00000000-0005-0000-0000-00001F180000}"/>
    <cellStyle name="RowTitles1-Detail 2 2 2 2 3 3 3 2" xfId="6157" xr:uid="{00000000-0005-0000-0000-000020180000}"/>
    <cellStyle name="RowTitles1-Detail 2 2 2 2 3 3 3 2 2" xfId="6158" xr:uid="{00000000-0005-0000-0000-000021180000}"/>
    <cellStyle name="RowTitles1-Detail 2 2 2 2 3 3 3 2_Tertiary Salaries Survey" xfId="6159" xr:uid="{00000000-0005-0000-0000-000022180000}"/>
    <cellStyle name="RowTitles1-Detail 2 2 2 2 3 3 3 3" xfId="6160" xr:uid="{00000000-0005-0000-0000-000023180000}"/>
    <cellStyle name="RowTitles1-Detail 2 2 2 2 3 3 3_Tertiary Salaries Survey" xfId="6161" xr:uid="{00000000-0005-0000-0000-000024180000}"/>
    <cellStyle name="RowTitles1-Detail 2 2 2 2 3 3 4" xfId="6162" xr:uid="{00000000-0005-0000-0000-000025180000}"/>
    <cellStyle name="RowTitles1-Detail 2 2 2 2 3 3 5" xfId="6163" xr:uid="{00000000-0005-0000-0000-000026180000}"/>
    <cellStyle name="RowTitles1-Detail 2 2 2 2 3 3_Tertiary Salaries Survey" xfId="6164" xr:uid="{00000000-0005-0000-0000-000027180000}"/>
    <cellStyle name="RowTitles1-Detail 2 2 2 2 3 4" xfId="6165" xr:uid="{00000000-0005-0000-0000-000028180000}"/>
    <cellStyle name="RowTitles1-Detail 2 2 2 2 3 4 2" xfId="6166" xr:uid="{00000000-0005-0000-0000-000029180000}"/>
    <cellStyle name="RowTitles1-Detail 2 2 2 2 3 4 2 2" xfId="6167" xr:uid="{00000000-0005-0000-0000-00002A180000}"/>
    <cellStyle name="RowTitles1-Detail 2 2 2 2 3 4 2 2 2" xfId="6168" xr:uid="{00000000-0005-0000-0000-00002B180000}"/>
    <cellStyle name="RowTitles1-Detail 2 2 2 2 3 4 2 2_Tertiary Salaries Survey" xfId="6169" xr:uid="{00000000-0005-0000-0000-00002C180000}"/>
    <cellStyle name="RowTitles1-Detail 2 2 2 2 3 4 2 3" xfId="6170" xr:uid="{00000000-0005-0000-0000-00002D180000}"/>
    <cellStyle name="RowTitles1-Detail 2 2 2 2 3 4 2_Tertiary Salaries Survey" xfId="6171" xr:uid="{00000000-0005-0000-0000-00002E180000}"/>
    <cellStyle name="RowTitles1-Detail 2 2 2 2 3 4 3" xfId="6172" xr:uid="{00000000-0005-0000-0000-00002F180000}"/>
    <cellStyle name="RowTitles1-Detail 2 2 2 2 3 4 3 2" xfId="6173" xr:uid="{00000000-0005-0000-0000-000030180000}"/>
    <cellStyle name="RowTitles1-Detail 2 2 2 2 3 4 3 2 2" xfId="6174" xr:uid="{00000000-0005-0000-0000-000031180000}"/>
    <cellStyle name="RowTitles1-Detail 2 2 2 2 3 4 3 2_Tertiary Salaries Survey" xfId="6175" xr:uid="{00000000-0005-0000-0000-000032180000}"/>
    <cellStyle name="RowTitles1-Detail 2 2 2 2 3 4 3 3" xfId="6176" xr:uid="{00000000-0005-0000-0000-000033180000}"/>
    <cellStyle name="RowTitles1-Detail 2 2 2 2 3 4 3_Tertiary Salaries Survey" xfId="6177" xr:uid="{00000000-0005-0000-0000-000034180000}"/>
    <cellStyle name="RowTitles1-Detail 2 2 2 2 3 4 4" xfId="6178" xr:uid="{00000000-0005-0000-0000-000035180000}"/>
    <cellStyle name="RowTitles1-Detail 2 2 2 2 3 4 4 2" xfId="6179" xr:uid="{00000000-0005-0000-0000-000036180000}"/>
    <cellStyle name="RowTitles1-Detail 2 2 2 2 3 4 4_Tertiary Salaries Survey" xfId="6180" xr:uid="{00000000-0005-0000-0000-000037180000}"/>
    <cellStyle name="RowTitles1-Detail 2 2 2 2 3 4 5" xfId="6181" xr:uid="{00000000-0005-0000-0000-000038180000}"/>
    <cellStyle name="RowTitles1-Detail 2 2 2 2 3 4_Tertiary Salaries Survey" xfId="6182" xr:uid="{00000000-0005-0000-0000-000039180000}"/>
    <cellStyle name="RowTitles1-Detail 2 2 2 2 3 5" xfId="6183" xr:uid="{00000000-0005-0000-0000-00003A180000}"/>
    <cellStyle name="RowTitles1-Detail 2 2 2 2 3 5 2" xfId="6184" xr:uid="{00000000-0005-0000-0000-00003B180000}"/>
    <cellStyle name="RowTitles1-Detail 2 2 2 2 3 5 2 2" xfId="6185" xr:uid="{00000000-0005-0000-0000-00003C180000}"/>
    <cellStyle name="RowTitles1-Detail 2 2 2 2 3 5 2 2 2" xfId="6186" xr:uid="{00000000-0005-0000-0000-00003D180000}"/>
    <cellStyle name="RowTitles1-Detail 2 2 2 2 3 5 2 2_Tertiary Salaries Survey" xfId="6187" xr:uid="{00000000-0005-0000-0000-00003E180000}"/>
    <cellStyle name="RowTitles1-Detail 2 2 2 2 3 5 2 3" xfId="6188" xr:uid="{00000000-0005-0000-0000-00003F180000}"/>
    <cellStyle name="RowTitles1-Detail 2 2 2 2 3 5 2_Tertiary Salaries Survey" xfId="6189" xr:uid="{00000000-0005-0000-0000-000040180000}"/>
    <cellStyle name="RowTitles1-Detail 2 2 2 2 3 5 3" xfId="6190" xr:uid="{00000000-0005-0000-0000-000041180000}"/>
    <cellStyle name="RowTitles1-Detail 2 2 2 2 3 5 3 2" xfId="6191" xr:uid="{00000000-0005-0000-0000-000042180000}"/>
    <cellStyle name="RowTitles1-Detail 2 2 2 2 3 5 3 2 2" xfId="6192" xr:uid="{00000000-0005-0000-0000-000043180000}"/>
    <cellStyle name="RowTitles1-Detail 2 2 2 2 3 5 3 2_Tertiary Salaries Survey" xfId="6193" xr:uid="{00000000-0005-0000-0000-000044180000}"/>
    <cellStyle name="RowTitles1-Detail 2 2 2 2 3 5 3 3" xfId="6194" xr:uid="{00000000-0005-0000-0000-000045180000}"/>
    <cellStyle name="RowTitles1-Detail 2 2 2 2 3 5 3_Tertiary Salaries Survey" xfId="6195" xr:uid="{00000000-0005-0000-0000-000046180000}"/>
    <cellStyle name="RowTitles1-Detail 2 2 2 2 3 5 4" xfId="6196" xr:uid="{00000000-0005-0000-0000-000047180000}"/>
    <cellStyle name="RowTitles1-Detail 2 2 2 2 3 5 4 2" xfId="6197" xr:uid="{00000000-0005-0000-0000-000048180000}"/>
    <cellStyle name="RowTitles1-Detail 2 2 2 2 3 5 4_Tertiary Salaries Survey" xfId="6198" xr:uid="{00000000-0005-0000-0000-000049180000}"/>
    <cellStyle name="RowTitles1-Detail 2 2 2 2 3 5 5" xfId="6199" xr:uid="{00000000-0005-0000-0000-00004A180000}"/>
    <cellStyle name="RowTitles1-Detail 2 2 2 2 3 5_Tertiary Salaries Survey" xfId="6200" xr:uid="{00000000-0005-0000-0000-00004B180000}"/>
    <cellStyle name="RowTitles1-Detail 2 2 2 2 3 6" xfId="6201" xr:uid="{00000000-0005-0000-0000-00004C180000}"/>
    <cellStyle name="RowTitles1-Detail 2 2 2 2 3 6 2" xfId="6202" xr:uid="{00000000-0005-0000-0000-00004D180000}"/>
    <cellStyle name="RowTitles1-Detail 2 2 2 2 3 6 2 2" xfId="6203" xr:uid="{00000000-0005-0000-0000-00004E180000}"/>
    <cellStyle name="RowTitles1-Detail 2 2 2 2 3 6 2 2 2" xfId="6204" xr:uid="{00000000-0005-0000-0000-00004F180000}"/>
    <cellStyle name="RowTitles1-Detail 2 2 2 2 3 6 2 2_Tertiary Salaries Survey" xfId="6205" xr:uid="{00000000-0005-0000-0000-000050180000}"/>
    <cellStyle name="RowTitles1-Detail 2 2 2 2 3 6 2 3" xfId="6206" xr:uid="{00000000-0005-0000-0000-000051180000}"/>
    <cellStyle name="RowTitles1-Detail 2 2 2 2 3 6 2_Tertiary Salaries Survey" xfId="6207" xr:uid="{00000000-0005-0000-0000-000052180000}"/>
    <cellStyle name="RowTitles1-Detail 2 2 2 2 3 6 3" xfId="6208" xr:uid="{00000000-0005-0000-0000-000053180000}"/>
    <cellStyle name="RowTitles1-Detail 2 2 2 2 3 6 3 2" xfId="6209" xr:uid="{00000000-0005-0000-0000-000054180000}"/>
    <cellStyle name="RowTitles1-Detail 2 2 2 2 3 6 3 2 2" xfId="6210" xr:uid="{00000000-0005-0000-0000-000055180000}"/>
    <cellStyle name="RowTitles1-Detail 2 2 2 2 3 6 3 2_Tertiary Salaries Survey" xfId="6211" xr:uid="{00000000-0005-0000-0000-000056180000}"/>
    <cellStyle name="RowTitles1-Detail 2 2 2 2 3 6 3 3" xfId="6212" xr:uid="{00000000-0005-0000-0000-000057180000}"/>
    <cellStyle name="RowTitles1-Detail 2 2 2 2 3 6 3_Tertiary Salaries Survey" xfId="6213" xr:uid="{00000000-0005-0000-0000-000058180000}"/>
    <cellStyle name="RowTitles1-Detail 2 2 2 2 3 6 4" xfId="6214" xr:uid="{00000000-0005-0000-0000-000059180000}"/>
    <cellStyle name="RowTitles1-Detail 2 2 2 2 3 6 4 2" xfId="6215" xr:uid="{00000000-0005-0000-0000-00005A180000}"/>
    <cellStyle name="RowTitles1-Detail 2 2 2 2 3 6 4_Tertiary Salaries Survey" xfId="6216" xr:uid="{00000000-0005-0000-0000-00005B180000}"/>
    <cellStyle name="RowTitles1-Detail 2 2 2 2 3 6 5" xfId="6217" xr:uid="{00000000-0005-0000-0000-00005C180000}"/>
    <cellStyle name="RowTitles1-Detail 2 2 2 2 3 6_Tertiary Salaries Survey" xfId="6218" xr:uid="{00000000-0005-0000-0000-00005D180000}"/>
    <cellStyle name="RowTitles1-Detail 2 2 2 2 3 7" xfId="6219" xr:uid="{00000000-0005-0000-0000-00005E180000}"/>
    <cellStyle name="RowTitles1-Detail 2 2 2 2 3 7 2" xfId="6220" xr:uid="{00000000-0005-0000-0000-00005F180000}"/>
    <cellStyle name="RowTitles1-Detail 2 2 2 2 3 7 2 2" xfId="6221" xr:uid="{00000000-0005-0000-0000-000060180000}"/>
    <cellStyle name="RowTitles1-Detail 2 2 2 2 3 7 2_Tertiary Salaries Survey" xfId="6222" xr:uid="{00000000-0005-0000-0000-000061180000}"/>
    <cellStyle name="RowTitles1-Detail 2 2 2 2 3 7 3" xfId="6223" xr:uid="{00000000-0005-0000-0000-000062180000}"/>
    <cellStyle name="RowTitles1-Detail 2 2 2 2 3 7_Tertiary Salaries Survey" xfId="6224" xr:uid="{00000000-0005-0000-0000-000063180000}"/>
    <cellStyle name="RowTitles1-Detail 2 2 2 2 3 8" xfId="6225" xr:uid="{00000000-0005-0000-0000-000064180000}"/>
    <cellStyle name="RowTitles1-Detail 2 2 2 2 3 8 2" xfId="6226" xr:uid="{00000000-0005-0000-0000-000065180000}"/>
    <cellStyle name="RowTitles1-Detail 2 2 2 2 3 8 2 2" xfId="6227" xr:uid="{00000000-0005-0000-0000-000066180000}"/>
    <cellStyle name="RowTitles1-Detail 2 2 2 2 3 8 2_Tertiary Salaries Survey" xfId="6228" xr:uid="{00000000-0005-0000-0000-000067180000}"/>
    <cellStyle name="RowTitles1-Detail 2 2 2 2 3 8 3" xfId="6229" xr:uid="{00000000-0005-0000-0000-000068180000}"/>
    <cellStyle name="RowTitles1-Detail 2 2 2 2 3 8_Tertiary Salaries Survey" xfId="6230" xr:uid="{00000000-0005-0000-0000-000069180000}"/>
    <cellStyle name="RowTitles1-Detail 2 2 2 2 3 9" xfId="6231" xr:uid="{00000000-0005-0000-0000-00006A180000}"/>
    <cellStyle name="RowTitles1-Detail 2 2 2 2 3_STUD aligned by INSTIT" xfId="6232" xr:uid="{00000000-0005-0000-0000-00006B180000}"/>
    <cellStyle name="RowTitles1-Detail 2 2 2 2 4" xfId="6233" xr:uid="{00000000-0005-0000-0000-00006C180000}"/>
    <cellStyle name="RowTitles1-Detail 2 2 2 2 4 2" xfId="6234" xr:uid="{00000000-0005-0000-0000-00006D180000}"/>
    <cellStyle name="RowTitles1-Detail 2 2 2 2 4 2 2" xfId="6235" xr:uid="{00000000-0005-0000-0000-00006E180000}"/>
    <cellStyle name="RowTitles1-Detail 2 2 2 2 4 2 2 2" xfId="6236" xr:uid="{00000000-0005-0000-0000-00006F180000}"/>
    <cellStyle name="RowTitles1-Detail 2 2 2 2 4 2 2 2 2" xfId="6237" xr:uid="{00000000-0005-0000-0000-000070180000}"/>
    <cellStyle name="RowTitles1-Detail 2 2 2 2 4 2 2 2_Tertiary Salaries Survey" xfId="6238" xr:uid="{00000000-0005-0000-0000-000071180000}"/>
    <cellStyle name="RowTitles1-Detail 2 2 2 2 4 2 2 3" xfId="6239" xr:uid="{00000000-0005-0000-0000-000072180000}"/>
    <cellStyle name="RowTitles1-Detail 2 2 2 2 4 2 2_Tertiary Salaries Survey" xfId="6240" xr:uid="{00000000-0005-0000-0000-000073180000}"/>
    <cellStyle name="RowTitles1-Detail 2 2 2 2 4 2 3" xfId="6241" xr:uid="{00000000-0005-0000-0000-000074180000}"/>
    <cellStyle name="RowTitles1-Detail 2 2 2 2 4 2 3 2" xfId="6242" xr:uid="{00000000-0005-0000-0000-000075180000}"/>
    <cellStyle name="RowTitles1-Detail 2 2 2 2 4 2 3 2 2" xfId="6243" xr:uid="{00000000-0005-0000-0000-000076180000}"/>
    <cellStyle name="RowTitles1-Detail 2 2 2 2 4 2 3 2_Tertiary Salaries Survey" xfId="6244" xr:uid="{00000000-0005-0000-0000-000077180000}"/>
    <cellStyle name="RowTitles1-Detail 2 2 2 2 4 2 3 3" xfId="6245" xr:uid="{00000000-0005-0000-0000-000078180000}"/>
    <cellStyle name="RowTitles1-Detail 2 2 2 2 4 2 3_Tertiary Salaries Survey" xfId="6246" xr:uid="{00000000-0005-0000-0000-000079180000}"/>
    <cellStyle name="RowTitles1-Detail 2 2 2 2 4 2 4" xfId="6247" xr:uid="{00000000-0005-0000-0000-00007A180000}"/>
    <cellStyle name="RowTitles1-Detail 2 2 2 2 4 2 5" xfId="6248" xr:uid="{00000000-0005-0000-0000-00007B180000}"/>
    <cellStyle name="RowTitles1-Detail 2 2 2 2 4 2 5 2" xfId="6249" xr:uid="{00000000-0005-0000-0000-00007C180000}"/>
    <cellStyle name="RowTitles1-Detail 2 2 2 2 4 2 5_Tertiary Salaries Survey" xfId="6250" xr:uid="{00000000-0005-0000-0000-00007D180000}"/>
    <cellStyle name="RowTitles1-Detail 2 2 2 2 4 2 6" xfId="6251" xr:uid="{00000000-0005-0000-0000-00007E180000}"/>
    <cellStyle name="RowTitles1-Detail 2 2 2 2 4 2_Tertiary Salaries Survey" xfId="6252" xr:uid="{00000000-0005-0000-0000-00007F180000}"/>
    <cellStyle name="RowTitles1-Detail 2 2 2 2 4 3" xfId="6253" xr:uid="{00000000-0005-0000-0000-000080180000}"/>
    <cellStyle name="RowTitles1-Detail 2 2 2 2 4 3 2" xfId="6254" xr:uid="{00000000-0005-0000-0000-000081180000}"/>
    <cellStyle name="RowTitles1-Detail 2 2 2 2 4 3 2 2" xfId="6255" xr:uid="{00000000-0005-0000-0000-000082180000}"/>
    <cellStyle name="RowTitles1-Detail 2 2 2 2 4 3 2 2 2" xfId="6256" xr:uid="{00000000-0005-0000-0000-000083180000}"/>
    <cellStyle name="RowTitles1-Detail 2 2 2 2 4 3 2 2_Tertiary Salaries Survey" xfId="6257" xr:uid="{00000000-0005-0000-0000-000084180000}"/>
    <cellStyle name="RowTitles1-Detail 2 2 2 2 4 3 2 3" xfId="6258" xr:uid="{00000000-0005-0000-0000-000085180000}"/>
    <cellStyle name="RowTitles1-Detail 2 2 2 2 4 3 2_Tertiary Salaries Survey" xfId="6259" xr:uid="{00000000-0005-0000-0000-000086180000}"/>
    <cellStyle name="RowTitles1-Detail 2 2 2 2 4 3 3" xfId="6260" xr:uid="{00000000-0005-0000-0000-000087180000}"/>
    <cellStyle name="RowTitles1-Detail 2 2 2 2 4 3 3 2" xfId="6261" xr:uid="{00000000-0005-0000-0000-000088180000}"/>
    <cellStyle name="RowTitles1-Detail 2 2 2 2 4 3 3 2 2" xfId="6262" xr:uid="{00000000-0005-0000-0000-000089180000}"/>
    <cellStyle name="RowTitles1-Detail 2 2 2 2 4 3 3 2_Tertiary Salaries Survey" xfId="6263" xr:uid="{00000000-0005-0000-0000-00008A180000}"/>
    <cellStyle name="RowTitles1-Detail 2 2 2 2 4 3 3 3" xfId="6264" xr:uid="{00000000-0005-0000-0000-00008B180000}"/>
    <cellStyle name="RowTitles1-Detail 2 2 2 2 4 3 3_Tertiary Salaries Survey" xfId="6265" xr:uid="{00000000-0005-0000-0000-00008C180000}"/>
    <cellStyle name="RowTitles1-Detail 2 2 2 2 4 3 4" xfId="6266" xr:uid="{00000000-0005-0000-0000-00008D180000}"/>
    <cellStyle name="RowTitles1-Detail 2 2 2 2 4 3 5" xfId="6267" xr:uid="{00000000-0005-0000-0000-00008E180000}"/>
    <cellStyle name="RowTitles1-Detail 2 2 2 2 4 3_Tertiary Salaries Survey" xfId="6268" xr:uid="{00000000-0005-0000-0000-00008F180000}"/>
    <cellStyle name="RowTitles1-Detail 2 2 2 2 4 4" xfId="6269" xr:uid="{00000000-0005-0000-0000-000090180000}"/>
    <cellStyle name="RowTitles1-Detail 2 2 2 2 4 4 2" xfId="6270" xr:uid="{00000000-0005-0000-0000-000091180000}"/>
    <cellStyle name="RowTitles1-Detail 2 2 2 2 4 4 2 2" xfId="6271" xr:uid="{00000000-0005-0000-0000-000092180000}"/>
    <cellStyle name="RowTitles1-Detail 2 2 2 2 4 4 2 2 2" xfId="6272" xr:uid="{00000000-0005-0000-0000-000093180000}"/>
    <cellStyle name="RowTitles1-Detail 2 2 2 2 4 4 2 2_Tertiary Salaries Survey" xfId="6273" xr:uid="{00000000-0005-0000-0000-000094180000}"/>
    <cellStyle name="RowTitles1-Detail 2 2 2 2 4 4 2 3" xfId="6274" xr:uid="{00000000-0005-0000-0000-000095180000}"/>
    <cellStyle name="RowTitles1-Detail 2 2 2 2 4 4 2_Tertiary Salaries Survey" xfId="6275" xr:uid="{00000000-0005-0000-0000-000096180000}"/>
    <cellStyle name="RowTitles1-Detail 2 2 2 2 4 4 3" xfId="6276" xr:uid="{00000000-0005-0000-0000-000097180000}"/>
    <cellStyle name="RowTitles1-Detail 2 2 2 2 4 4 3 2" xfId="6277" xr:uid="{00000000-0005-0000-0000-000098180000}"/>
    <cellStyle name="RowTitles1-Detail 2 2 2 2 4 4 3 2 2" xfId="6278" xr:uid="{00000000-0005-0000-0000-000099180000}"/>
    <cellStyle name="RowTitles1-Detail 2 2 2 2 4 4 3 2_Tertiary Salaries Survey" xfId="6279" xr:uid="{00000000-0005-0000-0000-00009A180000}"/>
    <cellStyle name="RowTitles1-Detail 2 2 2 2 4 4 3 3" xfId="6280" xr:uid="{00000000-0005-0000-0000-00009B180000}"/>
    <cellStyle name="RowTitles1-Detail 2 2 2 2 4 4 3_Tertiary Salaries Survey" xfId="6281" xr:uid="{00000000-0005-0000-0000-00009C180000}"/>
    <cellStyle name="RowTitles1-Detail 2 2 2 2 4 4 4" xfId="6282" xr:uid="{00000000-0005-0000-0000-00009D180000}"/>
    <cellStyle name="RowTitles1-Detail 2 2 2 2 4 4 5" xfId="6283" xr:uid="{00000000-0005-0000-0000-00009E180000}"/>
    <cellStyle name="RowTitles1-Detail 2 2 2 2 4 4 5 2" xfId="6284" xr:uid="{00000000-0005-0000-0000-00009F180000}"/>
    <cellStyle name="RowTitles1-Detail 2 2 2 2 4 4 5_Tertiary Salaries Survey" xfId="6285" xr:uid="{00000000-0005-0000-0000-0000A0180000}"/>
    <cellStyle name="RowTitles1-Detail 2 2 2 2 4 4 6" xfId="6286" xr:uid="{00000000-0005-0000-0000-0000A1180000}"/>
    <cellStyle name="RowTitles1-Detail 2 2 2 2 4 4_Tertiary Salaries Survey" xfId="6287" xr:uid="{00000000-0005-0000-0000-0000A2180000}"/>
    <cellStyle name="RowTitles1-Detail 2 2 2 2 4 5" xfId="6288" xr:uid="{00000000-0005-0000-0000-0000A3180000}"/>
    <cellStyle name="RowTitles1-Detail 2 2 2 2 4 5 2" xfId="6289" xr:uid="{00000000-0005-0000-0000-0000A4180000}"/>
    <cellStyle name="RowTitles1-Detail 2 2 2 2 4 5 2 2" xfId="6290" xr:uid="{00000000-0005-0000-0000-0000A5180000}"/>
    <cellStyle name="RowTitles1-Detail 2 2 2 2 4 5 2 2 2" xfId="6291" xr:uid="{00000000-0005-0000-0000-0000A6180000}"/>
    <cellStyle name="RowTitles1-Detail 2 2 2 2 4 5 2 2_Tertiary Salaries Survey" xfId="6292" xr:uid="{00000000-0005-0000-0000-0000A7180000}"/>
    <cellStyle name="RowTitles1-Detail 2 2 2 2 4 5 2 3" xfId="6293" xr:uid="{00000000-0005-0000-0000-0000A8180000}"/>
    <cellStyle name="RowTitles1-Detail 2 2 2 2 4 5 2_Tertiary Salaries Survey" xfId="6294" xr:uid="{00000000-0005-0000-0000-0000A9180000}"/>
    <cellStyle name="RowTitles1-Detail 2 2 2 2 4 5 3" xfId="6295" xr:uid="{00000000-0005-0000-0000-0000AA180000}"/>
    <cellStyle name="RowTitles1-Detail 2 2 2 2 4 5 3 2" xfId="6296" xr:uid="{00000000-0005-0000-0000-0000AB180000}"/>
    <cellStyle name="RowTitles1-Detail 2 2 2 2 4 5 3 2 2" xfId="6297" xr:uid="{00000000-0005-0000-0000-0000AC180000}"/>
    <cellStyle name="RowTitles1-Detail 2 2 2 2 4 5 3 2_Tertiary Salaries Survey" xfId="6298" xr:uid="{00000000-0005-0000-0000-0000AD180000}"/>
    <cellStyle name="RowTitles1-Detail 2 2 2 2 4 5 3 3" xfId="6299" xr:uid="{00000000-0005-0000-0000-0000AE180000}"/>
    <cellStyle name="RowTitles1-Detail 2 2 2 2 4 5 3_Tertiary Salaries Survey" xfId="6300" xr:uid="{00000000-0005-0000-0000-0000AF180000}"/>
    <cellStyle name="RowTitles1-Detail 2 2 2 2 4 5 4" xfId="6301" xr:uid="{00000000-0005-0000-0000-0000B0180000}"/>
    <cellStyle name="RowTitles1-Detail 2 2 2 2 4 5 4 2" xfId="6302" xr:uid="{00000000-0005-0000-0000-0000B1180000}"/>
    <cellStyle name="RowTitles1-Detail 2 2 2 2 4 5 4_Tertiary Salaries Survey" xfId="6303" xr:uid="{00000000-0005-0000-0000-0000B2180000}"/>
    <cellStyle name="RowTitles1-Detail 2 2 2 2 4 5 5" xfId="6304" xr:uid="{00000000-0005-0000-0000-0000B3180000}"/>
    <cellStyle name="RowTitles1-Detail 2 2 2 2 4 5_Tertiary Salaries Survey" xfId="6305" xr:uid="{00000000-0005-0000-0000-0000B4180000}"/>
    <cellStyle name="RowTitles1-Detail 2 2 2 2 4 6" xfId="6306" xr:uid="{00000000-0005-0000-0000-0000B5180000}"/>
    <cellStyle name="RowTitles1-Detail 2 2 2 2 4 6 2" xfId="6307" xr:uid="{00000000-0005-0000-0000-0000B6180000}"/>
    <cellStyle name="RowTitles1-Detail 2 2 2 2 4 6 2 2" xfId="6308" xr:uid="{00000000-0005-0000-0000-0000B7180000}"/>
    <cellStyle name="RowTitles1-Detail 2 2 2 2 4 6 2 2 2" xfId="6309" xr:uid="{00000000-0005-0000-0000-0000B8180000}"/>
    <cellStyle name="RowTitles1-Detail 2 2 2 2 4 6 2 2_Tertiary Salaries Survey" xfId="6310" xr:uid="{00000000-0005-0000-0000-0000B9180000}"/>
    <cellStyle name="RowTitles1-Detail 2 2 2 2 4 6 2 3" xfId="6311" xr:uid="{00000000-0005-0000-0000-0000BA180000}"/>
    <cellStyle name="RowTitles1-Detail 2 2 2 2 4 6 2_Tertiary Salaries Survey" xfId="6312" xr:uid="{00000000-0005-0000-0000-0000BB180000}"/>
    <cellStyle name="RowTitles1-Detail 2 2 2 2 4 6 3" xfId="6313" xr:uid="{00000000-0005-0000-0000-0000BC180000}"/>
    <cellStyle name="RowTitles1-Detail 2 2 2 2 4 6 3 2" xfId="6314" xr:uid="{00000000-0005-0000-0000-0000BD180000}"/>
    <cellStyle name="RowTitles1-Detail 2 2 2 2 4 6 3 2 2" xfId="6315" xr:uid="{00000000-0005-0000-0000-0000BE180000}"/>
    <cellStyle name="RowTitles1-Detail 2 2 2 2 4 6 3 2_Tertiary Salaries Survey" xfId="6316" xr:uid="{00000000-0005-0000-0000-0000BF180000}"/>
    <cellStyle name="RowTitles1-Detail 2 2 2 2 4 6 3 3" xfId="6317" xr:uid="{00000000-0005-0000-0000-0000C0180000}"/>
    <cellStyle name="RowTitles1-Detail 2 2 2 2 4 6 3_Tertiary Salaries Survey" xfId="6318" xr:uid="{00000000-0005-0000-0000-0000C1180000}"/>
    <cellStyle name="RowTitles1-Detail 2 2 2 2 4 6 4" xfId="6319" xr:uid="{00000000-0005-0000-0000-0000C2180000}"/>
    <cellStyle name="RowTitles1-Detail 2 2 2 2 4 6 4 2" xfId="6320" xr:uid="{00000000-0005-0000-0000-0000C3180000}"/>
    <cellStyle name="RowTitles1-Detail 2 2 2 2 4 6 4_Tertiary Salaries Survey" xfId="6321" xr:uid="{00000000-0005-0000-0000-0000C4180000}"/>
    <cellStyle name="RowTitles1-Detail 2 2 2 2 4 6 5" xfId="6322" xr:uid="{00000000-0005-0000-0000-0000C5180000}"/>
    <cellStyle name="RowTitles1-Detail 2 2 2 2 4 6_Tertiary Salaries Survey" xfId="6323" xr:uid="{00000000-0005-0000-0000-0000C6180000}"/>
    <cellStyle name="RowTitles1-Detail 2 2 2 2 4 7" xfId="6324" xr:uid="{00000000-0005-0000-0000-0000C7180000}"/>
    <cellStyle name="RowTitles1-Detail 2 2 2 2 4 7 2" xfId="6325" xr:uid="{00000000-0005-0000-0000-0000C8180000}"/>
    <cellStyle name="RowTitles1-Detail 2 2 2 2 4 7 2 2" xfId="6326" xr:uid="{00000000-0005-0000-0000-0000C9180000}"/>
    <cellStyle name="RowTitles1-Detail 2 2 2 2 4 7 2_Tertiary Salaries Survey" xfId="6327" xr:uid="{00000000-0005-0000-0000-0000CA180000}"/>
    <cellStyle name="RowTitles1-Detail 2 2 2 2 4 7 3" xfId="6328" xr:uid="{00000000-0005-0000-0000-0000CB180000}"/>
    <cellStyle name="RowTitles1-Detail 2 2 2 2 4 7_Tertiary Salaries Survey" xfId="6329" xr:uid="{00000000-0005-0000-0000-0000CC180000}"/>
    <cellStyle name="RowTitles1-Detail 2 2 2 2 4 8" xfId="6330" xr:uid="{00000000-0005-0000-0000-0000CD180000}"/>
    <cellStyle name="RowTitles1-Detail 2 2 2 2 4 9" xfId="6331" xr:uid="{00000000-0005-0000-0000-0000CE180000}"/>
    <cellStyle name="RowTitles1-Detail 2 2 2 2 4_STUD aligned by INSTIT" xfId="6332" xr:uid="{00000000-0005-0000-0000-0000CF180000}"/>
    <cellStyle name="RowTitles1-Detail 2 2 2 2 5" xfId="6333" xr:uid="{00000000-0005-0000-0000-0000D0180000}"/>
    <cellStyle name="RowTitles1-Detail 2 2 2 2 5 2" xfId="6334" xr:uid="{00000000-0005-0000-0000-0000D1180000}"/>
    <cellStyle name="RowTitles1-Detail 2 2 2 2 5 2 2" xfId="6335" xr:uid="{00000000-0005-0000-0000-0000D2180000}"/>
    <cellStyle name="RowTitles1-Detail 2 2 2 2 5 2 2 2" xfId="6336" xr:uid="{00000000-0005-0000-0000-0000D3180000}"/>
    <cellStyle name="RowTitles1-Detail 2 2 2 2 5 2 2_Tertiary Salaries Survey" xfId="6337" xr:uid="{00000000-0005-0000-0000-0000D4180000}"/>
    <cellStyle name="RowTitles1-Detail 2 2 2 2 5 2 3" xfId="6338" xr:uid="{00000000-0005-0000-0000-0000D5180000}"/>
    <cellStyle name="RowTitles1-Detail 2 2 2 2 5 2_Tertiary Salaries Survey" xfId="6339" xr:uid="{00000000-0005-0000-0000-0000D6180000}"/>
    <cellStyle name="RowTitles1-Detail 2 2 2 2 5 3" xfId="6340" xr:uid="{00000000-0005-0000-0000-0000D7180000}"/>
    <cellStyle name="RowTitles1-Detail 2 2 2 2 5 3 2" xfId="6341" xr:uid="{00000000-0005-0000-0000-0000D8180000}"/>
    <cellStyle name="RowTitles1-Detail 2 2 2 2 5 3 2 2" xfId="6342" xr:uid="{00000000-0005-0000-0000-0000D9180000}"/>
    <cellStyle name="RowTitles1-Detail 2 2 2 2 5 3 2_Tertiary Salaries Survey" xfId="6343" xr:uid="{00000000-0005-0000-0000-0000DA180000}"/>
    <cellStyle name="RowTitles1-Detail 2 2 2 2 5 3 3" xfId="6344" xr:uid="{00000000-0005-0000-0000-0000DB180000}"/>
    <cellStyle name="RowTitles1-Detail 2 2 2 2 5 3_Tertiary Salaries Survey" xfId="6345" xr:uid="{00000000-0005-0000-0000-0000DC180000}"/>
    <cellStyle name="RowTitles1-Detail 2 2 2 2 5 4" xfId="6346" xr:uid="{00000000-0005-0000-0000-0000DD180000}"/>
    <cellStyle name="RowTitles1-Detail 2 2 2 2 5 5" xfId="6347" xr:uid="{00000000-0005-0000-0000-0000DE180000}"/>
    <cellStyle name="RowTitles1-Detail 2 2 2 2 5 5 2" xfId="6348" xr:uid="{00000000-0005-0000-0000-0000DF180000}"/>
    <cellStyle name="RowTitles1-Detail 2 2 2 2 5 5_Tertiary Salaries Survey" xfId="6349" xr:uid="{00000000-0005-0000-0000-0000E0180000}"/>
    <cellStyle name="RowTitles1-Detail 2 2 2 2 5 6" xfId="6350" xr:uid="{00000000-0005-0000-0000-0000E1180000}"/>
    <cellStyle name="RowTitles1-Detail 2 2 2 2 5_Tertiary Salaries Survey" xfId="6351" xr:uid="{00000000-0005-0000-0000-0000E2180000}"/>
    <cellStyle name="RowTitles1-Detail 2 2 2 2 6" xfId="6352" xr:uid="{00000000-0005-0000-0000-0000E3180000}"/>
    <cellStyle name="RowTitles1-Detail 2 2 2 2 6 2" xfId="6353" xr:uid="{00000000-0005-0000-0000-0000E4180000}"/>
    <cellStyle name="RowTitles1-Detail 2 2 2 2 6 2 2" xfId="6354" xr:uid="{00000000-0005-0000-0000-0000E5180000}"/>
    <cellStyle name="RowTitles1-Detail 2 2 2 2 6 2 2 2" xfId="6355" xr:uid="{00000000-0005-0000-0000-0000E6180000}"/>
    <cellStyle name="RowTitles1-Detail 2 2 2 2 6 2 2_Tertiary Salaries Survey" xfId="6356" xr:uid="{00000000-0005-0000-0000-0000E7180000}"/>
    <cellStyle name="RowTitles1-Detail 2 2 2 2 6 2 3" xfId="6357" xr:uid="{00000000-0005-0000-0000-0000E8180000}"/>
    <cellStyle name="RowTitles1-Detail 2 2 2 2 6 2_Tertiary Salaries Survey" xfId="6358" xr:uid="{00000000-0005-0000-0000-0000E9180000}"/>
    <cellStyle name="RowTitles1-Detail 2 2 2 2 6 3" xfId="6359" xr:uid="{00000000-0005-0000-0000-0000EA180000}"/>
    <cellStyle name="RowTitles1-Detail 2 2 2 2 6 3 2" xfId="6360" xr:uid="{00000000-0005-0000-0000-0000EB180000}"/>
    <cellStyle name="RowTitles1-Detail 2 2 2 2 6 3 2 2" xfId="6361" xr:uid="{00000000-0005-0000-0000-0000EC180000}"/>
    <cellStyle name="RowTitles1-Detail 2 2 2 2 6 3 2_Tertiary Salaries Survey" xfId="6362" xr:uid="{00000000-0005-0000-0000-0000ED180000}"/>
    <cellStyle name="RowTitles1-Detail 2 2 2 2 6 3 3" xfId="6363" xr:uid="{00000000-0005-0000-0000-0000EE180000}"/>
    <cellStyle name="RowTitles1-Detail 2 2 2 2 6 3_Tertiary Salaries Survey" xfId="6364" xr:uid="{00000000-0005-0000-0000-0000EF180000}"/>
    <cellStyle name="RowTitles1-Detail 2 2 2 2 6 4" xfId="6365" xr:uid="{00000000-0005-0000-0000-0000F0180000}"/>
    <cellStyle name="RowTitles1-Detail 2 2 2 2 6 5" xfId="6366" xr:uid="{00000000-0005-0000-0000-0000F1180000}"/>
    <cellStyle name="RowTitles1-Detail 2 2 2 2 6_Tertiary Salaries Survey" xfId="6367" xr:uid="{00000000-0005-0000-0000-0000F2180000}"/>
    <cellStyle name="RowTitles1-Detail 2 2 2 2 7" xfId="6368" xr:uid="{00000000-0005-0000-0000-0000F3180000}"/>
    <cellStyle name="RowTitles1-Detail 2 2 2 2 7 2" xfId="6369" xr:uid="{00000000-0005-0000-0000-0000F4180000}"/>
    <cellStyle name="RowTitles1-Detail 2 2 2 2 7 2 2" xfId="6370" xr:uid="{00000000-0005-0000-0000-0000F5180000}"/>
    <cellStyle name="RowTitles1-Detail 2 2 2 2 7 2 2 2" xfId="6371" xr:uid="{00000000-0005-0000-0000-0000F6180000}"/>
    <cellStyle name="RowTitles1-Detail 2 2 2 2 7 2 2_Tertiary Salaries Survey" xfId="6372" xr:uid="{00000000-0005-0000-0000-0000F7180000}"/>
    <cellStyle name="RowTitles1-Detail 2 2 2 2 7 2 3" xfId="6373" xr:uid="{00000000-0005-0000-0000-0000F8180000}"/>
    <cellStyle name="RowTitles1-Detail 2 2 2 2 7 2_Tertiary Salaries Survey" xfId="6374" xr:uid="{00000000-0005-0000-0000-0000F9180000}"/>
    <cellStyle name="RowTitles1-Detail 2 2 2 2 7 3" xfId="6375" xr:uid="{00000000-0005-0000-0000-0000FA180000}"/>
    <cellStyle name="RowTitles1-Detail 2 2 2 2 7 3 2" xfId="6376" xr:uid="{00000000-0005-0000-0000-0000FB180000}"/>
    <cellStyle name="RowTitles1-Detail 2 2 2 2 7 3 2 2" xfId="6377" xr:uid="{00000000-0005-0000-0000-0000FC180000}"/>
    <cellStyle name="RowTitles1-Detail 2 2 2 2 7 3 2_Tertiary Salaries Survey" xfId="6378" xr:uid="{00000000-0005-0000-0000-0000FD180000}"/>
    <cellStyle name="RowTitles1-Detail 2 2 2 2 7 3 3" xfId="6379" xr:uid="{00000000-0005-0000-0000-0000FE180000}"/>
    <cellStyle name="RowTitles1-Detail 2 2 2 2 7 3_Tertiary Salaries Survey" xfId="6380" xr:uid="{00000000-0005-0000-0000-0000FF180000}"/>
    <cellStyle name="RowTitles1-Detail 2 2 2 2 7 4" xfId="6381" xr:uid="{00000000-0005-0000-0000-000000190000}"/>
    <cellStyle name="RowTitles1-Detail 2 2 2 2 7 5" xfId="6382" xr:uid="{00000000-0005-0000-0000-000001190000}"/>
    <cellStyle name="RowTitles1-Detail 2 2 2 2 7 5 2" xfId="6383" xr:uid="{00000000-0005-0000-0000-000002190000}"/>
    <cellStyle name="RowTitles1-Detail 2 2 2 2 7 5_Tertiary Salaries Survey" xfId="6384" xr:uid="{00000000-0005-0000-0000-000003190000}"/>
    <cellStyle name="RowTitles1-Detail 2 2 2 2 7 6" xfId="6385" xr:uid="{00000000-0005-0000-0000-000004190000}"/>
    <cellStyle name="RowTitles1-Detail 2 2 2 2 7_Tertiary Salaries Survey" xfId="6386" xr:uid="{00000000-0005-0000-0000-000005190000}"/>
    <cellStyle name="RowTitles1-Detail 2 2 2 2 8" xfId="6387" xr:uid="{00000000-0005-0000-0000-000006190000}"/>
    <cellStyle name="RowTitles1-Detail 2 2 2 2 8 2" xfId="6388" xr:uid="{00000000-0005-0000-0000-000007190000}"/>
    <cellStyle name="RowTitles1-Detail 2 2 2 2 8 2 2" xfId="6389" xr:uid="{00000000-0005-0000-0000-000008190000}"/>
    <cellStyle name="RowTitles1-Detail 2 2 2 2 8 2 2 2" xfId="6390" xr:uid="{00000000-0005-0000-0000-000009190000}"/>
    <cellStyle name="RowTitles1-Detail 2 2 2 2 8 2 2_Tertiary Salaries Survey" xfId="6391" xr:uid="{00000000-0005-0000-0000-00000A190000}"/>
    <cellStyle name="RowTitles1-Detail 2 2 2 2 8 2 3" xfId="6392" xr:uid="{00000000-0005-0000-0000-00000B190000}"/>
    <cellStyle name="RowTitles1-Detail 2 2 2 2 8 2_Tertiary Salaries Survey" xfId="6393" xr:uid="{00000000-0005-0000-0000-00000C190000}"/>
    <cellStyle name="RowTitles1-Detail 2 2 2 2 8 3" xfId="6394" xr:uid="{00000000-0005-0000-0000-00000D190000}"/>
    <cellStyle name="RowTitles1-Detail 2 2 2 2 8 3 2" xfId="6395" xr:uid="{00000000-0005-0000-0000-00000E190000}"/>
    <cellStyle name="RowTitles1-Detail 2 2 2 2 8 3 2 2" xfId="6396" xr:uid="{00000000-0005-0000-0000-00000F190000}"/>
    <cellStyle name="RowTitles1-Detail 2 2 2 2 8 3 2_Tertiary Salaries Survey" xfId="6397" xr:uid="{00000000-0005-0000-0000-000010190000}"/>
    <cellStyle name="RowTitles1-Detail 2 2 2 2 8 3 3" xfId="6398" xr:uid="{00000000-0005-0000-0000-000011190000}"/>
    <cellStyle name="RowTitles1-Detail 2 2 2 2 8 3_Tertiary Salaries Survey" xfId="6399" xr:uid="{00000000-0005-0000-0000-000012190000}"/>
    <cellStyle name="RowTitles1-Detail 2 2 2 2 8 4" xfId="6400" xr:uid="{00000000-0005-0000-0000-000013190000}"/>
    <cellStyle name="RowTitles1-Detail 2 2 2 2 8 4 2" xfId="6401" xr:uid="{00000000-0005-0000-0000-000014190000}"/>
    <cellStyle name="RowTitles1-Detail 2 2 2 2 8 4_Tertiary Salaries Survey" xfId="6402" xr:uid="{00000000-0005-0000-0000-000015190000}"/>
    <cellStyle name="RowTitles1-Detail 2 2 2 2 8 5" xfId="6403" xr:uid="{00000000-0005-0000-0000-000016190000}"/>
    <cellStyle name="RowTitles1-Detail 2 2 2 2 8_Tertiary Salaries Survey" xfId="6404" xr:uid="{00000000-0005-0000-0000-000017190000}"/>
    <cellStyle name="RowTitles1-Detail 2 2 2 2 9" xfId="6405" xr:uid="{00000000-0005-0000-0000-000018190000}"/>
    <cellStyle name="RowTitles1-Detail 2 2 2 2 9 2" xfId="6406" xr:uid="{00000000-0005-0000-0000-000019190000}"/>
    <cellStyle name="RowTitles1-Detail 2 2 2 2 9 2 2" xfId="6407" xr:uid="{00000000-0005-0000-0000-00001A190000}"/>
    <cellStyle name="RowTitles1-Detail 2 2 2 2 9 2 2 2" xfId="6408" xr:uid="{00000000-0005-0000-0000-00001B190000}"/>
    <cellStyle name="RowTitles1-Detail 2 2 2 2 9 2 2_Tertiary Salaries Survey" xfId="6409" xr:uid="{00000000-0005-0000-0000-00001C190000}"/>
    <cellStyle name="RowTitles1-Detail 2 2 2 2 9 2 3" xfId="6410" xr:uid="{00000000-0005-0000-0000-00001D190000}"/>
    <cellStyle name="RowTitles1-Detail 2 2 2 2 9 2_Tertiary Salaries Survey" xfId="6411" xr:uid="{00000000-0005-0000-0000-00001E190000}"/>
    <cellStyle name="RowTitles1-Detail 2 2 2 2 9 3" xfId="6412" xr:uid="{00000000-0005-0000-0000-00001F190000}"/>
    <cellStyle name="RowTitles1-Detail 2 2 2 2 9 3 2" xfId="6413" xr:uid="{00000000-0005-0000-0000-000020190000}"/>
    <cellStyle name="RowTitles1-Detail 2 2 2 2 9 3 2 2" xfId="6414" xr:uid="{00000000-0005-0000-0000-000021190000}"/>
    <cellStyle name="RowTitles1-Detail 2 2 2 2 9 3 2_Tertiary Salaries Survey" xfId="6415" xr:uid="{00000000-0005-0000-0000-000022190000}"/>
    <cellStyle name="RowTitles1-Detail 2 2 2 2 9 3 3" xfId="6416" xr:uid="{00000000-0005-0000-0000-000023190000}"/>
    <cellStyle name="RowTitles1-Detail 2 2 2 2 9 3_Tertiary Salaries Survey" xfId="6417" xr:uid="{00000000-0005-0000-0000-000024190000}"/>
    <cellStyle name="RowTitles1-Detail 2 2 2 2 9 4" xfId="6418" xr:uid="{00000000-0005-0000-0000-000025190000}"/>
    <cellStyle name="RowTitles1-Detail 2 2 2 2 9 4 2" xfId="6419" xr:uid="{00000000-0005-0000-0000-000026190000}"/>
    <cellStyle name="RowTitles1-Detail 2 2 2 2 9 4_Tertiary Salaries Survey" xfId="6420" xr:uid="{00000000-0005-0000-0000-000027190000}"/>
    <cellStyle name="RowTitles1-Detail 2 2 2 2 9 5" xfId="6421" xr:uid="{00000000-0005-0000-0000-000028190000}"/>
    <cellStyle name="RowTitles1-Detail 2 2 2 2 9_Tertiary Salaries Survey" xfId="6422" xr:uid="{00000000-0005-0000-0000-000029190000}"/>
    <cellStyle name="RowTitles1-Detail 2 2 2 2_STUD aligned by INSTIT" xfId="6423" xr:uid="{00000000-0005-0000-0000-00002A190000}"/>
    <cellStyle name="RowTitles1-Detail 2 2 2 3" xfId="6424" xr:uid="{00000000-0005-0000-0000-00002B190000}"/>
    <cellStyle name="RowTitles1-Detail 2 2 2 3 2" xfId="6425" xr:uid="{00000000-0005-0000-0000-00002C190000}"/>
    <cellStyle name="RowTitles1-Detail 2 2 2 3 2 2" xfId="6426" xr:uid="{00000000-0005-0000-0000-00002D190000}"/>
    <cellStyle name="RowTitles1-Detail 2 2 2 3 2 2 2" xfId="6427" xr:uid="{00000000-0005-0000-0000-00002E190000}"/>
    <cellStyle name="RowTitles1-Detail 2 2 2 3 2 2 2 2" xfId="6428" xr:uid="{00000000-0005-0000-0000-00002F190000}"/>
    <cellStyle name="RowTitles1-Detail 2 2 2 3 2 2 2_Tertiary Salaries Survey" xfId="6429" xr:uid="{00000000-0005-0000-0000-000030190000}"/>
    <cellStyle name="RowTitles1-Detail 2 2 2 3 2 2 3" xfId="6430" xr:uid="{00000000-0005-0000-0000-000031190000}"/>
    <cellStyle name="RowTitles1-Detail 2 2 2 3 2 2_Tertiary Salaries Survey" xfId="6431" xr:uid="{00000000-0005-0000-0000-000032190000}"/>
    <cellStyle name="RowTitles1-Detail 2 2 2 3 2 3" xfId="6432" xr:uid="{00000000-0005-0000-0000-000033190000}"/>
    <cellStyle name="RowTitles1-Detail 2 2 2 3 2 3 2" xfId="6433" xr:uid="{00000000-0005-0000-0000-000034190000}"/>
    <cellStyle name="RowTitles1-Detail 2 2 2 3 2 3 2 2" xfId="6434" xr:uid="{00000000-0005-0000-0000-000035190000}"/>
    <cellStyle name="RowTitles1-Detail 2 2 2 3 2 3 2_Tertiary Salaries Survey" xfId="6435" xr:uid="{00000000-0005-0000-0000-000036190000}"/>
    <cellStyle name="RowTitles1-Detail 2 2 2 3 2 3 3" xfId="6436" xr:uid="{00000000-0005-0000-0000-000037190000}"/>
    <cellStyle name="RowTitles1-Detail 2 2 2 3 2 3_Tertiary Salaries Survey" xfId="6437" xr:uid="{00000000-0005-0000-0000-000038190000}"/>
    <cellStyle name="RowTitles1-Detail 2 2 2 3 2 4" xfId="6438" xr:uid="{00000000-0005-0000-0000-000039190000}"/>
    <cellStyle name="RowTitles1-Detail 2 2 2 3 2 5" xfId="6439" xr:uid="{00000000-0005-0000-0000-00003A190000}"/>
    <cellStyle name="RowTitles1-Detail 2 2 2 3 2_Tertiary Salaries Survey" xfId="6440" xr:uid="{00000000-0005-0000-0000-00003B190000}"/>
    <cellStyle name="RowTitles1-Detail 2 2 2 3 3" xfId="6441" xr:uid="{00000000-0005-0000-0000-00003C190000}"/>
    <cellStyle name="RowTitles1-Detail 2 2 2 3 3 2" xfId="6442" xr:uid="{00000000-0005-0000-0000-00003D190000}"/>
    <cellStyle name="RowTitles1-Detail 2 2 2 3 3 2 2" xfId="6443" xr:uid="{00000000-0005-0000-0000-00003E190000}"/>
    <cellStyle name="RowTitles1-Detail 2 2 2 3 3 2 2 2" xfId="6444" xr:uid="{00000000-0005-0000-0000-00003F190000}"/>
    <cellStyle name="RowTitles1-Detail 2 2 2 3 3 2 2_Tertiary Salaries Survey" xfId="6445" xr:uid="{00000000-0005-0000-0000-000040190000}"/>
    <cellStyle name="RowTitles1-Detail 2 2 2 3 3 2 3" xfId="6446" xr:uid="{00000000-0005-0000-0000-000041190000}"/>
    <cellStyle name="RowTitles1-Detail 2 2 2 3 3 2_Tertiary Salaries Survey" xfId="6447" xr:uid="{00000000-0005-0000-0000-000042190000}"/>
    <cellStyle name="RowTitles1-Detail 2 2 2 3 3 3" xfId="6448" xr:uid="{00000000-0005-0000-0000-000043190000}"/>
    <cellStyle name="RowTitles1-Detail 2 2 2 3 3 3 2" xfId="6449" xr:uid="{00000000-0005-0000-0000-000044190000}"/>
    <cellStyle name="RowTitles1-Detail 2 2 2 3 3 3 2 2" xfId="6450" xr:uid="{00000000-0005-0000-0000-000045190000}"/>
    <cellStyle name="RowTitles1-Detail 2 2 2 3 3 3 2_Tertiary Salaries Survey" xfId="6451" xr:uid="{00000000-0005-0000-0000-000046190000}"/>
    <cellStyle name="RowTitles1-Detail 2 2 2 3 3 3 3" xfId="6452" xr:uid="{00000000-0005-0000-0000-000047190000}"/>
    <cellStyle name="RowTitles1-Detail 2 2 2 3 3 3_Tertiary Salaries Survey" xfId="6453" xr:uid="{00000000-0005-0000-0000-000048190000}"/>
    <cellStyle name="RowTitles1-Detail 2 2 2 3 3 4" xfId="6454" xr:uid="{00000000-0005-0000-0000-000049190000}"/>
    <cellStyle name="RowTitles1-Detail 2 2 2 3 3 5" xfId="6455" xr:uid="{00000000-0005-0000-0000-00004A190000}"/>
    <cellStyle name="RowTitles1-Detail 2 2 2 3 3 5 2" xfId="6456" xr:uid="{00000000-0005-0000-0000-00004B190000}"/>
    <cellStyle name="RowTitles1-Detail 2 2 2 3 3 5_Tertiary Salaries Survey" xfId="6457" xr:uid="{00000000-0005-0000-0000-00004C190000}"/>
    <cellStyle name="RowTitles1-Detail 2 2 2 3 3 6" xfId="6458" xr:uid="{00000000-0005-0000-0000-00004D190000}"/>
    <cellStyle name="RowTitles1-Detail 2 2 2 3 3_Tertiary Salaries Survey" xfId="6459" xr:uid="{00000000-0005-0000-0000-00004E190000}"/>
    <cellStyle name="RowTitles1-Detail 2 2 2 3 4" xfId="6460" xr:uid="{00000000-0005-0000-0000-00004F190000}"/>
    <cellStyle name="RowTitles1-Detail 2 2 2 3 4 2" xfId="6461" xr:uid="{00000000-0005-0000-0000-000050190000}"/>
    <cellStyle name="RowTitles1-Detail 2 2 2 3 4 2 2" xfId="6462" xr:uid="{00000000-0005-0000-0000-000051190000}"/>
    <cellStyle name="RowTitles1-Detail 2 2 2 3 4 2 2 2" xfId="6463" xr:uid="{00000000-0005-0000-0000-000052190000}"/>
    <cellStyle name="RowTitles1-Detail 2 2 2 3 4 2 2_Tertiary Salaries Survey" xfId="6464" xr:uid="{00000000-0005-0000-0000-000053190000}"/>
    <cellStyle name="RowTitles1-Detail 2 2 2 3 4 2 3" xfId="6465" xr:uid="{00000000-0005-0000-0000-000054190000}"/>
    <cellStyle name="RowTitles1-Detail 2 2 2 3 4 2_Tertiary Salaries Survey" xfId="6466" xr:uid="{00000000-0005-0000-0000-000055190000}"/>
    <cellStyle name="RowTitles1-Detail 2 2 2 3 4 3" xfId="6467" xr:uid="{00000000-0005-0000-0000-000056190000}"/>
    <cellStyle name="RowTitles1-Detail 2 2 2 3 4 3 2" xfId="6468" xr:uid="{00000000-0005-0000-0000-000057190000}"/>
    <cellStyle name="RowTitles1-Detail 2 2 2 3 4 3 2 2" xfId="6469" xr:uid="{00000000-0005-0000-0000-000058190000}"/>
    <cellStyle name="RowTitles1-Detail 2 2 2 3 4 3 2_Tertiary Salaries Survey" xfId="6470" xr:uid="{00000000-0005-0000-0000-000059190000}"/>
    <cellStyle name="RowTitles1-Detail 2 2 2 3 4 3 3" xfId="6471" xr:uid="{00000000-0005-0000-0000-00005A190000}"/>
    <cellStyle name="RowTitles1-Detail 2 2 2 3 4 3_Tertiary Salaries Survey" xfId="6472" xr:uid="{00000000-0005-0000-0000-00005B190000}"/>
    <cellStyle name="RowTitles1-Detail 2 2 2 3 4 4" xfId="6473" xr:uid="{00000000-0005-0000-0000-00005C190000}"/>
    <cellStyle name="RowTitles1-Detail 2 2 2 3 4 4 2" xfId="6474" xr:uid="{00000000-0005-0000-0000-00005D190000}"/>
    <cellStyle name="RowTitles1-Detail 2 2 2 3 4 4_Tertiary Salaries Survey" xfId="6475" xr:uid="{00000000-0005-0000-0000-00005E190000}"/>
    <cellStyle name="RowTitles1-Detail 2 2 2 3 4 5" xfId="6476" xr:uid="{00000000-0005-0000-0000-00005F190000}"/>
    <cellStyle name="RowTitles1-Detail 2 2 2 3 4_Tertiary Salaries Survey" xfId="6477" xr:uid="{00000000-0005-0000-0000-000060190000}"/>
    <cellStyle name="RowTitles1-Detail 2 2 2 3 5" xfId="6478" xr:uid="{00000000-0005-0000-0000-000061190000}"/>
    <cellStyle name="RowTitles1-Detail 2 2 2 3 5 2" xfId="6479" xr:uid="{00000000-0005-0000-0000-000062190000}"/>
    <cellStyle name="RowTitles1-Detail 2 2 2 3 5 2 2" xfId="6480" xr:uid="{00000000-0005-0000-0000-000063190000}"/>
    <cellStyle name="RowTitles1-Detail 2 2 2 3 5 2 2 2" xfId="6481" xr:uid="{00000000-0005-0000-0000-000064190000}"/>
    <cellStyle name="RowTitles1-Detail 2 2 2 3 5 2 2_Tertiary Salaries Survey" xfId="6482" xr:uid="{00000000-0005-0000-0000-000065190000}"/>
    <cellStyle name="RowTitles1-Detail 2 2 2 3 5 2 3" xfId="6483" xr:uid="{00000000-0005-0000-0000-000066190000}"/>
    <cellStyle name="RowTitles1-Detail 2 2 2 3 5 2_Tertiary Salaries Survey" xfId="6484" xr:uid="{00000000-0005-0000-0000-000067190000}"/>
    <cellStyle name="RowTitles1-Detail 2 2 2 3 5 3" xfId="6485" xr:uid="{00000000-0005-0000-0000-000068190000}"/>
    <cellStyle name="RowTitles1-Detail 2 2 2 3 5 3 2" xfId="6486" xr:uid="{00000000-0005-0000-0000-000069190000}"/>
    <cellStyle name="RowTitles1-Detail 2 2 2 3 5 3 2 2" xfId="6487" xr:uid="{00000000-0005-0000-0000-00006A190000}"/>
    <cellStyle name="RowTitles1-Detail 2 2 2 3 5 3 2_Tertiary Salaries Survey" xfId="6488" xr:uid="{00000000-0005-0000-0000-00006B190000}"/>
    <cellStyle name="RowTitles1-Detail 2 2 2 3 5 3 3" xfId="6489" xr:uid="{00000000-0005-0000-0000-00006C190000}"/>
    <cellStyle name="RowTitles1-Detail 2 2 2 3 5 3_Tertiary Salaries Survey" xfId="6490" xr:uid="{00000000-0005-0000-0000-00006D190000}"/>
    <cellStyle name="RowTitles1-Detail 2 2 2 3 5 4" xfId="6491" xr:uid="{00000000-0005-0000-0000-00006E190000}"/>
    <cellStyle name="RowTitles1-Detail 2 2 2 3 5 4 2" xfId="6492" xr:uid="{00000000-0005-0000-0000-00006F190000}"/>
    <cellStyle name="RowTitles1-Detail 2 2 2 3 5 4_Tertiary Salaries Survey" xfId="6493" xr:uid="{00000000-0005-0000-0000-000070190000}"/>
    <cellStyle name="RowTitles1-Detail 2 2 2 3 5 5" xfId="6494" xr:uid="{00000000-0005-0000-0000-000071190000}"/>
    <cellStyle name="RowTitles1-Detail 2 2 2 3 5_Tertiary Salaries Survey" xfId="6495" xr:uid="{00000000-0005-0000-0000-000072190000}"/>
    <cellStyle name="RowTitles1-Detail 2 2 2 3 6" xfId="6496" xr:uid="{00000000-0005-0000-0000-000073190000}"/>
    <cellStyle name="RowTitles1-Detail 2 2 2 3 6 2" xfId="6497" xr:uid="{00000000-0005-0000-0000-000074190000}"/>
    <cellStyle name="RowTitles1-Detail 2 2 2 3 6 2 2" xfId="6498" xr:uid="{00000000-0005-0000-0000-000075190000}"/>
    <cellStyle name="RowTitles1-Detail 2 2 2 3 6 2 2 2" xfId="6499" xr:uid="{00000000-0005-0000-0000-000076190000}"/>
    <cellStyle name="RowTitles1-Detail 2 2 2 3 6 2 2_Tertiary Salaries Survey" xfId="6500" xr:uid="{00000000-0005-0000-0000-000077190000}"/>
    <cellStyle name="RowTitles1-Detail 2 2 2 3 6 2 3" xfId="6501" xr:uid="{00000000-0005-0000-0000-000078190000}"/>
    <cellStyle name="RowTitles1-Detail 2 2 2 3 6 2_Tertiary Salaries Survey" xfId="6502" xr:uid="{00000000-0005-0000-0000-000079190000}"/>
    <cellStyle name="RowTitles1-Detail 2 2 2 3 6 3" xfId="6503" xr:uid="{00000000-0005-0000-0000-00007A190000}"/>
    <cellStyle name="RowTitles1-Detail 2 2 2 3 6 3 2" xfId="6504" xr:uid="{00000000-0005-0000-0000-00007B190000}"/>
    <cellStyle name="RowTitles1-Detail 2 2 2 3 6 3 2 2" xfId="6505" xr:uid="{00000000-0005-0000-0000-00007C190000}"/>
    <cellStyle name="RowTitles1-Detail 2 2 2 3 6 3 2_Tertiary Salaries Survey" xfId="6506" xr:uid="{00000000-0005-0000-0000-00007D190000}"/>
    <cellStyle name="RowTitles1-Detail 2 2 2 3 6 3 3" xfId="6507" xr:uid="{00000000-0005-0000-0000-00007E190000}"/>
    <cellStyle name="RowTitles1-Detail 2 2 2 3 6 3_Tertiary Salaries Survey" xfId="6508" xr:uid="{00000000-0005-0000-0000-00007F190000}"/>
    <cellStyle name="RowTitles1-Detail 2 2 2 3 6 4" xfId="6509" xr:uid="{00000000-0005-0000-0000-000080190000}"/>
    <cellStyle name="RowTitles1-Detail 2 2 2 3 6 4 2" xfId="6510" xr:uid="{00000000-0005-0000-0000-000081190000}"/>
    <cellStyle name="RowTitles1-Detail 2 2 2 3 6 4_Tertiary Salaries Survey" xfId="6511" xr:uid="{00000000-0005-0000-0000-000082190000}"/>
    <cellStyle name="RowTitles1-Detail 2 2 2 3 6 5" xfId="6512" xr:uid="{00000000-0005-0000-0000-000083190000}"/>
    <cellStyle name="RowTitles1-Detail 2 2 2 3 6_Tertiary Salaries Survey" xfId="6513" xr:uid="{00000000-0005-0000-0000-000084190000}"/>
    <cellStyle name="RowTitles1-Detail 2 2 2 3 7" xfId="6514" xr:uid="{00000000-0005-0000-0000-000085190000}"/>
    <cellStyle name="RowTitles1-Detail 2 2 2 3 7 2" xfId="6515" xr:uid="{00000000-0005-0000-0000-000086190000}"/>
    <cellStyle name="RowTitles1-Detail 2 2 2 3 7 2 2" xfId="6516" xr:uid="{00000000-0005-0000-0000-000087190000}"/>
    <cellStyle name="RowTitles1-Detail 2 2 2 3 7 2_Tertiary Salaries Survey" xfId="6517" xr:uid="{00000000-0005-0000-0000-000088190000}"/>
    <cellStyle name="RowTitles1-Detail 2 2 2 3 7 3" xfId="6518" xr:uid="{00000000-0005-0000-0000-000089190000}"/>
    <cellStyle name="RowTitles1-Detail 2 2 2 3 7_Tertiary Salaries Survey" xfId="6519" xr:uid="{00000000-0005-0000-0000-00008A190000}"/>
    <cellStyle name="RowTitles1-Detail 2 2 2 3 8" xfId="6520" xr:uid="{00000000-0005-0000-0000-00008B190000}"/>
    <cellStyle name="RowTitles1-Detail 2 2 2 3 9" xfId="6521" xr:uid="{00000000-0005-0000-0000-00008C190000}"/>
    <cellStyle name="RowTitles1-Detail 2 2 2 3_STUD aligned by INSTIT" xfId="6522" xr:uid="{00000000-0005-0000-0000-00008D190000}"/>
    <cellStyle name="RowTitles1-Detail 2 2 2 4" xfId="6523" xr:uid="{00000000-0005-0000-0000-00008E190000}"/>
    <cellStyle name="RowTitles1-Detail 2 2 2 4 2" xfId="6524" xr:uid="{00000000-0005-0000-0000-00008F190000}"/>
    <cellStyle name="RowTitles1-Detail 2 2 2 4 2 2" xfId="6525" xr:uid="{00000000-0005-0000-0000-000090190000}"/>
    <cellStyle name="RowTitles1-Detail 2 2 2 4 2 2 2" xfId="6526" xr:uid="{00000000-0005-0000-0000-000091190000}"/>
    <cellStyle name="RowTitles1-Detail 2 2 2 4 2 2 2 2" xfId="6527" xr:uid="{00000000-0005-0000-0000-000092190000}"/>
    <cellStyle name="RowTitles1-Detail 2 2 2 4 2 2 2_Tertiary Salaries Survey" xfId="6528" xr:uid="{00000000-0005-0000-0000-000093190000}"/>
    <cellStyle name="RowTitles1-Detail 2 2 2 4 2 2 3" xfId="6529" xr:uid="{00000000-0005-0000-0000-000094190000}"/>
    <cellStyle name="RowTitles1-Detail 2 2 2 4 2 2_Tertiary Salaries Survey" xfId="6530" xr:uid="{00000000-0005-0000-0000-000095190000}"/>
    <cellStyle name="RowTitles1-Detail 2 2 2 4 2 3" xfId="6531" xr:uid="{00000000-0005-0000-0000-000096190000}"/>
    <cellStyle name="RowTitles1-Detail 2 2 2 4 2 3 2" xfId="6532" xr:uid="{00000000-0005-0000-0000-000097190000}"/>
    <cellStyle name="RowTitles1-Detail 2 2 2 4 2 3 2 2" xfId="6533" xr:uid="{00000000-0005-0000-0000-000098190000}"/>
    <cellStyle name="RowTitles1-Detail 2 2 2 4 2 3 2_Tertiary Salaries Survey" xfId="6534" xr:uid="{00000000-0005-0000-0000-000099190000}"/>
    <cellStyle name="RowTitles1-Detail 2 2 2 4 2 3 3" xfId="6535" xr:uid="{00000000-0005-0000-0000-00009A190000}"/>
    <cellStyle name="RowTitles1-Detail 2 2 2 4 2 3_Tertiary Salaries Survey" xfId="6536" xr:uid="{00000000-0005-0000-0000-00009B190000}"/>
    <cellStyle name="RowTitles1-Detail 2 2 2 4 2 4" xfId="6537" xr:uid="{00000000-0005-0000-0000-00009C190000}"/>
    <cellStyle name="RowTitles1-Detail 2 2 2 4 2 5" xfId="6538" xr:uid="{00000000-0005-0000-0000-00009D190000}"/>
    <cellStyle name="RowTitles1-Detail 2 2 2 4 2 5 2" xfId="6539" xr:uid="{00000000-0005-0000-0000-00009E190000}"/>
    <cellStyle name="RowTitles1-Detail 2 2 2 4 2 5_Tertiary Salaries Survey" xfId="6540" xr:uid="{00000000-0005-0000-0000-00009F190000}"/>
    <cellStyle name="RowTitles1-Detail 2 2 2 4 2 6" xfId="6541" xr:uid="{00000000-0005-0000-0000-0000A0190000}"/>
    <cellStyle name="RowTitles1-Detail 2 2 2 4 2_Tertiary Salaries Survey" xfId="6542" xr:uid="{00000000-0005-0000-0000-0000A1190000}"/>
    <cellStyle name="RowTitles1-Detail 2 2 2 4 3" xfId="6543" xr:uid="{00000000-0005-0000-0000-0000A2190000}"/>
    <cellStyle name="RowTitles1-Detail 2 2 2 4 3 2" xfId="6544" xr:uid="{00000000-0005-0000-0000-0000A3190000}"/>
    <cellStyle name="RowTitles1-Detail 2 2 2 4 3 2 2" xfId="6545" xr:uid="{00000000-0005-0000-0000-0000A4190000}"/>
    <cellStyle name="RowTitles1-Detail 2 2 2 4 3 2 2 2" xfId="6546" xr:uid="{00000000-0005-0000-0000-0000A5190000}"/>
    <cellStyle name="RowTitles1-Detail 2 2 2 4 3 2 2_Tertiary Salaries Survey" xfId="6547" xr:uid="{00000000-0005-0000-0000-0000A6190000}"/>
    <cellStyle name="RowTitles1-Detail 2 2 2 4 3 2 3" xfId="6548" xr:uid="{00000000-0005-0000-0000-0000A7190000}"/>
    <cellStyle name="RowTitles1-Detail 2 2 2 4 3 2_Tertiary Salaries Survey" xfId="6549" xr:uid="{00000000-0005-0000-0000-0000A8190000}"/>
    <cellStyle name="RowTitles1-Detail 2 2 2 4 3 3" xfId="6550" xr:uid="{00000000-0005-0000-0000-0000A9190000}"/>
    <cellStyle name="RowTitles1-Detail 2 2 2 4 3 3 2" xfId="6551" xr:uid="{00000000-0005-0000-0000-0000AA190000}"/>
    <cellStyle name="RowTitles1-Detail 2 2 2 4 3 3 2 2" xfId="6552" xr:uid="{00000000-0005-0000-0000-0000AB190000}"/>
    <cellStyle name="RowTitles1-Detail 2 2 2 4 3 3 2_Tertiary Salaries Survey" xfId="6553" xr:uid="{00000000-0005-0000-0000-0000AC190000}"/>
    <cellStyle name="RowTitles1-Detail 2 2 2 4 3 3 3" xfId="6554" xr:uid="{00000000-0005-0000-0000-0000AD190000}"/>
    <cellStyle name="RowTitles1-Detail 2 2 2 4 3 3_Tertiary Salaries Survey" xfId="6555" xr:uid="{00000000-0005-0000-0000-0000AE190000}"/>
    <cellStyle name="RowTitles1-Detail 2 2 2 4 3 4" xfId="6556" xr:uid="{00000000-0005-0000-0000-0000AF190000}"/>
    <cellStyle name="RowTitles1-Detail 2 2 2 4 3 5" xfId="6557" xr:uid="{00000000-0005-0000-0000-0000B0190000}"/>
    <cellStyle name="RowTitles1-Detail 2 2 2 4 3_Tertiary Salaries Survey" xfId="6558" xr:uid="{00000000-0005-0000-0000-0000B1190000}"/>
    <cellStyle name="RowTitles1-Detail 2 2 2 4 4" xfId="6559" xr:uid="{00000000-0005-0000-0000-0000B2190000}"/>
    <cellStyle name="RowTitles1-Detail 2 2 2 4 4 2" xfId="6560" xr:uid="{00000000-0005-0000-0000-0000B3190000}"/>
    <cellStyle name="RowTitles1-Detail 2 2 2 4 4 2 2" xfId="6561" xr:uid="{00000000-0005-0000-0000-0000B4190000}"/>
    <cellStyle name="RowTitles1-Detail 2 2 2 4 4 2 2 2" xfId="6562" xr:uid="{00000000-0005-0000-0000-0000B5190000}"/>
    <cellStyle name="RowTitles1-Detail 2 2 2 4 4 2 2_Tertiary Salaries Survey" xfId="6563" xr:uid="{00000000-0005-0000-0000-0000B6190000}"/>
    <cellStyle name="RowTitles1-Detail 2 2 2 4 4 2 3" xfId="6564" xr:uid="{00000000-0005-0000-0000-0000B7190000}"/>
    <cellStyle name="RowTitles1-Detail 2 2 2 4 4 2_Tertiary Salaries Survey" xfId="6565" xr:uid="{00000000-0005-0000-0000-0000B8190000}"/>
    <cellStyle name="RowTitles1-Detail 2 2 2 4 4 3" xfId="6566" xr:uid="{00000000-0005-0000-0000-0000B9190000}"/>
    <cellStyle name="RowTitles1-Detail 2 2 2 4 4 3 2" xfId="6567" xr:uid="{00000000-0005-0000-0000-0000BA190000}"/>
    <cellStyle name="RowTitles1-Detail 2 2 2 4 4 3 2 2" xfId="6568" xr:uid="{00000000-0005-0000-0000-0000BB190000}"/>
    <cellStyle name="RowTitles1-Detail 2 2 2 4 4 3 2_Tertiary Salaries Survey" xfId="6569" xr:uid="{00000000-0005-0000-0000-0000BC190000}"/>
    <cellStyle name="RowTitles1-Detail 2 2 2 4 4 3 3" xfId="6570" xr:uid="{00000000-0005-0000-0000-0000BD190000}"/>
    <cellStyle name="RowTitles1-Detail 2 2 2 4 4 3_Tertiary Salaries Survey" xfId="6571" xr:uid="{00000000-0005-0000-0000-0000BE190000}"/>
    <cellStyle name="RowTitles1-Detail 2 2 2 4 4 4" xfId="6572" xr:uid="{00000000-0005-0000-0000-0000BF190000}"/>
    <cellStyle name="RowTitles1-Detail 2 2 2 4 4 4 2" xfId="6573" xr:uid="{00000000-0005-0000-0000-0000C0190000}"/>
    <cellStyle name="RowTitles1-Detail 2 2 2 4 4 4_Tertiary Salaries Survey" xfId="6574" xr:uid="{00000000-0005-0000-0000-0000C1190000}"/>
    <cellStyle name="RowTitles1-Detail 2 2 2 4 4 5" xfId="6575" xr:uid="{00000000-0005-0000-0000-0000C2190000}"/>
    <cellStyle name="RowTitles1-Detail 2 2 2 4 4_Tertiary Salaries Survey" xfId="6576" xr:uid="{00000000-0005-0000-0000-0000C3190000}"/>
    <cellStyle name="RowTitles1-Detail 2 2 2 4 5" xfId="6577" xr:uid="{00000000-0005-0000-0000-0000C4190000}"/>
    <cellStyle name="RowTitles1-Detail 2 2 2 4 5 2" xfId="6578" xr:uid="{00000000-0005-0000-0000-0000C5190000}"/>
    <cellStyle name="RowTitles1-Detail 2 2 2 4 5 2 2" xfId="6579" xr:uid="{00000000-0005-0000-0000-0000C6190000}"/>
    <cellStyle name="RowTitles1-Detail 2 2 2 4 5 2 2 2" xfId="6580" xr:uid="{00000000-0005-0000-0000-0000C7190000}"/>
    <cellStyle name="RowTitles1-Detail 2 2 2 4 5 2 2_Tertiary Salaries Survey" xfId="6581" xr:uid="{00000000-0005-0000-0000-0000C8190000}"/>
    <cellStyle name="RowTitles1-Detail 2 2 2 4 5 2 3" xfId="6582" xr:uid="{00000000-0005-0000-0000-0000C9190000}"/>
    <cellStyle name="RowTitles1-Detail 2 2 2 4 5 2_Tertiary Salaries Survey" xfId="6583" xr:uid="{00000000-0005-0000-0000-0000CA190000}"/>
    <cellStyle name="RowTitles1-Detail 2 2 2 4 5 3" xfId="6584" xr:uid="{00000000-0005-0000-0000-0000CB190000}"/>
    <cellStyle name="RowTitles1-Detail 2 2 2 4 5 3 2" xfId="6585" xr:uid="{00000000-0005-0000-0000-0000CC190000}"/>
    <cellStyle name="RowTitles1-Detail 2 2 2 4 5 3 2 2" xfId="6586" xr:uid="{00000000-0005-0000-0000-0000CD190000}"/>
    <cellStyle name="RowTitles1-Detail 2 2 2 4 5 3 2_Tertiary Salaries Survey" xfId="6587" xr:uid="{00000000-0005-0000-0000-0000CE190000}"/>
    <cellStyle name="RowTitles1-Detail 2 2 2 4 5 3 3" xfId="6588" xr:uid="{00000000-0005-0000-0000-0000CF190000}"/>
    <cellStyle name="RowTitles1-Detail 2 2 2 4 5 3_Tertiary Salaries Survey" xfId="6589" xr:uid="{00000000-0005-0000-0000-0000D0190000}"/>
    <cellStyle name="RowTitles1-Detail 2 2 2 4 5 4" xfId="6590" xr:uid="{00000000-0005-0000-0000-0000D1190000}"/>
    <cellStyle name="RowTitles1-Detail 2 2 2 4 5 4 2" xfId="6591" xr:uid="{00000000-0005-0000-0000-0000D2190000}"/>
    <cellStyle name="RowTitles1-Detail 2 2 2 4 5 4_Tertiary Salaries Survey" xfId="6592" xr:uid="{00000000-0005-0000-0000-0000D3190000}"/>
    <cellStyle name="RowTitles1-Detail 2 2 2 4 5 5" xfId="6593" xr:uid="{00000000-0005-0000-0000-0000D4190000}"/>
    <cellStyle name="RowTitles1-Detail 2 2 2 4 5_Tertiary Salaries Survey" xfId="6594" xr:uid="{00000000-0005-0000-0000-0000D5190000}"/>
    <cellStyle name="RowTitles1-Detail 2 2 2 4 6" xfId="6595" xr:uid="{00000000-0005-0000-0000-0000D6190000}"/>
    <cellStyle name="RowTitles1-Detail 2 2 2 4 6 2" xfId="6596" xr:uid="{00000000-0005-0000-0000-0000D7190000}"/>
    <cellStyle name="RowTitles1-Detail 2 2 2 4 6 2 2" xfId="6597" xr:uid="{00000000-0005-0000-0000-0000D8190000}"/>
    <cellStyle name="RowTitles1-Detail 2 2 2 4 6 2 2 2" xfId="6598" xr:uid="{00000000-0005-0000-0000-0000D9190000}"/>
    <cellStyle name="RowTitles1-Detail 2 2 2 4 6 2 2_Tertiary Salaries Survey" xfId="6599" xr:uid="{00000000-0005-0000-0000-0000DA190000}"/>
    <cellStyle name="RowTitles1-Detail 2 2 2 4 6 2 3" xfId="6600" xr:uid="{00000000-0005-0000-0000-0000DB190000}"/>
    <cellStyle name="RowTitles1-Detail 2 2 2 4 6 2_Tertiary Salaries Survey" xfId="6601" xr:uid="{00000000-0005-0000-0000-0000DC190000}"/>
    <cellStyle name="RowTitles1-Detail 2 2 2 4 6 3" xfId="6602" xr:uid="{00000000-0005-0000-0000-0000DD190000}"/>
    <cellStyle name="RowTitles1-Detail 2 2 2 4 6 3 2" xfId="6603" xr:uid="{00000000-0005-0000-0000-0000DE190000}"/>
    <cellStyle name="RowTitles1-Detail 2 2 2 4 6 3 2 2" xfId="6604" xr:uid="{00000000-0005-0000-0000-0000DF190000}"/>
    <cellStyle name="RowTitles1-Detail 2 2 2 4 6 3 2_Tertiary Salaries Survey" xfId="6605" xr:uid="{00000000-0005-0000-0000-0000E0190000}"/>
    <cellStyle name="RowTitles1-Detail 2 2 2 4 6 3 3" xfId="6606" xr:uid="{00000000-0005-0000-0000-0000E1190000}"/>
    <cellStyle name="RowTitles1-Detail 2 2 2 4 6 3_Tertiary Salaries Survey" xfId="6607" xr:uid="{00000000-0005-0000-0000-0000E2190000}"/>
    <cellStyle name="RowTitles1-Detail 2 2 2 4 6 4" xfId="6608" xr:uid="{00000000-0005-0000-0000-0000E3190000}"/>
    <cellStyle name="RowTitles1-Detail 2 2 2 4 6 4 2" xfId="6609" xr:uid="{00000000-0005-0000-0000-0000E4190000}"/>
    <cellStyle name="RowTitles1-Detail 2 2 2 4 6 4_Tertiary Salaries Survey" xfId="6610" xr:uid="{00000000-0005-0000-0000-0000E5190000}"/>
    <cellStyle name="RowTitles1-Detail 2 2 2 4 6 5" xfId="6611" xr:uid="{00000000-0005-0000-0000-0000E6190000}"/>
    <cellStyle name="RowTitles1-Detail 2 2 2 4 6_Tertiary Salaries Survey" xfId="6612" xr:uid="{00000000-0005-0000-0000-0000E7190000}"/>
    <cellStyle name="RowTitles1-Detail 2 2 2 4 7" xfId="6613" xr:uid="{00000000-0005-0000-0000-0000E8190000}"/>
    <cellStyle name="RowTitles1-Detail 2 2 2 4 7 2" xfId="6614" xr:uid="{00000000-0005-0000-0000-0000E9190000}"/>
    <cellStyle name="RowTitles1-Detail 2 2 2 4 7 2 2" xfId="6615" xr:uid="{00000000-0005-0000-0000-0000EA190000}"/>
    <cellStyle name="RowTitles1-Detail 2 2 2 4 7 2_Tertiary Salaries Survey" xfId="6616" xr:uid="{00000000-0005-0000-0000-0000EB190000}"/>
    <cellStyle name="RowTitles1-Detail 2 2 2 4 7 3" xfId="6617" xr:uid="{00000000-0005-0000-0000-0000EC190000}"/>
    <cellStyle name="RowTitles1-Detail 2 2 2 4 7_Tertiary Salaries Survey" xfId="6618" xr:uid="{00000000-0005-0000-0000-0000ED190000}"/>
    <cellStyle name="RowTitles1-Detail 2 2 2 4 8" xfId="6619" xr:uid="{00000000-0005-0000-0000-0000EE190000}"/>
    <cellStyle name="RowTitles1-Detail 2 2 2 4 8 2" xfId="6620" xr:uid="{00000000-0005-0000-0000-0000EF190000}"/>
    <cellStyle name="RowTitles1-Detail 2 2 2 4 8 2 2" xfId="6621" xr:uid="{00000000-0005-0000-0000-0000F0190000}"/>
    <cellStyle name="RowTitles1-Detail 2 2 2 4 8 2_Tertiary Salaries Survey" xfId="6622" xr:uid="{00000000-0005-0000-0000-0000F1190000}"/>
    <cellStyle name="RowTitles1-Detail 2 2 2 4 8 3" xfId="6623" xr:uid="{00000000-0005-0000-0000-0000F2190000}"/>
    <cellStyle name="RowTitles1-Detail 2 2 2 4 8_Tertiary Salaries Survey" xfId="6624" xr:uid="{00000000-0005-0000-0000-0000F3190000}"/>
    <cellStyle name="RowTitles1-Detail 2 2 2 4 9" xfId="6625" xr:uid="{00000000-0005-0000-0000-0000F4190000}"/>
    <cellStyle name="RowTitles1-Detail 2 2 2 4_STUD aligned by INSTIT" xfId="6626" xr:uid="{00000000-0005-0000-0000-0000F5190000}"/>
    <cellStyle name="RowTitles1-Detail 2 2 2 5" xfId="6627" xr:uid="{00000000-0005-0000-0000-0000F6190000}"/>
    <cellStyle name="RowTitles1-Detail 2 2 2 5 2" xfId="6628" xr:uid="{00000000-0005-0000-0000-0000F7190000}"/>
    <cellStyle name="RowTitles1-Detail 2 2 2 5 2 2" xfId="6629" xr:uid="{00000000-0005-0000-0000-0000F8190000}"/>
    <cellStyle name="RowTitles1-Detail 2 2 2 5 2 2 2" xfId="6630" xr:uid="{00000000-0005-0000-0000-0000F9190000}"/>
    <cellStyle name="RowTitles1-Detail 2 2 2 5 2 2 2 2" xfId="6631" xr:uid="{00000000-0005-0000-0000-0000FA190000}"/>
    <cellStyle name="RowTitles1-Detail 2 2 2 5 2 2 2_Tertiary Salaries Survey" xfId="6632" xr:uid="{00000000-0005-0000-0000-0000FB190000}"/>
    <cellStyle name="RowTitles1-Detail 2 2 2 5 2 2 3" xfId="6633" xr:uid="{00000000-0005-0000-0000-0000FC190000}"/>
    <cellStyle name="RowTitles1-Detail 2 2 2 5 2 2_Tertiary Salaries Survey" xfId="6634" xr:uid="{00000000-0005-0000-0000-0000FD190000}"/>
    <cellStyle name="RowTitles1-Detail 2 2 2 5 2 3" xfId="6635" xr:uid="{00000000-0005-0000-0000-0000FE190000}"/>
    <cellStyle name="RowTitles1-Detail 2 2 2 5 2 3 2" xfId="6636" xr:uid="{00000000-0005-0000-0000-0000FF190000}"/>
    <cellStyle name="RowTitles1-Detail 2 2 2 5 2 3 2 2" xfId="6637" xr:uid="{00000000-0005-0000-0000-0000001A0000}"/>
    <cellStyle name="RowTitles1-Detail 2 2 2 5 2 3 2_Tertiary Salaries Survey" xfId="6638" xr:uid="{00000000-0005-0000-0000-0000011A0000}"/>
    <cellStyle name="RowTitles1-Detail 2 2 2 5 2 3 3" xfId="6639" xr:uid="{00000000-0005-0000-0000-0000021A0000}"/>
    <cellStyle name="RowTitles1-Detail 2 2 2 5 2 3_Tertiary Salaries Survey" xfId="6640" xr:uid="{00000000-0005-0000-0000-0000031A0000}"/>
    <cellStyle name="RowTitles1-Detail 2 2 2 5 2 4" xfId="6641" xr:uid="{00000000-0005-0000-0000-0000041A0000}"/>
    <cellStyle name="RowTitles1-Detail 2 2 2 5 2 5" xfId="6642" xr:uid="{00000000-0005-0000-0000-0000051A0000}"/>
    <cellStyle name="RowTitles1-Detail 2 2 2 5 2 5 2" xfId="6643" xr:uid="{00000000-0005-0000-0000-0000061A0000}"/>
    <cellStyle name="RowTitles1-Detail 2 2 2 5 2 5_Tertiary Salaries Survey" xfId="6644" xr:uid="{00000000-0005-0000-0000-0000071A0000}"/>
    <cellStyle name="RowTitles1-Detail 2 2 2 5 2 6" xfId="6645" xr:uid="{00000000-0005-0000-0000-0000081A0000}"/>
    <cellStyle name="RowTitles1-Detail 2 2 2 5 2_Tertiary Salaries Survey" xfId="6646" xr:uid="{00000000-0005-0000-0000-0000091A0000}"/>
    <cellStyle name="RowTitles1-Detail 2 2 2 5 3" xfId="6647" xr:uid="{00000000-0005-0000-0000-00000A1A0000}"/>
    <cellStyle name="RowTitles1-Detail 2 2 2 5 3 2" xfId="6648" xr:uid="{00000000-0005-0000-0000-00000B1A0000}"/>
    <cellStyle name="RowTitles1-Detail 2 2 2 5 3 2 2" xfId="6649" xr:uid="{00000000-0005-0000-0000-00000C1A0000}"/>
    <cellStyle name="RowTitles1-Detail 2 2 2 5 3 2 2 2" xfId="6650" xr:uid="{00000000-0005-0000-0000-00000D1A0000}"/>
    <cellStyle name="RowTitles1-Detail 2 2 2 5 3 2 2_Tertiary Salaries Survey" xfId="6651" xr:uid="{00000000-0005-0000-0000-00000E1A0000}"/>
    <cellStyle name="RowTitles1-Detail 2 2 2 5 3 2 3" xfId="6652" xr:uid="{00000000-0005-0000-0000-00000F1A0000}"/>
    <cellStyle name="RowTitles1-Detail 2 2 2 5 3 2_Tertiary Salaries Survey" xfId="6653" xr:uid="{00000000-0005-0000-0000-0000101A0000}"/>
    <cellStyle name="RowTitles1-Detail 2 2 2 5 3 3" xfId="6654" xr:uid="{00000000-0005-0000-0000-0000111A0000}"/>
    <cellStyle name="RowTitles1-Detail 2 2 2 5 3 3 2" xfId="6655" xr:uid="{00000000-0005-0000-0000-0000121A0000}"/>
    <cellStyle name="RowTitles1-Detail 2 2 2 5 3 3 2 2" xfId="6656" xr:uid="{00000000-0005-0000-0000-0000131A0000}"/>
    <cellStyle name="RowTitles1-Detail 2 2 2 5 3 3 2_Tertiary Salaries Survey" xfId="6657" xr:uid="{00000000-0005-0000-0000-0000141A0000}"/>
    <cellStyle name="RowTitles1-Detail 2 2 2 5 3 3 3" xfId="6658" xr:uid="{00000000-0005-0000-0000-0000151A0000}"/>
    <cellStyle name="RowTitles1-Detail 2 2 2 5 3 3_Tertiary Salaries Survey" xfId="6659" xr:uid="{00000000-0005-0000-0000-0000161A0000}"/>
    <cellStyle name="RowTitles1-Detail 2 2 2 5 3 4" xfId="6660" xr:uid="{00000000-0005-0000-0000-0000171A0000}"/>
    <cellStyle name="RowTitles1-Detail 2 2 2 5 3 5" xfId="6661" xr:uid="{00000000-0005-0000-0000-0000181A0000}"/>
    <cellStyle name="RowTitles1-Detail 2 2 2 5 3_Tertiary Salaries Survey" xfId="6662" xr:uid="{00000000-0005-0000-0000-0000191A0000}"/>
    <cellStyle name="RowTitles1-Detail 2 2 2 5 4" xfId="6663" xr:uid="{00000000-0005-0000-0000-00001A1A0000}"/>
    <cellStyle name="RowTitles1-Detail 2 2 2 5 4 2" xfId="6664" xr:uid="{00000000-0005-0000-0000-00001B1A0000}"/>
    <cellStyle name="RowTitles1-Detail 2 2 2 5 4 2 2" xfId="6665" xr:uid="{00000000-0005-0000-0000-00001C1A0000}"/>
    <cellStyle name="RowTitles1-Detail 2 2 2 5 4 2 2 2" xfId="6666" xr:uid="{00000000-0005-0000-0000-00001D1A0000}"/>
    <cellStyle name="RowTitles1-Detail 2 2 2 5 4 2 2_Tertiary Salaries Survey" xfId="6667" xr:uid="{00000000-0005-0000-0000-00001E1A0000}"/>
    <cellStyle name="RowTitles1-Detail 2 2 2 5 4 2 3" xfId="6668" xr:uid="{00000000-0005-0000-0000-00001F1A0000}"/>
    <cellStyle name="RowTitles1-Detail 2 2 2 5 4 2_Tertiary Salaries Survey" xfId="6669" xr:uid="{00000000-0005-0000-0000-0000201A0000}"/>
    <cellStyle name="RowTitles1-Detail 2 2 2 5 4 3" xfId="6670" xr:uid="{00000000-0005-0000-0000-0000211A0000}"/>
    <cellStyle name="RowTitles1-Detail 2 2 2 5 4 3 2" xfId="6671" xr:uid="{00000000-0005-0000-0000-0000221A0000}"/>
    <cellStyle name="RowTitles1-Detail 2 2 2 5 4 3 2 2" xfId="6672" xr:uid="{00000000-0005-0000-0000-0000231A0000}"/>
    <cellStyle name="RowTitles1-Detail 2 2 2 5 4 3 2_Tertiary Salaries Survey" xfId="6673" xr:uid="{00000000-0005-0000-0000-0000241A0000}"/>
    <cellStyle name="RowTitles1-Detail 2 2 2 5 4 3 3" xfId="6674" xr:uid="{00000000-0005-0000-0000-0000251A0000}"/>
    <cellStyle name="RowTitles1-Detail 2 2 2 5 4 3_Tertiary Salaries Survey" xfId="6675" xr:uid="{00000000-0005-0000-0000-0000261A0000}"/>
    <cellStyle name="RowTitles1-Detail 2 2 2 5 4 4" xfId="6676" xr:uid="{00000000-0005-0000-0000-0000271A0000}"/>
    <cellStyle name="RowTitles1-Detail 2 2 2 5 4 5" xfId="6677" xr:uid="{00000000-0005-0000-0000-0000281A0000}"/>
    <cellStyle name="RowTitles1-Detail 2 2 2 5 4 5 2" xfId="6678" xr:uid="{00000000-0005-0000-0000-0000291A0000}"/>
    <cellStyle name="RowTitles1-Detail 2 2 2 5 4 5_Tertiary Salaries Survey" xfId="6679" xr:uid="{00000000-0005-0000-0000-00002A1A0000}"/>
    <cellStyle name="RowTitles1-Detail 2 2 2 5 4 6" xfId="6680" xr:uid="{00000000-0005-0000-0000-00002B1A0000}"/>
    <cellStyle name="RowTitles1-Detail 2 2 2 5 4_Tertiary Salaries Survey" xfId="6681" xr:uid="{00000000-0005-0000-0000-00002C1A0000}"/>
    <cellStyle name="RowTitles1-Detail 2 2 2 5 5" xfId="6682" xr:uid="{00000000-0005-0000-0000-00002D1A0000}"/>
    <cellStyle name="RowTitles1-Detail 2 2 2 5 5 2" xfId="6683" xr:uid="{00000000-0005-0000-0000-00002E1A0000}"/>
    <cellStyle name="RowTitles1-Detail 2 2 2 5 5 2 2" xfId="6684" xr:uid="{00000000-0005-0000-0000-00002F1A0000}"/>
    <cellStyle name="RowTitles1-Detail 2 2 2 5 5 2 2 2" xfId="6685" xr:uid="{00000000-0005-0000-0000-0000301A0000}"/>
    <cellStyle name="RowTitles1-Detail 2 2 2 5 5 2 2_Tertiary Salaries Survey" xfId="6686" xr:uid="{00000000-0005-0000-0000-0000311A0000}"/>
    <cellStyle name="RowTitles1-Detail 2 2 2 5 5 2 3" xfId="6687" xr:uid="{00000000-0005-0000-0000-0000321A0000}"/>
    <cellStyle name="RowTitles1-Detail 2 2 2 5 5 2_Tertiary Salaries Survey" xfId="6688" xr:uid="{00000000-0005-0000-0000-0000331A0000}"/>
    <cellStyle name="RowTitles1-Detail 2 2 2 5 5 3" xfId="6689" xr:uid="{00000000-0005-0000-0000-0000341A0000}"/>
    <cellStyle name="RowTitles1-Detail 2 2 2 5 5 3 2" xfId="6690" xr:uid="{00000000-0005-0000-0000-0000351A0000}"/>
    <cellStyle name="RowTitles1-Detail 2 2 2 5 5 3 2 2" xfId="6691" xr:uid="{00000000-0005-0000-0000-0000361A0000}"/>
    <cellStyle name="RowTitles1-Detail 2 2 2 5 5 3 2_Tertiary Salaries Survey" xfId="6692" xr:uid="{00000000-0005-0000-0000-0000371A0000}"/>
    <cellStyle name="RowTitles1-Detail 2 2 2 5 5 3 3" xfId="6693" xr:uid="{00000000-0005-0000-0000-0000381A0000}"/>
    <cellStyle name="RowTitles1-Detail 2 2 2 5 5 3_Tertiary Salaries Survey" xfId="6694" xr:uid="{00000000-0005-0000-0000-0000391A0000}"/>
    <cellStyle name="RowTitles1-Detail 2 2 2 5 5 4" xfId="6695" xr:uid="{00000000-0005-0000-0000-00003A1A0000}"/>
    <cellStyle name="RowTitles1-Detail 2 2 2 5 5 4 2" xfId="6696" xr:uid="{00000000-0005-0000-0000-00003B1A0000}"/>
    <cellStyle name="RowTitles1-Detail 2 2 2 5 5 4_Tertiary Salaries Survey" xfId="6697" xr:uid="{00000000-0005-0000-0000-00003C1A0000}"/>
    <cellStyle name="RowTitles1-Detail 2 2 2 5 5 5" xfId="6698" xr:uid="{00000000-0005-0000-0000-00003D1A0000}"/>
    <cellStyle name="RowTitles1-Detail 2 2 2 5 5_Tertiary Salaries Survey" xfId="6699" xr:uid="{00000000-0005-0000-0000-00003E1A0000}"/>
    <cellStyle name="RowTitles1-Detail 2 2 2 5 6" xfId="6700" xr:uid="{00000000-0005-0000-0000-00003F1A0000}"/>
    <cellStyle name="RowTitles1-Detail 2 2 2 5 6 2" xfId="6701" xr:uid="{00000000-0005-0000-0000-0000401A0000}"/>
    <cellStyle name="RowTitles1-Detail 2 2 2 5 6 2 2" xfId="6702" xr:uid="{00000000-0005-0000-0000-0000411A0000}"/>
    <cellStyle name="RowTitles1-Detail 2 2 2 5 6 2 2 2" xfId="6703" xr:uid="{00000000-0005-0000-0000-0000421A0000}"/>
    <cellStyle name="RowTitles1-Detail 2 2 2 5 6 2 2_Tertiary Salaries Survey" xfId="6704" xr:uid="{00000000-0005-0000-0000-0000431A0000}"/>
    <cellStyle name="RowTitles1-Detail 2 2 2 5 6 2 3" xfId="6705" xr:uid="{00000000-0005-0000-0000-0000441A0000}"/>
    <cellStyle name="RowTitles1-Detail 2 2 2 5 6 2_Tertiary Salaries Survey" xfId="6706" xr:uid="{00000000-0005-0000-0000-0000451A0000}"/>
    <cellStyle name="RowTitles1-Detail 2 2 2 5 6 3" xfId="6707" xr:uid="{00000000-0005-0000-0000-0000461A0000}"/>
    <cellStyle name="RowTitles1-Detail 2 2 2 5 6 3 2" xfId="6708" xr:uid="{00000000-0005-0000-0000-0000471A0000}"/>
    <cellStyle name="RowTitles1-Detail 2 2 2 5 6 3 2 2" xfId="6709" xr:uid="{00000000-0005-0000-0000-0000481A0000}"/>
    <cellStyle name="RowTitles1-Detail 2 2 2 5 6 3 2_Tertiary Salaries Survey" xfId="6710" xr:uid="{00000000-0005-0000-0000-0000491A0000}"/>
    <cellStyle name="RowTitles1-Detail 2 2 2 5 6 3 3" xfId="6711" xr:uid="{00000000-0005-0000-0000-00004A1A0000}"/>
    <cellStyle name="RowTitles1-Detail 2 2 2 5 6 3_Tertiary Salaries Survey" xfId="6712" xr:uid="{00000000-0005-0000-0000-00004B1A0000}"/>
    <cellStyle name="RowTitles1-Detail 2 2 2 5 6 4" xfId="6713" xr:uid="{00000000-0005-0000-0000-00004C1A0000}"/>
    <cellStyle name="RowTitles1-Detail 2 2 2 5 6 4 2" xfId="6714" xr:uid="{00000000-0005-0000-0000-00004D1A0000}"/>
    <cellStyle name="RowTitles1-Detail 2 2 2 5 6 4_Tertiary Salaries Survey" xfId="6715" xr:uid="{00000000-0005-0000-0000-00004E1A0000}"/>
    <cellStyle name="RowTitles1-Detail 2 2 2 5 6 5" xfId="6716" xr:uid="{00000000-0005-0000-0000-00004F1A0000}"/>
    <cellStyle name="RowTitles1-Detail 2 2 2 5 6_Tertiary Salaries Survey" xfId="6717" xr:uid="{00000000-0005-0000-0000-0000501A0000}"/>
    <cellStyle name="RowTitles1-Detail 2 2 2 5 7" xfId="6718" xr:uid="{00000000-0005-0000-0000-0000511A0000}"/>
    <cellStyle name="RowTitles1-Detail 2 2 2 5 7 2" xfId="6719" xr:uid="{00000000-0005-0000-0000-0000521A0000}"/>
    <cellStyle name="RowTitles1-Detail 2 2 2 5 7 2 2" xfId="6720" xr:uid="{00000000-0005-0000-0000-0000531A0000}"/>
    <cellStyle name="RowTitles1-Detail 2 2 2 5 7 2_Tertiary Salaries Survey" xfId="6721" xr:uid="{00000000-0005-0000-0000-0000541A0000}"/>
    <cellStyle name="RowTitles1-Detail 2 2 2 5 7 3" xfId="6722" xr:uid="{00000000-0005-0000-0000-0000551A0000}"/>
    <cellStyle name="RowTitles1-Detail 2 2 2 5 7_Tertiary Salaries Survey" xfId="6723" xr:uid="{00000000-0005-0000-0000-0000561A0000}"/>
    <cellStyle name="RowTitles1-Detail 2 2 2 5 8" xfId="6724" xr:uid="{00000000-0005-0000-0000-0000571A0000}"/>
    <cellStyle name="RowTitles1-Detail 2 2 2 5 9" xfId="6725" xr:uid="{00000000-0005-0000-0000-0000581A0000}"/>
    <cellStyle name="RowTitles1-Detail 2 2 2 5_STUD aligned by INSTIT" xfId="6726" xr:uid="{00000000-0005-0000-0000-0000591A0000}"/>
    <cellStyle name="RowTitles1-Detail 2 2 2 6" xfId="6727" xr:uid="{00000000-0005-0000-0000-00005A1A0000}"/>
    <cellStyle name="RowTitles1-Detail 2 2 2 6 2" xfId="6728" xr:uid="{00000000-0005-0000-0000-00005B1A0000}"/>
    <cellStyle name="RowTitles1-Detail 2 2 2 6 2 2" xfId="6729" xr:uid="{00000000-0005-0000-0000-00005C1A0000}"/>
    <cellStyle name="RowTitles1-Detail 2 2 2 6 2 2 2" xfId="6730" xr:uid="{00000000-0005-0000-0000-00005D1A0000}"/>
    <cellStyle name="RowTitles1-Detail 2 2 2 6 2 2_Tertiary Salaries Survey" xfId="6731" xr:uid="{00000000-0005-0000-0000-00005E1A0000}"/>
    <cellStyle name="RowTitles1-Detail 2 2 2 6 2 3" xfId="6732" xr:uid="{00000000-0005-0000-0000-00005F1A0000}"/>
    <cellStyle name="RowTitles1-Detail 2 2 2 6 2_Tertiary Salaries Survey" xfId="6733" xr:uid="{00000000-0005-0000-0000-0000601A0000}"/>
    <cellStyle name="RowTitles1-Detail 2 2 2 6 3" xfId="6734" xr:uid="{00000000-0005-0000-0000-0000611A0000}"/>
    <cellStyle name="RowTitles1-Detail 2 2 2 6 3 2" xfId="6735" xr:uid="{00000000-0005-0000-0000-0000621A0000}"/>
    <cellStyle name="RowTitles1-Detail 2 2 2 6 3 2 2" xfId="6736" xr:uid="{00000000-0005-0000-0000-0000631A0000}"/>
    <cellStyle name="RowTitles1-Detail 2 2 2 6 3 2_Tertiary Salaries Survey" xfId="6737" xr:uid="{00000000-0005-0000-0000-0000641A0000}"/>
    <cellStyle name="RowTitles1-Detail 2 2 2 6 3 3" xfId="6738" xr:uid="{00000000-0005-0000-0000-0000651A0000}"/>
    <cellStyle name="RowTitles1-Detail 2 2 2 6 3_Tertiary Salaries Survey" xfId="6739" xr:uid="{00000000-0005-0000-0000-0000661A0000}"/>
    <cellStyle name="RowTitles1-Detail 2 2 2 6 4" xfId="6740" xr:uid="{00000000-0005-0000-0000-0000671A0000}"/>
    <cellStyle name="RowTitles1-Detail 2 2 2 6 5" xfId="6741" xr:uid="{00000000-0005-0000-0000-0000681A0000}"/>
    <cellStyle name="RowTitles1-Detail 2 2 2 6 5 2" xfId="6742" xr:uid="{00000000-0005-0000-0000-0000691A0000}"/>
    <cellStyle name="RowTitles1-Detail 2 2 2 6 5_Tertiary Salaries Survey" xfId="6743" xr:uid="{00000000-0005-0000-0000-00006A1A0000}"/>
    <cellStyle name="RowTitles1-Detail 2 2 2 6 6" xfId="6744" xr:uid="{00000000-0005-0000-0000-00006B1A0000}"/>
    <cellStyle name="RowTitles1-Detail 2 2 2 6_Tertiary Salaries Survey" xfId="6745" xr:uid="{00000000-0005-0000-0000-00006C1A0000}"/>
    <cellStyle name="RowTitles1-Detail 2 2 2 7" xfId="6746" xr:uid="{00000000-0005-0000-0000-00006D1A0000}"/>
    <cellStyle name="RowTitles1-Detail 2 2 2 7 2" xfId="6747" xr:uid="{00000000-0005-0000-0000-00006E1A0000}"/>
    <cellStyle name="RowTitles1-Detail 2 2 2 7 2 2" xfId="6748" xr:uid="{00000000-0005-0000-0000-00006F1A0000}"/>
    <cellStyle name="RowTitles1-Detail 2 2 2 7 2 2 2" xfId="6749" xr:uid="{00000000-0005-0000-0000-0000701A0000}"/>
    <cellStyle name="RowTitles1-Detail 2 2 2 7 2 2_Tertiary Salaries Survey" xfId="6750" xr:uid="{00000000-0005-0000-0000-0000711A0000}"/>
    <cellStyle name="RowTitles1-Detail 2 2 2 7 2 3" xfId="6751" xr:uid="{00000000-0005-0000-0000-0000721A0000}"/>
    <cellStyle name="RowTitles1-Detail 2 2 2 7 2_Tertiary Salaries Survey" xfId="6752" xr:uid="{00000000-0005-0000-0000-0000731A0000}"/>
    <cellStyle name="RowTitles1-Detail 2 2 2 7 3" xfId="6753" xr:uid="{00000000-0005-0000-0000-0000741A0000}"/>
    <cellStyle name="RowTitles1-Detail 2 2 2 7 3 2" xfId="6754" xr:uid="{00000000-0005-0000-0000-0000751A0000}"/>
    <cellStyle name="RowTitles1-Detail 2 2 2 7 3 2 2" xfId="6755" xr:uid="{00000000-0005-0000-0000-0000761A0000}"/>
    <cellStyle name="RowTitles1-Detail 2 2 2 7 3 2_Tertiary Salaries Survey" xfId="6756" xr:uid="{00000000-0005-0000-0000-0000771A0000}"/>
    <cellStyle name="RowTitles1-Detail 2 2 2 7 3 3" xfId="6757" xr:uid="{00000000-0005-0000-0000-0000781A0000}"/>
    <cellStyle name="RowTitles1-Detail 2 2 2 7 3_Tertiary Salaries Survey" xfId="6758" xr:uid="{00000000-0005-0000-0000-0000791A0000}"/>
    <cellStyle name="RowTitles1-Detail 2 2 2 7 4" xfId="6759" xr:uid="{00000000-0005-0000-0000-00007A1A0000}"/>
    <cellStyle name="RowTitles1-Detail 2 2 2 7 5" xfId="6760" xr:uid="{00000000-0005-0000-0000-00007B1A0000}"/>
    <cellStyle name="RowTitles1-Detail 2 2 2 7_Tertiary Salaries Survey" xfId="6761" xr:uid="{00000000-0005-0000-0000-00007C1A0000}"/>
    <cellStyle name="RowTitles1-Detail 2 2 2 8" xfId="6762" xr:uid="{00000000-0005-0000-0000-00007D1A0000}"/>
    <cellStyle name="RowTitles1-Detail 2 2 2 8 2" xfId="6763" xr:uid="{00000000-0005-0000-0000-00007E1A0000}"/>
    <cellStyle name="RowTitles1-Detail 2 2 2 8 2 2" xfId="6764" xr:uid="{00000000-0005-0000-0000-00007F1A0000}"/>
    <cellStyle name="RowTitles1-Detail 2 2 2 8 2 2 2" xfId="6765" xr:uid="{00000000-0005-0000-0000-0000801A0000}"/>
    <cellStyle name="RowTitles1-Detail 2 2 2 8 2 2_Tertiary Salaries Survey" xfId="6766" xr:uid="{00000000-0005-0000-0000-0000811A0000}"/>
    <cellStyle name="RowTitles1-Detail 2 2 2 8 2 3" xfId="6767" xr:uid="{00000000-0005-0000-0000-0000821A0000}"/>
    <cellStyle name="RowTitles1-Detail 2 2 2 8 2_Tertiary Salaries Survey" xfId="6768" xr:uid="{00000000-0005-0000-0000-0000831A0000}"/>
    <cellStyle name="RowTitles1-Detail 2 2 2 8 3" xfId="6769" xr:uid="{00000000-0005-0000-0000-0000841A0000}"/>
    <cellStyle name="RowTitles1-Detail 2 2 2 8 3 2" xfId="6770" xr:uid="{00000000-0005-0000-0000-0000851A0000}"/>
    <cellStyle name="RowTitles1-Detail 2 2 2 8 3 2 2" xfId="6771" xr:uid="{00000000-0005-0000-0000-0000861A0000}"/>
    <cellStyle name="RowTitles1-Detail 2 2 2 8 3 2_Tertiary Salaries Survey" xfId="6772" xr:uid="{00000000-0005-0000-0000-0000871A0000}"/>
    <cellStyle name="RowTitles1-Detail 2 2 2 8 3 3" xfId="6773" xr:uid="{00000000-0005-0000-0000-0000881A0000}"/>
    <cellStyle name="RowTitles1-Detail 2 2 2 8 3_Tertiary Salaries Survey" xfId="6774" xr:uid="{00000000-0005-0000-0000-0000891A0000}"/>
    <cellStyle name="RowTitles1-Detail 2 2 2 8 4" xfId="6775" xr:uid="{00000000-0005-0000-0000-00008A1A0000}"/>
    <cellStyle name="RowTitles1-Detail 2 2 2 8 5" xfId="6776" xr:uid="{00000000-0005-0000-0000-00008B1A0000}"/>
    <cellStyle name="RowTitles1-Detail 2 2 2 8 5 2" xfId="6777" xr:uid="{00000000-0005-0000-0000-00008C1A0000}"/>
    <cellStyle name="RowTitles1-Detail 2 2 2 8 5_Tertiary Salaries Survey" xfId="6778" xr:uid="{00000000-0005-0000-0000-00008D1A0000}"/>
    <cellStyle name="RowTitles1-Detail 2 2 2 8 6" xfId="6779" xr:uid="{00000000-0005-0000-0000-00008E1A0000}"/>
    <cellStyle name="RowTitles1-Detail 2 2 2 8_Tertiary Salaries Survey" xfId="6780" xr:uid="{00000000-0005-0000-0000-00008F1A0000}"/>
    <cellStyle name="RowTitles1-Detail 2 2 2 9" xfId="6781" xr:uid="{00000000-0005-0000-0000-0000901A0000}"/>
    <cellStyle name="RowTitles1-Detail 2 2 2 9 2" xfId="6782" xr:uid="{00000000-0005-0000-0000-0000911A0000}"/>
    <cellStyle name="RowTitles1-Detail 2 2 2 9 2 2" xfId="6783" xr:uid="{00000000-0005-0000-0000-0000921A0000}"/>
    <cellStyle name="RowTitles1-Detail 2 2 2 9 2 2 2" xfId="6784" xr:uid="{00000000-0005-0000-0000-0000931A0000}"/>
    <cellStyle name="RowTitles1-Detail 2 2 2 9 2 2_Tertiary Salaries Survey" xfId="6785" xr:uid="{00000000-0005-0000-0000-0000941A0000}"/>
    <cellStyle name="RowTitles1-Detail 2 2 2 9 2 3" xfId="6786" xr:uid="{00000000-0005-0000-0000-0000951A0000}"/>
    <cellStyle name="RowTitles1-Detail 2 2 2 9 2_Tertiary Salaries Survey" xfId="6787" xr:uid="{00000000-0005-0000-0000-0000961A0000}"/>
    <cellStyle name="RowTitles1-Detail 2 2 2 9 3" xfId="6788" xr:uid="{00000000-0005-0000-0000-0000971A0000}"/>
    <cellStyle name="RowTitles1-Detail 2 2 2 9 3 2" xfId="6789" xr:uid="{00000000-0005-0000-0000-0000981A0000}"/>
    <cellStyle name="RowTitles1-Detail 2 2 2 9 3 2 2" xfId="6790" xr:uid="{00000000-0005-0000-0000-0000991A0000}"/>
    <cellStyle name="RowTitles1-Detail 2 2 2 9 3 2_Tertiary Salaries Survey" xfId="6791" xr:uid="{00000000-0005-0000-0000-00009A1A0000}"/>
    <cellStyle name="RowTitles1-Detail 2 2 2 9 3 3" xfId="6792" xr:uid="{00000000-0005-0000-0000-00009B1A0000}"/>
    <cellStyle name="RowTitles1-Detail 2 2 2 9 3_Tertiary Salaries Survey" xfId="6793" xr:uid="{00000000-0005-0000-0000-00009C1A0000}"/>
    <cellStyle name="RowTitles1-Detail 2 2 2 9 4" xfId="6794" xr:uid="{00000000-0005-0000-0000-00009D1A0000}"/>
    <cellStyle name="RowTitles1-Detail 2 2 2 9 4 2" xfId="6795" xr:uid="{00000000-0005-0000-0000-00009E1A0000}"/>
    <cellStyle name="RowTitles1-Detail 2 2 2 9 4_Tertiary Salaries Survey" xfId="6796" xr:uid="{00000000-0005-0000-0000-00009F1A0000}"/>
    <cellStyle name="RowTitles1-Detail 2 2 2 9 5" xfId="6797" xr:uid="{00000000-0005-0000-0000-0000A01A0000}"/>
    <cellStyle name="RowTitles1-Detail 2 2 2 9_Tertiary Salaries Survey" xfId="6798" xr:uid="{00000000-0005-0000-0000-0000A11A0000}"/>
    <cellStyle name="RowTitles1-Detail 2 2 2_STUD aligned by INSTIT" xfId="6799" xr:uid="{00000000-0005-0000-0000-0000A21A0000}"/>
    <cellStyle name="RowTitles1-Detail 2 2 3" xfId="6800" xr:uid="{00000000-0005-0000-0000-0000A31A0000}"/>
    <cellStyle name="RowTitles1-Detail 2 2 3 10" xfId="6801" xr:uid="{00000000-0005-0000-0000-0000A41A0000}"/>
    <cellStyle name="RowTitles1-Detail 2 2 3 10 2" xfId="6802" xr:uid="{00000000-0005-0000-0000-0000A51A0000}"/>
    <cellStyle name="RowTitles1-Detail 2 2 3 10 2 2" xfId="6803" xr:uid="{00000000-0005-0000-0000-0000A61A0000}"/>
    <cellStyle name="RowTitles1-Detail 2 2 3 10 2_Tertiary Salaries Survey" xfId="6804" xr:uid="{00000000-0005-0000-0000-0000A71A0000}"/>
    <cellStyle name="RowTitles1-Detail 2 2 3 10 3" xfId="6805" xr:uid="{00000000-0005-0000-0000-0000A81A0000}"/>
    <cellStyle name="RowTitles1-Detail 2 2 3 10_Tertiary Salaries Survey" xfId="6806" xr:uid="{00000000-0005-0000-0000-0000A91A0000}"/>
    <cellStyle name="RowTitles1-Detail 2 2 3 11" xfId="6807" xr:uid="{00000000-0005-0000-0000-0000AA1A0000}"/>
    <cellStyle name="RowTitles1-Detail 2 2 3 12" xfId="6808" xr:uid="{00000000-0005-0000-0000-0000AB1A0000}"/>
    <cellStyle name="RowTitles1-Detail 2 2 3 2" xfId="6809" xr:uid="{00000000-0005-0000-0000-0000AC1A0000}"/>
    <cellStyle name="RowTitles1-Detail 2 2 3 2 2" xfId="6810" xr:uid="{00000000-0005-0000-0000-0000AD1A0000}"/>
    <cellStyle name="RowTitles1-Detail 2 2 3 2 2 2" xfId="6811" xr:uid="{00000000-0005-0000-0000-0000AE1A0000}"/>
    <cellStyle name="RowTitles1-Detail 2 2 3 2 2 2 2" xfId="6812" xr:uid="{00000000-0005-0000-0000-0000AF1A0000}"/>
    <cellStyle name="RowTitles1-Detail 2 2 3 2 2 2 2 2" xfId="6813" xr:uid="{00000000-0005-0000-0000-0000B01A0000}"/>
    <cellStyle name="RowTitles1-Detail 2 2 3 2 2 2 2_Tertiary Salaries Survey" xfId="6814" xr:uid="{00000000-0005-0000-0000-0000B11A0000}"/>
    <cellStyle name="RowTitles1-Detail 2 2 3 2 2 2 3" xfId="6815" xr:uid="{00000000-0005-0000-0000-0000B21A0000}"/>
    <cellStyle name="RowTitles1-Detail 2 2 3 2 2 2_Tertiary Salaries Survey" xfId="6816" xr:uid="{00000000-0005-0000-0000-0000B31A0000}"/>
    <cellStyle name="RowTitles1-Detail 2 2 3 2 2 3" xfId="6817" xr:uid="{00000000-0005-0000-0000-0000B41A0000}"/>
    <cellStyle name="RowTitles1-Detail 2 2 3 2 2 3 2" xfId="6818" xr:uid="{00000000-0005-0000-0000-0000B51A0000}"/>
    <cellStyle name="RowTitles1-Detail 2 2 3 2 2 3 2 2" xfId="6819" xr:uid="{00000000-0005-0000-0000-0000B61A0000}"/>
    <cellStyle name="RowTitles1-Detail 2 2 3 2 2 3 2_Tertiary Salaries Survey" xfId="6820" xr:uid="{00000000-0005-0000-0000-0000B71A0000}"/>
    <cellStyle name="RowTitles1-Detail 2 2 3 2 2 3 3" xfId="6821" xr:uid="{00000000-0005-0000-0000-0000B81A0000}"/>
    <cellStyle name="RowTitles1-Detail 2 2 3 2 2 3_Tertiary Salaries Survey" xfId="6822" xr:uid="{00000000-0005-0000-0000-0000B91A0000}"/>
    <cellStyle name="RowTitles1-Detail 2 2 3 2 2 4" xfId="6823" xr:uid="{00000000-0005-0000-0000-0000BA1A0000}"/>
    <cellStyle name="RowTitles1-Detail 2 2 3 2 2 5" xfId="6824" xr:uid="{00000000-0005-0000-0000-0000BB1A0000}"/>
    <cellStyle name="RowTitles1-Detail 2 2 3 2 2_Tertiary Salaries Survey" xfId="6825" xr:uid="{00000000-0005-0000-0000-0000BC1A0000}"/>
    <cellStyle name="RowTitles1-Detail 2 2 3 2 3" xfId="6826" xr:uid="{00000000-0005-0000-0000-0000BD1A0000}"/>
    <cellStyle name="RowTitles1-Detail 2 2 3 2 3 2" xfId="6827" xr:uid="{00000000-0005-0000-0000-0000BE1A0000}"/>
    <cellStyle name="RowTitles1-Detail 2 2 3 2 3 2 2" xfId="6828" xr:uid="{00000000-0005-0000-0000-0000BF1A0000}"/>
    <cellStyle name="RowTitles1-Detail 2 2 3 2 3 2 2 2" xfId="6829" xr:uid="{00000000-0005-0000-0000-0000C01A0000}"/>
    <cellStyle name="RowTitles1-Detail 2 2 3 2 3 2 2_Tertiary Salaries Survey" xfId="6830" xr:uid="{00000000-0005-0000-0000-0000C11A0000}"/>
    <cellStyle name="RowTitles1-Detail 2 2 3 2 3 2 3" xfId="6831" xr:uid="{00000000-0005-0000-0000-0000C21A0000}"/>
    <cellStyle name="RowTitles1-Detail 2 2 3 2 3 2_Tertiary Salaries Survey" xfId="6832" xr:uid="{00000000-0005-0000-0000-0000C31A0000}"/>
    <cellStyle name="RowTitles1-Detail 2 2 3 2 3 3" xfId="6833" xr:uid="{00000000-0005-0000-0000-0000C41A0000}"/>
    <cellStyle name="RowTitles1-Detail 2 2 3 2 3 3 2" xfId="6834" xr:uid="{00000000-0005-0000-0000-0000C51A0000}"/>
    <cellStyle name="RowTitles1-Detail 2 2 3 2 3 3 2 2" xfId="6835" xr:uid="{00000000-0005-0000-0000-0000C61A0000}"/>
    <cellStyle name="RowTitles1-Detail 2 2 3 2 3 3 2_Tertiary Salaries Survey" xfId="6836" xr:uid="{00000000-0005-0000-0000-0000C71A0000}"/>
    <cellStyle name="RowTitles1-Detail 2 2 3 2 3 3 3" xfId="6837" xr:uid="{00000000-0005-0000-0000-0000C81A0000}"/>
    <cellStyle name="RowTitles1-Detail 2 2 3 2 3 3_Tertiary Salaries Survey" xfId="6838" xr:uid="{00000000-0005-0000-0000-0000C91A0000}"/>
    <cellStyle name="RowTitles1-Detail 2 2 3 2 3 4" xfId="6839" xr:uid="{00000000-0005-0000-0000-0000CA1A0000}"/>
    <cellStyle name="RowTitles1-Detail 2 2 3 2 3 5" xfId="6840" xr:uid="{00000000-0005-0000-0000-0000CB1A0000}"/>
    <cellStyle name="RowTitles1-Detail 2 2 3 2 3 5 2" xfId="6841" xr:uid="{00000000-0005-0000-0000-0000CC1A0000}"/>
    <cellStyle name="RowTitles1-Detail 2 2 3 2 3 5_Tertiary Salaries Survey" xfId="6842" xr:uid="{00000000-0005-0000-0000-0000CD1A0000}"/>
    <cellStyle name="RowTitles1-Detail 2 2 3 2 3 6" xfId="6843" xr:uid="{00000000-0005-0000-0000-0000CE1A0000}"/>
    <cellStyle name="RowTitles1-Detail 2 2 3 2 3_Tertiary Salaries Survey" xfId="6844" xr:uid="{00000000-0005-0000-0000-0000CF1A0000}"/>
    <cellStyle name="RowTitles1-Detail 2 2 3 2 4" xfId="6845" xr:uid="{00000000-0005-0000-0000-0000D01A0000}"/>
    <cellStyle name="RowTitles1-Detail 2 2 3 2 4 2" xfId="6846" xr:uid="{00000000-0005-0000-0000-0000D11A0000}"/>
    <cellStyle name="RowTitles1-Detail 2 2 3 2 4 2 2" xfId="6847" xr:uid="{00000000-0005-0000-0000-0000D21A0000}"/>
    <cellStyle name="RowTitles1-Detail 2 2 3 2 4 2 2 2" xfId="6848" xr:uid="{00000000-0005-0000-0000-0000D31A0000}"/>
    <cellStyle name="RowTitles1-Detail 2 2 3 2 4 2 2_Tertiary Salaries Survey" xfId="6849" xr:uid="{00000000-0005-0000-0000-0000D41A0000}"/>
    <cellStyle name="RowTitles1-Detail 2 2 3 2 4 2 3" xfId="6850" xr:uid="{00000000-0005-0000-0000-0000D51A0000}"/>
    <cellStyle name="RowTitles1-Detail 2 2 3 2 4 2_Tertiary Salaries Survey" xfId="6851" xr:uid="{00000000-0005-0000-0000-0000D61A0000}"/>
    <cellStyle name="RowTitles1-Detail 2 2 3 2 4 3" xfId="6852" xr:uid="{00000000-0005-0000-0000-0000D71A0000}"/>
    <cellStyle name="RowTitles1-Detail 2 2 3 2 4 3 2" xfId="6853" xr:uid="{00000000-0005-0000-0000-0000D81A0000}"/>
    <cellStyle name="RowTitles1-Detail 2 2 3 2 4 3 2 2" xfId="6854" xr:uid="{00000000-0005-0000-0000-0000D91A0000}"/>
    <cellStyle name="RowTitles1-Detail 2 2 3 2 4 3 2_Tertiary Salaries Survey" xfId="6855" xr:uid="{00000000-0005-0000-0000-0000DA1A0000}"/>
    <cellStyle name="RowTitles1-Detail 2 2 3 2 4 3 3" xfId="6856" xr:uid="{00000000-0005-0000-0000-0000DB1A0000}"/>
    <cellStyle name="RowTitles1-Detail 2 2 3 2 4 3_Tertiary Salaries Survey" xfId="6857" xr:uid="{00000000-0005-0000-0000-0000DC1A0000}"/>
    <cellStyle name="RowTitles1-Detail 2 2 3 2 4 4" xfId="6858" xr:uid="{00000000-0005-0000-0000-0000DD1A0000}"/>
    <cellStyle name="RowTitles1-Detail 2 2 3 2 4 4 2" xfId="6859" xr:uid="{00000000-0005-0000-0000-0000DE1A0000}"/>
    <cellStyle name="RowTitles1-Detail 2 2 3 2 4 4_Tertiary Salaries Survey" xfId="6860" xr:uid="{00000000-0005-0000-0000-0000DF1A0000}"/>
    <cellStyle name="RowTitles1-Detail 2 2 3 2 4 5" xfId="6861" xr:uid="{00000000-0005-0000-0000-0000E01A0000}"/>
    <cellStyle name="RowTitles1-Detail 2 2 3 2 4_Tertiary Salaries Survey" xfId="6862" xr:uid="{00000000-0005-0000-0000-0000E11A0000}"/>
    <cellStyle name="RowTitles1-Detail 2 2 3 2 5" xfId="6863" xr:uid="{00000000-0005-0000-0000-0000E21A0000}"/>
    <cellStyle name="RowTitles1-Detail 2 2 3 2 5 2" xfId="6864" xr:uid="{00000000-0005-0000-0000-0000E31A0000}"/>
    <cellStyle name="RowTitles1-Detail 2 2 3 2 5 2 2" xfId="6865" xr:uid="{00000000-0005-0000-0000-0000E41A0000}"/>
    <cellStyle name="RowTitles1-Detail 2 2 3 2 5 2 2 2" xfId="6866" xr:uid="{00000000-0005-0000-0000-0000E51A0000}"/>
    <cellStyle name="RowTitles1-Detail 2 2 3 2 5 2 2_Tertiary Salaries Survey" xfId="6867" xr:uid="{00000000-0005-0000-0000-0000E61A0000}"/>
    <cellStyle name="RowTitles1-Detail 2 2 3 2 5 2 3" xfId="6868" xr:uid="{00000000-0005-0000-0000-0000E71A0000}"/>
    <cellStyle name="RowTitles1-Detail 2 2 3 2 5 2_Tertiary Salaries Survey" xfId="6869" xr:uid="{00000000-0005-0000-0000-0000E81A0000}"/>
    <cellStyle name="RowTitles1-Detail 2 2 3 2 5 3" xfId="6870" xr:uid="{00000000-0005-0000-0000-0000E91A0000}"/>
    <cellStyle name="RowTitles1-Detail 2 2 3 2 5 3 2" xfId="6871" xr:uid="{00000000-0005-0000-0000-0000EA1A0000}"/>
    <cellStyle name="RowTitles1-Detail 2 2 3 2 5 3 2 2" xfId="6872" xr:uid="{00000000-0005-0000-0000-0000EB1A0000}"/>
    <cellStyle name="RowTitles1-Detail 2 2 3 2 5 3 2_Tertiary Salaries Survey" xfId="6873" xr:uid="{00000000-0005-0000-0000-0000EC1A0000}"/>
    <cellStyle name="RowTitles1-Detail 2 2 3 2 5 3 3" xfId="6874" xr:uid="{00000000-0005-0000-0000-0000ED1A0000}"/>
    <cellStyle name="RowTitles1-Detail 2 2 3 2 5 3_Tertiary Salaries Survey" xfId="6875" xr:uid="{00000000-0005-0000-0000-0000EE1A0000}"/>
    <cellStyle name="RowTitles1-Detail 2 2 3 2 5 4" xfId="6876" xr:uid="{00000000-0005-0000-0000-0000EF1A0000}"/>
    <cellStyle name="RowTitles1-Detail 2 2 3 2 5 4 2" xfId="6877" xr:uid="{00000000-0005-0000-0000-0000F01A0000}"/>
    <cellStyle name="RowTitles1-Detail 2 2 3 2 5 4_Tertiary Salaries Survey" xfId="6878" xr:uid="{00000000-0005-0000-0000-0000F11A0000}"/>
    <cellStyle name="RowTitles1-Detail 2 2 3 2 5 5" xfId="6879" xr:uid="{00000000-0005-0000-0000-0000F21A0000}"/>
    <cellStyle name="RowTitles1-Detail 2 2 3 2 5_Tertiary Salaries Survey" xfId="6880" xr:uid="{00000000-0005-0000-0000-0000F31A0000}"/>
    <cellStyle name="RowTitles1-Detail 2 2 3 2 6" xfId="6881" xr:uid="{00000000-0005-0000-0000-0000F41A0000}"/>
    <cellStyle name="RowTitles1-Detail 2 2 3 2 6 2" xfId="6882" xr:uid="{00000000-0005-0000-0000-0000F51A0000}"/>
    <cellStyle name="RowTitles1-Detail 2 2 3 2 6 2 2" xfId="6883" xr:uid="{00000000-0005-0000-0000-0000F61A0000}"/>
    <cellStyle name="RowTitles1-Detail 2 2 3 2 6 2 2 2" xfId="6884" xr:uid="{00000000-0005-0000-0000-0000F71A0000}"/>
    <cellStyle name="RowTitles1-Detail 2 2 3 2 6 2 2_Tertiary Salaries Survey" xfId="6885" xr:uid="{00000000-0005-0000-0000-0000F81A0000}"/>
    <cellStyle name="RowTitles1-Detail 2 2 3 2 6 2 3" xfId="6886" xr:uid="{00000000-0005-0000-0000-0000F91A0000}"/>
    <cellStyle name="RowTitles1-Detail 2 2 3 2 6 2_Tertiary Salaries Survey" xfId="6887" xr:uid="{00000000-0005-0000-0000-0000FA1A0000}"/>
    <cellStyle name="RowTitles1-Detail 2 2 3 2 6 3" xfId="6888" xr:uid="{00000000-0005-0000-0000-0000FB1A0000}"/>
    <cellStyle name="RowTitles1-Detail 2 2 3 2 6 3 2" xfId="6889" xr:uid="{00000000-0005-0000-0000-0000FC1A0000}"/>
    <cellStyle name="RowTitles1-Detail 2 2 3 2 6 3 2 2" xfId="6890" xr:uid="{00000000-0005-0000-0000-0000FD1A0000}"/>
    <cellStyle name="RowTitles1-Detail 2 2 3 2 6 3 2_Tertiary Salaries Survey" xfId="6891" xr:uid="{00000000-0005-0000-0000-0000FE1A0000}"/>
    <cellStyle name="RowTitles1-Detail 2 2 3 2 6 3 3" xfId="6892" xr:uid="{00000000-0005-0000-0000-0000FF1A0000}"/>
    <cellStyle name="RowTitles1-Detail 2 2 3 2 6 3_Tertiary Salaries Survey" xfId="6893" xr:uid="{00000000-0005-0000-0000-0000001B0000}"/>
    <cellStyle name="RowTitles1-Detail 2 2 3 2 6 4" xfId="6894" xr:uid="{00000000-0005-0000-0000-0000011B0000}"/>
    <cellStyle name="RowTitles1-Detail 2 2 3 2 6 4 2" xfId="6895" xr:uid="{00000000-0005-0000-0000-0000021B0000}"/>
    <cellStyle name="RowTitles1-Detail 2 2 3 2 6 4_Tertiary Salaries Survey" xfId="6896" xr:uid="{00000000-0005-0000-0000-0000031B0000}"/>
    <cellStyle name="RowTitles1-Detail 2 2 3 2 6 5" xfId="6897" xr:uid="{00000000-0005-0000-0000-0000041B0000}"/>
    <cellStyle name="RowTitles1-Detail 2 2 3 2 6_Tertiary Salaries Survey" xfId="6898" xr:uid="{00000000-0005-0000-0000-0000051B0000}"/>
    <cellStyle name="RowTitles1-Detail 2 2 3 2 7" xfId="6899" xr:uid="{00000000-0005-0000-0000-0000061B0000}"/>
    <cellStyle name="RowTitles1-Detail 2 2 3 2 7 2" xfId="6900" xr:uid="{00000000-0005-0000-0000-0000071B0000}"/>
    <cellStyle name="RowTitles1-Detail 2 2 3 2 7 2 2" xfId="6901" xr:uid="{00000000-0005-0000-0000-0000081B0000}"/>
    <cellStyle name="RowTitles1-Detail 2 2 3 2 7 2_Tertiary Salaries Survey" xfId="6902" xr:uid="{00000000-0005-0000-0000-0000091B0000}"/>
    <cellStyle name="RowTitles1-Detail 2 2 3 2 7 3" xfId="6903" xr:uid="{00000000-0005-0000-0000-00000A1B0000}"/>
    <cellStyle name="RowTitles1-Detail 2 2 3 2 7_Tertiary Salaries Survey" xfId="6904" xr:uid="{00000000-0005-0000-0000-00000B1B0000}"/>
    <cellStyle name="RowTitles1-Detail 2 2 3 2 8" xfId="6905" xr:uid="{00000000-0005-0000-0000-00000C1B0000}"/>
    <cellStyle name="RowTitles1-Detail 2 2 3 2 9" xfId="6906" xr:uid="{00000000-0005-0000-0000-00000D1B0000}"/>
    <cellStyle name="RowTitles1-Detail 2 2 3 2_STUD aligned by INSTIT" xfId="6907" xr:uid="{00000000-0005-0000-0000-00000E1B0000}"/>
    <cellStyle name="RowTitles1-Detail 2 2 3 3" xfId="6908" xr:uid="{00000000-0005-0000-0000-00000F1B0000}"/>
    <cellStyle name="RowTitles1-Detail 2 2 3 3 2" xfId="6909" xr:uid="{00000000-0005-0000-0000-0000101B0000}"/>
    <cellStyle name="RowTitles1-Detail 2 2 3 3 2 2" xfId="6910" xr:uid="{00000000-0005-0000-0000-0000111B0000}"/>
    <cellStyle name="RowTitles1-Detail 2 2 3 3 2 2 2" xfId="6911" xr:uid="{00000000-0005-0000-0000-0000121B0000}"/>
    <cellStyle name="RowTitles1-Detail 2 2 3 3 2 2 2 2" xfId="6912" xr:uid="{00000000-0005-0000-0000-0000131B0000}"/>
    <cellStyle name="RowTitles1-Detail 2 2 3 3 2 2 2_Tertiary Salaries Survey" xfId="6913" xr:uid="{00000000-0005-0000-0000-0000141B0000}"/>
    <cellStyle name="RowTitles1-Detail 2 2 3 3 2 2 3" xfId="6914" xr:uid="{00000000-0005-0000-0000-0000151B0000}"/>
    <cellStyle name="RowTitles1-Detail 2 2 3 3 2 2_Tertiary Salaries Survey" xfId="6915" xr:uid="{00000000-0005-0000-0000-0000161B0000}"/>
    <cellStyle name="RowTitles1-Detail 2 2 3 3 2 3" xfId="6916" xr:uid="{00000000-0005-0000-0000-0000171B0000}"/>
    <cellStyle name="RowTitles1-Detail 2 2 3 3 2 3 2" xfId="6917" xr:uid="{00000000-0005-0000-0000-0000181B0000}"/>
    <cellStyle name="RowTitles1-Detail 2 2 3 3 2 3 2 2" xfId="6918" xr:uid="{00000000-0005-0000-0000-0000191B0000}"/>
    <cellStyle name="RowTitles1-Detail 2 2 3 3 2 3 2_Tertiary Salaries Survey" xfId="6919" xr:uid="{00000000-0005-0000-0000-00001A1B0000}"/>
    <cellStyle name="RowTitles1-Detail 2 2 3 3 2 3 3" xfId="6920" xr:uid="{00000000-0005-0000-0000-00001B1B0000}"/>
    <cellStyle name="RowTitles1-Detail 2 2 3 3 2 3_Tertiary Salaries Survey" xfId="6921" xr:uid="{00000000-0005-0000-0000-00001C1B0000}"/>
    <cellStyle name="RowTitles1-Detail 2 2 3 3 2 4" xfId="6922" xr:uid="{00000000-0005-0000-0000-00001D1B0000}"/>
    <cellStyle name="RowTitles1-Detail 2 2 3 3 2 5" xfId="6923" xr:uid="{00000000-0005-0000-0000-00001E1B0000}"/>
    <cellStyle name="RowTitles1-Detail 2 2 3 3 2 5 2" xfId="6924" xr:uid="{00000000-0005-0000-0000-00001F1B0000}"/>
    <cellStyle name="RowTitles1-Detail 2 2 3 3 2 5_Tertiary Salaries Survey" xfId="6925" xr:uid="{00000000-0005-0000-0000-0000201B0000}"/>
    <cellStyle name="RowTitles1-Detail 2 2 3 3 2 6" xfId="6926" xr:uid="{00000000-0005-0000-0000-0000211B0000}"/>
    <cellStyle name="RowTitles1-Detail 2 2 3 3 2_Tertiary Salaries Survey" xfId="6927" xr:uid="{00000000-0005-0000-0000-0000221B0000}"/>
    <cellStyle name="RowTitles1-Detail 2 2 3 3 3" xfId="6928" xr:uid="{00000000-0005-0000-0000-0000231B0000}"/>
    <cellStyle name="RowTitles1-Detail 2 2 3 3 3 2" xfId="6929" xr:uid="{00000000-0005-0000-0000-0000241B0000}"/>
    <cellStyle name="RowTitles1-Detail 2 2 3 3 3 2 2" xfId="6930" xr:uid="{00000000-0005-0000-0000-0000251B0000}"/>
    <cellStyle name="RowTitles1-Detail 2 2 3 3 3 2 2 2" xfId="6931" xr:uid="{00000000-0005-0000-0000-0000261B0000}"/>
    <cellStyle name="RowTitles1-Detail 2 2 3 3 3 2 2_Tertiary Salaries Survey" xfId="6932" xr:uid="{00000000-0005-0000-0000-0000271B0000}"/>
    <cellStyle name="RowTitles1-Detail 2 2 3 3 3 2 3" xfId="6933" xr:uid="{00000000-0005-0000-0000-0000281B0000}"/>
    <cellStyle name="RowTitles1-Detail 2 2 3 3 3 2_Tertiary Salaries Survey" xfId="6934" xr:uid="{00000000-0005-0000-0000-0000291B0000}"/>
    <cellStyle name="RowTitles1-Detail 2 2 3 3 3 3" xfId="6935" xr:uid="{00000000-0005-0000-0000-00002A1B0000}"/>
    <cellStyle name="RowTitles1-Detail 2 2 3 3 3 3 2" xfId="6936" xr:uid="{00000000-0005-0000-0000-00002B1B0000}"/>
    <cellStyle name="RowTitles1-Detail 2 2 3 3 3 3 2 2" xfId="6937" xr:uid="{00000000-0005-0000-0000-00002C1B0000}"/>
    <cellStyle name="RowTitles1-Detail 2 2 3 3 3 3 2_Tertiary Salaries Survey" xfId="6938" xr:uid="{00000000-0005-0000-0000-00002D1B0000}"/>
    <cellStyle name="RowTitles1-Detail 2 2 3 3 3 3 3" xfId="6939" xr:uid="{00000000-0005-0000-0000-00002E1B0000}"/>
    <cellStyle name="RowTitles1-Detail 2 2 3 3 3 3_Tertiary Salaries Survey" xfId="6940" xr:uid="{00000000-0005-0000-0000-00002F1B0000}"/>
    <cellStyle name="RowTitles1-Detail 2 2 3 3 3 4" xfId="6941" xr:uid="{00000000-0005-0000-0000-0000301B0000}"/>
    <cellStyle name="RowTitles1-Detail 2 2 3 3 3 5" xfId="6942" xr:uid="{00000000-0005-0000-0000-0000311B0000}"/>
    <cellStyle name="RowTitles1-Detail 2 2 3 3 3_Tertiary Salaries Survey" xfId="6943" xr:uid="{00000000-0005-0000-0000-0000321B0000}"/>
    <cellStyle name="RowTitles1-Detail 2 2 3 3 4" xfId="6944" xr:uid="{00000000-0005-0000-0000-0000331B0000}"/>
    <cellStyle name="RowTitles1-Detail 2 2 3 3 4 2" xfId="6945" xr:uid="{00000000-0005-0000-0000-0000341B0000}"/>
    <cellStyle name="RowTitles1-Detail 2 2 3 3 4 2 2" xfId="6946" xr:uid="{00000000-0005-0000-0000-0000351B0000}"/>
    <cellStyle name="RowTitles1-Detail 2 2 3 3 4 2 2 2" xfId="6947" xr:uid="{00000000-0005-0000-0000-0000361B0000}"/>
    <cellStyle name="RowTitles1-Detail 2 2 3 3 4 2 2_Tertiary Salaries Survey" xfId="6948" xr:uid="{00000000-0005-0000-0000-0000371B0000}"/>
    <cellStyle name="RowTitles1-Detail 2 2 3 3 4 2 3" xfId="6949" xr:uid="{00000000-0005-0000-0000-0000381B0000}"/>
    <cellStyle name="RowTitles1-Detail 2 2 3 3 4 2_Tertiary Salaries Survey" xfId="6950" xr:uid="{00000000-0005-0000-0000-0000391B0000}"/>
    <cellStyle name="RowTitles1-Detail 2 2 3 3 4 3" xfId="6951" xr:uid="{00000000-0005-0000-0000-00003A1B0000}"/>
    <cellStyle name="RowTitles1-Detail 2 2 3 3 4 3 2" xfId="6952" xr:uid="{00000000-0005-0000-0000-00003B1B0000}"/>
    <cellStyle name="RowTitles1-Detail 2 2 3 3 4 3 2 2" xfId="6953" xr:uid="{00000000-0005-0000-0000-00003C1B0000}"/>
    <cellStyle name="RowTitles1-Detail 2 2 3 3 4 3 2_Tertiary Salaries Survey" xfId="6954" xr:uid="{00000000-0005-0000-0000-00003D1B0000}"/>
    <cellStyle name="RowTitles1-Detail 2 2 3 3 4 3 3" xfId="6955" xr:uid="{00000000-0005-0000-0000-00003E1B0000}"/>
    <cellStyle name="RowTitles1-Detail 2 2 3 3 4 3_Tertiary Salaries Survey" xfId="6956" xr:uid="{00000000-0005-0000-0000-00003F1B0000}"/>
    <cellStyle name="RowTitles1-Detail 2 2 3 3 4 4" xfId="6957" xr:uid="{00000000-0005-0000-0000-0000401B0000}"/>
    <cellStyle name="RowTitles1-Detail 2 2 3 3 4 4 2" xfId="6958" xr:uid="{00000000-0005-0000-0000-0000411B0000}"/>
    <cellStyle name="RowTitles1-Detail 2 2 3 3 4 4_Tertiary Salaries Survey" xfId="6959" xr:uid="{00000000-0005-0000-0000-0000421B0000}"/>
    <cellStyle name="RowTitles1-Detail 2 2 3 3 4 5" xfId="6960" xr:uid="{00000000-0005-0000-0000-0000431B0000}"/>
    <cellStyle name="RowTitles1-Detail 2 2 3 3 4_Tertiary Salaries Survey" xfId="6961" xr:uid="{00000000-0005-0000-0000-0000441B0000}"/>
    <cellStyle name="RowTitles1-Detail 2 2 3 3 5" xfId="6962" xr:uid="{00000000-0005-0000-0000-0000451B0000}"/>
    <cellStyle name="RowTitles1-Detail 2 2 3 3 5 2" xfId="6963" xr:uid="{00000000-0005-0000-0000-0000461B0000}"/>
    <cellStyle name="RowTitles1-Detail 2 2 3 3 5 2 2" xfId="6964" xr:uid="{00000000-0005-0000-0000-0000471B0000}"/>
    <cellStyle name="RowTitles1-Detail 2 2 3 3 5 2 2 2" xfId="6965" xr:uid="{00000000-0005-0000-0000-0000481B0000}"/>
    <cellStyle name="RowTitles1-Detail 2 2 3 3 5 2 2_Tertiary Salaries Survey" xfId="6966" xr:uid="{00000000-0005-0000-0000-0000491B0000}"/>
    <cellStyle name="RowTitles1-Detail 2 2 3 3 5 2 3" xfId="6967" xr:uid="{00000000-0005-0000-0000-00004A1B0000}"/>
    <cellStyle name="RowTitles1-Detail 2 2 3 3 5 2_Tertiary Salaries Survey" xfId="6968" xr:uid="{00000000-0005-0000-0000-00004B1B0000}"/>
    <cellStyle name="RowTitles1-Detail 2 2 3 3 5 3" xfId="6969" xr:uid="{00000000-0005-0000-0000-00004C1B0000}"/>
    <cellStyle name="RowTitles1-Detail 2 2 3 3 5 3 2" xfId="6970" xr:uid="{00000000-0005-0000-0000-00004D1B0000}"/>
    <cellStyle name="RowTitles1-Detail 2 2 3 3 5 3 2 2" xfId="6971" xr:uid="{00000000-0005-0000-0000-00004E1B0000}"/>
    <cellStyle name="RowTitles1-Detail 2 2 3 3 5 3 2_Tertiary Salaries Survey" xfId="6972" xr:uid="{00000000-0005-0000-0000-00004F1B0000}"/>
    <cellStyle name="RowTitles1-Detail 2 2 3 3 5 3 3" xfId="6973" xr:uid="{00000000-0005-0000-0000-0000501B0000}"/>
    <cellStyle name="RowTitles1-Detail 2 2 3 3 5 3_Tertiary Salaries Survey" xfId="6974" xr:uid="{00000000-0005-0000-0000-0000511B0000}"/>
    <cellStyle name="RowTitles1-Detail 2 2 3 3 5 4" xfId="6975" xr:uid="{00000000-0005-0000-0000-0000521B0000}"/>
    <cellStyle name="RowTitles1-Detail 2 2 3 3 5 4 2" xfId="6976" xr:uid="{00000000-0005-0000-0000-0000531B0000}"/>
    <cellStyle name="RowTitles1-Detail 2 2 3 3 5 4_Tertiary Salaries Survey" xfId="6977" xr:uid="{00000000-0005-0000-0000-0000541B0000}"/>
    <cellStyle name="RowTitles1-Detail 2 2 3 3 5 5" xfId="6978" xr:uid="{00000000-0005-0000-0000-0000551B0000}"/>
    <cellStyle name="RowTitles1-Detail 2 2 3 3 5_Tertiary Salaries Survey" xfId="6979" xr:uid="{00000000-0005-0000-0000-0000561B0000}"/>
    <cellStyle name="RowTitles1-Detail 2 2 3 3 6" xfId="6980" xr:uid="{00000000-0005-0000-0000-0000571B0000}"/>
    <cellStyle name="RowTitles1-Detail 2 2 3 3 6 2" xfId="6981" xr:uid="{00000000-0005-0000-0000-0000581B0000}"/>
    <cellStyle name="RowTitles1-Detail 2 2 3 3 6 2 2" xfId="6982" xr:uid="{00000000-0005-0000-0000-0000591B0000}"/>
    <cellStyle name="RowTitles1-Detail 2 2 3 3 6 2 2 2" xfId="6983" xr:uid="{00000000-0005-0000-0000-00005A1B0000}"/>
    <cellStyle name="RowTitles1-Detail 2 2 3 3 6 2 2_Tertiary Salaries Survey" xfId="6984" xr:uid="{00000000-0005-0000-0000-00005B1B0000}"/>
    <cellStyle name="RowTitles1-Detail 2 2 3 3 6 2 3" xfId="6985" xr:uid="{00000000-0005-0000-0000-00005C1B0000}"/>
    <cellStyle name="RowTitles1-Detail 2 2 3 3 6 2_Tertiary Salaries Survey" xfId="6986" xr:uid="{00000000-0005-0000-0000-00005D1B0000}"/>
    <cellStyle name="RowTitles1-Detail 2 2 3 3 6 3" xfId="6987" xr:uid="{00000000-0005-0000-0000-00005E1B0000}"/>
    <cellStyle name="RowTitles1-Detail 2 2 3 3 6 3 2" xfId="6988" xr:uid="{00000000-0005-0000-0000-00005F1B0000}"/>
    <cellStyle name="RowTitles1-Detail 2 2 3 3 6 3 2 2" xfId="6989" xr:uid="{00000000-0005-0000-0000-0000601B0000}"/>
    <cellStyle name="RowTitles1-Detail 2 2 3 3 6 3 2_Tertiary Salaries Survey" xfId="6990" xr:uid="{00000000-0005-0000-0000-0000611B0000}"/>
    <cellStyle name="RowTitles1-Detail 2 2 3 3 6 3 3" xfId="6991" xr:uid="{00000000-0005-0000-0000-0000621B0000}"/>
    <cellStyle name="RowTitles1-Detail 2 2 3 3 6 3_Tertiary Salaries Survey" xfId="6992" xr:uid="{00000000-0005-0000-0000-0000631B0000}"/>
    <cellStyle name="RowTitles1-Detail 2 2 3 3 6 4" xfId="6993" xr:uid="{00000000-0005-0000-0000-0000641B0000}"/>
    <cellStyle name="RowTitles1-Detail 2 2 3 3 6 4 2" xfId="6994" xr:uid="{00000000-0005-0000-0000-0000651B0000}"/>
    <cellStyle name="RowTitles1-Detail 2 2 3 3 6 4_Tertiary Salaries Survey" xfId="6995" xr:uid="{00000000-0005-0000-0000-0000661B0000}"/>
    <cellStyle name="RowTitles1-Detail 2 2 3 3 6 5" xfId="6996" xr:uid="{00000000-0005-0000-0000-0000671B0000}"/>
    <cellStyle name="RowTitles1-Detail 2 2 3 3 6_Tertiary Salaries Survey" xfId="6997" xr:uid="{00000000-0005-0000-0000-0000681B0000}"/>
    <cellStyle name="RowTitles1-Detail 2 2 3 3 7" xfId="6998" xr:uid="{00000000-0005-0000-0000-0000691B0000}"/>
    <cellStyle name="RowTitles1-Detail 2 2 3 3 7 2" xfId="6999" xr:uid="{00000000-0005-0000-0000-00006A1B0000}"/>
    <cellStyle name="RowTitles1-Detail 2 2 3 3 7 2 2" xfId="7000" xr:uid="{00000000-0005-0000-0000-00006B1B0000}"/>
    <cellStyle name="RowTitles1-Detail 2 2 3 3 7 2_Tertiary Salaries Survey" xfId="7001" xr:uid="{00000000-0005-0000-0000-00006C1B0000}"/>
    <cellStyle name="RowTitles1-Detail 2 2 3 3 7 3" xfId="7002" xr:uid="{00000000-0005-0000-0000-00006D1B0000}"/>
    <cellStyle name="RowTitles1-Detail 2 2 3 3 7_Tertiary Salaries Survey" xfId="7003" xr:uid="{00000000-0005-0000-0000-00006E1B0000}"/>
    <cellStyle name="RowTitles1-Detail 2 2 3 3 8" xfId="7004" xr:uid="{00000000-0005-0000-0000-00006F1B0000}"/>
    <cellStyle name="RowTitles1-Detail 2 2 3 3 8 2" xfId="7005" xr:uid="{00000000-0005-0000-0000-0000701B0000}"/>
    <cellStyle name="RowTitles1-Detail 2 2 3 3 8 2 2" xfId="7006" xr:uid="{00000000-0005-0000-0000-0000711B0000}"/>
    <cellStyle name="RowTitles1-Detail 2 2 3 3 8 2_Tertiary Salaries Survey" xfId="7007" xr:uid="{00000000-0005-0000-0000-0000721B0000}"/>
    <cellStyle name="RowTitles1-Detail 2 2 3 3 8 3" xfId="7008" xr:uid="{00000000-0005-0000-0000-0000731B0000}"/>
    <cellStyle name="RowTitles1-Detail 2 2 3 3 8_Tertiary Salaries Survey" xfId="7009" xr:uid="{00000000-0005-0000-0000-0000741B0000}"/>
    <cellStyle name="RowTitles1-Detail 2 2 3 3 9" xfId="7010" xr:uid="{00000000-0005-0000-0000-0000751B0000}"/>
    <cellStyle name="RowTitles1-Detail 2 2 3 3_STUD aligned by INSTIT" xfId="7011" xr:uid="{00000000-0005-0000-0000-0000761B0000}"/>
    <cellStyle name="RowTitles1-Detail 2 2 3 4" xfId="7012" xr:uid="{00000000-0005-0000-0000-0000771B0000}"/>
    <cellStyle name="RowTitles1-Detail 2 2 3 4 2" xfId="7013" xr:uid="{00000000-0005-0000-0000-0000781B0000}"/>
    <cellStyle name="RowTitles1-Detail 2 2 3 4 2 2" xfId="7014" xr:uid="{00000000-0005-0000-0000-0000791B0000}"/>
    <cellStyle name="RowTitles1-Detail 2 2 3 4 2 2 2" xfId="7015" xr:uid="{00000000-0005-0000-0000-00007A1B0000}"/>
    <cellStyle name="RowTitles1-Detail 2 2 3 4 2 2 2 2" xfId="7016" xr:uid="{00000000-0005-0000-0000-00007B1B0000}"/>
    <cellStyle name="RowTitles1-Detail 2 2 3 4 2 2 2_Tertiary Salaries Survey" xfId="7017" xr:uid="{00000000-0005-0000-0000-00007C1B0000}"/>
    <cellStyle name="RowTitles1-Detail 2 2 3 4 2 2 3" xfId="7018" xr:uid="{00000000-0005-0000-0000-00007D1B0000}"/>
    <cellStyle name="RowTitles1-Detail 2 2 3 4 2 2_Tertiary Salaries Survey" xfId="7019" xr:uid="{00000000-0005-0000-0000-00007E1B0000}"/>
    <cellStyle name="RowTitles1-Detail 2 2 3 4 2 3" xfId="7020" xr:uid="{00000000-0005-0000-0000-00007F1B0000}"/>
    <cellStyle name="RowTitles1-Detail 2 2 3 4 2 3 2" xfId="7021" xr:uid="{00000000-0005-0000-0000-0000801B0000}"/>
    <cellStyle name="RowTitles1-Detail 2 2 3 4 2 3 2 2" xfId="7022" xr:uid="{00000000-0005-0000-0000-0000811B0000}"/>
    <cellStyle name="RowTitles1-Detail 2 2 3 4 2 3 2_Tertiary Salaries Survey" xfId="7023" xr:uid="{00000000-0005-0000-0000-0000821B0000}"/>
    <cellStyle name="RowTitles1-Detail 2 2 3 4 2 3 3" xfId="7024" xr:uid="{00000000-0005-0000-0000-0000831B0000}"/>
    <cellStyle name="RowTitles1-Detail 2 2 3 4 2 3_Tertiary Salaries Survey" xfId="7025" xr:uid="{00000000-0005-0000-0000-0000841B0000}"/>
    <cellStyle name="RowTitles1-Detail 2 2 3 4 2 4" xfId="7026" xr:uid="{00000000-0005-0000-0000-0000851B0000}"/>
    <cellStyle name="RowTitles1-Detail 2 2 3 4 2 5" xfId="7027" xr:uid="{00000000-0005-0000-0000-0000861B0000}"/>
    <cellStyle name="RowTitles1-Detail 2 2 3 4 2 5 2" xfId="7028" xr:uid="{00000000-0005-0000-0000-0000871B0000}"/>
    <cellStyle name="RowTitles1-Detail 2 2 3 4 2 5_Tertiary Salaries Survey" xfId="7029" xr:uid="{00000000-0005-0000-0000-0000881B0000}"/>
    <cellStyle name="RowTitles1-Detail 2 2 3 4 2 6" xfId="7030" xr:uid="{00000000-0005-0000-0000-0000891B0000}"/>
    <cellStyle name="RowTitles1-Detail 2 2 3 4 2_Tertiary Salaries Survey" xfId="7031" xr:uid="{00000000-0005-0000-0000-00008A1B0000}"/>
    <cellStyle name="RowTitles1-Detail 2 2 3 4 3" xfId="7032" xr:uid="{00000000-0005-0000-0000-00008B1B0000}"/>
    <cellStyle name="RowTitles1-Detail 2 2 3 4 3 2" xfId="7033" xr:uid="{00000000-0005-0000-0000-00008C1B0000}"/>
    <cellStyle name="RowTitles1-Detail 2 2 3 4 3 2 2" xfId="7034" xr:uid="{00000000-0005-0000-0000-00008D1B0000}"/>
    <cellStyle name="RowTitles1-Detail 2 2 3 4 3 2 2 2" xfId="7035" xr:uid="{00000000-0005-0000-0000-00008E1B0000}"/>
    <cellStyle name="RowTitles1-Detail 2 2 3 4 3 2 2_Tertiary Salaries Survey" xfId="7036" xr:uid="{00000000-0005-0000-0000-00008F1B0000}"/>
    <cellStyle name="RowTitles1-Detail 2 2 3 4 3 2 3" xfId="7037" xr:uid="{00000000-0005-0000-0000-0000901B0000}"/>
    <cellStyle name="RowTitles1-Detail 2 2 3 4 3 2_Tertiary Salaries Survey" xfId="7038" xr:uid="{00000000-0005-0000-0000-0000911B0000}"/>
    <cellStyle name="RowTitles1-Detail 2 2 3 4 3 3" xfId="7039" xr:uid="{00000000-0005-0000-0000-0000921B0000}"/>
    <cellStyle name="RowTitles1-Detail 2 2 3 4 3 3 2" xfId="7040" xr:uid="{00000000-0005-0000-0000-0000931B0000}"/>
    <cellStyle name="RowTitles1-Detail 2 2 3 4 3 3 2 2" xfId="7041" xr:uid="{00000000-0005-0000-0000-0000941B0000}"/>
    <cellStyle name="RowTitles1-Detail 2 2 3 4 3 3 2_Tertiary Salaries Survey" xfId="7042" xr:uid="{00000000-0005-0000-0000-0000951B0000}"/>
    <cellStyle name="RowTitles1-Detail 2 2 3 4 3 3 3" xfId="7043" xr:uid="{00000000-0005-0000-0000-0000961B0000}"/>
    <cellStyle name="RowTitles1-Detail 2 2 3 4 3 3_Tertiary Salaries Survey" xfId="7044" xr:uid="{00000000-0005-0000-0000-0000971B0000}"/>
    <cellStyle name="RowTitles1-Detail 2 2 3 4 3 4" xfId="7045" xr:uid="{00000000-0005-0000-0000-0000981B0000}"/>
    <cellStyle name="RowTitles1-Detail 2 2 3 4 3 5" xfId="7046" xr:uid="{00000000-0005-0000-0000-0000991B0000}"/>
    <cellStyle name="RowTitles1-Detail 2 2 3 4 3_Tertiary Salaries Survey" xfId="7047" xr:uid="{00000000-0005-0000-0000-00009A1B0000}"/>
    <cellStyle name="RowTitles1-Detail 2 2 3 4 4" xfId="7048" xr:uid="{00000000-0005-0000-0000-00009B1B0000}"/>
    <cellStyle name="RowTitles1-Detail 2 2 3 4 4 2" xfId="7049" xr:uid="{00000000-0005-0000-0000-00009C1B0000}"/>
    <cellStyle name="RowTitles1-Detail 2 2 3 4 4 2 2" xfId="7050" xr:uid="{00000000-0005-0000-0000-00009D1B0000}"/>
    <cellStyle name="RowTitles1-Detail 2 2 3 4 4 2 2 2" xfId="7051" xr:uid="{00000000-0005-0000-0000-00009E1B0000}"/>
    <cellStyle name="RowTitles1-Detail 2 2 3 4 4 2 2_Tertiary Salaries Survey" xfId="7052" xr:uid="{00000000-0005-0000-0000-00009F1B0000}"/>
    <cellStyle name="RowTitles1-Detail 2 2 3 4 4 2 3" xfId="7053" xr:uid="{00000000-0005-0000-0000-0000A01B0000}"/>
    <cellStyle name="RowTitles1-Detail 2 2 3 4 4 2_Tertiary Salaries Survey" xfId="7054" xr:uid="{00000000-0005-0000-0000-0000A11B0000}"/>
    <cellStyle name="RowTitles1-Detail 2 2 3 4 4 3" xfId="7055" xr:uid="{00000000-0005-0000-0000-0000A21B0000}"/>
    <cellStyle name="RowTitles1-Detail 2 2 3 4 4 3 2" xfId="7056" xr:uid="{00000000-0005-0000-0000-0000A31B0000}"/>
    <cellStyle name="RowTitles1-Detail 2 2 3 4 4 3 2 2" xfId="7057" xr:uid="{00000000-0005-0000-0000-0000A41B0000}"/>
    <cellStyle name="RowTitles1-Detail 2 2 3 4 4 3 2_Tertiary Salaries Survey" xfId="7058" xr:uid="{00000000-0005-0000-0000-0000A51B0000}"/>
    <cellStyle name="RowTitles1-Detail 2 2 3 4 4 3 3" xfId="7059" xr:uid="{00000000-0005-0000-0000-0000A61B0000}"/>
    <cellStyle name="RowTitles1-Detail 2 2 3 4 4 3_Tertiary Salaries Survey" xfId="7060" xr:uid="{00000000-0005-0000-0000-0000A71B0000}"/>
    <cellStyle name="RowTitles1-Detail 2 2 3 4 4 4" xfId="7061" xr:uid="{00000000-0005-0000-0000-0000A81B0000}"/>
    <cellStyle name="RowTitles1-Detail 2 2 3 4 4 5" xfId="7062" xr:uid="{00000000-0005-0000-0000-0000A91B0000}"/>
    <cellStyle name="RowTitles1-Detail 2 2 3 4 4 5 2" xfId="7063" xr:uid="{00000000-0005-0000-0000-0000AA1B0000}"/>
    <cellStyle name="RowTitles1-Detail 2 2 3 4 4 5_Tertiary Salaries Survey" xfId="7064" xr:uid="{00000000-0005-0000-0000-0000AB1B0000}"/>
    <cellStyle name="RowTitles1-Detail 2 2 3 4 4 6" xfId="7065" xr:uid="{00000000-0005-0000-0000-0000AC1B0000}"/>
    <cellStyle name="RowTitles1-Detail 2 2 3 4 4_Tertiary Salaries Survey" xfId="7066" xr:uid="{00000000-0005-0000-0000-0000AD1B0000}"/>
    <cellStyle name="RowTitles1-Detail 2 2 3 4 5" xfId="7067" xr:uid="{00000000-0005-0000-0000-0000AE1B0000}"/>
    <cellStyle name="RowTitles1-Detail 2 2 3 4 5 2" xfId="7068" xr:uid="{00000000-0005-0000-0000-0000AF1B0000}"/>
    <cellStyle name="RowTitles1-Detail 2 2 3 4 5 2 2" xfId="7069" xr:uid="{00000000-0005-0000-0000-0000B01B0000}"/>
    <cellStyle name="RowTitles1-Detail 2 2 3 4 5 2 2 2" xfId="7070" xr:uid="{00000000-0005-0000-0000-0000B11B0000}"/>
    <cellStyle name="RowTitles1-Detail 2 2 3 4 5 2 2_Tertiary Salaries Survey" xfId="7071" xr:uid="{00000000-0005-0000-0000-0000B21B0000}"/>
    <cellStyle name="RowTitles1-Detail 2 2 3 4 5 2 3" xfId="7072" xr:uid="{00000000-0005-0000-0000-0000B31B0000}"/>
    <cellStyle name="RowTitles1-Detail 2 2 3 4 5 2_Tertiary Salaries Survey" xfId="7073" xr:uid="{00000000-0005-0000-0000-0000B41B0000}"/>
    <cellStyle name="RowTitles1-Detail 2 2 3 4 5 3" xfId="7074" xr:uid="{00000000-0005-0000-0000-0000B51B0000}"/>
    <cellStyle name="RowTitles1-Detail 2 2 3 4 5 3 2" xfId="7075" xr:uid="{00000000-0005-0000-0000-0000B61B0000}"/>
    <cellStyle name="RowTitles1-Detail 2 2 3 4 5 3 2 2" xfId="7076" xr:uid="{00000000-0005-0000-0000-0000B71B0000}"/>
    <cellStyle name="RowTitles1-Detail 2 2 3 4 5 3 2_Tertiary Salaries Survey" xfId="7077" xr:uid="{00000000-0005-0000-0000-0000B81B0000}"/>
    <cellStyle name="RowTitles1-Detail 2 2 3 4 5 3 3" xfId="7078" xr:uid="{00000000-0005-0000-0000-0000B91B0000}"/>
    <cellStyle name="RowTitles1-Detail 2 2 3 4 5 3_Tertiary Salaries Survey" xfId="7079" xr:uid="{00000000-0005-0000-0000-0000BA1B0000}"/>
    <cellStyle name="RowTitles1-Detail 2 2 3 4 5 4" xfId="7080" xr:uid="{00000000-0005-0000-0000-0000BB1B0000}"/>
    <cellStyle name="RowTitles1-Detail 2 2 3 4 5 4 2" xfId="7081" xr:uid="{00000000-0005-0000-0000-0000BC1B0000}"/>
    <cellStyle name="RowTitles1-Detail 2 2 3 4 5 4_Tertiary Salaries Survey" xfId="7082" xr:uid="{00000000-0005-0000-0000-0000BD1B0000}"/>
    <cellStyle name="RowTitles1-Detail 2 2 3 4 5 5" xfId="7083" xr:uid="{00000000-0005-0000-0000-0000BE1B0000}"/>
    <cellStyle name="RowTitles1-Detail 2 2 3 4 5_Tertiary Salaries Survey" xfId="7084" xr:uid="{00000000-0005-0000-0000-0000BF1B0000}"/>
    <cellStyle name="RowTitles1-Detail 2 2 3 4 6" xfId="7085" xr:uid="{00000000-0005-0000-0000-0000C01B0000}"/>
    <cellStyle name="RowTitles1-Detail 2 2 3 4 6 2" xfId="7086" xr:uid="{00000000-0005-0000-0000-0000C11B0000}"/>
    <cellStyle name="RowTitles1-Detail 2 2 3 4 6 2 2" xfId="7087" xr:uid="{00000000-0005-0000-0000-0000C21B0000}"/>
    <cellStyle name="RowTitles1-Detail 2 2 3 4 6 2 2 2" xfId="7088" xr:uid="{00000000-0005-0000-0000-0000C31B0000}"/>
    <cellStyle name="RowTitles1-Detail 2 2 3 4 6 2 2_Tertiary Salaries Survey" xfId="7089" xr:uid="{00000000-0005-0000-0000-0000C41B0000}"/>
    <cellStyle name="RowTitles1-Detail 2 2 3 4 6 2 3" xfId="7090" xr:uid="{00000000-0005-0000-0000-0000C51B0000}"/>
    <cellStyle name="RowTitles1-Detail 2 2 3 4 6 2_Tertiary Salaries Survey" xfId="7091" xr:uid="{00000000-0005-0000-0000-0000C61B0000}"/>
    <cellStyle name="RowTitles1-Detail 2 2 3 4 6 3" xfId="7092" xr:uid="{00000000-0005-0000-0000-0000C71B0000}"/>
    <cellStyle name="RowTitles1-Detail 2 2 3 4 6 3 2" xfId="7093" xr:uid="{00000000-0005-0000-0000-0000C81B0000}"/>
    <cellStyle name="RowTitles1-Detail 2 2 3 4 6 3 2 2" xfId="7094" xr:uid="{00000000-0005-0000-0000-0000C91B0000}"/>
    <cellStyle name="RowTitles1-Detail 2 2 3 4 6 3 2_Tertiary Salaries Survey" xfId="7095" xr:uid="{00000000-0005-0000-0000-0000CA1B0000}"/>
    <cellStyle name="RowTitles1-Detail 2 2 3 4 6 3 3" xfId="7096" xr:uid="{00000000-0005-0000-0000-0000CB1B0000}"/>
    <cellStyle name="RowTitles1-Detail 2 2 3 4 6 3_Tertiary Salaries Survey" xfId="7097" xr:uid="{00000000-0005-0000-0000-0000CC1B0000}"/>
    <cellStyle name="RowTitles1-Detail 2 2 3 4 6 4" xfId="7098" xr:uid="{00000000-0005-0000-0000-0000CD1B0000}"/>
    <cellStyle name="RowTitles1-Detail 2 2 3 4 6 4 2" xfId="7099" xr:uid="{00000000-0005-0000-0000-0000CE1B0000}"/>
    <cellStyle name="RowTitles1-Detail 2 2 3 4 6 4_Tertiary Salaries Survey" xfId="7100" xr:uid="{00000000-0005-0000-0000-0000CF1B0000}"/>
    <cellStyle name="RowTitles1-Detail 2 2 3 4 6 5" xfId="7101" xr:uid="{00000000-0005-0000-0000-0000D01B0000}"/>
    <cellStyle name="RowTitles1-Detail 2 2 3 4 6_Tertiary Salaries Survey" xfId="7102" xr:uid="{00000000-0005-0000-0000-0000D11B0000}"/>
    <cellStyle name="RowTitles1-Detail 2 2 3 4 7" xfId="7103" xr:uid="{00000000-0005-0000-0000-0000D21B0000}"/>
    <cellStyle name="RowTitles1-Detail 2 2 3 4 7 2" xfId="7104" xr:uid="{00000000-0005-0000-0000-0000D31B0000}"/>
    <cellStyle name="RowTitles1-Detail 2 2 3 4 7 2 2" xfId="7105" xr:uid="{00000000-0005-0000-0000-0000D41B0000}"/>
    <cellStyle name="RowTitles1-Detail 2 2 3 4 7 2_Tertiary Salaries Survey" xfId="7106" xr:uid="{00000000-0005-0000-0000-0000D51B0000}"/>
    <cellStyle name="RowTitles1-Detail 2 2 3 4 7 3" xfId="7107" xr:uid="{00000000-0005-0000-0000-0000D61B0000}"/>
    <cellStyle name="RowTitles1-Detail 2 2 3 4 7_Tertiary Salaries Survey" xfId="7108" xr:uid="{00000000-0005-0000-0000-0000D71B0000}"/>
    <cellStyle name="RowTitles1-Detail 2 2 3 4 8" xfId="7109" xr:uid="{00000000-0005-0000-0000-0000D81B0000}"/>
    <cellStyle name="RowTitles1-Detail 2 2 3 4 9" xfId="7110" xr:uid="{00000000-0005-0000-0000-0000D91B0000}"/>
    <cellStyle name="RowTitles1-Detail 2 2 3 4_STUD aligned by INSTIT" xfId="7111" xr:uid="{00000000-0005-0000-0000-0000DA1B0000}"/>
    <cellStyle name="RowTitles1-Detail 2 2 3 5" xfId="7112" xr:uid="{00000000-0005-0000-0000-0000DB1B0000}"/>
    <cellStyle name="RowTitles1-Detail 2 2 3 5 2" xfId="7113" xr:uid="{00000000-0005-0000-0000-0000DC1B0000}"/>
    <cellStyle name="RowTitles1-Detail 2 2 3 5 2 2" xfId="7114" xr:uid="{00000000-0005-0000-0000-0000DD1B0000}"/>
    <cellStyle name="RowTitles1-Detail 2 2 3 5 2 2 2" xfId="7115" xr:uid="{00000000-0005-0000-0000-0000DE1B0000}"/>
    <cellStyle name="RowTitles1-Detail 2 2 3 5 2 2_Tertiary Salaries Survey" xfId="7116" xr:uid="{00000000-0005-0000-0000-0000DF1B0000}"/>
    <cellStyle name="RowTitles1-Detail 2 2 3 5 2 3" xfId="7117" xr:uid="{00000000-0005-0000-0000-0000E01B0000}"/>
    <cellStyle name="RowTitles1-Detail 2 2 3 5 2_Tertiary Salaries Survey" xfId="7118" xr:uid="{00000000-0005-0000-0000-0000E11B0000}"/>
    <cellStyle name="RowTitles1-Detail 2 2 3 5 3" xfId="7119" xr:uid="{00000000-0005-0000-0000-0000E21B0000}"/>
    <cellStyle name="RowTitles1-Detail 2 2 3 5 3 2" xfId="7120" xr:uid="{00000000-0005-0000-0000-0000E31B0000}"/>
    <cellStyle name="RowTitles1-Detail 2 2 3 5 3 2 2" xfId="7121" xr:uid="{00000000-0005-0000-0000-0000E41B0000}"/>
    <cellStyle name="RowTitles1-Detail 2 2 3 5 3 2_Tertiary Salaries Survey" xfId="7122" xr:uid="{00000000-0005-0000-0000-0000E51B0000}"/>
    <cellStyle name="RowTitles1-Detail 2 2 3 5 3 3" xfId="7123" xr:uid="{00000000-0005-0000-0000-0000E61B0000}"/>
    <cellStyle name="RowTitles1-Detail 2 2 3 5 3_Tertiary Salaries Survey" xfId="7124" xr:uid="{00000000-0005-0000-0000-0000E71B0000}"/>
    <cellStyle name="RowTitles1-Detail 2 2 3 5 4" xfId="7125" xr:uid="{00000000-0005-0000-0000-0000E81B0000}"/>
    <cellStyle name="RowTitles1-Detail 2 2 3 5 5" xfId="7126" xr:uid="{00000000-0005-0000-0000-0000E91B0000}"/>
    <cellStyle name="RowTitles1-Detail 2 2 3 5 5 2" xfId="7127" xr:uid="{00000000-0005-0000-0000-0000EA1B0000}"/>
    <cellStyle name="RowTitles1-Detail 2 2 3 5 5_Tertiary Salaries Survey" xfId="7128" xr:uid="{00000000-0005-0000-0000-0000EB1B0000}"/>
    <cellStyle name="RowTitles1-Detail 2 2 3 5 6" xfId="7129" xr:uid="{00000000-0005-0000-0000-0000EC1B0000}"/>
    <cellStyle name="RowTitles1-Detail 2 2 3 5_Tertiary Salaries Survey" xfId="7130" xr:uid="{00000000-0005-0000-0000-0000ED1B0000}"/>
    <cellStyle name="RowTitles1-Detail 2 2 3 6" xfId="7131" xr:uid="{00000000-0005-0000-0000-0000EE1B0000}"/>
    <cellStyle name="RowTitles1-Detail 2 2 3 6 2" xfId="7132" xr:uid="{00000000-0005-0000-0000-0000EF1B0000}"/>
    <cellStyle name="RowTitles1-Detail 2 2 3 6 2 2" xfId="7133" xr:uid="{00000000-0005-0000-0000-0000F01B0000}"/>
    <cellStyle name="RowTitles1-Detail 2 2 3 6 2 2 2" xfId="7134" xr:uid="{00000000-0005-0000-0000-0000F11B0000}"/>
    <cellStyle name="RowTitles1-Detail 2 2 3 6 2 2_Tertiary Salaries Survey" xfId="7135" xr:uid="{00000000-0005-0000-0000-0000F21B0000}"/>
    <cellStyle name="RowTitles1-Detail 2 2 3 6 2 3" xfId="7136" xr:uid="{00000000-0005-0000-0000-0000F31B0000}"/>
    <cellStyle name="RowTitles1-Detail 2 2 3 6 2_Tertiary Salaries Survey" xfId="7137" xr:uid="{00000000-0005-0000-0000-0000F41B0000}"/>
    <cellStyle name="RowTitles1-Detail 2 2 3 6 3" xfId="7138" xr:uid="{00000000-0005-0000-0000-0000F51B0000}"/>
    <cellStyle name="RowTitles1-Detail 2 2 3 6 3 2" xfId="7139" xr:uid="{00000000-0005-0000-0000-0000F61B0000}"/>
    <cellStyle name="RowTitles1-Detail 2 2 3 6 3 2 2" xfId="7140" xr:uid="{00000000-0005-0000-0000-0000F71B0000}"/>
    <cellStyle name="RowTitles1-Detail 2 2 3 6 3 2_Tertiary Salaries Survey" xfId="7141" xr:uid="{00000000-0005-0000-0000-0000F81B0000}"/>
    <cellStyle name="RowTitles1-Detail 2 2 3 6 3 3" xfId="7142" xr:uid="{00000000-0005-0000-0000-0000F91B0000}"/>
    <cellStyle name="RowTitles1-Detail 2 2 3 6 3_Tertiary Salaries Survey" xfId="7143" xr:uid="{00000000-0005-0000-0000-0000FA1B0000}"/>
    <cellStyle name="RowTitles1-Detail 2 2 3 6 4" xfId="7144" xr:uid="{00000000-0005-0000-0000-0000FB1B0000}"/>
    <cellStyle name="RowTitles1-Detail 2 2 3 6 5" xfId="7145" xr:uid="{00000000-0005-0000-0000-0000FC1B0000}"/>
    <cellStyle name="RowTitles1-Detail 2 2 3 6_Tertiary Salaries Survey" xfId="7146" xr:uid="{00000000-0005-0000-0000-0000FD1B0000}"/>
    <cellStyle name="RowTitles1-Detail 2 2 3 7" xfId="7147" xr:uid="{00000000-0005-0000-0000-0000FE1B0000}"/>
    <cellStyle name="RowTitles1-Detail 2 2 3 7 2" xfId="7148" xr:uid="{00000000-0005-0000-0000-0000FF1B0000}"/>
    <cellStyle name="RowTitles1-Detail 2 2 3 7 2 2" xfId="7149" xr:uid="{00000000-0005-0000-0000-0000001C0000}"/>
    <cellStyle name="RowTitles1-Detail 2 2 3 7 2 2 2" xfId="7150" xr:uid="{00000000-0005-0000-0000-0000011C0000}"/>
    <cellStyle name="RowTitles1-Detail 2 2 3 7 2 2_Tertiary Salaries Survey" xfId="7151" xr:uid="{00000000-0005-0000-0000-0000021C0000}"/>
    <cellStyle name="RowTitles1-Detail 2 2 3 7 2 3" xfId="7152" xr:uid="{00000000-0005-0000-0000-0000031C0000}"/>
    <cellStyle name="RowTitles1-Detail 2 2 3 7 2_Tertiary Salaries Survey" xfId="7153" xr:uid="{00000000-0005-0000-0000-0000041C0000}"/>
    <cellStyle name="RowTitles1-Detail 2 2 3 7 3" xfId="7154" xr:uid="{00000000-0005-0000-0000-0000051C0000}"/>
    <cellStyle name="RowTitles1-Detail 2 2 3 7 3 2" xfId="7155" xr:uid="{00000000-0005-0000-0000-0000061C0000}"/>
    <cellStyle name="RowTitles1-Detail 2 2 3 7 3 2 2" xfId="7156" xr:uid="{00000000-0005-0000-0000-0000071C0000}"/>
    <cellStyle name="RowTitles1-Detail 2 2 3 7 3 2_Tertiary Salaries Survey" xfId="7157" xr:uid="{00000000-0005-0000-0000-0000081C0000}"/>
    <cellStyle name="RowTitles1-Detail 2 2 3 7 3 3" xfId="7158" xr:uid="{00000000-0005-0000-0000-0000091C0000}"/>
    <cellStyle name="RowTitles1-Detail 2 2 3 7 3_Tertiary Salaries Survey" xfId="7159" xr:uid="{00000000-0005-0000-0000-00000A1C0000}"/>
    <cellStyle name="RowTitles1-Detail 2 2 3 7 4" xfId="7160" xr:uid="{00000000-0005-0000-0000-00000B1C0000}"/>
    <cellStyle name="RowTitles1-Detail 2 2 3 7 5" xfId="7161" xr:uid="{00000000-0005-0000-0000-00000C1C0000}"/>
    <cellStyle name="RowTitles1-Detail 2 2 3 7 5 2" xfId="7162" xr:uid="{00000000-0005-0000-0000-00000D1C0000}"/>
    <cellStyle name="RowTitles1-Detail 2 2 3 7 5_Tertiary Salaries Survey" xfId="7163" xr:uid="{00000000-0005-0000-0000-00000E1C0000}"/>
    <cellStyle name="RowTitles1-Detail 2 2 3 7 6" xfId="7164" xr:uid="{00000000-0005-0000-0000-00000F1C0000}"/>
    <cellStyle name="RowTitles1-Detail 2 2 3 7_Tertiary Salaries Survey" xfId="7165" xr:uid="{00000000-0005-0000-0000-0000101C0000}"/>
    <cellStyle name="RowTitles1-Detail 2 2 3 8" xfId="7166" xr:uid="{00000000-0005-0000-0000-0000111C0000}"/>
    <cellStyle name="RowTitles1-Detail 2 2 3 8 2" xfId="7167" xr:uid="{00000000-0005-0000-0000-0000121C0000}"/>
    <cellStyle name="RowTitles1-Detail 2 2 3 8 2 2" xfId="7168" xr:uid="{00000000-0005-0000-0000-0000131C0000}"/>
    <cellStyle name="RowTitles1-Detail 2 2 3 8 2 2 2" xfId="7169" xr:uid="{00000000-0005-0000-0000-0000141C0000}"/>
    <cellStyle name="RowTitles1-Detail 2 2 3 8 2 2_Tertiary Salaries Survey" xfId="7170" xr:uid="{00000000-0005-0000-0000-0000151C0000}"/>
    <cellStyle name="RowTitles1-Detail 2 2 3 8 2 3" xfId="7171" xr:uid="{00000000-0005-0000-0000-0000161C0000}"/>
    <cellStyle name="RowTitles1-Detail 2 2 3 8 2_Tertiary Salaries Survey" xfId="7172" xr:uid="{00000000-0005-0000-0000-0000171C0000}"/>
    <cellStyle name="RowTitles1-Detail 2 2 3 8 3" xfId="7173" xr:uid="{00000000-0005-0000-0000-0000181C0000}"/>
    <cellStyle name="RowTitles1-Detail 2 2 3 8 3 2" xfId="7174" xr:uid="{00000000-0005-0000-0000-0000191C0000}"/>
    <cellStyle name="RowTitles1-Detail 2 2 3 8 3 2 2" xfId="7175" xr:uid="{00000000-0005-0000-0000-00001A1C0000}"/>
    <cellStyle name="RowTitles1-Detail 2 2 3 8 3 2_Tertiary Salaries Survey" xfId="7176" xr:uid="{00000000-0005-0000-0000-00001B1C0000}"/>
    <cellStyle name="RowTitles1-Detail 2 2 3 8 3 3" xfId="7177" xr:uid="{00000000-0005-0000-0000-00001C1C0000}"/>
    <cellStyle name="RowTitles1-Detail 2 2 3 8 3_Tertiary Salaries Survey" xfId="7178" xr:uid="{00000000-0005-0000-0000-00001D1C0000}"/>
    <cellStyle name="RowTitles1-Detail 2 2 3 8 4" xfId="7179" xr:uid="{00000000-0005-0000-0000-00001E1C0000}"/>
    <cellStyle name="RowTitles1-Detail 2 2 3 8 4 2" xfId="7180" xr:uid="{00000000-0005-0000-0000-00001F1C0000}"/>
    <cellStyle name="RowTitles1-Detail 2 2 3 8 4_Tertiary Salaries Survey" xfId="7181" xr:uid="{00000000-0005-0000-0000-0000201C0000}"/>
    <cellStyle name="RowTitles1-Detail 2 2 3 8 5" xfId="7182" xr:uid="{00000000-0005-0000-0000-0000211C0000}"/>
    <cellStyle name="RowTitles1-Detail 2 2 3 8_Tertiary Salaries Survey" xfId="7183" xr:uid="{00000000-0005-0000-0000-0000221C0000}"/>
    <cellStyle name="RowTitles1-Detail 2 2 3 9" xfId="7184" xr:uid="{00000000-0005-0000-0000-0000231C0000}"/>
    <cellStyle name="RowTitles1-Detail 2 2 3 9 2" xfId="7185" xr:uid="{00000000-0005-0000-0000-0000241C0000}"/>
    <cellStyle name="RowTitles1-Detail 2 2 3 9 2 2" xfId="7186" xr:uid="{00000000-0005-0000-0000-0000251C0000}"/>
    <cellStyle name="RowTitles1-Detail 2 2 3 9 2 2 2" xfId="7187" xr:uid="{00000000-0005-0000-0000-0000261C0000}"/>
    <cellStyle name="RowTitles1-Detail 2 2 3 9 2 2_Tertiary Salaries Survey" xfId="7188" xr:uid="{00000000-0005-0000-0000-0000271C0000}"/>
    <cellStyle name="RowTitles1-Detail 2 2 3 9 2 3" xfId="7189" xr:uid="{00000000-0005-0000-0000-0000281C0000}"/>
    <cellStyle name="RowTitles1-Detail 2 2 3 9 2_Tertiary Salaries Survey" xfId="7190" xr:uid="{00000000-0005-0000-0000-0000291C0000}"/>
    <cellStyle name="RowTitles1-Detail 2 2 3 9 3" xfId="7191" xr:uid="{00000000-0005-0000-0000-00002A1C0000}"/>
    <cellStyle name="RowTitles1-Detail 2 2 3 9 3 2" xfId="7192" xr:uid="{00000000-0005-0000-0000-00002B1C0000}"/>
    <cellStyle name="RowTitles1-Detail 2 2 3 9 3 2 2" xfId="7193" xr:uid="{00000000-0005-0000-0000-00002C1C0000}"/>
    <cellStyle name="RowTitles1-Detail 2 2 3 9 3 2_Tertiary Salaries Survey" xfId="7194" xr:uid="{00000000-0005-0000-0000-00002D1C0000}"/>
    <cellStyle name="RowTitles1-Detail 2 2 3 9 3 3" xfId="7195" xr:uid="{00000000-0005-0000-0000-00002E1C0000}"/>
    <cellStyle name="RowTitles1-Detail 2 2 3 9 3_Tertiary Salaries Survey" xfId="7196" xr:uid="{00000000-0005-0000-0000-00002F1C0000}"/>
    <cellStyle name="RowTitles1-Detail 2 2 3 9 4" xfId="7197" xr:uid="{00000000-0005-0000-0000-0000301C0000}"/>
    <cellStyle name="RowTitles1-Detail 2 2 3 9 4 2" xfId="7198" xr:uid="{00000000-0005-0000-0000-0000311C0000}"/>
    <cellStyle name="RowTitles1-Detail 2 2 3 9 4_Tertiary Salaries Survey" xfId="7199" xr:uid="{00000000-0005-0000-0000-0000321C0000}"/>
    <cellStyle name="RowTitles1-Detail 2 2 3 9 5" xfId="7200" xr:uid="{00000000-0005-0000-0000-0000331C0000}"/>
    <cellStyle name="RowTitles1-Detail 2 2 3 9_Tertiary Salaries Survey" xfId="7201" xr:uid="{00000000-0005-0000-0000-0000341C0000}"/>
    <cellStyle name="RowTitles1-Detail 2 2 3_STUD aligned by INSTIT" xfId="7202" xr:uid="{00000000-0005-0000-0000-0000351C0000}"/>
    <cellStyle name="RowTitles1-Detail 2 2 4" xfId="7203" xr:uid="{00000000-0005-0000-0000-0000361C0000}"/>
    <cellStyle name="RowTitles1-Detail 2 2 4 2" xfId="7204" xr:uid="{00000000-0005-0000-0000-0000371C0000}"/>
    <cellStyle name="RowTitles1-Detail 2 2 4 2 2" xfId="7205" xr:uid="{00000000-0005-0000-0000-0000381C0000}"/>
    <cellStyle name="RowTitles1-Detail 2 2 4 2 2 2" xfId="7206" xr:uid="{00000000-0005-0000-0000-0000391C0000}"/>
    <cellStyle name="RowTitles1-Detail 2 2 4 2 2 2 2" xfId="7207" xr:uid="{00000000-0005-0000-0000-00003A1C0000}"/>
    <cellStyle name="RowTitles1-Detail 2 2 4 2 2 2_Tertiary Salaries Survey" xfId="7208" xr:uid="{00000000-0005-0000-0000-00003B1C0000}"/>
    <cellStyle name="RowTitles1-Detail 2 2 4 2 2 3" xfId="7209" xr:uid="{00000000-0005-0000-0000-00003C1C0000}"/>
    <cellStyle name="RowTitles1-Detail 2 2 4 2 2_Tertiary Salaries Survey" xfId="7210" xr:uid="{00000000-0005-0000-0000-00003D1C0000}"/>
    <cellStyle name="RowTitles1-Detail 2 2 4 2 3" xfId="7211" xr:uid="{00000000-0005-0000-0000-00003E1C0000}"/>
    <cellStyle name="RowTitles1-Detail 2 2 4 2 3 2" xfId="7212" xr:uid="{00000000-0005-0000-0000-00003F1C0000}"/>
    <cellStyle name="RowTitles1-Detail 2 2 4 2 3 2 2" xfId="7213" xr:uid="{00000000-0005-0000-0000-0000401C0000}"/>
    <cellStyle name="RowTitles1-Detail 2 2 4 2 3 2_Tertiary Salaries Survey" xfId="7214" xr:uid="{00000000-0005-0000-0000-0000411C0000}"/>
    <cellStyle name="RowTitles1-Detail 2 2 4 2 3 3" xfId="7215" xr:uid="{00000000-0005-0000-0000-0000421C0000}"/>
    <cellStyle name="RowTitles1-Detail 2 2 4 2 3_Tertiary Salaries Survey" xfId="7216" xr:uid="{00000000-0005-0000-0000-0000431C0000}"/>
    <cellStyle name="RowTitles1-Detail 2 2 4 2 4" xfId="7217" xr:uid="{00000000-0005-0000-0000-0000441C0000}"/>
    <cellStyle name="RowTitles1-Detail 2 2 4 2 5" xfId="7218" xr:uid="{00000000-0005-0000-0000-0000451C0000}"/>
    <cellStyle name="RowTitles1-Detail 2 2 4 2_Tertiary Salaries Survey" xfId="7219" xr:uid="{00000000-0005-0000-0000-0000461C0000}"/>
    <cellStyle name="RowTitles1-Detail 2 2 4 3" xfId="7220" xr:uid="{00000000-0005-0000-0000-0000471C0000}"/>
    <cellStyle name="RowTitles1-Detail 2 2 4 3 2" xfId="7221" xr:uid="{00000000-0005-0000-0000-0000481C0000}"/>
    <cellStyle name="RowTitles1-Detail 2 2 4 3 2 2" xfId="7222" xr:uid="{00000000-0005-0000-0000-0000491C0000}"/>
    <cellStyle name="RowTitles1-Detail 2 2 4 3 2 2 2" xfId="7223" xr:uid="{00000000-0005-0000-0000-00004A1C0000}"/>
    <cellStyle name="RowTitles1-Detail 2 2 4 3 2 2_Tertiary Salaries Survey" xfId="7224" xr:uid="{00000000-0005-0000-0000-00004B1C0000}"/>
    <cellStyle name="RowTitles1-Detail 2 2 4 3 2 3" xfId="7225" xr:uid="{00000000-0005-0000-0000-00004C1C0000}"/>
    <cellStyle name="RowTitles1-Detail 2 2 4 3 2_Tertiary Salaries Survey" xfId="7226" xr:uid="{00000000-0005-0000-0000-00004D1C0000}"/>
    <cellStyle name="RowTitles1-Detail 2 2 4 3 3" xfId="7227" xr:uid="{00000000-0005-0000-0000-00004E1C0000}"/>
    <cellStyle name="RowTitles1-Detail 2 2 4 3 3 2" xfId="7228" xr:uid="{00000000-0005-0000-0000-00004F1C0000}"/>
    <cellStyle name="RowTitles1-Detail 2 2 4 3 3 2 2" xfId="7229" xr:uid="{00000000-0005-0000-0000-0000501C0000}"/>
    <cellStyle name="RowTitles1-Detail 2 2 4 3 3 2_Tertiary Salaries Survey" xfId="7230" xr:uid="{00000000-0005-0000-0000-0000511C0000}"/>
    <cellStyle name="RowTitles1-Detail 2 2 4 3 3 3" xfId="7231" xr:uid="{00000000-0005-0000-0000-0000521C0000}"/>
    <cellStyle name="RowTitles1-Detail 2 2 4 3 3_Tertiary Salaries Survey" xfId="7232" xr:uid="{00000000-0005-0000-0000-0000531C0000}"/>
    <cellStyle name="RowTitles1-Detail 2 2 4 3 4" xfId="7233" xr:uid="{00000000-0005-0000-0000-0000541C0000}"/>
    <cellStyle name="RowTitles1-Detail 2 2 4 3 5" xfId="7234" xr:uid="{00000000-0005-0000-0000-0000551C0000}"/>
    <cellStyle name="RowTitles1-Detail 2 2 4 3 5 2" xfId="7235" xr:uid="{00000000-0005-0000-0000-0000561C0000}"/>
    <cellStyle name="RowTitles1-Detail 2 2 4 3 5_Tertiary Salaries Survey" xfId="7236" xr:uid="{00000000-0005-0000-0000-0000571C0000}"/>
    <cellStyle name="RowTitles1-Detail 2 2 4 3 6" xfId="7237" xr:uid="{00000000-0005-0000-0000-0000581C0000}"/>
    <cellStyle name="RowTitles1-Detail 2 2 4 3_Tertiary Salaries Survey" xfId="7238" xr:uid="{00000000-0005-0000-0000-0000591C0000}"/>
    <cellStyle name="RowTitles1-Detail 2 2 4 4" xfId="7239" xr:uid="{00000000-0005-0000-0000-00005A1C0000}"/>
    <cellStyle name="RowTitles1-Detail 2 2 4 4 2" xfId="7240" xr:uid="{00000000-0005-0000-0000-00005B1C0000}"/>
    <cellStyle name="RowTitles1-Detail 2 2 4 4 2 2" xfId="7241" xr:uid="{00000000-0005-0000-0000-00005C1C0000}"/>
    <cellStyle name="RowTitles1-Detail 2 2 4 4 2 2 2" xfId="7242" xr:uid="{00000000-0005-0000-0000-00005D1C0000}"/>
    <cellStyle name="RowTitles1-Detail 2 2 4 4 2 2_Tertiary Salaries Survey" xfId="7243" xr:uid="{00000000-0005-0000-0000-00005E1C0000}"/>
    <cellStyle name="RowTitles1-Detail 2 2 4 4 2 3" xfId="7244" xr:uid="{00000000-0005-0000-0000-00005F1C0000}"/>
    <cellStyle name="RowTitles1-Detail 2 2 4 4 2_Tertiary Salaries Survey" xfId="7245" xr:uid="{00000000-0005-0000-0000-0000601C0000}"/>
    <cellStyle name="RowTitles1-Detail 2 2 4 4 3" xfId="7246" xr:uid="{00000000-0005-0000-0000-0000611C0000}"/>
    <cellStyle name="RowTitles1-Detail 2 2 4 4 3 2" xfId="7247" xr:uid="{00000000-0005-0000-0000-0000621C0000}"/>
    <cellStyle name="RowTitles1-Detail 2 2 4 4 3 2 2" xfId="7248" xr:uid="{00000000-0005-0000-0000-0000631C0000}"/>
    <cellStyle name="RowTitles1-Detail 2 2 4 4 3 2_Tertiary Salaries Survey" xfId="7249" xr:uid="{00000000-0005-0000-0000-0000641C0000}"/>
    <cellStyle name="RowTitles1-Detail 2 2 4 4 3 3" xfId="7250" xr:uid="{00000000-0005-0000-0000-0000651C0000}"/>
    <cellStyle name="RowTitles1-Detail 2 2 4 4 3_Tertiary Salaries Survey" xfId="7251" xr:uid="{00000000-0005-0000-0000-0000661C0000}"/>
    <cellStyle name="RowTitles1-Detail 2 2 4 4 4" xfId="7252" xr:uid="{00000000-0005-0000-0000-0000671C0000}"/>
    <cellStyle name="RowTitles1-Detail 2 2 4 4 4 2" xfId="7253" xr:uid="{00000000-0005-0000-0000-0000681C0000}"/>
    <cellStyle name="RowTitles1-Detail 2 2 4 4 4_Tertiary Salaries Survey" xfId="7254" xr:uid="{00000000-0005-0000-0000-0000691C0000}"/>
    <cellStyle name="RowTitles1-Detail 2 2 4 4 5" xfId="7255" xr:uid="{00000000-0005-0000-0000-00006A1C0000}"/>
    <cellStyle name="RowTitles1-Detail 2 2 4 4_Tertiary Salaries Survey" xfId="7256" xr:uid="{00000000-0005-0000-0000-00006B1C0000}"/>
    <cellStyle name="RowTitles1-Detail 2 2 4 5" xfId="7257" xr:uid="{00000000-0005-0000-0000-00006C1C0000}"/>
    <cellStyle name="RowTitles1-Detail 2 2 4 5 2" xfId="7258" xr:uid="{00000000-0005-0000-0000-00006D1C0000}"/>
    <cellStyle name="RowTitles1-Detail 2 2 4 5 2 2" xfId="7259" xr:uid="{00000000-0005-0000-0000-00006E1C0000}"/>
    <cellStyle name="RowTitles1-Detail 2 2 4 5 2 2 2" xfId="7260" xr:uid="{00000000-0005-0000-0000-00006F1C0000}"/>
    <cellStyle name="RowTitles1-Detail 2 2 4 5 2 2_Tertiary Salaries Survey" xfId="7261" xr:uid="{00000000-0005-0000-0000-0000701C0000}"/>
    <cellStyle name="RowTitles1-Detail 2 2 4 5 2 3" xfId="7262" xr:uid="{00000000-0005-0000-0000-0000711C0000}"/>
    <cellStyle name="RowTitles1-Detail 2 2 4 5 2_Tertiary Salaries Survey" xfId="7263" xr:uid="{00000000-0005-0000-0000-0000721C0000}"/>
    <cellStyle name="RowTitles1-Detail 2 2 4 5 3" xfId="7264" xr:uid="{00000000-0005-0000-0000-0000731C0000}"/>
    <cellStyle name="RowTitles1-Detail 2 2 4 5 3 2" xfId="7265" xr:uid="{00000000-0005-0000-0000-0000741C0000}"/>
    <cellStyle name="RowTitles1-Detail 2 2 4 5 3 2 2" xfId="7266" xr:uid="{00000000-0005-0000-0000-0000751C0000}"/>
    <cellStyle name="RowTitles1-Detail 2 2 4 5 3 2_Tertiary Salaries Survey" xfId="7267" xr:uid="{00000000-0005-0000-0000-0000761C0000}"/>
    <cellStyle name="RowTitles1-Detail 2 2 4 5 3 3" xfId="7268" xr:uid="{00000000-0005-0000-0000-0000771C0000}"/>
    <cellStyle name="RowTitles1-Detail 2 2 4 5 3_Tertiary Salaries Survey" xfId="7269" xr:uid="{00000000-0005-0000-0000-0000781C0000}"/>
    <cellStyle name="RowTitles1-Detail 2 2 4 5 4" xfId="7270" xr:uid="{00000000-0005-0000-0000-0000791C0000}"/>
    <cellStyle name="RowTitles1-Detail 2 2 4 5 4 2" xfId="7271" xr:uid="{00000000-0005-0000-0000-00007A1C0000}"/>
    <cellStyle name="RowTitles1-Detail 2 2 4 5 4_Tertiary Salaries Survey" xfId="7272" xr:uid="{00000000-0005-0000-0000-00007B1C0000}"/>
    <cellStyle name="RowTitles1-Detail 2 2 4 5 5" xfId="7273" xr:uid="{00000000-0005-0000-0000-00007C1C0000}"/>
    <cellStyle name="RowTitles1-Detail 2 2 4 5_Tertiary Salaries Survey" xfId="7274" xr:uid="{00000000-0005-0000-0000-00007D1C0000}"/>
    <cellStyle name="RowTitles1-Detail 2 2 4 6" xfId="7275" xr:uid="{00000000-0005-0000-0000-00007E1C0000}"/>
    <cellStyle name="RowTitles1-Detail 2 2 4 6 2" xfId="7276" xr:uid="{00000000-0005-0000-0000-00007F1C0000}"/>
    <cellStyle name="RowTitles1-Detail 2 2 4 6 2 2" xfId="7277" xr:uid="{00000000-0005-0000-0000-0000801C0000}"/>
    <cellStyle name="RowTitles1-Detail 2 2 4 6 2 2 2" xfId="7278" xr:uid="{00000000-0005-0000-0000-0000811C0000}"/>
    <cellStyle name="RowTitles1-Detail 2 2 4 6 2 2_Tertiary Salaries Survey" xfId="7279" xr:uid="{00000000-0005-0000-0000-0000821C0000}"/>
    <cellStyle name="RowTitles1-Detail 2 2 4 6 2 3" xfId="7280" xr:uid="{00000000-0005-0000-0000-0000831C0000}"/>
    <cellStyle name="RowTitles1-Detail 2 2 4 6 2_Tertiary Salaries Survey" xfId="7281" xr:uid="{00000000-0005-0000-0000-0000841C0000}"/>
    <cellStyle name="RowTitles1-Detail 2 2 4 6 3" xfId="7282" xr:uid="{00000000-0005-0000-0000-0000851C0000}"/>
    <cellStyle name="RowTitles1-Detail 2 2 4 6 3 2" xfId="7283" xr:uid="{00000000-0005-0000-0000-0000861C0000}"/>
    <cellStyle name="RowTitles1-Detail 2 2 4 6 3 2 2" xfId="7284" xr:uid="{00000000-0005-0000-0000-0000871C0000}"/>
    <cellStyle name="RowTitles1-Detail 2 2 4 6 3 2_Tertiary Salaries Survey" xfId="7285" xr:uid="{00000000-0005-0000-0000-0000881C0000}"/>
    <cellStyle name="RowTitles1-Detail 2 2 4 6 3 3" xfId="7286" xr:uid="{00000000-0005-0000-0000-0000891C0000}"/>
    <cellStyle name="RowTitles1-Detail 2 2 4 6 3_Tertiary Salaries Survey" xfId="7287" xr:uid="{00000000-0005-0000-0000-00008A1C0000}"/>
    <cellStyle name="RowTitles1-Detail 2 2 4 6 4" xfId="7288" xr:uid="{00000000-0005-0000-0000-00008B1C0000}"/>
    <cellStyle name="RowTitles1-Detail 2 2 4 6 4 2" xfId="7289" xr:uid="{00000000-0005-0000-0000-00008C1C0000}"/>
    <cellStyle name="RowTitles1-Detail 2 2 4 6 4_Tertiary Salaries Survey" xfId="7290" xr:uid="{00000000-0005-0000-0000-00008D1C0000}"/>
    <cellStyle name="RowTitles1-Detail 2 2 4 6 5" xfId="7291" xr:uid="{00000000-0005-0000-0000-00008E1C0000}"/>
    <cellStyle name="RowTitles1-Detail 2 2 4 6_Tertiary Salaries Survey" xfId="7292" xr:uid="{00000000-0005-0000-0000-00008F1C0000}"/>
    <cellStyle name="RowTitles1-Detail 2 2 4 7" xfId="7293" xr:uid="{00000000-0005-0000-0000-0000901C0000}"/>
    <cellStyle name="RowTitles1-Detail 2 2 4 7 2" xfId="7294" xr:uid="{00000000-0005-0000-0000-0000911C0000}"/>
    <cellStyle name="RowTitles1-Detail 2 2 4 7 2 2" xfId="7295" xr:uid="{00000000-0005-0000-0000-0000921C0000}"/>
    <cellStyle name="RowTitles1-Detail 2 2 4 7 2_Tertiary Salaries Survey" xfId="7296" xr:uid="{00000000-0005-0000-0000-0000931C0000}"/>
    <cellStyle name="RowTitles1-Detail 2 2 4 7 3" xfId="7297" xr:uid="{00000000-0005-0000-0000-0000941C0000}"/>
    <cellStyle name="RowTitles1-Detail 2 2 4 7_Tertiary Salaries Survey" xfId="7298" xr:uid="{00000000-0005-0000-0000-0000951C0000}"/>
    <cellStyle name="RowTitles1-Detail 2 2 4 8" xfId="7299" xr:uid="{00000000-0005-0000-0000-0000961C0000}"/>
    <cellStyle name="RowTitles1-Detail 2 2 4 9" xfId="7300" xr:uid="{00000000-0005-0000-0000-0000971C0000}"/>
    <cellStyle name="RowTitles1-Detail 2 2 4_STUD aligned by INSTIT" xfId="7301" xr:uid="{00000000-0005-0000-0000-0000981C0000}"/>
    <cellStyle name="RowTitles1-Detail 2 2 5" xfId="7302" xr:uid="{00000000-0005-0000-0000-0000991C0000}"/>
    <cellStyle name="RowTitles1-Detail 2 2 5 2" xfId="7303" xr:uid="{00000000-0005-0000-0000-00009A1C0000}"/>
    <cellStyle name="RowTitles1-Detail 2 2 5 2 2" xfId="7304" xr:uid="{00000000-0005-0000-0000-00009B1C0000}"/>
    <cellStyle name="RowTitles1-Detail 2 2 5 2 2 2" xfId="7305" xr:uid="{00000000-0005-0000-0000-00009C1C0000}"/>
    <cellStyle name="RowTitles1-Detail 2 2 5 2 2 2 2" xfId="7306" xr:uid="{00000000-0005-0000-0000-00009D1C0000}"/>
    <cellStyle name="RowTitles1-Detail 2 2 5 2 2 2_Tertiary Salaries Survey" xfId="7307" xr:uid="{00000000-0005-0000-0000-00009E1C0000}"/>
    <cellStyle name="RowTitles1-Detail 2 2 5 2 2 3" xfId="7308" xr:uid="{00000000-0005-0000-0000-00009F1C0000}"/>
    <cellStyle name="RowTitles1-Detail 2 2 5 2 2_Tertiary Salaries Survey" xfId="7309" xr:uid="{00000000-0005-0000-0000-0000A01C0000}"/>
    <cellStyle name="RowTitles1-Detail 2 2 5 2 3" xfId="7310" xr:uid="{00000000-0005-0000-0000-0000A11C0000}"/>
    <cellStyle name="RowTitles1-Detail 2 2 5 2 3 2" xfId="7311" xr:uid="{00000000-0005-0000-0000-0000A21C0000}"/>
    <cellStyle name="RowTitles1-Detail 2 2 5 2 3 2 2" xfId="7312" xr:uid="{00000000-0005-0000-0000-0000A31C0000}"/>
    <cellStyle name="RowTitles1-Detail 2 2 5 2 3 2_Tertiary Salaries Survey" xfId="7313" xr:uid="{00000000-0005-0000-0000-0000A41C0000}"/>
    <cellStyle name="RowTitles1-Detail 2 2 5 2 3 3" xfId="7314" xr:uid="{00000000-0005-0000-0000-0000A51C0000}"/>
    <cellStyle name="RowTitles1-Detail 2 2 5 2 3_Tertiary Salaries Survey" xfId="7315" xr:uid="{00000000-0005-0000-0000-0000A61C0000}"/>
    <cellStyle name="RowTitles1-Detail 2 2 5 2 4" xfId="7316" xr:uid="{00000000-0005-0000-0000-0000A71C0000}"/>
    <cellStyle name="RowTitles1-Detail 2 2 5 2 5" xfId="7317" xr:uid="{00000000-0005-0000-0000-0000A81C0000}"/>
    <cellStyle name="RowTitles1-Detail 2 2 5 2 5 2" xfId="7318" xr:uid="{00000000-0005-0000-0000-0000A91C0000}"/>
    <cellStyle name="RowTitles1-Detail 2 2 5 2 5_Tertiary Salaries Survey" xfId="7319" xr:uid="{00000000-0005-0000-0000-0000AA1C0000}"/>
    <cellStyle name="RowTitles1-Detail 2 2 5 2 6" xfId="7320" xr:uid="{00000000-0005-0000-0000-0000AB1C0000}"/>
    <cellStyle name="RowTitles1-Detail 2 2 5 2_Tertiary Salaries Survey" xfId="7321" xr:uid="{00000000-0005-0000-0000-0000AC1C0000}"/>
    <cellStyle name="RowTitles1-Detail 2 2 5 3" xfId="7322" xr:uid="{00000000-0005-0000-0000-0000AD1C0000}"/>
    <cellStyle name="RowTitles1-Detail 2 2 5 3 2" xfId="7323" xr:uid="{00000000-0005-0000-0000-0000AE1C0000}"/>
    <cellStyle name="RowTitles1-Detail 2 2 5 3 2 2" xfId="7324" xr:uid="{00000000-0005-0000-0000-0000AF1C0000}"/>
    <cellStyle name="RowTitles1-Detail 2 2 5 3 2 2 2" xfId="7325" xr:uid="{00000000-0005-0000-0000-0000B01C0000}"/>
    <cellStyle name="RowTitles1-Detail 2 2 5 3 2 2_Tertiary Salaries Survey" xfId="7326" xr:uid="{00000000-0005-0000-0000-0000B11C0000}"/>
    <cellStyle name="RowTitles1-Detail 2 2 5 3 2 3" xfId="7327" xr:uid="{00000000-0005-0000-0000-0000B21C0000}"/>
    <cellStyle name="RowTitles1-Detail 2 2 5 3 2_Tertiary Salaries Survey" xfId="7328" xr:uid="{00000000-0005-0000-0000-0000B31C0000}"/>
    <cellStyle name="RowTitles1-Detail 2 2 5 3 3" xfId="7329" xr:uid="{00000000-0005-0000-0000-0000B41C0000}"/>
    <cellStyle name="RowTitles1-Detail 2 2 5 3 3 2" xfId="7330" xr:uid="{00000000-0005-0000-0000-0000B51C0000}"/>
    <cellStyle name="RowTitles1-Detail 2 2 5 3 3 2 2" xfId="7331" xr:uid="{00000000-0005-0000-0000-0000B61C0000}"/>
    <cellStyle name="RowTitles1-Detail 2 2 5 3 3 2_Tertiary Salaries Survey" xfId="7332" xr:uid="{00000000-0005-0000-0000-0000B71C0000}"/>
    <cellStyle name="RowTitles1-Detail 2 2 5 3 3 3" xfId="7333" xr:uid="{00000000-0005-0000-0000-0000B81C0000}"/>
    <cellStyle name="RowTitles1-Detail 2 2 5 3 3_Tertiary Salaries Survey" xfId="7334" xr:uid="{00000000-0005-0000-0000-0000B91C0000}"/>
    <cellStyle name="RowTitles1-Detail 2 2 5 3 4" xfId="7335" xr:uid="{00000000-0005-0000-0000-0000BA1C0000}"/>
    <cellStyle name="RowTitles1-Detail 2 2 5 3 5" xfId="7336" xr:uid="{00000000-0005-0000-0000-0000BB1C0000}"/>
    <cellStyle name="RowTitles1-Detail 2 2 5 3_Tertiary Salaries Survey" xfId="7337" xr:uid="{00000000-0005-0000-0000-0000BC1C0000}"/>
    <cellStyle name="RowTitles1-Detail 2 2 5 4" xfId="7338" xr:uid="{00000000-0005-0000-0000-0000BD1C0000}"/>
    <cellStyle name="RowTitles1-Detail 2 2 5 4 2" xfId="7339" xr:uid="{00000000-0005-0000-0000-0000BE1C0000}"/>
    <cellStyle name="RowTitles1-Detail 2 2 5 4 2 2" xfId="7340" xr:uid="{00000000-0005-0000-0000-0000BF1C0000}"/>
    <cellStyle name="RowTitles1-Detail 2 2 5 4 2 2 2" xfId="7341" xr:uid="{00000000-0005-0000-0000-0000C01C0000}"/>
    <cellStyle name="RowTitles1-Detail 2 2 5 4 2 2_Tertiary Salaries Survey" xfId="7342" xr:uid="{00000000-0005-0000-0000-0000C11C0000}"/>
    <cellStyle name="RowTitles1-Detail 2 2 5 4 2 3" xfId="7343" xr:uid="{00000000-0005-0000-0000-0000C21C0000}"/>
    <cellStyle name="RowTitles1-Detail 2 2 5 4 2_Tertiary Salaries Survey" xfId="7344" xr:uid="{00000000-0005-0000-0000-0000C31C0000}"/>
    <cellStyle name="RowTitles1-Detail 2 2 5 4 3" xfId="7345" xr:uid="{00000000-0005-0000-0000-0000C41C0000}"/>
    <cellStyle name="RowTitles1-Detail 2 2 5 4 3 2" xfId="7346" xr:uid="{00000000-0005-0000-0000-0000C51C0000}"/>
    <cellStyle name="RowTitles1-Detail 2 2 5 4 3 2 2" xfId="7347" xr:uid="{00000000-0005-0000-0000-0000C61C0000}"/>
    <cellStyle name="RowTitles1-Detail 2 2 5 4 3 2_Tertiary Salaries Survey" xfId="7348" xr:uid="{00000000-0005-0000-0000-0000C71C0000}"/>
    <cellStyle name="RowTitles1-Detail 2 2 5 4 3 3" xfId="7349" xr:uid="{00000000-0005-0000-0000-0000C81C0000}"/>
    <cellStyle name="RowTitles1-Detail 2 2 5 4 3_Tertiary Salaries Survey" xfId="7350" xr:uid="{00000000-0005-0000-0000-0000C91C0000}"/>
    <cellStyle name="RowTitles1-Detail 2 2 5 4 4" xfId="7351" xr:uid="{00000000-0005-0000-0000-0000CA1C0000}"/>
    <cellStyle name="RowTitles1-Detail 2 2 5 4 4 2" xfId="7352" xr:uid="{00000000-0005-0000-0000-0000CB1C0000}"/>
    <cellStyle name="RowTitles1-Detail 2 2 5 4 4_Tertiary Salaries Survey" xfId="7353" xr:uid="{00000000-0005-0000-0000-0000CC1C0000}"/>
    <cellStyle name="RowTitles1-Detail 2 2 5 4 5" xfId="7354" xr:uid="{00000000-0005-0000-0000-0000CD1C0000}"/>
    <cellStyle name="RowTitles1-Detail 2 2 5 4_Tertiary Salaries Survey" xfId="7355" xr:uid="{00000000-0005-0000-0000-0000CE1C0000}"/>
    <cellStyle name="RowTitles1-Detail 2 2 5 5" xfId="7356" xr:uid="{00000000-0005-0000-0000-0000CF1C0000}"/>
    <cellStyle name="RowTitles1-Detail 2 2 5 5 2" xfId="7357" xr:uid="{00000000-0005-0000-0000-0000D01C0000}"/>
    <cellStyle name="RowTitles1-Detail 2 2 5 5 2 2" xfId="7358" xr:uid="{00000000-0005-0000-0000-0000D11C0000}"/>
    <cellStyle name="RowTitles1-Detail 2 2 5 5 2 2 2" xfId="7359" xr:uid="{00000000-0005-0000-0000-0000D21C0000}"/>
    <cellStyle name="RowTitles1-Detail 2 2 5 5 2 2_Tertiary Salaries Survey" xfId="7360" xr:uid="{00000000-0005-0000-0000-0000D31C0000}"/>
    <cellStyle name="RowTitles1-Detail 2 2 5 5 2 3" xfId="7361" xr:uid="{00000000-0005-0000-0000-0000D41C0000}"/>
    <cellStyle name="RowTitles1-Detail 2 2 5 5 2_Tertiary Salaries Survey" xfId="7362" xr:uid="{00000000-0005-0000-0000-0000D51C0000}"/>
    <cellStyle name="RowTitles1-Detail 2 2 5 5 3" xfId="7363" xr:uid="{00000000-0005-0000-0000-0000D61C0000}"/>
    <cellStyle name="RowTitles1-Detail 2 2 5 5 3 2" xfId="7364" xr:uid="{00000000-0005-0000-0000-0000D71C0000}"/>
    <cellStyle name="RowTitles1-Detail 2 2 5 5 3 2 2" xfId="7365" xr:uid="{00000000-0005-0000-0000-0000D81C0000}"/>
    <cellStyle name="RowTitles1-Detail 2 2 5 5 3 2_Tertiary Salaries Survey" xfId="7366" xr:uid="{00000000-0005-0000-0000-0000D91C0000}"/>
    <cellStyle name="RowTitles1-Detail 2 2 5 5 3 3" xfId="7367" xr:uid="{00000000-0005-0000-0000-0000DA1C0000}"/>
    <cellStyle name="RowTitles1-Detail 2 2 5 5 3_Tertiary Salaries Survey" xfId="7368" xr:uid="{00000000-0005-0000-0000-0000DB1C0000}"/>
    <cellStyle name="RowTitles1-Detail 2 2 5 5 4" xfId="7369" xr:uid="{00000000-0005-0000-0000-0000DC1C0000}"/>
    <cellStyle name="RowTitles1-Detail 2 2 5 5 4 2" xfId="7370" xr:uid="{00000000-0005-0000-0000-0000DD1C0000}"/>
    <cellStyle name="RowTitles1-Detail 2 2 5 5 4_Tertiary Salaries Survey" xfId="7371" xr:uid="{00000000-0005-0000-0000-0000DE1C0000}"/>
    <cellStyle name="RowTitles1-Detail 2 2 5 5 5" xfId="7372" xr:uid="{00000000-0005-0000-0000-0000DF1C0000}"/>
    <cellStyle name="RowTitles1-Detail 2 2 5 5_Tertiary Salaries Survey" xfId="7373" xr:uid="{00000000-0005-0000-0000-0000E01C0000}"/>
    <cellStyle name="RowTitles1-Detail 2 2 5 6" xfId="7374" xr:uid="{00000000-0005-0000-0000-0000E11C0000}"/>
    <cellStyle name="RowTitles1-Detail 2 2 5 6 2" xfId="7375" xr:uid="{00000000-0005-0000-0000-0000E21C0000}"/>
    <cellStyle name="RowTitles1-Detail 2 2 5 6 2 2" xfId="7376" xr:uid="{00000000-0005-0000-0000-0000E31C0000}"/>
    <cellStyle name="RowTitles1-Detail 2 2 5 6 2 2 2" xfId="7377" xr:uid="{00000000-0005-0000-0000-0000E41C0000}"/>
    <cellStyle name="RowTitles1-Detail 2 2 5 6 2 2_Tertiary Salaries Survey" xfId="7378" xr:uid="{00000000-0005-0000-0000-0000E51C0000}"/>
    <cellStyle name="RowTitles1-Detail 2 2 5 6 2 3" xfId="7379" xr:uid="{00000000-0005-0000-0000-0000E61C0000}"/>
    <cellStyle name="RowTitles1-Detail 2 2 5 6 2_Tertiary Salaries Survey" xfId="7380" xr:uid="{00000000-0005-0000-0000-0000E71C0000}"/>
    <cellStyle name="RowTitles1-Detail 2 2 5 6 3" xfId="7381" xr:uid="{00000000-0005-0000-0000-0000E81C0000}"/>
    <cellStyle name="RowTitles1-Detail 2 2 5 6 3 2" xfId="7382" xr:uid="{00000000-0005-0000-0000-0000E91C0000}"/>
    <cellStyle name="RowTitles1-Detail 2 2 5 6 3 2 2" xfId="7383" xr:uid="{00000000-0005-0000-0000-0000EA1C0000}"/>
    <cellStyle name="RowTitles1-Detail 2 2 5 6 3 2_Tertiary Salaries Survey" xfId="7384" xr:uid="{00000000-0005-0000-0000-0000EB1C0000}"/>
    <cellStyle name="RowTitles1-Detail 2 2 5 6 3 3" xfId="7385" xr:uid="{00000000-0005-0000-0000-0000EC1C0000}"/>
    <cellStyle name="RowTitles1-Detail 2 2 5 6 3_Tertiary Salaries Survey" xfId="7386" xr:uid="{00000000-0005-0000-0000-0000ED1C0000}"/>
    <cellStyle name="RowTitles1-Detail 2 2 5 6 4" xfId="7387" xr:uid="{00000000-0005-0000-0000-0000EE1C0000}"/>
    <cellStyle name="RowTitles1-Detail 2 2 5 6 4 2" xfId="7388" xr:uid="{00000000-0005-0000-0000-0000EF1C0000}"/>
    <cellStyle name="RowTitles1-Detail 2 2 5 6 4_Tertiary Salaries Survey" xfId="7389" xr:uid="{00000000-0005-0000-0000-0000F01C0000}"/>
    <cellStyle name="RowTitles1-Detail 2 2 5 6 5" xfId="7390" xr:uid="{00000000-0005-0000-0000-0000F11C0000}"/>
    <cellStyle name="RowTitles1-Detail 2 2 5 6_Tertiary Salaries Survey" xfId="7391" xr:uid="{00000000-0005-0000-0000-0000F21C0000}"/>
    <cellStyle name="RowTitles1-Detail 2 2 5 7" xfId="7392" xr:uid="{00000000-0005-0000-0000-0000F31C0000}"/>
    <cellStyle name="RowTitles1-Detail 2 2 5 7 2" xfId="7393" xr:uid="{00000000-0005-0000-0000-0000F41C0000}"/>
    <cellStyle name="RowTitles1-Detail 2 2 5 7 2 2" xfId="7394" xr:uid="{00000000-0005-0000-0000-0000F51C0000}"/>
    <cellStyle name="RowTitles1-Detail 2 2 5 7 2_Tertiary Salaries Survey" xfId="7395" xr:uid="{00000000-0005-0000-0000-0000F61C0000}"/>
    <cellStyle name="RowTitles1-Detail 2 2 5 7 3" xfId="7396" xr:uid="{00000000-0005-0000-0000-0000F71C0000}"/>
    <cellStyle name="RowTitles1-Detail 2 2 5 7_Tertiary Salaries Survey" xfId="7397" xr:uid="{00000000-0005-0000-0000-0000F81C0000}"/>
    <cellStyle name="RowTitles1-Detail 2 2 5 8" xfId="7398" xr:uid="{00000000-0005-0000-0000-0000F91C0000}"/>
    <cellStyle name="RowTitles1-Detail 2 2 5 8 2" xfId="7399" xr:uid="{00000000-0005-0000-0000-0000FA1C0000}"/>
    <cellStyle name="RowTitles1-Detail 2 2 5 8 2 2" xfId="7400" xr:uid="{00000000-0005-0000-0000-0000FB1C0000}"/>
    <cellStyle name="RowTitles1-Detail 2 2 5 8 2_Tertiary Salaries Survey" xfId="7401" xr:uid="{00000000-0005-0000-0000-0000FC1C0000}"/>
    <cellStyle name="RowTitles1-Detail 2 2 5 8 3" xfId="7402" xr:uid="{00000000-0005-0000-0000-0000FD1C0000}"/>
    <cellStyle name="RowTitles1-Detail 2 2 5 8_Tertiary Salaries Survey" xfId="7403" xr:uid="{00000000-0005-0000-0000-0000FE1C0000}"/>
    <cellStyle name="RowTitles1-Detail 2 2 5 9" xfId="7404" xr:uid="{00000000-0005-0000-0000-0000FF1C0000}"/>
    <cellStyle name="RowTitles1-Detail 2 2 5_STUD aligned by INSTIT" xfId="7405" xr:uid="{00000000-0005-0000-0000-0000001D0000}"/>
    <cellStyle name="RowTitles1-Detail 2 2 6" xfId="7406" xr:uid="{00000000-0005-0000-0000-0000011D0000}"/>
    <cellStyle name="RowTitles1-Detail 2 2 6 2" xfId="7407" xr:uid="{00000000-0005-0000-0000-0000021D0000}"/>
    <cellStyle name="RowTitles1-Detail 2 2 6 2 2" xfId="7408" xr:uid="{00000000-0005-0000-0000-0000031D0000}"/>
    <cellStyle name="RowTitles1-Detail 2 2 6 2 2 2" xfId="7409" xr:uid="{00000000-0005-0000-0000-0000041D0000}"/>
    <cellStyle name="RowTitles1-Detail 2 2 6 2 2 2 2" xfId="7410" xr:uid="{00000000-0005-0000-0000-0000051D0000}"/>
    <cellStyle name="RowTitles1-Detail 2 2 6 2 2 2_Tertiary Salaries Survey" xfId="7411" xr:uid="{00000000-0005-0000-0000-0000061D0000}"/>
    <cellStyle name="RowTitles1-Detail 2 2 6 2 2 3" xfId="7412" xr:uid="{00000000-0005-0000-0000-0000071D0000}"/>
    <cellStyle name="RowTitles1-Detail 2 2 6 2 2_Tertiary Salaries Survey" xfId="7413" xr:uid="{00000000-0005-0000-0000-0000081D0000}"/>
    <cellStyle name="RowTitles1-Detail 2 2 6 2 3" xfId="7414" xr:uid="{00000000-0005-0000-0000-0000091D0000}"/>
    <cellStyle name="RowTitles1-Detail 2 2 6 2 3 2" xfId="7415" xr:uid="{00000000-0005-0000-0000-00000A1D0000}"/>
    <cellStyle name="RowTitles1-Detail 2 2 6 2 3 2 2" xfId="7416" xr:uid="{00000000-0005-0000-0000-00000B1D0000}"/>
    <cellStyle name="RowTitles1-Detail 2 2 6 2 3 2_Tertiary Salaries Survey" xfId="7417" xr:uid="{00000000-0005-0000-0000-00000C1D0000}"/>
    <cellStyle name="RowTitles1-Detail 2 2 6 2 3 3" xfId="7418" xr:uid="{00000000-0005-0000-0000-00000D1D0000}"/>
    <cellStyle name="RowTitles1-Detail 2 2 6 2 3_Tertiary Salaries Survey" xfId="7419" xr:uid="{00000000-0005-0000-0000-00000E1D0000}"/>
    <cellStyle name="RowTitles1-Detail 2 2 6 2 4" xfId="7420" xr:uid="{00000000-0005-0000-0000-00000F1D0000}"/>
    <cellStyle name="RowTitles1-Detail 2 2 6 2 5" xfId="7421" xr:uid="{00000000-0005-0000-0000-0000101D0000}"/>
    <cellStyle name="RowTitles1-Detail 2 2 6 2 5 2" xfId="7422" xr:uid="{00000000-0005-0000-0000-0000111D0000}"/>
    <cellStyle name="RowTitles1-Detail 2 2 6 2 5_Tertiary Salaries Survey" xfId="7423" xr:uid="{00000000-0005-0000-0000-0000121D0000}"/>
    <cellStyle name="RowTitles1-Detail 2 2 6 2 6" xfId="7424" xr:uid="{00000000-0005-0000-0000-0000131D0000}"/>
    <cellStyle name="RowTitles1-Detail 2 2 6 2_Tertiary Salaries Survey" xfId="7425" xr:uid="{00000000-0005-0000-0000-0000141D0000}"/>
    <cellStyle name="RowTitles1-Detail 2 2 6 3" xfId="7426" xr:uid="{00000000-0005-0000-0000-0000151D0000}"/>
    <cellStyle name="RowTitles1-Detail 2 2 6 3 2" xfId="7427" xr:uid="{00000000-0005-0000-0000-0000161D0000}"/>
    <cellStyle name="RowTitles1-Detail 2 2 6 3 2 2" xfId="7428" xr:uid="{00000000-0005-0000-0000-0000171D0000}"/>
    <cellStyle name="RowTitles1-Detail 2 2 6 3 2 2 2" xfId="7429" xr:uid="{00000000-0005-0000-0000-0000181D0000}"/>
    <cellStyle name="RowTitles1-Detail 2 2 6 3 2 2_Tertiary Salaries Survey" xfId="7430" xr:uid="{00000000-0005-0000-0000-0000191D0000}"/>
    <cellStyle name="RowTitles1-Detail 2 2 6 3 2 3" xfId="7431" xr:uid="{00000000-0005-0000-0000-00001A1D0000}"/>
    <cellStyle name="RowTitles1-Detail 2 2 6 3 2_Tertiary Salaries Survey" xfId="7432" xr:uid="{00000000-0005-0000-0000-00001B1D0000}"/>
    <cellStyle name="RowTitles1-Detail 2 2 6 3 3" xfId="7433" xr:uid="{00000000-0005-0000-0000-00001C1D0000}"/>
    <cellStyle name="RowTitles1-Detail 2 2 6 3 3 2" xfId="7434" xr:uid="{00000000-0005-0000-0000-00001D1D0000}"/>
    <cellStyle name="RowTitles1-Detail 2 2 6 3 3 2 2" xfId="7435" xr:uid="{00000000-0005-0000-0000-00001E1D0000}"/>
    <cellStyle name="RowTitles1-Detail 2 2 6 3 3 2_Tertiary Salaries Survey" xfId="7436" xr:uid="{00000000-0005-0000-0000-00001F1D0000}"/>
    <cellStyle name="RowTitles1-Detail 2 2 6 3 3 3" xfId="7437" xr:uid="{00000000-0005-0000-0000-0000201D0000}"/>
    <cellStyle name="RowTitles1-Detail 2 2 6 3 3_Tertiary Salaries Survey" xfId="7438" xr:uid="{00000000-0005-0000-0000-0000211D0000}"/>
    <cellStyle name="RowTitles1-Detail 2 2 6 3 4" xfId="7439" xr:uid="{00000000-0005-0000-0000-0000221D0000}"/>
    <cellStyle name="RowTitles1-Detail 2 2 6 3 5" xfId="7440" xr:uid="{00000000-0005-0000-0000-0000231D0000}"/>
    <cellStyle name="RowTitles1-Detail 2 2 6 3_Tertiary Salaries Survey" xfId="7441" xr:uid="{00000000-0005-0000-0000-0000241D0000}"/>
    <cellStyle name="RowTitles1-Detail 2 2 6 4" xfId="7442" xr:uid="{00000000-0005-0000-0000-0000251D0000}"/>
    <cellStyle name="RowTitles1-Detail 2 2 6 4 2" xfId="7443" xr:uid="{00000000-0005-0000-0000-0000261D0000}"/>
    <cellStyle name="RowTitles1-Detail 2 2 6 4 2 2" xfId="7444" xr:uid="{00000000-0005-0000-0000-0000271D0000}"/>
    <cellStyle name="RowTitles1-Detail 2 2 6 4 2 2 2" xfId="7445" xr:uid="{00000000-0005-0000-0000-0000281D0000}"/>
    <cellStyle name="RowTitles1-Detail 2 2 6 4 2 2_Tertiary Salaries Survey" xfId="7446" xr:uid="{00000000-0005-0000-0000-0000291D0000}"/>
    <cellStyle name="RowTitles1-Detail 2 2 6 4 2 3" xfId="7447" xr:uid="{00000000-0005-0000-0000-00002A1D0000}"/>
    <cellStyle name="RowTitles1-Detail 2 2 6 4 2_Tertiary Salaries Survey" xfId="7448" xr:uid="{00000000-0005-0000-0000-00002B1D0000}"/>
    <cellStyle name="RowTitles1-Detail 2 2 6 4 3" xfId="7449" xr:uid="{00000000-0005-0000-0000-00002C1D0000}"/>
    <cellStyle name="RowTitles1-Detail 2 2 6 4 3 2" xfId="7450" xr:uid="{00000000-0005-0000-0000-00002D1D0000}"/>
    <cellStyle name="RowTitles1-Detail 2 2 6 4 3 2 2" xfId="7451" xr:uid="{00000000-0005-0000-0000-00002E1D0000}"/>
    <cellStyle name="RowTitles1-Detail 2 2 6 4 3 2_Tertiary Salaries Survey" xfId="7452" xr:uid="{00000000-0005-0000-0000-00002F1D0000}"/>
    <cellStyle name="RowTitles1-Detail 2 2 6 4 3 3" xfId="7453" xr:uid="{00000000-0005-0000-0000-0000301D0000}"/>
    <cellStyle name="RowTitles1-Detail 2 2 6 4 3_Tertiary Salaries Survey" xfId="7454" xr:uid="{00000000-0005-0000-0000-0000311D0000}"/>
    <cellStyle name="RowTitles1-Detail 2 2 6 4 4" xfId="7455" xr:uid="{00000000-0005-0000-0000-0000321D0000}"/>
    <cellStyle name="RowTitles1-Detail 2 2 6 4 5" xfId="7456" xr:uid="{00000000-0005-0000-0000-0000331D0000}"/>
    <cellStyle name="RowTitles1-Detail 2 2 6 4 5 2" xfId="7457" xr:uid="{00000000-0005-0000-0000-0000341D0000}"/>
    <cellStyle name="RowTitles1-Detail 2 2 6 4 5_Tertiary Salaries Survey" xfId="7458" xr:uid="{00000000-0005-0000-0000-0000351D0000}"/>
    <cellStyle name="RowTitles1-Detail 2 2 6 4 6" xfId="7459" xr:uid="{00000000-0005-0000-0000-0000361D0000}"/>
    <cellStyle name="RowTitles1-Detail 2 2 6 4_Tertiary Salaries Survey" xfId="7460" xr:uid="{00000000-0005-0000-0000-0000371D0000}"/>
    <cellStyle name="RowTitles1-Detail 2 2 6 5" xfId="7461" xr:uid="{00000000-0005-0000-0000-0000381D0000}"/>
    <cellStyle name="RowTitles1-Detail 2 2 6 5 2" xfId="7462" xr:uid="{00000000-0005-0000-0000-0000391D0000}"/>
    <cellStyle name="RowTitles1-Detail 2 2 6 5 2 2" xfId="7463" xr:uid="{00000000-0005-0000-0000-00003A1D0000}"/>
    <cellStyle name="RowTitles1-Detail 2 2 6 5 2 2 2" xfId="7464" xr:uid="{00000000-0005-0000-0000-00003B1D0000}"/>
    <cellStyle name="RowTitles1-Detail 2 2 6 5 2 2_Tertiary Salaries Survey" xfId="7465" xr:uid="{00000000-0005-0000-0000-00003C1D0000}"/>
    <cellStyle name="RowTitles1-Detail 2 2 6 5 2 3" xfId="7466" xr:uid="{00000000-0005-0000-0000-00003D1D0000}"/>
    <cellStyle name="RowTitles1-Detail 2 2 6 5 2_Tertiary Salaries Survey" xfId="7467" xr:uid="{00000000-0005-0000-0000-00003E1D0000}"/>
    <cellStyle name="RowTitles1-Detail 2 2 6 5 3" xfId="7468" xr:uid="{00000000-0005-0000-0000-00003F1D0000}"/>
    <cellStyle name="RowTitles1-Detail 2 2 6 5 3 2" xfId="7469" xr:uid="{00000000-0005-0000-0000-0000401D0000}"/>
    <cellStyle name="RowTitles1-Detail 2 2 6 5 3 2 2" xfId="7470" xr:uid="{00000000-0005-0000-0000-0000411D0000}"/>
    <cellStyle name="RowTitles1-Detail 2 2 6 5 3 2_Tertiary Salaries Survey" xfId="7471" xr:uid="{00000000-0005-0000-0000-0000421D0000}"/>
    <cellStyle name="RowTitles1-Detail 2 2 6 5 3 3" xfId="7472" xr:uid="{00000000-0005-0000-0000-0000431D0000}"/>
    <cellStyle name="RowTitles1-Detail 2 2 6 5 3_Tertiary Salaries Survey" xfId="7473" xr:uid="{00000000-0005-0000-0000-0000441D0000}"/>
    <cellStyle name="RowTitles1-Detail 2 2 6 5 4" xfId="7474" xr:uid="{00000000-0005-0000-0000-0000451D0000}"/>
    <cellStyle name="RowTitles1-Detail 2 2 6 5 4 2" xfId="7475" xr:uid="{00000000-0005-0000-0000-0000461D0000}"/>
    <cellStyle name="RowTitles1-Detail 2 2 6 5 4_Tertiary Salaries Survey" xfId="7476" xr:uid="{00000000-0005-0000-0000-0000471D0000}"/>
    <cellStyle name="RowTitles1-Detail 2 2 6 5 5" xfId="7477" xr:uid="{00000000-0005-0000-0000-0000481D0000}"/>
    <cellStyle name="RowTitles1-Detail 2 2 6 5_Tertiary Salaries Survey" xfId="7478" xr:uid="{00000000-0005-0000-0000-0000491D0000}"/>
    <cellStyle name="RowTitles1-Detail 2 2 6 6" xfId="7479" xr:uid="{00000000-0005-0000-0000-00004A1D0000}"/>
    <cellStyle name="RowTitles1-Detail 2 2 6 6 2" xfId="7480" xr:uid="{00000000-0005-0000-0000-00004B1D0000}"/>
    <cellStyle name="RowTitles1-Detail 2 2 6 6 2 2" xfId="7481" xr:uid="{00000000-0005-0000-0000-00004C1D0000}"/>
    <cellStyle name="RowTitles1-Detail 2 2 6 6 2 2 2" xfId="7482" xr:uid="{00000000-0005-0000-0000-00004D1D0000}"/>
    <cellStyle name="RowTitles1-Detail 2 2 6 6 2 2_Tertiary Salaries Survey" xfId="7483" xr:uid="{00000000-0005-0000-0000-00004E1D0000}"/>
    <cellStyle name="RowTitles1-Detail 2 2 6 6 2 3" xfId="7484" xr:uid="{00000000-0005-0000-0000-00004F1D0000}"/>
    <cellStyle name="RowTitles1-Detail 2 2 6 6 2_Tertiary Salaries Survey" xfId="7485" xr:uid="{00000000-0005-0000-0000-0000501D0000}"/>
    <cellStyle name="RowTitles1-Detail 2 2 6 6 3" xfId="7486" xr:uid="{00000000-0005-0000-0000-0000511D0000}"/>
    <cellStyle name="RowTitles1-Detail 2 2 6 6 3 2" xfId="7487" xr:uid="{00000000-0005-0000-0000-0000521D0000}"/>
    <cellStyle name="RowTitles1-Detail 2 2 6 6 3 2 2" xfId="7488" xr:uid="{00000000-0005-0000-0000-0000531D0000}"/>
    <cellStyle name="RowTitles1-Detail 2 2 6 6 3 2_Tertiary Salaries Survey" xfId="7489" xr:uid="{00000000-0005-0000-0000-0000541D0000}"/>
    <cellStyle name="RowTitles1-Detail 2 2 6 6 3 3" xfId="7490" xr:uid="{00000000-0005-0000-0000-0000551D0000}"/>
    <cellStyle name="RowTitles1-Detail 2 2 6 6 3_Tertiary Salaries Survey" xfId="7491" xr:uid="{00000000-0005-0000-0000-0000561D0000}"/>
    <cellStyle name="RowTitles1-Detail 2 2 6 6 4" xfId="7492" xr:uid="{00000000-0005-0000-0000-0000571D0000}"/>
    <cellStyle name="RowTitles1-Detail 2 2 6 6 4 2" xfId="7493" xr:uid="{00000000-0005-0000-0000-0000581D0000}"/>
    <cellStyle name="RowTitles1-Detail 2 2 6 6 4_Tertiary Salaries Survey" xfId="7494" xr:uid="{00000000-0005-0000-0000-0000591D0000}"/>
    <cellStyle name="RowTitles1-Detail 2 2 6 6 5" xfId="7495" xr:uid="{00000000-0005-0000-0000-00005A1D0000}"/>
    <cellStyle name="RowTitles1-Detail 2 2 6 6_Tertiary Salaries Survey" xfId="7496" xr:uid="{00000000-0005-0000-0000-00005B1D0000}"/>
    <cellStyle name="RowTitles1-Detail 2 2 6 7" xfId="7497" xr:uid="{00000000-0005-0000-0000-00005C1D0000}"/>
    <cellStyle name="RowTitles1-Detail 2 2 6 7 2" xfId="7498" xr:uid="{00000000-0005-0000-0000-00005D1D0000}"/>
    <cellStyle name="RowTitles1-Detail 2 2 6 7 2 2" xfId="7499" xr:uid="{00000000-0005-0000-0000-00005E1D0000}"/>
    <cellStyle name="RowTitles1-Detail 2 2 6 7 2_Tertiary Salaries Survey" xfId="7500" xr:uid="{00000000-0005-0000-0000-00005F1D0000}"/>
    <cellStyle name="RowTitles1-Detail 2 2 6 7 3" xfId="7501" xr:uid="{00000000-0005-0000-0000-0000601D0000}"/>
    <cellStyle name="RowTitles1-Detail 2 2 6 7_Tertiary Salaries Survey" xfId="7502" xr:uid="{00000000-0005-0000-0000-0000611D0000}"/>
    <cellStyle name="RowTitles1-Detail 2 2 6 8" xfId="7503" xr:uid="{00000000-0005-0000-0000-0000621D0000}"/>
    <cellStyle name="RowTitles1-Detail 2 2 6 9" xfId="7504" xr:uid="{00000000-0005-0000-0000-0000631D0000}"/>
    <cellStyle name="RowTitles1-Detail 2 2 6_STUD aligned by INSTIT" xfId="7505" xr:uid="{00000000-0005-0000-0000-0000641D0000}"/>
    <cellStyle name="RowTitles1-Detail 2 2 7" xfId="7506" xr:uid="{00000000-0005-0000-0000-0000651D0000}"/>
    <cellStyle name="RowTitles1-Detail 2 2 7 2" xfId="7507" xr:uid="{00000000-0005-0000-0000-0000661D0000}"/>
    <cellStyle name="RowTitles1-Detail 2 2 7 2 2" xfId="7508" xr:uid="{00000000-0005-0000-0000-0000671D0000}"/>
    <cellStyle name="RowTitles1-Detail 2 2 7 2 2 2" xfId="7509" xr:uid="{00000000-0005-0000-0000-0000681D0000}"/>
    <cellStyle name="RowTitles1-Detail 2 2 7 2 2_Tertiary Salaries Survey" xfId="7510" xr:uid="{00000000-0005-0000-0000-0000691D0000}"/>
    <cellStyle name="RowTitles1-Detail 2 2 7 2 3" xfId="7511" xr:uid="{00000000-0005-0000-0000-00006A1D0000}"/>
    <cellStyle name="RowTitles1-Detail 2 2 7 2_Tertiary Salaries Survey" xfId="7512" xr:uid="{00000000-0005-0000-0000-00006B1D0000}"/>
    <cellStyle name="RowTitles1-Detail 2 2 7 3" xfId="7513" xr:uid="{00000000-0005-0000-0000-00006C1D0000}"/>
    <cellStyle name="RowTitles1-Detail 2 2 7 3 2" xfId="7514" xr:uid="{00000000-0005-0000-0000-00006D1D0000}"/>
    <cellStyle name="RowTitles1-Detail 2 2 7 3 2 2" xfId="7515" xr:uid="{00000000-0005-0000-0000-00006E1D0000}"/>
    <cellStyle name="RowTitles1-Detail 2 2 7 3 2_Tertiary Salaries Survey" xfId="7516" xr:uid="{00000000-0005-0000-0000-00006F1D0000}"/>
    <cellStyle name="RowTitles1-Detail 2 2 7 3 3" xfId="7517" xr:uid="{00000000-0005-0000-0000-0000701D0000}"/>
    <cellStyle name="RowTitles1-Detail 2 2 7 3_Tertiary Salaries Survey" xfId="7518" xr:uid="{00000000-0005-0000-0000-0000711D0000}"/>
    <cellStyle name="RowTitles1-Detail 2 2 7 4" xfId="7519" xr:uid="{00000000-0005-0000-0000-0000721D0000}"/>
    <cellStyle name="RowTitles1-Detail 2 2 7 5" xfId="7520" xr:uid="{00000000-0005-0000-0000-0000731D0000}"/>
    <cellStyle name="RowTitles1-Detail 2 2 7 5 2" xfId="7521" xr:uid="{00000000-0005-0000-0000-0000741D0000}"/>
    <cellStyle name="RowTitles1-Detail 2 2 7 5_Tertiary Salaries Survey" xfId="7522" xr:uid="{00000000-0005-0000-0000-0000751D0000}"/>
    <cellStyle name="RowTitles1-Detail 2 2 7 6" xfId="7523" xr:uid="{00000000-0005-0000-0000-0000761D0000}"/>
    <cellStyle name="RowTitles1-Detail 2 2 7_Tertiary Salaries Survey" xfId="7524" xr:uid="{00000000-0005-0000-0000-0000771D0000}"/>
    <cellStyle name="RowTitles1-Detail 2 2 8" xfId="7525" xr:uid="{00000000-0005-0000-0000-0000781D0000}"/>
    <cellStyle name="RowTitles1-Detail 2 2 8 2" xfId="7526" xr:uid="{00000000-0005-0000-0000-0000791D0000}"/>
    <cellStyle name="RowTitles1-Detail 2 2 8 2 2" xfId="7527" xr:uid="{00000000-0005-0000-0000-00007A1D0000}"/>
    <cellStyle name="RowTitles1-Detail 2 2 8 2 2 2" xfId="7528" xr:uid="{00000000-0005-0000-0000-00007B1D0000}"/>
    <cellStyle name="RowTitles1-Detail 2 2 8 2 2_Tertiary Salaries Survey" xfId="7529" xr:uid="{00000000-0005-0000-0000-00007C1D0000}"/>
    <cellStyle name="RowTitles1-Detail 2 2 8 2 3" xfId="7530" xr:uid="{00000000-0005-0000-0000-00007D1D0000}"/>
    <cellStyle name="RowTitles1-Detail 2 2 8 2_Tertiary Salaries Survey" xfId="7531" xr:uid="{00000000-0005-0000-0000-00007E1D0000}"/>
    <cellStyle name="RowTitles1-Detail 2 2 8 3" xfId="7532" xr:uid="{00000000-0005-0000-0000-00007F1D0000}"/>
    <cellStyle name="RowTitles1-Detail 2 2 8 3 2" xfId="7533" xr:uid="{00000000-0005-0000-0000-0000801D0000}"/>
    <cellStyle name="RowTitles1-Detail 2 2 8 3 2 2" xfId="7534" xr:uid="{00000000-0005-0000-0000-0000811D0000}"/>
    <cellStyle name="RowTitles1-Detail 2 2 8 3 2_Tertiary Salaries Survey" xfId="7535" xr:uid="{00000000-0005-0000-0000-0000821D0000}"/>
    <cellStyle name="RowTitles1-Detail 2 2 8 3 3" xfId="7536" xr:uid="{00000000-0005-0000-0000-0000831D0000}"/>
    <cellStyle name="RowTitles1-Detail 2 2 8 3_Tertiary Salaries Survey" xfId="7537" xr:uid="{00000000-0005-0000-0000-0000841D0000}"/>
    <cellStyle name="RowTitles1-Detail 2 2 8 4" xfId="7538" xr:uid="{00000000-0005-0000-0000-0000851D0000}"/>
    <cellStyle name="RowTitles1-Detail 2 2 8 5" xfId="7539" xr:uid="{00000000-0005-0000-0000-0000861D0000}"/>
    <cellStyle name="RowTitles1-Detail 2 2 8_Tertiary Salaries Survey" xfId="7540" xr:uid="{00000000-0005-0000-0000-0000871D0000}"/>
    <cellStyle name="RowTitles1-Detail 2 2 9" xfId="7541" xr:uid="{00000000-0005-0000-0000-0000881D0000}"/>
    <cellStyle name="RowTitles1-Detail 2 2 9 2" xfId="7542" xr:uid="{00000000-0005-0000-0000-0000891D0000}"/>
    <cellStyle name="RowTitles1-Detail 2 2 9 2 2" xfId="7543" xr:uid="{00000000-0005-0000-0000-00008A1D0000}"/>
    <cellStyle name="RowTitles1-Detail 2 2 9 2 2 2" xfId="7544" xr:uid="{00000000-0005-0000-0000-00008B1D0000}"/>
    <cellStyle name="RowTitles1-Detail 2 2 9 2 2_Tertiary Salaries Survey" xfId="7545" xr:uid="{00000000-0005-0000-0000-00008C1D0000}"/>
    <cellStyle name="RowTitles1-Detail 2 2 9 2 3" xfId="7546" xr:uid="{00000000-0005-0000-0000-00008D1D0000}"/>
    <cellStyle name="RowTitles1-Detail 2 2 9 2_Tertiary Salaries Survey" xfId="7547" xr:uid="{00000000-0005-0000-0000-00008E1D0000}"/>
    <cellStyle name="RowTitles1-Detail 2 2 9 3" xfId="7548" xr:uid="{00000000-0005-0000-0000-00008F1D0000}"/>
    <cellStyle name="RowTitles1-Detail 2 2 9 3 2" xfId="7549" xr:uid="{00000000-0005-0000-0000-0000901D0000}"/>
    <cellStyle name="RowTitles1-Detail 2 2 9 3 2 2" xfId="7550" xr:uid="{00000000-0005-0000-0000-0000911D0000}"/>
    <cellStyle name="RowTitles1-Detail 2 2 9 3 2_Tertiary Salaries Survey" xfId="7551" xr:uid="{00000000-0005-0000-0000-0000921D0000}"/>
    <cellStyle name="RowTitles1-Detail 2 2 9 3 3" xfId="7552" xr:uid="{00000000-0005-0000-0000-0000931D0000}"/>
    <cellStyle name="RowTitles1-Detail 2 2 9 3_Tertiary Salaries Survey" xfId="7553" xr:uid="{00000000-0005-0000-0000-0000941D0000}"/>
    <cellStyle name="RowTitles1-Detail 2 2 9 4" xfId="7554" xr:uid="{00000000-0005-0000-0000-0000951D0000}"/>
    <cellStyle name="RowTitles1-Detail 2 2 9 5" xfId="7555" xr:uid="{00000000-0005-0000-0000-0000961D0000}"/>
    <cellStyle name="RowTitles1-Detail 2 2 9 5 2" xfId="7556" xr:uid="{00000000-0005-0000-0000-0000971D0000}"/>
    <cellStyle name="RowTitles1-Detail 2 2 9 5_Tertiary Salaries Survey" xfId="7557" xr:uid="{00000000-0005-0000-0000-0000981D0000}"/>
    <cellStyle name="RowTitles1-Detail 2 2 9 6" xfId="7558" xr:uid="{00000000-0005-0000-0000-0000991D0000}"/>
    <cellStyle name="RowTitles1-Detail 2 2 9_Tertiary Salaries Survey" xfId="7559" xr:uid="{00000000-0005-0000-0000-00009A1D0000}"/>
    <cellStyle name="RowTitles1-Detail 2 2_STUD aligned by INSTIT" xfId="7560" xr:uid="{00000000-0005-0000-0000-00009B1D0000}"/>
    <cellStyle name="RowTitles1-Detail 2 3" xfId="7561" xr:uid="{00000000-0005-0000-0000-00009C1D0000}"/>
    <cellStyle name="RowTitles1-Detail 2 3 10" xfId="7562" xr:uid="{00000000-0005-0000-0000-00009D1D0000}"/>
    <cellStyle name="RowTitles1-Detail 2 3 10 2" xfId="7563" xr:uid="{00000000-0005-0000-0000-00009E1D0000}"/>
    <cellStyle name="RowTitles1-Detail 2 3 10 2 2" xfId="7564" xr:uid="{00000000-0005-0000-0000-00009F1D0000}"/>
    <cellStyle name="RowTitles1-Detail 2 3 10 2 2 2" xfId="7565" xr:uid="{00000000-0005-0000-0000-0000A01D0000}"/>
    <cellStyle name="RowTitles1-Detail 2 3 10 2 2_Tertiary Salaries Survey" xfId="7566" xr:uid="{00000000-0005-0000-0000-0000A11D0000}"/>
    <cellStyle name="RowTitles1-Detail 2 3 10 2 3" xfId="7567" xr:uid="{00000000-0005-0000-0000-0000A21D0000}"/>
    <cellStyle name="RowTitles1-Detail 2 3 10 2_Tertiary Salaries Survey" xfId="7568" xr:uid="{00000000-0005-0000-0000-0000A31D0000}"/>
    <cellStyle name="RowTitles1-Detail 2 3 10 3" xfId="7569" xr:uid="{00000000-0005-0000-0000-0000A41D0000}"/>
    <cellStyle name="RowTitles1-Detail 2 3 10 3 2" xfId="7570" xr:uid="{00000000-0005-0000-0000-0000A51D0000}"/>
    <cellStyle name="RowTitles1-Detail 2 3 10 3 2 2" xfId="7571" xr:uid="{00000000-0005-0000-0000-0000A61D0000}"/>
    <cellStyle name="RowTitles1-Detail 2 3 10 3 2_Tertiary Salaries Survey" xfId="7572" xr:uid="{00000000-0005-0000-0000-0000A71D0000}"/>
    <cellStyle name="RowTitles1-Detail 2 3 10 3 3" xfId="7573" xr:uid="{00000000-0005-0000-0000-0000A81D0000}"/>
    <cellStyle name="RowTitles1-Detail 2 3 10 3_Tertiary Salaries Survey" xfId="7574" xr:uid="{00000000-0005-0000-0000-0000A91D0000}"/>
    <cellStyle name="RowTitles1-Detail 2 3 10 4" xfId="7575" xr:uid="{00000000-0005-0000-0000-0000AA1D0000}"/>
    <cellStyle name="RowTitles1-Detail 2 3 10 4 2" xfId="7576" xr:uid="{00000000-0005-0000-0000-0000AB1D0000}"/>
    <cellStyle name="RowTitles1-Detail 2 3 10 4_Tertiary Salaries Survey" xfId="7577" xr:uid="{00000000-0005-0000-0000-0000AC1D0000}"/>
    <cellStyle name="RowTitles1-Detail 2 3 10 5" xfId="7578" xr:uid="{00000000-0005-0000-0000-0000AD1D0000}"/>
    <cellStyle name="RowTitles1-Detail 2 3 10_Tertiary Salaries Survey" xfId="7579" xr:uid="{00000000-0005-0000-0000-0000AE1D0000}"/>
    <cellStyle name="RowTitles1-Detail 2 3 11" xfId="7580" xr:uid="{00000000-0005-0000-0000-0000AF1D0000}"/>
    <cellStyle name="RowTitles1-Detail 2 3 11 2" xfId="7581" xr:uid="{00000000-0005-0000-0000-0000B01D0000}"/>
    <cellStyle name="RowTitles1-Detail 2 3 11 2 2" xfId="7582" xr:uid="{00000000-0005-0000-0000-0000B11D0000}"/>
    <cellStyle name="RowTitles1-Detail 2 3 11 2 2 2" xfId="7583" xr:uid="{00000000-0005-0000-0000-0000B21D0000}"/>
    <cellStyle name="RowTitles1-Detail 2 3 11 2 2_Tertiary Salaries Survey" xfId="7584" xr:uid="{00000000-0005-0000-0000-0000B31D0000}"/>
    <cellStyle name="RowTitles1-Detail 2 3 11 2 3" xfId="7585" xr:uid="{00000000-0005-0000-0000-0000B41D0000}"/>
    <cellStyle name="RowTitles1-Detail 2 3 11 2_Tertiary Salaries Survey" xfId="7586" xr:uid="{00000000-0005-0000-0000-0000B51D0000}"/>
    <cellStyle name="RowTitles1-Detail 2 3 11 3" xfId="7587" xr:uid="{00000000-0005-0000-0000-0000B61D0000}"/>
    <cellStyle name="RowTitles1-Detail 2 3 11 3 2" xfId="7588" xr:uid="{00000000-0005-0000-0000-0000B71D0000}"/>
    <cellStyle name="RowTitles1-Detail 2 3 11 3 2 2" xfId="7589" xr:uid="{00000000-0005-0000-0000-0000B81D0000}"/>
    <cellStyle name="RowTitles1-Detail 2 3 11 3 2_Tertiary Salaries Survey" xfId="7590" xr:uid="{00000000-0005-0000-0000-0000B91D0000}"/>
    <cellStyle name="RowTitles1-Detail 2 3 11 3 3" xfId="7591" xr:uid="{00000000-0005-0000-0000-0000BA1D0000}"/>
    <cellStyle name="RowTitles1-Detail 2 3 11 3_Tertiary Salaries Survey" xfId="7592" xr:uid="{00000000-0005-0000-0000-0000BB1D0000}"/>
    <cellStyle name="RowTitles1-Detail 2 3 11 4" xfId="7593" xr:uid="{00000000-0005-0000-0000-0000BC1D0000}"/>
    <cellStyle name="RowTitles1-Detail 2 3 11 4 2" xfId="7594" xr:uid="{00000000-0005-0000-0000-0000BD1D0000}"/>
    <cellStyle name="RowTitles1-Detail 2 3 11 4_Tertiary Salaries Survey" xfId="7595" xr:uid="{00000000-0005-0000-0000-0000BE1D0000}"/>
    <cellStyle name="RowTitles1-Detail 2 3 11 5" xfId="7596" xr:uid="{00000000-0005-0000-0000-0000BF1D0000}"/>
    <cellStyle name="RowTitles1-Detail 2 3 11_Tertiary Salaries Survey" xfId="7597" xr:uid="{00000000-0005-0000-0000-0000C01D0000}"/>
    <cellStyle name="RowTitles1-Detail 2 3 12" xfId="7598" xr:uid="{00000000-0005-0000-0000-0000C11D0000}"/>
    <cellStyle name="RowTitles1-Detail 2 3 12 2" xfId="7599" xr:uid="{00000000-0005-0000-0000-0000C21D0000}"/>
    <cellStyle name="RowTitles1-Detail 2 3 12 2 2" xfId="7600" xr:uid="{00000000-0005-0000-0000-0000C31D0000}"/>
    <cellStyle name="RowTitles1-Detail 2 3 12 2_Tertiary Salaries Survey" xfId="7601" xr:uid="{00000000-0005-0000-0000-0000C41D0000}"/>
    <cellStyle name="RowTitles1-Detail 2 3 12 3" xfId="7602" xr:uid="{00000000-0005-0000-0000-0000C51D0000}"/>
    <cellStyle name="RowTitles1-Detail 2 3 12_Tertiary Salaries Survey" xfId="7603" xr:uid="{00000000-0005-0000-0000-0000C61D0000}"/>
    <cellStyle name="RowTitles1-Detail 2 3 13" xfId="7604" xr:uid="{00000000-0005-0000-0000-0000C71D0000}"/>
    <cellStyle name="RowTitles1-Detail 2 3 14" xfId="7605" xr:uid="{00000000-0005-0000-0000-0000C81D0000}"/>
    <cellStyle name="RowTitles1-Detail 2 3 15" xfId="7606" xr:uid="{00000000-0005-0000-0000-0000C91D0000}"/>
    <cellStyle name="RowTitles1-Detail 2 3 2" xfId="7607" xr:uid="{00000000-0005-0000-0000-0000CA1D0000}"/>
    <cellStyle name="RowTitles1-Detail 2 3 2 10" xfId="7608" xr:uid="{00000000-0005-0000-0000-0000CB1D0000}"/>
    <cellStyle name="RowTitles1-Detail 2 3 2 10 2" xfId="7609" xr:uid="{00000000-0005-0000-0000-0000CC1D0000}"/>
    <cellStyle name="RowTitles1-Detail 2 3 2 10 2 2" xfId="7610" xr:uid="{00000000-0005-0000-0000-0000CD1D0000}"/>
    <cellStyle name="RowTitles1-Detail 2 3 2 10 2 2 2" xfId="7611" xr:uid="{00000000-0005-0000-0000-0000CE1D0000}"/>
    <cellStyle name="RowTitles1-Detail 2 3 2 10 2 2_Tertiary Salaries Survey" xfId="7612" xr:uid="{00000000-0005-0000-0000-0000CF1D0000}"/>
    <cellStyle name="RowTitles1-Detail 2 3 2 10 2 3" xfId="7613" xr:uid="{00000000-0005-0000-0000-0000D01D0000}"/>
    <cellStyle name="RowTitles1-Detail 2 3 2 10 2_Tertiary Salaries Survey" xfId="7614" xr:uid="{00000000-0005-0000-0000-0000D11D0000}"/>
    <cellStyle name="RowTitles1-Detail 2 3 2 10 3" xfId="7615" xr:uid="{00000000-0005-0000-0000-0000D21D0000}"/>
    <cellStyle name="RowTitles1-Detail 2 3 2 10 3 2" xfId="7616" xr:uid="{00000000-0005-0000-0000-0000D31D0000}"/>
    <cellStyle name="RowTitles1-Detail 2 3 2 10 3 2 2" xfId="7617" xr:uid="{00000000-0005-0000-0000-0000D41D0000}"/>
    <cellStyle name="RowTitles1-Detail 2 3 2 10 3 2_Tertiary Salaries Survey" xfId="7618" xr:uid="{00000000-0005-0000-0000-0000D51D0000}"/>
    <cellStyle name="RowTitles1-Detail 2 3 2 10 3 3" xfId="7619" xr:uid="{00000000-0005-0000-0000-0000D61D0000}"/>
    <cellStyle name="RowTitles1-Detail 2 3 2 10 3_Tertiary Salaries Survey" xfId="7620" xr:uid="{00000000-0005-0000-0000-0000D71D0000}"/>
    <cellStyle name="RowTitles1-Detail 2 3 2 10 4" xfId="7621" xr:uid="{00000000-0005-0000-0000-0000D81D0000}"/>
    <cellStyle name="RowTitles1-Detail 2 3 2 10 4 2" xfId="7622" xr:uid="{00000000-0005-0000-0000-0000D91D0000}"/>
    <cellStyle name="RowTitles1-Detail 2 3 2 10 4_Tertiary Salaries Survey" xfId="7623" xr:uid="{00000000-0005-0000-0000-0000DA1D0000}"/>
    <cellStyle name="RowTitles1-Detail 2 3 2 10 5" xfId="7624" xr:uid="{00000000-0005-0000-0000-0000DB1D0000}"/>
    <cellStyle name="RowTitles1-Detail 2 3 2 10_Tertiary Salaries Survey" xfId="7625" xr:uid="{00000000-0005-0000-0000-0000DC1D0000}"/>
    <cellStyle name="RowTitles1-Detail 2 3 2 11" xfId="7626" xr:uid="{00000000-0005-0000-0000-0000DD1D0000}"/>
    <cellStyle name="RowTitles1-Detail 2 3 2 11 2" xfId="7627" xr:uid="{00000000-0005-0000-0000-0000DE1D0000}"/>
    <cellStyle name="RowTitles1-Detail 2 3 2 11 2 2" xfId="7628" xr:uid="{00000000-0005-0000-0000-0000DF1D0000}"/>
    <cellStyle name="RowTitles1-Detail 2 3 2 11 2_Tertiary Salaries Survey" xfId="7629" xr:uid="{00000000-0005-0000-0000-0000E01D0000}"/>
    <cellStyle name="RowTitles1-Detail 2 3 2 11 3" xfId="7630" xr:uid="{00000000-0005-0000-0000-0000E11D0000}"/>
    <cellStyle name="RowTitles1-Detail 2 3 2 11_Tertiary Salaries Survey" xfId="7631" xr:uid="{00000000-0005-0000-0000-0000E21D0000}"/>
    <cellStyle name="RowTitles1-Detail 2 3 2 12" xfId="7632" xr:uid="{00000000-0005-0000-0000-0000E31D0000}"/>
    <cellStyle name="RowTitles1-Detail 2 3 2 13" xfId="7633" xr:uid="{00000000-0005-0000-0000-0000E41D0000}"/>
    <cellStyle name="RowTitles1-Detail 2 3 2 2" xfId="7634" xr:uid="{00000000-0005-0000-0000-0000E51D0000}"/>
    <cellStyle name="RowTitles1-Detail 2 3 2 2 10" xfId="7635" xr:uid="{00000000-0005-0000-0000-0000E61D0000}"/>
    <cellStyle name="RowTitles1-Detail 2 3 2 2 10 2" xfId="7636" xr:uid="{00000000-0005-0000-0000-0000E71D0000}"/>
    <cellStyle name="RowTitles1-Detail 2 3 2 2 10 2 2" xfId="7637" xr:uid="{00000000-0005-0000-0000-0000E81D0000}"/>
    <cellStyle name="RowTitles1-Detail 2 3 2 2 10 2_Tertiary Salaries Survey" xfId="7638" xr:uid="{00000000-0005-0000-0000-0000E91D0000}"/>
    <cellStyle name="RowTitles1-Detail 2 3 2 2 10 3" xfId="7639" xr:uid="{00000000-0005-0000-0000-0000EA1D0000}"/>
    <cellStyle name="RowTitles1-Detail 2 3 2 2 10_Tertiary Salaries Survey" xfId="7640" xr:uid="{00000000-0005-0000-0000-0000EB1D0000}"/>
    <cellStyle name="RowTitles1-Detail 2 3 2 2 11" xfId="7641" xr:uid="{00000000-0005-0000-0000-0000EC1D0000}"/>
    <cellStyle name="RowTitles1-Detail 2 3 2 2 12" xfId="7642" xr:uid="{00000000-0005-0000-0000-0000ED1D0000}"/>
    <cellStyle name="RowTitles1-Detail 2 3 2 2 2" xfId="7643" xr:uid="{00000000-0005-0000-0000-0000EE1D0000}"/>
    <cellStyle name="RowTitles1-Detail 2 3 2 2 2 2" xfId="7644" xr:uid="{00000000-0005-0000-0000-0000EF1D0000}"/>
    <cellStyle name="RowTitles1-Detail 2 3 2 2 2 2 2" xfId="7645" xr:uid="{00000000-0005-0000-0000-0000F01D0000}"/>
    <cellStyle name="RowTitles1-Detail 2 3 2 2 2 2 2 2" xfId="7646" xr:uid="{00000000-0005-0000-0000-0000F11D0000}"/>
    <cellStyle name="RowTitles1-Detail 2 3 2 2 2 2 2 2 2" xfId="7647" xr:uid="{00000000-0005-0000-0000-0000F21D0000}"/>
    <cellStyle name="RowTitles1-Detail 2 3 2 2 2 2 2 2_Tertiary Salaries Survey" xfId="7648" xr:uid="{00000000-0005-0000-0000-0000F31D0000}"/>
    <cellStyle name="RowTitles1-Detail 2 3 2 2 2 2 2 3" xfId="7649" xr:uid="{00000000-0005-0000-0000-0000F41D0000}"/>
    <cellStyle name="RowTitles1-Detail 2 3 2 2 2 2 2_Tertiary Salaries Survey" xfId="7650" xr:uid="{00000000-0005-0000-0000-0000F51D0000}"/>
    <cellStyle name="RowTitles1-Detail 2 3 2 2 2 2 3" xfId="7651" xr:uid="{00000000-0005-0000-0000-0000F61D0000}"/>
    <cellStyle name="RowTitles1-Detail 2 3 2 2 2 2 3 2" xfId="7652" xr:uid="{00000000-0005-0000-0000-0000F71D0000}"/>
    <cellStyle name="RowTitles1-Detail 2 3 2 2 2 2 3 2 2" xfId="7653" xr:uid="{00000000-0005-0000-0000-0000F81D0000}"/>
    <cellStyle name="RowTitles1-Detail 2 3 2 2 2 2 3 2_Tertiary Salaries Survey" xfId="7654" xr:uid="{00000000-0005-0000-0000-0000F91D0000}"/>
    <cellStyle name="RowTitles1-Detail 2 3 2 2 2 2 3 3" xfId="7655" xr:uid="{00000000-0005-0000-0000-0000FA1D0000}"/>
    <cellStyle name="RowTitles1-Detail 2 3 2 2 2 2 3_Tertiary Salaries Survey" xfId="7656" xr:uid="{00000000-0005-0000-0000-0000FB1D0000}"/>
    <cellStyle name="RowTitles1-Detail 2 3 2 2 2 2 4" xfId="7657" xr:uid="{00000000-0005-0000-0000-0000FC1D0000}"/>
    <cellStyle name="RowTitles1-Detail 2 3 2 2 2 2 5" xfId="7658" xr:uid="{00000000-0005-0000-0000-0000FD1D0000}"/>
    <cellStyle name="RowTitles1-Detail 2 3 2 2 2 2_Tertiary Salaries Survey" xfId="7659" xr:uid="{00000000-0005-0000-0000-0000FE1D0000}"/>
    <cellStyle name="RowTitles1-Detail 2 3 2 2 2 3" xfId="7660" xr:uid="{00000000-0005-0000-0000-0000FF1D0000}"/>
    <cellStyle name="RowTitles1-Detail 2 3 2 2 2 3 2" xfId="7661" xr:uid="{00000000-0005-0000-0000-0000001E0000}"/>
    <cellStyle name="RowTitles1-Detail 2 3 2 2 2 3 2 2" xfId="7662" xr:uid="{00000000-0005-0000-0000-0000011E0000}"/>
    <cellStyle name="RowTitles1-Detail 2 3 2 2 2 3 2 2 2" xfId="7663" xr:uid="{00000000-0005-0000-0000-0000021E0000}"/>
    <cellStyle name="RowTitles1-Detail 2 3 2 2 2 3 2 2_Tertiary Salaries Survey" xfId="7664" xr:uid="{00000000-0005-0000-0000-0000031E0000}"/>
    <cellStyle name="RowTitles1-Detail 2 3 2 2 2 3 2 3" xfId="7665" xr:uid="{00000000-0005-0000-0000-0000041E0000}"/>
    <cellStyle name="RowTitles1-Detail 2 3 2 2 2 3 2_Tertiary Salaries Survey" xfId="7666" xr:uid="{00000000-0005-0000-0000-0000051E0000}"/>
    <cellStyle name="RowTitles1-Detail 2 3 2 2 2 3 3" xfId="7667" xr:uid="{00000000-0005-0000-0000-0000061E0000}"/>
    <cellStyle name="RowTitles1-Detail 2 3 2 2 2 3 3 2" xfId="7668" xr:uid="{00000000-0005-0000-0000-0000071E0000}"/>
    <cellStyle name="RowTitles1-Detail 2 3 2 2 2 3 3 2 2" xfId="7669" xr:uid="{00000000-0005-0000-0000-0000081E0000}"/>
    <cellStyle name="RowTitles1-Detail 2 3 2 2 2 3 3 2_Tertiary Salaries Survey" xfId="7670" xr:uid="{00000000-0005-0000-0000-0000091E0000}"/>
    <cellStyle name="RowTitles1-Detail 2 3 2 2 2 3 3 3" xfId="7671" xr:uid="{00000000-0005-0000-0000-00000A1E0000}"/>
    <cellStyle name="RowTitles1-Detail 2 3 2 2 2 3 3_Tertiary Salaries Survey" xfId="7672" xr:uid="{00000000-0005-0000-0000-00000B1E0000}"/>
    <cellStyle name="RowTitles1-Detail 2 3 2 2 2 3 4" xfId="7673" xr:uid="{00000000-0005-0000-0000-00000C1E0000}"/>
    <cellStyle name="RowTitles1-Detail 2 3 2 2 2 3 5" xfId="7674" xr:uid="{00000000-0005-0000-0000-00000D1E0000}"/>
    <cellStyle name="RowTitles1-Detail 2 3 2 2 2 3 5 2" xfId="7675" xr:uid="{00000000-0005-0000-0000-00000E1E0000}"/>
    <cellStyle name="RowTitles1-Detail 2 3 2 2 2 3 5_Tertiary Salaries Survey" xfId="7676" xr:uid="{00000000-0005-0000-0000-00000F1E0000}"/>
    <cellStyle name="RowTitles1-Detail 2 3 2 2 2 3 6" xfId="7677" xr:uid="{00000000-0005-0000-0000-0000101E0000}"/>
    <cellStyle name="RowTitles1-Detail 2 3 2 2 2 3_Tertiary Salaries Survey" xfId="7678" xr:uid="{00000000-0005-0000-0000-0000111E0000}"/>
    <cellStyle name="RowTitles1-Detail 2 3 2 2 2 4" xfId="7679" xr:uid="{00000000-0005-0000-0000-0000121E0000}"/>
    <cellStyle name="RowTitles1-Detail 2 3 2 2 2 4 2" xfId="7680" xr:uid="{00000000-0005-0000-0000-0000131E0000}"/>
    <cellStyle name="RowTitles1-Detail 2 3 2 2 2 4 2 2" xfId="7681" xr:uid="{00000000-0005-0000-0000-0000141E0000}"/>
    <cellStyle name="RowTitles1-Detail 2 3 2 2 2 4 2 2 2" xfId="7682" xr:uid="{00000000-0005-0000-0000-0000151E0000}"/>
    <cellStyle name="RowTitles1-Detail 2 3 2 2 2 4 2 2_Tertiary Salaries Survey" xfId="7683" xr:uid="{00000000-0005-0000-0000-0000161E0000}"/>
    <cellStyle name="RowTitles1-Detail 2 3 2 2 2 4 2 3" xfId="7684" xr:uid="{00000000-0005-0000-0000-0000171E0000}"/>
    <cellStyle name="RowTitles1-Detail 2 3 2 2 2 4 2_Tertiary Salaries Survey" xfId="7685" xr:uid="{00000000-0005-0000-0000-0000181E0000}"/>
    <cellStyle name="RowTitles1-Detail 2 3 2 2 2 4 3" xfId="7686" xr:uid="{00000000-0005-0000-0000-0000191E0000}"/>
    <cellStyle name="RowTitles1-Detail 2 3 2 2 2 4 3 2" xfId="7687" xr:uid="{00000000-0005-0000-0000-00001A1E0000}"/>
    <cellStyle name="RowTitles1-Detail 2 3 2 2 2 4 3 2 2" xfId="7688" xr:uid="{00000000-0005-0000-0000-00001B1E0000}"/>
    <cellStyle name="RowTitles1-Detail 2 3 2 2 2 4 3 2_Tertiary Salaries Survey" xfId="7689" xr:uid="{00000000-0005-0000-0000-00001C1E0000}"/>
    <cellStyle name="RowTitles1-Detail 2 3 2 2 2 4 3 3" xfId="7690" xr:uid="{00000000-0005-0000-0000-00001D1E0000}"/>
    <cellStyle name="RowTitles1-Detail 2 3 2 2 2 4 3_Tertiary Salaries Survey" xfId="7691" xr:uid="{00000000-0005-0000-0000-00001E1E0000}"/>
    <cellStyle name="RowTitles1-Detail 2 3 2 2 2 4 4" xfId="7692" xr:uid="{00000000-0005-0000-0000-00001F1E0000}"/>
    <cellStyle name="RowTitles1-Detail 2 3 2 2 2 4 4 2" xfId="7693" xr:uid="{00000000-0005-0000-0000-0000201E0000}"/>
    <cellStyle name="RowTitles1-Detail 2 3 2 2 2 4 4_Tertiary Salaries Survey" xfId="7694" xr:uid="{00000000-0005-0000-0000-0000211E0000}"/>
    <cellStyle name="RowTitles1-Detail 2 3 2 2 2 4 5" xfId="7695" xr:uid="{00000000-0005-0000-0000-0000221E0000}"/>
    <cellStyle name="RowTitles1-Detail 2 3 2 2 2 4_Tertiary Salaries Survey" xfId="7696" xr:uid="{00000000-0005-0000-0000-0000231E0000}"/>
    <cellStyle name="RowTitles1-Detail 2 3 2 2 2 5" xfId="7697" xr:uid="{00000000-0005-0000-0000-0000241E0000}"/>
    <cellStyle name="RowTitles1-Detail 2 3 2 2 2 5 2" xfId="7698" xr:uid="{00000000-0005-0000-0000-0000251E0000}"/>
    <cellStyle name="RowTitles1-Detail 2 3 2 2 2 5 2 2" xfId="7699" xr:uid="{00000000-0005-0000-0000-0000261E0000}"/>
    <cellStyle name="RowTitles1-Detail 2 3 2 2 2 5 2 2 2" xfId="7700" xr:uid="{00000000-0005-0000-0000-0000271E0000}"/>
    <cellStyle name="RowTitles1-Detail 2 3 2 2 2 5 2 2_Tertiary Salaries Survey" xfId="7701" xr:uid="{00000000-0005-0000-0000-0000281E0000}"/>
    <cellStyle name="RowTitles1-Detail 2 3 2 2 2 5 2 3" xfId="7702" xr:uid="{00000000-0005-0000-0000-0000291E0000}"/>
    <cellStyle name="RowTitles1-Detail 2 3 2 2 2 5 2_Tertiary Salaries Survey" xfId="7703" xr:uid="{00000000-0005-0000-0000-00002A1E0000}"/>
    <cellStyle name="RowTitles1-Detail 2 3 2 2 2 5 3" xfId="7704" xr:uid="{00000000-0005-0000-0000-00002B1E0000}"/>
    <cellStyle name="RowTitles1-Detail 2 3 2 2 2 5 3 2" xfId="7705" xr:uid="{00000000-0005-0000-0000-00002C1E0000}"/>
    <cellStyle name="RowTitles1-Detail 2 3 2 2 2 5 3 2 2" xfId="7706" xr:uid="{00000000-0005-0000-0000-00002D1E0000}"/>
    <cellStyle name="RowTitles1-Detail 2 3 2 2 2 5 3 2_Tertiary Salaries Survey" xfId="7707" xr:uid="{00000000-0005-0000-0000-00002E1E0000}"/>
    <cellStyle name="RowTitles1-Detail 2 3 2 2 2 5 3 3" xfId="7708" xr:uid="{00000000-0005-0000-0000-00002F1E0000}"/>
    <cellStyle name="RowTitles1-Detail 2 3 2 2 2 5 3_Tertiary Salaries Survey" xfId="7709" xr:uid="{00000000-0005-0000-0000-0000301E0000}"/>
    <cellStyle name="RowTitles1-Detail 2 3 2 2 2 5 4" xfId="7710" xr:uid="{00000000-0005-0000-0000-0000311E0000}"/>
    <cellStyle name="RowTitles1-Detail 2 3 2 2 2 5 4 2" xfId="7711" xr:uid="{00000000-0005-0000-0000-0000321E0000}"/>
    <cellStyle name="RowTitles1-Detail 2 3 2 2 2 5 4_Tertiary Salaries Survey" xfId="7712" xr:uid="{00000000-0005-0000-0000-0000331E0000}"/>
    <cellStyle name="RowTitles1-Detail 2 3 2 2 2 5 5" xfId="7713" xr:uid="{00000000-0005-0000-0000-0000341E0000}"/>
    <cellStyle name="RowTitles1-Detail 2 3 2 2 2 5_Tertiary Salaries Survey" xfId="7714" xr:uid="{00000000-0005-0000-0000-0000351E0000}"/>
    <cellStyle name="RowTitles1-Detail 2 3 2 2 2 6" xfId="7715" xr:uid="{00000000-0005-0000-0000-0000361E0000}"/>
    <cellStyle name="RowTitles1-Detail 2 3 2 2 2 6 2" xfId="7716" xr:uid="{00000000-0005-0000-0000-0000371E0000}"/>
    <cellStyle name="RowTitles1-Detail 2 3 2 2 2 6 2 2" xfId="7717" xr:uid="{00000000-0005-0000-0000-0000381E0000}"/>
    <cellStyle name="RowTitles1-Detail 2 3 2 2 2 6 2 2 2" xfId="7718" xr:uid="{00000000-0005-0000-0000-0000391E0000}"/>
    <cellStyle name="RowTitles1-Detail 2 3 2 2 2 6 2 2_Tertiary Salaries Survey" xfId="7719" xr:uid="{00000000-0005-0000-0000-00003A1E0000}"/>
    <cellStyle name="RowTitles1-Detail 2 3 2 2 2 6 2 3" xfId="7720" xr:uid="{00000000-0005-0000-0000-00003B1E0000}"/>
    <cellStyle name="RowTitles1-Detail 2 3 2 2 2 6 2_Tertiary Salaries Survey" xfId="7721" xr:uid="{00000000-0005-0000-0000-00003C1E0000}"/>
    <cellStyle name="RowTitles1-Detail 2 3 2 2 2 6 3" xfId="7722" xr:uid="{00000000-0005-0000-0000-00003D1E0000}"/>
    <cellStyle name="RowTitles1-Detail 2 3 2 2 2 6 3 2" xfId="7723" xr:uid="{00000000-0005-0000-0000-00003E1E0000}"/>
    <cellStyle name="RowTitles1-Detail 2 3 2 2 2 6 3 2 2" xfId="7724" xr:uid="{00000000-0005-0000-0000-00003F1E0000}"/>
    <cellStyle name="RowTitles1-Detail 2 3 2 2 2 6 3 2_Tertiary Salaries Survey" xfId="7725" xr:uid="{00000000-0005-0000-0000-0000401E0000}"/>
    <cellStyle name="RowTitles1-Detail 2 3 2 2 2 6 3 3" xfId="7726" xr:uid="{00000000-0005-0000-0000-0000411E0000}"/>
    <cellStyle name="RowTitles1-Detail 2 3 2 2 2 6 3_Tertiary Salaries Survey" xfId="7727" xr:uid="{00000000-0005-0000-0000-0000421E0000}"/>
    <cellStyle name="RowTitles1-Detail 2 3 2 2 2 6 4" xfId="7728" xr:uid="{00000000-0005-0000-0000-0000431E0000}"/>
    <cellStyle name="RowTitles1-Detail 2 3 2 2 2 6 4 2" xfId="7729" xr:uid="{00000000-0005-0000-0000-0000441E0000}"/>
    <cellStyle name="RowTitles1-Detail 2 3 2 2 2 6 4_Tertiary Salaries Survey" xfId="7730" xr:uid="{00000000-0005-0000-0000-0000451E0000}"/>
    <cellStyle name="RowTitles1-Detail 2 3 2 2 2 6 5" xfId="7731" xr:uid="{00000000-0005-0000-0000-0000461E0000}"/>
    <cellStyle name="RowTitles1-Detail 2 3 2 2 2 6_Tertiary Salaries Survey" xfId="7732" xr:uid="{00000000-0005-0000-0000-0000471E0000}"/>
    <cellStyle name="RowTitles1-Detail 2 3 2 2 2 7" xfId="7733" xr:uid="{00000000-0005-0000-0000-0000481E0000}"/>
    <cellStyle name="RowTitles1-Detail 2 3 2 2 2 7 2" xfId="7734" xr:uid="{00000000-0005-0000-0000-0000491E0000}"/>
    <cellStyle name="RowTitles1-Detail 2 3 2 2 2 7 2 2" xfId="7735" xr:uid="{00000000-0005-0000-0000-00004A1E0000}"/>
    <cellStyle name="RowTitles1-Detail 2 3 2 2 2 7 2_Tertiary Salaries Survey" xfId="7736" xr:uid="{00000000-0005-0000-0000-00004B1E0000}"/>
    <cellStyle name="RowTitles1-Detail 2 3 2 2 2 7 3" xfId="7737" xr:uid="{00000000-0005-0000-0000-00004C1E0000}"/>
    <cellStyle name="RowTitles1-Detail 2 3 2 2 2 7_Tertiary Salaries Survey" xfId="7738" xr:uid="{00000000-0005-0000-0000-00004D1E0000}"/>
    <cellStyle name="RowTitles1-Detail 2 3 2 2 2 8" xfId="7739" xr:uid="{00000000-0005-0000-0000-00004E1E0000}"/>
    <cellStyle name="RowTitles1-Detail 2 3 2 2 2 9" xfId="7740" xr:uid="{00000000-0005-0000-0000-00004F1E0000}"/>
    <cellStyle name="RowTitles1-Detail 2 3 2 2 2_STUD aligned by INSTIT" xfId="7741" xr:uid="{00000000-0005-0000-0000-0000501E0000}"/>
    <cellStyle name="RowTitles1-Detail 2 3 2 2 3" xfId="7742" xr:uid="{00000000-0005-0000-0000-0000511E0000}"/>
    <cellStyle name="RowTitles1-Detail 2 3 2 2 3 2" xfId="7743" xr:uid="{00000000-0005-0000-0000-0000521E0000}"/>
    <cellStyle name="RowTitles1-Detail 2 3 2 2 3 2 2" xfId="7744" xr:uid="{00000000-0005-0000-0000-0000531E0000}"/>
    <cellStyle name="RowTitles1-Detail 2 3 2 2 3 2 2 2" xfId="7745" xr:uid="{00000000-0005-0000-0000-0000541E0000}"/>
    <cellStyle name="RowTitles1-Detail 2 3 2 2 3 2 2 2 2" xfId="7746" xr:uid="{00000000-0005-0000-0000-0000551E0000}"/>
    <cellStyle name="RowTitles1-Detail 2 3 2 2 3 2 2 2_Tertiary Salaries Survey" xfId="7747" xr:uid="{00000000-0005-0000-0000-0000561E0000}"/>
    <cellStyle name="RowTitles1-Detail 2 3 2 2 3 2 2 3" xfId="7748" xr:uid="{00000000-0005-0000-0000-0000571E0000}"/>
    <cellStyle name="RowTitles1-Detail 2 3 2 2 3 2 2_Tertiary Salaries Survey" xfId="7749" xr:uid="{00000000-0005-0000-0000-0000581E0000}"/>
    <cellStyle name="RowTitles1-Detail 2 3 2 2 3 2 3" xfId="7750" xr:uid="{00000000-0005-0000-0000-0000591E0000}"/>
    <cellStyle name="RowTitles1-Detail 2 3 2 2 3 2 3 2" xfId="7751" xr:uid="{00000000-0005-0000-0000-00005A1E0000}"/>
    <cellStyle name="RowTitles1-Detail 2 3 2 2 3 2 3 2 2" xfId="7752" xr:uid="{00000000-0005-0000-0000-00005B1E0000}"/>
    <cellStyle name="RowTitles1-Detail 2 3 2 2 3 2 3 2_Tertiary Salaries Survey" xfId="7753" xr:uid="{00000000-0005-0000-0000-00005C1E0000}"/>
    <cellStyle name="RowTitles1-Detail 2 3 2 2 3 2 3 3" xfId="7754" xr:uid="{00000000-0005-0000-0000-00005D1E0000}"/>
    <cellStyle name="RowTitles1-Detail 2 3 2 2 3 2 3_Tertiary Salaries Survey" xfId="7755" xr:uid="{00000000-0005-0000-0000-00005E1E0000}"/>
    <cellStyle name="RowTitles1-Detail 2 3 2 2 3 2 4" xfId="7756" xr:uid="{00000000-0005-0000-0000-00005F1E0000}"/>
    <cellStyle name="RowTitles1-Detail 2 3 2 2 3 2 5" xfId="7757" xr:uid="{00000000-0005-0000-0000-0000601E0000}"/>
    <cellStyle name="RowTitles1-Detail 2 3 2 2 3 2 5 2" xfId="7758" xr:uid="{00000000-0005-0000-0000-0000611E0000}"/>
    <cellStyle name="RowTitles1-Detail 2 3 2 2 3 2 5_Tertiary Salaries Survey" xfId="7759" xr:uid="{00000000-0005-0000-0000-0000621E0000}"/>
    <cellStyle name="RowTitles1-Detail 2 3 2 2 3 2 6" xfId="7760" xr:uid="{00000000-0005-0000-0000-0000631E0000}"/>
    <cellStyle name="RowTitles1-Detail 2 3 2 2 3 2_Tertiary Salaries Survey" xfId="7761" xr:uid="{00000000-0005-0000-0000-0000641E0000}"/>
    <cellStyle name="RowTitles1-Detail 2 3 2 2 3 3" xfId="7762" xr:uid="{00000000-0005-0000-0000-0000651E0000}"/>
    <cellStyle name="RowTitles1-Detail 2 3 2 2 3 3 2" xfId="7763" xr:uid="{00000000-0005-0000-0000-0000661E0000}"/>
    <cellStyle name="RowTitles1-Detail 2 3 2 2 3 3 2 2" xfId="7764" xr:uid="{00000000-0005-0000-0000-0000671E0000}"/>
    <cellStyle name="RowTitles1-Detail 2 3 2 2 3 3 2 2 2" xfId="7765" xr:uid="{00000000-0005-0000-0000-0000681E0000}"/>
    <cellStyle name="RowTitles1-Detail 2 3 2 2 3 3 2 2_Tertiary Salaries Survey" xfId="7766" xr:uid="{00000000-0005-0000-0000-0000691E0000}"/>
    <cellStyle name="RowTitles1-Detail 2 3 2 2 3 3 2 3" xfId="7767" xr:uid="{00000000-0005-0000-0000-00006A1E0000}"/>
    <cellStyle name="RowTitles1-Detail 2 3 2 2 3 3 2_Tertiary Salaries Survey" xfId="7768" xr:uid="{00000000-0005-0000-0000-00006B1E0000}"/>
    <cellStyle name="RowTitles1-Detail 2 3 2 2 3 3 3" xfId="7769" xr:uid="{00000000-0005-0000-0000-00006C1E0000}"/>
    <cellStyle name="RowTitles1-Detail 2 3 2 2 3 3 3 2" xfId="7770" xr:uid="{00000000-0005-0000-0000-00006D1E0000}"/>
    <cellStyle name="RowTitles1-Detail 2 3 2 2 3 3 3 2 2" xfId="7771" xr:uid="{00000000-0005-0000-0000-00006E1E0000}"/>
    <cellStyle name="RowTitles1-Detail 2 3 2 2 3 3 3 2_Tertiary Salaries Survey" xfId="7772" xr:uid="{00000000-0005-0000-0000-00006F1E0000}"/>
    <cellStyle name="RowTitles1-Detail 2 3 2 2 3 3 3 3" xfId="7773" xr:uid="{00000000-0005-0000-0000-0000701E0000}"/>
    <cellStyle name="RowTitles1-Detail 2 3 2 2 3 3 3_Tertiary Salaries Survey" xfId="7774" xr:uid="{00000000-0005-0000-0000-0000711E0000}"/>
    <cellStyle name="RowTitles1-Detail 2 3 2 2 3 3 4" xfId="7775" xr:uid="{00000000-0005-0000-0000-0000721E0000}"/>
    <cellStyle name="RowTitles1-Detail 2 3 2 2 3 3 5" xfId="7776" xr:uid="{00000000-0005-0000-0000-0000731E0000}"/>
    <cellStyle name="RowTitles1-Detail 2 3 2 2 3 3_Tertiary Salaries Survey" xfId="7777" xr:uid="{00000000-0005-0000-0000-0000741E0000}"/>
    <cellStyle name="RowTitles1-Detail 2 3 2 2 3 4" xfId="7778" xr:uid="{00000000-0005-0000-0000-0000751E0000}"/>
    <cellStyle name="RowTitles1-Detail 2 3 2 2 3 4 2" xfId="7779" xr:uid="{00000000-0005-0000-0000-0000761E0000}"/>
    <cellStyle name="RowTitles1-Detail 2 3 2 2 3 4 2 2" xfId="7780" xr:uid="{00000000-0005-0000-0000-0000771E0000}"/>
    <cellStyle name="RowTitles1-Detail 2 3 2 2 3 4 2 2 2" xfId="7781" xr:uid="{00000000-0005-0000-0000-0000781E0000}"/>
    <cellStyle name="RowTitles1-Detail 2 3 2 2 3 4 2 2_Tertiary Salaries Survey" xfId="7782" xr:uid="{00000000-0005-0000-0000-0000791E0000}"/>
    <cellStyle name="RowTitles1-Detail 2 3 2 2 3 4 2 3" xfId="7783" xr:uid="{00000000-0005-0000-0000-00007A1E0000}"/>
    <cellStyle name="RowTitles1-Detail 2 3 2 2 3 4 2_Tertiary Salaries Survey" xfId="7784" xr:uid="{00000000-0005-0000-0000-00007B1E0000}"/>
    <cellStyle name="RowTitles1-Detail 2 3 2 2 3 4 3" xfId="7785" xr:uid="{00000000-0005-0000-0000-00007C1E0000}"/>
    <cellStyle name="RowTitles1-Detail 2 3 2 2 3 4 3 2" xfId="7786" xr:uid="{00000000-0005-0000-0000-00007D1E0000}"/>
    <cellStyle name="RowTitles1-Detail 2 3 2 2 3 4 3 2 2" xfId="7787" xr:uid="{00000000-0005-0000-0000-00007E1E0000}"/>
    <cellStyle name="RowTitles1-Detail 2 3 2 2 3 4 3 2_Tertiary Salaries Survey" xfId="7788" xr:uid="{00000000-0005-0000-0000-00007F1E0000}"/>
    <cellStyle name="RowTitles1-Detail 2 3 2 2 3 4 3 3" xfId="7789" xr:uid="{00000000-0005-0000-0000-0000801E0000}"/>
    <cellStyle name="RowTitles1-Detail 2 3 2 2 3 4 3_Tertiary Salaries Survey" xfId="7790" xr:uid="{00000000-0005-0000-0000-0000811E0000}"/>
    <cellStyle name="RowTitles1-Detail 2 3 2 2 3 4 4" xfId="7791" xr:uid="{00000000-0005-0000-0000-0000821E0000}"/>
    <cellStyle name="RowTitles1-Detail 2 3 2 2 3 4 4 2" xfId="7792" xr:uid="{00000000-0005-0000-0000-0000831E0000}"/>
    <cellStyle name="RowTitles1-Detail 2 3 2 2 3 4 4_Tertiary Salaries Survey" xfId="7793" xr:uid="{00000000-0005-0000-0000-0000841E0000}"/>
    <cellStyle name="RowTitles1-Detail 2 3 2 2 3 4 5" xfId="7794" xr:uid="{00000000-0005-0000-0000-0000851E0000}"/>
    <cellStyle name="RowTitles1-Detail 2 3 2 2 3 4_Tertiary Salaries Survey" xfId="7795" xr:uid="{00000000-0005-0000-0000-0000861E0000}"/>
    <cellStyle name="RowTitles1-Detail 2 3 2 2 3 5" xfId="7796" xr:uid="{00000000-0005-0000-0000-0000871E0000}"/>
    <cellStyle name="RowTitles1-Detail 2 3 2 2 3 5 2" xfId="7797" xr:uid="{00000000-0005-0000-0000-0000881E0000}"/>
    <cellStyle name="RowTitles1-Detail 2 3 2 2 3 5 2 2" xfId="7798" xr:uid="{00000000-0005-0000-0000-0000891E0000}"/>
    <cellStyle name="RowTitles1-Detail 2 3 2 2 3 5 2 2 2" xfId="7799" xr:uid="{00000000-0005-0000-0000-00008A1E0000}"/>
    <cellStyle name="RowTitles1-Detail 2 3 2 2 3 5 2 2_Tertiary Salaries Survey" xfId="7800" xr:uid="{00000000-0005-0000-0000-00008B1E0000}"/>
    <cellStyle name="RowTitles1-Detail 2 3 2 2 3 5 2 3" xfId="7801" xr:uid="{00000000-0005-0000-0000-00008C1E0000}"/>
    <cellStyle name="RowTitles1-Detail 2 3 2 2 3 5 2_Tertiary Salaries Survey" xfId="7802" xr:uid="{00000000-0005-0000-0000-00008D1E0000}"/>
    <cellStyle name="RowTitles1-Detail 2 3 2 2 3 5 3" xfId="7803" xr:uid="{00000000-0005-0000-0000-00008E1E0000}"/>
    <cellStyle name="RowTitles1-Detail 2 3 2 2 3 5 3 2" xfId="7804" xr:uid="{00000000-0005-0000-0000-00008F1E0000}"/>
    <cellStyle name="RowTitles1-Detail 2 3 2 2 3 5 3 2 2" xfId="7805" xr:uid="{00000000-0005-0000-0000-0000901E0000}"/>
    <cellStyle name="RowTitles1-Detail 2 3 2 2 3 5 3 2_Tertiary Salaries Survey" xfId="7806" xr:uid="{00000000-0005-0000-0000-0000911E0000}"/>
    <cellStyle name="RowTitles1-Detail 2 3 2 2 3 5 3 3" xfId="7807" xr:uid="{00000000-0005-0000-0000-0000921E0000}"/>
    <cellStyle name="RowTitles1-Detail 2 3 2 2 3 5 3_Tertiary Salaries Survey" xfId="7808" xr:uid="{00000000-0005-0000-0000-0000931E0000}"/>
    <cellStyle name="RowTitles1-Detail 2 3 2 2 3 5 4" xfId="7809" xr:uid="{00000000-0005-0000-0000-0000941E0000}"/>
    <cellStyle name="RowTitles1-Detail 2 3 2 2 3 5 4 2" xfId="7810" xr:uid="{00000000-0005-0000-0000-0000951E0000}"/>
    <cellStyle name="RowTitles1-Detail 2 3 2 2 3 5 4_Tertiary Salaries Survey" xfId="7811" xr:uid="{00000000-0005-0000-0000-0000961E0000}"/>
    <cellStyle name="RowTitles1-Detail 2 3 2 2 3 5 5" xfId="7812" xr:uid="{00000000-0005-0000-0000-0000971E0000}"/>
    <cellStyle name="RowTitles1-Detail 2 3 2 2 3 5_Tertiary Salaries Survey" xfId="7813" xr:uid="{00000000-0005-0000-0000-0000981E0000}"/>
    <cellStyle name="RowTitles1-Detail 2 3 2 2 3 6" xfId="7814" xr:uid="{00000000-0005-0000-0000-0000991E0000}"/>
    <cellStyle name="RowTitles1-Detail 2 3 2 2 3 6 2" xfId="7815" xr:uid="{00000000-0005-0000-0000-00009A1E0000}"/>
    <cellStyle name="RowTitles1-Detail 2 3 2 2 3 6 2 2" xfId="7816" xr:uid="{00000000-0005-0000-0000-00009B1E0000}"/>
    <cellStyle name="RowTitles1-Detail 2 3 2 2 3 6 2 2 2" xfId="7817" xr:uid="{00000000-0005-0000-0000-00009C1E0000}"/>
    <cellStyle name="RowTitles1-Detail 2 3 2 2 3 6 2 2_Tertiary Salaries Survey" xfId="7818" xr:uid="{00000000-0005-0000-0000-00009D1E0000}"/>
    <cellStyle name="RowTitles1-Detail 2 3 2 2 3 6 2 3" xfId="7819" xr:uid="{00000000-0005-0000-0000-00009E1E0000}"/>
    <cellStyle name="RowTitles1-Detail 2 3 2 2 3 6 2_Tertiary Salaries Survey" xfId="7820" xr:uid="{00000000-0005-0000-0000-00009F1E0000}"/>
    <cellStyle name="RowTitles1-Detail 2 3 2 2 3 6 3" xfId="7821" xr:uid="{00000000-0005-0000-0000-0000A01E0000}"/>
    <cellStyle name="RowTitles1-Detail 2 3 2 2 3 6 3 2" xfId="7822" xr:uid="{00000000-0005-0000-0000-0000A11E0000}"/>
    <cellStyle name="RowTitles1-Detail 2 3 2 2 3 6 3 2 2" xfId="7823" xr:uid="{00000000-0005-0000-0000-0000A21E0000}"/>
    <cellStyle name="RowTitles1-Detail 2 3 2 2 3 6 3 2_Tertiary Salaries Survey" xfId="7824" xr:uid="{00000000-0005-0000-0000-0000A31E0000}"/>
    <cellStyle name="RowTitles1-Detail 2 3 2 2 3 6 3 3" xfId="7825" xr:uid="{00000000-0005-0000-0000-0000A41E0000}"/>
    <cellStyle name="RowTitles1-Detail 2 3 2 2 3 6 3_Tertiary Salaries Survey" xfId="7826" xr:uid="{00000000-0005-0000-0000-0000A51E0000}"/>
    <cellStyle name="RowTitles1-Detail 2 3 2 2 3 6 4" xfId="7827" xr:uid="{00000000-0005-0000-0000-0000A61E0000}"/>
    <cellStyle name="RowTitles1-Detail 2 3 2 2 3 6 4 2" xfId="7828" xr:uid="{00000000-0005-0000-0000-0000A71E0000}"/>
    <cellStyle name="RowTitles1-Detail 2 3 2 2 3 6 4_Tertiary Salaries Survey" xfId="7829" xr:uid="{00000000-0005-0000-0000-0000A81E0000}"/>
    <cellStyle name="RowTitles1-Detail 2 3 2 2 3 6 5" xfId="7830" xr:uid="{00000000-0005-0000-0000-0000A91E0000}"/>
    <cellStyle name="RowTitles1-Detail 2 3 2 2 3 6_Tertiary Salaries Survey" xfId="7831" xr:uid="{00000000-0005-0000-0000-0000AA1E0000}"/>
    <cellStyle name="RowTitles1-Detail 2 3 2 2 3 7" xfId="7832" xr:uid="{00000000-0005-0000-0000-0000AB1E0000}"/>
    <cellStyle name="RowTitles1-Detail 2 3 2 2 3 7 2" xfId="7833" xr:uid="{00000000-0005-0000-0000-0000AC1E0000}"/>
    <cellStyle name="RowTitles1-Detail 2 3 2 2 3 7 2 2" xfId="7834" xr:uid="{00000000-0005-0000-0000-0000AD1E0000}"/>
    <cellStyle name="RowTitles1-Detail 2 3 2 2 3 7 2_Tertiary Salaries Survey" xfId="7835" xr:uid="{00000000-0005-0000-0000-0000AE1E0000}"/>
    <cellStyle name="RowTitles1-Detail 2 3 2 2 3 7 3" xfId="7836" xr:uid="{00000000-0005-0000-0000-0000AF1E0000}"/>
    <cellStyle name="RowTitles1-Detail 2 3 2 2 3 7_Tertiary Salaries Survey" xfId="7837" xr:uid="{00000000-0005-0000-0000-0000B01E0000}"/>
    <cellStyle name="RowTitles1-Detail 2 3 2 2 3 8" xfId="7838" xr:uid="{00000000-0005-0000-0000-0000B11E0000}"/>
    <cellStyle name="RowTitles1-Detail 2 3 2 2 3 8 2" xfId="7839" xr:uid="{00000000-0005-0000-0000-0000B21E0000}"/>
    <cellStyle name="RowTitles1-Detail 2 3 2 2 3 8 2 2" xfId="7840" xr:uid="{00000000-0005-0000-0000-0000B31E0000}"/>
    <cellStyle name="RowTitles1-Detail 2 3 2 2 3 8 2_Tertiary Salaries Survey" xfId="7841" xr:uid="{00000000-0005-0000-0000-0000B41E0000}"/>
    <cellStyle name="RowTitles1-Detail 2 3 2 2 3 8 3" xfId="7842" xr:uid="{00000000-0005-0000-0000-0000B51E0000}"/>
    <cellStyle name="RowTitles1-Detail 2 3 2 2 3 8_Tertiary Salaries Survey" xfId="7843" xr:uid="{00000000-0005-0000-0000-0000B61E0000}"/>
    <cellStyle name="RowTitles1-Detail 2 3 2 2 3 9" xfId="7844" xr:uid="{00000000-0005-0000-0000-0000B71E0000}"/>
    <cellStyle name="RowTitles1-Detail 2 3 2 2 3_STUD aligned by INSTIT" xfId="7845" xr:uid="{00000000-0005-0000-0000-0000B81E0000}"/>
    <cellStyle name="RowTitles1-Detail 2 3 2 2 4" xfId="7846" xr:uid="{00000000-0005-0000-0000-0000B91E0000}"/>
    <cellStyle name="RowTitles1-Detail 2 3 2 2 4 2" xfId="7847" xr:uid="{00000000-0005-0000-0000-0000BA1E0000}"/>
    <cellStyle name="RowTitles1-Detail 2 3 2 2 4 2 2" xfId="7848" xr:uid="{00000000-0005-0000-0000-0000BB1E0000}"/>
    <cellStyle name="RowTitles1-Detail 2 3 2 2 4 2 2 2" xfId="7849" xr:uid="{00000000-0005-0000-0000-0000BC1E0000}"/>
    <cellStyle name="RowTitles1-Detail 2 3 2 2 4 2 2 2 2" xfId="7850" xr:uid="{00000000-0005-0000-0000-0000BD1E0000}"/>
    <cellStyle name="RowTitles1-Detail 2 3 2 2 4 2 2 2_Tertiary Salaries Survey" xfId="7851" xr:uid="{00000000-0005-0000-0000-0000BE1E0000}"/>
    <cellStyle name="RowTitles1-Detail 2 3 2 2 4 2 2 3" xfId="7852" xr:uid="{00000000-0005-0000-0000-0000BF1E0000}"/>
    <cellStyle name="RowTitles1-Detail 2 3 2 2 4 2 2_Tertiary Salaries Survey" xfId="7853" xr:uid="{00000000-0005-0000-0000-0000C01E0000}"/>
    <cellStyle name="RowTitles1-Detail 2 3 2 2 4 2 3" xfId="7854" xr:uid="{00000000-0005-0000-0000-0000C11E0000}"/>
    <cellStyle name="RowTitles1-Detail 2 3 2 2 4 2 3 2" xfId="7855" xr:uid="{00000000-0005-0000-0000-0000C21E0000}"/>
    <cellStyle name="RowTitles1-Detail 2 3 2 2 4 2 3 2 2" xfId="7856" xr:uid="{00000000-0005-0000-0000-0000C31E0000}"/>
    <cellStyle name="RowTitles1-Detail 2 3 2 2 4 2 3 2_Tertiary Salaries Survey" xfId="7857" xr:uid="{00000000-0005-0000-0000-0000C41E0000}"/>
    <cellStyle name="RowTitles1-Detail 2 3 2 2 4 2 3 3" xfId="7858" xr:uid="{00000000-0005-0000-0000-0000C51E0000}"/>
    <cellStyle name="RowTitles1-Detail 2 3 2 2 4 2 3_Tertiary Salaries Survey" xfId="7859" xr:uid="{00000000-0005-0000-0000-0000C61E0000}"/>
    <cellStyle name="RowTitles1-Detail 2 3 2 2 4 2 4" xfId="7860" xr:uid="{00000000-0005-0000-0000-0000C71E0000}"/>
    <cellStyle name="RowTitles1-Detail 2 3 2 2 4 2 5" xfId="7861" xr:uid="{00000000-0005-0000-0000-0000C81E0000}"/>
    <cellStyle name="RowTitles1-Detail 2 3 2 2 4 2 5 2" xfId="7862" xr:uid="{00000000-0005-0000-0000-0000C91E0000}"/>
    <cellStyle name="RowTitles1-Detail 2 3 2 2 4 2 5_Tertiary Salaries Survey" xfId="7863" xr:uid="{00000000-0005-0000-0000-0000CA1E0000}"/>
    <cellStyle name="RowTitles1-Detail 2 3 2 2 4 2 6" xfId="7864" xr:uid="{00000000-0005-0000-0000-0000CB1E0000}"/>
    <cellStyle name="RowTitles1-Detail 2 3 2 2 4 2_Tertiary Salaries Survey" xfId="7865" xr:uid="{00000000-0005-0000-0000-0000CC1E0000}"/>
    <cellStyle name="RowTitles1-Detail 2 3 2 2 4 3" xfId="7866" xr:uid="{00000000-0005-0000-0000-0000CD1E0000}"/>
    <cellStyle name="RowTitles1-Detail 2 3 2 2 4 3 2" xfId="7867" xr:uid="{00000000-0005-0000-0000-0000CE1E0000}"/>
    <cellStyle name="RowTitles1-Detail 2 3 2 2 4 3 2 2" xfId="7868" xr:uid="{00000000-0005-0000-0000-0000CF1E0000}"/>
    <cellStyle name="RowTitles1-Detail 2 3 2 2 4 3 2 2 2" xfId="7869" xr:uid="{00000000-0005-0000-0000-0000D01E0000}"/>
    <cellStyle name="RowTitles1-Detail 2 3 2 2 4 3 2 2_Tertiary Salaries Survey" xfId="7870" xr:uid="{00000000-0005-0000-0000-0000D11E0000}"/>
    <cellStyle name="RowTitles1-Detail 2 3 2 2 4 3 2 3" xfId="7871" xr:uid="{00000000-0005-0000-0000-0000D21E0000}"/>
    <cellStyle name="RowTitles1-Detail 2 3 2 2 4 3 2_Tertiary Salaries Survey" xfId="7872" xr:uid="{00000000-0005-0000-0000-0000D31E0000}"/>
    <cellStyle name="RowTitles1-Detail 2 3 2 2 4 3 3" xfId="7873" xr:uid="{00000000-0005-0000-0000-0000D41E0000}"/>
    <cellStyle name="RowTitles1-Detail 2 3 2 2 4 3 3 2" xfId="7874" xr:uid="{00000000-0005-0000-0000-0000D51E0000}"/>
    <cellStyle name="RowTitles1-Detail 2 3 2 2 4 3 3 2 2" xfId="7875" xr:uid="{00000000-0005-0000-0000-0000D61E0000}"/>
    <cellStyle name="RowTitles1-Detail 2 3 2 2 4 3 3 2_Tertiary Salaries Survey" xfId="7876" xr:uid="{00000000-0005-0000-0000-0000D71E0000}"/>
    <cellStyle name="RowTitles1-Detail 2 3 2 2 4 3 3 3" xfId="7877" xr:uid="{00000000-0005-0000-0000-0000D81E0000}"/>
    <cellStyle name="RowTitles1-Detail 2 3 2 2 4 3 3_Tertiary Salaries Survey" xfId="7878" xr:uid="{00000000-0005-0000-0000-0000D91E0000}"/>
    <cellStyle name="RowTitles1-Detail 2 3 2 2 4 3 4" xfId="7879" xr:uid="{00000000-0005-0000-0000-0000DA1E0000}"/>
    <cellStyle name="RowTitles1-Detail 2 3 2 2 4 3 5" xfId="7880" xr:uid="{00000000-0005-0000-0000-0000DB1E0000}"/>
    <cellStyle name="RowTitles1-Detail 2 3 2 2 4 3_Tertiary Salaries Survey" xfId="7881" xr:uid="{00000000-0005-0000-0000-0000DC1E0000}"/>
    <cellStyle name="RowTitles1-Detail 2 3 2 2 4 4" xfId="7882" xr:uid="{00000000-0005-0000-0000-0000DD1E0000}"/>
    <cellStyle name="RowTitles1-Detail 2 3 2 2 4 4 2" xfId="7883" xr:uid="{00000000-0005-0000-0000-0000DE1E0000}"/>
    <cellStyle name="RowTitles1-Detail 2 3 2 2 4 4 2 2" xfId="7884" xr:uid="{00000000-0005-0000-0000-0000DF1E0000}"/>
    <cellStyle name="RowTitles1-Detail 2 3 2 2 4 4 2 2 2" xfId="7885" xr:uid="{00000000-0005-0000-0000-0000E01E0000}"/>
    <cellStyle name="RowTitles1-Detail 2 3 2 2 4 4 2 2_Tertiary Salaries Survey" xfId="7886" xr:uid="{00000000-0005-0000-0000-0000E11E0000}"/>
    <cellStyle name="RowTitles1-Detail 2 3 2 2 4 4 2 3" xfId="7887" xr:uid="{00000000-0005-0000-0000-0000E21E0000}"/>
    <cellStyle name="RowTitles1-Detail 2 3 2 2 4 4 2_Tertiary Salaries Survey" xfId="7888" xr:uid="{00000000-0005-0000-0000-0000E31E0000}"/>
    <cellStyle name="RowTitles1-Detail 2 3 2 2 4 4 3" xfId="7889" xr:uid="{00000000-0005-0000-0000-0000E41E0000}"/>
    <cellStyle name="RowTitles1-Detail 2 3 2 2 4 4 3 2" xfId="7890" xr:uid="{00000000-0005-0000-0000-0000E51E0000}"/>
    <cellStyle name="RowTitles1-Detail 2 3 2 2 4 4 3 2 2" xfId="7891" xr:uid="{00000000-0005-0000-0000-0000E61E0000}"/>
    <cellStyle name="RowTitles1-Detail 2 3 2 2 4 4 3 2_Tertiary Salaries Survey" xfId="7892" xr:uid="{00000000-0005-0000-0000-0000E71E0000}"/>
    <cellStyle name="RowTitles1-Detail 2 3 2 2 4 4 3 3" xfId="7893" xr:uid="{00000000-0005-0000-0000-0000E81E0000}"/>
    <cellStyle name="RowTitles1-Detail 2 3 2 2 4 4 3_Tertiary Salaries Survey" xfId="7894" xr:uid="{00000000-0005-0000-0000-0000E91E0000}"/>
    <cellStyle name="RowTitles1-Detail 2 3 2 2 4 4 4" xfId="7895" xr:uid="{00000000-0005-0000-0000-0000EA1E0000}"/>
    <cellStyle name="RowTitles1-Detail 2 3 2 2 4 4 5" xfId="7896" xr:uid="{00000000-0005-0000-0000-0000EB1E0000}"/>
    <cellStyle name="RowTitles1-Detail 2 3 2 2 4 4 5 2" xfId="7897" xr:uid="{00000000-0005-0000-0000-0000EC1E0000}"/>
    <cellStyle name="RowTitles1-Detail 2 3 2 2 4 4 5_Tertiary Salaries Survey" xfId="7898" xr:uid="{00000000-0005-0000-0000-0000ED1E0000}"/>
    <cellStyle name="RowTitles1-Detail 2 3 2 2 4 4 6" xfId="7899" xr:uid="{00000000-0005-0000-0000-0000EE1E0000}"/>
    <cellStyle name="RowTitles1-Detail 2 3 2 2 4 4_Tertiary Salaries Survey" xfId="7900" xr:uid="{00000000-0005-0000-0000-0000EF1E0000}"/>
    <cellStyle name="RowTitles1-Detail 2 3 2 2 4 5" xfId="7901" xr:uid="{00000000-0005-0000-0000-0000F01E0000}"/>
    <cellStyle name="RowTitles1-Detail 2 3 2 2 4 5 2" xfId="7902" xr:uid="{00000000-0005-0000-0000-0000F11E0000}"/>
    <cellStyle name="RowTitles1-Detail 2 3 2 2 4 5 2 2" xfId="7903" xr:uid="{00000000-0005-0000-0000-0000F21E0000}"/>
    <cellStyle name="RowTitles1-Detail 2 3 2 2 4 5 2 2 2" xfId="7904" xr:uid="{00000000-0005-0000-0000-0000F31E0000}"/>
    <cellStyle name="RowTitles1-Detail 2 3 2 2 4 5 2 2_Tertiary Salaries Survey" xfId="7905" xr:uid="{00000000-0005-0000-0000-0000F41E0000}"/>
    <cellStyle name="RowTitles1-Detail 2 3 2 2 4 5 2 3" xfId="7906" xr:uid="{00000000-0005-0000-0000-0000F51E0000}"/>
    <cellStyle name="RowTitles1-Detail 2 3 2 2 4 5 2_Tertiary Salaries Survey" xfId="7907" xr:uid="{00000000-0005-0000-0000-0000F61E0000}"/>
    <cellStyle name="RowTitles1-Detail 2 3 2 2 4 5 3" xfId="7908" xr:uid="{00000000-0005-0000-0000-0000F71E0000}"/>
    <cellStyle name="RowTitles1-Detail 2 3 2 2 4 5 3 2" xfId="7909" xr:uid="{00000000-0005-0000-0000-0000F81E0000}"/>
    <cellStyle name="RowTitles1-Detail 2 3 2 2 4 5 3 2 2" xfId="7910" xr:uid="{00000000-0005-0000-0000-0000F91E0000}"/>
    <cellStyle name="RowTitles1-Detail 2 3 2 2 4 5 3 2_Tertiary Salaries Survey" xfId="7911" xr:uid="{00000000-0005-0000-0000-0000FA1E0000}"/>
    <cellStyle name="RowTitles1-Detail 2 3 2 2 4 5 3 3" xfId="7912" xr:uid="{00000000-0005-0000-0000-0000FB1E0000}"/>
    <cellStyle name="RowTitles1-Detail 2 3 2 2 4 5 3_Tertiary Salaries Survey" xfId="7913" xr:uid="{00000000-0005-0000-0000-0000FC1E0000}"/>
    <cellStyle name="RowTitles1-Detail 2 3 2 2 4 5 4" xfId="7914" xr:uid="{00000000-0005-0000-0000-0000FD1E0000}"/>
    <cellStyle name="RowTitles1-Detail 2 3 2 2 4 5 4 2" xfId="7915" xr:uid="{00000000-0005-0000-0000-0000FE1E0000}"/>
    <cellStyle name="RowTitles1-Detail 2 3 2 2 4 5 4_Tertiary Salaries Survey" xfId="7916" xr:uid="{00000000-0005-0000-0000-0000FF1E0000}"/>
    <cellStyle name="RowTitles1-Detail 2 3 2 2 4 5 5" xfId="7917" xr:uid="{00000000-0005-0000-0000-0000001F0000}"/>
    <cellStyle name="RowTitles1-Detail 2 3 2 2 4 5_Tertiary Salaries Survey" xfId="7918" xr:uid="{00000000-0005-0000-0000-0000011F0000}"/>
    <cellStyle name="RowTitles1-Detail 2 3 2 2 4 6" xfId="7919" xr:uid="{00000000-0005-0000-0000-0000021F0000}"/>
    <cellStyle name="RowTitles1-Detail 2 3 2 2 4 6 2" xfId="7920" xr:uid="{00000000-0005-0000-0000-0000031F0000}"/>
    <cellStyle name="RowTitles1-Detail 2 3 2 2 4 6 2 2" xfId="7921" xr:uid="{00000000-0005-0000-0000-0000041F0000}"/>
    <cellStyle name="RowTitles1-Detail 2 3 2 2 4 6 2 2 2" xfId="7922" xr:uid="{00000000-0005-0000-0000-0000051F0000}"/>
    <cellStyle name="RowTitles1-Detail 2 3 2 2 4 6 2 2_Tertiary Salaries Survey" xfId="7923" xr:uid="{00000000-0005-0000-0000-0000061F0000}"/>
    <cellStyle name="RowTitles1-Detail 2 3 2 2 4 6 2 3" xfId="7924" xr:uid="{00000000-0005-0000-0000-0000071F0000}"/>
    <cellStyle name="RowTitles1-Detail 2 3 2 2 4 6 2_Tertiary Salaries Survey" xfId="7925" xr:uid="{00000000-0005-0000-0000-0000081F0000}"/>
    <cellStyle name="RowTitles1-Detail 2 3 2 2 4 6 3" xfId="7926" xr:uid="{00000000-0005-0000-0000-0000091F0000}"/>
    <cellStyle name="RowTitles1-Detail 2 3 2 2 4 6 3 2" xfId="7927" xr:uid="{00000000-0005-0000-0000-00000A1F0000}"/>
    <cellStyle name="RowTitles1-Detail 2 3 2 2 4 6 3 2 2" xfId="7928" xr:uid="{00000000-0005-0000-0000-00000B1F0000}"/>
    <cellStyle name="RowTitles1-Detail 2 3 2 2 4 6 3 2_Tertiary Salaries Survey" xfId="7929" xr:uid="{00000000-0005-0000-0000-00000C1F0000}"/>
    <cellStyle name="RowTitles1-Detail 2 3 2 2 4 6 3 3" xfId="7930" xr:uid="{00000000-0005-0000-0000-00000D1F0000}"/>
    <cellStyle name="RowTitles1-Detail 2 3 2 2 4 6 3_Tertiary Salaries Survey" xfId="7931" xr:uid="{00000000-0005-0000-0000-00000E1F0000}"/>
    <cellStyle name="RowTitles1-Detail 2 3 2 2 4 6 4" xfId="7932" xr:uid="{00000000-0005-0000-0000-00000F1F0000}"/>
    <cellStyle name="RowTitles1-Detail 2 3 2 2 4 6 4 2" xfId="7933" xr:uid="{00000000-0005-0000-0000-0000101F0000}"/>
    <cellStyle name="RowTitles1-Detail 2 3 2 2 4 6 4_Tertiary Salaries Survey" xfId="7934" xr:uid="{00000000-0005-0000-0000-0000111F0000}"/>
    <cellStyle name="RowTitles1-Detail 2 3 2 2 4 6 5" xfId="7935" xr:uid="{00000000-0005-0000-0000-0000121F0000}"/>
    <cellStyle name="RowTitles1-Detail 2 3 2 2 4 6_Tertiary Salaries Survey" xfId="7936" xr:uid="{00000000-0005-0000-0000-0000131F0000}"/>
    <cellStyle name="RowTitles1-Detail 2 3 2 2 4 7" xfId="7937" xr:uid="{00000000-0005-0000-0000-0000141F0000}"/>
    <cellStyle name="RowTitles1-Detail 2 3 2 2 4 7 2" xfId="7938" xr:uid="{00000000-0005-0000-0000-0000151F0000}"/>
    <cellStyle name="RowTitles1-Detail 2 3 2 2 4 7 2 2" xfId="7939" xr:uid="{00000000-0005-0000-0000-0000161F0000}"/>
    <cellStyle name="RowTitles1-Detail 2 3 2 2 4 7 2_Tertiary Salaries Survey" xfId="7940" xr:uid="{00000000-0005-0000-0000-0000171F0000}"/>
    <cellStyle name="RowTitles1-Detail 2 3 2 2 4 7 3" xfId="7941" xr:uid="{00000000-0005-0000-0000-0000181F0000}"/>
    <cellStyle name="RowTitles1-Detail 2 3 2 2 4 7_Tertiary Salaries Survey" xfId="7942" xr:uid="{00000000-0005-0000-0000-0000191F0000}"/>
    <cellStyle name="RowTitles1-Detail 2 3 2 2 4 8" xfId="7943" xr:uid="{00000000-0005-0000-0000-00001A1F0000}"/>
    <cellStyle name="RowTitles1-Detail 2 3 2 2 4 9" xfId="7944" xr:uid="{00000000-0005-0000-0000-00001B1F0000}"/>
    <cellStyle name="RowTitles1-Detail 2 3 2 2 4_STUD aligned by INSTIT" xfId="7945" xr:uid="{00000000-0005-0000-0000-00001C1F0000}"/>
    <cellStyle name="RowTitles1-Detail 2 3 2 2 5" xfId="7946" xr:uid="{00000000-0005-0000-0000-00001D1F0000}"/>
    <cellStyle name="RowTitles1-Detail 2 3 2 2 5 2" xfId="7947" xr:uid="{00000000-0005-0000-0000-00001E1F0000}"/>
    <cellStyle name="RowTitles1-Detail 2 3 2 2 5 2 2" xfId="7948" xr:uid="{00000000-0005-0000-0000-00001F1F0000}"/>
    <cellStyle name="RowTitles1-Detail 2 3 2 2 5 2 2 2" xfId="7949" xr:uid="{00000000-0005-0000-0000-0000201F0000}"/>
    <cellStyle name="RowTitles1-Detail 2 3 2 2 5 2 2_Tertiary Salaries Survey" xfId="7950" xr:uid="{00000000-0005-0000-0000-0000211F0000}"/>
    <cellStyle name="RowTitles1-Detail 2 3 2 2 5 2 3" xfId="7951" xr:uid="{00000000-0005-0000-0000-0000221F0000}"/>
    <cellStyle name="RowTitles1-Detail 2 3 2 2 5 2_Tertiary Salaries Survey" xfId="7952" xr:uid="{00000000-0005-0000-0000-0000231F0000}"/>
    <cellStyle name="RowTitles1-Detail 2 3 2 2 5 3" xfId="7953" xr:uid="{00000000-0005-0000-0000-0000241F0000}"/>
    <cellStyle name="RowTitles1-Detail 2 3 2 2 5 3 2" xfId="7954" xr:uid="{00000000-0005-0000-0000-0000251F0000}"/>
    <cellStyle name="RowTitles1-Detail 2 3 2 2 5 3 2 2" xfId="7955" xr:uid="{00000000-0005-0000-0000-0000261F0000}"/>
    <cellStyle name="RowTitles1-Detail 2 3 2 2 5 3 2_Tertiary Salaries Survey" xfId="7956" xr:uid="{00000000-0005-0000-0000-0000271F0000}"/>
    <cellStyle name="RowTitles1-Detail 2 3 2 2 5 3 3" xfId="7957" xr:uid="{00000000-0005-0000-0000-0000281F0000}"/>
    <cellStyle name="RowTitles1-Detail 2 3 2 2 5 3_Tertiary Salaries Survey" xfId="7958" xr:uid="{00000000-0005-0000-0000-0000291F0000}"/>
    <cellStyle name="RowTitles1-Detail 2 3 2 2 5 4" xfId="7959" xr:uid="{00000000-0005-0000-0000-00002A1F0000}"/>
    <cellStyle name="RowTitles1-Detail 2 3 2 2 5 5" xfId="7960" xr:uid="{00000000-0005-0000-0000-00002B1F0000}"/>
    <cellStyle name="RowTitles1-Detail 2 3 2 2 5 5 2" xfId="7961" xr:uid="{00000000-0005-0000-0000-00002C1F0000}"/>
    <cellStyle name="RowTitles1-Detail 2 3 2 2 5 5_Tertiary Salaries Survey" xfId="7962" xr:uid="{00000000-0005-0000-0000-00002D1F0000}"/>
    <cellStyle name="RowTitles1-Detail 2 3 2 2 5 6" xfId="7963" xr:uid="{00000000-0005-0000-0000-00002E1F0000}"/>
    <cellStyle name="RowTitles1-Detail 2 3 2 2 5_Tertiary Salaries Survey" xfId="7964" xr:uid="{00000000-0005-0000-0000-00002F1F0000}"/>
    <cellStyle name="RowTitles1-Detail 2 3 2 2 6" xfId="7965" xr:uid="{00000000-0005-0000-0000-0000301F0000}"/>
    <cellStyle name="RowTitles1-Detail 2 3 2 2 6 2" xfId="7966" xr:uid="{00000000-0005-0000-0000-0000311F0000}"/>
    <cellStyle name="RowTitles1-Detail 2 3 2 2 6 2 2" xfId="7967" xr:uid="{00000000-0005-0000-0000-0000321F0000}"/>
    <cellStyle name="RowTitles1-Detail 2 3 2 2 6 2 2 2" xfId="7968" xr:uid="{00000000-0005-0000-0000-0000331F0000}"/>
    <cellStyle name="RowTitles1-Detail 2 3 2 2 6 2 2_Tertiary Salaries Survey" xfId="7969" xr:uid="{00000000-0005-0000-0000-0000341F0000}"/>
    <cellStyle name="RowTitles1-Detail 2 3 2 2 6 2 3" xfId="7970" xr:uid="{00000000-0005-0000-0000-0000351F0000}"/>
    <cellStyle name="RowTitles1-Detail 2 3 2 2 6 2_Tertiary Salaries Survey" xfId="7971" xr:uid="{00000000-0005-0000-0000-0000361F0000}"/>
    <cellStyle name="RowTitles1-Detail 2 3 2 2 6 3" xfId="7972" xr:uid="{00000000-0005-0000-0000-0000371F0000}"/>
    <cellStyle name="RowTitles1-Detail 2 3 2 2 6 3 2" xfId="7973" xr:uid="{00000000-0005-0000-0000-0000381F0000}"/>
    <cellStyle name="RowTitles1-Detail 2 3 2 2 6 3 2 2" xfId="7974" xr:uid="{00000000-0005-0000-0000-0000391F0000}"/>
    <cellStyle name="RowTitles1-Detail 2 3 2 2 6 3 2_Tertiary Salaries Survey" xfId="7975" xr:uid="{00000000-0005-0000-0000-00003A1F0000}"/>
    <cellStyle name="RowTitles1-Detail 2 3 2 2 6 3 3" xfId="7976" xr:uid="{00000000-0005-0000-0000-00003B1F0000}"/>
    <cellStyle name="RowTitles1-Detail 2 3 2 2 6 3_Tertiary Salaries Survey" xfId="7977" xr:uid="{00000000-0005-0000-0000-00003C1F0000}"/>
    <cellStyle name="RowTitles1-Detail 2 3 2 2 6 4" xfId="7978" xr:uid="{00000000-0005-0000-0000-00003D1F0000}"/>
    <cellStyle name="RowTitles1-Detail 2 3 2 2 6 5" xfId="7979" xr:uid="{00000000-0005-0000-0000-00003E1F0000}"/>
    <cellStyle name="RowTitles1-Detail 2 3 2 2 6_Tertiary Salaries Survey" xfId="7980" xr:uid="{00000000-0005-0000-0000-00003F1F0000}"/>
    <cellStyle name="RowTitles1-Detail 2 3 2 2 7" xfId="7981" xr:uid="{00000000-0005-0000-0000-0000401F0000}"/>
    <cellStyle name="RowTitles1-Detail 2 3 2 2 7 2" xfId="7982" xr:uid="{00000000-0005-0000-0000-0000411F0000}"/>
    <cellStyle name="RowTitles1-Detail 2 3 2 2 7 2 2" xfId="7983" xr:uid="{00000000-0005-0000-0000-0000421F0000}"/>
    <cellStyle name="RowTitles1-Detail 2 3 2 2 7 2 2 2" xfId="7984" xr:uid="{00000000-0005-0000-0000-0000431F0000}"/>
    <cellStyle name="RowTitles1-Detail 2 3 2 2 7 2 2_Tertiary Salaries Survey" xfId="7985" xr:uid="{00000000-0005-0000-0000-0000441F0000}"/>
    <cellStyle name="RowTitles1-Detail 2 3 2 2 7 2 3" xfId="7986" xr:uid="{00000000-0005-0000-0000-0000451F0000}"/>
    <cellStyle name="RowTitles1-Detail 2 3 2 2 7 2_Tertiary Salaries Survey" xfId="7987" xr:uid="{00000000-0005-0000-0000-0000461F0000}"/>
    <cellStyle name="RowTitles1-Detail 2 3 2 2 7 3" xfId="7988" xr:uid="{00000000-0005-0000-0000-0000471F0000}"/>
    <cellStyle name="RowTitles1-Detail 2 3 2 2 7 3 2" xfId="7989" xr:uid="{00000000-0005-0000-0000-0000481F0000}"/>
    <cellStyle name="RowTitles1-Detail 2 3 2 2 7 3 2 2" xfId="7990" xr:uid="{00000000-0005-0000-0000-0000491F0000}"/>
    <cellStyle name="RowTitles1-Detail 2 3 2 2 7 3 2_Tertiary Salaries Survey" xfId="7991" xr:uid="{00000000-0005-0000-0000-00004A1F0000}"/>
    <cellStyle name="RowTitles1-Detail 2 3 2 2 7 3 3" xfId="7992" xr:uid="{00000000-0005-0000-0000-00004B1F0000}"/>
    <cellStyle name="RowTitles1-Detail 2 3 2 2 7 3_Tertiary Salaries Survey" xfId="7993" xr:uid="{00000000-0005-0000-0000-00004C1F0000}"/>
    <cellStyle name="RowTitles1-Detail 2 3 2 2 7 4" xfId="7994" xr:uid="{00000000-0005-0000-0000-00004D1F0000}"/>
    <cellStyle name="RowTitles1-Detail 2 3 2 2 7 5" xfId="7995" xr:uid="{00000000-0005-0000-0000-00004E1F0000}"/>
    <cellStyle name="RowTitles1-Detail 2 3 2 2 7 5 2" xfId="7996" xr:uid="{00000000-0005-0000-0000-00004F1F0000}"/>
    <cellStyle name="RowTitles1-Detail 2 3 2 2 7 5_Tertiary Salaries Survey" xfId="7997" xr:uid="{00000000-0005-0000-0000-0000501F0000}"/>
    <cellStyle name="RowTitles1-Detail 2 3 2 2 7 6" xfId="7998" xr:uid="{00000000-0005-0000-0000-0000511F0000}"/>
    <cellStyle name="RowTitles1-Detail 2 3 2 2 7_Tertiary Salaries Survey" xfId="7999" xr:uid="{00000000-0005-0000-0000-0000521F0000}"/>
    <cellStyle name="RowTitles1-Detail 2 3 2 2 8" xfId="8000" xr:uid="{00000000-0005-0000-0000-0000531F0000}"/>
    <cellStyle name="RowTitles1-Detail 2 3 2 2 8 2" xfId="8001" xr:uid="{00000000-0005-0000-0000-0000541F0000}"/>
    <cellStyle name="RowTitles1-Detail 2 3 2 2 8 2 2" xfId="8002" xr:uid="{00000000-0005-0000-0000-0000551F0000}"/>
    <cellStyle name="RowTitles1-Detail 2 3 2 2 8 2 2 2" xfId="8003" xr:uid="{00000000-0005-0000-0000-0000561F0000}"/>
    <cellStyle name="RowTitles1-Detail 2 3 2 2 8 2 2_Tertiary Salaries Survey" xfId="8004" xr:uid="{00000000-0005-0000-0000-0000571F0000}"/>
    <cellStyle name="RowTitles1-Detail 2 3 2 2 8 2 3" xfId="8005" xr:uid="{00000000-0005-0000-0000-0000581F0000}"/>
    <cellStyle name="RowTitles1-Detail 2 3 2 2 8 2_Tertiary Salaries Survey" xfId="8006" xr:uid="{00000000-0005-0000-0000-0000591F0000}"/>
    <cellStyle name="RowTitles1-Detail 2 3 2 2 8 3" xfId="8007" xr:uid="{00000000-0005-0000-0000-00005A1F0000}"/>
    <cellStyle name="RowTitles1-Detail 2 3 2 2 8 3 2" xfId="8008" xr:uid="{00000000-0005-0000-0000-00005B1F0000}"/>
    <cellStyle name="RowTitles1-Detail 2 3 2 2 8 3 2 2" xfId="8009" xr:uid="{00000000-0005-0000-0000-00005C1F0000}"/>
    <cellStyle name="RowTitles1-Detail 2 3 2 2 8 3 2_Tertiary Salaries Survey" xfId="8010" xr:uid="{00000000-0005-0000-0000-00005D1F0000}"/>
    <cellStyle name="RowTitles1-Detail 2 3 2 2 8 3 3" xfId="8011" xr:uid="{00000000-0005-0000-0000-00005E1F0000}"/>
    <cellStyle name="RowTitles1-Detail 2 3 2 2 8 3_Tertiary Salaries Survey" xfId="8012" xr:uid="{00000000-0005-0000-0000-00005F1F0000}"/>
    <cellStyle name="RowTitles1-Detail 2 3 2 2 8 4" xfId="8013" xr:uid="{00000000-0005-0000-0000-0000601F0000}"/>
    <cellStyle name="RowTitles1-Detail 2 3 2 2 8 4 2" xfId="8014" xr:uid="{00000000-0005-0000-0000-0000611F0000}"/>
    <cellStyle name="RowTitles1-Detail 2 3 2 2 8 4_Tertiary Salaries Survey" xfId="8015" xr:uid="{00000000-0005-0000-0000-0000621F0000}"/>
    <cellStyle name="RowTitles1-Detail 2 3 2 2 8 5" xfId="8016" xr:uid="{00000000-0005-0000-0000-0000631F0000}"/>
    <cellStyle name="RowTitles1-Detail 2 3 2 2 8_Tertiary Salaries Survey" xfId="8017" xr:uid="{00000000-0005-0000-0000-0000641F0000}"/>
    <cellStyle name="RowTitles1-Detail 2 3 2 2 9" xfId="8018" xr:uid="{00000000-0005-0000-0000-0000651F0000}"/>
    <cellStyle name="RowTitles1-Detail 2 3 2 2 9 2" xfId="8019" xr:uid="{00000000-0005-0000-0000-0000661F0000}"/>
    <cellStyle name="RowTitles1-Detail 2 3 2 2 9 2 2" xfId="8020" xr:uid="{00000000-0005-0000-0000-0000671F0000}"/>
    <cellStyle name="RowTitles1-Detail 2 3 2 2 9 2 2 2" xfId="8021" xr:uid="{00000000-0005-0000-0000-0000681F0000}"/>
    <cellStyle name="RowTitles1-Detail 2 3 2 2 9 2 2_Tertiary Salaries Survey" xfId="8022" xr:uid="{00000000-0005-0000-0000-0000691F0000}"/>
    <cellStyle name="RowTitles1-Detail 2 3 2 2 9 2 3" xfId="8023" xr:uid="{00000000-0005-0000-0000-00006A1F0000}"/>
    <cellStyle name="RowTitles1-Detail 2 3 2 2 9 2_Tertiary Salaries Survey" xfId="8024" xr:uid="{00000000-0005-0000-0000-00006B1F0000}"/>
    <cellStyle name="RowTitles1-Detail 2 3 2 2 9 3" xfId="8025" xr:uid="{00000000-0005-0000-0000-00006C1F0000}"/>
    <cellStyle name="RowTitles1-Detail 2 3 2 2 9 3 2" xfId="8026" xr:uid="{00000000-0005-0000-0000-00006D1F0000}"/>
    <cellStyle name="RowTitles1-Detail 2 3 2 2 9 3 2 2" xfId="8027" xr:uid="{00000000-0005-0000-0000-00006E1F0000}"/>
    <cellStyle name="RowTitles1-Detail 2 3 2 2 9 3 2_Tertiary Salaries Survey" xfId="8028" xr:uid="{00000000-0005-0000-0000-00006F1F0000}"/>
    <cellStyle name="RowTitles1-Detail 2 3 2 2 9 3 3" xfId="8029" xr:uid="{00000000-0005-0000-0000-0000701F0000}"/>
    <cellStyle name="RowTitles1-Detail 2 3 2 2 9 3_Tertiary Salaries Survey" xfId="8030" xr:uid="{00000000-0005-0000-0000-0000711F0000}"/>
    <cellStyle name="RowTitles1-Detail 2 3 2 2 9 4" xfId="8031" xr:uid="{00000000-0005-0000-0000-0000721F0000}"/>
    <cellStyle name="RowTitles1-Detail 2 3 2 2 9 4 2" xfId="8032" xr:uid="{00000000-0005-0000-0000-0000731F0000}"/>
    <cellStyle name="RowTitles1-Detail 2 3 2 2 9 4_Tertiary Salaries Survey" xfId="8033" xr:uid="{00000000-0005-0000-0000-0000741F0000}"/>
    <cellStyle name="RowTitles1-Detail 2 3 2 2 9 5" xfId="8034" xr:uid="{00000000-0005-0000-0000-0000751F0000}"/>
    <cellStyle name="RowTitles1-Detail 2 3 2 2 9_Tertiary Salaries Survey" xfId="8035" xr:uid="{00000000-0005-0000-0000-0000761F0000}"/>
    <cellStyle name="RowTitles1-Detail 2 3 2 2_STUD aligned by INSTIT" xfId="8036" xr:uid="{00000000-0005-0000-0000-0000771F0000}"/>
    <cellStyle name="RowTitles1-Detail 2 3 2 3" xfId="8037" xr:uid="{00000000-0005-0000-0000-0000781F0000}"/>
    <cellStyle name="RowTitles1-Detail 2 3 2 3 2" xfId="8038" xr:uid="{00000000-0005-0000-0000-0000791F0000}"/>
    <cellStyle name="RowTitles1-Detail 2 3 2 3 2 2" xfId="8039" xr:uid="{00000000-0005-0000-0000-00007A1F0000}"/>
    <cellStyle name="RowTitles1-Detail 2 3 2 3 2 2 2" xfId="8040" xr:uid="{00000000-0005-0000-0000-00007B1F0000}"/>
    <cellStyle name="RowTitles1-Detail 2 3 2 3 2 2 2 2" xfId="8041" xr:uid="{00000000-0005-0000-0000-00007C1F0000}"/>
    <cellStyle name="RowTitles1-Detail 2 3 2 3 2 2 2_Tertiary Salaries Survey" xfId="8042" xr:uid="{00000000-0005-0000-0000-00007D1F0000}"/>
    <cellStyle name="RowTitles1-Detail 2 3 2 3 2 2 3" xfId="8043" xr:uid="{00000000-0005-0000-0000-00007E1F0000}"/>
    <cellStyle name="RowTitles1-Detail 2 3 2 3 2 2_Tertiary Salaries Survey" xfId="8044" xr:uid="{00000000-0005-0000-0000-00007F1F0000}"/>
    <cellStyle name="RowTitles1-Detail 2 3 2 3 2 3" xfId="8045" xr:uid="{00000000-0005-0000-0000-0000801F0000}"/>
    <cellStyle name="RowTitles1-Detail 2 3 2 3 2 3 2" xfId="8046" xr:uid="{00000000-0005-0000-0000-0000811F0000}"/>
    <cellStyle name="RowTitles1-Detail 2 3 2 3 2 3 2 2" xfId="8047" xr:uid="{00000000-0005-0000-0000-0000821F0000}"/>
    <cellStyle name="RowTitles1-Detail 2 3 2 3 2 3 2_Tertiary Salaries Survey" xfId="8048" xr:uid="{00000000-0005-0000-0000-0000831F0000}"/>
    <cellStyle name="RowTitles1-Detail 2 3 2 3 2 3 3" xfId="8049" xr:uid="{00000000-0005-0000-0000-0000841F0000}"/>
    <cellStyle name="RowTitles1-Detail 2 3 2 3 2 3_Tertiary Salaries Survey" xfId="8050" xr:uid="{00000000-0005-0000-0000-0000851F0000}"/>
    <cellStyle name="RowTitles1-Detail 2 3 2 3 2 4" xfId="8051" xr:uid="{00000000-0005-0000-0000-0000861F0000}"/>
    <cellStyle name="RowTitles1-Detail 2 3 2 3 2 5" xfId="8052" xr:uid="{00000000-0005-0000-0000-0000871F0000}"/>
    <cellStyle name="RowTitles1-Detail 2 3 2 3 2_Tertiary Salaries Survey" xfId="8053" xr:uid="{00000000-0005-0000-0000-0000881F0000}"/>
    <cellStyle name="RowTitles1-Detail 2 3 2 3 3" xfId="8054" xr:uid="{00000000-0005-0000-0000-0000891F0000}"/>
    <cellStyle name="RowTitles1-Detail 2 3 2 3 3 2" xfId="8055" xr:uid="{00000000-0005-0000-0000-00008A1F0000}"/>
    <cellStyle name="RowTitles1-Detail 2 3 2 3 3 2 2" xfId="8056" xr:uid="{00000000-0005-0000-0000-00008B1F0000}"/>
    <cellStyle name="RowTitles1-Detail 2 3 2 3 3 2 2 2" xfId="8057" xr:uid="{00000000-0005-0000-0000-00008C1F0000}"/>
    <cellStyle name="RowTitles1-Detail 2 3 2 3 3 2 2_Tertiary Salaries Survey" xfId="8058" xr:uid="{00000000-0005-0000-0000-00008D1F0000}"/>
    <cellStyle name="RowTitles1-Detail 2 3 2 3 3 2 3" xfId="8059" xr:uid="{00000000-0005-0000-0000-00008E1F0000}"/>
    <cellStyle name="RowTitles1-Detail 2 3 2 3 3 2_Tertiary Salaries Survey" xfId="8060" xr:uid="{00000000-0005-0000-0000-00008F1F0000}"/>
    <cellStyle name="RowTitles1-Detail 2 3 2 3 3 3" xfId="8061" xr:uid="{00000000-0005-0000-0000-0000901F0000}"/>
    <cellStyle name="RowTitles1-Detail 2 3 2 3 3 3 2" xfId="8062" xr:uid="{00000000-0005-0000-0000-0000911F0000}"/>
    <cellStyle name="RowTitles1-Detail 2 3 2 3 3 3 2 2" xfId="8063" xr:uid="{00000000-0005-0000-0000-0000921F0000}"/>
    <cellStyle name="RowTitles1-Detail 2 3 2 3 3 3 2_Tertiary Salaries Survey" xfId="8064" xr:uid="{00000000-0005-0000-0000-0000931F0000}"/>
    <cellStyle name="RowTitles1-Detail 2 3 2 3 3 3 3" xfId="8065" xr:uid="{00000000-0005-0000-0000-0000941F0000}"/>
    <cellStyle name="RowTitles1-Detail 2 3 2 3 3 3_Tertiary Salaries Survey" xfId="8066" xr:uid="{00000000-0005-0000-0000-0000951F0000}"/>
    <cellStyle name="RowTitles1-Detail 2 3 2 3 3 4" xfId="8067" xr:uid="{00000000-0005-0000-0000-0000961F0000}"/>
    <cellStyle name="RowTitles1-Detail 2 3 2 3 3 5" xfId="8068" xr:uid="{00000000-0005-0000-0000-0000971F0000}"/>
    <cellStyle name="RowTitles1-Detail 2 3 2 3 3 5 2" xfId="8069" xr:uid="{00000000-0005-0000-0000-0000981F0000}"/>
    <cellStyle name="RowTitles1-Detail 2 3 2 3 3 5_Tertiary Salaries Survey" xfId="8070" xr:uid="{00000000-0005-0000-0000-0000991F0000}"/>
    <cellStyle name="RowTitles1-Detail 2 3 2 3 3 6" xfId="8071" xr:uid="{00000000-0005-0000-0000-00009A1F0000}"/>
    <cellStyle name="RowTitles1-Detail 2 3 2 3 3_Tertiary Salaries Survey" xfId="8072" xr:uid="{00000000-0005-0000-0000-00009B1F0000}"/>
    <cellStyle name="RowTitles1-Detail 2 3 2 3 4" xfId="8073" xr:uid="{00000000-0005-0000-0000-00009C1F0000}"/>
    <cellStyle name="RowTitles1-Detail 2 3 2 3 4 2" xfId="8074" xr:uid="{00000000-0005-0000-0000-00009D1F0000}"/>
    <cellStyle name="RowTitles1-Detail 2 3 2 3 4 2 2" xfId="8075" xr:uid="{00000000-0005-0000-0000-00009E1F0000}"/>
    <cellStyle name="RowTitles1-Detail 2 3 2 3 4 2 2 2" xfId="8076" xr:uid="{00000000-0005-0000-0000-00009F1F0000}"/>
    <cellStyle name="RowTitles1-Detail 2 3 2 3 4 2 2_Tertiary Salaries Survey" xfId="8077" xr:uid="{00000000-0005-0000-0000-0000A01F0000}"/>
    <cellStyle name="RowTitles1-Detail 2 3 2 3 4 2 3" xfId="8078" xr:uid="{00000000-0005-0000-0000-0000A11F0000}"/>
    <cellStyle name="RowTitles1-Detail 2 3 2 3 4 2_Tertiary Salaries Survey" xfId="8079" xr:uid="{00000000-0005-0000-0000-0000A21F0000}"/>
    <cellStyle name="RowTitles1-Detail 2 3 2 3 4 3" xfId="8080" xr:uid="{00000000-0005-0000-0000-0000A31F0000}"/>
    <cellStyle name="RowTitles1-Detail 2 3 2 3 4 3 2" xfId="8081" xr:uid="{00000000-0005-0000-0000-0000A41F0000}"/>
    <cellStyle name="RowTitles1-Detail 2 3 2 3 4 3 2 2" xfId="8082" xr:uid="{00000000-0005-0000-0000-0000A51F0000}"/>
    <cellStyle name="RowTitles1-Detail 2 3 2 3 4 3 2_Tertiary Salaries Survey" xfId="8083" xr:uid="{00000000-0005-0000-0000-0000A61F0000}"/>
    <cellStyle name="RowTitles1-Detail 2 3 2 3 4 3 3" xfId="8084" xr:uid="{00000000-0005-0000-0000-0000A71F0000}"/>
    <cellStyle name="RowTitles1-Detail 2 3 2 3 4 3_Tertiary Salaries Survey" xfId="8085" xr:uid="{00000000-0005-0000-0000-0000A81F0000}"/>
    <cellStyle name="RowTitles1-Detail 2 3 2 3 4 4" xfId="8086" xr:uid="{00000000-0005-0000-0000-0000A91F0000}"/>
    <cellStyle name="RowTitles1-Detail 2 3 2 3 4 4 2" xfId="8087" xr:uid="{00000000-0005-0000-0000-0000AA1F0000}"/>
    <cellStyle name="RowTitles1-Detail 2 3 2 3 4 4_Tertiary Salaries Survey" xfId="8088" xr:uid="{00000000-0005-0000-0000-0000AB1F0000}"/>
    <cellStyle name="RowTitles1-Detail 2 3 2 3 4 5" xfId="8089" xr:uid="{00000000-0005-0000-0000-0000AC1F0000}"/>
    <cellStyle name="RowTitles1-Detail 2 3 2 3 4_Tertiary Salaries Survey" xfId="8090" xr:uid="{00000000-0005-0000-0000-0000AD1F0000}"/>
    <cellStyle name="RowTitles1-Detail 2 3 2 3 5" xfId="8091" xr:uid="{00000000-0005-0000-0000-0000AE1F0000}"/>
    <cellStyle name="RowTitles1-Detail 2 3 2 3 5 2" xfId="8092" xr:uid="{00000000-0005-0000-0000-0000AF1F0000}"/>
    <cellStyle name="RowTitles1-Detail 2 3 2 3 5 2 2" xfId="8093" xr:uid="{00000000-0005-0000-0000-0000B01F0000}"/>
    <cellStyle name="RowTitles1-Detail 2 3 2 3 5 2 2 2" xfId="8094" xr:uid="{00000000-0005-0000-0000-0000B11F0000}"/>
    <cellStyle name="RowTitles1-Detail 2 3 2 3 5 2 2_Tertiary Salaries Survey" xfId="8095" xr:uid="{00000000-0005-0000-0000-0000B21F0000}"/>
    <cellStyle name="RowTitles1-Detail 2 3 2 3 5 2 3" xfId="8096" xr:uid="{00000000-0005-0000-0000-0000B31F0000}"/>
    <cellStyle name="RowTitles1-Detail 2 3 2 3 5 2_Tertiary Salaries Survey" xfId="8097" xr:uid="{00000000-0005-0000-0000-0000B41F0000}"/>
    <cellStyle name="RowTitles1-Detail 2 3 2 3 5 3" xfId="8098" xr:uid="{00000000-0005-0000-0000-0000B51F0000}"/>
    <cellStyle name="RowTitles1-Detail 2 3 2 3 5 3 2" xfId="8099" xr:uid="{00000000-0005-0000-0000-0000B61F0000}"/>
    <cellStyle name="RowTitles1-Detail 2 3 2 3 5 3 2 2" xfId="8100" xr:uid="{00000000-0005-0000-0000-0000B71F0000}"/>
    <cellStyle name="RowTitles1-Detail 2 3 2 3 5 3 2_Tertiary Salaries Survey" xfId="8101" xr:uid="{00000000-0005-0000-0000-0000B81F0000}"/>
    <cellStyle name="RowTitles1-Detail 2 3 2 3 5 3 3" xfId="8102" xr:uid="{00000000-0005-0000-0000-0000B91F0000}"/>
    <cellStyle name="RowTitles1-Detail 2 3 2 3 5 3_Tertiary Salaries Survey" xfId="8103" xr:uid="{00000000-0005-0000-0000-0000BA1F0000}"/>
    <cellStyle name="RowTitles1-Detail 2 3 2 3 5 4" xfId="8104" xr:uid="{00000000-0005-0000-0000-0000BB1F0000}"/>
    <cellStyle name="RowTitles1-Detail 2 3 2 3 5 4 2" xfId="8105" xr:uid="{00000000-0005-0000-0000-0000BC1F0000}"/>
    <cellStyle name="RowTitles1-Detail 2 3 2 3 5 4_Tertiary Salaries Survey" xfId="8106" xr:uid="{00000000-0005-0000-0000-0000BD1F0000}"/>
    <cellStyle name="RowTitles1-Detail 2 3 2 3 5 5" xfId="8107" xr:uid="{00000000-0005-0000-0000-0000BE1F0000}"/>
    <cellStyle name="RowTitles1-Detail 2 3 2 3 5_Tertiary Salaries Survey" xfId="8108" xr:uid="{00000000-0005-0000-0000-0000BF1F0000}"/>
    <cellStyle name="RowTitles1-Detail 2 3 2 3 6" xfId="8109" xr:uid="{00000000-0005-0000-0000-0000C01F0000}"/>
    <cellStyle name="RowTitles1-Detail 2 3 2 3 6 2" xfId="8110" xr:uid="{00000000-0005-0000-0000-0000C11F0000}"/>
    <cellStyle name="RowTitles1-Detail 2 3 2 3 6 2 2" xfId="8111" xr:uid="{00000000-0005-0000-0000-0000C21F0000}"/>
    <cellStyle name="RowTitles1-Detail 2 3 2 3 6 2 2 2" xfId="8112" xr:uid="{00000000-0005-0000-0000-0000C31F0000}"/>
    <cellStyle name="RowTitles1-Detail 2 3 2 3 6 2 2_Tertiary Salaries Survey" xfId="8113" xr:uid="{00000000-0005-0000-0000-0000C41F0000}"/>
    <cellStyle name="RowTitles1-Detail 2 3 2 3 6 2 3" xfId="8114" xr:uid="{00000000-0005-0000-0000-0000C51F0000}"/>
    <cellStyle name="RowTitles1-Detail 2 3 2 3 6 2_Tertiary Salaries Survey" xfId="8115" xr:uid="{00000000-0005-0000-0000-0000C61F0000}"/>
    <cellStyle name="RowTitles1-Detail 2 3 2 3 6 3" xfId="8116" xr:uid="{00000000-0005-0000-0000-0000C71F0000}"/>
    <cellStyle name="RowTitles1-Detail 2 3 2 3 6 3 2" xfId="8117" xr:uid="{00000000-0005-0000-0000-0000C81F0000}"/>
    <cellStyle name="RowTitles1-Detail 2 3 2 3 6 3 2 2" xfId="8118" xr:uid="{00000000-0005-0000-0000-0000C91F0000}"/>
    <cellStyle name="RowTitles1-Detail 2 3 2 3 6 3 2_Tertiary Salaries Survey" xfId="8119" xr:uid="{00000000-0005-0000-0000-0000CA1F0000}"/>
    <cellStyle name="RowTitles1-Detail 2 3 2 3 6 3 3" xfId="8120" xr:uid="{00000000-0005-0000-0000-0000CB1F0000}"/>
    <cellStyle name="RowTitles1-Detail 2 3 2 3 6 3_Tertiary Salaries Survey" xfId="8121" xr:uid="{00000000-0005-0000-0000-0000CC1F0000}"/>
    <cellStyle name="RowTitles1-Detail 2 3 2 3 6 4" xfId="8122" xr:uid="{00000000-0005-0000-0000-0000CD1F0000}"/>
    <cellStyle name="RowTitles1-Detail 2 3 2 3 6 4 2" xfId="8123" xr:uid="{00000000-0005-0000-0000-0000CE1F0000}"/>
    <cellStyle name="RowTitles1-Detail 2 3 2 3 6 4_Tertiary Salaries Survey" xfId="8124" xr:uid="{00000000-0005-0000-0000-0000CF1F0000}"/>
    <cellStyle name="RowTitles1-Detail 2 3 2 3 6 5" xfId="8125" xr:uid="{00000000-0005-0000-0000-0000D01F0000}"/>
    <cellStyle name="RowTitles1-Detail 2 3 2 3 6_Tertiary Salaries Survey" xfId="8126" xr:uid="{00000000-0005-0000-0000-0000D11F0000}"/>
    <cellStyle name="RowTitles1-Detail 2 3 2 3 7" xfId="8127" xr:uid="{00000000-0005-0000-0000-0000D21F0000}"/>
    <cellStyle name="RowTitles1-Detail 2 3 2 3 7 2" xfId="8128" xr:uid="{00000000-0005-0000-0000-0000D31F0000}"/>
    <cellStyle name="RowTitles1-Detail 2 3 2 3 7 2 2" xfId="8129" xr:uid="{00000000-0005-0000-0000-0000D41F0000}"/>
    <cellStyle name="RowTitles1-Detail 2 3 2 3 7 2_Tertiary Salaries Survey" xfId="8130" xr:uid="{00000000-0005-0000-0000-0000D51F0000}"/>
    <cellStyle name="RowTitles1-Detail 2 3 2 3 7 3" xfId="8131" xr:uid="{00000000-0005-0000-0000-0000D61F0000}"/>
    <cellStyle name="RowTitles1-Detail 2 3 2 3 7_Tertiary Salaries Survey" xfId="8132" xr:uid="{00000000-0005-0000-0000-0000D71F0000}"/>
    <cellStyle name="RowTitles1-Detail 2 3 2 3 8" xfId="8133" xr:uid="{00000000-0005-0000-0000-0000D81F0000}"/>
    <cellStyle name="RowTitles1-Detail 2 3 2 3 9" xfId="8134" xr:uid="{00000000-0005-0000-0000-0000D91F0000}"/>
    <cellStyle name="RowTitles1-Detail 2 3 2 3_STUD aligned by INSTIT" xfId="8135" xr:uid="{00000000-0005-0000-0000-0000DA1F0000}"/>
    <cellStyle name="RowTitles1-Detail 2 3 2 4" xfId="8136" xr:uid="{00000000-0005-0000-0000-0000DB1F0000}"/>
    <cellStyle name="RowTitles1-Detail 2 3 2 4 2" xfId="8137" xr:uid="{00000000-0005-0000-0000-0000DC1F0000}"/>
    <cellStyle name="RowTitles1-Detail 2 3 2 4 2 2" xfId="8138" xr:uid="{00000000-0005-0000-0000-0000DD1F0000}"/>
    <cellStyle name="RowTitles1-Detail 2 3 2 4 2 2 2" xfId="8139" xr:uid="{00000000-0005-0000-0000-0000DE1F0000}"/>
    <cellStyle name="RowTitles1-Detail 2 3 2 4 2 2 2 2" xfId="8140" xr:uid="{00000000-0005-0000-0000-0000DF1F0000}"/>
    <cellStyle name="RowTitles1-Detail 2 3 2 4 2 2 2_Tertiary Salaries Survey" xfId="8141" xr:uid="{00000000-0005-0000-0000-0000E01F0000}"/>
    <cellStyle name="RowTitles1-Detail 2 3 2 4 2 2 3" xfId="8142" xr:uid="{00000000-0005-0000-0000-0000E11F0000}"/>
    <cellStyle name="RowTitles1-Detail 2 3 2 4 2 2_Tertiary Salaries Survey" xfId="8143" xr:uid="{00000000-0005-0000-0000-0000E21F0000}"/>
    <cellStyle name="RowTitles1-Detail 2 3 2 4 2 3" xfId="8144" xr:uid="{00000000-0005-0000-0000-0000E31F0000}"/>
    <cellStyle name="RowTitles1-Detail 2 3 2 4 2 3 2" xfId="8145" xr:uid="{00000000-0005-0000-0000-0000E41F0000}"/>
    <cellStyle name="RowTitles1-Detail 2 3 2 4 2 3 2 2" xfId="8146" xr:uid="{00000000-0005-0000-0000-0000E51F0000}"/>
    <cellStyle name="RowTitles1-Detail 2 3 2 4 2 3 2_Tertiary Salaries Survey" xfId="8147" xr:uid="{00000000-0005-0000-0000-0000E61F0000}"/>
    <cellStyle name="RowTitles1-Detail 2 3 2 4 2 3 3" xfId="8148" xr:uid="{00000000-0005-0000-0000-0000E71F0000}"/>
    <cellStyle name="RowTitles1-Detail 2 3 2 4 2 3_Tertiary Salaries Survey" xfId="8149" xr:uid="{00000000-0005-0000-0000-0000E81F0000}"/>
    <cellStyle name="RowTitles1-Detail 2 3 2 4 2 4" xfId="8150" xr:uid="{00000000-0005-0000-0000-0000E91F0000}"/>
    <cellStyle name="RowTitles1-Detail 2 3 2 4 2 5" xfId="8151" xr:uid="{00000000-0005-0000-0000-0000EA1F0000}"/>
    <cellStyle name="RowTitles1-Detail 2 3 2 4 2 5 2" xfId="8152" xr:uid="{00000000-0005-0000-0000-0000EB1F0000}"/>
    <cellStyle name="RowTitles1-Detail 2 3 2 4 2 5_Tertiary Salaries Survey" xfId="8153" xr:uid="{00000000-0005-0000-0000-0000EC1F0000}"/>
    <cellStyle name="RowTitles1-Detail 2 3 2 4 2 6" xfId="8154" xr:uid="{00000000-0005-0000-0000-0000ED1F0000}"/>
    <cellStyle name="RowTitles1-Detail 2 3 2 4 2_Tertiary Salaries Survey" xfId="8155" xr:uid="{00000000-0005-0000-0000-0000EE1F0000}"/>
    <cellStyle name="RowTitles1-Detail 2 3 2 4 3" xfId="8156" xr:uid="{00000000-0005-0000-0000-0000EF1F0000}"/>
    <cellStyle name="RowTitles1-Detail 2 3 2 4 3 2" xfId="8157" xr:uid="{00000000-0005-0000-0000-0000F01F0000}"/>
    <cellStyle name="RowTitles1-Detail 2 3 2 4 3 2 2" xfId="8158" xr:uid="{00000000-0005-0000-0000-0000F11F0000}"/>
    <cellStyle name="RowTitles1-Detail 2 3 2 4 3 2 2 2" xfId="8159" xr:uid="{00000000-0005-0000-0000-0000F21F0000}"/>
    <cellStyle name="RowTitles1-Detail 2 3 2 4 3 2 2_Tertiary Salaries Survey" xfId="8160" xr:uid="{00000000-0005-0000-0000-0000F31F0000}"/>
    <cellStyle name="RowTitles1-Detail 2 3 2 4 3 2 3" xfId="8161" xr:uid="{00000000-0005-0000-0000-0000F41F0000}"/>
    <cellStyle name="RowTitles1-Detail 2 3 2 4 3 2_Tertiary Salaries Survey" xfId="8162" xr:uid="{00000000-0005-0000-0000-0000F51F0000}"/>
    <cellStyle name="RowTitles1-Detail 2 3 2 4 3 3" xfId="8163" xr:uid="{00000000-0005-0000-0000-0000F61F0000}"/>
    <cellStyle name="RowTitles1-Detail 2 3 2 4 3 3 2" xfId="8164" xr:uid="{00000000-0005-0000-0000-0000F71F0000}"/>
    <cellStyle name="RowTitles1-Detail 2 3 2 4 3 3 2 2" xfId="8165" xr:uid="{00000000-0005-0000-0000-0000F81F0000}"/>
    <cellStyle name="RowTitles1-Detail 2 3 2 4 3 3 2_Tertiary Salaries Survey" xfId="8166" xr:uid="{00000000-0005-0000-0000-0000F91F0000}"/>
    <cellStyle name="RowTitles1-Detail 2 3 2 4 3 3 3" xfId="8167" xr:uid="{00000000-0005-0000-0000-0000FA1F0000}"/>
    <cellStyle name="RowTitles1-Detail 2 3 2 4 3 3_Tertiary Salaries Survey" xfId="8168" xr:uid="{00000000-0005-0000-0000-0000FB1F0000}"/>
    <cellStyle name="RowTitles1-Detail 2 3 2 4 3 4" xfId="8169" xr:uid="{00000000-0005-0000-0000-0000FC1F0000}"/>
    <cellStyle name="RowTitles1-Detail 2 3 2 4 3 5" xfId="8170" xr:uid="{00000000-0005-0000-0000-0000FD1F0000}"/>
    <cellStyle name="RowTitles1-Detail 2 3 2 4 3_Tertiary Salaries Survey" xfId="8171" xr:uid="{00000000-0005-0000-0000-0000FE1F0000}"/>
    <cellStyle name="RowTitles1-Detail 2 3 2 4 4" xfId="8172" xr:uid="{00000000-0005-0000-0000-0000FF1F0000}"/>
    <cellStyle name="RowTitles1-Detail 2 3 2 4 4 2" xfId="8173" xr:uid="{00000000-0005-0000-0000-000000200000}"/>
    <cellStyle name="RowTitles1-Detail 2 3 2 4 4 2 2" xfId="8174" xr:uid="{00000000-0005-0000-0000-000001200000}"/>
    <cellStyle name="RowTitles1-Detail 2 3 2 4 4 2 2 2" xfId="8175" xr:uid="{00000000-0005-0000-0000-000002200000}"/>
    <cellStyle name="RowTitles1-Detail 2 3 2 4 4 2 2_Tertiary Salaries Survey" xfId="8176" xr:uid="{00000000-0005-0000-0000-000003200000}"/>
    <cellStyle name="RowTitles1-Detail 2 3 2 4 4 2 3" xfId="8177" xr:uid="{00000000-0005-0000-0000-000004200000}"/>
    <cellStyle name="RowTitles1-Detail 2 3 2 4 4 2_Tertiary Salaries Survey" xfId="8178" xr:uid="{00000000-0005-0000-0000-000005200000}"/>
    <cellStyle name="RowTitles1-Detail 2 3 2 4 4 3" xfId="8179" xr:uid="{00000000-0005-0000-0000-000006200000}"/>
    <cellStyle name="RowTitles1-Detail 2 3 2 4 4 3 2" xfId="8180" xr:uid="{00000000-0005-0000-0000-000007200000}"/>
    <cellStyle name="RowTitles1-Detail 2 3 2 4 4 3 2 2" xfId="8181" xr:uid="{00000000-0005-0000-0000-000008200000}"/>
    <cellStyle name="RowTitles1-Detail 2 3 2 4 4 3 2_Tertiary Salaries Survey" xfId="8182" xr:uid="{00000000-0005-0000-0000-000009200000}"/>
    <cellStyle name="RowTitles1-Detail 2 3 2 4 4 3 3" xfId="8183" xr:uid="{00000000-0005-0000-0000-00000A200000}"/>
    <cellStyle name="RowTitles1-Detail 2 3 2 4 4 3_Tertiary Salaries Survey" xfId="8184" xr:uid="{00000000-0005-0000-0000-00000B200000}"/>
    <cellStyle name="RowTitles1-Detail 2 3 2 4 4 4" xfId="8185" xr:uid="{00000000-0005-0000-0000-00000C200000}"/>
    <cellStyle name="RowTitles1-Detail 2 3 2 4 4 4 2" xfId="8186" xr:uid="{00000000-0005-0000-0000-00000D200000}"/>
    <cellStyle name="RowTitles1-Detail 2 3 2 4 4 4_Tertiary Salaries Survey" xfId="8187" xr:uid="{00000000-0005-0000-0000-00000E200000}"/>
    <cellStyle name="RowTitles1-Detail 2 3 2 4 4 5" xfId="8188" xr:uid="{00000000-0005-0000-0000-00000F200000}"/>
    <cellStyle name="RowTitles1-Detail 2 3 2 4 4_Tertiary Salaries Survey" xfId="8189" xr:uid="{00000000-0005-0000-0000-000010200000}"/>
    <cellStyle name="RowTitles1-Detail 2 3 2 4 5" xfId="8190" xr:uid="{00000000-0005-0000-0000-000011200000}"/>
    <cellStyle name="RowTitles1-Detail 2 3 2 4 5 2" xfId="8191" xr:uid="{00000000-0005-0000-0000-000012200000}"/>
    <cellStyle name="RowTitles1-Detail 2 3 2 4 5 2 2" xfId="8192" xr:uid="{00000000-0005-0000-0000-000013200000}"/>
    <cellStyle name="RowTitles1-Detail 2 3 2 4 5 2 2 2" xfId="8193" xr:uid="{00000000-0005-0000-0000-000014200000}"/>
    <cellStyle name="RowTitles1-Detail 2 3 2 4 5 2 2_Tertiary Salaries Survey" xfId="8194" xr:uid="{00000000-0005-0000-0000-000015200000}"/>
    <cellStyle name="RowTitles1-Detail 2 3 2 4 5 2 3" xfId="8195" xr:uid="{00000000-0005-0000-0000-000016200000}"/>
    <cellStyle name="RowTitles1-Detail 2 3 2 4 5 2_Tertiary Salaries Survey" xfId="8196" xr:uid="{00000000-0005-0000-0000-000017200000}"/>
    <cellStyle name="RowTitles1-Detail 2 3 2 4 5 3" xfId="8197" xr:uid="{00000000-0005-0000-0000-000018200000}"/>
    <cellStyle name="RowTitles1-Detail 2 3 2 4 5 3 2" xfId="8198" xr:uid="{00000000-0005-0000-0000-000019200000}"/>
    <cellStyle name="RowTitles1-Detail 2 3 2 4 5 3 2 2" xfId="8199" xr:uid="{00000000-0005-0000-0000-00001A200000}"/>
    <cellStyle name="RowTitles1-Detail 2 3 2 4 5 3 2_Tertiary Salaries Survey" xfId="8200" xr:uid="{00000000-0005-0000-0000-00001B200000}"/>
    <cellStyle name="RowTitles1-Detail 2 3 2 4 5 3 3" xfId="8201" xr:uid="{00000000-0005-0000-0000-00001C200000}"/>
    <cellStyle name="RowTitles1-Detail 2 3 2 4 5 3_Tertiary Salaries Survey" xfId="8202" xr:uid="{00000000-0005-0000-0000-00001D200000}"/>
    <cellStyle name="RowTitles1-Detail 2 3 2 4 5 4" xfId="8203" xr:uid="{00000000-0005-0000-0000-00001E200000}"/>
    <cellStyle name="RowTitles1-Detail 2 3 2 4 5 4 2" xfId="8204" xr:uid="{00000000-0005-0000-0000-00001F200000}"/>
    <cellStyle name="RowTitles1-Detail 2 3 2 4 5 4_Tertiary Salaries Survey" xfId="8205" xr:uid="{00000000-0005-0000-0000-000020200000}"/>
    <cellStyle name="RowTitles1-Detail 2 3 2 4 5 5" xfId="8206" xr:uid="{00000000-0005-0000-0000-000021200000}"/>
    <cellStyle name="RowTitles1-Detail 2 3 2 4 5_Tertiary Salaries Survey" xfId="8207" xr:uid="{00000000-0005-0000-0000-000022200000}"/>
    <cellStyle name="RowTitles1-Detail 2 3 2 4 6" xfId="8208" xr:uid="{00000000-0005-0000-0000-000023200000}"/>
    <cellStyle name="RowTitles1-Detail 2 3 2 4 6 2" xfId="8209" xr:uid="{00000000-0005-0000-0000-000024200000}"/>
    <cellStyle name="RowTitles1-Detail 2 3 2 4 6 2 2" xfId="8210" xr:uid="{00000000-0005-0000-0000-000025200000}"/>
    <cellStyle name="RowTitles1-Detail 2 3 2 4 6 2 2 2" xfId="8211" xr:uid="{00000000-0005-0000-0000-000026200000}"/>
    <cellStyle name="RowTitles1-Detail 2 3 2 4 6 2 2_Tertiary Salaries Survey" xfId="8212" xr:uid="{00000000-0005-0000-0000-000027200000}"/>
    <cellStyle name="RowTitles1-Detail 2 3 2 4 6 2 3" xfId="8213" xr:uid="{00000000-0005-0000-0000-000028200000}"/>
    <cellStyle name="RowTitles1-Detail 2 3 2 4 6 2_Tertiary Salaries Survey" xfId="8214" xr:uid="{00000000-0005-0000-0000-000029200000}"/>
    <cellStyle name="RowTitles1-Detail 2 3 2 4 6 3" xfId="8215" xr:uid="{00000000-0005-0000-0000-00002A200000}"/>
    <cellStyle name="RowTitles1-Detail 2 3 2 4 6 3 2" xfId="8216" xr:uid="{00000000-0005-0000-0000-00002B200000}"/>
    <cellStyle name="RowTitles1-Detail 2 3 2 4 6 3 2 2" xfId="8217" xr:uid="{00000000-0005-0000-0000-00002C200000}"/>
    <cellStyle name="RowTitles1-Detail 2 3 2 4 6 3 2_Tertiary Salaries Survey" xfId="8218" xr:uid="{00000000-0005-0000-0000-00002D200000}"/>
    <cellStyle name="RowTitles1-Detail 2 3 2 4 6 3 3" xfId="8219" xr:uid="{00000000-0005-0000-0000-00002E200000}"/>
    <cellStyle name="RowTitles1-Detail 2 3 2 4 6 3_Tertiary Salaries Survey" xfId="8220" xr:uid="{00000000-0005-0000-0000-00002F200000}"/>
    <cellStyle name="RowTitles1-Detail 2 3 2 4 6 4" xfId="8221" xr:uid="{00000000-0005-0000-0000-000030200000}"/>
    <cellStyle name="RowTitles1-Detail 2 3 2 4 6 4 2" xfId="8222" xr:uid="{00000000-0005-0000-0000-000031200000}"/>
    <cellStyle name="RowTitles1-Detail 2 3 2 4 6 4_Tertiary Salaries Survey" xfId="8223" xr:uid="{00000000-0005-0000-0000-000032200000}"/>
    <cellStyle name="RowTitles1-Detail 2 3 2 4 6 5" xfId="8224" xr:uid="{00000000-0005-0000-0000-000033200000}"/>
    <cellStyle name="RowTitles1-Detail 2 3 2 4 6_Tertiary Salaries Survey" xfId="8225" xr:uid="{00000000-0005-0000-0000-000034200000}"/>
    <cellStyle name="RowTitles1-Detail 2 3 2 4 7" xfId="8226" xr:uid="{00000000-0005-0000-0000-000035200000}"/>
    <cellStyle name="RowTitles1-Detail 2 3 2 4 7 2" xfId="8227" xr:uid="{00000000-0005-0000-0000-000036200000}"/>
    <cellStyle name="RowTitles1-Detail 2 3 2 4 7 2 2" xfId="8228" xr:uid="{00000000-0005-0000-0000-000037200000}"/>
    <cellStyle name="RowTitles1-Detail 2 3 2 4 7 2_Tertiary Salaries Survey" xfId="8229" xr:uid="{00000000-0005-0000-0000-000038200000}"/>
    <cellStyle name="RowTitles1-Detail 2 3 2 4 7 3" xfId="8230" xr:uid="{00000000-0005-0000-0000-000039200000}"/>
    <cellStyle name="RowTitles1-Detail 2 3 2 4 7_Tertiary Salaries Survey" xfId="8231" xr:uid="{00000000-0005-0000-0000-00003A200000}"/>
    <cellStyle name="RowTitles1-Detail 2 3 2 4 8" xfId="8232" xr:uid="{00000000-0005-0000-0000-00003B200000}"/>
    <cellStyle name="RowTitles1-Detail 2 3 2 4 8 2" xfId="8233" xr:uid="{00000000-0005-0000-0000-00003C200000}"/>
    <cellStyle name="RowTitles1-Detail 2 3 2 4 8 2 2" xfId="8234" xr:uid="{00000000-0005-0000-0000-00003D200000}"/>
    <cellStyle name="RowTitles1-Detail 2 3 2 4 8 2_Tertiary Salaries Survey" xfId="8235" xr:uid="{00000000-0005-0000-0000-00003E200000}"/>
    <cellStyle name="RowTitles1-Detail 2 3 2 4 8 3" xfId="8236" xr:uid="{00000000-0005-0000-0000-00003F200000}"/>
    <cellStyle name="RowTitles1-Detail 2 3 2 4 8_Tertiary Salaries Survey" xfId="8237" xr:uid="{00000000-0005-0000-0000-000040200000}"/>
    <cellStyle name="RowTitles1-Detail 2 3 2 4 9" xfId="8238" xr:uid="{00000000-0005-0000-0000-000041200000}"/>
    <cellStyle name="RowTitles1-Detail 2 3 2 4_STUD aligned by INSTIT" xfId="8239" xr:uid="{00000000-0005-0000-0000-000042200000}"/>
    <cellStyle name="RowTitles1-Detail 2 3 2 5" xfId="8240" xr:uid="{00000000-0005-0000-0000-000043200000}"/>
    <cellStyle name="RowTitles1-Detail 2 3 2 5 2" xfId="8241" xr:uid="{00000000-0005-0000-0000-000044200000}"/>
    <cellStyle name="RowTitles1-Detail 2 3 2 5 2 2" xfId="8242" xr:uid="{00000000-0005-0000-0000-000045200000}"/>
    <cellStyle name="RowTitles1-Detail 2 3 2 5 2 2 2" xfId="8243" xr:uid="{00000000-0005-0000-0000-000046200000}"/>
    <cellStyle name="RowTitles1-Detail 2 3 2 5 2 2 2 2" xfId="8244" xr:uid="{00000000-0005-0000-0000-000047200000}"/>
    <cellStyle name="RowTitles1-Detail 2 3 2 5 2 2 2_Tertiary Salaries Survey" xfId="8245" xr:uid="{00000000-0005-0000-0000-000048200000}"/>
    <cellStyle name="RowTitles1-Detail 2 3 2 5 2 2 3" xfId="8246" xr:uid="{00000000-0005-0000-0000-000049200000}"/>
    <cellStyle name="RowTitles1-Detail 2 3 2 5 2 2_Tertiary Salaries Survey" xfId="8247" xr:uid="{00000000-0005-0000-0000-00004A200000}"/>
    <cellStyle name="RowTitles1-Detail 2 3 2 5 2 3" xfId="8248" xr:uid="{00000000-0005-0000-0000-00004B200000}"/>
    <cellStyle name="RowTitles1-Detail 2 3 2 5 2 3 2" xfId="8249" xr:uid="{00000000-0005-0000-0000-00004C200000}"/>
    <cellStyle name="RowTitles1-Detail 2 3 2 5 2 3 2 2" xfId="8250" xr:uid="{00000000-0005-0000-0000-00004D200000}"/>
    <cellStyle name="RowTitles1-Detail 2 3 2 5 2 3 2_Tertiary Salaries Survey" xfId="8251" xr:uid="{00000000-0005-0000-0000-00004E200000}"/>
    <cellStyle name="RowTitles1-Detail 2 3 2 5 2 3 3" xfId="8252" xr:uid="{00000000-0005-0000-0000-00004F200000}"/>
    <cellStyle name="RowTitles1-Detail 2 3 2 5 2 3_Tertiary Salaries Survey" xfId="8253" xr:uid="{00000000-0005-0000-0000-000050200000}"/>
    <cellStyle name="RowTitles1-Detail 2 3 2 5 2 4" xfId="8254" xr:uid="{00000000-0005-0000-0000-000051200000}"/>
    <cellStyle name="RowTitles1-Detail 2 3 2 5 2 5" xfId="8255" xr:uid="{00000000-0005-0000-0000-000052200000}"/>
    <cellStyle name="RowTitles1-Detail 2 3 2 5 2 5 2" xfId="8256" xr:uid="{00000000-0005-0000-0000-000053200000}"/>
    <cellStyle name="RowTitles1-Detail 2 3 2 5 2 5_Tertiary Salaries Survey" xfId="8257" xr:uid="{00000000-0005-0000-0000-000054200000}"/>
    <cellStyle name="RowTitles1-Detail 2 3 2 5 2 6" xfId="8258" xr:uid="{00000000-0005-0000-0000-000055200000}"/>
    <cellStyle name="RowTitles1-Detail 2 3 2 5 2_Tertiary Salaries Survey" xfId="8259" xr:uid="{00000000-0005-0000-0000-000056200000}"/>
    <cellStyle name="RowTitles1-Detail 2 3 2 5 3" xfId="8260" xr:uid="{00000000-0005-0000-0000-000057200000}"/>
    <cellStyle name="RowTitles1-Detail 2 3 2 5 3 2" xfId="8261" xr:uid="{00000000-0005-0000-0000-000058200000}"/>
    <cellStyle name="RowTitles1-Detail 2 3 2 5 3 2 2" xfId="8262" xr:uid="{00000000-0005-0000-0000-000059200000}"/>
    <cellStyle name="RowTitles1-Detail 2 3 2 5 3 2 2 2" xfId="8263" xr:uid="{00000000-0005-0000-0000-00005A200000}"/>
    <cellStyle name="RowTitles1-Detail 2 3 2 5 3 2 2_Tertiary Salaries Survey" xfId="8264" xr:uid="{00000000-0005-0000-0000-00005B200000}"/>
    <cellStyle name="RowTitles1-Detail 2 3 2 5 3 2 3" xfId="8265" xr:uid="{00000000-0005-0000-0000-00005C200000}"/>
    <cellStyle name="RowTitles1-Detail 2 3 2 5 3 2_Tertiary Salaries Survey" xfId="8266" xr:uid="{00000000-0005-0000-0000-00005D200000}"/>
    <cellStyle name="RowTitles1-Detail 2 3 2 5 3 3" xfId="8267" xr:uid="{00000000-0005-0000-0000-00005E200000}"/>
    <cellStyle name="RowTitles1-Detail 2 3 2 5 3 3 2" xfId="8268" xr:uid="{00000000-0005-0000-0000-00005F200000}"/>
    <cellStyle name="RowTitles1-Detail 2 3 2 5 3 3 2 2" xfId="8269" xr:uid="{00000000-0005-0000-0000-000060200000}"/>
    <cellStyle name="RowTitles1-Detail 2 3 2 5 3 3 2_Tertiary Salaries Survey" xfId="8270" xr:uid="{00000000-0005-0000-0000-000061200000}"/>
    <cellStyle name="RowTitles1-Detail 2 3 2 5 3 3 3" xfId="8271" xr:uid="{00000000-0005-0000-0000-000062200000}"/>
    <cellStyle name="RowTitles1-Detail 2 3 2 5 3 3_Tertiary Salaries Survey" xfId="8272" xr:uid="{00000000-0005-0000-0000-000063200000}"/>
    <cellStyle name="RowTitles1-Detail 2 3 2 5 3 4" xfId="8273" xr:uid="{00000000-0005-0000-0000-000064200000}"/>
    <cellStyle name="RowTitles1-Detail 2 3 2 5 3 5" xfId="8274" xr:uid="{00000000-0005-0000-0000-000065200000}"/>
    <cellStyle name="RowTitles1-Detail 2 3 2 5 3_Tertiary Salaries Survey" xfId="8275" xr:uid="{00000000-0005-0000-0000-000066200000}"/>
    <cellStyle name="RowTitles1-Detail 2 3 2 5 4" xfId="8276" xr:uid="{00000000-0005-0000-0000-000067200000}"/>
    <cellStyle name="RowTitles1-Detail 2 3 2 5 4 2" xfId="8277" xr:uid="{00000000-0005-0000-0000-000068200000}"/>
    <cellStyle name="RowTitles1-Detail 2 3 2 5 4 2 2" xfId="8278" xr:uid="{00000000-0005-0000-0000-000069200000}"/>
    <cellStyle name="RowTitles1-Detail 2 3 2 5 4 2 2 2" xfId="8279" xr:uid="{00000000-0005-0000-0000-00006A200000}"/>
    <cellStyle name="RowTitles1-Detail 2 3 2 5 4 2 2_Tertiary Salaries Survey" xfId="8280" xr:uid="{00000000-0005-0000-0000-00006B200000}"/>
    <cellStyle name="RowTitles1-Detail 2 3 2 5 4 2 3" xfId="8281" xr:uid="{00000000-0005-0000-0000-00006C200000}"/>
    <cellStyle name="RowTitles1-Detail 2 3 2 5 4 2_Tertiary Salaries Survey" xfId="8282" xr:uid="{00000000-0005-0000-0000-00006D200000}"/>
    <cellStyle name="RowTitles1-Detail 2 3 2 5 4 3" xfId="8283" xr:uid="{00000000-0005-0000-0000-00006E200000}"/>
    <cellStyle name="RowTitles1-Detail 2 3 2 5 4 3 2" xfId="8284" xr:uid="{00000000-0005-0000-0000-00006F200000}"/>
    <cellStyle name="RowTitles1-Detail 2 3 2 5 4 3 2 2" xfId="8285" xr:uid="{00000000-0005-0000-0000-000070200000}"/>
    <cellStyle name="RowTitles1-Detail 2 3 2 5 4 3 2_Tertiary Salaries Survey" xfId="8286" xr:uid="{00000000-0005-0000-0000-000071200000}"/>
    <cellStyle name="RowTitles1-Detail 2 3 2 5 4 3 3" xfId="8287" xr:uid="{00000000-0005-0000-0000-000072200000}"/>
    <cellStyle name="RowTitles1-Detail 2 3 2 5 4 3_Tertiary Salaries Survey" xfId="8288" xr:uid="{00000000-0005-0000-0000-000073200000}"/>
    <cellStyle name="RowTitles1-Detail 2 3 2 5 4 4" xfId="8289" xr:uid="{00000000-0005-0000-0000-000074200000}"/>
    <cellStyle name="RowTitles1-Detail 2 3 2 5 4 5" xfId="8290" xr:uid="{00000000-0005-0000-0000-000075200000}"/>
    <cellStyle name="RowTitles1-Detail 2 3 2 5 4 5 2" xfId="8291" xr:uid="{00000000-0005-0000-0000-000076200000}"/>
    <cellStyle name="RowTitles1-Detail 2 3 2 5 4 5_Tertiary Salaries Survey" xfId="8292" xr:uid="{00000000-0005-0000-0000-000077200000}"/>
    <cellStyle name="RowTitles1-Detail 2 3 2 5 4 6" xfId="8293" xr:uid="{00000000-0005-0000-0000-000078200000}"/>
    <cellStyle name="RowTitles1-Detail 2 3 2 5 4_Tertiary Salaries Survey" xfId="8294" xr:uid="{00000000-0005-0000-0000-000079200000}"/>
    <cellStyle name="RowTitles1-Detail 2 3 2 5 5" xfId="8295" xr:uid="{00000000-0005-0000-0000-00007A200000}"/>
    <cellStyle name="RowTitles1-Detail 2 3 2 5 5 2" xfId="8296" xr:uid="{00000000-0005-0000-0000-00007B200000}"/>
    <cellStyle name="RowTitles1-Detail 2 3 2 5 5 2 2" xfId="8297" xr:uid="{00000000-0005-0000-0000-00007C200000}"/>
    <cellStyle name="RowTitles1-Detail 2 3 2 5 5 2 2 2" xfId="8298" xr:uid="{00000000-0005-0000-0000-00007D200000}"/>
    <cellStyle name="RowTitles1-Detail 2 3 2 5 5 2 2_Tertiary Salaries Survey" xfId="8299" xr:uid="{00000000-0005-0000-0000-00007E200000}"/>
    <cellStyle name="RowTitles1-Detail 2 3 2 5 5 2 3" xfId="8300" xr:uid="{00000000-0005-0000-0000-00007F200000}"/>
    <cellStyle name="RowTitles1-Detail 2 3 2 5 5 2_Tertiary Salaries Survey" xfId="8301" xr:uid="{00000000-0005-0000-0000-000080200000}"/>
    <cellStyle name="RowTitles1-Detail 2 3 2 5 5 3" xfId="8302" xr:uid="{00000000-0005-0000-0000-000081200000}"/>
    <cellStyle name="RowTitles1-Detail 2 3 2 5 5 3 2" xfId="8303" xr:uid="{00000000-0005-0000-0000-000082200000}"/>
    <cellStyle name="RowTitles1-Detail 2 3 2 5 5 3 2 2" xfId="8304" xr:uid="{00000000-0005-0000-0000-000083200000}"/>
    <cellStyle name="RowTitles1-Detail 2 3 2 5 5 3 2_Tertiary Salaries Survey" xfId="8305" xr:uid="{00000000-0005-0000-0000-000084200000}"/>
    <cellStyle name="RowTitles1-Detail 2 3 2 5 5 3 3" xfId="8306" xr:uid="{00000000-0005-0000-0000-000085200000}"/>
    <cellStyle name="RowTitles1-Detail 2 3 2 5 5 3_Tertiary Salaries Survey" xfId="8307" xr:uid="{00000000-0005-0000-0000-000086200000}"/>
    <cellStyle name="RowTitles1-Detail 2 3 2 5 5 4" xfId="8308" xr:uid="{00000000-0005-0000-0000-000087200000}"/>
    <cellStyle name="RowTitles1-Detail 2 3 2 5 5 4 2" xfId="8309" xr:uid="{00000000-0005-0000-0000-000088200000}"/>
    <cellStyle name="RowTitles1-Detail 2 3 2 5 5 4_Tertiary Salaries Survey" xfId="8310" xr:uid="{00000000-0005-0000-0000-000089200000}"/>
    <cellStyle name="RowTitles1-Detail 2 3 2 5 5 5" xfId="8311" xr:uid="{00000000-0005-0000-0000-00008A200000}"/>
    <cellStyle name="RowTitles1-Detail 2 3 2 5 5_Tertiary Salaries Survey" xfId="8312" xr:uid="{00000000-0005-0000-0000-00008B200000}"/>
    <cellStyle name="RowTitles1-Detail 2 3 2 5 6" xfId="8313" xr:uid="{00000000-0005-0000-0000-00008C200000}"/>
    <cellStyle name="RowTitles1-Detail 2 3 2 5 6 2" xfId="8314" xr:uid="{00000000-0005-0000-0000-00008D200000}"/>
    <cellStyle name="RowTitles1-Detail 2 3 2 5 6 2 2" xfId="8315" xr:uid="{00000000-0005-0000-0000-00008E200000}"/>
    <cellStyle name="RowTitles1-Detail 2 3 2 5 6 2 2 2" xfId="8316" xr:uid="{00000000-0005-0000-0000-00008F200000}"/>
    <cellStyle name="RowTitles1-Detail 2 3 2 5 6 2 2_Tertiary Salaries Survey" xfId="8317" xr:uid="{00000000-0005-0000-0000-000090200000}"/>
    <cellStyle name="RowTitles1-Detail 2 3 2 5 6 2 3" xfId="8318" xr:uid="{00000000-0005-0000-0000-000091200000}"/>
    <cellStyle name="RowTitles1-Detail 2 3 2 5 6 2_Tertiary Salaries Survey" xfId="8319" xr:uid="{00000000-0005-0000-0000-000092200000}"/>
    <cellStyle name="RowTitles1-Detail 2 3 2 5 6 3" xfId="8320" xr:uid="{00000000-0005-0000-0000-000093200000}"/>
    <cellStyle name="RowTitles1-Detail 2 3 2 5 6 3 2" xfId="8321" xr:uid="{00000000-0005-0000-0000-000094200000}"/>
    <cellStyle name="RowTitles1-Detail 2 3 2 5 6 3 2 2" xfId="8322" xr:uid="{00000000-0005-0000-0000-000095200000}"/>
    <cellStyle name="RowTitles1-Detail 2 3 2 5 6 3 2_Tertiary Salaries Survey" xfId="8323" xr:uid="{00000000-0005-0000-0000-000096200000}"/>
    <cellStyle name="RowTitles1-Detail 2 3 2 5 6 3 3" xfId="8324" xr:uid="{00000000-0005-0000-0000-000097200000}"/>
    <cellStyle name="RowTitles1-Detail 2 3 2 5 6 3_Tertiary Salaries Survey" xfId="8325" xr:uid="{00000000-0005-0000-0000-000098200000}"/>
    <cellStyle name="RowTitles1-Detail 2 3 2 5 6 4" xfId="8326" xr:uid="{00000000-0005-0000-0000-000099200000}"/>
    <cellStyle name="RowTitles1-Detail 2 3 2 5 6 4 2" xfId="8327" xr:uid="{00000000-0005-0000-0000-00009A200000}"/>
    <cellStyle name="RowTitles1-Detail 2 3 2 5 6 4_Tertiary Salaries Survey" xfId="8328" xr:uid="{00000000-0005-0000-0000-00009B200000}"/>
    <cellStyle name="RowTitles1-Detail 2 3 2 5 6 5" xfId="8329" xr:uid="{00000000-0005-0000-0000-00009C200000}"/>
    <cellStyle name="RowTitles1-Detail 2 3 2 5 6_Tertiary Salaries Survey" xfId="8330" xr:uid="{00000000-0005-0000-0000-00009D200000}"/>
    <cellStyle name="RowTitles1-Detail 2 3 2 5 7" xfId="8331" xr:uid="{00000000-0005-0000-0000-00009E200000}"/>
    <cellStyle name="RowTitles1-Detail 2 3 2 5 7 2" xfId="8332" xr:uid="{00000000-0005-0000-0000-00009F200000}"/>
    <cellStyle name="RowTitles1-Detail 2 3 2 5 7 2 2" xfId="8333" xr:uid="{00000000-0005-0000-0000-0000A0200000}"/>
    <cellStyle name="RowTitles1-Detail 2 3 2 5 7 2_Tertiary Salaries Survey" xfId="8334" xr:uid="{00000000-0005-0000-0000-0000A1200000}"/>
    <cellStyle name="RowTitles1-Detail 2 3 2 5 7 3" xfId="8335" xr:uid="{00000000-0005-0000-0000-0000A2200000}"/>
    <cellStyle name="RowTitles1-Detail 2 3 2 5 7_Tertiary Salaries Survey" xfId="8336" xr:uid="{00000000-0005-0000-0000-0000A3200000}"/>
    <cellStyle name="RowTitles1-Detail 2 3 2 5 8" xfId="8337" xr:uid="{00000000-0005-0000-0000-0000A4200000}"/>
    <cellStyle name="RowTitles1-Detail 2 3 2 5 9" xfId="8338" xr:uid="{00000000-0005-0000-0000-0000A5200000}"/>
    <cellStyle name="RowTitles1-Detail 2 3 2 5_STUD aligned by INSTIT" xfId="8339" xr:uid="{00000000-0005-0000-0000-0000A6200000}"/>
    <cellStyle name="RowTitles1-Detail 2 3 2 6" xfId="8340" xr:uid="{00000000-0005-0000-0000-0000A7200000}"/>
    <cellStyle name="RowTitles1-Detail 2 3 2 6 2" xfId="8341" xr:uid="{00000000-0005-0000-0000-0000A8200000}"/>
    <cellStyle name="RowTitles1-Detail 2 3 2 6 2 2" xfId="8342" xr:uid="{00000000-0005-0000-0000-0000A9200000}"/>
    <cellStyle name="RowTitles1-Detail 2 3 2 6 2 2 2" xfId="8343" xr:uid="{00000000-0005-0000-0000-0000AA200000}"/>
    <cellStyle name="RowTitles1-Detail 2 3 2 6 2 2_Tertiary Salaries Survey" xfId="8344" xr:uid="{00000000-0005-0000-0000-0000AB200000}"/>
    <cellStyle name="RowTitles1-Detail 2 3 2 6 2 3" xfId="8345" xr:uid="{00000000-0005-0000-0000-0000AC200000}"/>
    <cellStyle name="RowTitles1-Detail 2 3 2 6 2_Tertiary Salaries Survey" xfId="8346" xr:uid="{00000000-0005-0000-0000-0000AD200000}"/>
    <cellStyle name="RowTitles1-Detail 2 3 2 6 3" xfId="8347" xr:uid="{00000000-0005-0000-0000-0000AE200000}"/>
    <cellStyle name="RowTitles1-Detail 2 3 2 6 3 2" xfId="8348" xr:uid="{00000000-0005-0000-0000-0000AF200000}"/>
    <cellStyle name="RowTitles1-Detail 2 3 2 6 3 2 2" xfId="8349" xr:uid="{00000000-0005-0000-0000-0000B0200000}"/>
    <cellStyle name="RowTitles1-Detail 2 3 2 6 3 2_Tertiary Salaries Survey" xfId="8350" xr:uid="{00000000-0005-0000-0000-0000B1200000}"/>
    <cellStyle name="RowTitles1-Detail 2 3 2 6 3 3" xfId="8351" xr:uid="{00000000-0005-0000-0000-0000B2200000}"/>
    <cellStyle name="RowTitles1-Detail 2 3 2 6 3_Tertiary Salaries Survey" xfId="8352" xr:uid="{00000000-0005-0000-0000-0000B3200000}"/>
    <cellStyle name="RowTitles1-Detail 2 3 2 6 4" xfId="8353" xr:uid="{00000000-0005-0000-0000-0000B4200000}"/>
    <cellStyle name="RowTitles1-Detail 2 3 2 6 5" xfId="8354" xr:uid="{00000000-0005-0000-0000-0000B5200000}"/>
    <cellStyle name="RowTitles1-Detail 2 3 2 6 5 2" xfId="8355" xr:uid="{00000000-0005-0000-0000-0000B6200000}"/>
    <cellStyle name="RowTitles1-Detail 2 3 2 6 5_Tertiary Salaries Survey" xfId="8356" xr:uid="{00000000-0005-0000-0000-0000B7200000}"/>
    <cellStyle name="RowTitles1-Detail 2 3 2 6 6" xfId="8357" xr:uid="{00000000-0005-0000-0000-0000B8200000}"/>
    <cellStyle name="RowTitles1-Detail 2 3 2 6_Tertiary Salaries Survey" xfId="8358" xr:uid="{00000000-0005-0000-0000-0000B9200000}"/>
    <cellStyle name="RowTitles1-Detail 2 3 2 7" xfId="8359" xr:uid="{00000000-0005-0000-0000-0000BA200000}"/>
    <cellStyle name="RowTitles1-Detail 2 3 2 7 2" xfId="8360" xr:uid="{00000000-0005-0000-0000-0000BB200000}"/>
    <cellStyle name="RowTitles1-Detail 2 3 2 7 2 2" xfId="8361" xr:uid="{00000000-0005-0000-0000-0000BC200000}"/>
    <cellStyle name="RowTitles1-Detail 2 3 2 7 2 2 2" xfId="8362" xr:uid="{00000000-0005-0000-0000-0000BD200000}"/>
    <cellStyle name="RowTitles1-Detail 2 3 2 7 2 2_Tertiary Salaries Survey" xfId="8363" xr:uid="{00000000-0005-0000-0000-0000BE200000}"/>
    <cellStyle name="RowTitles1-Detail 2 3 2 7 2 3" xfId="8364" xr:uid="{00000000-0005-0000-0000-0000BF200000}"/>
    <cellStyle name="RowTitles1-Detail 2 3 2 7 2_Tertiary Salaries Survey" xfId="8365" xr:uid="{00000000-0005-0000-0000-0000C0200000}"/>
    <cellStyle name="RowTitles1-Detail 2 3 2 7 3" xfId="8366" xr:uid="{00000000-0005-0000-0000-0000C1200000}"/>
    <cellStyle name="RowTitles1-Detail 2 3 2 7 3 2" xfId="8367" xr:uid="{00000000-0005-0000-0000-0000C2200000}"/>
    <cellStyle name="RowTitles1-Detail 2 3 2 7 3 2 2" xfId="8368" xr:uid="{00000000-0005-0000-0000-0000C3200000}"/>
    <cellStyle name="RowTitles1-Detail 2 3 2 7 3 2_Tertiary Salaries Survey" xfId="8369" xr:uid="{00000000-0005-0000-0000-0000C4200000}"/>
    <cellStyle name="RowTitles1-Detail 2 3 2 7 3 3" xfId="8370" xr:uid="{00000000-0005-0000-0000-0000C5200000}"/>
    <cellStyle name="RowTitles1-Detail 2 3 2 7 3_Tertiary Salaries Survey" xfId="8371" xr:uid="{00000000-0005-0000-0000-0000C6200000}"/>
    <cellStyle name="RowTitles1-Detail 2 3 2 7 4" xfId="8372" xr:uid="{00000000-0005-0000-0000-0000C7200000}"/>
    <cellStyle name="RowTitles1-Detail 2 3 2 7 5" xfId="8373" xr:uid="{00000000-0005-0000-0000-0000C8200000}"/>
    <cellStyle name="RowTitles1-Detail 2 3 2 7_Tertiary Salaries Survey" xfId="8374" xr:uid="{00000000-0005-0000-0000-0000C9200000}"/>
    <cellStyle name="RowTitles1-Detail 2 3 2 8" xfId="8375" xr:uid="{00000000-0005-0000-0000-0000CA200000}"/>
    <cellStyle name="RowTitles1-Detail 2 3 2 8 2" xfId="8376" xr:uid="{00000000-0005-0000-0000-0000CB200000}"/>
    <cellStyle name="RowTitles1-Detail 2 3 2 8 2 2" xfId="8377" xr:uid="{00000000-0005-0000-0000-0000CC200000}"/>
    <cellStyle name="RowTitles1-Detail 2 3 2 8 2 2 2" xfId="8378" xr:uid="{00000000-0005-0000-0000-0000CD200000}"/>
    <cellStyle name="RowTitles1-Detail 2 3 2 8 2 2_Tertiary Salaries Survey" xfId="8379" xr:uid="{00000000-0005-0000-0000-0000CE200000}"/>
    <cellStyle name="RowTitles1-Detail 2 3 2 8 2 3" xfId="8380" xr:uid="{00000000-0005-0000-0000-0000CF200000}"/>
    <cellStyle name="RowTitles1-Detail 2 3 2 8 2_Tertiary Salaries Survey" xfId="8381" xr:uid="{00000000-0005-0000-0000-0000D0200000}"/>
    <cellStyle name="RowTitles1-Detail 2 3 2 8 3" xfId="8382" xr:uid="{00000000-0005-0000-0000-0000D1200000}"/>
    <cellStyle name="RowTitles1-Detail 2 3 2 8 3 2" xfId="8383" xr:uid="{00000000-0005-0000-0000-0000D2200000}"/>
    <cellStyle name="RowTitles1-Detail 2 3 2 8 3 2 2" xfId="8384" xr:uid="{00000000-0005-0000-0000-0000D3200000}"/>
    <cellStyle name="RowTitles1-Detail 2 3 2 8 3 2_Tertiary Salaries Survey" xfId="8385" xr:uid="{00000000-0005-0000-0000-0000D4200000}"/>
    <cellStyle name="RowTitles1-Detail 2 3 2 8 3 3" xfId="8386" xr:uid="{00000000-0005-0000-0000-0000D5200000}"/>
    <cellStyle name="RowTitles1-Detail 2 3 2 8 3_Tertiary Salaries Survey" xfId="8387" xr:uid="{00000000-0005-0000-0000-0000D6200000}"/>
    <cellStyle name="RowTitles1-Detail 2 3 2 8 4" xfId="8388" xr:uid="{00000000-0005-0000-0000-0000D7200000}"/>
    <cellStyle name="RowTitles1-Detail 2 3 2 8 5" xfId="8389" xr:uid="{00000000-0005-0000-0000-0000D8200000}"/>
    <cellStyle name="RowTitles1-Detail 2 3 2 8 5 2" xfId="8390" xr:uid="{00000000-0005-0000-0000-0000D9200000}"/>
    <cellStyle name="RowTitles1-Detail 2 3 2 8 5_Tertiary Salaries Survey" xfId="8391" xr:uid="{00000000-0005-0000-0000-0000DA200000}"/>
    <cellStyle name="RowTitles1-Detail 2 3 2 8 6" xfId="8392" xr:uid="{00000000-0005-0000-0000-0000DB200000}"/>
    <cellStyle name="RowTitles1-Detail 2 3 2 8_Tertiary Salaries Survey" xfId="8393" xr:uid="{00000000-0005-0000-0000-0000DC200000}"/>
    <cellStyle name="RowTitles1-Detail 2 3 2 9" xfId="8394" xr:uid="{00000000-0005-0000-0000-0000DD200000}"/>
    <cellStyle name="RowTitles1-Detail 2 3 2 9 2" xfId="8395" xr:uid="{00000000-0005-0000-0000-0000DE200000}"/>
    <cellStyle name="RowTitles1-Detail 2 3 2 9 2 2" xfId="8396" xr:uid="{00000000-0005-0000-0000-0000DF200000}"/>
    <cellStyle name="RowTitles1-Detail 2 3 2 9 2 2 2" xfId="8397" xr:uid="{00000000-0005-0000-0000-0000E0200000}"/>
    <cellStyle name="RowTitles1-Detail 2 3 2 9 2 2_Tertiary Salaries Survey" xfId="8398" xr:uid="{00000000-0005-0000-0000-0000E1200000}"/>
    <cellStyle name="RowTitles1-Detail 2 3 2 9 2 3" xfId="8399" xr:uid="{00000000-0005-0000-0000-0000E2200000}"/>
    <cellStyle name="RowTitles1-Detail 2 3 2 9 2_Tertiary Salaries Survey" xfId="8400" xr:uid="{00000000-0005-0000-0000-0000E3200000}"/>
    <cellStyle name="RowTitles1-Detail 2 3 2 9 3" xfId="8401" xr:uid="{00000000-0005-0000-0000-0000E4200000}"/>
    <cellStyle name="RowTitles1-Detail 2 3 2 9 3 2" xfId="8402" xr:uid="{00000000-0005-0000-0000-0000E5200000}"/>
    <cellStyle name="RowTitles1-Detail 2 3 2 9 3 2 2" xfId="8403" xr:uid="{00000000-0005-0000-0000-0000E6200000}"/>
    <cellStyle name="RowTitles1-Detail 2 3 2 9 3 2_Tertiary Salaries Survey" xfId="8404" xr:uid="{00000000-0005-0000-0000-0000E7200000}"/>
    <cellStyle name="RowTitles1-Detail 2 3 2 9 3 3" xfId="8405" xr:uid="{00000000-0005-0000-0000-0000E8200000}"/>
    <cellStyle name="RowTitles1-Detail 2 3 2 9 3_Tertiary Salaries Survey" xfId="8406" xr:uid="{00000000-0005-0000-0000-0000E9200000}"/>
    <cellStyle name="RowTitles1-Detail 2 3 2 9 4" xfId="8407" xr:uid="{00000000-0005-0000-0000-0000EA200000}"/>
    <cellStyle name="RowTitles1-Detail 2 3 2 9 4 2" xfId="8408" xr:uid="{00000000-0005-0000-0000-0000EB200000}"/>
    <cellStyle name="RowTitles1-Detail 2 3 2 9 4_Tertiary Salaries Survey" xfId="8409" xr:uid="{00000000-0005-0000-0000-0000EC200000}"/>
    <cellStyle name="RowTitles1-Detail 2 3 2 9 5" xfId="8410" xr:uid="{00000000-0005-0000-0000-0000ED200000}"/>
    <cellStyle name="RowTitles1-Detail 2 3 2 9_Tertiary Salaries Survey" xfId="8411" xr:uid="{00000000-0005-0000-0000-0000EE200000}"/>
    <cellStyle name="RowTitles1-Detail 2 3 2_STUD aligned by INSTIT" xfId="8412" xr:uid="{00000000-0005-0000-0000-0000EF200000}"/>
    <cellStyle name="RowTitles1-Detail 2 3 3" xfId="8413" xr:uid="{00000000-0005-0000-0000-0000F0200000}"/>
    <cellStyle name="RowTitles1-Detail 2 3 3 10" xfId="8414" xr:uid="{00000000-0005-0000-0000-0000F1200000}"/>
    <cellStyle name="RowTitles1-Detail 2 3 3 10 2" xfId="8415" xr:uid="{00000000-0005-0000-0000-0000F2200000}"/>
    <cellStyle name="RowTitles1-Detail 2 3 3 10 2 2" xfId="8416" xr:uid="{00000000-0005-0000-0000-0000F3200000}"/>
    <cellStyle name="RowTitles1-Detail 2 3 3 10 2_Tertiary Salaries Survey" xfId="8417" xr:uid="{00000000-0005-0000-0000-0000F4200000}"/>
    <cellStyle name="RowTitles1-Detail 2 3 3 10 3" xfId="8418" xr:uid="{00000000-0005-0000-0000-0000F5200000}"/>
    <cellStyle name="RowTitles1-Detail 2 3 3 10_Tertiary Salaries Survey" xfId="8419" xr:uid="{00000000-0005-0000-0000-0000F6200000}"/>
    <cellStyle name="RowTitles1-Detail 2 3 3 11" xfId="8420" xr:uid="{00000000-0005-0000-0000-0000F7200000}"/>
    <cellStyle name="RowTitles1-Detail 2 3 3 12" xfId="8421" xr:uid="{00000000-0005-0000-0000-0000F8200000}"/>
    <cellStyle name="RowTitles1-Detail 2 3 3 2" xfId="8422" xr:uid="{00000000-0005-0000-0000-0000F9200000}"/>
    <cellStyle name="RowTitles1-Detail 2 3 3 2 2" xfId="8423" xr:uid="{00000000-0005-0000-0000-0000FA200000}"/>
    <cellStyle name="RowTitles1-Detail 2 3 3 2 2 2" xfId="8424" xr:uid="{00000000-0005-0000-0000-0000FB200000}"/>
    <cellStyle name="RowTitles1-Detail 2 3 3 2 2 2 2" xfId="8425" xr:uid="{00000000-0005-0000-0000-0000FC200000}"/>
    <cellStyle name="RowTitles1-Detail 2 3 3 2 2 2 2 2" xfId="8426" xr:uid="{00000000-0005-0000-0000-0000FD200000}"/>
    <cellStyle name="RowTitles1-Detail 2 3 3 2 2 2 2_Tertiary Salaries Survey" xfId="8427" xr:uid="{00000000-0005-0000-0000-0000FE200000}"/>
    <cellStyle name="RowTitles1-Detail 2 3 3 2 2 2 3" xfId="8428" xr:uid="{00000000-0005-0000-0000-0000FF200000}"/>
    <cellStyle name="RowTitles1-Detail 2 3 3 2 2 2_Tertiary Salaries Survey" xfId="8429" xr:uid="{00000000-0005-0000-0000-000000210000}"/>
    <cellStyle name="RowTitles1-Detail 2 3 3 2 2 3" xfId="8430" xr:uid="{00000000-0005-0000-0000-000001210000}"/>
    <cellStyle name="RowTitles1-Detail 2 3 3 2 2 3 2" xfId="8431" xr:uid="{00000000-0005-0000-0000-000002210000}"/>
    <cellStyle name="RowTitles1-Detail 2 3 3 2 2 3 2 2" xfId="8432" xr:uid="{00000000-0005-0000-0000-000003210000}"/>
    <cellStyle name="RowTitles1-Detail 2 3 3 2 2 3 2_Tertiary Salaries Survey" xfId="8433" xr:uid="{00000000-0005-0000-0000-000004210000}"/>
    <cellStyle name="RowTitles1-Detail 2 3 3 2 2 3 3" xfId="8434" xr:uid="{00000000-0005-0000-0000-000005210000}"/>
    <cellStyle name="RowTitles1-Detail 2 3 3 2 2 3_Tertiary Salaries Survey" xfId="8435" xr:uid="{00000000-0005-0000-0000-000006210000}"/>
    <cellStyle name="RowTitles1-Detail 2 3 3 2 2 4" xfId="8436" xr:uid="{00000000-0005-0000-0000-000007210000}"/>
    <cellStyle name="RowTitles1-Detail 2 3 3 2 2 5" xfId="8437" xr:uid="{00000000-0005-0000-0000-000008210000}"/>
    <cellStyle name="RowTitles1-Detail 2 3 3 2 2_Tertiary Salaries Survey" xfId="8438" xr:uid="{00000000-0005-0000-0000-000009210000}"/>
    <cellStyle name="RowTitles1-Detail 2 3 3 2 3" xfId="8439" xr:uid="{00000000-0005-0000-0000-00000A210000}"/>
    <cellStyle name="RowTitles1-Detail 2 3 3 2 3 2" xfId="8440" xr:uid="{00000000-0005-0000-0000-00000B210000}"/>
    <cellStyle name="RowTitles1-Detail 2 3 3 2 3 2 2" xfId="8441" xr:uid="{00000000-0005-0000-0000-00000C210000}"/>
    <cellStyle name="RowTitles1-Detail 2 3 3 2 3 2 2 2" xfId="8442" xr:uid="{00000000-0005-0000-0000-00000D210000}"/>
    <cellStyle name="RowTitles1-Detail 2 3 3 2 3 2 2_Tertiary Salaries Survey" xfId="8443" xr:uid="{00000000-0005-0000-0000-00000E210000}"/>
    <cellStyle name="RowTitles1-Detail 2 3 3 2 3 2 3" xfId="8444" xr:uid="{00000000-0005-0000-0000-00000F210000}"/>
    <cellStyle name="RowTitles1-Detail 2 3 3 2 3 2_Tertiary Salaries Survey" xfId="8445" xr:uid="{00000000-0005-0000-0000-000010210000}"/>
    <cellStyle name="RowTitles1-Detail 2 3 3 2 3 3" xfId="8446" xr:uid="{00000000-0005-0000-0000-000011210000}"/>
    <cellStyle name="RowTitles1-Detail 2 3 3 2 3 3 2" xfId="8447" xr:uid="{00000000-0005-0000-0000-000012210000}"/>
    <cellStyle name="RowTitles1-Detail 2 3 3 2 3 3 2 2" xfId="8448" xr:uid="{00000000-0005-0000-0000-000013210000}"/>
    <cellStyle name="RowTitles1-Detail 2 3 3 2 3 3 2_Tertiary Salaries Survey" xfId="8449" xr:uid="{00000000-0005-0000-0000-000014210000}"/>
    <cellStyle name="RowTitles1-Detail 2 3 3 2 3 3 3" xfId="8450" xr:uid="{00000000-0005-0000-0000-000015210000}"/>
    <cellStyle name="RowTitles1-Detail 2 3 3 2 3 3_Tertiary Salaries Survey" xfId="8451" xr:uid="{00000000-0005-0000-0000-000016210000}"/>
    <cellStyle name="RowTitles1-Detail 2 3 3 2 3 4" xfId="8452" xr:uid="{00000000-0005-0000-0000-000017210000}"/>
    <cellStyle name="RowTitles1-Detail 2 3 3 2 3 5" xfId="8453" xr:uid="{00000000-0005-0000-0000-000018210000}"/>
    <cellStyle name="RowTitles1-Detail 2 3 3 2 3 5 2" xfId="8454" xr:uid="{00000000-0005-0000-0000-000019210000}"/>
    <cellStyle name="RowTitles1-Detail 2 3 3 2 3 5_Tertiary Salaries Survey" xfId="8455" xr:uid="{00000000-0005-0000-0000-00001A210000}"/>
    <cellStyle name="RowTitles1-Detail 2 3 3 2 3 6" xfId="8456" xr:uid="{00000000-0005-0000-0000-00001B210000}"/>
    <cellStyle name="RowTitles1-Detail 2 3 3 2 3_Tertiary Salaries Survey" xfId="8457" xr:uid="{00000000-0005-0000-0000-00001C210000}"/>
    <cellStyle name="RowTitles1-Detail 2 3 3 2 4" xfId="8458" xr:uid="{00000000-0005-0000-0000-00001D210000}"/>
    <cellStyle name="RowTitles1-Detail 2 3 3 2 4 2" xfId="8459" xr:uid="{00000000-0005-0000-0000-00001E210000}"/>
    <cellStyle name="RowTitles1-Detail 2 3 3 2 4 2 2" xfId="8460" xr:uid="{00000000-0005-0000-0000-00001F210000}"/>
    <cellStyle name="RowTitles1-Detail 2 3 3 2 4 2 2 2" xfId="8461" xr:uid="{00000000-0005-0000-0000-000020210000}"/>
    <cellStyle name="RowTitles1-Detail 2 3 3 2 4 2 2_Tertiary Salaries Survey" xfId="8462" xr:uid="{00000000-0005-0000-0000-000021210000}"/>
    <cellStyle name="RowTitles1-Detail 2 3 3 2 4 2 3" xfId="8463" xr:uid="{00000000-0005-0000-0000-000022210000}"/>
    <cellStyle name="RowTitles1-Detail 2 3 3 2 4 2_Tertiary Salaries Survey" xfId="8464" xr:uid="{00000000-0005-0000-0000-000023210000}"/>
    <cellStyle name="RowTitles1-Detail 2 3 3 2 4 3" xfId="8465" xr:uid="{00000000-0005-0000-0000-000024210000}"/>
    <cellStyle name="RowTitles1-Detail 2 3 3 2 4 3 2" xfId="8466" xr:uid="{00000000-0005-0000-0000-000025210000}"/>
    <cellStyle name="RowTitles1-Detail 2 3 3 2 4 3 2 2" xfId="8467" xr:uid="{00000000-0005-0000-0000-000026210000}"/>
    <cellStyle name="RowTitles1-Detail 2 3 3 2 4 3 2_Tertiary Salaries Survey" xfId="8468" xr:uid="{00000000-0005-0000-0000-000027210000}"/>
    <cellStyle name="RowTitles1-Detail 2 3 3 2 4 3 3" xfId="8469" xr:uid="{00000000-0005-0000-0000-000028210000}"/>
    <cellStyle name="RowTitles1-Detail 2 3 3 2 4 3_Tertiary Salaries Survey" xfId="8470" xr:uid="{00000000-0005-0000-0000-000029210000}"/>
    <cellStyle name="RowTitles1-Detail 2 3 3 2 4 4" xfId="8471" xr:uid="{00000000-0005-0000-0000-00002A210000}"/>
    <cellStyle name="RowTitles1-Detail 2 3 3 2 4 4 2" xfId="8472" xr:uid="{00000000-0005-0000-0000-00002B210000}"/>
    <cellStyle name="RowTitles1-Detail 2 3 3 2 4 4_Tertiary Salaries Survey" xfId="8473" xr:uid="{00000000-0005-0000-0000-00002C210000}"/>
    <cellStyle name="RowTitles1-Detail 2 3 3 2 4 5" xfId="8474" xr:uid="{00000000-0005-0000-0000-00002D210000}"/>
    <cellStyle name="RowTitles1-Detail 2 3 3 2 4_Tertiary Salaries Survey" xfId="8475" xr:uid="{00000000-0005-0000-0000-00002E210000}"/>
    <cellStyle name="RowTitles1-Detail 2 3 3 2 5" xfId="8476" xr:uid="{00000000-0005-0000-0000-00002F210000}"/>
    <cellStyle name="RowTitles1-Detail 2 3 3 2 5 2" xfId="8477" xr:uid="{00000000-0005-0000-0000-000030210000}"/>
    <cellStyle name="RowTitles1-Detail 2 3 3 2 5 2 2" xfId="8478" xr:uid="{00000000-0005-0000-0000-000031210000}"/>
    <cellStyle name="RowTitles1-Detail 2 3 3 2 5 2 2 2" xfId="8479" xr:uid="{00000000-0005-0000-0000-000032210000}"/>
    <cellStyle name="RowTitles1-Detail 2 3 3 2 5 2 2_Tertiary Salaries Survey" xfId="8480" xr:uid="{00000000-0005-0000-0000-000033210000}"/>
    <cellStyle name="RowTitles1-Detail 2 3 3 2 5 2 3" xfId="8481" xr:uid="{00000000-0005-0000-0000-000034210000}"/>
    <cellStyle name="RowTitles1-Detail 2 3 3 2 5 2_Tertiary Salaries Survey" xfId="8482" xr:uid="{00000000-0005-0000-0000-000035210000}"/>
    <cellStyle name="RowTitles1-Detail 2 3 3 2 5 3" xfId="8483" xr:uid="{00000000-0005-0000-0000-000036210000}"/>
    <cellStyle name="RowTitles1-Detail 2 3 3 2 5 3 2" xfId="8484" xr:uid="{00000000-0005-0000-0000-000037210000}"/>
    <cellStyle name="RowTitles1-Detail 2 3 3 2 5 3 2 2" xfId="8485" xr:uid="{00000000-0005-0000-0000-000038210000}"/>
    <cellStyle name="RowTitles1-Detail 2 3 3 2 5 3 2_Tertiary Salaries Survey" xfId="8486" xr:uid="{00000000-0005-0000-0000-000039210000}"/>
    <cellStyle name="RowTitles1-Detail 2 3 3 2 5 3 3" xfId="8487" xr:uid="{00000000-0005-0000-0000-00003A210000}"/>
    <cellStyle name="RowTitles1-Detail 2 3 3 2 5 3_Tertiary Salaries Survey" xfId="8488" xr:uid="{00000000-0005-0000-0000-00003B210000}"/>
    <cellStyle name="RowTitles1-Detail 2 3 3 2 5 4" xfId="8489" xr:uid="{00000000-0005-0000-0000-00003C210000}"/>
    <cellStyle name="RowTitles1-Detail 2 3 3 2 5 4 2" xfId="8490" xr:uid="{00000000-0005-0000-0000-00003D210000}"/>
    <cellStyle name="RowTitles1-Detail 2 3 3 2 5 4_Tertiary Salaries Survey" xfId="8491" xr:uid="{00000000-0005-0000-0000-00003E210000}"/>
    <cellStyle name="RowTitles1-Detail 2 3 3 2 5 5" xfId="8492" xr:uid="{00000000-0005-0000-0000-00003F210000}"/>
    <cellStyle name="RowTitles1-Detail 2 3 3 2 5_Tertiary Salaries Survey" xfId="8493" xr:uid="{00000000-0005-0000-0000-000040210000}"/>
    <cellStyle name="RowTitles1-Detail 2 3 3 2 6" xfId="8494" xr:uid="{00000000-0005-0000-0000-000041210000}"/>
    <cellStyle name="RowTitles1-Detail 2 3 3 2 6 2" xfId="8495" xr:uid="{00000000-0005-0000-0000-000042210000}"/>
    <cellStyle name="RowTitles1-Detail 2 3 3 2 6 2 2" xfId="8496" xr:uid="{00000000-0005-0000-0000-000043210000}"/>
    <cellStyle name="RowTitles1-Detail 2 3 3 2 6 2 2 2" xfId="8497" xr:uid="{00000000-0005-0000-0000-000044210000}"/>
    <cellStyle name="RowTitles1-Detail 2 3 3 2 6 2 2_Tertiary Salaries Survey" xfId="8498" xr:uid="{00000000-0005-0000-0000-000045210000}"/>
    <cellStyle name="RowTitles1-Detail 2 3 3 2 6 2 3" xfId="8499" xr:uid="{00000000-0005-0000-0000-000046210000}"/>
    <cellStyle name="RowTitles1-Detail 2 3 3 2 6 2_Tertiary Salaries Survey" xfId="8500" xr:uid="{00000000-0005-0000-0000-000047210000}"/>
    <cellStyle name="RowTitles1-Detail 2 3 3 2 6 3" xfId="8501" xr:uid="{00000000-0005-0000-0000-000048210000}"/>
    <cellStyle name="RowTitles1-Detail 2 3 3 2 6 3 2" xfId="8502" xr:uid="{00000000-0005-0000-0000-000049210000}"/>
    <cellStyle name="RowTitles1-Detail 2 3 3 2 6 3 2 2" xfId="8503" xr:uid="{00000000-0005-0000-0000-00004A210000}"/>
    <cellStyle name="RowTitles1-Detail 2 3 3 2 6 3 2_Tertiary Salaries Survey" xfId="8504" xr:uid="{00000000-0005-0000-0000-00004B210000}"/>
    <cellStyle name="RowTitles1-Detail 2 3 3 2 6 3 3" xfId="8505" xr:uid="{00000000-0005-0000-0000-00004C210000}"/>
    <cellStyle name="RowTitles1-Detail 2 3 3 2 6 3_Tertiary Salaries Survey" xfId="8506" xr:uid="{00000000-0005-0000-0000-00004D210000}"/>
    <cellStyle name="RowTitles1-Detail 2 3 3 2 6 4" xfId="8507" xr:uid="{00000000-0005-0000-0000-00004E210000}"/>
    <cellStyle name="RowTitles1-Detail 2 3 3 2 6 4 2" xfId="8508" xr:uid="{00000000-0005-0000-0000-00004F210000}"/>
    <cellStyle name="RowTitles1-Detail 2 3 3 2 6 4_Tertiary Salaries Survey" xfId="8509" xr:uid="{00000000-0005-0000-0000-000050210000}"/>
    <cellStyle name="RowTitles1-Detail 2 3 3 2 6 5" xfId="8510" xr:uid="{00000000-0005-0000-0000-000051210000}"/>
    <cellStyle name="RowTitles1-Detail 2 3 3 2 6_Tertiary Salaries Survey" xfId="8511" xr:uid="{00000000-0005-0000-0000-000052210000}"/>
    <cellStyle name="RowTitles1-Detail 2 3 3 2 7" xfId="8512" xr:uid="{00000000-0005-0000-0000-000053210000}"/>
    <cellStyle name="RowTitles1-Detail 2 3 3 2 7 2" xfId="8513" xr:uid="{00000000-0005-0000-0000-000054210000}"/>
    <cellStyle name="RowTitles1-Detail 2 3 3 2 7 2 2" xfId="8514" xr:uid="{00000000-0005-0000-0000-000055210000}"/>
    <cellStyle name="RowTitles1-Detail 2 3 3 2 7 2_Tertiary Salaries Survey" xfId="8515" xr:uid="{00000000-0005-0000-0000-000056210000}"/>
    <cellStyle name="RowTitles1-Detail 2 3 3 2 7 3" xfId="8516" xr:uid="{00000000-0005-0000-0000-000057210000}"/>
    <cellStyle name="RowTitles1-Detail 2 3 3 2 7_Tertiary Salaries Survey" xfId="8517" xr:uid="{00000000-0005-0000-0000-000058210000}"/>
    <cellStyle name="RowTitles1-Detail 2 3 3 2 8" xfId="8518" xr:uid="{00000000-0005-0000-0000-000059210000}"/>
    <cellStyle name="RowTitles1-Detail 2 3 3 2 9" xfId="8519" xr:uid="{00000000-0005-0000-0000-00005A210000}"/>
    <cellStyle name="RowTitles1-Detail 2 3 3 2_STUD aligned by INSTIT" xfId="8520" xr:uid="{00000000-0005-0000-0000-00005B210000}"/>
    <cellStyle name="RowTitles1-Detail 2 3 3 3" xfId="8521" xr:uid="{00000000-0005-0000-0000-00005C210000}"/>
    <cellStyle name="RowTitles1-Detail 2 3 3 3 2" xfId="8522" xr:uid="{00000000-0005-0000-0000-00005D210000}"/>
    <cellStyle name="RowTitles1-Detail 2 3 3 3 2 2" xfId="8523" xr:uid="{00000000-0005-0000-0000-00005E210000}"/>
    <cellStyle name="RowTitles1-Detail 2 3 3 3 2 2 2" xfId="8524" xr:uid="{00000000-0005-0000-0000-00005F210000}"/>
    <cellStyle name="RowTitles1-Detail 2 3 3 3 2 2 2 2" xfId="8525" xr:uid="{00000000-0005-0000-0000-000060210000}"/>
    <cellStyle name="RowTitles1-Detail 2 3 3 3 2 2 2_Tertiary Salaries Survey" xfId="8526" xr:uid="{00000000-0005-0000-0000-000061210000}"/>
    <cellStyle name="RowTitles1-Detail 2 3 3 3 2 2 3" xfId="8527" xr:uid="{00000000-0005-0000-0000-000062210000}"/>
    <cellStyle name="RowTitles1-Detail 2 3 3 3 2 2_Tertiary Salaries Survey" xfId="8528" xr:uid="{00000000-0005-0000-0000-000063210000}"/>
    <cellStyle name="RowTitles1-Detail 2 3 3 3 2 3" xfId="8529" xr:uid="{00000000-0005-0000-0000-000064210000}"/>
    <cellStyle name="RowTitles1-Detail 2 3 3 3 2 3 2" xfId="8530" xr:uid="{00000000-0005-0000-0000-000065210000}"/>
    <cellStyle name="RowTitles1-Detail 2 3 3 3 2 3 2 2" xfId="8531" xr:uid="{00000000-0005-0000-0000-000066210000}"/>
    <cellStyle name="RowTitles1-Detail 2 3 3 3 2 3 2_Tertiary Salaries Survey" xfId="8532" xr:uid="{00000000-0005-0000-0000-000067210000}"/>
    <cellStyle name="RowTitles1-Detail 2 3 3 3 2 3 3" xfId="8533" xr:uid="{00000000-0005-0000-0000-000068210000}"/>
    <cellStyle name="RowTitles1-Detail 2 3 3 3 2 3_Tertiary Salaries Survey" xfId="8534" xr:uid="{00000000-0005-0000-0000-000069210000}"/>
    <cellStyle name="RowTitles1-Detail 2 3 3 3 2 4" xfId="8535" xr:uid="{00000000-0005-0000-0000-00006A210000}"/>
    <cellStyle name="RowTitles1-Detail 2 3 3 3 2 5" xfId="8536" xr:uid="{00000000-0005-0000-0000-00006B210000}"/>
    <cellStyle name="RowTitles1-Detail 2 3 3 3 2 5 2" xfId="8537" xr:uid="{00000000-0005-0000-0000-00006C210000}"/>
    <cellStyle name="RowTitles1-Detail 2 3 3 3 2 5_Tertiary Salaries Survey" xfId="8538" xr:uid="{00000000-0005-0000-0000-00006D210000}"/>
    <cellStyle name="RowTitles1-Detail 2 3 3 3 2 6" xfId="8539" xr:uid="{00000000-0005-0000-0000-00006E210000}"/>
    <cellStyle name="RowTitles1-Detail 2 3 3 3 2_Tertiary Salaries Survey" xfId="8540" xr:uid="{00000000-0005-0000-0000-00006F210000}"/>
    <cellStyle name="RowTitles1-Detail 2 3 3 3 3" xfId="8541" xr:uid="{00000000-0005-0000-0000-000070210000}"/>
    <cellStyle name="RowTitles1-Detail 2 3 3 3 3 2" xfId="8542" xr:uid="{00000000-0005-0000-0000-000071210000}"/>
    <cellStyle name="RowTitles1-Detail 2 3 3 3 3 2 2" xfId="8543" xr:uid="{00000000-0005-0000-0000-000072210000}"/>
    <cellStyle name="RowTitles1-Detail 2 3 3 3 3 2 2 2" xfId="8544" xr:uid="{00000000-0005-0000-0000-000073210000}"/>
    <cellStyle name="RowTitles1-Detail 2 3 3 3 3 2 2_Tertiary Salaries Survey" xfId="8545" xr:uid="{00000000-0005-0000-0000-000074210000}"/>
    <cellStyle name="RowTitles1-Detail 2 3 3 3 3 2 3" xfId="8546" xr:uid="{00000000-0005-0000-0000-000075210000}"/>
    <cellStyle name="RowTitles1-Detail 2 3 3 3 3 2_Tertiary Salaries Survey" xfId="8547" xr:uid="{00000000-0005-0000-0000-000076210000}"/>
    <cellStyle name="RowTitles1-Detail 2 3 3 3 3 3" xfId="8548" xr:uid="{00000000-0005-0000-0000-000077210000}"/>
    <cellStyle name="RowTitles1-Detail 2 3 3 3 3 3 2" xfId="8549" xr:uid="{00000000-0005-0000-0000-000078210000}"/>
    <cellStyle name="RowTitles1-Detail 2 3 3 3 3 3 2 2" xfId="8550" xr:uid="{00000000-0005-0000-0000-000079210000}"/>
    <cellStyle name="RowTitles1-Detail 2 3 3 3 3 3 2_Tertiary Salaries Survey" xfId="8551" xr:uid="{00000000-0005-0000-0000-00007A210000}"/>
    <cellStyle name="RowTitles1-Detail 2 3 3 3 3 3 3" xfId="8552" xr:uid="{00000000-0005-0000-0000-00007B210000}"/>
    <cellStyle name="RowTitles1-Detail 2 3 3 3 3 3_Tertiary Salaries Survey" xfId="8553" xr:uid="{00000000-0005-0000-0000-00007C210000}"/>
    <cellStyle name="RowTitles1-Detail 2 3 3 3 3 4" xfId="8554" xr:uid="{00000000-0005-0000-0000-00007D210000}"/>
    <cellStyle name="RowTitles1-Detail 2 3 3 3 3 5" xfId="8555" xr:uid="{00000000-0005-0000-0000-00007E210000}"/>
    <cellStyle name="RowTitles1-Detail 2 3 3 3 3_Tertiary Salaries Survey" xfId="8556" xr:uid="{00000000-0005-0000-0000-00007F210000}"/>
    <cellStyle name="RowTitles1-Detail 2 3 3 3 4" xfId="8557" xr:uid="{00000000-0005-0000-0000-000080210000}"/>
    <cellStyle name="RowTitles1-Detail 2 3 3 3 4 2" xfId="8558" xr:uid="{00000000-0005-0000-0000-000081210000}"/>
    <cellStyle name="RowTitles1-Detail 2 3 3 3 4 2 2" xfId="8559" xr:uid="{00000000-0005-0000-0000-000082210000}"/>
    <cellStyle name="RowTitles1-Detail 2 3 3 3 4 2 2 2" xfId="8560" xr:uid="{00000000-0005-0000-0000-000083210000}"/>
    <cellStyle name="RowTitles1-Detail 2 3 3 3 4 2 2_Tertiary Salaries Survey" xfId="8561" xr:uid="{00000000-0005-0000-0000-000084210000}"/>
    <cellStyle name="RowTitles1-Detail 2 3 3 3 4 2 3" xfId="8562" xr:uid="{00000000-0005-0000-0000-000085210000}"/>
    <cellStyle name="RowTitles1-Detail 2 3 3 3 4 2_Tertiary Salaries Survey" xfId="8563" xr:uid="{00000000-0005-0000-0000-000086210000}"/>
    <cellStyle name="RowTitles1-Detail 2 3 3 3 4 3" xfId="8564" xr:uid="{00000000-0005-0000-0000-000087210000}"/>
    <cellStyle name="RowTitles1-Detail 2 3 3 3 4 3 2" xfId="8565" xr:uid="{00000000-0005-0000-0000-000088210000}"/>
    <cellStyle name="RowTitles1-Detail 2 3 3 3 4 3 2 2" xfId="8566" xr:uid="{00000000-0005-0000-0000-000089210000}"/>
    <cellStyle name="RowTitles1-Detail 2 3 3 3 4 3 2_Tertiary Salaries Survey" xfId="8567" xr:uid="{00000000-0005-0000-0000-00008A210000}"/>
    <cellStyle name="RowTitles1-Detail 2 3 3 3 4 3 3" xfId="8568" xr:uid="{00000000-0005-0000-0000-00008B210000}"/>
    <cellStyle name="RowTitles1-Detail 2 3 3 3 4 3_Tertiary Salaries Survey" xfId="8569" xr:uid="{00000000-0005-0000-0000-00008C210000}"/>
    <cellStyle name="RowTitles1-Detail 2 3 3 3 4 4" xfId="8570" xr:uid="{00000000-0005-0000-0000-00008D210000}"/>
    <cellStyle name="RowTitles1-Detail 2 3 3 3 4 4 2" xfId="8571" xr:uid="{00000000-0005-0000-0000-00008E210000}"/>
    <cellStyle name="RowTitles1-Detail 2 3 3 3 4 4_Tertiary Salaries Survey" xfId="8572" xr:uid="{00000000-0005-0000-0000-00008F210000}"/>
    <cellStyle name="RowTitles1-Detail 2 3 3 3 4 5" xfId="8573" xr:uid="{00000000-0005-0000-0000-000090210000}"/>
    <cellStyle name="RowTitles1-Detail 2 3 3 3 4_Tertiary Salaries Survey" xfId="8574" xr:uid="{00000000-0005-0000-0000-000091210000}"/>
    <cellStyle name="RowTitles1-Detail 2 3 3 3 5" xfId="8575" xr:uid="{00000000-0005-0000-0000-000092210000}"/>
    <cellStyle name="RowTitles1-Detail 2 3 3 3 5 2" xfId="8576" xr:uid="{00000000-0005-0000-0000-000093210000}"/>
    <cellStyle name="RowTitles1-Detail 2 3 3 3 5 2 2" xfId="8577" xr:uid="{00000000-0005-0000-0000-000094210000}"/>
    <cellStyle name="RowTitles1-Detail 2 3 3 3 5 2 2 2" xfId="8578" xr:uid="{00000000-0005-0000-0000-000095210000}"/>
    <cellStyle name="RowTitles1-Detail 2 3 3 3 5 2 2_Tertiary Salaries Survey" xfId="8579" xr:uid="{00000000-0005-0000-0000-000096210000}"/>
    <cellStyle name="RowTitles1-Detail 2 3 3 3 5 2 3" xfId="8580" xr:uid="{00000000-0005-0000-0000-000097210000}"/>
    <cellStyle name="RowTitles1-Detail 2 3 3 3 5 2_Tertiary Salaries Survey" xfId="8581" xr:uid="{00000000-0005-0000-0000-000098210000}"/>
    <cellStyle name="RowTitles1-Detail 2 3 3 3 5 3" xfId="8582" xr:uid="{00000000-0005-0000-0000-000099210000}"/>
    <cellStyle name="RowTitles1-Detail 2 3 3 3 5 3 2" xfId="8583" xr:uid="{00000000-0005-0000-0000-00009A210000}"/>
    <cellStyle name="RowTitles1-Detail 2 3 3 3 5 3 2 2" xfId="8584" xr:uid="{00000000-0005-0000-0000-00009B210000}"/>
    <cellStyle name="RowTitles1-Detail 2 3 3 3 5 3 2_Tertiary Salaries Survey" xfId="8585" xr:uid="{00000000-0005-0000-0000-00009C210000}"/>
    <cellStyle name="RowTitles1-Detail 2 3 3 3 5 3 3" xfId="8586" xr:uid="{00000000-0005-0000-0000-00009D210000}"/>
    <cellStyle name="RowTitles1-Detail 2 3 3 3 5 3_Tertiary Salaries Survey" xfId="8587" xr:uid="{00000000-0005-0000-0000-00009E210000}"/>
    <cellStyle name="RowTitles1-Detail 2 3 3 3 5 4" xfId="8588" xr:uid="{00000000-0005-0000-0000-00009F210000}"/>
    <cellStyle name="RowTitles1-Detail 2 3 3 3 5 4 2" xfId="8589" xr:uid="{00000000-0005-0000-0000-0000A0210000}"/>
    <cellStyle name="RowTitles1-Detail 2 3 3 3 5 4_Tertiary Salaries Survey" xfId="8590" xr:uid="{00000000-0005-0000-0000-0000A1210000}"/>
    <cellStyle name="RowTitles1-Detail 2 3 3 3 5 5" xfId="8591" xr:uid="{00000000-0005-0000-0000-0000A2210000}"/>
    <cellStyle name="RowTitles1-Detail 2 3 3 3 5_Tertiary Salaries Survey" xfId="8592" xr:uid="{00000000-0005-0000-0000-0000A3210000}"/>
    <cellStyle name="RowTitles1-Detail 2 3 3 3 6" xfId="8593" xr:uid="{00000000-0005-0000-0000-0000A4210000}"/>
    <cellStyle name="RowTitles1-Detail 2 3 3 3 6 2" xfId="8594" xr:uid="{00000000-0005-0000-0000-0000A5210000}"/>
    <cellStyle name="RowTitles1-Detail 2 3 3 3 6 2 2" xfId="8595" xr:uid="{00000000-0005-0000-0000-0000A6210000}"/>
    <cellStyle name="RowTitles1-Detail 2 3 3 3 6 2 2 2" xfId="8596" xr:uid="{00000000-0005-0000-0000-0000A7210000}"/>
    <cellStyle name="RowTitles1-Detail 2 3 3 3 6 2 2_Tertiary Salaries Survey" xfId="8597" xr:uid="{00000000-0005-0000-0000-0000A8210000}"/>
    <cellStyle name="RowTitles1-Detail 2 3 3 3 6 2 3" xfId="8598" xr:uid="{00000000-0005-0000-0000-0000A9210000}"/>
    <cellStyle name="RowTitles1-Detail 2 3 3 3 6 2_Tertiary Salaries Survey" xfId="8599" xr:uid="{00000000-0005-0000-0000-0000AA210000}"/>
    <cellStyle name="RowTitles1-Detail 2 3 3 3 6 3" xfId="8600" xr:uid="{00000000-0005-0000-0000-0000AB210000}"/>
    <cellStyle name="RowTitles1-Detail 2 3 3 3 6 3 2" xfId="8601" xr:uid="{00000000-0005-0000-0000-0000AC210000}"/>
    <cellStyle name="RowTitles1-Detail 2 3 3 3 6 3 2 2" xfId="8602" xr:uid="{00000000-0005-0000-0000-0000AD210000}"/>
    <cellStyle name="RowTitles1-Detail 2 3 3 3 6 3 2_Tertiary Salaries Survey" xfId="8603" xr:uid="{00000000-0005-0000-0000-0000AE210000}"/>
    <cellStyle name="RowTitles1-Detail 2 3 3 3 6 3 3" xfId="8604" xr:uid="{00000000-0005-0000-0000-0000AF210000}"/>
    <cellStyle name="RowTitles1-Detail 2 3 3 3 6 3_Tertiary Salaries Survey" xfId="8605" xr:uid="{00000000-0005-0000-0000-0000B0210000}"/>
    <cellStyle name="RowTitles1-Detail 2 3 3 3 6 4" xfId="8606" xr:uid="{00000000-0005-0000-0000-0000B1210000}"/>
    <cellStyle name="RowTitles1-Detail 2 3 3 3 6 4 2" xfId="8607" xr:uid="{00000000-0005-0000-0000-0000B2210000}"/>
    <cellStyle name="RowTitles1-Detail 2 3 3 3 6 4_Tertiary Salaries Survey" xfId="8608" xr:uid="{00000000-0005-0000-0000-0000B3210000}"/>
    <cellStyle name="RowTitles1-Detail 2 3 3 3 6 5" xfId="8609" xr:uid="{00000000-0005-0000-0000-0000B4210000}"/>
    <cellStyle name="RowTitles1-Detail 2 3 3 3 6_Tertiary Salaries Survey" xfId="8610" xr:uid="{00000000-0005-0000-0000-0000B5210000}"/>
    <cellStyle name="RowTitles1-Detail 2 3 3 3 7" xfId="8611" xr:uid="{00000000-0005-0000-0000-0000B6210000}"/>
    <cellStyle name="RowTitles1-Detail 2 3 3 3 7 2" xfId="8612" xr:uid="{00000000-0005-0000-0000-0000B7210000}"/>
    <cellStyle name="RowTitles1-Detail 2 3 3 3 7 2 2" xfId="8613" xr:uid="{00000000-0005-0000-0000-0000B8210000}"/>
    <cellStyle name="RowTitles1-Detail 2 3 3 3 7 2_Tertiary Salaries Survey" xfId="8614" xr:uid="{00000000-0005-0000-0000-0000B9210000}"/>
    <cellStyle name="RowTitles1-Detail 2 3 3 3 7 3" xfId="8615" xr:uid="{00000000-0005-0000-0000-0000BA210000}"/>
    <cellStyle name="RowTitles1-Detail 2 3 3 3 7_Tertiary Salaries Survey" xfId="8616" xr:uid="{00000000-0005-0000-0000-0000BB210000}"/>
    <cellStyle name="RowTitles1-Detail 2 3 3 3 8" xfId="8617" xr:uid="{00000000-0005-0000-0000-0000BC210000}"/>
    <cellStyle name="RowTitles1-Detail 2 3 3 3 8 2" xfId="8618" xr:uid="{00000000-0005-0000-0000-0000BD210000}"/>
    <cellStyle name="RowTitles1-Detail 2 3 3 3 8 2 2" xfId="8619" xr:uid="{00000000-0005-0000-0000-0000BE210000}"/>
    <cellStyle name="RowTitles1-Detail 2 3 3 3 8 2_Tertiary Salaries Survey" xfId="8620" xr:uid="{00000000-0005-0000-0000-0000BF210000}"/>
    <cellStyle name="RowTitles1-Detail 2 3 3 3 8 3" xfId="8621" xr:uid="{00000000-0005-0000-0000-0000C0210000}"/>
    <cellStyle name="RowTitles1-Detail 2 3 3 3 8_Tertiary Salaries Survey" xfId="8622" xr:uid="{00000000-0005-0000-0000-0000C1210000}"/>
    <cellStyle name="RowTitles1-Detail 2 3 3 3 9" xfId="8623" xr:uid="{00000000-0005-0000-0000-0000C2210000}"/>
    <cellStyle name="RowTitles1-Detail 2 3 3 3_STUD aligned by INSTIT" xfId="8624" xr:uid="{00000000-0005-0000-0000-0000C3210000}"/>
    <cellStyle name="RowTitles1-Detail 2 3 3 4" xfId="8625" xr:uid="{00000000-0005-0000-0000-0000C4210000}"/>
    <cellStyle name="RowTitles1-Detail 2 3 3 4 2" xfId="8626" xr:uid="{00000000-0005-0000-0000-0000C5210000}"/>
    <cellStyle name="RowTitles1-Detail 2 3 3 4 2 2" xfId="8627" xr:uid="{00000000-0005-0000-0000-0000C6210000}"/>
    <cellStyle name="RowTitles1-Detail 2 3 3 4 2 2 2" xfId="8628" xr:uid="{00000000-0005-0000-0000-0000C7210000}"/>
    <cellStyle name="RowTitles1-Detail 2 3 3 4 2 2 2 2" xfId="8629" xr:uid="{00000000-0005-0000-0000-0000C8210000}"/>
    <cellStyle name="RowTitles1-Detail 2 3 3 4 2 2 2_Tertiary Salaries Survey" xfId="8630" xr:uid="{00000000-0005-0000-0000-0000C9210000}"/>
    <cellStyle name="RowTitles1-Detail 2 3 3 4 2 2 3" xfId="8631" xr:uid="{00000000-0005-0000-0000-0000CA210000}"/>
    <cellStyle name="RowTitles1-Detail 2 3 3 4 2 2_Tertiary Salaries Survey" xfId="8632" xr:uid="{00000000-0005-0000-0000-0000CB210000}"/>
    <cellStyle name="RowTitles1-Detail 2 3 3 4 2 3" xfId="8633" xr:uid="{00000000-0005-0000-0000-0000CC210000}"/>
    <cellStyle name="RowTitles1-Detail 2 3 3 4 2 3 2" xfId="8634" xr:uid="{00000000-0005-0000-0000-0000CD210000}"/>
    <cellStyle name="RowTitles1-Detail 2 3 3 4 2 3 2 2" xfId="8635" xr:uid="{00000000-0005-0000-0000-0000CE210000}"/>
    <cellStyle name="RowTitles1-Detail 2 3 3 4 2 3 2_Tertiary Salaries Survey" xfId="8636" xr:uid="{00000000-0005-0000-0000-0000CF210000}"/>
    <cellStyle name="RowTitles1-Detail 2 3 3 4 2 3 3" xfId="8637" xr:uid="{00000000-0005-0000-0000-0000D0210000}"/>
    <cellStyle name="RowTitles1-Detail 2 3 3 4 2 3_Tertiary Salaries Survey" xfId="8638" xr:uid="{00000000-0005-0000-0000-0000D1210000}"/>
    <cellStyle name="RowTitles1-Detail 2 3 3 4 2 4" xfId="8639" xr:uid="{00000000-0005-0000-0000-0000D2210000}"/>
    <cellStyle name="RowTitles1-Detail 2 3 3 4 2 5" xfId="8640" xr:uid="{00000000-0005-0000-0000-0000D3210000}"/>
    <cellStyle name="RowTitles1-Detail 2 3 3 4 2 5 2" xfId="8641" xr:uid="{00000000-0005-0000-0000-0000D4210000}"/>
    <cellStyle name="RowTitles1-Detail 2 3 3 4 2 5_Tertiary Salaries Survey" xfId="8642" xr:uid="{00000000-0005-0000-0000-0000D5210000}"/>
    <cellStyle name="RowTitles1-Detail 2 3 3 4 2 6" xfId="8643" xr:uid="{00000000-0005-0000-0000-0000D6210000}"/>
    <cellStyle name="RowTitles1-Detail 2 3 3 4 2_Tertiary Salaries Survey" xfId="8644" xr:uid="{00000000-0005-0000-0000-0000D7210000}"/>
    <cellStyle name="RowTitles1-Detail 2 3 3 4 3" xfId="8645" xr:uid="{00000000-0005-0000-0000-0000D8210000}"/>
    <cellStyle name="RowTitles1-Detail 2 3 3 4 3 2" xfId="8646" xr:uid="{00000000-0005-0000-0000-0000D9210000}"/>
    <cellStyle name="RowTitles1-Detail 2 3 3 4 3 2 2" xfId="8647" xr:uid="{00000000-0005-0000-0000-0000DA210000}"/>
    <cellStyle name="RowTitles1-Detail 2 3 3 4 3 2 2 2" xfId="8648" xr:uid="{00000000-0005-0000-0000-0000DB210000}"/>
    <cellStyle name="RowTitles1-Detail 2 3 3 4 3 2 2_Tertiary Salaries Survey" xfId="8649" xr:uid="{00000000-0005-0000-0000-0000DC210000}"/>
    <cellStyle name="RowTitles1-Detail 2 3 3 4 3 2 3" xfId="8650" xr:uid="{00000000-0005-0000-0000-0000DD210000}"/>
    <cellStyle name="RowTitles1-Detail 2 3 3 4 3 2_Tertiary Salaries Survey" xfId="8651" xr:uid="{00000000-0005-0000-0000-0000DE210000}"/>
    <cellStyle name="RowTitles1-Detail 2 3 3 4 3 3" xfId="8652" xr:uid="{00000000-0005-0000-0000-0000DF210000}"/>
    <cellStyle name="RowTitles1-Detail 2 3 3 4 3 3 2" xfId="8653" xr:uid="{00000000-0005-0000-0000-0000E0210000}"/>
    <cellStyle name="RowTitles1-Detail 2 3 3 4 3 3 2 2" xfId="8654" xr:uid="{00000000-0005-0000-0000-0000E1210000}"/>
    <cellStyle name="RowTitles1-Detail 2 3 3 4 3 3 2_Tertiary Salaries Survey" xfId="8655" xr:uid="{00000000-0005-0000-0000-0000E2210000}"/>
    <cellStyle name="RowTitles1-Detail 2 3 3 4 3 3 3" xfId="8656" xr:uid="{00000000-0005-0000-0000-0000E3210000}"/>
    <cellStyle name="RowTitles1-Detail 2 3 3 4 3 3_Tertiary Salaries Survey" xfId="8657" xr:uid="{00000000-0005-0000-0000-0000E4210000}"/>
    <cellStyle name="RowTitles1-Detail 2 3 3 4 3 4" xfId="8658" xr:uid="{00000000-0005-0000-0000-0000E5210000}"/>
    <cellStyle name="RowTitles1-Detail 2 3 3 4 3 5" xfId="8659" xr:uid="{00000000-0005-0000-0000-0000E6210000}"/>
    <cellStyle name="RowTitles1-Detail 2 3 3 4 3_Tertiary Salaries Survey" xfId="8660" xr:uid="{00000000-0005-0000-0000-0000E7210000}"/>
    <cellStyle name="RowTitles1-Detail 2 3 3 4 4" xfId="8661" xr:uid="{00000000-0005-0000-0000-0000E8210000}"/>
    <cellStyle name="RowTitles1-Detail 2 3 3 4 4 2" xfId="8662" xr:uid="{00000000-0005-0000-0000-0000E9210000}"/>
    <cellStyle name="RowTitles1-Detail 2 3 3 4 4 2 2" xfId="8663" xr:uid="{00000000-0005-0000-0000-0000EA210000}"/>
    <cellStyle name="RowTitles1-Detail 2 3 3 4 4 2 2 2" xfId="8664" xr:uid="{00000000-0005-0000-0000-0000EB210000}"/>
    <cellStyle name="RowTitles1-Detail 2 3 3 4 4 2 2_Tertiary Salaries Survey" xfId="8665" xr:uid="{00000000-0005-0000-0000-0000EC210000}"/>
    <cellStyle name="RowTitles1-Detail 2 3 3 4 4 2 3" xfId="8666" xr:uid="{00000000-0005-0000-0000-0000ED210000}"/>
    <cellStyle name="RowTitles1-Detail 2 3 3 4 4 2_Tertiary Salaries Survey" xfId="8667" xr:uid="{00000000-0005-0000-0000-0000EE210000}"/>
    <cellStyle name="RowTitles1-Detail 2 3 3 4 4 3" xfId="8668" xr:uid="{00000000-0005-0000-0000-0000EF210000}"/>
    <cellStyle name="RowTitles1-Detail 2 3 3 4 4 3 2" xfId="8669" xr:uid="{00000000-0005-0000-0000-0000F0210000}"/>
    <cellStyle name="RowTitles1-Detail 2 3 3 4 4 3 2 2" xfId="8670" xr:uid="{00000000-0005-0000-0000-0000F1210000}"/>
    <cellStyle name="RowTitles1-Detail 2 3 3 4 4 3 2_Tertiary Salaries Survey" xfId="8671" xr:uid="{00000000-0005-0000-0000-0000F2210000}"/>
    <cellStyle name="RowTitles1-Detail 2 3 3 4 4 3 3" xfId="8672" xr:uid="{00000000-0005-0000-0000-0000F3210000}"/>
    <cellStyle name="RowTitles1-Detail 2 3 3 4 4 3_Tertiary Salaries Survey" xfId="8673" xr:uid="{00000000-0005-0000-0000-0000F4210000}"/>
    <cellStyle name="RowTitles1-Detail 2 3 3 4 4 4" xfId="8674" xr:uid="{00000000-0005-0000-0000-0000F5210000}"/>
    <cellStyle name="RowTitles1-Detail 2 3 3 4 4 5" xfId="8675" xr:uid="{00000000-0005-0000-0000-0000F6210000}"/>
    <cellStyle name="RowTitles1-Detail 2 3 3 4 4 5 2" xfId="8676" xr:uid="{00000000-0005-0000-0000-0000F7210000}"/>
    <cellStyle name="RowTitles1-Detail 2 3 3 4 4 5_Tertiary Salaries Survey" xfId="8677" xr:uid="{00000000-0005-0000-0000-0000F8210000}"/>
    <cellStyle name="RowTitles1-Detail 2 3 3 4 4 6" xfId="8678" xr:uid="{00000000-0005-0000-0000-0000F9210000}"/>
    <cellStyle name="RowTitles1-Detail 2 3 3 4 4_Tertiary Salaries Survey" xfId="8679" xr:uid="{00000000-0005-0000-0000-0000FA210000}"/>
    <cellStyle name="RowTitles1-Detail 2 3 3 4 5" xfId="8680" xr:uid="{00000000-0005-0000-0000-0000FB210000}"/>
    <cellStyle name="RowTitles1-Detail 2 3 3 4 5 2" xfId="8681" xr:uid="{00000000-0005-0000-0000-0000FC210000}"/>
    <cellStyle name="RowTitles1-Detail 2 3 3 4 5 2 2" xfId="8682" xr:uid="{00000000-0005-0000-0000-0000FD210000}"/>
    <cellStyle name="RowTitles1-Detail 2 3 3 4 5 2 2 2" xfId="8683" xr:uid="{00000000-0005-0000-0000-0000FE210000}"/>
    <cellStyle name="RowTitles1-Detail 2 3 3 4 5 2 2_Tertiary Salaries Survey" xfId="8684" xr:uid="{00000000-0005-0000-0000-0000FF210000}"/>
    <cellStyle name="RowTitles1-Detail 2 3 3 4 5 2 3" xfId="8685" xr:uid="{00000000-0005-0000-0000-000000220000}"/>
    <cellStyle name="RowTitles1-Detail 2 3 3 4 5 2_Tertiary Salaries Survey" xfId="8686" xr:uid="{00000000-0005-0000-0000-000001220000}"/>
    <cellStyle name="RowTitles1-Detail 2 3 3 4 5 3" xfId="8687" xr:uid="{00000000-0005-0000-0000-000002220000}"/>
    <cellStyle name="RowTitles1-Detail 2 3 3 4 5 3 2" xfId="8688" xr:uid="{00000000-0005-0000-0000-000003220000}"/>
    <cellStyle name="RowTitles1-Detail 2 3 3 4 5 3 2 2" xfId="8689" xr:uid="{00000000-0005-0000-0000-000004220000}"/>
    <cellStyle name="RowTitles1-Detail 2 3 3 4 5 3 2_Tertiary Salaries Survey" xfId="8690" xr:uid="{00000000-0005-0000-0000-000005220000}"/>
    <cellStyle name="RowTitles1-Detail 2 3 3 4 5 3 3" xfId="8691" xr:uid="{00000000-0005-0000-0000-000006220000}"/>
    <cellStyle name="RowTitles1-Detail 2 3 3 4 5 3_Tertiary Salaries Survey" xfId="8692" xr:uid="{00000000-0005-0000-0000-000007220000}"/>
    <cellStyle name="RowTitles1-Detail 2 3 3 4 5 4" xfId="8693" xr:uid="{00000000-0005-0000-0000-000008220000}"/>
    <cellStyle name="RowTitles1-Detail 2 3 3 4 5 4 2" xfId="8694" xr:uid="{00000000-0005-0000-0000-000009220000}"/>
    <cellStyle name="RowTitles1-Detail 2 3 3 4 5 4_Tertiary Salaries Survey" xfId="8695" xr:uid="{00000000-0005-0000-0000-00000A220000}"/>
    <cellStyle name="RowTitles1-Detail 2 3 3 4 5 5" xfId="8696" xr:uid="{00000000-0005-0000-0000-00000B220000}"/>
    <cellStyle name="RowTitles1-Detail 2 3 3 4 5_Tertiary Salaries Survey" xfId="8697" xr:uid="{00000000-0005-0000-0000-00000C220000}"/>
    <cellStyle name="RowTitles1-Detail 2 3 3 4 6" xfId="8698" xr:uid="{00000000-0005-0000-0000-00000D220000}"/>
    <cellStyle name="RowTitles1-Detail 2 3 3 4 6 2" xfId="8699" xr:uid="{00000000-0005-0000-0000-00000E220000}"/>
    <cellStyle name="RowTitles1-Detail 2 3 3 4 6 2 2" xfId="8700" xr:uid="{00000000-0005-0000-0000-00000F220000}"/>
    <cellStyle name="RowTitles1-Detail 2 3 3 4 6 2 2 2" xfId="8701" xr:uid="{00000000-0005-0000-0000-000010220000}"/>
    <cellStyle name="RowTitles1-Detail 2 3 3 4 6 2 2_Tertiary Salaries Survey" xfId="8702" xr:uid="{00000000-0005-0000-0000-000011220000}"/>
    <cellStyle name="RowTitles1-Detail 2 3 3 4 6 2 3" xfId="8703" xr:uid="{00000000-0005-0000-0000-000012220000}"/>
    <cellStyle name="RowTitles1-Detail 2 3 3 4 6 2_Tertiary Salaries Survey" xfId="8704" xr:uid="{00000000-0005-0000-0000-000013220000}"/>
    <cellStyle name="RowTitles1-Detail 2 3 3 4 6 3" xfId="8705" xr:uid="{00000000-0005-0000-0000-000014220000}"/>
    <cellStyle name="RowTitles1-Detail 2 3 3 4 6 3 2" xfId="8706" xr:uid="{00000000-0005-0000-0000-000015220000}"/>
    <cellStyle name="RowTitles1-Detail 2 3 3 4 6 3 2 2" xfId="8707" xr:uid="{00000000-0005-0000-0000-000016220000}"/>
    <cellStyle name="RowTitles1-Detail 2 3 3 4 6 3 2_Tertiary Salaries Survey" xfId="8708" xr:uid="{00000000-0005-0000-0000-000017220000}"/>
    <cellStyle name="RowTitles1-Detail 2 3 3 4 6 3 3" xfId="8709" xr:uid="{00000000-0005-0000-0000-000018220000}"/>
    <cellStyle name="RowTitles1-Detail 2 3 3 4 6 3_Tertiary Salaries Survey" xfId="8710" xr:uid="{00000000-0005-0000-0000-000019220000}"/>
    <cellStyle name="RowTitles1-Detail 2 3 3 4 6 4" xfId="8711" xr:uid="{00000000-0005-0000-0000-00001A220000}"/>
    <cellStyle name="RowTitles1-Detail 2 3 3 4 6 4 2" xfId="8712" xr:uid="{00000000-0005-0000-0000-00001B220000}"/>
    <cellStyle name="RowTitles1-Detail 2 3 3 4 6 4_Tertiary Salaries Survey" xfId="8713" xr:uid="{00000000-0005-0000-0000-00001C220000}"/>
    <cellStyle name="RowTitles1-Detail 2 3 3 4 6 5" xfId="8714" xr:uid="{00000000-0005-0000-0000-00001D220000}"/>
    <cellStyle name="RowTitles1-Detail 2 3 3 4 6_Tertiary Salaries Survey" xfId="8715" xr:uid="{00000000-0005-0000-0000-00001E220000}"/>
    <cellStyle name="RowTitles1-Detail 2 3 3 4 7" xfId="8716" xr:uid="{00000000-0005-0000-0000-00001F220000}"/>
    <cellStyle name="RowTitles1-Detail 2 3 3 4 7 2" xfId="8717" xr:uid="{00000000-0005-0000-0000-000020220000}"/>
    <cellStyle name="RowTitles1-Detail 2 3 3 4 7 2 2" xfId="8718" xr:uid="{00000000-0005-0000-0000-000021220000}"/>
    <cellStyle name="RowTitles1-Detail 2 3 3 4 7 2_Tertiary Salaries Survey" xfId="8719" xr:uid="{00000000-0005-0000-0000-000022220000}"/>
    <cellStyle name="RowTitles1-Detail 2 3 3 4 7 3" xfId="8720" xr:uid="{00000000-0005-0000-0000-000023220000}"/>
    <cellStyle name="RowTitles1-Detail 2 3 3 4 7_Tertiary Salaries Survey" xfId="8721" xr:uid="{00000000-0005-0000-0000-000024220000}"/>
    <cellStyle name="RowTitles1-Detail 2 3 3 4 8" xfId="8722" xr:uid="{00000000-0005-0000-0000-000025220000}"/>
    <cellStyle name="RowTitles1-Detail 2 3 3 4 9" xfId="8723" xr:uid="{00000000-0005-0000-0000-000026220000}"/>
    <cellStyle name="RowTitles1-Detail 2 3 3 4_STUD aligned by INSTIT" xfId="8724" xr:uid="{00000000-0005-0000-0000-000027220000}"/>
    <cellStyle name="RowTitles1-Detail 2 3 3 5" xfId="8725" xr:uid="{00000000-0005-0000-0000-000028220000}"/>
    <cellStyle name="RowTitles1-Detail 2 3 3 5 2" xfId="8726" xr:uid="{00000000-0005-0000-0000-000029220000}"/>
    <cellStyle name="RowTitles1-Detail 2 3 3 5 2 2" xfId="8727" xr:uid="{00000000-0005-0000-0000-00002A220000}"/>
    <cellStyle name="RowTitles1-Detail 2 3 3 5 2 2 2" xfId="8728" xr:uid="{00000000-0005-0000-0000-00002B220000}"/>
    <cellStyle name="RowTitles1-Detail 2 3 3 5 2 2_Tertiary Salaries Survey" xfId="8729" xr:uid="{00000000-0005-0000-0000-00002C220000}"/>
    <cellStyle name="RowTitles1-Detail 2 3 3 5 2 3" xfId="8730" xr:uid="{00000000-0005-0000-0000-00002D220000}"/>
    <cellStyle name="RowTitles1-Detail 2 3 3 5 2_Tertiary Salaries Survey" xfId="8731" xr:uid="{00000000-0005-0000-0000-00002E220000}"/>
    <cellStyle name="RowTitles1-Detail 2 3 3 5 3" xfId="8732" xr:uid="{00000000-0005-0000-0000-00002F220000}"/>
    <cellStyle name="RowTitles1-Detail 2 3 3 5 3 2" xfId="8733" xr:uid="{00000000-0005-0000-0000-000030220000}"/>
    <cellStyle name="RowTitles1-Detail 2 3 3 5 3 2 2" xfId="8734" xr:uid="{00000000-0005-0000-0000-000031220000}"/>
    <cellStyle name="RowTitles1-Detail 2 3 3 5 3 2_Tertiary Salaries Survey" xfId="8735" xr:uid="{00000000-0005-0000-0000-000032220000}"/>
    <cellStyle name="RowTitles1-Detail 2 3 3 5 3 3" xfId="8736" xr:uid="{00000000-0005-0000-0000-000033220000}"/>
    <cellStyle name="RowTitles1-Detail 2 3 3 5 3_Tertiary Salaries Survey" xfId="8737" xr:uid="{00000000-0005-0000-0000-000034220000}"/>
    <cellStyle name="RowTitles1-Detail 2 3 3 5 4" xfId="8738" xr:uid="{00000000-0005-0000-0000-000035220000}"/>
    <cellStyle name="RowTitles1-Detail 2 3 3 5 5" xfId="8739" xr:uid="{00000000-0005-0000-0000-000036220000}"/>
    <cellStyle name="RowTitles1-Detail 2 3 3 5 5 2" xfId="8740" xr:uid="{00000000-0005-0000-0000-000037220000}"/>
    <cellStyle name="RowTitles1-Detail 2 3 3 5 5_Tertiary Salaries Survey" xfId="8741" xr:uid="{00000000-0005-0000-0000-000038220000}"/>
    <cellStyle name="RowTitles1-Detail 2 3 3 5 6" xfId="8742" xr:uid="{00000000-0005-0000-0000-000039220000}"/>
    <cellStyle name="RowTitles1-Detail 2 3 3 5_Tertiary Salaries Survey" xfId="8743" xr:uid="{00000000-0005-0000-0000-00003A220000}"/>
    <cellStyle name="RowTitles1-Detail 2 3 3 6" xfId="8744" xr:uid="{00000000-0005-0000-0000-00003B220000}"/>
    <cellStyle name="RowTitles1-Detail 2 3 3 6 2" xfId="8745" xr:uid="{00000000-0005-0000-0000-00003C220000}"/>
    <cellStyle name="RowTitles1-Detail 2 3 3 6 2 2" xfId="8746" xr:uid="{00000000-0005-0000-0000-00003D220000}"/>
    <cellStyle name="RowTitles1-Detail 2 3 3 6 2 2 2" xfId="8747" xr:uid="{00000000-0005-0000-0000-00003E220000}"/>
    <cellStyle name="RowTitles1-Detail 2 3 3 6 2 2_Tertiary Salaries Survey" xfId="8748" xr:uid="{00000000-0005-0000-0000-00003F220000}"/>
    <cellStyle name="RowTitles1-Detail 2 3 3 6 2 3" xfId="8749" xr:uid="{00000000-0005-0000-0000-000040220000}"/>
    <cellStyle name="RowTitles1-Detail 2 3 3 6 2_Tertiary Salaries Survey" xfId="8750" xr:uid="{00000000-0005-0000-0000-000041220000}"/>
    <cellStyle name="RowTitles1-Detail 2 3 3 6 3" xfId="8751" xr:uid="{00000000-0005-0000-0000-000042220000}"/>
    <cellStyle name="RowTitles1-Detail 2 3 3 6 3 2" xfId="8752" xr:uid="{00000000-0005-0000-0000-000043220000}"/>
    <cellStyle name="RowTitles1-Detail 2 3 3 6 3 2 2" xfId="8753" xr:uid="{00000000-0005-0000-0000-000044220000}"/>
    <cellStyle name="RowTitles1-Detail 2 3 3 6 3 2_Tertiary Salaries Survey" xfId="8754" xr:uid="{00000000-0005-0000-0000-000045220000}"/>
    <cellStyle name="RowTitles1-Detail 2 3 3 6 3 3" xfId="8755" xr:uid="{00000000-0005-0000-0000-000046220000}"/>
    <cellStyle name="RowTitles1-Detail 2 3 3 6 3_Tertiary Salaries Survey" xfId="8756" xr:uid="{00000000-0005-0000-0000-000047220000}"/>
    <cellStyle name="RowTitles1-Detail 2 3 3 6 4" xfId="8757" xr:uid="{00000000-0005-0000-0000-000048220000}"/>
    <cellStyle name="RowTitles1-Detail 2 3 3 6 5" xfId="8758" xr:uid="{00000000-0005-0000-0000-000049220000}"/>
    <cellStyle name="RowTitles1-Detail 2 3 3 6_Tertiary Salaries Survey" xfId="8759" xr:uid="{00000000-0005-0000-0000-00004A220000}"/>
    <cellStyle name="RowTitles1-Detail 2 3 3 7" xfId="8760" xr:uid="{00000000-0005-0000-0000-00004B220000}"/>
    <cellStyle name="RowTitles1-Detail 2 3 3 7 2" xfId="8761" xr:uid="{00000000-0005-0000-0000-00004C220000}"/>
    <cellStyle name="RowTitles1-Detail 2 3 3 7 2 2" xfId="8762" xr:uid="{00000000-0005-0000-0000-00004D220000}"/>
    <cellStyle name="RowTitles1-Detail 2 3 3 7 2 2 2" xfId="8763" xr:uid="{00000000-0005-0000-0000-00004E220000}"/>
    <cellStyle name="RowTitles1-Detail 2 3 3 7 2 2_Tertiary Salaries Survey" xfId="8764" xr:uid="{00000000-0005-0000-0000-00004F220000}"/>
    <cellStyle name="RowTitles1-Detail 2 3 3 7 2 3" xfId="8765" xr:uid="{00000000-0005-0000-0000-000050220000}"/>
    <cellStyle name="RowTitles1-Detail 2 3 3 7 2_Tertiary Salaries Survey" xfId="8766" xr:uid="{00000000-0005-0000-0000-000051220000}"/>
    <cellStyle name="RowTitles1-Detail 2 3 3 7 3" xfId="8767" xr:uid="{00000000-0005-0000-0000-000052220000}"/>
    <cellStyle name="RowTitles1-Detail 2 3 3 7 3 2" xfId="8768" xr:uid="{00000000-0005-0000-0000-000053220000}"/>
    <cellStyle name="RowTitles1-Detail 2 3 3 7 3 2 2" xfId="8769" xr:uid="{00000000-0005-0000-0000-000054220000}"/>
    <cellStyle name="RowTitles1-Detail 2 3 3 7 3 2_Tertiary Salaries Survey" xfId="8770" xr:uid="{00000000-0005-0000-0000-000055220000}"/>
    <cellStyle name="RowTitles1-Detail 2 3 3 7 3 3" xfId="8771" xr:uid="{00000000-0005-0000-0000-000056220000}"/>
    <cellStyle name="RowTitles1-Detail 2 3 3 7 3_Tertiary Salaries Survey" xfId="8772" xr:uid="{00000000-0005-0000-0000-000057220000}"/>
    <cellStyle name="RowTitles1-Detail 2 3 3 7 4" xfId="8773" xr:uid="{00000000-0005-0000-0000-000058220000}"/>
    <cellStyle name="RowTitles1-Detail 2 3 3 7 5" xfId="8774" xr:uid="{00000000-0005-0000-0000-000059220000}"/>
    <cellStyle name="RowTitles1-Detail 2 3 3 7 5 2" xfId="8775" xr:uid="{00000000-0005-0000-0000-00005A220000}"/>
    <cellStyle name="RowTitles1-Detail 2 3 3 7 5_Tertiary Salaries Survey" xfId="8776" xr:uid="{00000000-0005-0000-0000-00005B220000}"/>
    <cellStyle name="RowTitles1-Detail 2 3 3 7 6" xfId="8777" xr:uid="{00000000-0005-0000-0000-00005C220000}"/>
    <cellStyle name="RowTitles1-Detail 2 3 3 7_Tertiary Salaries Survey" xfId="8778" xr:uid="{00000000-0005-0000-0000-00005D220000}"/>
    <cellStyle name="RowTitles1-Detail 2 3 3 8" xfId="8779" xr:uid="{00000000-0005-0000-0000-00005E220000}"/>
    <cellStyle name="RowTitles1-Detail 2 3 3 8 2" xfId="8780" xr:uid="{00000000-0005-0000-0000-00005F220000}"/>
    <cellStyle name="RowTitles1-Detail 2 3 3 8 2 2" xfId="8781" xr:uid="{00000000-0005-0000-0000-000060220000}"/>
    <cellStyle name="RowTitles1-Detail 2 3 3 8 2 2 2" xfId="8782" xr:uid="{00000000-0005-0000-0000-000061220000}"/>
    <cellStyle name="RowTitles1-Detail 2 3 3 8 2 2_Tertiary Salaries Survey" xfId="8783" xr:uid="{00000000-0005-0000-0000-000062220000}"/>
    <cellStyle name="RowTitles1-Detail 2 3 3 8 2 3" xfId="8784" xr:uid="{00000000-0005-0000-0000-000063220000}"/>
    <cellStyle name="RowTitles1-Detail 2 3 3 8 2_Tertiary Salaries Survey" xfId="8785" xr:uid="{00000000-0005-0000-0000-000064220000}"/>
    <cellStyle name="RowTitles1-Detail 2 3 3 8 3" xfId="8786" xr:uid="{00000000-0005-0000-0000-000065220000}"/>
    <cellStyle name="RowTitles1-Detail 2 3 3 8 3 2" xfId="8787" xr:uid="{00000000-0005-0000-0000-000066220000}"/>
    <cellStyle name="RowTitles1-Detail 2 3 3 8 3 2 2" xfId="8788" xr:uid="{00000000-0005-0000-0000-000067220000}"/>
    <cellStyle name="RowTitles1-Detail 2 3 3 8 3 2_Tertiary Salaries Survey" xfId="8789" xr:uid="{00000000-0005-0000-0000-000068220000}"/>
    <cellStyle name="RowTitles1-Detail 2 3 3 8 3 3" xfId="8790" xr:uid="{00000000-0005-0000-0000-000069220000}"/>
    <cellStyle name="RowTitles1-Detail 2 3 3 8 3_Tertiary Salaries Survey" xfId="8791" xr:uid="{00000000-0005-0000-0000-00006A220000}"/>
    <cellStyle name="RowTitles1-Detail 2 3 3 8 4" xfId="8792" xr:uid="{00000000-0005-0000-0000-00006B220000}"/>
    <cellStyle name="RowTitles1-Detail 2 3 3 8 4 2" xfId="8793" xr:uid="{00000000-0005-0000-0000-00006C220000}"/>
    <cellStyle name="RowTitles1-Detail 2 3 3 8 4_Tertiary Salaries Survey" xfId="8794" xr:uid="{00000000-0005-0000-0000-00006D220000}"/>
    <cellStyle name="RowTitles1-Detail 2 3 3 8 5" xfId="8795" xr:uid="{00000000-0005-0000-0000-00006E220000}"/>
    <cellStyle name="RowTitles1-Detail 2 3 3 8_Tertiary Salaries Survey" xfId="8796" xr:uid="{00000000-0005-0000-0000-00006F220000}"/>
    <cellStyle name="RowTitles1-Detail 2 3 3 9" xfId="8797" xr:uid="{00000000-0005-0000-0000-000070220000}"/>
    <cellStyle name="RowTitles1-Detail 2 3 3 9 2" xfId="8798" xr:uid="{00000000-0005-0000-0000-000071220000}"/>
    <cellStyle name="RowTitles1-Detail 2 3 3 9 2 2" xfId="8799" xr:uid="{00000000-0005-0000-0000-000072220000}"/>
    <cellStyle name="RowTitles1-Detail 2 3 3 9 2 2 2" xfId="8800" xr:uid="{00000000-0005-0000-0000-000073220000}"/>
    <cellStyle name="RowTitles1-Detail 2 3 3 9 2 2_Tertiary Salaries Survey" xfId="8801" xr:uid="{00000000-0005-0000-0000-000074220000}"/>
    <cellStyle name="RowTitles1-Detail 2 3 3 9 2 3" xfId="8802" xr:uid="{00000000-0005-0000-0000-000075220000}"/>
    <cellStyle name="RowTitles1-Detail 2 3 3 9 2_Tertiary Salaries Survey" xfId="8803" xr:uid="{00000000-0005-0000-0000-000076220000}"/>
    <cellStyle name="RowTitles1-Detail 2 3 3 9 3" xfId="8804" xr:uid="{00000000-0005-0000-0000-000077220000}"/>
    <cellStyle name="RowTitles1-Detail 2 3 3 9 3 2" xfId="8805" xr:uid="{00000000-0005-0000-0000-000078220000}"/>
    <cellStyle name="RowTitles1-Detail 2 3 3 9 3 2 2" xfId="8806" xr:uid="{00000000-0005-0000-0000-000079220000}"/>
    <cellStyle name="RowTitles1-Detail 2 3 3 9 3 2_Tertiary Salaries Survey" xfId="8807" xr:uid="{00000000-0005-0000-0000-00007A220000}"/>
    <cellStyle name="RowTitles1-Detail 2 3 3 9 3 3" xfId="8808" xr:uid="{00000000-0005-0000-0000-00007B220000}"/>
    <cellStyle name="RowTitles1-Detail 2 3 3 9 3_Tertiary Salaries Survey" xfId="8809" xr:uid="{00000000-0005-0000-0000-00007C220000}"/>
    <cellStyle name="RowTitles1-Detail 2 3 3 9 4" xfId="8810" xr:uid="{00000000-0005-0000-0000-00007D220000}"/>
    <cellStyle name="RowTitles1-Detail 2 3 3 9 4 2" xfId="8811" xr:uid="{00000000-0005-0000-0000-00007E220000}"/>
    <cellStyle name="RowTitles1-Detail 2 3 3 9 4_Tertiary Salaries Survey" xfId="8812" xr:uid="{00000000-0005-0000-0000-00007F220000}"/>
    <cellStyle name="RowTitles1-Detail 2 3 3 9 5" xfId="8813" xr:uid="{00000000-0005-0000-0000-000080220000}"/>
    <cellStyle name="RowTitles1-Detail 2 3 3 9_Tertiary Salaries Survey" xfId="8814" xr:uid="{00000000-0005-0000-0000-000081220000}"/>
    <cellStyle name="RowTitles1-Detail 2 3 3_STUD aligned by INSTIT" xfId="8815" xr:uid="{00000000-0005-0000-0000-000082220000}"/>
    <cellStyle name="RowTitles1-Detail 2 3 4" xfId="8816" xr:uid="{00000000-0005-0000-0000-000083220000}"/>
    <cellStyle name="RowTitles1-Detail 2 3 4 2" xfId="8817" xr:uid="{00000000-0005-0000-0000-000084220000}"/>
    <cellStyle name="RowTitles1-Detail 2 3 4 2 2" xfId="8818" xr:uid="{00000000-0005-0000-0000-000085220000}"/>
    <cellStyle name="RowTitles1-Detail 2 3 4 2 2 2" xfId="8819" xr:uid="{00000000-0005-0000-0000-000086220000}"/>
    <cellStyle name="RowTitles1-Detail 2 3 4 2 2 2 2" xfId="8820" xr:uid="{00000000-0005-0000-0000-000087220000}"/>
    <cellStyle name="RowTitles1-Detail 2 3 4 2 2 2_Tertiary Salaries Survey" xfId="8821" xr:uid="{00000000-0005-0000-0000-000088220000}"/>
    <cellStyle name="RowTitles1-Detail 2 3 4 2 2 3" xfId="8822" xr:uid="{00000000-0005-0000-0000-000089220000}"/>
    <cellStyle name="RowTitles1-Detail 2 3 4 2 2_Tertiary Salaries Survey" xfId="8823" xr:uid="{00000000-0005-0000-0000-00008A220000}"/>
    <cellStyle name="RowTitles1-Detail 2 3 4 2 3" xfId="8824" xr:uid="{00000000-0005-0000-0000-00008B220000}"/>
    <cellStyle name="RowTitles1-Detail 2 3 4 2 3 2" xfId="8825" xr:uid="{00000000-0005-0000-0000-00008C220000}"/>
    <cellStyle name="RowTitles1-Detail 2 3 4 2 3 2 2" xfId="8826" xr:uid="{00000000-0005-0000-0000-00008D220000}"/>
    <cellStyle name="RowTitles1-Detail 2 3 4 2 3 2_Tertiary Salaries Survey" xfId="8827" xr:uid="{00000000-0005-0000-0000-00008E220000}"/>
    <cellStyle name="RowTitles1-Detail 2 3 4 2 3 3" xfId="8828" xr:uid="{00000000-0005-0000-0000-00008F220000}"/>
    <cellStyle name="RowTitles1-Detail 2 3 4 2 3_Tertiary Salaries Survey" xfId="8829" xr:uid="{00000000-0005-0000-0000-000090220000}"/>
    <cellStyle name="RowTitles1-Detail 2 3 4 2 4" xfId="8830" xr:uid="{00000000-0005-0000-0000-000091220000}"/>
    <cellStyle name="RowTitles1-Detail 2 3 4 2 5" xfId="8831" xr:uid="{00000000-0005-0000-0000-000092220000}"/>
    <cellStyle name="RowTitles1-Detail 2 3 4 2_Tertiary Salaries Survey" xfId="8832" xr:uid="{00000000-0005-0000-0000-000093220000}"/>
    <cellStyle name="RowTitles1-Detail 2 3 4 3" xfId="8833" xr:uid="{00000000-0005-0000-0000-000094220000}"/>
    <cellStyle name="RowTitles1-Detail 2 3 4 3 2" xfId="8834" xr:uid="{00000000-0005-0000-0000-000095220000}"/>
    <cellStyle name="RowTitles1-Detail 2 3 4 3 2 2" xfId="8835" xr:uid="{00000000-0005-0000-0000-000096220000}"/>
    <cellStyle name="RowTitles1-Detail 2 3 4 3 2 2 2" xfId="8836" xr:uid="{00000000-0005-0000-0000-000097220000}"/>
    <cellStyle name="RowTitles1-Detail 2 3 4 3 2 2_Tertiary Salaries Survey" xfId="8837" xr:uid="{00000000-0005-0000-0000-000098220000}"/>
    <cellStyle name="RowTitles1-Detail 2 3 4 3 2 3" xfId="8838" xr:uid="{00000000-0005-0000-0000-000099220000}"/>
    <cellStyle name="RowTitles1-Detail 2 3 4 3 2_Tertiary Salaries Survey" xfId="8839" xr:uid="{00000000-0005-0000-0000-00009A220000}"/>
    <cellStyle name="RowTitles1-Detail 2 3 4 3 3" xfId="8840" xr:uid="{00000000-0005-0000-0000-00009B220000}"/>
    <cellStyle name="RowTitles1-Detail 2 3 4 3 3 2" xfId="8841" xr:uid="{00000000-0005-0000-0000-00009C220000}"/>
    <cellStyle name="RowTitles1-Detail 2 3 4 3 3 2 2" xfId="8842" xr:uid="{00000000-0005-0000-0000-00009D220000}"/>
    <cellStyle name="RowTitles1-Detail 2 3 4 3 3 2_Tertiary Salaries Survey" xfId="8843" xr:uid="{00000000-0005-0000-0000-00009E220000}"/>
    <cellStyle name="RowTitles1-Detail 2 3 4 3 3 3" xfId="8844" xr:uid="{00000000-0005-0000-0000-00009F220000}"/>
    <cellStyle name="RowTitles1-Detail 2 3 4 3 3_Tertiary Salaries Survey" xfId="8845" xr:uid="{00000000-0005-0000-0000-0000A0220000}"/>
    <cellStyle name="RowTitles1-Detail 2 3 4 3 4" xfId="8846" xr:uid="{00000000-0005-0000-0000-0000A1220000}"/>
    <cellStyle name="RowTitles1-Detail 2 3 4 3 5" xfId="8847" xr:uid="{00000000-0005-0000-0000-0000A2220000}"/>
    <cellStyle name="RowTitles1-Detail 2 3 4 3 5 2" xfId="8848" xr:uid="{00000000-0005-0000-0000-0000A3220000}"/>
    <cellStyle name="RowTitles1-Detail 2 3 4 3 5_Tertiary Salaries Survey" xfId="8849" xr:uid="{00000000-0005-0000-0000-0000A4220000}"/>
    <cellStyle name="RowTitles1-Detail 2 3 4 3 6" xfId="8850" xr:uid="{00000000-0005-0000-0000-0000A5220000}"/>
    <cellStyle name="RowTitles1-Detail 2 3 4 3_Tertiary Salaries Survey" xfId="8851" xr:uid="{00000000-0005-0000-0000-0000A6220000}"/>
    <cellStyle name="RowTitles1-Detail 2 3 4 4" xfId="8852" xr:uid="{00000000-0005-0000-0000-0000A7220000}"/>
    <cellStyle name="RowTitles1-Detail 2 3 4 4 2" xfId="8853" xr:uid="{00000000-0005-0000-0000-0000A8220000}"/>
    <cellStyle name="RowTitles1-Detail 2 3 4 4 2 2" xfId="8854" xr:uid="{00000000-0005-0000-0000-0000A9220000}"/>
    <cellStyle name="RowTitles1-Detail 2 3 4 4 2 2 2" xfId="8855" xr:uid="{00000000-0005-0000-0000-0000AA220000}"/>
    <cellStyle name="RowTitles1-Detail 2 3 4 4 2 2_Tertiary Salaries Survey" xfId="8856" xr:uid="{00000000-0005-0000-0000-0000AB220000}"/>
    <cellStyle name="RowTitles1-Detail 2 3 4 4 2 3" xfId="8857" xr:uid="{00000000-0005-0000-0000-0000AC220000}"/>
    <cellStyle name="RowTitles1-Detail 2 3 4 4 2_Tertiary Salaries Survey" xfId="8858" xr:uid="{00000000-0005-0000-0000-0000AD220000}"/>
    <cellStyle name="RowTitles1-Detail 2 3 4 4 3" xfId="8859" xr:uid="{00000000-0005-0000-0000-0000AE220000}"/>
    <cellStyle name="RowTitles1-Detail 2 3 4 4 3 2" xfId="8860" xr:uid="{00000000-0005-0000-0000-0000AF220000}"/>
    <cellStyle name="RowTitles1-Detail 2 3 4 4 3 2 2" xfId="8861" xr:uid="{00000000-0005-0000-0000-0000B0220000}"/>
    <cellStyle name="RowTitles1-Detail 2 3 4 4 3 2_Tertiary Salaries Survey" xfId="8862" xr:uid="{00000000-0005-0000-0000-0000B1220000}"/>
    <cellStyle name="RowTitles1-Detail 2 3 4 4 3 3" xfId="8863" xr:uid="{00000000-0005-0000-0000-0000B2220000}"/>
    <cellStyle name="RowTitles1-Detail 2 3 4 4 3_Tertiary Salaries Survey" xfId="8864" xr:uid="{00000000-0005-0000-0000-0000B3220000}"/>
    <cellStyle name="RowTitles1-Detail 2 3 4 4 4" xfId="8865" xr:uid="{00000000-0005-0000-0000-0000B4220000}"/>
    <cellStyle name="RowTitles1-Detail 2 3 4 4 4 2" xfId="8866" xr:uid="{00000000-0005-0000-0000-0000B5220000}"/>
    <cellStyle name="RowTitles1-Detail 2 3 4 4 4_Tertiary Salaries Survey" xfId="8867" xr:uid="{00000000-0005-0000-0000-0000B6220000}"/>
    <cellStyle name="RowTitles1-Detail 2 3 4 4 5" xfId="8868" xr:uid="{00000000-0005-0000-0000-0000B7220000}"/>
    <cellStyle name="RowTitles1-Detail 2 3 4 4_Tertiary Salaries Survey" xfId="8869" xr:uid="{00000000-0005-0000-0000-0000B8220000}"/>
    <cellStyle name="RowTitles1-Detail 2 3 4 5" xfId="8870" xr:uid="{00000000-0005-0000-0000-0000B9220000}"/>
    <cellStyle name="RowTitles1-Detail 2 3 4 5 2" xfId="8871" xr:uid="{00000000-0005-0000-0000-0000BA220000}"/>
    <cellStyle name="RowTitles1-Detail 2 3 4 5 2 2" xfId="8872" xr:uid="{00000000-0005-0000-0000-0000BB220000}"/>
    <cellStyle name="RowTitles1-Detail 2 3 4 5 2 2 2" xfId="8873" xr:uid="{00000000-0005-0000-0000-0000BC220000}"/>
    <cellStyle name="RowTitles1-Detail 2 3 4 5 2 2_Tertiary Salaries Survey" xfId="8874" xr:uid="{00000000-0005-0000-0000-0000BD220000}"/>
    <cellStyle name="RowTitles1-Detail 2 3 4 5 2 3" xfId="8875" xr:uid="{00000000-0005-0000-0000-0000BE220000}"/>
    <cellStyle name="RowTitles1-Detail 2 3 4 5 2_Tertiary Salaries Survey" xfId="8876" xr:uid="{00000000-0005-0000-0000-0000BF220000}"/>
    <cellStyle name="RowTitles1-Detail 2 3 4 5 3" xfId="8877" xr:uid="{00000000-0005-0000-0000-0000C0220000}"/>
    <cellStyle name="RowTitles1-Detail 2 3 4 5 3 2" xfId="8878" xr:uid="{00000000-0005-0000-0000-0000C1220000}"/>
    <cellStyle name="RowTitles1-Detail 2 3 4 5 3 2 2" xfId="8879" xr:uid="{00000000-0005-0000-0000-0000C2220000}"/>
    <cellStyle name="RowTitles1-Detail 2 3 4 5 3 2_Tertiary Salaries Survey" xfId="8880" xr:uid="{00000000-0005-0000-0000-0000C3220000}"/>
    <cellStyle name="RowTitles1-Detail 2 3 4 5 3 3" xfId="8881" xr:uid="{00000000-0005-0000-0000-0000C4220000}"/>
    <cellStyle name="RowTitles1-Detail 2 3 4 5 3_Tertiary Salaries Survey" xfId="8882" xr:uid="{00000000-0005-0000-0000-0000C5220000}"/>
    <cellStyle name="RowTitles1-Detail 2 3 4 5 4" xfId="8883" xr:uid="{00000000-0005-0000-0000-0000C6220000}"/>
    <cellStyle name="RowTitles1-Detail 2 3 4 5 4 2" xfId="8884" xr:uid="{00000000-0005-0000-0000-0000C7220000}"/>
    <cellStyle name="RowTitles1-Detail 2 3 4 5 4_Tertiary Salaries Survey" xfId="8885" xr:uid="{00000000-0005-0000-0000-0000C8220000}"/>
    <cellStyle name="RowTitles1-Detail 2 3 4 5 5" xfId="8886" xr:uid="{00000000-0005-0000-0000-0000C9220000}"/>
    <cellStyle name="RowTitles1-Detail 2 3 4 5_Tertiary Salaries Survey" xfId="8887" xr:uid="{00000000-0005-0000-0000-0000CA220000}"/>
    <cellStyle name="RowTitles1-Detail 2 3 4 6" xfId="8888" xr:uid="{00000000-0005-0000-0000-0000CB220000}"/>
    <cellStyle name="RowTitles1-Detail 2 3 4 6 2" xfId="8889" xr:uid="{00000000-0005-0000-0000-0000CC220000}"/>
    <cellStyle name="RowTitles1-Detail 2 3 4 6 2 2" xfId="8890" xr:uid="{00000000-0005-0000-0000-0000CD220000}"/>
    <cellStyle name="RowTitles1-Detail 2 3 4 6 2 2 2" xfId="8891" xr:uid="{00000000-0005-0000-0000-0000CE220000}"/>
    <cellStyle name="RowTitles1-Detail 2 3 4 6 2 2_Tertiary Salaries Survey" xfId="8892" xr:uid="{00000000-0005-0000-0000-0000CF220000}"/>
    <cellStyle name="RowTitles1-Detail 2 3 4 6 2 3" xfId="8893" xr:uid="{00000000-0005-0000-0000-0000D0220000}"/>
    <cellStyle name="RowTitles1-Detail 2 3 4 6 2_Tertiary Salaries Survey" xfId="8894" xr:uid="{00000000-0005-0000-0000-0000D1220000}"/>
    <cellStyle name="RowTitles1-Detail 2 3 4 6 3" xfId="8895" xr:uid="{00000000-0005-0000-0000-0000D2220000}"/>
    <cellStyle name="RowTitles1-Detail 2 3 4 6 3 2" xfId="8896" xr:uid="{00000000-0005-0000-0000-0000D3220000}"/>
    <cellStyle name="RowTitles1-Detail 2 3 4 6 3 2 2" xfId="8897" xr:uid="{00000000-0005-0000-0000-0000D4220000}"/>
    <cellStyle name="RowTitles1-Detail 2 3 4 6 3 2_Tertiary Salaries Survey" xfId="8898" xr:uid="{00000000-0005-0000-0000-0000D5220000}"/>
    <cellStyle name="RowTitles1-Detail 2 3 4 6 3 3" xfId="8899" xr:uid="{00000000-0005-0000-0000-0000D6220000}"/>
    <cellStyle name="RowTitles1-Detail 2 3 4 6 3_Tertiary Salaries Survey" xfId="8900" xr:uid="{00000000-0005-0000-0000-0000D7220000}"/>
    <cellStyle name="RowTitles1-Detail 2 3 4 6 4" xfId="8901" xr:uid="{00000000-0005-0000-0000-0000D8220000}"/>
    <cellStyle name="RowTitles1-Detail 2 3 4 6 4 2" xfId="8902" xr:uid="{00000000-0005-0000-0000-0000D9220000}"/>
    <cellStyle name="RowTitles1-Detail 2 3 4 6 4_Tertiary Salaries Survey" xfId="8903" xr:uid="{00000000-0005-0000-0000-0000DA220000}"/>
    <cellStyle name="RowTitles1-Detail 2 3 4 6 5" xfId="8904" xr:uid="{00000000-0005-0000-0000-0000DB220000}"/>
    <cellStyle name="RowTitles1-Detail 2 3 4 6_Tertiary Salaries Survey" xfId="8905" xr:uid="{00000000-0005-0000-0000-0000DC220000}"/>
    <cellStyle name="RowTitles1-Detail 2 3 4 7" xfId="8906" xr:uid="{00000000-0005-0000-0000-0000DD220000}"/>
    <cellStyle name="RowTitles1-Detail 2 3 4 7 2" xfId="8907" xr:uid="{00000000-0005-0000-0000-0000DE220000}"/>
    <cellStyle name="RowTitles1-Detail 2 3 4 7 2 2" xfId="8908" xr:uid="{00000000-0005-0000-0000-0000DF220000}"/>
    <cellStyle name="RowTitles1-Detail 2 3 4 7 2_Tertiary Salaries Survey" xfId="8909" xr:uid="{00000000-0005-0000-0000-0000E0220000}"/>
    <cellStyle name="RowTitles1-Detail 2 3 4 7 3" xfId="8910" xr:uid="{00000000-0005-0000-0000-0000E1220000}"/>
    <cellStyle name="RowTitles1-Detail 2 3 4 7_Tertiary Salaries Survey" xfId="8911" xr:uid="{00000000-0005-0000-0000-0000E2220000}"/>
    <cellStyle name="RowTitles1-Detail 2 3 4 8" xfId="8912" xr:uid="{00000000-0005-0000-0000-0000E3220000}"/>
    <cellStyle name="RowTitles1-Detail 2 3 4 9" xfId="8913" xr:uid="{00000000-0005-0000-0000-0000E4220000}"/>
    <cellStyle name="RowTitles1-Detail 2 3 4_STUD aligned by INSTIT" xfId="8914" xr:uid="{00000000-0005-0000-0000-0000E5220000}"/>
    <cellStyle name="RowTitles1-Detail 2 3 5" xfId="8915" xr:uid="{00000000-0005-0000-0000-0000E6220000}"/>
    <cellStyle name="RowTitles1-Detail 2 3 5 2" xfId="8916" xr:uid="{00000000-0005-0000-0000-0000E7220000}"/>
    <cellStyle name="RowTitles1-Detail 2 3 5 2 2" xfId="8917" xr:uid="{00000000-0005-0000-0000-0000E8220000}"/>
    <cellStyle name="RowTitles1-Detail 2 3 5 2 2 2" xfId="8918" xr:uid="{00000000-0005-0000-0000-0000E9220000}"/>
    <cellStyle name="RowTitles1-Detail 2 3 5 2 2 2 2" xfId="8919" xr:uid="{00000000-0005-0000-0000-0000EA220000}"/>
    <cellStyle name="RowTitles1-Detail 2 3 5 2 2 2_Tertiary Salaries Survey" xfId="8920" xr:uid="{00000000-0005-0000-0000-0000EB220000}"/>
    <cellStyle name="RowTitles1-Detail 2 3 5 2 2 3" xfId="8921" xr:uid="{00000000-0005-0000-0000-0000EC220000}"/>
    <cellStyle name="RowTitles1-Detail 2 3 5 2 2_Tertiary Salaries Survey" xfId="8922" xr:uid="{00000000-0005-0000-0000-0000ED220000}"/>
    <cellStyle name="RowTitles1-Detail 2 3 5 2 3" xfId="8923" xr:uid="{00000000-0005-0000-0000-0000EE220000}"/>
    <cellStyle name="RowTitles1-Detail 2 3 5 2 3 2" xfId="8924" xr:uid="{00000000-0005-0000-0000-0000EF220000}"/>
    <cellStyle name="RowTitles1-Detail 2 3 5 2 3 2 2" xfId="8925" xr:uid="{00000000-0005-0000-0000-0000F0220000}"/>
    <cellStyle name="RowTitles1-Detail 2 3 5 2 3 2_Tertiary Salaries Survey" xfId="8926" xr:uid="{00000000-0005-0000-0000-0000F1220000}"/>
    <cellStyle name="RowTitles1-Detail 2 3 5 2 3 3" xfId="8927" xr:uid="{00000000-0005-0000-0000-0000F2220000}"/>
    <cellStyle name="RowTitles1-Detail 2 3 5 2 3_Tertiary Salaries Survey" xfId="8928" xr:uid="{00000000-0005-0000-0000-0000F3220000}"/>
    <cellStyle name="RowTitles1-Detail 2 3 5 2 4" xfId="8929" xr:uid="{00000000-0005-0000-0000-0000F4220000}"/>
    <cellStyle name="RowTitles1-Detail 2 3 5 2 5" xfId="8930" xr:uid="{00000000-0005-0000-0000-0000F5220000}"/>
    <cellStyle name="RowTitles1-Detail 2 3 5 2 5 2" xfId="8931" xr:uid="{00000000-0005-0000-0000-0000F6220000}"/>
    <cellStyle name="RowTitles1-Detail 2 3 5 2 5_Tertiary Salaries Survey" xfId="8932" xr:uid="{00000000-0005-0000-0000-0000F7220000}"/>
    <cellStyle name="RowTitles1-Detail 2 3 5 2 6" xfId="8933" xr:uid="{00000000-0005-0000-0000-0000F8220000}"/>
    <cellStyle name="RowTitles1-Detail 2 3 5 2_Tertiary Salaries Survey" xfId="8934" xr:uid="{00000000-0005-0000-0000-0000F9220000}"/>
    <cellStyle name="RowTitles1-Detail 2 3 5 3" xfId="8935" xr:uid="{00000000-0005-0000-0000-0000FA220000}"/>
    <cellStyle name="RowTitles1-Detail 2 3 5 3 2" xfId="8936" xr:uid="{00000000-0005-0000-0000-0000FB220000}"/>
    <cellStyle name="RowTitles1-Detail 2 3 5 3 2 2" xfId="8937" xr:uid="{00000000-0005-0000-0000-0000FC220000}"/>
    <cellStyle name="RowTitles1-Detail 2 3 5 3 2 2 2" xfId="8938" xr:uid="{00000000-0005-0000-0000-0000FD220000}"/>
    <cellStyle name="RowTitles1-Detail 2 3 5 3 2 2_Tertiary Salaries Survey" xfId="8939" xr:uid="{00000000-0005-0000-0000-0000FE220000}"/>
    <cellStyle name="RowTitles1-Detail 2 3 5 3 2 3" xfId="8940" xr:uid="{00000000-0005-0000-0000-0000FF220000}"/>
    <cellStyle name="RowTitles1-Detail 2 3 5 3 2_Tertiary Salaries Survey" xfId="8941" xr:uid="{00000000-0005-0000-0000-000000230000}"/>
    <cellStyle name="RowTitles1-Detail 2 3 5 3 3" xfId="8942" xr:uid="{00000000-0005-0000-0000-000001230000}"/>
    <cellStyle name="RowTitles1-Detail 2 3 5 3 3 2" xfId="8943" xr:uid="{00000000-0005-0000-0000-000002230000}"/>
    <cellStyle name="RowTitles1-Detail 2 3 5 3 3 2 2" xfId="8944" xr:uid="{00000000-0005-0000-0000-000003230000}"/>
    <cellStyle name="RowTitles1-Detail 2 3 5 3 3 2_Tertiary Salaries Survey" xfId="8945" xr:uid="{00000000-0005-0000-0000-000004230000}"/>
    <cellStyle name="RowTitles1-Detail 2 3 5 3 3 3" xfId="8946" xr:uid="{00000000-0005-0000-0000-000005230000}"/>
    <cellStyle name="RowTitles1-Detail 2 3 5 3 3_Tertiary Salaries Survey" xfId="8947" xr:uid="{00000000-0005-0000-0000-000006230000}"/>
    <cellStyle name="RowTitles1-Detail 2 3 5 3 4" xfId="8948" xr:uid="{00000000-0005-0000-0000-000007230000}"/>
    <cellStyle name="RowTitles1-Detail 2 3 5 3 5" xfId="8949" xr:uid="{00000000-0005-0000-0000-000008230000}"/>
    <cellStyle name="RowTitles1-Detail 2 3 5 3_Tertiary Salaries Survey" xfId="8950" xr:uid="{00000000-0005-0000-0000-000009230000}"/>
    <cellStyle name="RowTitles1-Detail 2 3 5 4" xfId="8951" xr:uid="{00000000-0005-0000-0000-00000A230000}"/>
    <cellStyle name="RowTitles1-Detail 2 3 5 4 2" xfId="8952" xr:uid="{00000000-0005-0000-0000-00000B230000}"/>
    <cellStyle name="RowTitles1-Detail 2 3 5 4 2 2" xfId="8953" xr:uid="{00000000-0005-0000-0000-00000C230000}"/>
    <cellStyle name="RowTitles1-Detail 2 3 5 4 2 2 2" xfId="8954" xr:uid="{00000000-0005-0000-0000-00000D230000}"/>
    <cellStyle name="RowTitles1-Detail 2 3 5 4 2 2_Tertiary Salaries Survey" xfId="8955" xr:uid="{00000000-0005-0000-0000-00000E230000}"/>
    <cellStyle name="RowTitles1-Detail 2 3 5 4 2 3" xfId="8956" xr:uid="{00000000-0005-0000-0000-00000F230000}"/>
    <cellStyle name="RowTitles1-Detail 2 3 5 4 2_Tertiary Salaries Survey" xfId="8957" xr:uid="{00000000-0005-0000-0000-000010230000}"/>
    <cellStyle name="RowTitles1-Detail 2 3 5 4 3" xfId="8958" xr:uid="{00000000-0005-0000-0000-000011230000}"/>
    <cellStyle name="RowTitles1-Detail 2 3 5 4 3 2" xfId="8959" xr:uid="{00000000-0005-0000-0000-000012230000}"/>
    <cellStyle name="RowTitles1-Detail 2 3 5 4 3 2 2" xfId="8960" xr:uid="{00000000-0005-0000-0000-000013230000}"/>
    <cellStyle name="RowTitles1-Detail 2 3 5 4 3 2_Tertiary Salaries Survey" xfId="8961" xr:uid="{00000000-0005-0000-0000-000014230000}"/>
    <cellStyle name="RowTitles1-Detail 2 3 5 4 3 3" xfId="8962" xr:uid="{00000000-0005-0000-0000-000015230000}"/>
    <cellStyle name="RowTitles1-Detail 2 3 5 4 3_Tertiary Salaries Survey" xfId="8963" xr:uid="{00000000-0005-0000-0000-000016230000}"/>
    <cellStyle name="RowTitles1-Detail 2 3 5 4 4" xfId="8964" xr:uid="{00000000-0005-0000-0000-000017230000}"/>
    <cellStyle name="RowTitles1-Detail 2 3 5 4 4 2" xfId="8965" xr:uid="{00000000-0005-0000-0000-000018230000}"/>
    <cellStyle name="RowTitles1-Detail 2 3 5 4 4_Tertiary Salaries Survey" xfId="8966" xr:uid="{00000000-0005-0000-0000-000019230000}"/>
    <cellStyle name="RowTitles1-Detail 2 3 5 4 5" xfId="8967" xr:uid="{00000000-0005-0000-0000-00001A230000}"/>
    <cellStyle name="RowTitles1-Detail 2 3 5 4_Tertiary Salaries Survey" xfId="8968" xr:uid="{00000000-0005-0000-0000-00001B230000}"/>
    <cellStyle name="RowTitles1-Detail 2 3 5 5" xfId="8969" xr:uid="{00000000-0005-0000-0000-00001C230000}"/>
    <cellStyle name="RowTitles1-Detail 2 3 5 5 2" xfId="8970" xr:uid="{00000000-0005-0000-0000-00001D230000}"/>
    <cellStyle name="RowTitles1-Detail 2 3 5 5 2 2" xfId="8971" xr:uid="{00000000-0005-0000-0000-00001E230000}"/>
    <cellStyle name="RowTitles1-Detail 2 3 5 5 2 2 2" xfId="8972" xr:uid="{00000000-0005-0000-0000-00001F230000}"/>
    <cellStyle name="RowTitles1-Detail 2 3 5 5 2 2_Tertiary Salaries Survey" xfId="8973" xr:uid="{00000000-0005-0000-0000-000020230000}"/>
    <cellStyle name="RowTitles1-Detail 2 3 5 5 2 3" xfId="8974" xr:uid="{00000000-0005-0000-0000-000021230000}"/>
    <cellStyle name="RowTitles1-Detail 2 3 5 5 2_Tertiary Salaries Survey" xfId="8975" xr:uid="{00000000-0005-0000-0000-000022230000}"/>
    <cellStyle name="RowTitles1-Detail 2 3 5 5 3" xfId="8976" xr:uid="{00000000-0005-0000-0000-000023230000}"/>
    <cellStyle name="RowTitles1-Detail 2 3 5 5 3 2" xfId="8977" xr:uid="{00000000-0005-0000-0000-000024230000}"/>
    <cellStyle name="RowTitles1-Detail 2 3 5 5 3 2 2" xfId="8978" xr:uid="{00000000-0005-0000-0000-000025230000}"/>
    <cellStyle name="RowTitles1-Detail 2 3 5 5 3 2_Tertiary Salaries Survey" xfId="8979" xr:uid="{00000000-0005-0000-0000-000026230000}"/>
    <cellStyle name="RowTitles1-Detail 2 3 5 5 3 3" xfId="8980" xr:uid="{00000000-0005-0000-0000-000027230000}"/>
    <cellStyle name="RowTitles1-Detail 2 3 5 5 3_Tertiary Salaries Survey" xfId="8981" xr:uid="{00000000-0005-0000-0000-000028230000}"/>
    <cellStyle name="RowTitles1-Detail 2 3 5 5 4" xfId="8982" xr:uid="{00000000-0005-0000-0000-000029230000}"/>
    <cellStyle name="RowTitles1-Detail 2 3 5 5 4 2" xfId="8983" xr:uid="{00000000-0005-0000-0000-00002A230000}"/>
    <cellStyle name="RowTitles1-Detail 2 3 5 5 4_Tertiary Salaries Survey" xfId="8984" xr:uid="{00000000-0005-0000-0000-00002B230000}"/>
    <cellStyle name="RowTitles1-Detail 2 3 5 5 5" xfId="8985" xr:uid="{00000000-0005-0000-0000-00002C230000}"/>
    <cellStyle name="RowTitles1-Detail 2 3 5 5_Tertiary Salaries Survey" xfId="8986" xr:uid="{00000000-0005-0000-0000-00002D230000}"/>
    <cellStyle name="RowTitles1-Detail 2 3 5 6" xfId="8987" xr:uid="{00000000-0005-0000-0000-00002E230000}"/>
    <cellStyle name="RowTitles1-Detail 2 3 5 6 2" xfId="8988" xr:uid="{00000000-0005-0000-0000-00002F230000}"/>
    <cellStyle name="RowTitles1-Detail 2 3 5 6 2 2" xfId="8989" xr:uid="{00000000-0005-0000-0000-000030230000}"/>
    <cellStyle name="RowTitles1-Detail 2 3 5 6 2 2 2" xfId="8990" xr:uid="{00000000-0005-0000-0000-000031230000}"/>
    <cellStyle name="RowTitles1-Detail 2 3 5 6 2 2_Tertiary Salaries Survey" xfId="8991" xr:uid="{00000000-0005-0000-0000-000032230000}"/>
    <cellStyle name="RowTitles1-Detail 2 3 5 6 2 3" xfId="8992" xr:uid="{00000000-0005-0000-0000-000033230000}"/>
    <cellStyle name="RowTitles1-Detail 2 3 5 6 2_Tertiary Salaries Survey" xfId="8993" xr:uid="{00000000-0005-0000-0000-000034230000}"/>
    <cellStyle name="RowTitles1-Detail 2 3 5 6 3" xfId="8994" xr:uid="{00000000-0005-0000-0000-000035230000}"/>
    <cellStyle name="RowTitles1-Detail 2 3 5 6 3 2" xfId="8995" xr:uid="{00000000-0005-0000-0000-000036230000}"/>
    <cellStyle name="RowTitles1-Detail 2 3 5 6 3 2 2" xfId="8996" xr:uid="{00000000-0005-0000-0000-000037230000}"/>
    <cellStyle name="RowTitles1-Detail 2 3 5 6 3 2_Tertiary Salaries Survey" xfId="8997" xr:uid="{00000000-0005-0000-0000-000038230000}"/>
    <cellStyle name="RowTitles1-Detail 2 3 5 6 3 3" xfId="8998" xr:uid="{00000000-0005-0000-0000-000039230000}"/>
    <cellStyle name="RowTitles1-Detail 2 3 5 6 3_Tertiary Salaries Survey" xfId="8999" xr:uid="{00000000-0005-0000-0000-00003A230000}"/>
    <cellStyle name="RowTitles1-Detail 2 3 5 6 4" xfId="9000" xr:uid="{00000000-0005-0000-0000-00003B230000}"/>
    <cellStyle name="RowTitles1-Detail 2 3 5 6 4 2" xfId="9001" xr:uid="{00000000-0005-0000-0000-00003C230000}"/>
    <cellStyle name="RowTitles1-Detail 2 3 5 6 4_Tertiary Salaries Survey" xfId="9002" xr:uid="{00000000-0005-0000-0000-00003D230000}"/>
    <cellStyle name="RowTitles1-Detail 2 3 5 6 5" xfId="9003" xr:uid="{00000000-0005-0000-0000-00003E230000}"/>
    <cellStyle name="RowTitles1-Detail 2 3 5 6_Tertiary Salaries Survey" xfId="9004" xr:uid="{00000000-0005-0000-0000-00003F230000}"/>
    <cellStyle name="RowTitles1-Detail 2 3 5 7" xfId="9005" xr:uid="{00000000-0005-0000-0000-000040230000}"/>
    <cellStyle name="RowTitles1-Detail 2 3 5 7 2" xfId="9006" xr:uid="{00000000-0005-0000-0000-000041230000}"/>
    <cellStyle name="RowTitles1-Detail 2 3 5 7 2 2" xfId="9007" xr:uid="{00000000-0005-0000-0000-000042230000}"/>
    <cellStyle name="RowTitles1-Detail 2 3 5 7 2_Tertiary Salaries Survey" xfId="9008" xr:uid="{00000000-0005-0000-0000-000043230000}"/>
    <cellStyle name="RowTitles1-Detail 2 3 5 7 3" xfId="9009" xr:uid="{00000000-0005-0000-0000-000044230000}"/>
    <cellStyle name="RowTitles1-Detail 2 3 5 7_Tertiary Salaries Survey" xfId="9010" xr:uid="{00000000-0005-0000-0000-000045230000}"/>
    <cellStyle name="RowTitles1-Detail 2 3 5 8" xfId="9011" xr:uid="{00000000-0005-0000-0000-000046230000}"/>
    <cellStyle name="RowTitles1-Detail 2 3 5 8 2" xfId="9012" xr:uid="{00000000-0005-0000-0000-000047230000}"/>
    <cellStyle name="RowTitles1-Detail 2 3 5 8 2 2" xfId="9013" xr:uid="{00000000-0005-0000-0000-000048230000}"/>
    <cellStyle name="RowTitles1-Detail 2 3 5 8 2_Tertiary Salaries Survey" xfId="9014" xr:uid="{00000000-0005-0000-0000-000049230000}"/>
    <cellStyle name="RowTitles1-Detail 2 3 5 8 3" xfId="9015" xr:uid="{00000000-0005-0000-0000-00004A230000}"/>
    <cellStyle name="RowTitles1-Detail 2 3 5 8_Tertiary Salaries Survey" xfId="9016" xr:uid="{00000000-0005-0000-0000-00004B230000}"/>
    <cellStyle name="RowTitles1-Detail 2 3 5 9" xfId="9017" xr:uid="{00000000-0005-0000-0000-00004C230000}"/>
    <cellStyle name="RowTitles1-Detail 2 3 5_STUD aligned by INSTIT" xfId="9018" xr:uid="{00000000-0005-0000-0000-00004D230000}"/>
    <cellStyle name="RowTitles1-Detail 2 3 6" xfId="9019" xr:uid="{00000000-0005-0000-0000-00004E230000}"/>
    <cellStyle name="RowTitles1-Detail 2 3 6 2" xfId="9020" xr:uid="{00000000-0005-0000-0000-00004F230000}"/>
    <cellStyle name="RowTitles1-Detail 2 3 6 2 2" xfId="9021" xr:uid="{00000000-0005-0000-0000-000050230000}"/>
    <cellStyle name="RowTitles1-Detail 2 3 6 2 2 2" xfId="9022" xr:uid="{00000000-0005-0000-0000-000051230000}"/>
    <cellStyle name="RowTitles1-Detail 2 3 6 2 2 2 2" xfId="9023" xr:uid="{00000000-0005-0000-0000-000052230000}"/>
    <cellStyle name="RowTitles1-Detail 2 3 6 2 2 2_Tertiary Salaries Survey" xfId="9024" xr:uid="{00000000-0005-0000-0000-000053230000}"/>
    <cellStyle name="RowTitles1-Detail 2 3 6 2 2 3" xfId="9025" xr:uid="{00000000-0005-0000-0000-000054230000}"/>
    <cellStyle name="RowTitles1-Detail 2 3 6 2 2_Tertiary Salaries Survey" xfId="9026" xr:uid="{00000000-0005-0000-0000-000055230000}"/>
    <cellStyle name="RowTitles1-Detail 2 3 6 2 3" xfId="9027" xr:uid="{00000000-0005-0000-0000-000056230000}"/>
    <cellStyle name="RowTitles1-Detail 2 3 6 2 3 2" xfId="9028" xr:uid="{00000000-0005-0000-0000-000057230000}"/>
    <cellStyle name="RowTitles1-Detail 2 3 6 2 3 2 2" xfId="9029" xr:uid="{00000000-0005-0000-0000-000058230000}"/>
    <cellStyle name="RowTitles1-Detail 2 3 6 2 3 2_Tertiary Salaries Survey" xfId="9030" xr:uid="{00000000-0005-0000-0000-000059230000}"/>
    <cellStyle name="RowTitles1-Detail 2 3 6 2 3 3" xfId="9031" xr:uid="{00000000-0005-0000-0000-00005A230000}"/>
    <cellStyle name="RowTitles1-Detail 2 3 6 2 3_Tertiary Salaries Survey" xfId="9032" xr:uid="{00000000-0005-0000-0000-00005B230000}"/>
    <cellStyle name="RowTitles1-Detail 2 3 6 2 4" xfId="9033" xr:uid="{00000000-0005-0000-0000-00005C230000}"/>
    <cellStyle name="RowTitles1-Detail 2 3 6 2 5" xfId="9034" xr:uid="{00000000-0005-0000-0000-00005D230000}"/>
    <cellStyle name="RowTitles1-Detail 2 3 6 2 5 2" xfId="9035" xr:uid="{00000000-0005-0000-0000-00005E230000}"/>
    <cellStyle name="RowTitles1-Detail 2 3 6 2 5_Tertiary Salaries Survey" xfId="9036" xr:uid="{00000000-0005-0000-0000-00005F230000}"/>
    <cellStyle name="RowTitles1-Detail 2 3 6 2 6" xfId="9037" xr:uid="{00000000-0005-0000-0000-000060230000}"/>
    <cellStyle name="RowTitles1-Detail 2 3 6 2_Tertiary Salaries Survey" xfId="9038" xr:uid="{00000000-0005-0000-0000-000061230000}"/>
    <cellStyle name="RowTitles1-Detail 2 3 6 3" xfId="9039" xr:uid="{00000000-0005-0000-0000-000062230000}"/>
    <cellStyle name="RowTitles1-Detail 2 3 6 3 2" xfId="9040" xr:uid="{00000000-0005-0000-0000-000063230000}"/>
    <cellStyle name="RowTitles1-Detail 2 3 6 3 2 2" xfId="9041" xr:uid="{00000000-0005-0000-0000-000064230000}"/>
    <cellStyle name="RowTitles1-Detail 2 3 6 3 2 2 2" xfId="9042" xr:uid="{00000000-0005-0000-0000-000065230000}"/>
    <cellStyle name="RowTitles1-Detail 2 3 6 3 2 2_Tertiary Salaries Survey" xfId="9043" xr:uid="{00000000-0005-0000-0000-000066230000}"/>
    <cellStyle name="RowTitles1-Detail 2 3 6 3 2 3" xfId="9044" xr:uid="{00000000-0005-0000-0000-000067230000}"/>
    <cellStyle name="RowTitles1-Detail 2 3 6 3 2_Tertiary Salaries Survey" xfId="9045" xr:uid="{00000000-0005-0000-0000-000068230000}"/>
    <cellStyle name="RowTitles1-Detail 2 3 6 3 3" xfId="9046" xr:uid="{00000000-0005-0000-0000-000069230000}"/>
    <cellStyle name="RowTitles1-Detail 2 3 6 3 3 2" xfId="9047" xr:uid="{00000000-0005-0000-0000-00006A230000}"/>
    <cellStyle name="RowTitles1-Detail 2 3 6 3 3 2 2" xfId="9048" xr:uid="{00000000-0005-0000-0000-00006B230000}"/>
    <cellStyle name="RowTitles1-Detail 2 3 6 3 3 2_Tertiary Salaries Survey" xfId="9049" xr:uid="{00000000-0005-0000-0000-00006C230000}"/>
    <cellStyle name="RowTitles1-Detail 2 3 6 3 3 3" xfId="9050" xr:uid="{00000000-0005-0000-0000-00006D230000}"/>
    <cellStyle name="RowTitles1-Detail 2 3 6 3 3_Tertiary Salaries Survey" xfId="9051" xr:uid="{00000000-0005-0000-0000-00006E230000}"/>
    <cellStyle name="RowTitles1-Detail 2 3 6 3 4" xfId="9052" xr:uid="{00000000-0005-0000-0000-00006F230000}"/>
    <cellStyle name="RowTitles1-Detail 2 3 6 3 5" xfId="9053" xr:uid="{00000000-0005-0000-0000-000070230000}"/>
    <cellStyle name="RowTitles1-Detail 2 3 6 3_Tertiary Salaries Survey" xfId="9054" xr:uid="{00000000-0005-0000-0000-000071230000}"/>
    <cellStyle name="RowTitles1-Detail 2 3 6 4" xfId="9055" xr:uid="{00000000-0005-0000-0000-000072230000}"/>
    <cellStyle name="RowTitles1-Detail 2 3 6 4 2" xfId="9056" xr:uid="{00000000-0005-0000-0000-000073230000}"/>
    <cellStyle name="RowTitles1-Detail 2 3 6 4 2 2" xfId="9057" xr:uid="{00000000-0005-0000-0000-000074230000}"/>
    <cellStyle name="RowTitles1-Detail 2 3 6 4 2 2 2" xfId="9058" xr:uid="{00000000-0005-0000-0000-000075230000}"/>
    <cellStyle name="RowTitles1-Detail 2 3 6 4 2 2_Tertiary Salaries Survey" xfId="9059" xr:uid="{00000000-0005-0000-0000-000076230000}"/>
    <cellStyle name="RowTitles1-Detail 2 3 6 4 2 3" xfId="9060" xr:uid="{00000000-0005-0000-0000-000077230000}"/>
    <cellStyle name="RowTitles1-Detail 2 3 6 4 2_Tertiary Salaries Survey" xfId="9061" xr:uid="{00000000-0005-0000-0000-000078230000}"/>
    <cellStyle name="RowTitles1-Detail 2 3 6 4 3" xfId="9062" xr:uid="{00000000-0005-0000-0000-000079230000}"/>
    <cellStyle name="RowTitles1-Detail 2 3 6 4 3 2" xfId="9063" xr:uid="{00000000-0005-0000-0000-00007A230000}"/>
    <cellStyle name="RowTitles1-Detail 2 3 6 4 3 2 2" xfId="9064" xr:uid="{00000000-0005-0000-0000-00007B230000}"/>
    <cellStyle name="RowTitles1-Detail 2 3 6 4 3 2_Tertiary Salaries Survey" xfId="9065" xr:uid="{00000000-0005-0000-0000-00007C230000}"/>
    <cellStyle name="RowTitles1-Detail 2 3 6 4 3 3" xfId="9066" xr:uid="{00000000-0005-0000-0000-00007D230000}"/>
    <cellStyle name="RowTitles1-Detail 2 3 6 4 3_Tertiary Salaries Survey" xfId="9067" xr:uid="{00000000-0005-0000-0000-00007E230000}"/>
    <cellStyle name="RowTitles1-Detail 2 3 6 4 4" xfId="9068" xr:uid="{00000000-0005-0000-0000-00007F230000}"/>
    <cellStyle name="RowTitles1-Detail 2 3 6 4 5" xfId="9069" xr:uid="{00000000-0005-0000-0000-000080230000}"/>
    <cellStyle name="RowTitles1-Detail 2 3 6 4 5 2" xfId="9070" xr:uid="{00000000-0005-0000-0000-000081230000}"/>
    <cellStyle name="RowTitles1-Detail 2 3 6 4 5_Tertiary Salaries Survey" xfId="9071" xr:uid="{00000000-0005-0000-0000-000082230000}"/>
    <cellStyle name="RowTitles1-Detail 2 3 6 4 6" xfId="9072" xr:uid="{00000000-0005-0000-0000-000083230000}"/>
    <cellStyle name="RowTitles1-Detail 2 3 6 4_Tertiary Salaries Survey" xfId="9073" xr:uid="{00000000-0005-0000-0000-000084230000}"/>
    <cellStyle name="RowTitles1-Detail 2 3 6 5" xfId="9074" xr:uid="{00000000-0005-0000-0000-000085230000}"/>
    <cellStyle name="RowTitles1-Detail 2 3 6 5 2" xfId="9075" xr:uid="{00000000-0005-0000-0000-000086230000}"/>
    <cellStyle name="RowTitles1-Detail 2 3 6 5 2 2" xfId="9076" xr:uid="{00000000-0005-0000-0000-000087230000}"/>
    <cellStyle name="RowTitles1-Detail 2 3 6 5 2 2 2" xfId="9077" xr:uid="{00000000-0005-0000-0000-000088230000}"/>
    <cellStyle name="RowTitles1-Detail 2 3 6 5 2 2_Tertiary Salaries Survey" xfId="9078" xr:uid="{00000000-0005-0000-0000-000089230000}"/>
    <cellStyle name="RowTitles1-Detail 2 3 6 5 2 3" xfId="9079" xr:uid="{00000000-0005-0000-0000-00008A230000}"/>
    <cellStyle name="RowTitles1-Detail 2 3 6 5 2_Tertiary Salaries Survey" xfId="9080" xr:uid="{00000000-0005-0000-0000-00008B230000}"/>
    <cellStyle name="RowTitles1-Detail 2 3 6 5 3" xfId="9081" xr:uid="{00000000-0005-0000-0000-00008C230000}"/>
    <cellStyle name="RowTitles1-Detail 2 3 6 5 3 2" xfId="9082" xr:uid="{00000000-0005-0000-0000-00008D230000}"/>
    <cellStyle name="RowTitles1-Detail 2 3 6 5 3 2 2" xfId="9083" xr:uid="{00000000-0005-0000-0000-00008E230000}"/>
    <cellStyle name="RowTitles1-Detail 2 3 6 5 3 2_Tertiary Salaries Survey" xfId="9084" xr:uid="{00000000-0005-0000-0000-00008F230000}"/>
    <cellStyle name="RowTitles1-Detail 2 3 6 5 3 3" xfId="9085" xr:uid="{00000000-0005-0000-0000-000090230000}"/>
    <cellStyle name="RowTitles1-Detail 2 3 6 5 3_Tertiary Salaries Survey" xfId="9086" xr:uid="{00000000-0005-0000-0000-000091230000}"/>
    <cellStyle name="RowTitles1-Detail 2 3 6 5 4" xfId="9087" xr:uid="{00000000-0005-0000-0000-000092230000}"/>
    <cellStyle name="RowTitles1-Detail 2 3 6 5 4 2" xfId="9088" xr:uid="{00000000-0005-0000-0000-000093230000}"/>
    <cellStyle name="RowTitles1-Detail 2 3 6 5 4_Tertiary Salaries Survey" xfId="9089" xr:uid="{00000000-0005-0000-0000-000094230000}"/>
    <cellStyle name="RowTitles1-Detail 2 3 6 5 5" xfId="9090" xr:uid="{00000000-0005-0000-0000-000095230000}"/>
    <cellStyle name="RowTitles1-Detail 2 3 6 5_Tertiary Salaries Survey" xfId="9091" xr:uid="{00000000-0005-0000-0000-000096230000}"/>
    <cellStyle name="RowTitles1-Detail 2 3 6 6" xfId="9092" xr:uid="{00000000-0005-0000-0000-000097230000}"/>
    <cellStyle name="RowTitles1-Detail 2 3 6 6 2" xfId="9093" xr:uid="{00000000-0005-0000-0000-000098230000}"/>
    <cellStyle name="RowTitles1-Detail 2 3 6 6 2 2" xfId="9094" xr:uid="{00000000-0005-0000-0000-000099230000}"/>
    <cellStyle name="RowTitles1-Detail 2 3 6 6 2 2 2" xfId="9095" xr:uid="{00000000-0005-0000-0000-00009A230000}"/>
    <cellStyle name="RowTitles1-Detail 2 3 6 6 2 2_Tertiary Salaries Survey" xfId="9096" xr:uid="{00000000-0005-0000-0000-00009B230000}"/>
    <cellStyle name="RowTitles1-Detail 2 3 6 6 2 3" xfId="9097" xr:uid="{00000000-0005-0000-0000-00009C230000}"/>
    <cellStyle name="RowTitles1-Detail 2 3 6 6 2_Tertiary Salaries Survey" xfId="9098" xr:uid="{00000000-0005-0000-0000-00009D230000}"/>
    <cellStyle name="RowTitles1-Detail 2 3 6 6 3" xfId="9099" xr:uid="{00000000-0005-0000-0000-00009E230000}"/>
    <cellStyle name="RowTitles1-Detail 2 3 6 6 3 2" xfId="9100" xr:uid="{00000000-0005-0000-0000-00009F230000}"/>
    <cellStyle name="RowTitles1-Detail 2 3 6 6 3 2 2" xfId="9101" xr:uid="{00000000-0005-0000-0000-0000A0230000}"/>
    <cellStyle name="RowTitles1-Detail 2 3 6 6 3 2_Tertiary Salaries Survey" xfId="9102" xr:uid="{00000000-0005-0000-0000-0000A1230000}"/>
    <cellStyle name="RowTitles1-Detail 2 3 6 6 3 3" xfId="9103" xr:uid="{00000000-0005-0000-0000-0000A2230000}"/>
    <cellStyle name="RowTitles1-Detail 2 3 6 6 3_Tertiary Salaries Survey" xfId="9104" xr:uid="{00000000-0005-0000-0000-0000A3230000}"/>
    <cellStyle name="RowTitles1-Detail 2 3 6 6 4" xfId="9105" xr:uid="{00000000-0005-0000-0000-0000A4230000}"/>
    <cellStyle name="RowTitles1-Detail 2 3 6 6 4 2" xfId="9106" xr:uid="{00000000-0005-0000-0000-0000A5230000}"/>
    <cellStyle name="RowTitles1-Detail 2 3 6 6 4_Tertiary Salaries Survey" xfId="9107" xr:uid="{00000000-0005-0000-0000-0000A6230000}"/>
    <cellStyle name="RowTitles1-Detail 2 3 6 6 5" xfId="9108" xr:uid="{00000000-0005-0000-0000-0000A7230000}"/>
    <cellStyle name="RowTitles1-Detail 2 3 6 6_Tertiary Salaries Survey" xfId="9109" xr:uid="{00000000-0005-0000-0000-0000A8230000}"/>
    <cellStyle name="RowTitles1-Detail 2 3 6 7" xfId="9110" xr:uid="{00000000-0005-0000-0000-0000A9230000}"/>
    <cellStyle name="RowTitles1-Detail 2 3 6 7 2" xfId="9111" xr:uid="{00000000-0005-0000-0000-0000AA230000}"/>
    <cellStyle name="RowTitles1-Detail 2 3 6 7 2 2" xfId="9112" xr:uid="{00000000-0005-0000-0000-0000AB230000}"/>
    <cellStyle name="RowTitles1-Detail 2 3 6 7 2_Tertiary Salaries Survey" xfId="9113" xr:uid="{00000000-0005-0000-0000-0000AC230000}"/>
    <cellStyle name="RowTitles1-Detail 2 3 6 7 3" xfId="9114" xr:uid="{00000000-0005-0000-0000-0000AD230000}"/>
    <cellStyle name="RowTitles1-Detail 2 3 6 7_Tertiary Salaries Survey" xfId="9115" xr:uid="{00000000-0005-0000-0000-0000AE230000}"/>
    <cellStyle name="RowTitles1-Detail 2 3 6 8" xfId="9116" xr:uid="{00000000-0005-0000-0000-0000AF230000}"/>
    <cellStyle name="RowTitles1-Detail 2 3 6 9" xfId="9117" xr:uid="{00000000-0005-0000-0000-0000B0230000}"/>
    <cellStyle name="RowTitles1-Detail 2 3 6_STUD aligned by INSTIT" xfId="9118" xr:uid="{00000000-0005-0000-0000-0000B1230000}"/>
    <cellStyle name="RowTitles1-Detail 2 3 7" xfId="9119" xr:uid="{00000000-0005-0000-0000-0000B2230000}"/>
    <cellStyle name="RowTitles1-Detail 2 3 7 2" xfId="9120" xr:uid="{00000000-0005-0000-0000-0000B3230000}"/>
    <cellStyle name="RowTitles1-Detail 2 3 7 2 2" xfId="9121" xr:uid="{00000000-0005-0000-0000-0000B4230000}"/>
    <cellStyle name="RowTitles1-Detail 2 3 7 2 2 2" xfId="9122" xr:uid="{00000000-0005-0000-0000-0000B5230000}"/>
    <cellStyle name="RowTitles1-Detail 2 3 7 2 2_Tertiary Salaries Survey" xfId="9123" xr:uid="{00000000-0005-0000-0000-0000B6230000}"/>
    <cellStyle name="RowTitles1-Detail 2 3 7 2 3" xfId="9124" xr:uid="{00000000-0005-0000-0000-0000B7230000}"/>
    <cellStyle name="RowTitles1-Detail 2 3 7 2_Tertiary Salaries Survey" xfId="9125" xr:uid="{00000000-0005-0000-0000-0000B8230000}"/>
    <cellStyle name="RowTitles1-Detail 2 3 7 3" xfId="9126" xr:uid="{00000000-0005-0000-0000-0000B9230000}"/>
    <cellStyle name="RowTitles1-Detail 2 3 7 3 2" xfId="9127" xr:uid="{00000000-0005-0000-0000-0000BA230000}"/>
    <cellStyle name="RowTitles1-Detail 2 3 7 3 2 2" xfId="9128" xr:uid="{00000000-0005-0000-0000-0000BB230000}"/>
    <cellStyle name="RowTitles1-Detail 2 3 7 3 2_Tertiary Salaries Survey" xfId="9129" xr:uid="{00000000-0005-0000-0000-0000BC230000}"/>
    <cellStyle name="RowTitles1-Detail 2 3 7 3 3" xfId="9130" xr:uid="{00000000-0005-0000-0000-0000BD230000}"/>
    <cellStyle name="RowTitles1-Detail 2 3 7 3_Tertiary Salaries Survey" xfId="9131" xr:uid="{00000000-0005-0000-0000-0000BE230000}"/>
    <cellStyle name="RowTitles1-Detail 2 3 7 4" xfId="9132" xr:uid="{00000000-0005-0000-0000-0000BF230000}"/>
    <cellStyle name="RowTitles1-Detail 2 3 7 5" xfId="9133" xr:uid="{00000000-0005-0000-0000-0000C0230000}"/>
    <cellStyle name="RowTitles1-Detail 2 3 7 5 2" xfId="9134" xr:uid="{00000000-0005-0000-0000-0000C1230000}"/>
    <cellStyle name="RowTitles1-Detail 2 3 7 5_Tertiary Salaries Survey" xfId="9135" xr:uid="{00000000-0005-0000-0000-0000C2230000}"/>
    <cellStyle name="RowTitles1-Detail 2 3 7 6" xfId="9136" xr:uid="{00000000-0005-0000-0000-0000C3230000}"/>
    <cellStyle name="RowTitles1-Detail 2 3 7_Tertiary Salaries Survey" xfId="9137" xr:uid="{00000000-0005-0000-0000-0000C4230000}"/>
    <cellStyle name="RowTitles1-Detail 2 3 8" xfId="9138" xr:uid="{00000000-0005-0000-0000-0000C5230000}"/>
    <cellStyle name="RowTitles1-Detail 2 3 8 2" xfId="9139" xr:uid="{00000000-0005-0000-0000-0000C6230000}"/>
    <cellStyle name="RowTitles1-Detail 2 3 8 2 2" xfId="9140" xr:uid="{00000000-0005-0000-0000-0000C7230000}"/>
    <cellStyle name="RowTitles1-Detail 2 3 8 2 2 2" xfId="9141" xr:uid="{00000000-0005-0000-0000-0000C8230000}"/>
    <cellStyle name="RowTitles1-Detail 2 3 8 2 2_Tertiary Salaries Survey" xfId="9142" xr:uid="{00000000-0005-0000-0000-0000C9230000}"/>
    <cellStyle name="RowTitles1-Detail 2 3 8 2 3" xfId="9143" xr:uid="{00000000-0005-0000-0000-0000CA230000}"/>
    <cellStyle name="RowTitles1-Detail 2 3 8 2_Tertiary Salaries Survey" xfId="9144" xr:uid="{00000000-0005-0000-0000-0000CB230000}"/>
    <cellStyle name="RowTitles1-Detail 2 3 8 3" xfId="9145" xr:uid="{00000000-0005-0000-0000-0000CC230000}"/>
    <cellStyle name="RowTitles1-Detail 2 3 8 3 2" xfId="9146" xr:uid="{00000000-0005-0000-0000-0000CD230000}"/>
    <cellStyle name="RowTitles1-Detail 2 3 8 3 2 2" xfId="9147" xr:uid="{00000000-0005-0000-0000-0000CE230000}"/>
    <cellStyle name="RowTitles1-Detail 2 3 8 3 2_Tertiary Salaries Survey" xfId="9148" xr:uid="{00000000-0005-0000-0000-0000CF230000}"/>
    <cellStyle name="RowTitles1-Detail 2 3 8 3 3" xfId="9149" xr:uid="{00000000-0005-0000-0000-0000D0230000}"/>
    <cellStyle name="RowTitles1-Detail 2 3 8 3_Tertiary Salaries Survey" xfId="9150" xr:uid="{00000000-0005-0000-0000-0000D1230000}"/>
    <cellStyle name="RowTitles1-Detail 2 3 8 4" xfId="9151" xr:uid="{00000000-0005-0000-0000-0000D2230000}"/>
    <cellStyle name="RowTitles1-Detail 2 3 8 5" xfId="9152" xr:uid="{00000000-0005-0000-0000-0000D3230000}"/>
    <cellStyle name="RowTitles1-Detail 2 3 8_Tertiary Salaries Survey" xfId="9153" xr:uid="{00000000-0005-0000-0000-0000D4230000}"/>
    <cellStyle name="RowTitles1-Detail 2 3 9" xfId="9154" xr:uid="{00000000-0005-0000-0000-0000D5230000}"/>
    <cellStyle name="RowTitles1-Detail 2 3 9 2" xfId="9155" xr:uid="{00000000-0005-0000-0000-0000D6230000}"/>
    <cellStyle name="RowTitles1-Detail 2 3 9 2 2" xfId="9156" xr:uid="{00000000-0005-0000-0000-0000D7230000}"/>
    <cellStyle name="RowTitles1-Detail 2 3 9 2 2 2" xfId="9157" xr:uid="{00000000-0005-0000-0000-0000D8230000}"/>
    <cellStyle name="RowTitles1-Detail 2 3 9 2 2_Tertiary Salaries Survey" xfId="9158" xr:uid="{00000000-0005-0000-0000-0000D9230000}"/>
    <cellStyle name="RowTitles1-Detail 2 3 9 2 3" xfId="9159" xr:uid="{00000000-0005-0000-0000-0000DA230000}"/>
    <cellStyle name="RowTitles1-Detail 2 3 9 2_Tertiary Salaries Survey" xfId="9160" xr:uid="{00000000-0005-0000-0000-0000DB230000}"/>
    <cellStyle name="RowTitles1-Detail 2 3 9 3" xfId="9161" xr:uid="{00000000-0005-0000-0000-0000DC230000}"/>
    <cellStyle name="RowTitles1-Detail 2 3 9 3 2" xfId="9162" xr:uid="{00000000-0005-0000-0000-0000DD230000}"/>
    <cellStyle name="RowTitles1-Detail 2 3 9 3 2 2" xfId="9163" xr:uid="{00000000-0005-0000-0000-0000DE230000}"/>
    <cellStyle name="RowTitles1-Detail 2 3 9 3 2_Tertiary Salaries Survey" xfId="9164" xr:uid="{00000000-0005-0000-0000-0000DF230000}"/>
    <cellStyle name="RowTitles1-Detail 2 3 9 3 3" xfId="9165" xr:uid="{00000000-0005-0000-0000-0000E0230000}"/>
    <cellStyle name="RowTitles1-Detail 2 3 9 3_Tertiary Salaries Survey" xfId="9166" xr:uid="{00000000-0005-0000-0000-0000E1230000}"/>
    <cellStyle name="RowTitles1-Detail 2 3 9 4" xfId="9167" xr:uid="{00000000-0005-0000-0000-0000E2230000}"/>
    <cellStyle name="RowTitles1-Detail 2 3 9 5" xfId="9168" xr:uid="{00000000-0005-0000-0000-0000E3230000}"/>
    <cellStyle name="RowTitles1-Detail 2 3 9 5 2" xfId="9169" xr:uid="{00000000-0005-0000-0000-0000E4230000}"/>
    <cellStyle name="RowTitles1-Detail 2 3 9 5_Tertiary Salaries Survey" xfId="9170" xr:uid="{00000000-0005-0000-0000-0000E5230000}"/>
    <cellStyle name="RowTitles1-Detail 2 3 9 6" xfId="9171" xr:uid="{00000000-0005-0000-0000-0000E6230000}"/>
    <cellStyle name="RowTitles1-Detail 2 3 9_Tertiary Salaries Survey" xfId="9172" xr:uid="{00000000-0005-0000-0000-0000E7230000}"/>
    <cellStyle name="RowTitles1-Detail 2 3_STUD aligned by INSTIT" xfId="9173" xr:uid="{00000000-0005-0000-0000-0000E8230000}"/>
    <cellStyle name="RowTitles1-Detail 2 4" xfId="9174" xr:uid="{00000000-0005-0000-0000-0000E9230000}"/>
    <cellStyle name="RowTitles1-Detail 2 4 10" xfId="9175" xr:uid="{00000000-0005-0000-0000-0000EA230000}"/>
    <cellStyle name="RowTitles1-Detail 2 4 10 2" xfId="9176" xr:uid="{00000000-0005-0000-0000-0000EB230000}"/>
    <cellStyle name="RowTitles1-Detail 2 4 10 2 2" xfId="9177" xr:uid="{00000000-0005-0000-0000-0000EC230000}"/>
    <cellStyle name="RowTitles1-Detail 2 4 10 2_Tertiary Salaries Survey" xfId="9178" xr:uid="{00000000-0005-0000-0000-0000ED230000}"/>
    <cellStyle name="RowTitles1-Detail 2 4 10 3" xfId="9179" xr:uid="{00000000-0005-0000-0000-0000EE230000}"/>
    <cellStyle name="RowTitles1-Detail 2 4 10_Tertiary Salaries Survey" xfId="9180" xr:uid="{00000000-0005-0000-0000-0000EF230000}"/>
    <cellStyle name="RowTitles1-Detail 2 4 11" xfId="9181" xr:uid="{00000000-0005-0000-0000-0000F0230000}"/>
    <cellStyle name="RowTitles1-Detail 2 4 12" xfId="9182" xr:uid="{00000000-0005-0000-0000-0000F1230000}"/>
    <cellStyle name="RowTitles1-Detail 2 4 2" xfId="9183" xr:uid="{00000000-0005-0000-0000-0000F2230000}"/>
    <cellStyle name="RowTitles1-Detail 2 4 2 2" xfId="9184" xr:uid="{00000000-0005-0000-0000-0000F3230000}"/>
    <cellStyle name="RowTitles1-Detail 2 4 2 2 2" xfId="9185" xr:uid="{00000000-0005-0000-0000-0000F4230000}"/>
    <cellStyle name="RowTitles1-Detail 2 4 2 2 2 2" xfId="9186" xr:uid="{00000000-0005-0000-0000-0000F5230000}"/>
    <cellStyle name="RowTitles1-Detail 2 4 2 2 2 2 2" xfId="9187" xr:uid="{00000000-0005-0000-0000-0000F6230000}"/>
    <cellStyle name="RowTitles1-Detail 2 4 2 2 2 2_Tertiary Salaries Survey" xfId="9188" xr:uid="{00000000-0005-0000-0000-0000F7230000}"/>
    <cellStyle name="RowTitles1-Detail 2 4 2 2 2 3" xfId="9189" xr:uid="{00000000-0005-0000-0000-0000F8230000}"/>
    <cellStyle name="RowTitles1-Detail 2 4 2 2 2_Tertiary Salaries Survey" xfId="9190" xr:uid="{00000000-0005-0000-0000-0000F9230000}"/>
    <cellStyle name="RowTitles1-Detail 2 4 2 2 3" xfId="9191" xr:uid="{00000000-0005-0000-0000-0000FA230000}"/>
    <cellStyle name="RowTitles1-Detail 2 4 2 2 3 2" xfId="9192" xr:uid="{00000000-0005-0000-0000-0000FB230000}"/>
    <cellStyle name="RowTitles1-Detail 2 4 2 2 3 2 2" xfId="9193" xr:uid="{00000000-0005-0000-0000-0000FC230000}"/>
    <cellStyle name="RowTitles1-Detail 2 4 2 2 3 2_Tertiary Salaries Survey" xfId="9194" xr:uid="{00000000-0005-0000-0000-0000FD230000}"/>
    <cellStyle name="RowTitles1-Detail 2 4 2 2 3 3" xfId="9195" xr:uid="{00000000-0005-0000-0000-0000FE230000}"/>
    <cellStyle name="RowTitles1-Detail 2 4 2 2 3_Tertiary Salaries Survey" xfId="9196" xr:uid="{00000000-0005-0000-0000-0000FF230000}"/>
    <cellStyle name="RowTitles1-Detail 2 4 2 2 4" xfId="9197" xr:uid="{00000000-0005-0000-0000-000000240000}"/>
    <cellStyle name="RowTitles1-Detail 2 4 2 2 5" xfId="9198" xr:uid="{00000000-0005-0000-0000-000001240000}"/>
    <cellStyle name="RowTitles1-Detail 2 4 2 2_Tertiary Salaries Survey" xfId="9199" xr:uid="{00000000-0005-0000-0000-000002240000}"/>
    <cellStyle name="RowTitles1-Detail 2 4 2 3" xfId="9200" xr:uid="{00000000-0005-0000-0000-000003240000}"/>
    <cellStyle name="RowTitles1-Detail 2 4 2 3 2" xfId="9201" xr:uid="{00000000-0005-0000-0000-000004240000}"/>
    <cellStyle name="RowTitles1-Detail 2 4 2 3 2 2" xfId="9202" xr:uid="{00000000-0005-0000-0000-000005240000}"/>
    <cellStyle name="RowTitles1-Detail 2 4 2 3 2 2 2" xfId="9203" xr:uid="{00000000-0005-0000-0000-000006240000}"/>
    <cellStyle name="RowTitles1-Detail 2 4 2 3 2 2_Tertiary Salaries Survey" xfId="9204" xr:uid="{00000000-0005-0000-0000-000007240000}"/>
    <cellStyle name="RowTitles1-Detail 2 4 2 3 2 3" xfId="9205" xr:uid="{00000000-0005-0000-0000-000008240000}"/>
    <cellStyle name="RowTitles1-Detail 2 4 2 3 2_Tertiary Salaries Survey" xfId="9206" xr:uid="{00000000-0005-0000-0000-000009240000}"/>
    <cellStyle name="RowTitles1-Detail 2 4 2 3 3" xfId="9207" xr:uid="{00000000-0005-0000-0000-00000A240000}"/>
    <cellStyle name="RowTitles1-Detail 2 4 2 3 3 2" xfId="9208" xr:uid="{00000000-0005-0000-0000-00000B240000}"/>
    <cellStyle name="RowTitles1-Detail 2 4 2 3 3 2 2" xfId="9209" xr:uid="{00000000-0005-0000-0000-00000C240000}"/>
    <cellStyle name="RowTitles1-Detail 2 4 2 3 3 2_Tertiary Salaries Survey" xfId="9210" xr:uid="{00000000-0005-0000-0000-00000D240000}"/>
    <cellStyle name="RowTitles1-Detail 2 4 2 3 3 3" xfId="9211" xr:uid="{00000000-0005-0000-0000-00000E240000}"/>
    <cellStyle name="RowTitles1-Detail 2 4 2 3 3_Tertiary Salaries Survey" xfId="9212" xr:uid="{00000000-0005-0000-0000-00000F240000}"/>
    <cellStyle name="RowTitles1-Detail 2 4 2 3 4" xfId="9213" xr:uid="{00000000-0005-0000-0000-000010240000}"/>
    <cellStyle name="RowTitles1-Detail 2 4 2 3 5" xfId="9214" xr:uid="{00000000-0005-0000-0000-000011240000}"/>
    <cellStyle name="RowTitles1-Detail 2 4 2 3 5 2" xfId="9215" xr:uid="{00000000-0005-0000-0000-000012240000}"/>
    <cellStyle name="RowTitles1-Detail 2 4 2 3 5_Tertiary Salaries Survey" xfId="9216" xr:uid="{00000000-0005-0000-0000-000013240000}"/>
    <cellStyle name="RowTitles1-Detail 2 4 2 3 6" xfId="9217" xr:uid="{00000000-0005-0000-0000-000014240000}"/>
    <cellStyle name="RowTitles1-Detail 2 4 2 3_Tertiary Salaries Survey" xfId="9218" xr:uid="{00000000-0005-0000-0000-000015240000}"/>
    <cellStyle name="RowTitles1-Detail 2 4 2 4" xfId="9219" xr:uid="{00000000-0005-0000-0000-000016240000}"/>
    <cellStyle name="RowTitles1-Detail 2 4 2 4 2" xfId="9220" xr:uid="{00000000-0005-0000-0000-000017240000}"/>
    <cellStyle name="RowTitles1-Detail 2 4 2 4 2 2" xfId="9221" xr:uid="{00000000-0005-0000-0000-000018240000}"/>
    <cellStyle name="RowTitles1-Detail 2 4 2 4 2 2 2" xfId="9222" xr:uid="{00000000-0005-0000-0000-000019240000}"/>
    <cellStyle name="RowTitles1-Detail 2 4 2 4 2 2_Tertiary Salaries Survey" xfId="9223" xr:uid="{00000000-0005-0000-0000-00001A240000}"/>
    <cellStyle name="RowTitles1-Detail 2 4 2 4 2 3" xfId="9224" xr:uid="{00000000-0005-0000-0000-00001B240000}"/>
    <cellStyle name="RowTitles1-Detail 2 4 2 4 2_Tertiary Salaries Survey" xfId="9225" xr:uid="{00000000-0005-0000-0000-00001C240000}"/>
    <cellStyle name="RowTitles1-Detail 2 4 2 4 3" xfId="9226" xr:uid="{00000000-0005-0000-0000-00001D240000}"/>
    <cellStyle name="RowTitles1-Detail 2 4 2 4 3 2" xfId="9227" xr:uid="{00000000-0005-0000-0000-00001E240000}"/>
    <cellStyle name="RowTitles1-Detail 2 4 2 4 3 2 2" xfId="9228" xr:uid="{00000000-0005-0000-0000-00001F240000}"/>
    <cellStyle name="RowTitles1-Detail 2 4 2 4 3 2_Tertiary Salaries Survey" xfId="9229" xr:uid="{00000000-0005-0000-0000-000020240000}"/>
    <cellStyle name="RowTitles1-Detail 2 4 2 4 3 3" xfId="9230" xr:uid="{00000000-0005-0000-0000-000021240000}"/>
    <cellStyle name="RowTitles1-Detail 2 4 2 4 3_Tertiary Salaries Survey" xfId="9231" xr:uid="{00000000-0005-0000-0000-000022240000}"/>
    <cellStyle name="RowTitles1-Detail 2 4 2 4 4" xfId="9232" xr:uid="{00000000-0005-0000-0000-000023240000}"/>
    <cellStyle name="RowTitles1-Detail 2 4 2 4 4 2" xfId="9233" xr:uid="{00000000-0005-0000-0000-000024240000}"/>
    <cellStyle name="RowTitles1-Detail 2 4 2 4 4_Tertiary Salaries Survey" xfId="9234" xr:uid="{00000000-0005-0000-0000-000025240000}"/>
    <cellStyle name="RowTitles1-Detail 2 4 2 4 5" xfId="9235" xr:uid="{00000000-0005-0000-0000-000026240000}"/>
    <cellStyle name="RowTitles1-Detail 2 4 2 4_Tertiary Salaries Survey" xfId="9236" xr:uid="{00000000-0005-0000-0000-000027240000}"/>
    <cellStyle name="RowTitles1-Detail 2 4 2 5" xfId="9237" xr:uid="{00000000-0005-0000-0000-000028240000}"/>
    <cellStyle name="RowTitles1-Detail 2 4 2 5 2" xfId="9238" xr:uid="{00000000-0005-0000-0000-000029240000}"/>
    <cellStyle name="RowTitles1-Detail 2 4 2 5 2 2" xfId="9239" xr:uid="{00000000-0005-0000-0000-00002A240000}"/>
    <cellStyle name="RowTitles1-Detail 2 4 2 5 2 2 2" xfId="9240" xr:uid="{00000000-0005-0000-0000-00002B240000}"/>
    <cellStyle name="RowTitles1-Detail 2 4 2 5 2 2_Tertiary Salaries Survey" xfId="9241" xr:uid="{00000000-0005-0000-0000-00002C240000}"/>
    <cellStyle name="RowTitles1-Detail 2 4 2 5 2 3" xfId="9242" xr:uid="{00000000-0005-0000-0000-00002D240000}"/>
    <cellStyle name="RowTitles1-Detail 2 4 2 5 2_Tertiary Salaries Survey" xfId="9243" xr:uid="{00000000-0005-0000-0000-00002E240000}"/>
    <cellStyle name="RowTitles1-Detail 2 4 2 5 3" xfId="9244" xr:uid="{00000000-0005-0000-0000-00002F240000}"/>
    <cellStyle name="RowTitles1-Detail 2 4 2 5 3 2" xfId="9245" xr:uid="{00000000-0005-0000-0000-000030240000}"/>
    <cellStyle name="RowTitles1-Detail 2 4 2 5 3 2 2" xfId="9246" xr:uid="{00000000-0005-0000-0000-000031240000}"/>
    <cellStyle name="RowTitles1-Detail 2 4 2 5 3 2_Tertiary Salaries Survey" xfId="9247" xr:uid="{00000000-0005-0000-0000-000032240000}"/>
    <cellStyle name="RowTitles1-Detail 2 4 2 5 3 3" xfId="9248" xr:uid="{00000000-0005-0000-0000-000033240000}"/>
    <cellStyle name="RowTitles1-Detail 2 4 2 5 3_Tertiary Salaries Survey" xfId="9249" xr:uid="{00000000-0005-0000-0000-000034240000}"/>
    <cellStyle name="RowTitles1-Detail 2 4 2 5 4" xfId="9250" xr:uid="{00000000-0005-0000-0000-000035240000}"/>
    <cellStyle name="RowTitles1-Detail 2 4 2 5 4 2" xfId="9251" xr:uid="{00000000-0005-0000-0000-000036240000}"/>
    <cellStyle name="RowTitles1-Detail 2 4 2 5 4_Tertiary Salaries Survey" xfId="9252" xr:uid="{00000000-0005-0000-0000-000037240000}"/>
    <cellStyle name="RowTitles1-Detail 2 4 2 5 5" xfId="9253" xr:uid="{00000000-0005-0000-0000-000038240000}"/>
    <cellStyle name="RowTitles1-Detail 2 4 2 5_Tertiary Salaries Survey" xfId="9254" xr:uid="{00000000-0005-0000-0000-000039240000}"/>
    <cellStyle name="RowTitles1-Detail 2 4 2 6" xfId="9255" xr:uid="{00000000-0005-0000-0000-00003A240000}"/>
    <cellStyle name="RowTitles1-Detail 2 4 2 6 2" xfId="9256" xr:uid="{00000000-0005-0000-0000-00003B240000}"/>
    <cellStyle name="RowTitles1-Detail 2 4 2 6 2 2" xfId="9257" xr:uid="{00000000-0005-0000-0000-00003C240000}"/>
    <cellStyle name="RowTitles1-Detail 2 4 2 6 2 2 2" xfId="9258" xr:uid="{00000000-0005-0000-0000-00003D240000}"/>
    <cellStyle name="RowTitles1-Detail 2 4 2 6 2 2_Tertiary Salaries Survey" xfId="9259" xr:uid="{00000000-0005-0000-0000-00003E240000}"/>
    <cellStyle name="RowTitles1-Detail 2 4 2 6 2 3" xfId="9260" xr:uid="{00000000-0005-0000-0000-00003F240000}"/>
    <cellStyle name="RowTitles1-Detail 2 4 2 6 2_Tertiary Salaries Survey" xfId="9261" xr:uid="{00000000-0005-0000-0000-000040240000}"/>
    <cellStyle name="RowTitles1-Detail 2 4 2 6 3" xfId="9262" xr:uid="{00000000-0005-0000-0000-000041240000}"/>
    <cellStyle name="RowTitles1-Detail 2 4 2 6 3 2" xfId="9263" xr:uid="{00000000-0005-0000-0000-000042240000}"/>
    <cellStyle name="RowTitles1-Detail 2 4 2 6 3 2 2" xfId="9264" xr:uid="{00000000-0005-0000-0000-000043240000}"/>
    <cellStyle name="RowTitles1-Detail 2 4 2 6 3 2_Tertiary Salaries Survey" xfId="9265" xr:uid="{00000000-0005-0000-0000-000044240000}"/>
    <cellStyle name="RowTitles1-Detail 2 4 2 6 3 3" xfId="9266" xr:uid="{00000000-0005-0000-0000-000045240000}"/>
    <cellStyle name="RowTitles1-Detail 2 4 2 6 3_Tertiary Salaries Survey" xfId="9267" xr:uid="{00000000-0005-0000-0000-000046240000}"/>
    <cellStyle name="RowTitles1-Detail 2 4 2 6 4" xfId="9268" xr:uid="{00000000-0005-0000-0000-000047240000}"/>
    <cellStyle name="RowTitles1-Detail 2 4 2 6 4 2" xfId="9269" xr:uid="{00000000-0005-0000-0000-000048240000}"/>
    <cellStyle name="RowTitles1-Detail 2 4 2 6 4_Tertiary Salaries Survey" xfId="9270" xr:uid="{00000000-0005-0000-0000-000049240000}"/>
    <cellStyle name="RowTitles1-Detail 2 4 2 6 5" xfId="9271" xr:uid="{00000000-0005-0000-0000-00004A240000}"/>
    <cellStyle name="RowTitles1-Detail 2 4 2 6_Tertiary Salaries Survey" xfId="9272" xr:uid="{00000000-0005-0000-0000-00004B240000}"/>
    <cellStyle name="RowTitles1-Detail 2 4 2 7" xfId="9273" xr:uid="{00000000-0005-0000-0000-00004C240000}"/>
    <cellStyle name="RowTitles1-Detail 2 4 2 7 2" xfId="9274" xr:uid="{00000000-0005-0000-0000-00004D240000}"/>
    <cellStyle name="RowTitles1-Detail 2 4 2 7 2 2" xfId="9275" xr:uid="{00000000-0005-0000-0000-00004E240000}"/>
    <cellStyle name="RowTitles1-Detail 2 4 2 7 2_Tertiary Salaries Survey" xfId="9276" xr:uid="{00000000-0005-0000-0000-00004F240000}"/>
    <cellStyle name="RowTitles1-Detail 2 4 2 7 3" xfId="9277" xr:uid="{00000000-0005-0000-0000-000050240000}"/>
    <cellStyle name="RowTitles1-Detail 2 4 2 7_Tertiary Salaries Survey" xfId="9278" xr:uid="{00000000-0005-0000-0000-000051240000}"/>
    <cellStyle name="RowTitles1-Detail 2 4 2 8" xfId="9279" xr:uid="{00000000-0005-0000-0000-000052240000}"/>
    <cellStyle name="RowTitles1-Detail 2 4 2 9" xfId="9280" xr:uid="{00000000-0005-0000-0000-000053240000}"/>
    <cellStyle name="RowTitles1-Detail 2 4 2_STUD aligned by INSTIT" xfId="9281" xr:uid="{00000000-0005-0000-0000-000054240000}"/>
    <cellStyle name="RowTitles1-Detail 2 4 3" xfId="9282" xr:uid="{00000000-0005-0000-0000-000055240000}"/>
    <cellStyle name="RowTitles1-Detail 2 4 3 2" xfId="9283" xr:uid="{00000000-0005-0000-0000-000056240000}"/>
    <cellStyle name="RowTitles1-Detail 2 4 3 2 2" xfId="9284" xr:uid="{00000000-0005-0000-0000-000057240000}"/>
    <cellStyle name="RowTitles1-Detail 2 4 3 2 2 2" xfId="9285" xr:uid="{00000000-0005-0000-0000-000058240000}"/>
    <cellStyle name="RowTitles1-Detail 2 4 3 2 2 2 2" xfId="9286" xr:uid="{00000000-0005-0000-0000-000059240000}"/>
    <cellStyle name="RowTitles1-Detail 2 4 3 2 2 2_Tertiary Salaries Survey" xfId="9287" xr:uid="{00000000-0005-0000-0000-00005A240000}"/>
    <cellStyle name="RowTitles1-Detail 2 4 3 2 2 3" xfId="9288" xr:uid="{00000000-0005-0000-0000-00005B240000}"/>
    <cellStyle name="RowTitles1-Detail 2 4 3 2 2_Tertiary Salaries Survey" xfId="9289" xr:uid="{00000000-0005-0000-0000-00005C240000}"/>
    <cellStyle name="RowTitles1-Detail 2 4 3 2 3" xfId="9290" xr:uid="{00000000-0005-0000-0000-00005D240000}"/>
    <cellStyle name="RowTitles1-Detail 2 4 3 2 3 2" xfId="9291" xr:uid="{00000000-0005-0000-0000-00005E240000}"/>
    <cellStyle name="RowTitles1-Detail 2 4 3 2 3 2 2" xfId="9292" xr:uid="{00000000-0005-0000-0000-00005F240000}"/>
    <cellStyle name="RowTitles1-Detail 2 4 3 2 3 2_Tertiary Salaries Survey" xfId="9293" xr:uid="{00000000-0005-0000-0000-000060240000}"/>
    <cellStyle name="RowTitles1-Detail 2 4 3 2 3 3" xfId="9294" xr:uid="{00000000-0005-0000-0000-000061240000}"/>
    <cellStyle name="RowTitles1-Detail 2 4 3 2 3_Tertiary Salaries Survey" xfId="9295" xr:uid="{00000000-0005-0000-0000-000062240000}"/>
    <cellStyle name="RowTitles1-Detail 2 4 3 2 4" xfId="9296" xr:uid="{00000000-0005-0000-0000-000063240000}"/>
    <cellStyle name="RowTitles1-Detail 2 4 3 2 5" xfId="9297" xr:uid="{00000000-0005-0000-0000-000064240000}"/>
    <cellStyle name="RowTitles1-Detail 2 4 3 2 5 2" xfId="9298" xr:uid="{00000000-0005-0000-0000-000065240000}"/>
    <cellStyle name="RowTitles1-Detail 2 4 3 2 5_Tertiary Salaries Survey" xfId="9299" xr:uid="{00000000-0005-0000-0000-000066240000}"/>
    <cellStyle name="RowTitles1-Detail 2 4 3 2 6" xfId="9300" xr:uid="{00000000-0005-0000-0000-000067240000}"/>
    <cellStyle name="RowTitles1-Detail 2 4 3 2_Tertiary Salaries Survey" xfId="9301" xr:uid="{00000000-0005-0000-0000-000068240000}"/>
    <cellStyle name="RowTitles1-Detail 2 4 3 3" xfId="9302" xr:uid="{00000000-0005-0000-0000-000069240000}"/>
    <cellStyle name="RowTitles1-Detail 2 4 3 3 2" xfId="9303" xr:uid="{00000000-0005-0000-0000-00006A240000}"/>
    <cellStyle name="RowTitles1-Detail 2 4 3 3 2 2" xfId="9304" xr:uid="{00000000-0005-0000-0000-00006B240000}"/>
    <cellStyle name="RowTitles1-Detail 2 4 3 3 2 2 2" xfId="9305" xr:uid="{00000000-0005-0000-0000-00006C240000}"/>
    <cellStyle name="RowTitles1-Detail 2 4 3 3 2 2_Tertiary Salaries Survey" xfId="9306" xr:uid="{00000000-0005-0000-0000-00006D240000}"/>
    <cellStyle name="RowTitles1-Detail 2 4 3 3 2 3" xfId="9307" xr:uid="{00000000-0005-0000-0000-00006E240000}"/>
    <cellStyle name="RowTitles1-Detail 2 4 3 3 2_Tertiary Salaries Survey" xfId="9308" xr:uid="{00000000-0005-0000-0000-00006F240000}"/>
    <cellStyle name="RowTitles1-Detail 2 4 3 3 3" xfId="9309" xr:uid="{00000000-0005-0000-0000-000070240000}"/>
    <cellStyle name="RowTitles1-Detail 2 4 3 3 3 2" xfId="9310" xr:uid="{00000000-0005-0000-0000-000071240000}"/>
    <cellStyle name="RowTitles1-Detail 2 4 3 3 3 2 2" xfId="9311" xr:uid="{00000000-0005-0000-0000-000072240000}"/>
    <cellStyle name="RowTitles1-Detail 2 4 3 3 3 2_Tertiary Salaries Survey" xfId="9312" xr:uid="{00000000-0005-0000-0000-000073240000}"/>
    <cellStyle name="RowTitles1-Detail 2 4 3 3 3 3" xfId="9313" xr:uid="{00000000-0005-0000-0000-000074240000}"/>
    <cellStyle name="RowTitles1-Detail 2 4 3 3 3_Tertiary Salaries Survey" xfId="9314" xr:uid="{00000000-0005-0000-0000-000075240000}"/>
    <cellStyle name="RowTitles1-Detail 2 4 3 3 4" xfId="9315" xr:uid="{00000000-0005-0000-0000-000076240000}"/>
    <cellStyle name="RowTitles1-Detail 2 4 3 3 5" xfId="9316" xr:uid="{00000000-0005-0000-0000-000077240000}"/>
    <cellStyle name="RowTitles1-Detail 2 4 3 3_Tertiary Salaries Survey" xfId="9317" xr:uid="{00000000-0005-0000-0000-000078240000}"/>
    <cellStyle name="RowTitles1-Detail 2 4 3 4" xfId="9318" xr:uid="{00000000-0005-0000-0000-000079240000}"/>
    <cellStyle name="RowTitles1-Detail 2 4 3 4 2" xfId="9319" xr:uid="{00000000-0005-0000-0000-00007A240000}"/>
    <cellStyle name="RowTitles1-Detail 2 4 3 4 2 2" xfId="9320" xr:uid="{00000000-0005-0000-0000-00007B240000}"/>
    <cellStyle name="RowTitles1-Detail 2 4 3 4 2 2 2" xfId="9321" xr:uid="{00000000-0005-0000-0000-00007C240000}"/>
    <cellStyle name="RowTitles1-Detail 2 4 3 4 2 2_Tertiary Salaries Survey" xfId="9322" xr:uid="{00000000-0005-0000-0000-00007D240000}"/>
    <cellStyle name="RowTitles1-Detail 2 4 3 4 2 3" xfId="9323" xr:uid="{00000000-0005-0000-0000-00007E240000}"/>
    <cellStyle name="RowTitles1-Detail 2 4 3 4 2_Tertiary Salaries Survey" xfId="9324" xr:uid="{00000000-0005-0000-0000-00007F240000}"/>
    <cellStyle name="RowTitles1-Detail 2 4 3 4 3" xfId="9325" xr:uid="{00000000-0005-0000-0000-000080240000}"/>
    <cellStyle name="RowTitles1-Detail 2 4 3 4 3 2" xfId="9326" xr:uid="{00000000-0005-0000-0000-000081240000}"/>
    <cellStyle name="RowTitles1-Detail 2 4 3 4 3 2 2" xfId="9327" xr:uid="{00000000-0005-0000-0000-000082240000}"/>
    <cellStyle name="RowTitles1-Detail 2 4 3 4 3 2_Tertiary Salaries Survey" xfId="9328" xr:uid="{00000000-0005-0000-0000-000083240000}"/>
    <cellStyle name="RowTitles1-Detail 2 4 3 4 3 3" xfId="9329" xr:uid="{00000000-0005-0000-0000-000084240000}"/>
    <cellStyle name="RowTitles1-Detail 2 4 3 4 3_Tertiary Salaries Survey" xfId="9330" xr:uid="{00000000-0005-0000-0000-000085240000}"/>
    <cellStyle name="RowTitles1-Detail 2 4 3 4 4" xfId="9331" xr:uid="{00000000-0005-0000-0000-000086240000}"/>
    <cellStyle name="RowTitles1-Detail 2 4 3 4 4 2" xfId="9332" xr:uid="{00000000-0005-0000-0000-000087240000}"/>
    <cellStyle name="RowTitles1-Detail 2 4 3 4 4_Tertiary Salaries Survey" xfId="9333" xr:uid="{00000000-0005-0000-0000-000088240000}"/>
    <cellStyle name="RowTitles1-Detail 2 4 3 4 5" xfId="9334" xr:uid="{00000000-0005-0000-0000-000089240000}"/>
    <cellStyle name="RowTitles1-Detail 2 4 3 4_Tertiary Salaries Survey" xfId="9335" xr:uid="{00000000-0005-0000-0000-00008A240000}"/>
    <cellStyle name="RowTitles1-Detail 2 4 3 5" xfId="9336" xr:uid="{00000000-0005-0000-0000-00008B240000}"/>
    <cellStyle name="RowTitles1-Detail 2 4 3 5 2" xfId="9337" xr:uid="{00000000-0005-0000-0000-00008C240000}"/>
    <cellStyle name="RowTitles1-Detail 2 4 3 5 2 2" xfId="9338" xr:uid="{00000000-0005-0000-0000-00008D240000}"/>
    <cellStyle name="RowTitles1-Detail 2 4 3 5 2 2 2" xfId="9339" xr:uid="{00000000-0005-0000-0000-00008E240000}"/>
    <cellStyle name="RowTitles1-Detail 2 4 3 5 2 2_Tertiary Salaries Survey" xfId="9340" xr:uid="{00000000-0005-0000-0000-00008F240000}"/>
    <cellStyle name="RowTitles1-Detail 2 4 3 5 2 3" xfId="9341" xr:uid="{00000000-0005-0000-0000-000090240000}"/>
    <cellStyle name="RowTitles1-Detail 2 4 3 5 2_Tertiary Salaries Survey" xfId="9342" xr:uid="{00000000-0005-0000-0000-000091240000}"/>
    <cellStyle name="RowTitles1-Detail 2 4 3 5 3" xfId="9343" xr:uid="{00000000-0005-0000-0000-000092240000}"/>
    <cellStyle name="RowTitles1-Detail 2 4 3 5 3 2" xfId="9344" xr:uid="{00000000-0005-0000-0000-000093240000}"/>
    <cellStyle name="RowTitles1-Detail 2 4 3 5 3 2 2" xfId="9345" xr:uid="{00000000-0005-0000-0000-000094240000}"/>
    <cellStyle name="RowTitles1-Detail 2 4 3 5 3 2_Tertiary Salaries Survey" xfId="9346" xr:uid="{00000000-0005-0000-0000-000095240000}"/>
    <cellStyle name="RowTitles1-Detail 2 4 3 5 3 3" xfId="9347" xr:uid="{00000000-0005-0000-0000-000096240000}"/>
    <cellStyle name="RowTitles1-Detail 2 4 3 5 3_Tertiary Salaries Survey" xfId="9348" xr:uid="{00000000-0005-0000-0000-000097240000}"/>
    <cellStyle name="RowTitles1-Detail 2 4 3 5 4" xfId="9349" xr:uid="{00000000-0005-0000-0000-000098240000}"/>
    <cellStyle name="RowTitles1-Detail 2 4 3 5 4 2" xfId="9350" xr:uid="{00000000-0005-0000-0000-000099240000}"/>
    <cellStyle name="RowTitles1-Detail 2 4 3 5 4_Tertiary Salaries Survey" xfId="9351" xr:uid="{00000000-0005-0000-0000-00009A240000}"/>
    <cellStyle name="RowTitles1-Detail 2 4 3 5 5" xfId="9352" xr:uid="{00000000-0005-0000-0000-00009B240000}"/>
    <cellStyle name="RowTitles1-Detail 2 4 3 5_Tertiary Salaries Survey" xfId="9353" xr:uid="{00000000-0005-0000-0000-00009C240000}"/>
    <cellStyle name="RowTitles1-Detail 2 4 3 6" xfId="9354" xr:uid="{00000000-0005-0000-0000-00009D240000}"/>
    <cellStyle name="RowTitles1-Detail 2 4 3 6 2" xfId="9355" xr:uid="{00000000-0005-0000-0000-00009E240000}"/>
    <cellStyle name="RowTitles1-Detail 2 4 3 6 2 2" xfId="9356" xr:uid="{00000000-0005-0000-0000-00009F240000}"/>
    <cellStyle name="RowTitles1-Detail 2 4 3 6 2 2 2" xfId="9357" xr:uid="{00000000-0005-0000-0000-0000A0240000}"/>
    <cellStyle name="RowTitles1-Detail 2 4 3 6 2 2_Tertiary Salaries Survey" xfId="9358" xr:uid="{00000000-0005-0000-0000-0000A1240000}"/>
    <cellStyle name="RowTitles1-Detail 2 4 3 6 2 3" xfId="9359" xr:uid="{00000000-0005-0000-0000-0000A2240000}"/>
    <cellStyle name="RowTitles1-Detail 2 4 3 6 2_Tertiary Salaries Survey" xfId="9360" xr:uid="{00000000-0005-0000-0000-0000A3240000}"/>
    <cellStyle name="RowTitles1-Detail 2 4 3 6 3" xfId="9361" xr:uid="{00000000-0005-0000-0000-0000A4240000}"/>
    <cellStyle name="RowTitles1-Detail 2 4 3 6 3 2" xfId="9362" xr:uid="{00000000-0005-0000-0000-0000A5240000}"/>
    <cellStyle name="RowTitles1-Detail 2 4 3 6 3 2 2" xfId="9363" xr:uid="{00000000-0005-0000-0000-0000A6240000}"/>
    <cellStyle name="RowTitles1-Detail 2 4 3 6 3 2_Tertiary Salaries Survey" xfId="9364" xr:uid="{00000000-0005-0000-0000-0000A7240000}"/>
    <cellStyle name="RowTitles1-Detail 2 4 3 6 3 3" xfId="9365" xr:uid="{00000000-0005-0000-0000-0000A8240000}"/>
    <cellStyle name="RowTitles1-Detail 2 4 3 6 3_Tertiary Salaries Survey" xfId="9366" xr:uid="{00000000-0005-0000-0000-0000A9240000}"/>
    <cellStyle name="RowTitles1-Detail 2 4 3 6 4" xfId="9367" xr:uid="{00000000-0005-0000-0000-0000AA240000}"/>
    <cellStyle name="RowTitles1-Detail 2 4 3 6 4 2" xfId="9368" xr:uid="{00000000-0005-0000-0000-0000AB240000}"/>
    <cellStyle name="RowTitles1-Detail 2 4 3 6 4_Tertiary Salaries Survey" xfId="9369" xr:uid="{00000000-0005-0000-0000-0000AC240000}"/>
    <cellStyle name="RowTitles1-Detail 2 4 3 6 5" xfId="9370" xr:uid="{00000000-0005-0000-0000-0000AD240000}"/>
    <cellStyle name="RowTitles1-Detail 2 4 3 6_Tertiary Salaries Survey" xfId="9371" xr:uid="{00000000-0005-0000-0000-0000AE240000}"/>
    <cellStyle name="RowTitles1-Detail 2 4 3 7" xfId="9372" xr:uid="{00000000-0005-0000-0000-0000AF240000}"/>
    <cellStyle name="RowTitles1-Detail 2 4 3 7 2" xfId="9373" xr:uid="{00000000-0005-0000-0000-0000B0240000}"/>
    <cellStyle name="RowTitles1-Detail 2 4 3 7 2 2" xfId="9374" xr:uid="{00000000-0005-0000-0000-0000B1240000}"/>
    <cellStyle name="RowTitles1-Detail 2 4 3 7 2_Tertiary Salaries Survey" xfId="9375" xr:uid="{00000000-0005-0000-0000-0000B2240000}"/>
    <cellStyle name="RowTitles1-Detail 2 4 3 7 3" xfId="9376" xr:uid="{00000000-0005-0000-0000-0000B3240000}"/>
    <cellStyle name="RowTitles1-Detail 2 4 3 7_Tertiary Salaries Survey" xfId="9377" xr:uid="{00000000-0005-0000-0000-0000B4240000}"/>
    <cellStyle name="RowTitles1-Detail 2 4 3 8" xfId="9378" xr:uid="{00000000-0005-0000-0000-0000B5240000}"/>
    <cellStyle name="RowTitles1-Detail 2 4 3 8 2" xfId="9379" xr:uid="{00000000-0005-0000-0000-0000B6240000}"/>
    <cellStyle name="RowTitles1-Detail 2 4 3 8 2 2" xfId="9380" xr:uid="{00000000-0005-0000-0000-0000B7240000}"/>
    <cellStyle name="RowTitles1-Detail 2 4 3 8 2_Tertiary Salaries Survey" xfId="9381" xr:uid="{00000000-0005-0000-0000-0000B8240000}"/>
    <cellStyle name="RowTitles1-Detail 2 4 3 8 3" xfId="9382" xr:uid="{00000000-0005-0000-0000-0000B9240000}"/>
    <cellStyle name="RowTitles1-Detail 2 4 3 8_Tertiary Salaries Survey" xfId="9383" xr:uid="{00000000-0005-0000-0000-0000BA240000}"/>
    <cellStyle name="RowTitles1-Detail 2 4 3 9" xfId="9384" xr:uid="{00000000-0005-0000-0000-0000BB240000}"/>
    <cellStyle name="RowTitles1-Detail 2 4 3_STUD aligned by INSTIT" xfId="9385" xr:uid="{00000000-0005-0000-0000-0000BC240000}"/>
    <cellStyle name="RowTitles1-Detail 2 4 4" xfId="9386" xr:uid="{00000000-0005-0000-0000-0000BD240000}"/>
    <cellStyle name="RowTitles1-Detail 2 4 4 2" xfId="9387" xr:uid="{00000000-0005-0000-0000-0000BE240000}"/>
    <cellStyle name="RowTitles1-Detail 2 4 4 2 2" xfId="9388" xr:uid="{00000000-0005-0000-0000-0000BF240000}"/>
    <cellStyle name="RowTitles1-Detail 2 4 4 2 2 2" xfId="9389" xr:uid="{00000000-0005-0000-0000-0000C0240000}"/>
    <cellStyle name="RowTitles1-Detail 2 4 4 2 2 2 2" xfId="9390" xr:uid="{00000000-0005-0000-0000-0000C1240000}"/>
    <cellStyle name="RowTitles1-Detail 2 4 4 2 2 2_Tertiary Salaries Survey" xfId="9391" xr:uid="{00000000-0005-0000-0000-0000C2240000}"/>
    <cellStyle name="RowTitles1-Detail 2 4 4 2 2 3" xfId="9392" xr:uid="{00000000-0005-0000-0000-0000C3240000}"/>
    <cellStyle name="RowTitles1-Detail 2 4 4 2 2_Tertiary Salaries Survey" xfId="9393" xr:uid="{00000000-0005-0000-0000-0000C4240000}"/>
    <cellStyle name="RowTitles1-Detail 2 4 4 2 3" xfId="9394" xr:uid="{00000000-0005-0000-0000-0000C5240000}"/>
    <cellStyle name="RowTitles1-Detail 2 4 4 2 3 2" xfId="9395" xr:uid="{00000000-0005-0000-0000-0000C6240000}"/>
    <cellStyle name="RowTitles1-Detail 2 4 4 2 3 2 2" xfId="9396" xr:uid="{00000000-0005-0000-0000-0000C7240000}"/>
    <cellStyle name="RowTitles1-Detail 2 4 4 2 3 2_Tertiary Salaries Survey" xfId="9397" xr:uid="{00000000-0005-0000-0000-0000C8240000}"/>
    <cellStyle name="RowTitles1-Detail 2 4 4 2 3 3" xfId="9398" xr:uid="{00000000-0005-0000-0000-0000C9240000}"/>
    <cellStyle name="RowTitles1-Detail 2 4 4 2 3_Tertiary Salaries Survey" xfId="9399" xr:uid="{00000000-0005-0000-0000-0000CA240000}"/>
    <cellStyle name="RowTitles1-Detail 2 4 4 2 4" xfId="9400" xr:uid="{00000000-0005-0000-0000-0000CB240000}"/>
    <cellStyle name="RowTitles1-Detail 2 4 4 2 5" xfId="9401" xr:uid="{00000000-0005-0000-0000-0000CC240000}"/>
    <cellStyle name="RowTitles1-Detail 2 4 4 2 5 2" xfId="9402" xr:uid="{00000000-0005-0000-0000-0000CD240000}"/>
    <cellStyle name="RowTitles1-Detail 2 4 4 2 5_Tertiary Salaries Survey" xfId="9403" xr:uid="{00000000-0005-0000-0000-0000CE240000}"/>
    <cellStyle name="RowTitles1-Detail 2 4 4 2 6" xfId="9404" xr:uid="{00000000-0005-0000-0000-0000CF240000}"/>
    <cellStyle name="RowTitles1-Detail 2 4 4 2_Tertiary Salaries Survey" xfId="9405" xr:uid="{00000000-0005-0000-0000-0000D0240000}"/>
    <cellStyle name="RowTitles1-Detail 2 4 4 3" xfId="9406" xr:uid="{00000000-0005-0000-0000-0000D1240000}"/>
    <cellStyle name="RowTitles1-Detail 2 4 4 3 2" xfId="9407" xr:uid="{00000000-0005-0000-0000-0000D2240000}"/>
    <cellStyle name="RowTitles1-Detail 2 4 4 3 2 2" xfId="9408" xr:uid="{00000000-0005-0000-0000-0000D3240000}"/>
    <cellStyle name="RowTitles1-Detail 2 4 4 3 2 2 2" xfId="9409" xr:uid="{00000000-0005-0000-0000-0000D4240000}"/>
    <cellStyle name="RowTitles1-Detail 2 4 4 3 2 2_Tertiary Salaries Survey" xfId="9410" xr:uid="{00000000-0005-0000-0000-0000D5240000}"/>
    <cellStyle name="RowTitles1-Detail 2 4 4 3 2 3" xfId="9411" xr:uid="{00000000-0005-0000-0000-0000D6240000}"/>
    <cellStyle name="RowTitles1-Detail 2 4 4 3 2_Tertiary Salaries Survey" xfId="9412" xr:uid="{00000000-0005-0000-0000-0000D7240000}"/>
    <cellStyle name="RowTitles1-Detail 2 4 4 3 3" xfId="9413" xr:uid="{00000000-0005-0000-0000-0000D8240000}"/>
    <cellStyle name="RowTitles1-Detail 2 4 4 3 3 2" xfId="9414" xr:uid="{00000000-0005-0000-0000-0000D9240000}"/>
    <cellStyle name="RowTitles1-Detail 2 4 4 3 3 2 2" xfId="9415" xr:uid="{00000000-0005-0000-0000-0000DA240000}"/>
    <cellStyle name="RowTitles1-Detail 2 4 4 3 3 2_Tertiary Salaries Survey" xfId="9416" xr:uid="{00000000-0005-0000-0000-0000DB240000}"/>
    <cellStyle name="RowTitles1-Detail 2 4 4 3 3 3" xfId="9417" xr:uid="{00000000-0005-0000-0000-0000DC240000}"/>
    <cellStyle name="RowTitles1-Detail 2 4 4 3 3_Tertiary Salaries Survey" xfId="9418" xr:uid="{00000000-0005-0000-0000-0000DD240000}"/>
    <cellStyle name="RowTitles1-Detail 2 4 4 3 4" xfId="9419" xr:uid="{00000000-0005-0000-0000-0000DE240000}"/>
    <cellStyle name="RowTitles1-Detail 2 4 4 3 5" xfId="9420" xr:uid="{00000000-0005-0000-0000-0000DF240000}"/>
    <cellStyle name="RowTitles1-Detail 2 4 4 3_Tertiary Salaries Survey" xfId="9421" xr:uid="{00000000-0005-0000-0000-0000E0240000}"/>
    <cellStyle name="RowTitles1-Detail 2 4 4 4" xfId="9422" xr:uid="{00000000-0005-0000-0000-0000E1240000}"/>
    <cellStyle name="RowTitles1-Detail 2 4 4 4 2" xfId="9423" xr:uid="{00000000-0005-0000-0000-0000E2240000}"/>
    <cellStyle name="RowTitles1-Detail 2 4 4 4 2 2" xfId="9424" xr:uid="{00000000-0005-0000-0000-0000E3240000}"/>
    <cellStyle name="RowTitles1-Detail 2 4 4 4 2 2 2" xfId="9425" xr:uid="{00000000-0005-0000-0000-0000E4240000}"/>
    <cellStyle name="RowTitles1-Detail 2 4 4 4 2 2_Tertiary Salaries Survey" xfId="9426" xr:uid="{00000000-0005-0000-0000-0000E5240000}"/>
    <cellStyle name="RowTitles1-Detail 2 4 4 4 2 3" xfId="9427" xr:uid="{00000000-0005-0000-0000-0000E6240000}"/>
    <cellStyle name="RowTitles1-Detail 2 4 4 4 2_Tertiary Salaries Survey" xfId="9428" xr:uid="{00000000-0005-0000-0000-0000E7240000}"/>
    <cellStyle name="RowTitles1-Detail 2 4 4 4 3" xfId="9429" xr:uid="{00000000-0005-0000-0000-0000E8240000}"/>
    <cellStyle name="RowTitles1-Detail 2 4 4 4 3 2" xfId="9430" xr:uid="{00000000-0005-0000-0000-0000E9240000}"/>
    <cellStyle name="RowTitles1-Detail 2 4 4 4 3 2 2" xfId="9431" xr:uid="{00000000-0005-0000-0000-0000EA240000}"/>
    <cellStyle name="RowTitles1-Detail 2 4 4 4 3 2_Tertiary Salaries Survey" xfId="9432" xr:uid="{00000000-0005-0000-0000-0000EB240000}"/>
    <cellStyle name="RowTitles1-Detail 2 4 4 4 3 3" xfId="9433" xr:uid="{00000000-0005-0000-0000-0000EC240000}"/>
    <cellStyle name="RowTitles1-Detail 2 4 4 4 3_Tertiary Salaries Survey" xfId="9434" xr:uid="{00000000-0005-0000-0000-0000ED240000}"/>
    <cellStyle name="RowTitles1-Detail 2 4 4 4 4" xfId="9435" xr:uid="{00000000-0005-0000-0000-0000EE240000}"/>
    <cellStyle name="RowTitles1-Detail 2 4 4 4 5" xfId="9436" xr:uid="{00000000-0005-0000-0000-0000EF240000}"/>
    <cellStyle name="RowTitles1-Detail 2 4 4 4 5 2" xfId="9437" xr:uid="{00000000-0005-0000-0000-0000F0240000}"/>
    <cellStyle name="RowTitles1-Detail 2 4 4 4 5_Tertiary Salaries Survey" xfId="9438" xr:uid="{00000000-0005-0000-0000-0000F1240000}"/>
    <cellStyle name="RowTitles1-Detail 2 4 4 4 6" xfId="9439" xr:uid="{00000000-0005-0000-0000-0000F2240000}"/>
    <cellStyle name="RowTitles1-Detail 2 4 4 4_Tertiary Salaries Survey" xfId="9440" xr:uid="{00000000-0005-0000-0000-0000F3240000}"/>
    <cellStyle name="RowTitles1-Detail 2 4 4 5" xfId="9441" xr:uid="{00000000-0005-0000-0000-0000F4240000}"/>
    <cellStyle name="RowTitles1-Detail 2 4 4 5 2" xfId="9442" xr:uid="{00000000-0005-0000-0000-0000F5240000}"/>
    <cellStyle name="RowTitles1-Detail 2 4 4 5 2 2" xfId="9443" xr:uid="{00000000-0005-0000-0000-0000F6240000}"/>
    <cellStyle name="RowTitles1-Detail 2 4 4 5 2 2 2" xfId="9444" xr:uid="{00000000-0005-0000-0000-0000F7240000}"/>
    <cellStyle name="RowTitles1-Detail 2 4 4 5 2 2_Tertiary Salaries Survey" xfId="9445" xr:uid="{00000000-0005-0000-0000-0000F8240000}"/>
    <cellStyle name="RowTitles1-Detail 2 4 4 5 2 3" xfId="9446" xr:uid="{00000000-0005-0000-0000-0000F9240000}"/>
    <cellStyle name="RowTitles1-Detail 2 4 4 5 2_Tertiary Salaries Survey" xfId="9447" xr:uid="{00000000-0005-0000-0000-0000FA240000}"/>
    <cellStyle name="RowTitles1-Detail 2 4 4 5 3" xfId="9448" xr:uid="{00000000-0005-0000-0000-0000FB240000}"/>
    <cellStyle name="RowTitles1-Detail 2 4 4 5 3 2" xfId="9449" xr:uid="{00000000-0005-0000-0000-0000FC240000}"/>
    <cellStyle name="RowTitles1-Detail 2 4 4 5 3 2 2" xfId="9450" xr:uid="{00000000-0005-0000-0000-0000FD240000}"/>
    <cellStyle name="RowTitles1-Detail 2 4 4 5 3 2_Tertiary Salaries Survey" xfId="9451" xr:uid="{00000000-0005-0000-0000-0000FE240000}"/>
    <cellStyle name="RowTitles1-Detail 2 4 4 5 3 3" xfId="9452" xr:uid="{00000000-0005-0000-0000-0000FF240000}"/>
    <cellStyle name="RowTitles1-Detail 2 4 4 5 3_Tertiary Salaries Survey" xfId="9453" xr:uid="{00000000-0005-0000-0000-000000250000}"/>
    <cellStyle name="RowTitles1-Detail 2 4 4 5 4" xfId="9454" xr:uid="{00000000-0005-0000-0000-000001250000}"/>
    <cellStyle name="RowTitles1-Detail 2 4 4 5 4 2" xfId="9455" xr:uid="{00000000-0005-0000-0000-000002250000}"/>
    <cellStyle name="RowTitles1-Detail 2 4 4 5 4_Tertiary Salaries Survey" xfId="9456" xr:uid="{00000000-0005-0000-0000-000003250000}"/>
    <cellStyle name="RowTitles1-Detail 2 4 4 5 5" xfId="9457" xr:uid="{00000000-0005-0000-0000-000004250000}"/>
    <cellStyle name="RowTitles1-Detail 2 4 4 5_Tertiary Salaries Survey" xfId="9458" xr:uid="{00000000-0005-0000-0000-000005250000}"/>
    <cellStyle name="RowTitles1-Detail 2 4 4 6" xfId="9459" xr:uid="{00000000-0005-0000-0000-000006250000}"/>
    <cellStyle name="RowTitles1-Detail 2 4 4 6 2" xfId="9460" xr:uid="{00000000-0005-0000-0000-000007250000}"/>
    <cellStyle name="RowTitles1-Detail 2 4 4 6 2 2" xfId="9461" xr:uid="{00000000-0005-0000-0000-000008250000}"/>
    <cellStyle name="RowTitles1-Detail 2 4 4 6 2 2 2" xfId="9462" xr:uid="{00000000-0005-0000-0000-000009250000}"/>
    <cellStyle name="RowTitles1-Detail 2 4 4 6 2 2_Tertiary Salaries Survey" xfId="9463" xr:uid="{00000000-0005-0000-0000-00000A250000}"/>
    <cellStyle name="RowTitles1-Detail 2 4 4 6 2 3" xfId="9464" xr:uid="{00000000-0005-0000-0000-00000B250000}"/>
    <cellStyle name="RowTitles1-Detail 2 4 4 6 2_Tertiary Salaries Survey" xfId="9465" xr:uid="{00000000-0005-0000-0000-00000C250000}"/>
    <cellStyle name="RowTitles1-Detail 2 4 4 6 3" xfId="9466" xr:uid="{00000000-0005-0000-0000-00000D250000}"/>
    <cellStyle name="RowTitles1-Detail 2 4 4 6 3 2" xfId="9467" xr:uid="{00000000-0005-0000-0000-00000E250000}"/>
    <cellStyle name="RowTitles1-Detail 2 4 4 6 3 2 2" xfId="9468" xr:uid="{00000000-0005-0000-0000-00000F250000}"/>
    <cellStyle name="RowTitles1-Detail 2 4 4 6 3 2_Tertiary Salaries Survey" xfId="9469" xr:uid="{00000000-0005-0000-0000-000010250000}"/>
    <cellStyle name="RowTitles1-Detail 2 4 4 6 3 3" xfId="9470" xr:uid="{00000000-0005-0000-0000-000011250000}"/>
    <cellStyle name="RowTitles1-Detail 2 4 4 6 3_Tertiary Salaries Survey" xfId="9471" xr:uid="{00000000-0005-0000-0000-000012250000}"/>
    <cellStyle name="RowTitles1-Detail 2 4 4 6 4" xfId="9472" xr:uid="{00000000-0005-0000-0000-000013250000}"/>
    <cellStyle name="RowTitles1-Detail 2 4 4 6 4 2" xfId="9473" xr:uid="{00000000-0005-0000-0000-000014250000}"/>
    <cellStyle name="RowTitles1-Detail 2 4 4 6 4_Tertiary Salaries Survey" xfId="9474" xr:uid="{00000000-0005-0000-0000-000015250000}"/>
    <cellStyle name="RowTitles1-Detail 2 4 4 6 5" xfId="9475" xr:uid="{00000000-0005-0000-0000-000016250000}"/>
    <cellStyle name="RowTitles1-Detail 2 4 4 6_Tertiary Salaries Survey" xfId="9476" xr:uid="{00000000-0005-0000-0000-000017250000}"/>
    <cellStyle name="RowTitles1-Detail 2 4 4 7" xfId="9477" xr:uid="{00000000-0005-0000-0000-000018250000}"/>
    <cellStyle name="RowTitles1-Detail 2 4 4 7 2" xfId="9478" xr:uid="{00000000-0005-0000-0000-000019250000}"/>
    <cellStyle name="RowTitles1-Detail 2 4 4 7 2 2" xfId="9479" xr:uid="{00000000-0005-0000-0000-00001A250000}"/>
    <cellStyle name="RowTitles1-Detail 2 4 4 7 2_Tertiary Salaries Survey" xfId="9480" xr:uid="{00000000-0005-0000-0000-00001B250000}"/>
    <cellStyle name="RowTitles1-Detail 2 4 4 7 3" xfId="9481" xr:uid="{00000000-0005-0000-0000-00001C250000}"/>
    <cellStyle name="RowTitles1-Detail 2 4 4 7_Tertiary Salaries Survey" xfId="9482" xr:uid="{00000000-0005-0000-0000-00001D250000}"/>
    <cellStyle name="RowTitles1-Detail 2 4 4 8" xfId="9483" xr:uid="{00000000-0005-0000-0000-00001E250000}"/>
    <cellStyle name="RowTitles1-Detail 2 4 4 9" xfId="9484" xr:uid="{00000000-0005-0000-0000-00001F250000}"/>
    <cellStyle name="RowTitles1-Detail 2 4 4_STUD aligned by INSTIT" xfId="9485" xr:uid="{00000000-0005-0000-0000-000020250000}"/>
    <cellStyle name="RowTitles1-Detail 2 4 5" xfId="9486" xr:uid="{00000000-0005-0000-0000-000021250000}"/>
    <cellStyle name="RowTitles1-Detail 2 4 5 2" xfId="9487" xr:uid="{00000000-0005-0000-0000-000022250000}"/>
    <cellStyle name="RowTitles1-Detail 2 4 5 2 2" xfId="9488" xr:uid="{00000000-0005-0000-0000-000023250000}"/>
    <cellStyle name="RowTitles1-Detail 2 4 5 2 2 2" xfId="9489" xr:uid="{00000000-0005-0000-0000-000024250000}"/>
    <cellStyle name="RowTitles1-Detail 2 4 5 2 2_Tertiary Salaries Survey" xfId="9490" xr:uid="{00000000-0005-0000-0000-000025250000}"/>
    <cellStyle name="RowTitles1-Detail 2 4 5 2 3" xfId="9491" xr:uid="{00000000-0005-0000-0000-000026250000}"/>
    <cellStyle name="RowTitles1-Detail 2 4 5 2_Tertiary Salaries Survey" xfId="9492" xr:uid="{00000000-0005-0000-0000-000027250000}"/>
    <cellStyle name="RowTitles1-Detail 2 4 5 3" xfId="9493" xr:uid="{00000000-0005-0000-0000-000028250000}"/>
    <cellStyle name="RowTitles1-Detail 2 4 5 3 2" xfId="9494" xr:uid="{00000000-0005-0000-0000-000029250000}"/>
    <cellStyle name="RowTitles1-Detail 2 4 5 3 2 2" xfId="9495" xr:uid="{00000000-0005-0000-0000-00002A250000}"/>
    <cellStyle name="RowTitles1-Detail 2 4 5 3 2_Tertiary Salaries Survey" xfId="9496" xr:uid="{00000000-0005-0000-0000-00002B250000}"/>
    <cellStyle name="RowTitles1-Detail 2 4 5 3 3" xfId="9497" xr:uid="{00000000-0005-0000-0000-00002C250000}"/>
    <cellStyle name="RowTitles1-Detail 2 4 5 3_Tertiary Salaries Survey" xfId="9498" xr:uid="{00000000-0005-0000-0000-00002D250000}"/>
    <cellStyle name="RowTitles1-Detail 2 4 5 4" xfId="9499" xr:uid="{00000000-0005-0000-0000-00002E250000}"/>
    <cellStyle name="RowTitles1-Detail 2 4 5 5" xfId="9500" xr:uid="{00000000-0005-0000-0000-00002F250000}"/>
    <cellStyle name="RowTitles1-Detail 2 4 5 5 2" xfId="9501" xr:uid="{00000000-0005-0000-0000-000030250000}"/>
    <cellStyle name="RowTitles1-Detail 2 4 5 5_Tertiary Salaries Survey" xfId="9502" xr:uid="{00000000-0005-0000-0000-000031250000}"/>
    <cellStyle name="RowTitles1-Detail 2 4 5 6" xfId="9503" xr:uid="{00000000-0005-0000-0000-000032250000}"/>
    <cellStyle name="RowTitles1-Detail 2 4 5_Tertiary Salaries Survey" xfId="9504" xr:uid="{00000000-0005-0000-0000-000033250000}"/>
    <cellStyle name="RowTitles1-Detail 2 4 6" xfId="9505" xr:uid="{00000000-0005-0000-0000-000034250000}"/>
    <cellStyle name="RowTitles1-Detail 2 4 6 2" xfId="9506" xr:uid="{00000000-0005-0000-0000-000035250000}"/>
    <cellStyle name="RowTitles1-Detail 2 4 6 2 2" xfId="9507" xr:uid="{00000000-0005-0000-0000-000036250000}"/>
    <cellStyle name="RowTitles1-Detail 2 4 6 2 2 2" xfId="9508" xr:uid="{00000000-0005-0000-0000-000037250000}"/>
    <cellStyle name="RowTitles1-Detail 2 4 6 2 2_Tertiary Salaries Survey" xfId="9509" xr:uid="{00000000-0005-0000-0000-000038250000}"/>
    <cellStyle name="RowTitles1-Detail 2 4 6 2 3" xfId="9510" xr:uid="{00000000-0005-0000-0000-000039250000}"/>
    <cellStyle name="RowTitles1-Detail 2 4 6 2_Tertiary Salaries Survey" xfId="9511" xr:uid="{00000000-0005-0000-0000-00003A250000}"/>
    <cellStyle name="RowTitles1-Detail 2 4 6 3" xfId="9512" xr:uid="{00000000-0005-0000-0000-00003B250000}"/>
    <cellStyle name="RowTitles1-Detail 2 4 6 3 2" xfId="9513" xr:uid="{00000000-0005-0000-0000-00003C250000}"/>
    <cellStyle name="RowTitles1-Detail 2 4 6 3 2 2" xfId="9514" xr:uid="{00000000-0005-0000-0000-00003D250000}"/>
    <cellStyle name="RowTitles1-Detail 2 4 6 3 2_Tertiary Salaries Survey" xfId="9515" xr:uid="{00000000-0005-0000-0000-00003E250000}"/>
    <cellStyle name="RowTitles1-Detail 2 4 6 3 3" xfId="9516" xr:uid="{00000000-0005-0000-0000-00003F250000}"/>
    <cellStyle name="RowTitles1-Detail 2 4 6 3_Tertiary Salaries Survey" xfId="9517" xr:uid="{00000000-0005-0000-0000-000040250000}"/>
    <cellStyle name="RowTitles1-Detail 2 4 6 4" xfId="9518" xr:uid="{00000000-0005-0000-0000-000041250000}"/>
    <cellStyle name="RowTitles1-Detail 2 4 6 5" xfId="9519" xr:uid="{00000000-0005-0000-0000-000042250000}"/>
    <cellStyle name="RowTitles1-Detail 2 4 6_Tertiary Salaries Survey" xfId="9520" xr:uid="{00000000-0005-0000-0000-000043250000}"/>
    <cellStyle name="RowTitles1-Detail 2 4 7" xfId="9521" xr:uid="{00000000-0005-0000-0000-000044250000}"/>
    <cellStyle name="RowTitles1-Detail 2 4 7 2" xfId="9522" xr:uid="{00000000-0005-0000-0000-000045250000}"/>
    <cellStyle name="RowTitles1-Detail 2 4 7 2 2" xfId="9523" xr:uid="{00000000-0005-0000-0000-000046250000}"/>
    <cellStyle name="RowTitles1-Detail 2 4 7 2 2 2" xfId="9524" xr:uid="{00000000-0005-0000-0000-000047250000}"/>
    <cellStyle name="RowTitles1-Detail 2 4 7 2 2_Tertiary Salaries Survey" xfId="9525" xr:uid="{00000000-0005-0000-0000-000048250000}"/>
    <cellStyle name="RowTitles1-Detail 2 4 7 2 3" xfId="9526" xr:uid="{00000000-0005-0000-0000-000049250000}"/>
    <cellStyle name="RowTitles1-Detail 2 4 7 2_Tertiary Salaries Survey" xfId="9527" xr:uid="{00000000-0005-0000-0000-00004A250000}"/>
    <cellStyle name="RowTitles1-Detail 2 4 7 3" xfId="9528" xr:uid="{00000000-0005-0000-0000-00004B250000}"/>
    <cellStyle name="RowTitles1-Detail 2 4 7 3 2" xfId="9529" xr:uid="{00000000-0005-0000-0000-00004C250000}"/>
    <cellStyle name="RowTitles1-Detail 2 4 7 3 2 2" xfId="9530" xr:uid="{00000000-0005-0000-0000-00004D250000}"/>
    <cellStyle name="RowTitles1-Detail 2 4 7 3 2_Tertiary Salaries Survey" xfId="9531" xr:uid="{00000000-0005-0000-0000-00004E250000}"/>
    <cellStyle name="RowTitles1-Detail 2 4 7 3 3" xfId="9532" xr:uid="{00000000-0005-0000-0000-00004F250000}"/>
    <cellStyle name="RowTitles1-Detail 2 4 7 3_Tertiary Salaries Survey" xfId="9533" xr:uid="{00000000-0005-0000-0000-000050250000}"/>
    <cellStyle name="RowTitles1-Detail 2 4 7 4" xfId="9534" xr:uid="{00000000-0005-0000-0000-000051250000}"/>
    <cellStyle name="RowTitles1-Detail 2 4 7 5" xfId="9535" xr:uid="{00000000-0005-0000-0000-000052250000}"/>
    <cellStyle name="RowTitles1-Detail 2 4 7 5 2" xfId="9536" xr:uid="{00000000-0005-0000-0000-000053250000}"/>
    <cellStyle name="RowTitles1-Detail 2 4 7 5_Tertiary Salaries Survey" xfId="9537" xr:uid="{00000000-0005-0000-0000-000054250000}"/>
    <cellStyle name="RowTitles1-Detail 2 4 7 6" xfId="9538" xr:uid="{00000000-0005-0000-0000-000055250000}"/>
    <cellStyle name="RowTitles1-Detail 2 4 7_Tertiary Salaries Survey" xfId="9539" xr:uid="{00000000-0005-0000-0000-000056250000}"/>
    <cellStyle name="RowTitles1-Detail 2 4 8" xfId="9540" xr:uid="{00000000-0005-0000-0000-000057250000}"/>
    <cellStyle name="RowTitles1-Detail 2 4 8 2" xfId="9541" xr:uid="{00000000-0005-0000-0000-000058250000}"/>
    <cellStyle name="RowTitles1-Detail 2 4 8 2 2" xfId="9542" xr:uid="{00000000-0005-0000-0000-000059250000}"/>
    <cellStyle name="RowTitles1-Detail 2 4 8 2 2 2" xfId="9543" xr:uid="{00000000-0005-0000-0000-00005A250000}"/>
    <cellStyle name="RowTitles1-Detail 2 4 8 2 2_Tertiary Salaries Survey" xfId="9544" xr:uid="{00000000-0005-0000-0000-00005B250000}"/>
    <cellStyle name="RowTitles1-Detail 2 4 8 2 3" xfId="9545" xr:uid="{00000000-0005-0000-0000-00005C250000}"/>
    <cellStyle name="RowTitles1-Detail 2 4 8 2_Tertiary Salaries Survey" xfId="9546" xr:uid="{00000000-0005-0000-0000-00005D250000}"/>
    <cellStyle name="RowTitles1-Detail 2 4 8 3" xfId="9547" xr:uid="{00000000-0005-0000-0000-00005E250000}"/>
    <cellStyle name="RowTitles1-Detail 2 4 8 3 2" xfId="9548" xr:uid="{00000000-0005-0000-0000-00005F250000}"/>
    <cellStyle name="RowTitles1-Detail 2 4 8 3 2 2" xfId="9549" xr:uid="{00000000-0005-0000-0000-000060250000}"/>
    <cellStyle name="RowTitles1-Detail 2 4 8 3 2_Tertiary Salaries Survey" xfId="9550" xr:uid="{00000000-0005-0000-0000-000061250000}"/>
    <cellStyle name="RowTitles1-Detail 2 4 8 3 3" xfId="9551" xr:uid="{00000000-0005-0000-0000-000062250000}"/>
    <cellStyle name="RowTitles1-Detail 2 4 8 3_Tertiary Salaries Survey" xfId="9552" xr:uid="{00000000-0005-0000-0000-000063250000}"/>
    <cellStyle name="RowTitles1-Detail 2 4 8 4" xfId="9553" xr:uid="{00000000-0005-0000-0000-000064250000}"/>
    <cellStyle name="RowTitles1-Detail 2 4 8 4 2" xfId="9554" xr:uid="{00000000-0005-0000-0000-000065250000}"/>
    <cellStyle name="RowTitles1-Detail 2 4 8 4_Tertiary Salaries Survey" xfId="9555" xr:uid="{00000000-0005-0000-0000-000066250000}"/>
    <cellStyle name="RowTitles1-Detail 2 4 8 5" xfId="9556" xr:uid="{00000000-0005-0000-0000-000067250000}"/>
    <cellStyle name="RowTitles1-Detail 2 4 8_Tertiary Salaries Survey" xfId="9557" xr:uid="{00000000-0005-0000-0000-000068250000}"/>
    <cellStyle name="RowTitles1-Detail 2 4 9" xfId="9558" xr:uid="{00000000-0005-0000-0000-000069250000}"/>
    <cellStyle name="RowTitles1-Detail 2 4 9 2" xfId="9559" xr:uid="{00000000-0005-0000-0000-00006A250000}"/>
    <cellStyle name="RowTitles1-Detail 2 4 9 2 2" xfId="9560" xr:uid="{00000000-0005-0000-0000-00006B250000}"/>
    <cellStyle name="RowTitles1-Detail 2 4 9 2 2 2" xfId="9561" xr:uid="{00000000-0005-0000-0000-00006C250000}"/>
    <cellStyle name="RowTitles1-Detail 2 4 9 2 2_Tertiary Salaries Survey" xfId="9562" xr:uid="{00000000-0005-0000-0000-00006D250000}"/>
    <cellStyle name="RowTitles1-Detail 2 4 9 2 3" xfId="9563" xr:uid="{00000000-0005-0000-0000-00006E250000}"/>
    <cellStyle name="RowTitles1-Detail 2 4 9 2_Tertiary Salaries Survey" xfId="9564" xr:uid="{00000000-0005-0000-0000-00006F250000}"/>
    <cellStyle name="RowTitles1-Detail 2 4 9 3" xfId="9565" xr:uid="{00000000-0005-0000-0000-000070250000}"/>
    <cellStyle name="RowTitles1-Detail 2 4 9 3 2" xfId="9566" xr:uid="{00000000-0005-0000-0000-000071250000}"/>
    <cellStyle name="RowTitles1-Detail 2 4 9 3 2 2" xfId="9567" xr:uid="{00000000-0005-0000-0000-000072250000}"/>
    <cellStyle name="RowTitles1-Detail 2 4 9 3 2_Tertiary Salaries Survey" xfId="9568" xr:uid="{00000000-0005-0000-0000-000073250000}"/>
    <cellStyle name="RowTitles1-Detail 2 4 9 3 3" xfId="9569" xr:uid="{00000000-0005-0000-0000-000074250000}"/>
    <cellStyle name="RowTitles1-Detail 2 4 9 3_Tertiary Salaries Survey" xfId="9570" xr:uid="{00000000-0005-0000-0000-000075250000}"/>
    <cellStyle name="RowTitles1-Detail 2 4 9 4" xfId="9571" xr:uid="{00000000-0005-0000-0000-000076250000}"/>
    <cellStyle name="RowTitles1-Detail 2 4 9 4 2" xfId="9572" xr:uid="{00000000-0005-0000-0000-000077250000}"/>
    <cellStyle name="RowTitles1-Detail 2 4 9 4_Tertiary Salaries Survey" xfId="9573" xr:uid="{00000000-0005-0000-0000-000078250000}"/>
    <cellStyle name="RowTitles1-Detail 2 4 9 5" xfId="9574" xr:uid="{00000000-0005-0000-0000-000079250000}"/>
    <cellStyle name="RowTitles1-Detail 2 4 9_Tertiary Salaries Survey" xfId="9575" xr:uid="{00000000-0005-0000-0000-00007A250000}"/>
    <cellStyle name="RowTitles1-Detail 2 4_STUD aligned by INSTIT" xfId="9576" xr:uid="{00000000-0005-0000-0000-00007B250000}"/>
    <cellStyle name="RowTitles1-Detail 2 5" xfId="9577" xr:uid="{00000000-0005-0000-0000-00007C250000}"/>
    <cellStyle name="RowTitles1-Detail 2 5 2" xfId="9578" xr:uid="{00000000-0005-0000-0000-00007D250000}"/>
    <cellStyle name="RowTitles1-Detail 2 5 2 2" xfId="9579" xr:uid="{00000000-0005-0000-0000-00007E250000}"/>
    <cellStyle name="RowTitles1-Detail 2 5 2 2 2" xfId="9580" xr:uid="{00000000-0005-0000-0000-00007F250000}"/>
    <cellStyle name="RowTitles1-Detail 2 5 2 2 2 2" xfId="9581" xr:uid="{00000000-0005-0000-0000-000080250000}"/>
    <cellStyle name="RowTitles1-Detail 2 5 2 2 2_Tertiary Salaries Survey" xfId="9582" xr:uid="{00000000-0005-0000-0000-000081250000}"/>
    <cellStyle name="RowTitles1-Detail 2 5 2 2 3" xfId="9583" xr:uid="{00000000-0005-0000-0000-000082250000}"/>
    <cellStyle name="RowTitles1-Detail 2 5 2 2_Tertiary Salaries Survey" xfId="9584" xr:uid="{00000000-0005-0000-0000-000083250000}"/>
    <cellStyle name="RowTitles1-Detail 2 5 2 3" xfId="9585" xr:uid="{00000000-0005-0000-0000-000084250000}"/>
    <cellStyle name="RowTitles1-Detail 2 5 2 3 2" xfId="9586" xr:uid="{00000000-0005-0000-0000-000085250000}"/>
    <cellStyle name="RowTitles1-Detail 2 5 2 3 2 2" xfId="9587" xr:uid="{00000000-0005-0000-0000-000086250000}"/>
    <cellStyle name="RowTitles1-Detail 2 5 2 3 2_Tertiary Salaries Survey" xfId="9588" xr:uid="{00000000-0005-0000-0000-000087250000}"/>
    <cellStyle name="RowTitles1-Detail 2 5 2 3 3" xfId="9589" xr:uid="{00000000-0005-0000-0000-000088250000}"/>
    <cellStyle name="RowTitles1-Detail 2 5 2 3_Tertiary Salaries Survey" xfId="9590" xr:uid="{00000000-0005-0000-0000-000089250000}"/>
    <cellStyle name="RowTitles1-Detail 2 5 2 4" xfId="9591" xr:uid="{00000000-0005-0000-0000-00008A250000}"/>
    <cellStyle name="RowTitles1-Detail 2 5 2 5" xfId="9592" xr:uid="{00000000-0005-0000-0000-00008B250000}"/>
    <cellStyle name="RowTitles1-Detail 2 5 2_Tertiary Salaries Survey" xfId="9593" xr:uid="{00000000-0005-0000-0000-00008C250000}"/>
    <cellStyle name="RowTitles1-Detail 2 5 3" xfId="9594" xr:uid="{00000000-0005-0000-0000-00008D250000}"/>
    <cellStyle name="RowTitles1-Detail 2 5 3 2" xfId="9595" xr:uid="{00000000-0005-0000-0000-00008E250000}"/>
    <cellStyle name="RowTitles1-Detail 2 5 3 2 2" xfId="9596" xr:uid="{00000000-0005-0000-0000-00008F250000}"/>
    <cellStyle name="RowTitles1-Detail 2 5 3 2 2 2" xfId="9597" xr:uid="{00000000-0005-0000-0000-000090250000}"/>
    <cellStyle name="RowTitles1-Detail 2 5 3 2 2_Tertiary Salaries Survey" xfId="9598" xr:uid="{00000000-0005-0000-0000-000091250000}"/>
    <cellStyle name="RowTitles1-Detail 2 5 3 2 3" xfId="9599" xr:uid="{00000000-0005-0000-0000-000092250000}"/>
    <cellStyle name="RowTitles1-Detail 2 5 3 2_Tertiary Salaries Survey" xfId="9600" xr:uid="{00000000-0005-0000-0000-000093250000}"/>
    <cellStyle name="RowTitles1-Detail 2 5 3 3" xfId="9601" xr:uid="{00000000-0005-0000-0000-000094250000}"/>
    <cellStyle name="RowTitles1-Detail 2 5 3 3 2" xfId="9602" xr:uid="{00000000-0005-0000-0000-000095250000}"/>
    <cellStyle name="RowTitles1-Detail 2 5 3 3 2 2" xfId="9603" xr:uid="{00000000-0005-0000-0000-000096250000}"/>
    <cellStyle name="RowTitles1-Detail 2 5 3 3 2_Tertiary Salaries Survey" xfId="9604" xr:uid="{00000000-0005-0000-0000-000097250000}"/>
    <cellStyle name="RowTitles1-Detail 2 5 3 3 3" xfId="9605" xr:uid="{00000000-0005-0000-0000-000098250000}"/>
    <cellStyle name="RowTitles1-Detail 2 5 3 3_Tertiary Salaries Survey" xfId="9606" xr:uid="{00000000-0005-0000-0000-000099250000}"/>
    <cellStyle name="RowTitles1-Detail 2 5 3 4" xfId="9607" xr:uid="{00000000-0005-0000-0000-00009A250000}"/>
    <cellStyle name="RowTitles1-Detail 2 5 3 5" xfId="9608" xr:uid="{00000000-0005-0000-0000-00009B250000}"/>
    <cellStyle name="RowTitles1-Detail 2 5 3 5 2" xfId="9609" xr:uid="{00000000-0005-0000-0000-00009C250000}"/>
    <cellStyle name="RowTitles1-Detail 2 5 3 5_Tertiary Salaries Survey" xfId="9610" xr:uid="{00000000-0005-0000-0000-00009D250000}"/>
    <cellStyle name="RowTitles1-Detail 2 5 3 6" xfId="9611" xr:uid="{00000000-0005-0000-0000-00009E250000}"/>
    <cellStyle name="RowTitles1-Detail 2 5 3_Tertiary Salaries Survey" xfId="9612" xr:uid="{00000000-0005-0000-0000-00009F250000}"/>
    <cellStyle name="RowTitles1-Detail 2 5 4" xfId="9613" xr:uid="{00000000-0005-0000-0000-0000A0250000}"/>
    <cellStyle name="RowTitles1-Detail 2 5 4 2" xfId="9614" xr:uid="{00000000-0005-0000-0000-0000A1250000}"/>
    <cellStyle name="RowTitles1-Detail 2 5 4 2 2" xfId="9615" xr:uid="{00000000-0005-0000-0000-0000A2250000}"/>
    <cellStyle name="RowTitles1-Detail 2 5 4 2 2 2" xfId="9616" xr:uid="{00000000-0005-0000-0000-0000A3250000}"/>
    <cellStyle name="RowTitles1-Detail 2 5 4 2 2_Tertiary Salaries Survey" xfId="9617" xr:uid="{00000000-0005-0000-0000-0000A4250000}"/>
    <cellStyle name="RowTitles1-Detail 2 5 4 2 3" xfId="9618" xr:uid="{00000000-0005-0000-0000-0000A5250000}"/>
    <cellStyle name="RowTitles1-Detail 2 5 4 2_Tertiary Salaries Survey" xfId="9619" xr:uid="{00000000-0005-0000-0000-0000A6250000}"/>
    <cellStyle name="RowTitles1-Detail 2 5 4 3" xfId="9620" xr:uid="{00000000-0005-0000-0000-0000A7250000}"/>
    <cellStyle name="RowTitles1-Detail 2 5 4 3 2" xfId="9621" xr:uid="{00000000-0005-0000-0000-0000A8250000}"/>
    <cellStyle name="RowTitles1-Detail 2 5 4 3 2 2" xfId="9622" xr:uid="{00000000-0005-0000-0000-0000A9250000}"/>
    <cellStyle name="RowTitles1-Detail 2 5 4 3 2_Tertiary Salaries Survey" xfId="9623" xr:uid="{00000000-0005-0000-0000-0000AA250000}"/>
    <cellStyle name="RowTitles1-Detail 2 5 4 3 3" xfId="9624" xr:uid="{00000000-0005-0000-0000-0000AB250000}"/>
    <cellStyle name="RowTitles1-Detail 2 5 4 3_Tertiary Salaries Survey" xfId="9625" xr:uid="{00000000-0005-0000-0000-0000AC250000}"/>
    <cellStyle name="RowTitles1-Detail 2 5 4 4" xfId="9626" xr:uid="{00000000-0005-0000-0000-0000AD250000}"/>
    <cellStyle name="RowTitles1-Detail 2 5 4 4 2" xfId="9627" xr:uid="{00000000-0005-0000-0000-0000AE250000}"/>
    <cellStyle name="RowTitles1-Detail 2 5 4 4_Tertiary Salaries Survey" xfId="9628" xr:uid="{00000000-0005-0000-0000-0000AF250000}"/>
    <cellStyle name="RowTitles1-Detail 2 5 4 5" xfId="9629" xr:uid="{00000000-0005-0000-0000-0000B0250000}"/>
    <cellStyle name="RowTitles1-Detail 2 5 4_Tertiary Salaries Survey" xfId="9630" xr:uid="{00000000-0005-0000-0000-0000B1250000}"/>
    <cellStyle name="RowTitles1-Detail 2 5 5" xfId="9631" xr:uid="{00000000-0005-0000-0000-0000B2250000}"/>
    <cellStyle name="RowTitles1-Detail 2 5 5 2" xfId="9632" xr:uid="{00000000-0005-0000-0000-0000B3250000}"/>
    <cellStyle name="RowTitles1-Detail 2 5 5 2 2" xfId="9633" xr:uid="{00000000-0005-0000-0000-0000B4250000}"/>
    <cellStyle name="RowTitles1-Detail 2 5 5 2 2 2" xfId="9634" xr:uid="{00000000-0005-0000-0000-0000B5250000}"/>
    <cellStyle name="RowTitles1-Detail 2 5 5 2 2_Tertiary Salaries Survey" xfId="9635" xr:uid="{00000000-0005-0000-0000-0000B6250000}"/>
    <cellStyle name="RowTitles1-Detail 2 5 5 2 3" xfId="9636" xr:uid="{00000000-0005-0000-0000-0000B7250000}"/>
    <cellStyle name="RowTitles1-Detail 2 5 5 2_Tertiary Salaries Survey" xfId="9637" xr:uid="{00000000-0005-0000-0000-0000B8250000}"/>
    <cellStyle name="RowTitles1-Detail 2 5 5 3" xfId="9638" xr:uid="{00000000-0005-0000-0000-0000B9250000}"/>
    <cellStyle name="RowTitles1-Detail 2 5 5 3 2" xfId="9639" xr:uid="{00000000-0005-0000-0000-0000BA250000}"/>
    <cellStyle name="RowTitles1-Detail 2 5 5 3 2 2" xfId="9640" xr:uid="{00000000-0005-0000-0000-0000BB250000}"/>
    <cellStyle name="RowTitles1-Detail 2 5 5 3 2_Tertiary Salaries Survey" xfId="9641" xr:uid="{00000000-0005-0000-0000-0000BC250000}"/>
    <cellStyle name="RowTitles1-Detail 2 5 5 3 3" xfId="9642" xr:uid="{00000000-0005-0000-0000-0000BD250000}"/>
    <cellStyle name="RowTitles1-Detail 2 5 5 3_Tertiary Salaries Survey" xfId="9643" xr:uid="{00000000-0005-0000-0000-0000BE250000}"/>
    <cellStyle name="RowTitles1-Detail 2 5 5 4" xfId="9644" xr:uid="{00000000-0005-0000-0000-0000BF250000}"/>
    <cellStyle name="RowTitles1-Detail 2 5 5 4 2" xfId="9645" xr:uid="{00000000-0005-0000-0000-0000C0250000}"/>
    <cellStyle name="RowTitles1-Detail 2 5 5 4_Tertiary Salaries Survey" xfId="9646" xr:uid="{00000000-0005-0000-0000-0000C1250000}"/>
    <cellStyle name="RowTitles1-Detail 2 5 5 5" xfId="9647" xr:uid="{00000000-0005-0000-0000-0000C2250000}"/>
    <cellStyle name="RowTitles1-Detail 2 5 5_Tertiary Salaries Survey" xfId="9648" xr:uid="{00000000-0005-0000-0000-0000C3250000}"/>
    <cellStyle name="RowTitles1-Detail 2 5 6" xfId="9649" xr:uid="{00000000-0005-0000-0000-0000C4250000}"/>
    <cellStyle name="RowTitles1-Detail 2 5 6 2" xfId="9650" xr:uid="{00000000-0005-0000-0000-0000C5250000}"/>
    <cellStyle name="RowTitles1-Detail 2 5 6 2 2" xfId="9651" xr:uid="{00000000-0005-0000-0000-0000C6250000}"/>
    <cellStyle name="RowTitles1-Detail 2 5 6 2 2 2" xfId="9652" xr:uid="{00000000-0005-0000-0000-0000C7250000}"/>
    <cellStyle name="RowTitles1-Detail 2 5 6 2 2_Tertiary Salaries Survey" xfId="9653" xr:uid="{00000000-0005-0000-0000-0000C8250000}"/>
    <cellStyle name="RowTitles1-Detail 2 5 6 2 3" xfId="9654" xr:uid="{00000000-0005-0000-0000-0000C9250000}"/>
    <cellStyle name="RowTitles1-Detail 2 5 6 2_Tertiary Salaries Survey" xfId="9655" xr:uid="{00000000-0005-0000-0000-0000CA250000}"/>
    <cellStyle name="RowTitles1-Detail 2 5 6 3" xfId="9656" xr:uid="{00000000-0005-0000-0000-0000CB250000}"/>
    <cellStyle name="RowTitles1-Detail 2 5 6 3 2" xfId="9657" xr:uid="{00000000-0005-0000-0000-0000CC250000}"/>
    <cellStyle name="RowTitles1-Detail 2 5 6 3 2 2" xfId="9658" xr:uid="{00000000-0005-0000-0000-0000CD250000}"/>
    <cellStyle name="RowTitles1-Detail 2 5 6 3 2_Tertiary Salaries Survey" xfId="9659" xr:uid="{00000000-0005-0000-0000-0000CE250000}"/>
    <cellStyle name="RowTitles1-Detail 2 5 6 3 3" xfId="9660" xr:uid="{00000000-0005-0000-0000-0000CF250000}"/>
    <cellStyle name="RowTitles1-Detail 2 5 6 3_Tertiary Salaries Survey" xfId="9661" xr:uid="{00000000-0005-0000-0000-0000D0250000}"/>
    <cellStyle name="RowTitles1-Detail 2 5 6 4" xfId="9662" xr:uid="{00000000-0005-0000-0000-0000D1250000}"/>
    <cellStyle name="RowTitles1-Detail 2 5 6 4 2" xfId="9663" xr:uid="{00000000-0005-0000-0000-0000D2250000}"/>
    <cellStyle name="RowTitles1-Detail 2 5 6 4_Tertiary Salaries Survey" xfId="9664" xr:uid="{00000000-0005-0000-0000-0000D3250000}"/>
    <cellStyle name="RowTitles1-Detail 2 5 6 5" xfId="9665" xr:uid="{00000000-0005-0000-0000-0000D4250000}"/>
    <cellStyle name="RowTitles1-Detail 2 5 6_Tertiary Salaries Survey" xfId="9666" xr:uid="{00000000-0005-0000-0000-0000D5250000}"/>
    <cellStyle name="RowTitles1-Detail 2 5 7" xfId="9667" xr:uid="{00000000-0005-0000-0000-0000D6250000}"/>
    <cellStyle name="RowTitles1-Detail 2 5 7 2" xfId="9668" xr:uid="{00000000-0005-0000-0000-0000D7250000}"/>
    <cellStyle name="RowTitles1-Detail 2 5 7 2 2" xfId="9669" xr:uid="{00000000-0005-0000-0000-0000D8250000}"/>
    <cellStyle name="RowTitles1-Detail 2 5 7 2_Tertiary Salaries Survey" xfId="9670" xr:uid="{00000000-0005-0000-0000-0000D9250000}"/>
    <cellStyle name="RowTitles1-Detail 2 5 7 3" xfId="9671" xr:uid="{00000000-0005-0000-0000-0000DA250000}"/>
    <cellStyle name="RowTitles1-Detail 2 5 7_Tertiary Salaries Survey" xfId="9672" xr:uid="{00000000-0005-0000-0000-0000DB250000}"/>
    <cellStyle name="RowTitles1-Detail 2 5 8" xfId="9673" xr:uid="{00000000-0005-0000-0000-0000DC250000}"/>
    <cellStyle name="RowTitles1-Detail 2 5 9" xfId="9674" xr:uid="{00000000-0005-0000-0000-0000DD250000}"/>
    <cellStyle name="RowTitles1-Detail 2 5_STUD aligned by INSTIT" xfId="9675" xr:uid="{00000000-0005-0000-0000-0000DE250000}"/>
    <cellStyle name="RowTitles1-Detail 2 6" xfId="9676" xr:uid="{00000000-0005-0000-0000-0000DF250000}"/>
    <cellStyle name="RowTitles1-Detail 2 6 2" xfId="9677" xr:uid="{00000000-0005-0000-0000-0000E0250000}"/>
    <cellStyle name="RowTitles1-Detail 2 6 2 2" xfId="9678" xr:uid="{00000000-0005-0000-0000-0000E1250000}"/>
    <cellStyle name="RowTitles1-Detail 2 6 2 2 2" xfId="9679" xr:uid="{00000000-0005-0000-0000-0000E2250000}"/>
    <cellStyle name="RowTitles1-Detail 2 6 2 2 2 2" xfId="9680" xr:uid="{00000000-0005-0000-0000-0000E3250000}"/>
    <cellStyle name="RowTitles1-Detail 2 6 2 2 2_Tertiary Salaries Survey" xfId="9681" xr:uid="{00000000-0005-0000-0000-0000E4250000}"/>
    <cellStyle name="RowTitles1-Detail 2 6 2 2 3" xfId="9682" xr:uid="{00000000-0005-0000-0000-0000E5250000}"/>
    <cellStyle name="RowTitles1-Detail 2 6 2 2_Tertiary Salaries Survey" xfId="9683" xr:uid="{00000000-0005-0000-0000-0000E6250000}"/>
    <cellStyle name="RowTitles1-Detail 2 6 2 3" xfId="9684" xr:uid="{00000000-0005-0000-0000-0000E7250000}"/>
    <cellStyle name="RowTitles1-Detail 2 6 2 3 2" xfId="9685" xr:uid="{00000000-0005-0000-0000-0000E8250000}"/>
    <cellStyle name="RowTitles1-Detail 2 6 2 3 2 2" xfId="9686" xr:uid="{00000000-0005-0000-0000-0000E9250000}"/>
    <cellStyle name="RowTitles1-Detail 2 6 2 3 2_Tertiary Salaries Survey" xfId="9687" xr:uid="{00000000-0005-0000-0000-0000EA250000}"/>
    <cellStyle name="RowTitles1-Detail 2 6 2 3 3" xfId="9688" xr:uid="{00000000-0005-0000-0000-0000EB250000}"/>
    <cellStyle name="RowTitles1-Detail 2 6 2 3_Tertiary Salaries Survey" xfId="9689" xr:uid="{00000000-0005-0000-0000-0000EC250000}"/>
    <cellStyle name="RowTitles1-Detail 2 6 2 4" xfId="9690" xr:uid="{00000000-0005-0000-0000-0000ED250000}"/>
    <cellStyle name="RowTitles1-Detail 2 6 2 5" xfId="9691" xr:uid="{00000000-0005-0000-0000-0000EE250000}"/>
    <cellStyle name="RowTitles1-Detail 2 6 2 5 2" xfId="9692" xr:uid="{00000000-0005-0000-0000-0000EF250000}"/>
    <cellStyle name="RowTitles1-Detail 2 6 2 5_Tertiary Salaries Survey" xfId="9693" xr:uid="{00000000-0005-0000-0000-0000F0250000}"/>
    <cellStyle name="RowTitles1-Detail 2 6 2 6" xfId="9694" xr:uid="{00000000-0005-0000-0000-0000F1250000}"/>
    <cellStyle name="RowTitles1-Detail 2 6 2_Tertiary Salaries Survey" xfId="9695" xr:uid="{00000000-0005-0000-0000-0000F2250000}"/>
    <cellStyle name="RowTitles1-Detail 2 6 3" xfId="9696" xr:uid="{00000000-0005-0000-0000-0000F3250000}"/>
    <cellStyle name="RowTitles1-Detail 2 6 3 2" xfId="9697" xr:uid="{00000000-0005-0000-0000-0000F4250000}"/>
    <cellStyle name="RowTitles1-Detail 2 6 3 2 2" xfId="9698" xr:uid="{00000000-0005-0000-0000-0000F5250000}"/>
    <cellStyle name="RowTitles1-Detail 2 6 3 2 2 2" xfId="9699" xr:uid="{00000000-0005-0000-0000-0000F6250000}"/>
    <cellStyle name="RowTitles1-Detail 2 6 3 2 2_Tertiary Salaries Survey" xfId="9700" xr:uid="{00000000-0005-0000-0000-0000F7250000}"/>
    <cellStyle name="RowTitles1-Detail 2 6 3 2 3" xfId="9701" xr:uid="{00000000-0005-0000-0000-0000F8250000}"/>
    <cellStyle name="RowTitles1-Detail 2 6 3 2_Tertiary Salaries Survey" xfId="9702" xr:uid="{00000000-0005-0000-0000-0000F9250000}"/>
    <cellStyle name="RowTitles1-Detail 2 6 3 3" xfId="9703" xr:uid="{00000000-0005-0000-0000-0000FA250000}"/>
    <cellStyle name="RowTitles1-Detail 2 6 3 3 2" xfId="9704" xr:uid="{00000000-0005-0000-0000-0000FB250000}"/>
    <cellStyle name="RowTitles1-Detail 2 6 3 3 2 2" xfId="9705" xr:uid="{00000000-0005-0000-0000-0000FC250000}"/>
    <cellStyle name="RowTitles1-Detail 2 6 3 3 2_Tertiary Salaries Survey" xfId="9706" xr:uid="{00000000-0005-0000-0000-0000FD250000}"/>
    <cellStyle name="RowTitles1-Detail 2 6 3 3 3" xfId="9707" xr:uid="{00000000-0005-0000-0000-0000FE250000}"/>
    <cellStyle name="RowTitles1-Detail 2 6 3 3_Tertiary Salaries Survey" xfId="9708" xr:uid="{00000000-0005-0000-0000-0000FF250000}"/>
    <cellStyle name="RowTitles1-Detail 2 6 3 4" xfId="9709" xr:uid="{00000000-0005-0000-0000-000000260000}"/>
    <cellStyle name="RowTitles1-Detail 2 6 3 5" xfId="9710" xr:uid="{00000000-0005-0000-0000-000001260000}"/>
    <cellStyle name="RowTitles1-Detail 2 6 3_Tertiary Salaries Survey" xfId="9711" xr:uid="{00000000-0005-0000-0000-000002260000}"/>
    <cellStyle name="RowTitles1-Detail 2 6 4" xfId="9712" xr:uid="{00000000-0005-0000-0000-000003260000}"/>
    <cellStyle name="RowTitles1-Detail 2 6 4 2" xfId="9713" xr:uid="{00000000-0005-0000-0000-000004260000}"/>
    <cellStyle name="RowTitles1-Detail 2 6 4 2 2" xfId="9714" xr:uid="{00000000-0005-0000-0000-000005260000}"/>
    <cellStyle name="RowTitles1-Detail 2 6 4 2 2 2" xfId="9715" xr:uid="{00000000-0005-0000-0000-000006260000}"/>
    <cellStyle name="RowTitles1-Detail 2 6 4 2 2_Tertiary Salaries Survey" xfId="9716" xr:uid="{00000000-0005-0000-0000-000007260000}"/>
    <cellStyle name="RowTitles1-Detail 2 6 4 2 3" xfId="9717" xr:uid="{00000000-0005-0000-0000-000008260000}"/>
    <cellStyle name="RowTitles1-Detail 2 6 4 2_Tertiary Salaries Survey" xfId="9718" xr:uid="{00000000-0005-0000-0000-000009260000}"/>
    <cellStyle name="RowTitles1-Detail 2 6 4 3" xfId="9719" xr:uid="{00000000-0005-0000-0000-00000A260000}"/>
    <cellStyle name="RowTitles1-Detail 2 6 4 3 2" xfId="9720" xr:uid="{00000000-0005-0000-0000-00000B260000}"/>
    <cellStyle name="RowTitles1-Detail 2 6 4 3 2 2" xfId="9721" xr:uid="{00000000-0005-0000-0000-00000C260000}"/>
    <cellStyle name="RowTitles1-Detail 2 6 4 3 2_Tertiary Salaries Survey" xfId="9722" xr:uid="{00000000-0005-0000-0000-00000D260000}"/>
    <cellStyle name="RowTitles1-Detail 2 6 4 3 3" xfId="9723" xr:uid="{00000000-0005-0000-0000-00000E260000}"/>
    <cellStyle name="RowTitles1-Detail 2 6 4 3_Tertiary Salaries Survey" xfId="9724" xr:uid="{00000000-0005-0000-0000-00000F260000}"/>
    <cellStyle name="RowTitles1-Detail 2 6 4 4" xfId="9725" xr:uid="{00000000-0005-0000-0000-000010260000}"/>
    <cellStyle name="RowTitles1-Detail 2 6 4 4 2" xfId="9726" xr:uid="{00000000-0005-0000-0000-000011260000}"/>
    <cellStyle name="RowTitles1-Detail 2 6 4 4_Tertiary Salaries Survey" xfId="9727" xr:uid="{00000000-0005-0000-0000-000012260000}"/>
    <cellStyle name="RowTitles1-Detail 2 6 4 5" xfId="9728" xr:uid="{00000000-0005-0000-0000-000013260000}"/>
    <cellStyle name="RowTitles1-Detail 2 6 4_Tertiary Salaries Survey" xfId="9729" xr:uid="{00000000-0005-0000-0000-000014260000}"/>
    <cellStyle name="RowTitles1-Detail 2 6 5" xfId="9730" xr:uid="{00000000-0005-0000-0000-000015260000}"/>
    <cellStyle name="RowTitles1-Detail 2 6 5 2" xfId="9731" xr:uid="{00000000-0005-0000-0000-000016260000}"/>
    <cellStyle name="RowTitles1-Detail 2 6 5 2 2" xfId="9732" xr:uid="{00000000-0005-0000-0000-000017260000}"/>
    <cellStyle name="RowTitles1-Detail 2 6 5 2 2 2" xfId="9733" xr:uid="{00000000-0005-0000-0000-000018260000}"/>
    <cellStyle name="RowTitles1-Detail 2 6 5 2 2_Tertiary Salaries Survey" xfId="9734" xr:uid="{00000000-0005-0000-0000-000019260000}"/>
    <cellStyle name="RowTitles1-Detail 2 6 5 2 3" xfId="9735" xr:uid="{00000000-0005-0000-0000-00001A260000}"/>
    <cellStyle name="RowTitles1-Detail 2 6 5 2_Tertiary Salaries Survey" xfId="9736" xr:uid="{00000000-0005-0000-0000-00001B260000}"/>
    <cellStyle name="RowTitles1-Detail 2 6 5 3" xfId="9737" xr:uid="{00000000-0005-0000-0000-00001C260000}"/>
    <cellStyle name="RowTitles1-Detail 2 6 5 3 2" xfId="9738" xr:uid="{00000000-0005-0000-0000-00001D260000}"/>
    <cellStyle name="RowTitles1-Detail 2 6 5 3 2 2" xfId="9739" xr:uid="{00000000-0005-0000-0000-00001E260000}"/>
    <cellStyle name="RowTitles1-Detail 2 6 5 3 2_Tertiary Salaries Survey" xfId="9740" xr:uid="{00000000-0005-0000-0000-00001F260000}"/>
    <cellStyle name="RowTitles1-Detail 2 6 5 3 3" xfId="9741" xr:uid="{00000000-0005-0000-0000-000020260000}"/>
    <cellStyle name="RowTitles1-Detail 2 6 5 3_Tertiary Salaries Survey" xfId="9742" xr:uid="{00000000-0005-0000-0000-000021260000}"/>
    <cellStyle name="RowTitles1-Detail 2 6 5 4" xfId="9743" xr:uid="{00000000-0005-0000-0000-000022260000}"/>
    <cellStyle name="RowTitles1-Detail 2 6 5 4 2" xfId="9744" xr:uid="{00000000-0005-0000-0000-000023260000}"/>
    <cellStyle name="RowTitles1-Detail 2 6 5 4_Tertiary Salaries Survey" xfId="9745" xr:uid="{00000000-0005-0000-0000-000024260000}"/>
    <cellStyle name="RowTitles1-Detail 2 6 5 5" xfId="9746" xr:uid="{00000000-0005-0000-0000-000025260000}"/>
    <cellStyle name="RowTitles1-Detail 2 6 5_Tertiary Salaries Survey" xfId="9747" xr:uid="{00000000-0005-0000-0000-000026260000}"/>
    <cellStyle name="RowTitles1-Detail 2 6 6" xfId="9748" xr:uid="{00000000-0005-0000-0000-000027260000}"/>
    <cellStyle name="RowTitles1-Detail 2 6 6 2" xfId="9749" xr:uid="{00000000-0005-0000-0000-000028260000}"/>
    <cellStyle name="RowTitles1-Detail 2 6 6 2 2" xfId="9750" xr:uid="{00000000-0005-0000-0000-000029260000}"/>
    <cellStyle name="RowTitles1-Detail 2 6 6 2 2 2" xfId="9751" xr:uid="{00000000-0005-0000-0000-00002A260000}"/>
    <cellStyle name="RowTitles1-Detail 2 6 6 2 2_Tertiary Salaries Survey" xfId="9752" xr:uid="{00000000-0005-0000-0000-00002B260000}"/>
    <cellStyle name="RowTitles1-Detail 2 6 6 2 3" xfId="9753" xr:uid="{00000000-0005-0000-0000-00002C260000}"/>
    <cellStyle name="RowTitles1-Detail 2 6 6 2_Tertiary Salaries Survey" xfId="9754" xr:uid="{00000000-0005-0000-0000-00002D260000}"/>
    <cellStyle name="RowTitles1-Detail 2 6 6 3" xfId="9755" xr:uid="{00000000-0005-0000-0000-00002E260000}"/>
    <cellStyle name="RowTitles1-Detail 2 6 6 3 2" xfId="9756" xr:uid="{00000000-0005-0000-0000-00002F260000}"/>
    <cellStyle name="RowTitles1-Detail 2 6 6 3 2 2" xfId="9757" xr:uid="{00000000-0005-0000-0000-000030260000}"/>
    <cellStyle name="RowTitles1-Detail 2 6 6 3 2_Tertiary Salaries Survey" xfId="9758" xr:uid="{00000000-0005-0000-0000-000031260000}"/>
    <cellStyle name="RowTitles1-Detail 2 6 6 3 3" xfId="9759" xr:uid="{00000000-0005-0000-0000-000032260000}"/>
    <cellStyle name="RowTitles1-Detail 2 6 6 3_Tertiary Salaries Survey" xfId="9760" xr:uid="{00000000-0005-0000-0000-000033260000}"/>
    <cellStyle name="RowTitles1-Detail 2 6 6 4" xfId="9761" xr:uid="{00000000-0005-0000-0000-000034260000}"/>
    <cellStyle name="RowTitles1-Detail 2 6 6 4 2" xfId="9762" xr:uid="{00000000-0005-0000-0000-000035260000}"/>
    <cellStyle name="RowTitles1-Detail 2 6 6 4_Tertiary Salaries Survey" xfId="9763" xr:uid="{00000000-0005-0000-0000-000036260000}"/>
    <cellStyle name="RowTitles1-Detail 2 6 6 5" xfId="9764" xr:uid="{00000000-0005-0000-0000-000037260000}"/>
    <cellStyle name="RowTitles1-Detail 2 6 6_Tertiary Salaries Survey" xfId="9765" xr:uid="{00000000-0005-0000-0000-000038260000}"/>
    <cellStyle name="RowTitles1-Detail 2 6 7" xfId="9766" xr:uid="{00000000-0005-0000-0000-000039260000}"/>
    <cellStyle name="RowTitles1-Detail 2 6 7 2" xfId="9767" xr:uid="{00000000-0005-0000-0000-00003A260000}"/>
    <cellStyle name="RowTitles1-Detail 2 6 7 2 2" xfId="9768" xr:uid="{00000000-0005-0000-0000-00003B260000}"/>
    <cellStyle name="RowTitles1-Detail 2 6 7 2_Tertiary Salaries Survey" xfId="9769" xr:uid="{00000000-0005-0000-0000-00003C260000}"/>
    <cellStyle name="RowTitles1-Detail 2 6 7 3" xfId="9770" xr:uid="{00000000-0005-0000-0000-00003D260000}"/>
    <cellStyle name="RowTitles1-Detail 2 6 7_Tertiary Salaries Survey" xfId="9771" xr:uid="{00000000-0005-0000-0000-00003E260000}"/>
    <cellStyle name="RowTitles1-Detail 2 6 8" xfId="9772" xr:uid="{00000000-0005-0000-0000-00003F260000}"/>
    <cellStyle name="RowTitles1-Detail 2 6 8 2" xfId="9773" xr:uid="{00000000-0005-0000-0000-000040260000}"/>
    <cellStyle name="RowTitles1-Detail 2 6 8 2 2" xfId="9774" xr:uid="{00000000-0005-0000-0000-000041260000}"/>
    <cellStyle name="RowTitles1-Detail 2 6 8 2_Tertiary Salaries Survey" xfId="9775" xr:uid="{00000000-0005-0000-0000-000042260000}"/>
    <cellStyle name="RowTitles1-Detail 2 6 8 3" xfId="9776" xr:uid="{00000000-0005-0000-0000-000043260000}"/>
    <cellStyle name="RowTitles1-Detail 2 6 8_Tertiary Salaries Survey" xfId="9777" xr:uid="{00000000-0005-0000-0000-000044260000}"/>
    <cellStyle name="RowTitles1-Detail 2 6 9" xfId="9778" xr:uid="{00000000-0005-0000-0000-000045260000}"/>
    <cellStyle name="RowTitles1-Detail 2 6_STUD aligned by INSTIT" xfId="9779" xr:uid="{00000000-0005-0000-0000-000046260000}"/>
    <cellStyle name="RowTitles1-Detail 2 7" xfId="9780" xr:uid="{00000000-0005-0000-0000-000047260000}"/>
    <cellStyle name="RowTitles1-Detail 2 7 2" xfId="9781" xr:uid="{00000000-0005-0000-0000-000048260000}"/>
    <cellStyle name="RowTitles1-Detail 2 7 2 2" xfId="9782" xr:uid="{00000000-0005-0000-0000-000049260000}"/>
    <cellStyle name="RowTitles1-Detail 2 7 2 2 2" xfId="9783" xr:uid="{00000000-0005-0000-0000-00004A260000}"/>
    <cellStyle name="RowTitles1-Detail 2 7 2 2 2 2" xfId="9784" xr:uid="{00000000-0005-0000-0000-00004B260000}"/>
    <cellStyle name="RowTitles1-Detail 2 7 2 2 2_Tertiary Salaries Survey" xfId="9785" xr:uid="{00000000-0005-0000-0000-00004C260000}"/>
    <cellStyle name="RowTitles1-Detail 2 7 2 2 3" xfId="9786" xr:uid="{00000000-0005-0000-0000-00004D260000}"/>
    <cellStyle name="RowTitles1-Detail 2 7 2 2_Tertiary Salaries Survey" xfId="9787" xr:uid="{00000000-0005-0000-0000-00004E260000}"/>
    <cellStyle name="RowTitles1-Detail 2 7 2 3" xfId="9788" xr:uid="{00000000-0005-0000-0000-00004F260000}"/>
    <cellStyle name="RowTitles1-Detail 2 7 2 3 2" xfId="9789" xr:uid="{00000000-0005-0000-0000-000050260000}"/>
    <cellStyle name="RowTitles1-Detail 2 7 2 3 2 2" xfId="9790" xr:uid="{00000000-0005-0000-0000-000051260000}"/>
    <cellStyle name="RowTitles1-Detail 2 7 2 3 2_Tertiary Salaries Survey" xfId="9791" xr:uid="{00000000-0005-0000-0000-000052260000}"/>
    <cellStyle name="RowTitles1-Detail 2 7 2 3 3" xfId="9792" xr:uid="{00000000-0005-0000-0000-000053260000}"/>
    <cellStyle name="RowTitles1-Detail 2 7 2 3_Tertiary Salaries Survey" xfId="9793" xr:uid="{00000000-0005-0000-0000-000054260000}"/>
    <cellStyle name="RowTitles1-Detail 2 7 2 4" xfId="9794" xr:uid="{00000000-0005-0000-0000-000055260000}"/>
    <cellStyle name="RowTitles1-Detail 2 7 2 5" xfId="9795" xr:uid="{00000000-0005-0000-0000-000056260000}"/>
    <cellStyle name="RowTitles1-Detail 2 7 2_Tertiary Salaries Survey" xfId="9796" xr:uid="{00000000-0005-0000-0000-000057260000}"/>
    <cellStyle name="RowTitles1-Detail 2 7 3" xfId="9797" xr:uid="{00000000-0005-0000-0000-000058260000}"/>
    <cellStyle name="RowTitles1-Detail 2 7 3 2" xfId="9798" xr:uid="{00000000-0005-0000-0000-000059260000}"/>
    <cellStyle name="RowTitles1-Detail 2 7 3 2 2" xfId="9799" xr:uid="{00000000-0005-0000-0000-00005A260000}"/>
    <cellStyle name="RowTitles1-Detail 2 7 3 2 2 2" xfId="9800" xr:uid="{00000000-0005-0000-0000-00005B260000}"/>
    <cellStyle name="RowTitles1-Detail 2 7 3 2 2_Tertiary Salaries Survey" xfId="9801" xr:uid="{00000000-0005-0000-0000-00005C260000}"/>
    <cellStyle name="RowTitles1-Detail 2 7 3 2 3" xfId="9802" xr:uid="{00000000-0005-0000-0000-00005D260000}"/>
    <cellStyle name="RowTitles1-Detail 2 7 3 2_Tertiary Salaries Survey" xfId="9803" xr:uid="{00000000-0005-0000-0000-00005E260000}"/>
    <cellStyle name="RowTitles1-Detail 2 7 3 3" xfId="9804" xr:uid="{00000000-0005-0000-0000-00005F260000}"/>
    <cellStyle name="RowTitles1-Detail 2 7 3 3 2" xfId="9805" xr:uid="{00000000-0005-0000-0000-000060260000}"/>
    <cellStyle name="RowTitles1-Detail 2 7 3 3 2 2" xfId="9806" xr:uid="{00000000-0005-0000-0000-000061260000}"/>
    <cellStyle name="RowTitles1-Detail 2 7 3 3 2_Tertiary Salaries Survey" xfId="9807" xr:uid="{00000000-0005-0000-0000-000062260000}"/>
    <cellStyle name="RowTitles1-Detail 2 7 3 3 3" xfId="9808" xr:uid="{00000000-0005-0000-0000-000063260000}"/>
    <cellStyle name="RowTitles1-Detail 2 7 3 3_Tertiary Salaries Survey" xfId="9809" xr:uid="{00000000-0005-0000-0000-000064260000}"/>
    <cellStyle name="RowTitles1-Detail 2 7 3 4" xfId="9810" xr:uid="{00000000-0005-0000-0000-000065260000}"/>
    <cellStyle name="RowTitles1-Detail 2 7 3 4 2" xfId="9811" xr:uid="{00000000-0005-0000-0000-000066260000}"/>
    <cellStyle name="RowTitles1-Detail 2 7 3 4_Tertiary Salaries Survey" xfId="9812" xr:uid="{00000000-0005-0000-0000-000067260000}"/>
    <cellStyle name="RowTitles1-Detail 2 7 3 5" xfId="9813" xr:uid="{00000000-0005-0000-0000-000068260000}"/>
    <cellStyle name="RowTitles1-Detail 2 7 3_Tertiary Salaries Survey" xfId="9814" xr:uid="{00000000-0005-0000-0000-000069260000}"/>
    <cellStyle name="RowTitles1-Detail 2 7 4" xfId="9815" xr:uid="{00000000-0005-0000-0000-00006A260000}"/>
    <cellStyle name="RowTitles1-Detail 2 7 4 2" xfId="9816" xr:uid="{00000000-0005-0000-0000-00006B260000}"/>
    <cellStyle name="RowTitles1-Detail 2 7 4 2 2" xfId="9817" xr:uid="{00000000-0005-0000-0000-00006C260000}"/>
    <cellStyle name="RowTitles1-Detail 2 7 4 2 2 2" xfId="9818" xr:uid="{00000000-0005-0000-0000-00006D260000}"/>
    <cellStyle name="RowTitles1-Detail 2 7 4 2 2_Tertiary Salaries Survey" xfId="9819" xr:uid="{00000000-0005-0000-0000-00006E260000}"/>
    <cellStyle name="RowTitles1-Detail 2 7 4 2 3" xfId="9820" xr:uid="{00000000-0005-0000-0000-00006F260000}"/>
    <cellStyle name="RowTitles1-Detail 2 7 4 2_Tertiary Salaries Survey" xfId="9821" xr:uid="{00000000-0005-0000-0000-000070260000}"/>
    <cellStyle name="RowTitles1-Detail 2 7 4 3" xfId="9822" xr:uid="{00000000-0005-0000-0000-000071260000}"/>
    <cellStyle name="RowTitles1-Detail 2 7 4 3 2" xfId="9823" xr:uid="{00000000-0005-0000-0000-000072260000}"/>
    <cellStyle name="RowTitles1-Detail 2 7 4 3 2 2" xfId="9824" xr:uid="{00000000-0005-0000-0000-000073260000}"/>
    <cellStyle name="RowTitles1-Detail 2 7 4 3 2_Tertiary Salaries Survey" xfId="9825" xr:uid="{00000000-0005-0000-0000-000074260000}"/>
    <cellStyle name="RowTitles1-Detail 2 7 4 3 3" xfId="9826" xr:uid="{00000000-0005-0000-0000-000075260000}"/>
    <cellStyle name="RowTitles1-Detail 2 7 4 3_Tertiary Salaries Survey" xfId="9827" xr:uid="{00000000-0005-0000-0000-000076260000}"/>
    <cellStyle name="RowTitles1-Detail 2 7 4 4" xfId="9828" xr:uid="{00000000-0005-0000-0000-000077260000}"/>
    <cellStyle name="RowTitles1-Detail 2 7 4 4 2" xfId="9829" xr:uid="{00000000-0005-0000-0000-000078260000}"/>
    <cellStyle name="RowTitles1-Detail 2 7 4 4_Tertiary Salaries Survey" xfId="9830" xr:uid="{00000000-0005-0000-0000-000079260000}"/>
    <cellStyle name="RowTitles1-Detail 2 7 4 5" xfId="9831" xr:uid="{00000000-0005-0000-0000-00007A260000}"/>
    <cellStyle name="RowTitles1-Detail 2 7 4_Tertiary Salaries Survey" xfId="9832" xr:uid="{00000000-0005-0000-0000-00007B260000}"/>
    <cellStyle name="RowTitles1-Detail 2 7 5" xfId="9833" xr:uid="{00000000-0005-0000-0000-00007C260000}"/>
    <cellStyle name="RowTitles1-Detail 2 7 5 2" xfId="9834" xr:uid="{00000000-0005-0000-0000-00007D260000}"/>
    <cellStyle name="RowTitles1-Detail 2 7 5 2 2" xfId="9835" xr:uid="{00000000-0005-0000-0000-00007E260000}"/>
    <cellStyle name="RowTitles1-Detail 2 7 5 2 2 2" xfId="9836" xr:uid="{00000000-0005-0000-0000-00007F260000}"/>
    <cellStyle name="RowTitles1-Detail 2 7 5 2 2_Tertiary Salaries Survey" xfId="9837" xr:uid="{00000000-0005-0000-0000-000080260000}"/>
    <cellStyle name="RowTitles1-Detail 2 7 5 2 3" xfId="9838" xr:uid="{00000000-0005-0000-0000-000081260000}"/>
    <cellStyle name="RowTitles1-Detail 2 7 5 2_Tertiary Salaries Survey" xfId="9839" xr:uid="{00000000-0005-0000-0000-000082260000}"/>
    <cellStyle name="RowTitles1-Detail 2 7 5 3" xfId="9840" xr:uid="{00000000-0005-0000-0000-000083260000}"/>
    <cellStyle name="RowTitles1-Detail 2 7 5 3 2" xfId="9841" xr:uid="{00000000-0005-0000-0000-000084260000}"/>
    <cellStyle name="RowTitles1-Detail 2 7 5 3 2 2" xfId="9842" xr:uid="{00000000-0005-0000-0000-000085260000}"/>
    <cellStyle name="RowTitles1-Detail 2 7 5 3 2_Tertiary Salaries Survey" xfId="9843" xr:uid="{00000000-0005-0000-0000-000086260000}"/>
    <cellStyle name="RowTitles1-Detail 2 7 5 3 3" xfId="9844" xr:uid="{00000000-0005-0000-0000-000087260000}"/>
    <cellStyle name="RowTitles1-Detail 2 7 5 3_Tertiary Salaries Survey" xfId="9845" xr:uid="{00000000-0005-0000-0000-000088260000}"/>
    <cellStyle name="RowTitles1-Detail 2 7 5 4" xfId="9846" xr:uid="{00000000-0005-0000-0000-000089260000}"/>
    <cellStyle name="RowTitles1-Detail 2 7 5 4 2" xfId="9847" xr:uid="{00000000-0005-0000-0000-00008A260000}"/>
    <cellStyle name="RowTitles1-Detail 2 7 5 4_Tertiary Salaries Survey" xfId="9848" xr:uid="{00000000-0005-0000-0000-00008B260000}"/>
    <cellStyle name="RowTitles1-Detail 2 7 5 5" xfId="9849" xr:uid="{00000000-0005-0000-0000-00008C260000}"/>
    <cellStyle name="RowTitles1-Detail 2 7 5_Tertiary Salaries Survey" xfId="9850" xr:uid="{00000000-0005-0000-0000-00008D260000}"/>
    <cellStyle name="RowTitles1-Detail 2 7 6" xfId="9851" xr:uid="{00000000-0005-0000-0000-00008E260000}"/>
    <cellStyle name="RowTitles1-Detail 2 7 6 2" xfId="9852" xr:uid="{00000000-0005-0000-0000-00008F260000}"/>
    <cellStyle name="RowTitles1-Detail 2 7 6 2 2" xfId="9853" xr:uid="{00000000-0005-0000-0000-000090260000}"/>
    <cellStyle name="RowTitles1-Detail 2 7 6 2 2 2" xfId="9854" xr:uid="{00000000-0005-0000-0000-000091260000}"/>
    <cellStyle name="RowTitles1-Detail 2 7 6 2 2_Tertiary Salaries Survey" xfId="9855" xr:uid="{00000000-0005-0000-0000-000092260000}"/>
    <cellStyle name="RowTitles1-Detail 2 7 6 2 3" xfId="9856" xr:uid="{00000000-0005-0000-0000-000093260000}"/>
    <cellStyle name="RowTitles1-Detail 2 7 6 2_Tertiary Salaries Survey" xfId="9857" xr:uid="{00000000-0005-0000-0000-000094260000}"/>
    <cellStyle name="RowTitles1-Detail 2 7 6 3" xfId="9858" xr:uid="{00000000-0005-0000-0000-000095260000}"/>
    <cellStyle name="RowTitles1-Detail 2 7 6 3 2" xfId="9859" xr:uid="{00000000-0005-0000-0000-000096260000}"/>
    <cellStyle name="RowTitles1-Detail 2 7 6 3 2 2" xfId="9860" xr:uid="{00000000-0005-0000-0000-000097260000}"/>
    <cellStyle name="RowTitles1-Detail 2 7 6 3 2_Tertiary Salaries Survey" xfId="9861" xr:uid="{00000000-0005-0000-0000-000098260000}"/>
    <cellStyle name="RowTitles1-Detail 2 7 6 3 3" xfId="9862" xr:uid="{00000000-0005-0000-0000-000099260000}"/>
    <cellStyle name="RowTitles1-Detail 2 7 6 3_Tertiary Salaries Survey" xfId="9863" xr:uid="{00000000-0005-0000-0000-00009A260000}"/>
    <cellStyle name="RowTitles1-Detail 2 7 6 4" xfId="9864" xr:uid="{00000000-0005-0000-0000-00009B260000}"/>
    <cellStyle name="RowTitles1-Detail 2 7 6 4 2" xfId="9865" xr:uid="{00000000-0005-0000-0000-00009C260000}"/>
    <cellStyle name="RowTitles1-Detail 2 7 6 4_Tertiary Salaries Survey" xfId="9866" xr:uid="{00000000-0005-0000-0000-00009D260000}"/>
    <cellStyle name="RowTitles1-Detail 2 7 6 5" xfId="9867" xr:uid="{00000000-0005-0000-0000-00009E260000}"/>
    <cellStyle name="RowTitles1-Detail 2 7 6_Tertiary Salaries Survey" xfId="9868" xr:uid="{00000000-0005-0000-0000-00009F260000}"/>
    <cellStyle name="RowTitles1-Detail 2 7 7" xfId="9869" xr:uid="{00000000-0005-0000-0000-0000A0260000}"/>
    <cellStyle name="RowTitles1-Detail 2 7 7 2" xfId="9870" xr:uid="{00000000-0005-0000-0000-0000A1260000}"/>
    <cellStyle name="RowTitles1-Detail 2 7 7 2 2" xfId="9871" xr:uid="{00000000-0005-0000-0000-0000A2260000}"/>
    <cellStyle name="RowTitles1-Detail 2 7 7 2_Tertiary Salaries Survey" xfId="9872" xr:uid="{00000000-0005-0000-0000-0000A3260000}"/>
    <cellStyle name="RowTitles1-Detail 2 7 7 3" xfId="9873" xr:uid="{00000000-0005-0000-0000-0000A4260000}"/>
    <cellStyle name="RowTitles1-Detail 2 7 7_Tertiary Salaries Survey" xfId="9874" xr:uid="{00000000-0005-0000-0000-0000A5260000}"/>
    <cellStyle name="RowTitles1-Detail 2 7 8" xfId="9875" xr:uid="{00000000-0005-0000-0000-0000A6260000}"/>
    <cellStyle name="RowTitles1-Detail 2 7 8 2" xfId="9876" xr:uid="{00000000-0005-0000-0000-0000A7260000}"/>
    <cellStyle name="RowTitles1-Detail 2 7 8 2 2" xfId="9877" xr:uid="{00000000-0005-0000-0000-0000A8260000}"/>
    <cellStyle name="RowTitles1-Detail 2 7 8 2_Tertiary Salaries Survey" xfId="9878" xr:uid="{00000000-0005-0000-0000-0000A9260000}"/>
    <cellStyle name="RowTitles1-Detail 2 7 8 3" xfId="9879" xr:uid="{00000000-0005-0000-0000-0000AA260000}"/>
    <cellStyle name="RowTitles1-Detail 2 7 8_Tertiary Salaries Survey" xfId="9880" xr:uid="{00000000-0005-0000-0000-0000AB260000}"/>
    <cellStyle name="RowTitles1-Detail 2 7 9" xfId="9881" xr:uid="{00000000-0005-0000-0000-0000AC260000}"/>
    <cellStyle name="RowTitles1-Detail 2 7_STUD aligned by INSTIT" xfId="9882" xr:uid="{00000000-0005-0000-0000-0000AD260000}"/>
    <cellStyle name="RowTitles1-Detail 2 8" xfId="9883" xr:uid="{00000000-0005-0000-0000-0000AE260000}"/>
    <cellStyle name="RowTitles1-Detail 2 8 2" xfId="9884" xr:uid="{00000000-0005-0000-0000-0000AF260000}"/>
    <cellStyle name="RowTitles1-Detail 2 8 2 2" xfId="9885" xr:uid="{00000000-0005-0000-0000-0000B0260000}"/>
    <cellStyle name="RowTitles1-Detail 2 8 2 2 2" xfId="9886" xr:uid="{00000000-0005-0000-0000-0000B1260000}"/>
    <cellStyle name="RowTitles1-Detail 2 8 2 2_Tertiary Salaries Survey" xfId="9887" xr:uid="{00000000-0005-0000-0000-0000B2260000}"/>
    <cellStyle name="RowTitles1-Detail 2 8 2 3" xfId="9888" xr:uid="{00000000-0005-0000-0000-0000B3260000}"/>
    <cellStyle name="RowTitles1-Detail 2 8 2_Tertiary Salaries Survey" xfId="9889" xr:uid="{00000000-0005-0000-0000-0000B4260000}"/>
    <cellStyle name="RowTitles1-Detail 2 8 3" xfId="9890" xr:uid="{00000000-0005-0000-0000-0000B5260000}"/>
    <cellStyle name="RowTitles1-Detail 2 8 3 2" xfId="9891" xr:uid="{00000000-0005-0000-0000-0000B6260000}"/>
    <cellStyle name="RowTitles1-Detail 2 8 3 2 2" xfId="9892" xr:uid="{00000000-0005-0000-0000-0000B7260000}"/>
    <cellStyle name="RowTitles1-Detail 2 8 3 2_Tertiary Salaries Survey" xfId="9893" xr:uid="{00000000-0005-0000-0000-0000B8260000}"/>
    <cellStyle name="RowTitles1-Detail 2 8 3 3" xfId="9894" xr:uid="{00000000-0005-0000-0000-0000B9260000}"/>
    <cellStyle name="RowTitles1-Detail 2 8 3_Tertiary Salaries Survey" xfId="9895" xr:uid="{00000000-0005-0000-0000-0000BA260000}"/>
    <cellStyle name="RowTitles1-Detail 2 8 4" xfId="9896" xr:uid="{00000000-0005-0000-0000-0000BB260000}"/>
    <cellStyle name="RowTitles1-Detail 2 8 5" xfId="9897" xr:uid="{00000000-0005-0000-0000-0000BC260000}"/>
    <cellStyle name="RowTitles1-Detail 2 8 5 2" xfId="9898" xr:uid="{00000000-0005-0000-0000-0000BD260000}"/>
    <cellStyle name="RowTitles1-Detail 2 8 5_Tertiary Salaries Survey" xfId="9899" xr:uid="{00000000-0005-0000-0000-0000BE260000}"/>
    <cellStyle name="RowTitles1-Detail 2 8 6" xfId="9900" xr:uid="{00000000-0005-0000-0000-0000BF260000}"/>
    <cellStyle name="RowTitles1-Detail 2 8_Tertiary Salaries Survey" xfId="9901" xr:uid="{00000000-0005-0000-0000-0000C0260000}"/>
    <cellStyle name="RowTitles1-Detail 2 9" xfId="9902" xr:uid="{00000000-0005-0000-0000-0000C1260000}"/>
    <cellStyle name="RowTitles1-Detail 2 9 2" xfId="9903" xr:uid="{00000000-0005-0000-0000-0000C2260000}"/>
    <cellStyle name="RowTitles1-Detail 2 9 2 2" xfId="9904" xr:uid="{00000000-0005-0000-0000-0000C3260000}"/>
    <cellStyle name="RowTitles1-Detail 2 9 2 2 2" xfId="9905" xr:uid="{00000000-0005-0000-0000-0000C4260000}"/>
    <cellStyle name="RowTitles1-Detail 2 9 2 2_Tertiary Salaries Survey" xfId="9906" xr:uid="{00000000-0005-0000-0000-0000C5260000}"/>
    <cellStyle name="RowTitles1-Detail 2 9 2 3" xfId="9907" xr:uid="{00000000-0005-0000-0000-0000C6260000}"/>
    <cellStyle name="RowTitles1-Detail 2 9 2_Tertiary Salaries Survey" xfId="9908" xr:uid="{00000000-0005-0000-0000-0000C7260000}"/>
    <cellStyle name="RowTitles1-Detail 2 9 3" xfId="9909" xr:uid="{00000000-0005-0000-0000-0000C8260000}"/>
    <cellStyle name="RowTitles1-Detail 2 9 3 2" xfId="9910" xr:uid="{00000000-0005-0000-0000-0000C9260000}"/>
    <cellStyle name="RowTitles1-Detail 2 9 3 2 2" xfId="9911" xr:uid="{00000000-0005-0000-0000-0000CA260000}"/>
    <cellStyle name="RowTitles1-Detail 2 9 3 2_Tertiary Salaries Survey" xfId="9912" xr:uid="{00000000-0005-0000-0000-0000CB260000}"/>
    <cellStyle name="RowTitles1-Detail 2 9 3 3" xfId="9913" xr:uid="{00000000-0005-0000-0000-0000CC260000}"/>
    <cellStyle name="RowTitles1-Detail 2 9 3_Tertiary Salaries Survey" xfId="9914" xr:uid="{00000000-0005-0000-0000-0000CD260000}"/>
    <cellStyle name="RowTitles1-Detail 2 9 4" xfId="9915" xr:uid="{00000000-0005-0000-0000-0000CE260000}"/>
    <cellStyle name="RowTitles1-Detail 2 9 5" xfId="9916" xr:uid="{00000000-0005-0000-0000-0000CF260000}"/>
    <cellStyle name="RowTitles1-Detail 2 9_Tertiary Salaries Survey" xfId="9917" xr:uid="{00000000-0005-0000-0000-0000D0260000}"/>
    <cellStyle name="RowTitles1-Detail 2_STUD aligned by INSTIT" xfId="9918" xr:uid="{00000000-0005-0000-0000-0000D1260000}"/>
    <cellStyle name="RowTitles1-Detail 3" xfId="9919" xr:uid="{00000000-0005-0000-0000-0000D2260000}"/>
    <cellStyle name="RowTitles1-Detail 3 10" xfId="9920" xr:uid="{00000000-0005-0000-0000-0000D3260000}"/>
    <cellStyle name="RowTitles1-Detail 3 10 2" xfId="9921" xr:uid="{00000000-0005-0000-0000-0000D4260000}"/>
    <cellStyle name="RowTitles1-Detail 3 10 2 2" xfId="9922" xr:uid="{00000000-0005-0000-0000-0000D5260000}"/>
    <cellStyle name="RowTitles1-Detail 3 10 2 2 2" xfId="9923" xr:uid="{00000000-0005-0000-0000-0000D6260000}"/>
    <cellStyle name="RowTitles1-Detail 3 10 2 2_Tertiary Salaries Survey" xfId="9924" xr:uid="{00000000-0005-0000-0000-0000D7260000}"/>
    <cellStyle name="RowTitles1-Detail 3 10 2 3" xfId="9925" xr:uid="{00000000-0005-0000-0000-0000D8260000}"/>
    <cellStyle name="RowTitles1-Detail 3 10 2_Tertiary Salaries Survey" xfId="9926" xr:uid="{00000000-0005-0000-0000-0000D9260000}"/>
    <cellStyle name="RowTitles1-Detail 3 10 3" xfId="9927" xr:uid="{00000000-0005-0000-0000-0000DA260000}"/>
    <cellStyle name="RowTitles1-Detail 3 10 3 2" xfId="9928" xr:uid="{00000000-0005-0000-0000-0000DB260000}"/>
    <cellStyle name="RowTitles1-Detail 3 10 3 2 2" xfId="9929" xr:uid="{00000000-0005-0000-0000-0000DC260000}"/>
    <cellStyle name="RowTitles1-Detail 3 10 3 2_Tertiary Salaries Survey" xfId="9930" xr:uid="{00000000-0005-0000-0000-0000DD260000}"/>
    <cellStyle name="RowTitles1-Detail 3 10 3 3" xfId="9931" xr:uid="{00000000-0005-0000-0000-0000DE260000}"/>
    <cellStyle name="RowTitles1-Detail 3 10 3_Tertiary Salaries Survey" xfId="9932" xr:uid="{00000000-0005-0000-0000-0000DF260000}"/>
    <cellStyle name="RowTitles1-Detail 3 10 4" xfId="9933" xr:uid="{00000000-0005-0000-0000-0000E0260000}"/>
    <cellStyle name="RowTitles1-Detail 3 10 4 2" xfId="9934" xr:uid="{00000000-0005-0000-0000-0000E1260000}"/>
    <cellStyle name="RowTitles1-Detail 3 10 4_Tertiary Salaries Survey" xfId="9935" xr:uid="{00000000-0005-0000-0000-0000E2260000}"/>
    <cellStyle name="RowTitles1-Detail 3 10 5" xfId="9936" xr:uid="{00000000-0005-0000-0000-0000E3260000}"/>
    <cellStyle name="RowTitles1-Detail 3 10_Tertiary Salaries Survey" xfId="9937" xr:uid="{00000000-0005-0000-0000-0000E4260000}"/>
    <cellStyle name="RowTitles1-Detail 3 11" xfId="9938" xr:uid="{00000000-0005-0000-0000-0000E5260000}"/>
    <cellStyle name="RowTitles1-Detail 3 11 2" xfId="9939" xr:uid="{00000000-0005-0000-0000-0000E6260000}"/>
    <cellStyle name="RowTitles1-Detail 3 11 2 2" xfId="9940" xr:uid="{00000000-0005-0000-0000-0000E7260000}"/>
    <cellStyle name="RowTitles1-Detail 3 11 2 2 2" xfId="9941" xr:uid="{00000000-0005-0000-0000-0000E8260000}"/>
    <cellStyle name="RowTitles1-Detail 3 11 2 2_Tertiary Salaries Survey" xfId="9942" xr:uid="{00000000-0005-0000-0000-0000E9260000}"/>
    <cellStyle name="RowTitles1-Detail 3 11 2 3" xfId="9943" xr:uid="{00000000-0005-0000-0000-0000EA260000}"/>
    <cellStyle name="RowTitles1-Detail 3 11 2_Tertiary Salaries Survey" xfId="9944" xr:uid="{00000000-0005-0000-0000-0000EB260000}"/>
    <cellStyle name="RowTitles1-Detail 3 11 3" xfId="9945" xr:uid="{00000000-0005-0000-0000-0000EC260000}"/>
    <cellStyle name="RowTitles1-Detail 3 11 3 2" xfId="9946" xr:uid="{00000000-0005-0000-0000-0000ED260000}"/>
    <cellStyle name="RowTitles1-Detail 3 11 3 2 2" xfId="9947" xr:uid="{00000000-0005-0000-0000-0000EE260000}"/>
    <cellStyle name="RowTitles1-Detail 3 11 3 2_Tertiary Salaries Survey" xfId="9948" xr:uid="{00000000-0005-0000-0000-0000EF260000}"/>
    <cellStyle name="RowTitles1-Detail 3 11 3 3" xfId="9949" xr:uid="{00000000-0005-0000-0000-0000F0260000}"/>
    <cellStyle name="RowTitles1-Detail 3 11 3_Tertiary Salaries Survey" xfId="9950" xr:uid="{00000000-0005-0000-0000-0000F1260000}"/>
    <cellStyle name="RowTitles1-Detail 3 11 4" xfId="9951" xr:uid="{00000000-0005-0000-0000-0000F2260000}"/>
    <cellStyle name="RowTitles1-Detail 3 11 4 2" xfId="9952" xr:uid="{00000000-0005-0000-0000-0000F3260000}"/>
    <cellStyle name="RowTitles1-Detail 3 11 4_Tertiary Salaries Survey" xfId="9953" xr:uid="{00000000-0005-0000-0000-0000F4260000}"/>
    <cellStyle name="RowTitles1-Detail 3 11 5" xfId="9954" xr:uid="{00000000-0005-0000-0000-0000F5260000}"/>
    <cellStyle name="RowTitles1-Detail 3 11_Tertiary Salaries Survey" xfId="9955" xr:uid="{00000000-0005-0000-0000-0000F6260000}"/>
    <cellStyle name="RowTitles1-Detail 3 12" xfId="9956" xr:uid="{00000000-0005-0000-0000-0000F7260000}"/>
    <cellStyle name="RowTitles1-Detail 3 12 2" xfId="9957" xr:uid="{00000000-0005-0000-0000-0000F8260000}"/>
    <cellStyle name="RowTitles1-Detail 3 12 2 2" xfId="9958" xr:uid="{00000000-0005-0000-0000-0000F9260000}"/>
    <cellStyle name="RowTitles1-Detail 3 12 2_Tertiary Salaries Survey" xfId="9959" xr:uid="{00000000-0005-0000-0000-0000FA260000}"/>
    <cellStyle name="RowTitles1-Detail 3 12 3" xfId="9960" xr:uid="{00000000-0005-0000-0000-0000FB260000}"/>
    <cellStyle name="RowTitles1-Detail 3 12_Tertiary Salaries Survey" xfId="9961" xr:uid="{00000000-0005-0000-0000-0000FC260000}"/>
    <cellStyle name="RowTitles1-Detail 3 13" xfId="9962" xr:uid="{00000000-0005-0000-0000-0000FD260000}"/>
    <cellStyle name="RowTitles1-Detail 3 14" xfId="9963" xr:uid="{00000000-0005-0000-0000-0000FE260000}"/>
    <cellStyle name="RowTitles1-Detail 3 15" xfId="9964" xr:uid="{00000000-0005-0000-0000-0000FF260000}"/>
    <cellStyle name="RowTitles1-Detail 3 2" xfId="9965" xr:uid="{00000000-0005-0000-0000-000000270000}"/>
    <cellStyle name="RowTitles1-Detail 3 2 10" xfId="9966" xr:uid="{00000000-0005-0000-0000-000001270000}"/>
    <cellStyle name="RowTitles1-Detail 3 2 10 2" xfId="9967" xr:uid="{00000000-0005-0000-0000-000002270000}"/>
    <cellStyle name="RowTitles1-Detail 3 2 10 2 2" xfId="9968" xr:uid="{00000000-0005-0000-0000-000003270000}"/>
    <cellStyle name="RowTitles1-Detail 3 2 10 2 2 2" xfId="9969" xr:uid="{00000000-0005-0000-0000-000004270000}"/>
    <cellStyle name="RowTitles1-Detail 3 2 10 2 2_Tertiary Salaries Survey" xfId="9970" xr:uid="{00000000-0005-0000-0000-000005270000}"/>
    <cellStyle name="RowTitles1-Detail 3 2 10 2 3" xfId="9971" xr:uid="{00000000-0005-0000-0000-000006270000}"/>
    <cellStyle name="RowTitles1-Detail 3 2 10 2_Tertiary Salaries Survey" xfId="9972" xr:uid="{00000000-0005-0000-0000-000007270000}"/>
    <cellStyle name="RowTitles1-Detail 3 2 10 3" xfId="9973" xr:uid="{00000000-0005-0000-0000-000008270000}"/>
    <cellStyle name="RowTitles1-Detail 3 2 10 3 2" xfId="9974" xr:uid="{00000000-0005-0000-0000-000009270000}"/>
    <cellStyle name="RowTitles1-Detail 3 2 10 3 2 2" xfId="9975" xr:uid="{00000000-0005-0000-0000-00000A270000}"/>
    <cellStyle name="RowTitles1-Detail 3 2 10 3 2_Tertiary Salaries Survey" xfId="9976" xr:uid="{00000000-0005-0000-0000-00000B270000}"/>
    <cellStyle name="RowTitles1-Detail 3 2 10 3 3" xfId="9977" xr:uid="{00000000-0005-0000-0000-00000C270000}"/>
    <cellStyle name="RowTitles1-Detail 3 2 10 3_Tertiary Salaries Survey" xfId="9978" xr:uid="{00000000-0005-0000-0000-00000D270000}"/>
    <cellStyle name="RowTitles1-Detail 3 2 10 4" xfId="9979" xr:uid="{00000000-0005-0000-0000-00000E270000}"/>
    <cellStyle name="RowTitles1-Detail 3 2 10 4 2" xfId="9980" xr:uid="{00000000-0005-0000-0000-00000F270000}"/>
    <cellStyle name="RowTitles1-Detail 3 2 10 4_Tertiary Salaries Survey" xfId="9981" xr:uid="{00000000-0005-0000-0000-000010270000}"/>
    <cellStyle name="RowTitles1-Detail 3 2 10 5" xfId="9982" xr:uid="{00000000-0005-0000-0000-000011270000}"/>
    <cellStyle name="RowTitles1-Detail 3 2 10_Tertiary Salaries Survey" xfId="9983" xr:uid="{00000000-0005-0000-0000-000012270000}"/>
    <cellStyle name="RowTitles1-Detail 3 2 11" xfId="9984" xr:uid="{00000000-0005-0000-0000-000013270000}"/>
    <cellStyle name="RowTitles1-Detail 3 2 11 2" xfId="9985" xr:uid="{00000000-0005-0000-0000-000014270000}"/>
    <cellStyle name="RowTitles1-Detail 3 2 11 2 2" xfId="9986" xr:uid="{00000000-0005-0000-0000-000015270000}"/>
    <cellStyle name="RowTitles1-Detail 3 2 11 2_Tertiary Salaries Survey" xfId="9987" xr:uid="{00000000-0005-0000-0000-000016270000}"/>
    <cellStyle name="RowTitles1-Detail 3 2 11 3" xfId="9988" xr:uid="{00000000-0005-0000-0000-000017270000}"/>
    <cellStyle name="RowTitles1-Detail 3 2 11_Tertiary Salaries Survey" xfId="9989" xr:uid="{00000000-0005-0000-0000-000018270000}"/>
    <cellStyle name="RowTitles1-Detail 3 2 12" xfId="9990" xr:uid="{00000000-0005-0000-0000-000019270000}"/>
    <cellStyle name="RowTitles1-Detail 3 2 13" xfId="9991" xr:uid="{00000000-0005-0000-0000-00001A270000}"/>
    <cellStyle name="RowTitles1-Detail 3 2 2" xfId="9992" xr:uid="{00000000-0005-0000-0000-00001B270000}"/>
    <cellStyle name="RowTitles1-Detail 3 2 2 10" xfId="9993" xr:uid="{00000000-0005-0000-0000-00001C270000}"/>
    <cellStyle name="RowTitles1-Detail 3 2 2 10 2" xfId="9994" xr:uid="{00000000-0005-0000-0000-00001D270000}"/>
    <cellStyle name="RowTitles1-Detail 3 2 2 10 2 2" xfId="9995" xr:uid="{00000000-0005-0000-0000-00001E270000}"/>
    <cellStyle name="RowTitles1-Detail 3 2 2 10 2_Tertiary Salaries Survey" xfId="9996" xr:uid="{00000000-0005-0000-0000-00001F270000}"/>
    <cellStyle name="RowTitles1-Detail 3 2 2 10 3" xfId="9997" xr:uid="{00000000-0005-0000-0000-000020270000}"/>
    <cellStyle name="RowTitles1-Detail 3 2 2 10_Tertiary Salaries Survey" xfId="9998" xr:uid="{00000000-0005-0000-0000-000021270000}"/>
    <cellStyle name="RowTitles1-Detail 3 2 2 11" xfId="9999" xr:uid="{00000000-0005-0000-0000-000022270000}"/>
    <cellStyle name="RowTitles1-Detail 3 2 2 12" xfId="10000" xr:uid="{00000000-0005-0000-0000-000023270000}"/>
    <cellStyle name="RowTitles1-Detail 3 2 2 2" xfId="10001" xr:uid="{00000000-0005-0000-0000-000024270000}"/>
    <cellStyle name="RowTitles1-Detail 3 2 2 2 2" xfId="10002" xr:uid="{00000000-0005-0000-0000-000025270000}"/>
    <cellStyle name="RowTitles1-Detail 3 2 2 2 2 2" xfId="10003" xr:uid="{00000000-0005-0000-0000-000026270000}"/>
    <cellStyle name="RowTitles1-Detail 3 2 2 2 2 2 2" xfId="10004" xr:uid="{00000000-0005-0000-0000-000027270000}"/>
    <cellStyle name="RowTitles1-Detail 3 2 2 2 2 2 2 2" xfId="10005" xr:uid="{00000000-0005-0000-0000-000028270000}"/>
    <cellStyle name="RowTitles1-Detail 3 2 2 2 2 2 2_Tertiary Salaries Survey" xfId="10006" xr:uid="{00000000-0005-0000-0000-000029270000}"/>
    <cellStyle name="RowTitles1-Detail 3 2 2 2 2 2 3" xfId="10007" xr:uid="{00000000-0005-0000-0000-00002A270000}"/>
    <cellStyle name="RowTitles1-Detail 3 2 2 2 2 2_Tertiary Salaries Survey" xfId="10008" xr:uid="{00000000-0005-0000-0000-00002B270000}"/>
    <cellStyle name="RowTitles1-Detail 3 2 2 2 2 3" xfId="10009" xr:uid="{00000000-0005-0000-0000-00002C270000}"/>
    <cellStyle name="RowTitles1-Detail 3 2 2 2 2 3 2" xfId="10010" xr:uid="{00000000-0005-0000-0000-00002D270000}"/>
    <cellStyle name="RowTitles1-Detail 3 2 2 2 2 3 2 2" xfId="10011" xr:uid="{00000000-0005-0000-0000-00002E270000}"/>
    <cellStyle name="RowTitles1-Detail 3 2 2 2 2 3 2_Tertiary Salaries Survey" xfId="10012" xr:uid="{00000000-0005-0000-0000-00002F270000}"/>
    <cellStyle name="RowTitles1-Detail 3 2 2 2 2 3 3" xfId="10013" xr:uid="{00000000-0005-0000-0000-000030270000}"/>
    <cellStyle name="RowTitles1-Detail 3 2 2 2 2 3_Tertiary Salaries Survey" xfId="10014" xr:uid="{00000000-0005-0000-0000-000031270000}"/>
    <cellStyle name="RowTitles1-Detail 3 2 2 2 2 4" xfId="10015" xr:uid="{00000000-0005-0000-0000-000032270000}"/>
    <cellStyle name="RowTitles1-Detail 3 2 2 2 2 5" xfId="10016" xr:uid="{00000000-0005-0000-0000-000033270000}"/>
    <cellStyle name="RowTitles1-Detail 3 2 2 2 2_Tertiary Salaries Survey" xfId="10017" xr:uid="{00000000-0005-0000-0000-000034270000}"/>
    <cellStyle name="RowTitles1-Detail 3 2 2 2 3" xfId="10018" xr:uid="{00000000-0005-0000-0000-000035270000}"/>
    <cellStyle name="RowTitles1-Detail 3 2 2 2 3 2" xfId="10019" xr:uid="{00000000-0005-0000-0000-000036270000}"/>
    <cellStyle name="RowTitles1-Detail 3 2 2 2 3 2 2" xfId="10020" xr:uid="{00000000-0005-0000-0000-000037270000}"/>
    <cellStyle name="RowTitles1-Detail 3 2 2 2 3 2 2 2" xfId="10021" xr:uid="{00000000-0005-0000-0000-000038270000}"/>
    <cellStyle name="RowTitles1-Detail 3 2 2 2 3 2 2_Tertiary Salaries Survey" xfId="10022" xr:uid="{00000000-0005-0000-0000-000039270000}"/>
    <cellStyle name="RowTitles1-Detail 3 2 2 2 3 2 3" xfId="10023" xr:uid="{00000000-0005-0000-0000-00003A270000}"/>
    <cellStyle name="RowTitles1-Detail 3 2 2 2 3 2_Tertiary Salaries Survey" xfId="10024" xr:uid="{00000000-0005-0000-0000-00003B270000}"/>
    <cellStyle name="RowTitles1-Detail 3 2 2 2 3 3" xfId="10025" xr:uid="{00000000-0005-0000-0000-00003C270000}"/>
    <cellStyle name="RowTitles1-Detail 3 2 2 2 3 3 2" xfId="10026" xr:uid="{00000000-0005-0000-0000-00003D270000}"/>
    <cellStyle name="RowTitles1-Detail 3 2 2 2 3 3 2 2" xfId="10027" xr:uid="{00000000-0005-0000-0000-00003E270000}"/>
    <cellStyle name="RowTitles1-Detail 3 2 2 2 3 3 2_Tertiary Salaries Survey" xfId="10028" xr:uid="{00000000-0005-0000-0000-00003F270000}"/>
    <cellStyle name="RowTitles1-Detail 3 2 2 2 3 3 3" xfId="10029" xr:uid="{00000000-0005-0000-0000-000040270000}"/>
    <cellStyle name="RowTitles1-Detail 3 2 2 2 3 3_Tertiary Salaries Survey" xfId="10030" xr:uid="{00000000-0005-0000-0000-000041270000}"/>
    <cellStyle name="RowTitles1-Detail 3 2 2 2 3 4" xfId="10031" xr:uid="{00000000-0005-0000-0000-000042270000}"/>
    <cellStyle name="RowTitles1-Detail 3 2 2 2 3 5" xfId="10032" xr:uid="{00000000-0005-0000-0000-000043270000}"/>
    <cellStyle name="RowTitles1-Detail 3 2 2 2 3 5 2" xfId="10033" xr:uid="{00000000-0005-0000-0000-000044270000}"/>
    <cellStyle name="RowTitles1-Detail 3 2 2 2 3 5_Tertiary Salaries Survey" xfId="10034" xr:uid="{00000000-0005-0000-0000-000045270000}"/>
    <cellStyle name="RowTitles1-Detail 3 2 2 2 3 6" xfId="10035" xr:uid="{00000000-0005-0000-0000-000046270000}"/>
    <cellStyle name="RowTitles1-Detail 3 2 2 2 3_Tertiary Salaries Survey" xfId="10036" xr:uid="{00000000-0005-0000-0000-000047270000}"/>
    <cellStyle name="RowTitles1-Detail 3 2 2 2 4" xfId="10037" xr:uid="{00000000-0005-0000-0000-000048270000}"/>
    <cellStyle name="RowTitles1-Detail 3 2 2 2 4 2" xfId="10038" xr:uid="{00000000-0005-0000-0000-000049270000}"/>
    <cellStyle name="RowTitles1-Detail 3 2 2 2 4 2 2" xfId="10039" xr:uid="{00000000-0005-0000-0000-00004A270000}"/>
    <cellStyle name="RowTitles1-Detail 3 2 2 2 4 2 2 2" xfId="10040" xr:uid="{00000000-0005-0000-0000-00004B270000}"/>
    <cellStyle name="RowTitles1-Detail 3 2 2 2 4 2 2_Tertiary Salaries Survey" xfId="10041" xr:uid="{00000000-0005-0000-0000-00004C270000}"/>
    <cellStyle name="RowTitles1-Detail 3 2 2 2 4 2 3" xfId="10042" xr:uid="{00000000-0005-0000-0000-00004D270000}"/>
    <cellStyle name="RowTitles1-Detail 3 2 2 2 4 2_Tertiary Salaries Survey" xfId="10043" xr:uid="{00000000-0005-0000-0000-00004E270000}"/>
    <cellStyle name="RowTitles1-Detail 3 2 2 2 4 3" xfId="10044" xr:uid="{00000000-0005-0000-0000-00004F270000}"/>
    <cellStyle name="RowTitles1-Detail 3 2 2 2 4 3 2" xfId="10045" xr:uid="{00000000-0005-0000-0000-000050270000}"/>
    <cellStyle name="RowTitles1-Detail 3 2 2 2 4 3 2 2" xfId="10046" xr:uid="{00000000-0005-0000-0000-000051270000}"/>
    <cellStyle name="RowTitles1-Detail 3 2 2 2 4 3 2_Tertiary Salaries Survey" xfId="10047" xr:uid="{00000000-0005-0000-0000-000052270000}"/>
    <cellStyle name="RowTitles1-Detail 3 2 2 2 4 3 3" xfId="10048" xr:uid="{00000000-0005-0000-0000-000053270000}"/>
    <cellStyle name="RowTitles1-Detail 3 2 2 2 4 3_Tertiary Salaries Survey" xfId="10049" xr:uid="{00000000-0005-0000-0000-000054270000}"/>
    <cellStyle name="RowTitles1-Detail 3 2 2 2 4 4" xfId="10050" xr:uid="{00000000-0005-0000-0000-000055270000}"/>
    <cellStyle name="RowTitles1-Detail 3 2 2 2 4 4 2" xfId="10051" xr:uid="{00000000-0005-0000-0000-000056270000}"/>
    <cellStyle name="RowTitles1-Detail 3 2 2 2 4 4_Tertiary Salaries Survey" xfId="10052" xr:uid="{00000000-0005-0000-0000-000057270000}"/>
    <cellStyle name="RowTitles1-Detail 3 2 2 2 4 5" xfId="10053" xr:uid="{00000000-0005-0000-0000-000058270000}"/>
    <cellStyle name="RowTitles1-Detail 3 2 2 2 4_Tertiary Salaries Survey" xfId="10054" xr:uid="{00000000-0005-0000-0000-000059270000}"/>
    <cellStyle name="RowTitles1-Detail 3 2 2 2 5" xfId="10055" xr:uid="{00000000-0005-0000-0000-00005A270000}"/>
    <cellStyle name="RowTitles1-Detail 3 2 2 2 5 2" xfId="10056" xr:uid="{00000000-0005-0000-0000-00005B270000}"/>
    <cellStyle name="RowTitles1-Detail 3 2 2 2 5 2 2" xfId="10057" xr:uid="{00000000-0005-0000-0000-00005C270000}"/>
    <cellStyle name="RowTitles1-Detail 3 2 2 2 5 2 2 2" xfId="10058" xr:uid="{00000000-0005-0000-0000-00005D270000}"/>
    <cellStyle name="RowTitles1-Detail 3 2 2 2 5 2 2_Tertiary Salaries Survey" xfId="10059" xr:uid="{00000000-0005-0000-0000-00005E270000}"/>
    <cellStyle name="RowTitles1-Detail 3 2 2 2 5 2 3" xfId="10060" xr:uid="{00000000-0005-0000-0000-00005F270000}"/>
    <cellStyle name="RowTitles1-Detail 3 2 2 2 5 2_Tertiary Salaries Survey" xfId="10061" xr:uid="{00000000-0005-0000-0000-000060270000}"/>
    <cellStyle name="RowTitles1-Detail 3 2 2 2 5 3" xfId="10062" xr:uid="{00000000-0005-0000-0000-000061270000}"/>
    <cellStyle name="RowTitles1-Detail 3 2 2 2 5 3 2" xfId="10063" xr:uid="{00000000-0005-0000-0000-000062270000}"/>
    <cellStyle name="RowTitles1-Detail 3 2 2 2 5 3 2 2" xfId="10064" xr:uid="{00000000-0005-0000-0000-000063270000}"/>
    <cellStyle name="RowTitles1-Detail 3 2 2 2 5 3 2_Tertiary Salaries Survey" xfId="10065" xr:uid="{00000000-0005-0000-0000-000064270000}"/>
    <cellStyle name="RowTitles1-Detail 3 2 2 2 5 3 3" xfId="10066" xr:uid="{00000000-0005-0000-0000-000065270000}"/>
    <cellStyle name="RowTitles1-Detail 3 2 2 2 5 3_Tertiary Salaries Survey" xfId="10067" xr:uid="{00000000-0005-0000-0000-000066270000}"/>
    <cellStyle name="RowTitles1-Detail 3 2 2 2 5 4" xfId="10068" xr:uid="{00000000-0005-0000-0000-000067270000}"/>
    <cellStyle name="RowTitles1-Detail 3 2 2 2 5 4 2" xfId="10069" xr:uid="{00000000-0005-0000-0000-000068270000}"/>
    <cellStyle name="RowTitles1-Detail 3 2 2 2 5 4_Tertiary Salaries Survey" xfId="10070" xr:uid="{00000000-0005-0000-0000-000069270000}"/>
    <cellStyle name="RowTitles1-Detail 3 2 2 2 5 5" xfId="10071" xr:uid="{00000000-0005-0000-0000-00006A270000}"/>
    <cellStyle name="RowTitles1-Detail 3 2 2 2 5_Tertiary Salaries Survey" xfId="10072" xr:uid="{00000000-0005-0000-0000-00006B270000}"/>
    <cellStyle name="RowTitles1-Detail 3 2 2 2 6" xfId="10073" xr:uid="{00000000-0005-0000-0000-00006C270000}"/>
    <cellStyle name="RowTitles1-Detail 3 2 2 2 6 2" xfId="10074" xr:uid="{00000000-0005-0000-0000-00006D270000}"/>
    <cellStyle name="RowTitles1-Detail 3 2 2 2 6 2 2" xfId="10075" xr:uid="{00000000-0005-0000-0000-00006E270000}"/>
    <cellStyle name="RowTitles1-Detail 3 2 2 2 6 2 2 2" xfId="10076" xr:uid="{00000000-0005-0000-0000-00006F270000}"/>
    <cellStyle name="RowTitles1-Detail 3 2 2 2 6 2 2_Tertiary Salaries Survey" xfId="10077" xr:uid="{00000000-0005-0000-0000-000070270000}"/>
    <cellStyle name="RowTitles1-Detail 3 2 2 2 6 2 3" xfId="10078" xr:uid="{00000000-0005-0000-0000-000071270000}"/>
    <cellStyle name="RowTitles1-Detail 3 2 2 2 6 2_Tertiary Salaries Survey" xfId="10079" xr:uid="{00000000-0005-0000-0000-000072270000}"/>
    <cellStyle name="RowTitles1-Detail 3 2 2 2 6 3" xfId="10080" xr:uid="{00000000-0005-0000-0000-000073270000}"/>
    <cellStyle name="RowTitles1-Detail 3 2 2 2 6 3 2" xfId="10081" xr:uid="{00000000-0005-0000-0000-000074270000}"/>
    <cellStyle name="RowTitles1-Detail 3 2 2 2 6 3 2 2" xfId="10082" xr:uid="{00000000-0005-0000-0000-000075270000}"/>
    <cellStyle name="RowTitles1-Detail 3 2 2 2 6 3 2_Tertiary Salaries Survey" xfId="10083" xr:uid="{00000000-0005-0000-0000-000076270000}"/>
    <cellStyle name="RowTitles1-Detail 3 2 2 2 6 3 3" xfId="10084" xr:uid="{00000000-0005-0000-0000-000077270000}"/>
    <cellStyle name="RowTitles1-Detail 3 2 2 2 6 3_Tertiary Salaries Survey" xfId="10085" xr:uid="{00000000-0005-0000-0000-000078270000}"/>
    <cellStyle name="RowTitles1-Detail 3 2 2 2 6 4" xfId="10086" xr:uid="{00000000-0005-0000-0000-000079270000}"/>
    <cellStyle name="RowTitles1-Detail 3 2 2 2 6 4 2" xfId="10087" xr:uid="{00000000-0005-0000-0000-00007A270000}"/>
    <cellStyle name="RowTitles1-Detail 3 2 2 2 6 4_Tertiary Salaries Survey" xfId="10088" xr:uid="{00000000-0005-0000-0000-00007B270000}"/>
    <cellStyle name="RowTitles1-Detail 3 2 2 2 6 5" xfId="10089" xr:uid="{00000000-0005-0000-0000-00007C270000}"/>
    <cellStyle name="RowTitles1-Detail 3 2 2 2 6_Tertiary Salaries Survey" xfId="10090" xr:uid="{00000000-0005-0000-0000-00007D270000}"/>
    <cellStyle name="RowTitles1-Detail 3 2 2 2 7" xfId="10091" xr:uid="{00000000-0005-0000-0000-00007E270000}"/>
    <cellStyle name="RowTitles1-Detail 3 2 2 2 7 2" xfId="10092" xr:uid="{00000000-0005-0000-0000-00007F270000}"/>
    <cellStyle name="RowTitles1-Detail 3 2 2 2 7 2 2" xfId="10093" xr:uid="{00000000-0005-0000-0000-000080270000}"/>
    <cellStyle name="RowTitles1-Detail 3 2 2 2 7 2_Tertiary Salaries Survey" xfId="10094" xr:uid="{00000000-0005-0000-0000-000081270000}"/>
    <cellStyle name="RowTitles1-Detail 3 2 2 2 7 3" xfId="10095" xr:uid="{00000000-0005-0000-0000-000082270000}"/>
    <cellStyle name="RowTitles1-Detail 3 2 2 2 7_Tertiary Salaries Survey" xfId="10096" xr:uid="{00000000-0005-0000-0000-000083270000}"/>
    <cellStyle name="RowTitles1-Detail 3 2 2 2 8" xfId="10097" xr:uid="{00000000-0005-0000-0000-000084270000}"/>
    <cellStyle name="RowTitles1-Detail 3 2 2 2 9" xfId="10098" xr:uid="{00000000-0005-0000-0000-000085270000}"/>
    <cellStyle name="RowTitles1-Detail 3 2 2 2_STUD aligned by INSTIT" xfId="10099" xr:uid="{00000000-0005-0000-0000-000086270000}"/>
    <cellStyle name="RowTitles1-Detail 3 2 2 3" xfId="10100" xr:uid="{00000000-0005-0000-0000-000087270000}"/>
    <cellStyle name="RowTitles1-Detail 3 2 2 3 2" xfId="10101" xr:uid="{00000000-0005-0000-0000-000088270000}"/>
    <cellStyle name="RowTitles1-Detail 3 2 2 3 2 2" xfId="10102" xr:uid="{00000000-0005-0000-0000-000089270000}"/>
    <cellStyle name="RowTitles1-Detail 3 2 2 3 2 2 2" xfId="10103" xr:uid="{00000000-0005-0000-0000-00008A270000}"/>
    <cellStyle name="RowTitles1-Detail 3 2 2 3 2 2 2 2" xfId="10104" xr:uid="{00000000-0005-0000-0000-00008B270000}"/>
    <cellStyle name="RowTitles1-Detail 3 2 2 3 2 2 2_Tertiary Salaries Survey" xfId="10105" xr:uid="{00000000-0005-0000-0000-00008C270000}"/>
    <cellStyle name="RowTitles1-Detail 3 2 2 3 2 2 3" xfId="10106" xr:uid="{00000000-0005-0000-0000-00008D270000}"/>
    <cellStyle name="RowTitles1-Detail 3 2 2 3 2 2_Tertiary Salaries Survey" xfId="10107" xr:uid="{00000000-0005-0000-0000-00008E270000}"/>
    <cellStyle name="RowTitles1-Detail 3 2 2 3 2 3" xfId="10108" xr:uid="{00000000-0005-0000-0000-00008F270000}"/>
    <cellStyle name="RowTitles1-Detail 3 2 2 3 2 3 2" xfId="10109" xr:uid="{00000000-0005-0000-0000-000090270000}"/>
    <cellStyle name="RowTitles1-Detail 3 2 2 3 2 3 2 2" xfId="10110" xr:uid="{00000000-0005-0000-0000-000091270000}"/>
    <cellStyle name="RowTitles1-Detail 3 2 2 3 2 3 2_Tertiary Salaries Survey" xfId="10111" xr:uid="{00000000-0005-0000-0000-000092270000}"/>
    <cellStyle name="RowTitles1-Detail 3 2 2 3 2 3 3" xfId="10112" xr:uid="{00000000-0005-0000-0000-000093270000}"/>
    <cellStyle name="RowTitles1-Detail 3 2 2 3 2 3_Tertiary Salaries Survey" xfId="10113" xr:uid="{00000000-0005-0000-0000-000094270000}"/>
    <cellStyle name="RowTitles1-Detail 3 2 2 3 2 4" xfId="10114" xr:uid="{00000000-0005-0000-0000-000095270000}"/>
    <cellStyle name="RowTitles1-Detail 3 2 2 3 2 5" xfId="10115" xr:uid="{00000000-0005-0000-0000-000096270000}"/>
    <cellStyle name="RowTitles1-Detail 3 2 2 3 2 5 2" xfId="10116" xr:uid="{00000000-0005-0000-0000-000097270000}"/>
    <cellStyle name="RowTitles1-Detail 3 2 2 3 2 5_Tertiary Salaries Survey" xfId="10117" xr:uid="{00000000-0005-0000-0000-000098270000}"/>
    <cellStyle name="RowTitles1-Detail 3 2 2 3 2 6" xfId="10118" xr:uid="{00000000-0005-0000-0000-000099270000}"/>
    <cellStyle name="RowTitles1-Detail 3 2 2 3 2_Tertiary Salaries Survey" xfId="10119" xr:uid="{00000000-0005-0000-0000-00009A270000}"/>
    <cellStyle name="RowTitles1-Detail 3 2 2 3 3" xfId="10120" xr:uid="{00000000-0005-0000-0000-00009B270000}"/>
    <cellStyle name="RowTitles1-Detail 3 2 2 3 3 2" xfId="10121" xr:uid="{00000000-0005-0000-0000-00009C270000}"/>
    <cellStyle name="RowTitles1-Detail 3 2 2 3 3 2 2" xfId="10122" xr:uid="{00000000-0005-0000-0000-00009D270000}"/>
    <cellStyle name="RowTitles1-Detail 3 2 2 3 3 2 2 2" xfId="10123" xr:uid="{00000000-0005-0000-0000-00009E270000}"/>
    <cellStyle name="RowTitles1-Detail 3 2 2 3 3 2 2_Tertiary Salaries Survey" xfId="10124" xr:uid="{00000000-0005-0000-0000-00009F270000}"/>
    <cellStyle name="RowTitles1-Detail 3 2 2 3 3 2 3" xfId="10125" xr:uid="{00000000-0005-0000-0000-0000A0270000}"/>
    <cellStyle name="RowTitles1-Detail 3 2 2 3 3 2_Tertiary Salaries Survey" xfId="10126" xr:uid="{00000000-0005-0000-0000-0000A1270000}"/>
    <cellStyle name="RowTitles1-Detail 3 2 2 3 3 3" xfId="10127" xr:uid="{00000000-0005-0000-0000-0000A2270000}"/>
    <cellStyle name="RowTitles1-Detail 3 2 2 3 3 3 2" xfId="10128" xr:uid="{00000000-0005-0000-0000-0000A3270000}"/>
    <cellStyle name="RowTitles1-Detail 3 2 2 3 3 3 2 2" xfId="10129" xr:uid="{00000000-0005-0000-0000-0000A4270000}"/>
    <cellStyle name="RowTitles1-Detail 3 2 2 3 3 3 2_Tertiary Salaries Survey" xfId="10130" xr:uid="{00000000-0005-0000-0000-0000A5270000}"/>
    <cellStyle name="RowTitles1-Detail 3 2 2 3 3 3 3" xfId="10131" xr:uid="{00000000-0005-0000-0000-0000A6270000}"/>
    <cellStyle name="RowTitles1-Detail 3 2 2 3 3 3_Tertiary Salaries Survey" xfId="10132" xr:uid="{00000000-0005-0000-0000-0000A7270000}"/>
    <cellStyle name="RowTitles1-Detail 3 2 2 3 3 4" xfId="10133" xr:uid="{00000000-0005-0000-0000-0000A8270000}"/>
    <cellStyle name="RowTitles1-Detail 3 2 2 3 3 5" xfId="10134" xr:uid="{00000000-0005-0000-0000-0000A9270000}"/>
    <cellStyle name="RowTitles1-Detail 3 2 2 3 3_Tertiary Salaries Survey" xfId="10135" xr:uid="{00000000-0005-0000-0000-0000AA270000}"/>
    <cellStyle name="RowTitles1-Detail 3 2 2 3 4" xfId="10136" xr:uid="{00000000-0005-0000-0000-0000AB270000}"/>
    <cellStyle name="RowTitles1-Detail 3 2 2 3 4 2" xfId="10137" xr:uid="{00000000-0005-0000-0000-0000AC270000}"/>
    <cellStyle name="RowTitles1-Detail 3 2 2 3 4 2 2" xfId="10138" xr:uid="{00000000-0005-0000-0000-0000AD270000}"/>
    <cellStyle name="RowTitles1-Detail 3 2 2 3 4 2 2 2" xfId="10139" xr:uid="{00000000-0005-0000-0000-0000AE270000}"/>
    <cellStyle name="RowTitles1-Detail 3 2 2 3 4 2 2_Tertiary Salaries Survey" xfId="10140" xr:uid="{00000000-0005-0000-0000-0000AF270000}"/>
    <cellStyle name="RowTitles1-Detail 3 2 2 3 4 2 3" xfId="10141" xr:uid="{00000000-0005-0000-0000-0000B0270000}"/>
    <cellStyle name="RowTitles1-Detail 3 2 2 3 4 2_Tertiary Salaries Survey" xfId="10142" xr:uid="{00000000-0005-0000-0000-0000B1270000}"/>
    <cellStyle name="RowTitles1-Detail 3 2 2 3 4 3" xfId="10143" xr:uid="{00000000-0005-0000-0000-0000B2270000}"/>
    <cellStyle name="RowTitles1-Detail 3 2 2 3 4 3 2" xfId="10144" xr:uid="{00000000-0005-0000-0000-0000B3270000}"/>
    <cellStyle name="RowTitles1-Detail 3 2 2 3 4 3 2 2" xfId="10145" xr:uid="{00000000-0005-0000-0000-0000B4270000}"/>
    <cellStyle name="RowTitles1-Detail 3 2 2 3 4 3 2_Tertiary Salaries Survey" xfId="10146" xr:uid="{00000000-0005-0000-0000-0000B5270000}"/>
    <cellStyle name="RowTitles1-Detail 3 2 2 3 4 3 3" xfId="10147" xr:uid="{00000000-0005-0000-0000-0000B6270000}"/>
    <cellStyle name="RowTitles1-Detail 3 2 2 3 4 3_Tertiary Salaries Survey" xfId="10148" xr:uid="{00000000-0005-0000-0000-0000B7270000}"/>
    <cellStyle name="RowTitles1-Detail 3 2 2 3 4 4" xfId="10149" xr:uid="{00000000-0005-0000-0000-0000B8270000}"/>
    <cellStyle name="RowTitles1-Detail 3 2 2 3 4 4 2" xfId="10150" xr:uid="{00000000-0005-0000-0000-0000B9270000}"/>
    <cellStyle name="RowTitles1-Detail 3 2 2 3 4 4_Tertiary Salaries Survey" xfId="10151" xr:uid="{00000000-0005-0000-0000-0000BA270000}"/>
    <cellStyle name="RowTitles1-Detail 3 2 2 3 4 5" xfId="10152" xr:uid="{00000000-0005-0000-0000-0000BB270000}"/>
    <cellStyle name="RowTitles1-Detail 3 2 2 3 4_Tertiary Salaries Survey" xfId="10153" xr:uid="{00000000-0005-0000-0000-0000BC270000}"/>
    <cellStyle name="RowTitles1-Detail 3 2 2 3 5" xfId="10154" xr:uid="{00000000-0005-0000-0000-0000BD270000}"/>
    <cellStyle name="RowTitles1-Detail 3 2 2 3 5 2" xfId="10155" xr:uid="{00000000-0005-0000-0000-0000BE270000}"/>
    <cellStyle name="RowTitles1-Detail 3 2 2 3 5 2 2" xfId="10156" xr:uid="{00000000-0005-0000-0000-0000BF270000}"/>
    <cellStyle name="RowTitles1-Detail 3 2 2 3 5 2 2 2" xfId="10157" xr:uid="{00000000-0005-0000-0000-0000C0270000}"/>
    <cellStyle name="RowTitles1-Detail 3 2 2 3 5 2 2_Tertiary Salaries Survey" xfId="10158" xr:uid="{00000000-0005-0000-0000-0000C1270000}"/>
    <cellStyle name="RowTitles1-Detail 3 2 2 3 5 2 3" xfId="10159" xr:uid="{00000000-0005-0000-0000-0000C2270000}"/>
    <cellStyle name="RowTitles1-Detail 3 2 2 3 5 2_Tertiary Salaries Survey" xfId="10160" xr:uid="{00000000-0005-0000-0000-0000C3270000}"/>
    <cellStyle name="RowTitles1-Detail 3 2 2 3 5 3" xfId="10161" xr:uid="{00000000-0005-0000-0000-0000C4270000}"/>
    <cellStyle name="RowTitles1-Detail 3 2 2 3 5 3 2" xfId="10162" xr:uid="{00000000-0005-0000-0000-0000C5270000}"/>
    <cellStyle name="RowTitles1-Detail 3 2 2 3 5 3 2 2" xfId="10163" xr:uid="{00000000-0005-0000-0000-0000C6270000}"/>
    <cellStyle name="RowTitles1-Detail 3 2 2 3 5 3 2_Tertiary Salaries Survey" xfId="10164" xr:uid="{00000000-0005-0000-0000-0000C7270000}"/>
    <cellStyle name="RowTitles1-Detail 3 2 2 3 5 3 3" xfId="10165" xr:uid="{00000000-0005-0000-0000-0000C8270000}"/>
    <cellStyle name="RowTitles1-Detail 3 2 2 3 5 3_Tertiary Salaries Survey" xfId="10166" xr:uid="{00000000-0005-0000-0000-0000C9270000}"/>
    <cellStyle name="RowTitles1-Detail 3 2 2 3 5 4" xfId="10167" xr:uid="{00000000-0005-0000-0000-0000CA270000}"/>
    <cellStyle name="RowTitles1-Detail 3 2 2 3 5 4 2" xfId="10168" xr:uid="{00000000-0005-0000-0000-0000CB270000}"/>
    <cellStyle name="RowTitles1-Detail 3 2 2 3 5 4_Tertiary Salaries Survey" xfId="10169" xr:uid="{00000000-0005-0000-0000-0000CC270000}"/>
    <cellStyle name="RowTitles1-Detail 3 2 2 3 5 5" xfId="10170" xr:uid="{00000000-0005-0000-0000-0000CD270000}"/>
    <cellStyle name="RowTitles1-Detail 3 2 2 3 5_Tertiary Salaries Survey" xfId="10171" xr:uid="{00000000-0005-0000-0000-0000CE270000}"/>
    <cellStyle name="RowTitles1-Detail 3 2 2 3 6" xfId="10172" xr:uid="{00000000-0005-0000-0000-0000CF270000}"/>
    <cellStyle name="RowTitles1-Detail 3 2 2 3 6 2" xfId="10173" xr:uid="{00000000-0005-0000-0000-0000D0270000}"/>
    <cellStyle name="RowTitles1-Detail 3 2 2 3 6 2 2" xfId="10174" xr:uid="{00000000-0005-0000-0000-0000D1270000}"/>
    <cellStyle name="RowTitles1-Detail 3 2 2 3 6 2 2 2" xfId="10175" xr:uid="{00000000-0005-0000-0000-0000D2270000}"/>
    <cellStyle name="RowTitles1-Detail 3 2 2 3 6 2 2_Tertiary Salaries Survey" xfId="10176" xr:uid="{00000000-0005-0000-0000-0000D3270000}"/>
    <cellStyle name="RowTitles1-Detail 3 2 2 3 6 2 3" xfId="10177" xr:uid="{00000000-0005-0000-0000-0000D4270000}"/>
    <cellStyle name="RowTitles1-Detail 3 2 2 3 6 2_Tertiary Salaries Survey" xfId="10178" xr:uid="{00000000-0005-0000-0000-0000D5270000}"/>
    <cellStyle name="RowTitles1-Detail 3 2 2 3 6 3" xfId="10179" xr:uid="{00000000-0005-0000-0000-0000D6270000}"/>
    <cellStyle name="RowTitles1-Detail 3 2 2 3 6 3 2" xfId="10180" xr:uid="{00000000-0005-0000-0000-0000D7270000}"/>
    <cellStyle name="RowTitles1-Detail 3 2 2 3 6 3 2 2" xfId="10181" xr:uid="{00000000-0005-0000-0000-0000D8270000}"/>
    <cellStyle name="RowTitles1-Detail 3 2 2 3 6 3 2_Tertiary Salaries Survey" xfId="10182" xr:uid="{00000000-0005-0000-0000-0000D9270000}"/>
    <cellStyle name="RowTitles1-Detail 3 2 2 3 6 3 3" xfId="10183" xr:uid="{00000000-0005-0000-0000-0000DA270000}"/>
    <cellStyle name="RowTitles1-Detail 3 2 2 3 6 3_Tertiary Salaries Survey" xfId="10184" xr:uid="{00000000-0005-0000-0000-0000DB270000}"/>
    <cellStyle name="RowTitles1-Detail 3 2 2 3 6 4" xfId="10185" xr:uid="{00000000-0005-0000-0000-0000DC270000}"/>
    <cellStyle name="RowTitles1-Detail 3 2 2 3 6 4 2" xfId="10186" xr:uid="{00000000-0005-0000-0000-0000DD270000}"/>
    <cellStyle name="RowTitles1-Detail 3 2 2 3 6 4_Tertiary Salaries Survey" xfId="10187" xr:uid="{00000000-0005-0000-0000-0000DE270000}"/>
    <cellStyle name="RowTitles1-Detail 3 2 2 3 6 5" xfId="10188" xr:uid="{00000000-0005-0000-0000-0000DF270000}"/>
    <cellStyle name="RowTitles1-Detail 3 2 2 3 6_Tertiary Salaries Survey" xfId="10189" xr:uid="{00000000-0005-0000-0000-0000E0270000}"/>
    <cellStyle name="RowTitles1-Detail 3 2 2 3 7" xfId="10190" xr:uid="{00000000-0005-0000-0000-0000E1270000}"/>
    <cellStyle name="RowTitles1-Detail 3 2 2 3 7 2" xfId="10191" xr:uid="{00000000-0005-0000-0000-0000E2270000}"/>
    <cellStyle name="RowTitles1-Detail 3 2 2 3 7 2 2" xfId="10192" xr:uid="{00000000-0005-0000-0000-0000E3270000}"/>
    <cellStyle name="RowTitles1-Detail 3 2 2 3 7 2_Tertiary Salaries Survey" xfId="10193" xr:uid="{00000000-0005-0000-0000-0000E4270000}"/>
    <cellStyle name="RowTitles1-Detail 3 2 2 3 7 3" xfId="10194" xr:uid="{00000000-0005-0000-0000-0000E5270000}"/>
    <cellStyle name="RowTitles1-Detail 3 2 2 3 7_Tertiary Salaries Survey" xfId="10195" xr:uid="{00000000-0005-0000-0000-0000E6270000}"/>
    <cellStyle name="RowTitles1-Detail 3 2 2 3 8" xfId="10196" xr:uid="{00000000-0005-0000-0000-0000E7270000}"/>
    <cellStyle name="RowTitles1-Detail 3 2 2 3 8 2" xfId="10197" xr:uid="{00000000-0005-0000-0000-0000E8270000}"/>
    <cellStyle name="RowTitles1-Detail 3 2 2 3 8 2 2" xfId="10198" xr:uid="{00000000-0005-0000-0000-0000E9270000}"/>
    <cellStyle name="RowTitles1-Detail 3 2 2 3 8 2_Tertiary Salaries Survey" xfId="10199" xr:uid="{00000000-0005-0000-0000-0000EA270000}"/>
    <cellStyle name="RowTitles1-Detail 3 2 2 3 8 3" xfId="10200" xr:uid="{00000000-0005-0000-0000-0000EB270000}"/>
    <cellStyle name="RowTitles1-Detail 3 2 2 3 8_Tertiary Salaries Survey" xfId="10201" xr:uid="{00000000-0005-0000-0000-0000EC270000}"/>
    <cellStyle name="RowTitles1-Detail 3 2 2 3 9" xfId="10202" xr:uid="{00000000-0005-0000-0000-0000ED270000}"/>
    <cellStyle name="RowTitles1-Detail 3 2 2 3_STUD aligned by INSTIT" xfId="10203" xr:uid="{00000000-0005-0000-0000-0000EE270000}"/>
    <cellStyle name="RowTitles1-Detail 3 2 2 4" xfId="10204" xr:uid="{00000000-0005-0000-0000-0000EF270000}"/>
    <cellStyle name="RowTitles1-Detail 3 2 2 4 2" xfId="10205" xr:uid="{00000000-0005-0000-0000-0000F0270000}"/>
    <cellStyle name="RowTitles1-Detail 3 2 2 4 2 2" xfId="10206" xr:uid="{00000000-0005-0000-0000-0000F1270000}"/>
    <cellStyle name="RowTitles1-Detail 3 2 2 4 2 2 2" xfId="10207" xr:uid="{00000000-0005-0000-0000-0000F2270000}"/>
    <cellStyle name="RowTitles1-Detail 3 2 2 4 2 2 2 2" xfId="10208" xr:uid="{00000000-0005-0000-0000-0000F3270000}"/>
    <cellStyle name="RowTitles1-Detail 3 2 2 4 2 2 2_Tertiary Salaries Survey" xfId="10209" xr:uid="{00000000-0005-0000-0000-0000F4270000}"/>
    <cellStyle name="RowTitles1-Detail 3 2 2 4 2 2 3" xfId="10210" xr:uid="{00000000-0005-0000-0000-0000F5270000}"/>
    <cellStyle name="RowTitles1-Detail 3 2 2 4 2 2_Tertiary Salaries Survey" xfId="10211" xr:uid="{00000000-0005-0000-0000-0000F6270000}"/>
    <cellStyle name="RowTitles1-Detail 3 2 2 4 2 3" xfId="10212" xr:uid="{00000000-0005-0000-0000-0000F7270000}"/>
    <cellStyle name="RowTitles1-Detail 3 2 2 4 2 3 2" xfId="10213" xr:uid="{00000000-0005-0000-0000-0000F8270000}"/>
    <cellStyle name="RowTitles1-Detail 3 2 2 4 2 3 2 2" xfId="10214" xr:uid="{00000000-0005-0000-0000-0000F9270000}"/>
    <cellStyle name="RowTitles1-Detail 3 2 2 4 2 3 2_Tertiary Salaries Survey" xfId="10215" xr:uid="{00000000-0005-0000-0000-0000FA270000}"/>
    <cellStyle name="RowTitles1-Detail 3 2 2 4 2 3 3" xfId="10216" xr:uid="{00000000-0005-0000-0000-0000FB270000}"/>
    <cellStyle name="RowTitles1-Detail 3 2 2 4 2 3_Tertiary Salaries Survey" xfId="10217" xr:uid="{00000000-0005-0000-0000-0000FC270000}"/>
    <cellStyle name="RowTitles1-Detail 3 2 2 4 2 4" xfId="10218" xr:uid="{00000000-0005-0000-0000-0000FD270000}"/>
    <cellStyle name="RowTitles1-Detail 3 2 2 4 2 5" xfId="10219" xr:uid="{00000000-0005-0000-0000-0000FE270000}"/>
    <cellStyle name="RowTitles1-Detail 3 2 2 4 2 5 2" xfId="10220" xr:uid="{00000000-0005-0000-0000-0000FF270000}"/>
    <cellStyle name="RowTitles1-Detail 3 2 2 4 2 5_Tertiary Salaries Survey" xfId="10221" xr:uid="{00000000-0005-0000-0000-000000280000}"/>
    <cellStyle name="RowTitles1-Detail 3 2 2 4 2 6" xfId="10222" xr:uid="{00000000-0005-0000-0000-000001280000}"/>
    <cellStyle name="RowTitles1-Detail 3 2 2 4 2_Tertiary Salaries Survey" xfId="10223" xr:uid="{00000000-0005-0000-0000-000002280000}"/>
    <cellStyle name="RowTitles1-Detail 3 2 2 4 3" xfId="10224" xr:uid="{00000000-0005-0000-0000-000003280000}"/>
    <cellStyle name="RowTitles1-Detail 3 2 2 4 3 2" xfId="10225" xr:uid="{00000000-0005-0000-0000-000004280000}"/>
    <cellStyle name="RowTitles1-Detail 3 2 2 4 3 2 2" xfId="10226" xr:uid="{00000000-0005-0000-0000-000005280000}"/>
    <cellStyle name="RowTitles1-Detail 3 2 2 4 3 2 2 2" xfId="10227" xr:uid="{00000000-0005-0000-0000-000006280000}"/>
    <cellStyle name="RowTitles1-Detail 3 2 2 4 3 2 2_Tertiary Salaries Survey" xfId="10228" xr:uid="{00000000-0005-0000-0000-000007280000}"/>
    <cellStyle name="RowTitles1-Detail 3 2 2 4 3 2 3" xfId="10229" xr:uid="{00000000-0005-0000-0000-000008280000}"/>
    <cellStyle name="RowTitles1-Detail 3 2 2 4 3 2_Tertiary Salaries Survey" xfId="10230" xr:uid="{00000000-0005-0000-0000-000009280000}"/>
    <cellStyle name="RowTitles1-Detail 3 2 2 4 3 3" xfId="10231" xr:uid="{00000000-0005-0000-0000-00000A280000}"/>
    <cellStyle name="RowTitles1-Detail 3 2 2 4 3 3 2" xfId="10232" xr:uid="{00000000-0005-0000-0000-00000B280000}"/>
    <cellStyle name="RowTitles1-Detail 3 2 2 4 3 3 2 2" xfId="10233" xr:uid="{00000000-0005-0000-0000-00000C280000}"/>
    <cellStyle name="RowTitles1-Detail 3 2 2 4 3 3 2_Tertiary Salaries Survey" xfId="10234" xr:uid="{00000000-0005-0000-0000-00000D280000}"/>
    <cellStyle name="RowTitles1-Detail 3 2 2 4 3 3 3" xfId="10235" xr:uid="{00000000-0005-0000-0000-00000E280000}"/>
    <cellStyle name="RowTitles1-Detail 3 2 2 4 3 3_Tertiary Salaries Survey" xfId="10236" xr:uid="{00000000-0005-0000-0000-00000F280000}"/>
    <cellStyle name="RowTitles1-Detail 3 2 2 4 3 4" xfId="10237" xr:uid="{00000000-0005-0000-0000-000010280000}"/>
    <cellStyle name="RowTitles1-Detail 3 2 2 4 3 5" xfId="10238" xr:uid="{00000000-0005-0000-0000-000011280000}"/>
    <cellStyle name="RowTitles1-Detail 3 2 2 4 3_Tertiary Salaries Survey" xfId="10239" xr:uid="{00000000-0005-0000-0000-000012280000}"/>
    <cellStyle name="RowTitles1-Detail 3 2 2 4 4" xfId="10240" xr:uid="{00000000-0005-0000-0000-000013280000}"/>
    <cellStyle name="RowTitles1-Detail 3 2 2 4 4 2" xfId="10241" xr:uid="{00000000-0005-0000-0000-000014280000}"/>
    <cellStyle name="RowTitles1-Detail 3 2 2 4 4 2 2" xfId="10242" xr:uid="{00000000-0005-0000-0000-000015280000}"/>
    <cellStyle name="RowTitles1-Detail 3 2 2 4 4 2 2 2" xfId="10243" xr:uid="{00000000-0005-0000-0000-000016280000}"/>
    <cellStyle name="RowTitles1-Detail 3 2 2 4 4 2 2_Tertiary Salaries Survey" xfId="10244" xr:uid="{00000000-0005-0000-0000-000017280000}"/>
    <cellStyle name="RowTitles1-Detail 3 2 2 4 4 2 3" xfId="10245" xr:uid="{00000000-0005-0000-0000-000018280000}"/>
    <cellStyle name="RowTitles1-Detail 3 2 2 4 4 2_Tertiary Salaries Survey" xfId="10246" xr:uid="{00000000-0005-0000-0000-000019280000}"/>
    <cellStyle name="RowTitles1-Detail 3 2 2 4 4 3" xfId="10247" xr:uid="{00000000-0005-0000-0000-00001A280000}"/>
    <cellStyle name="RowTitles1-Detail 3 2 2 4 4 3 2" xfId="10248" xr:uid="{00000000-0005-0000-0000-00001B280000}"/>
    <cellStyle name="RowTitles1-Detail 3 2 2 4 4 3 2 2" xfId="10249" xr:uid="{00000000-0005-0000-0000-00001C280000}"/>
    <cellStyle name="RowTitles1-Detail 3 2 2 4 4 3 2_Tertiary Salaries Survey" xfId="10250" xr:uid="{00000000-0005-0000-0000-00001D280000}"/>
    <cellStyle name="RowTitles1-Detail 3 2 2 4 4 3 3" xfId="10251" xr:uid="{00000000-0005-0000-0000-00001E280000}"/>
    <cellStyle name="RowTitles1-Detail 3 2 2 4 4 3_Tertiary Salaries Survey" xfId="10252" xr:uid="{00000000-0005-0000-0000-00001F280000}"/>
    <cellStyle name="RowTitles1-Detail 3 2 2 4 4 4" xfId="10253" xr:uid="{00000000-0005-0000-0000-000020280000}"/>
    <cellStyle name="RowTitles1-Detail 3 2 2 4 4 5" xfId="10254" xr:uid="{00000000-0005-0000-0000-000021280000}"/>
    <cellStyle name="RowTitles1-Detail 3 2 2 4 4 5 2" xfId="10255" xr:uid="{00000000-0005-0000-0000-000022280000}"/>
    <cellStyle name="RowTitles1-Detail 3 2 2 4 4 5_Tertiary Salaries Survey" xfId="10256" xr:uid="{00000000-0005-0000-0000-000023280000}"/>
    <cellStyle name="RowTitles1-Detail 3 2 2 4 4 6" xfId="10257" xr:uid="{00000000-0005-0000-0000-000024280000}"/>
    <cellStyle name="RowTitles1-Detail 3 2 2 4 4_Tertiary Salaries Survey" xfId="10258" xr:uid="{00000000-0005-0000-0000-000025280000}"/>
    <cellStyle name="RowTitles1-Detail 3 2 2 4 5" xfId="10259" xr:uid="{00000000-0005-0000-0000-000026280000}"/>
    <cellStyle name="RowTitles1-Detail 3 2 2 4 5 2" xfId="10260" xr:uid="{00000000-0005-0000-0000-000027280000}"/>
    <cellStyle name="RowTitles1-Detail 3 2 2 4 5 2 2" xfId="10261" xr:uid="{00000000-0005-0000-0000-000028280000}"/>
    <cellStyle name="RowTitles1-Detail 3 2 2 4 5 2 2 2" xfId="10262" xr:uid="{00000000-0005-0000-0000-000029280000}"/>
    <cellStyle name="RowTitles1-Detail 3 2 2 4 5 2 2_Tertiary Salaries Survey" xfId="10263" xr:uid="{00000000-0005-0000-0000-00002A280000}"/>
    <cellStyle name="RowTitles1-Detail 3 2 2 4 5 2 3" xfId="10264" xr:uid="{00000000-0005-0000-0000-00002B280000}"/>
    <cellStyle name="RowTitles1-Detail 3 2 2 4 5 2_Tertiary Salaries Survey" xfId="10265" xr:uid="{00000000-0005-0000-0000-00002C280000}"/>
    <cellStyle name="RowTitles1-Detail 3 2 2 4 5 3" xfId="10266" xr:uid="{00000000-0005-0000-0000-00002D280000}"/>
    <cellStyle name="RowTitles1-Detail 3 2 2 4 5 3 2" xfId="10267" xr:uid="{00000000-0005-0000-0000-00002E280000}"/>
    <cellStyle name="RowTitles1-Detail 3 2 2 4 5 3 2 2" xfId="10268" xr:uid="{00000000-0005-0000-0000-00002F280000}"/>
    <cellStyle name="RowTitles1-Detail 3 2 2 4 5 3 2_Tertiary Salaries Survey" xfId="10269" xr:uid="{00000000-0005-0000-0000-000030280000}"/>
    <cellStyle name="RowTitles1-Detail 3 2 2 4 5 3 3" xfId="10270" xr:uid="{00000000-0005-0000-0000-000031280000}"/>
    <cellStyle name="RowTitles1-Detail 3 2 2 4 5 3_Tertiary Salaries Survey" xfId="10271" xr:uid="{00000000-0005-0000-0000-000032280000}"/>
    <cellStyle name="RowTitles1-Detail 3 2 2 4 5 4" xfId="10272" xr:uid="{00000000-0005-0000-0000-000033280000}"/>
    <cellStyle name="RowTitles1-Detail 3 2 2 4 5 4 2" xfId="10273" xr:uid="{00000000-0005-0000-0000-000034280000}"/>
    <cellStyle name="RowTitles1-Detail 3 2 2 4 5 4_Tertiary Salaries Survey" xfId="10274" xr:uid="{00000000-0005-0000-0000-000035280000}"/>
    <cellStyle name="RowTitles1-Detail 3 2 2 4 5 5" xfId="10275" xr:uid="{00000000-0005-0000-0000-000036280000}"/>
    <cellStyle name="RowTitles1-Detail 3 2 2 4 5_Tertiary Salaries Survey" xfId="10276" xr:uid="{00000000-0005-0000-0000-000037280000}"/>
    <cellStyle name="RowTitles1-Detail 3 2 2 4 6" xfId="10277" xr:uid="{00000000-0005-0000-0000-000038280000}"/>
    <cellStyle name="RowTitles1-Detail 3 2 2 4 6 2" xfId="10278" xr:uid="{00000000-0005-0000-0000-000039280000}"/>
    <cellStyle name="RowTitles1-Detail 3 2 2 4 6 2 2" xfId="10279" xr:uid="{00000000-0005-0000-0000-00003A280000}"/>
    <cellStyle name="RowTitles1-Detail 3 2 2 4 6 2 2 2" xfId="10280" xr:uid="{00000000-0005-0000-0000-00003B280000}"/>
    <cellStyle name="RowTitles1-Detail 3 2 2 4 6 2 2_Tertiary Salaries Survey" xfId="10281" xr:uid="{00000000-0005-0000-0000-00003C280000}"/>
    <cellStyle name="RowTitles1-Detail 3 2 2 4 6 2 3" xfId="10282" xr:uid="{00000000-0005-0000-0000-00003D280000}"/>
    <cellStyle name="RowTitles1-Detail 3 2 2 4 6 2_Tertiary Salaries Survey" xfId="10283" xr:uid="{00000000-0005-0000-0000-00003E280000}"/>
    <cellStyle name="RowTitles1-Detail 3 2 2 4 6 3" xfId="10284" xr:uid="{00000000-0005-0000-0000-00003F280000}"/>
    <cellStyle name="RowTitles1-Detail 3 2 2 4 6 3 2" xfId="10285" xr:uid="{00000000-0005-0000-0000-000040280000}"/>
    <cellStyle name="RowTitles1-Detail 3 2 2 4 6 3 2 2" xfId="10286" xr:uid="{00000000-0005-0000-0000-000041280000}"/>
    <cellStyle name="RowTitles1-Detail 3 2 2 4 6 3 2_Tertiary Salaries Survey" xfId="10287" xr:uid="{00000000-0005-0000-0000-000042280000}"/>
    <cellStyle name="RowTitles1-Detail 3 2 2 4 6 3 3" xfId="10288" xr:uid="{00000000-0005-0000-0000-000043280000}"/>
    <cellStyle name="RowTitles1-Detail 3 2 2 4 6 3_Tertiary Salaries Survey" xfId="10289" xr:uid="{00000000-0005-0000-0000-000044280000}"/>
    <cellStyle name="RowTitles1-Detail 3 2 2 4 6 4" xfId="10290" xr:uid="{00000000-0005-0000-0000-000045280000}"/>
    <cellStyle name="RowTitles1-Detail 3 2 2 4 6 4 2" xfId="10291" xr:uid="{00000000-0005-0000-0000-000046280000}"/>
    <cellStyle name="RowTitles1-Detail 3 2 2 4 6 4_Tertiary Salaries Survey" xfId="10292" xr:uid="{00000000-0005-0000-0000-000047280000}"/>
    <cellStyle name="RowTitles1-Detail 3 2 2 4 6 5" xfId="10293" xr:uid="{00000000-0005-0000-0000-000048280000}"/>
    <cellStyle name="RowTitles1-Detail 3 2 2 4 6_Tertiary Salaries Survey" xfId="10294" xr:uid="{00000000-0005-0000-0000-000049280000}"/>
    <cellStyle name="RowTitles1-Detail 3 2 2 4 7" xfId="10295" xr:uid="{00000000-0005-0000-0000-00004A280000}"/>
    <cellStyle name="RowTitles1-Detail 3 2 2 4 7 2" xfId="10296" xr:uid="{00000000-0005-0000-0000-00004B280000}"/>
    <cellStyle name="RowTitles1-Detail 3 2 2 4 7 2 2" xfId="10297" xr:uid="{00000000-0005-0000-0000-00004C280000}"/>
    <cellStyle name="RowTitles1-Detail 3 2 2 4 7 2_Tertiary Salaries Survey" xfId="10298" xr:uid="{00000000-0005-0000-0000-00004D280000}"/>
    <cellStyle name="RowTitles1-Detail 3 2 2 4 7 3" xfId="10299" xr:uid="{00000000-0005-0000-0000-00004E280000}"/>
    <cellStyle name="RowTitles1-Detail 3 2 2 4 7_Tertiary Salaries Survey" xfId="10300" xr:uid="{00000000-0005-0000-0000-00004F280000}"/>
    <cellStyle name="RowTitles1-Detail 3 2 2 4 8" xfId="10301" xr:uid="{00000000-0005-0000-0000-000050280000}"/>
    <cellStyle name="RowTitles1-Detail 3 2 2 4 9" xfId="10302" xr:uid="{00000000-0005-0000-0000-000051280000}"/>
    <cellStyle name="RowTitles1-Detail 3 2 2 4_STUD aligned by INSTIT" xfId="10303" xr:uid="{00000000-0005-0000-0000-000052280000}"/>
    <cellStyle name="RowTitles1-Detail 3 2 2 5" xfId="10304" xr:uid="{00000000-0005-0000-0000-000053280000}"/>
    <cellStyle name="RowTitles1-Detail 3 2 2 5 2" xfId="10305" xr:uid="{00000000-0005-0000-0000-000054280000}"/>
    <cellStyle name="RowTitles1-Detail 3 2 2 5 2 2" xfId="10306" xr:uid="{00000000-0005-0000-0000-000055280000}"/>
    <cellStyle name="RowTitles1-Detail 3 2 2 5 2 2 2" xfId="10307" xr:uid="{00000000-0005-0000-0000-000056280000}"/>
    <cellStyle name="RowTitles1-Detail 3 2 2 5 2 2_Tertiary Salaries Survey" xfId="10308" xr:uid="{00000000-0005-0000-0000-000057280000}"/>
    <cellStyle name="RowTitles1-Detail 3 2 2 5 2 3" xfId="10309" xr:uid="{00000000-0005-0000-0000-000058280000}"/>
    <cellStyle name="RowTitles1-Detail 3 2 2 5 2_Tertiary Salaries Survey" xfId="10310" xr:uid="{00000000-0005-0000-0000-000059280000}"/>
    <cellStyle name="RowTitles1-Detail 3 2 2 5 3" xfId="10311" xr:uid="{00000000-0005-0000-0000-00005A280000}"/>
    <cellStyle name="RowTitles1-Detail 3 2 2 5 3 2" xfId="10312" xr:uid="{00000000-0005-0000-0000-00005B280000}"/>
    <cellStyle name="RowTitles1-Detail 3 2 2 5 3 2 2" xfId="10313" xr:uid="{00000000-0005-0000-0000-00005C280000}"/>
    <cellStyle name="RowTitles1-Detail 3 2 2 5 3 2_Tertiary Salaries Survey" xfId="10314" xr:uid="{00000000-0005-0000-0000-00005D280000}"/>
    <cellStyle name="RowTitles1-Detail 3 2 2 5 3 3" xfId="10315" xr:uid="{00000000-0005-0000-0000-00005E280000}"/>
    <cellStyle name="RowTitles1-Detail 3 2 2 5 3_Tertiary Salaries Survey" xfId="10316" xr:uid="{00000000-0005-0000-0000-00005F280000}"/>
    <cellStyle name="RowTitles1-Detail 3 2 2 5 4" xfId="10317" xr:uid="{00000000-0005-0000-0000-000060280000}"/>
    <cellStyle name="RowTitles1-Detail 3 2 2 5 5" xfId="10318" xr:uid="{00000000-0005-0000-0000-000061280000}"/>
    <cellStyle name="RowTitles1-Detail 3 2 2 5 5 2" xfId="10319" xr:uid="{00000000-0005-0000-0000-000062280000}"/>
    <cellStyle name="RowTitles1-Detail 3 2 2 5 5_Tertiary Salaries Survey" xfId="10320" xr:uid="{00000000-0005-0000-0000-000063280000}"/>
    <cellStyle name="RowTitles1-Detail 3 2 2 5 6" xfId="10321" xr:uid="{00000000-0005-0000-0000-000064280000}"/>
    <cellStyle name="RowTitles1-Detail 3 2 2 5_Tertiary Salaries Survey" xfId="10322" xr:uid="{00000000-0005-0000-0000-000065280000}"/>
    <cellStyle name="RowTitles1-Detail 3 2 2 6" xfId="10323" xr:uid="{00000000-0005-0000-0000-000066280000}"/>
    <cellStyle name="RowTitles1-Detail 3 2 2 6 2" xfId="10324" xr:uid="{00000000-0005-0000-0000-000067280000}"/>
    <cellStyle name="RowTitles1-Detail 3 2 2 6 2 2" xfId="10325" xr:uid="{00000000-0005-0000-0000-000068280000}"/>
    <cellStyle name="RowTitles1-Detail 3 2 2 6 2 2 2" xfId="10326" xr:uid="{00000000-0005-0000-0000-000069280000}"/>
    <cellStyle name="RowTitles1-Detail 3 2 2 6 2 2_Tertiary Salaries Survey" xfId="10327" xr:uid="{00000000-0005-0000-0000-00006A280000}"/>
    <cellStyle name="RowTitles1-Detail 3 2 2 6 2 3" xfId="10328" xr:uid="{00000000-0005-0000-0000-00006B280000}"/>
    <cellStyle name="RowTitles1-Detail 3 2 2 6 2_Tertiary Salaries Survey" xfId="10329" xr:uid="{00000000-0005-0000-0000-00006C280000}"/>
    <cellStyle name="RowTitles1-Detail 3 2 2 6 3" xfId="10330" xr:uid="{00000000-0005-0000-0000-00006D280000}"/>
    <cellStyle name="RowTitles1-Detail 3 2 2 6 3 2" xfId="10331" xr:uid="{00000000-0005-0000-0000-00006E280000}"/>
    <cellStyle name="RowTitles1-Detail 3 2 2 6 3 2 2" xfId="10332" xr:uid="{00000000-0005-0000-0000-00006F280000}"/>
    <cellStyle name="RowTitles1-Detail 3 2 2 6 3 2_Tertiary Salaries Survey" xfId="10333" xr:uid="{00000000-0005-0000-0000-000070280000}"/>
    <cellStyle name="RowTitles1-Detail 3 2 2 6 3 3" xfId="10334" xr:uid="{00000000-0005-0000-0000-000071280000}"/>
    <cellStyle name="RowTitles1-Detail 3 2 2 6 3_Tertiary Salaries Survey" xfId="10335" xr:uid="{00000000-0005-0000-0000-000072280000}"/>
    <cellStyle name="RowTitles1-Detail 3 2 2 6 4" xfId="10336" xr:uid="{00000000-0005-0000-0000-000073280000}"/>
    <cellStyle name="RowTitles1-Detail 3 2 2 6 5" xfId="10337" xr:uid="{00000000-0005-0000-0000-000074280000}"/>
    <cellStyle name="RowTitles1-Detail 3 2 2 6_Tertiary Salaries Survey" xfId="10338" xr:uid="{00000000-0005-0000-0000-000075280000}"/>
    <cellStyle name="RowTitles1-Detail 3 2 2 7" xfId="10339" xr:uid="{00000000-0005-0000-0000-000076280000}"/>
    <cellStyle name="RowTitles1-Detail 3 2 2 7 2" xfId="10340" xr:uid="{00000000-0005-0000-0000-000077280000}"/>
    <cellStyle name="RowTitles1-Detail 3 2 2 7 2 2" xfId="10341" xr:uid="{00000000-0005-0000-0000-000078280000}"/>
    <cellStyle name="RowTitles1-Detail 3 2 2 7 2 2 2" xfId="10342" xr:uid="{00000000-0005-0000-0000-000079280000}"/>
    <cellStyle name="RowTitles1-Detail 3 2 2 7 2 2_Tertiary Salaries Survey" xfId="10343" xr:uid="{00000000-0005-0000-0000-00007A280000}"/>
    <cellStyle name="RowTitles1-Detail 3 2 2 7 2 3" xfId="10344" xr:uid="{00000000-0005-0000-0000-00007B280000}"/>
    <cellStyle name="RowTitles1-Detail 3 2 2 7 2_Tertiary Salaries Survey" xfId="10345" xr:uid="{00000000-0005-0000-0000-00007C280000}"/>
    <cellStyle name="RowTitles1-Detail 3 2 2 7 3" xfId="10346" xr:uid="{00000000-0005-0000-0000-00007D280000}"/>
    <cellStyle name="RowTitles1-Detail 3 2 2 7 3 2" xfId="10347" xr:uid="{00000000-0005-0000-0000-00007E280000}"/>
    <cellStyle name="RowTitles1-Detail 3 2 2 7 3 2 2" xfId="10348" xr:uid="{00000000-0005-0000-0000-00007F280000}"/>
    <cellStyle name="RowTitles1-Detail 3 2 2 7 3 2_Tertiary Salaries Survey" xfId="10349" xr:uid="{00000000-0005-0000-0000-000080280000}"/>
    <cellStyle name="RowTitles1-Detail 3 2 2 7 3 3" xfId="10350" xr:uid="{00000000-0005-0000-0000-000081280000}"/>
    <cellStyle name="RowTitles1-Detail 3 2 2 7 3_Tertiary Salaries Survey" xfId="10351" xr:uid="{00000000-0005-0000-0000-000082280000}"/>
    <cellStyle name="RowTitles1-Detail 3 2 2 7 4" xfId="10352" xr:uid="{00000000-0005-0000-0000-000083280000}"/>
    <cellStyle name="RowTitles1-Detail 3 2 2 7 5" xfId="10353" xr:uid="{00000000-0005-0000-0000-000084280000}"/>
    <cellStyle name="RowTitles1-Detail 3 2 2 7 5 2" xfId="10354" xr:uid="{00000000-0005-0000-0000-000085280000}"/>
    <cellStyle name="RowTitles1-Detail 3 2 2 7 5_Tertiary Salaries Survey" xfId="10355" xr:uid="{00000000-0005-0000-0000-000086280000}"/>
    <cellStyle name="RowTitles1-Detail 3 2 2 7 6" xfId="10356" xr:uid="{00000000-0005-0000-0000-000087280000}"/>
    <cellStyle name="RowTitles1-Detail 3 2 2 7_Tertiary Salaries Survey" xfId="10357" xr:uid="{00000000-0005-0000-0000-000088280000}"/>
    <cellStyle name="RowTitles1-Detail 3 2 2 8" xfId="10358" xr:uid="{00000000-0005-0000-0000-000089280000}"/>
    <cellStyle name="RowTitles1-Detail 3 2 2 8 2" xfId="10359" xr:uid="{00000000-0005-0000-0000-00008A280000}"/>
    <cellStyle name="RowTitles1-Detail 3 2 2 8 2 2" xfId="10360" xr:uid="{00000000-0005-0000-0000-00008B280000}"/>
    <cellStyle name="RowTitles1-Detail 3 2 2 8 2 2 2" xfId="10361" xr:uid="{00000000-0005-0000-0000-00008C280000}"/>
    <cellStyle name="RowTitles1-Detail 3 2 2 8 2 2_Tertiary Salaries Survey" xfId="10362" xr:uid="{00000000-0005-0000-0000-00008D280000}"/>
    <cellStyle name="RowTitles1-Detail 3 2 2 8 2 3" xfId="10363" xr:uid="{00000000-0005-0000-0000-00008E280000}"/>
    <cellStyle name="RowTitles1-Detail 3 2 2 8 2_Tertiary Salaries Survey" xfId="10364" xr:uid="{00000000-0005-0000-0000-00008F280000}"/>
    <cellStyle name="RowTitles1-Detail 3 2 2 8 3" xfId="10365" xr:uid="{00000000-0005-0000-0000-000090280000}"/>
    <cellStyle name="RowTitles1-Detail 3 2 2 8 3 2" xfId="10366" xr:uid="{00000000-0005-0000-0000-000091280000}"/>
    <cellStyle name="RowTitles1-Detail 3 2 2 8 3 2 2" xfId="10367" xr:uid="{00000000-0005-0000-0000-000092280000}"/>
    <cellStyle name="RowTitles1-Detail 3 2 2 8 3 2_Tertiary Salaries Survey" xfId="10368" xr:uid="{00000000-0005-0000-0000-000093280000}"/>
    <cellStyle name="RowTitles1-Detail 3 2 2 8 3 3" xfId="10369" xr:uid="{00000000-0005-0000-0000-000094280000}"/>
    <cellStyle name="RowTitles1-Detail 3 2 2 8 3_Tertiary Salaries Survey" xfId="10370" xr:uid="{00000000-0005-0000-0000-000095280000}"/>
    <cellStyle name="RowTitles1-Detail 3 2 2 8 4" xfId="10371" xr:uid="{00000000-0005-0000-0000-000096280000}"/>
    <cellStyle name="RowTitles1-Detail 3 2 2 8 4 2" xfId="10372" xr:uid="{00000000-0005-0000-0000-000097280000}"/>
    <cellStyle name="RowTitles1-Detail 3 2 2 8 4_Tertiary Salaries Survey" xfId="10373" xr:uid="{00000000-0005-0000-0000-000098280000}"/>
    <cellStyle name="RowTitles1-Detail 3 2 2 8 5" xfId="10374" xr:uid="{00000000-0005-0000-0000-000099280000}"/>
    <cellStyle name="RowTitles1-Detail 3 2 2 8_Tertiary Salaries Survey" xfId="10375" xr:uid="{00000000-0005-0000-0000-00009A280000}"/>
    <cellStyle name="RowTitles1-Detail 3 2 2 9" xfId="10376" xr:uid="{00000000-0005-0000-0000-00009B280000}"/>
    <cellStyle name="RowTitles1-Detail 3 2 2 9 2" xfId="10377" xr:uid="{00000000-0005-0000-0000-00009C280000}"/>
    <cellStyle name="RowTitles1-Detail 3 2 2 9 2 2" xfId="10378" xr:uid="{00000000-0005-0000-0000-00009D280000}"/>
    <cellStyle name="RowTitles1-Detail 3 2 2 9 2 2 2" xfId="10379" xr:uid="{00000000-0005-0000-0000-00009E280000}"/>
    <cellStyle name="RowTitles1-Detail 3 2 2 9 2 2_Tertiary Salaries Survey" xfId="10380" xr:uid="{00000000-0005-0000-0000-00009F280000}"/>
    <cellStyle name="RowTitles1-Detail 3 2 2 9 2 3" xfId="10381" xr:uid="{00000000-0005-0000-0000-0000A0280000}"/>
    <cellStyle name="RowTitles1-Detail 3 2 2 9 2_Tertiary Salaries Survey" xfId="10382" xr:uid="{00000000-0005-0000-0000-0000A1280000}"/>
    <cellStyle name="RowTitles1-Detail 3 2 2 9 3" xfId="10383" xr:uid="{00000000-0005-0000-0000-0000A2280000}"/>
    <cellStyle name="RowTitles1-Detail 3 2 2 9 3 2" xfId="10384" xr:uid="{00000000-0005-0000-0000-0000A3280000}"/>
    <cellStyle name="RowTitles1-Detail 3 2 2 9 3 2 2" xfId="10385" xr:uid="{00000000-0005-0000-0000-0000A4280000}"/>
    <cellStyle name="RowTitles1-Detail 3 2 2 9 3 2_Tertiary Salaries Survey" xfId="10386" xr:uid="{00000000-0005-0000-0000-0000A5280000}"/>
    <cellStyle name="RowTitles1-Detail 3 2 2 9 3 3" xfId="10387" xr:uid="{00000000-0005-0000-0000-0000A6280000}"/>
    <cellStyle name="RowTitles1-Detail 3 2 2 9 3_Tertiary Salaries Survey" xfId="10388" xr:uid="{00000000-0005-0000-0000-0000A7280000}"/>
    <cellStyle name="RowTitles1-Detail 3 2 2 9 4" xfId="10389" xr:uid="{00000000-0005-0000-0000-0000A8280000}"/>
    <cellStyle name="RowTitles1-Detail 3 2 2 9 4 2" xfId="10390" xr:uid="{00000000-0005-0000-0000-0000A9280000}"/>
    <cellStyle name="RowTitles1-Detail 3 2 2 9 4_Tertiary Salaries Survey" xfId="10391" xr:uid="{00000000-0005-0000-0000-0000AA280000}"/>
    <cellStyle name="RowTitles1-Detail 3 2 2 9 5" xfId="10392" xr:uid="{00000000-0005-0000-0000-0000AB280000}"/>
    <cellStyle name="RowTitles1-Detail 3 2 2 9_Tertiary Salaries Survey" xfId="10393" xr:uid="{00000000-0005-0000-0000-0000AC280000}"/>
    <cellStyle name="RowTitles1-Detail 3 2 2_STUD aligned by INSTIT" xfId="10394" xr:uid="{00000000-0005-0000-0000-0000AD280000}"/>
    <cellStyle name="RowTitles1-Detail 3 2 3" xfId="10395" xr:uid="{00000000-0005-0000-0000-0000AE280000}"/>
    <cellStyle name="RowTitles1-Detail 3 2 3 2" xfId="10396" xr:uid="{00000000-0005-0000-0000-0000AF280000}"/>
    <cellStyle name="RowTitles1-Detail 3 2 3 2 2" xfId="10397" xr:uid="{00000000-0005-0000-0000-0000B0280000}"/>
    <cellStyle name="RowTitles1-Detail 3 2 3 2 2 2" xfId="10398" xr:uid="{00000000-0005-0000-0000-0000B1280000}"/>
    <cellStyle name="RowTitles1-Detail 3 2 3 2 2 2 2" xfId="10399" xr:uid="{00000000-0005-0000-0000-0000B2280000}"/>
    <cellStyle name="RowTitles1-Detail 3 2 3 2 2 2_Tertiary Salaries Survey" xfId="10400" xr:uid="{00000000-0005-0000-0000-0000B3280000}"/>
    <cellStyle name="RowTitles1-Detail 3 2 3 2 2 3" xfId="10401" xr:uid="{00000000-0005-0000-0000-0000B4280000}"/>
    <cellStyle name="RowTitles1-Detail 3 2 3 2 2_Tertiary Salaries Survey" xfId="10402" xr:uid="{00000000-0005-0000-0000-0000B5280000}"/>
    <cellStyle name="RowTitles1-Detail 3 2 3 2 3" xfId="10403" xr:uid="{00000000-0005-0000-0000-0000B6280000}"/>
    <cellStyle name="RowTitles1-Detail 3 2 3 2 3 2" xfId="10404" xr:uid="{00000000-0005-0000-0000-0000B7280000}"/>
    <cellStyle name="RowTitles1-Detail 3 2 3 2 3 2 2" xfId="10405" xr:uid="{00000000-0005-0000-0000-0000B8280000}"/>
    <cellStyle name="RowTitles1-Detail 3 2 3 2 3 2_Tertiary Salaries Survey" xfId="10406" xr:uid="{00000000-0005-0000-0000-0000B9280000}"/>
    <cellStyle name="RowTitles1-Detail 3 2 3 2 3 3" xfId="10407" xr:uid="{00000000-0005-0000-0000-0000BA280000}"/>
    <cellStyle name="RowTitles1-Detail 3 2 3 2 3_Tertiary Salaries Survey" xfId="10408" xr:uid="{00000000-0005-0000-0000-0000BB280000}"/>
    <cellStyle name="RowTitles1-Detail 3 2 3 2 4" xfId="10409" xr:uid="{00000000-0005-0000-0000-0000BC280000}"/>
    <cellStyle name="RowTitles1-Detail 3 2 3 2 5" xfId="10410" xr:uid="{00000000-0005-0000-0000-0000BD280000}"/>
    <cellStyle name="RowTitles1-Detail 3 2 3 2_Tertiary Salaries Survey" xfId="10411" xr:uid="{00000000-0005-0000-0000-0000BE280000}"/>
    <cellStyle name="RowTitles1-Detail 3 2 3 3" xfId="10412" xr:uid="{00000000-0005-0000-0000-0000BF280000}"/>
    <cellStyle name="RowTitles1-Detail 3 2 3 3 2" xfId="10413" xr:uid="{00000000-0005-0000-0000-0000C0280000}"/>
    <cellStyle name="RowTitles1-Detail 3 2 3 3 2 2" xfId="10414" xr:uid="{00000000-0005-0000-0000-0000C1280000}"/>
    <cellStyle name="RowTitles1-Detail 3 2 3 3 2 2 2" xfId="10415" xr:uid="{00000000-0005-0000-0000-0000C2280000}"/>
    <cellStyle name="RowTitles1-Detail 3 2 3 3 2 2_Tertiary Salaries Survey" xfId="10416" xr:uid="{00000000-0005-0000-0000-0000C3280000}"/>
    <cellStyle name="RowTitles1-Detail 3 2 3 3 2 3" xfId="10417" xr:uid="{00000000-0005-0000-0000-0000C4280000}"/>
    <cellStyle name="RowTitles1-Detail 3 2 3 3 2_Tertiary Salaries Survey" xfId="10418" xr:uid="{00000000-0005-0000-0000-0000C5280000}"/>
    <cellStyle name="RowTitles1-Detail 3 2 3 3 3" xfId="10419" xr:uid="{00000000-0005-0000-0000-0000C6280000}"/>
    <cellStyle name="RowTitles1-Detail 3 2 3 3 3 2" xfId="10420" xr:uid="{00000000-0005-0000-0000-0000C7280000}"/>
    <cellStyle name="RowTitles1-Detail 3 2 3 3 3 2 2" xfId="10421" xr:uid="{00000000-0005-0000-0000-0000C8280000}"/>
    <cellStyle name="RowTitles1-Detail 3 2 3 3 3 2_Tertiary Salaries Survey" xfId="10422" xr:uid="{00000000-0005-0000-0000-0000C9280000}"/>
    <cellStyle name="RowTitles1-Detail 3 2 3 3 3 3" xfId="10423" xr:uid="{00000000-0005-0000-0000-0000CA280000}"/>
    <cellStyle name="RowTitles1-Detail 3 2 3 3 3_Tertiary Salaries Survey" xfId="10424" xr:uid="{00000000-0005-0000-0000-0000CB280000}"/>
    <cellStyle name="RowTitles1-Detail 3 2 3 3 4" xfId="10425" xr:uid="{00000000-0005-0000-0000-0000CC280000}"/>
    <cellStyle name="RowTitles1-Detail 3 2 3 3 5" xfId="10426" xr:uid="{00000000-0005-0000-0000-0000CD280000}"/>
    <cellStyle name="RowTitles1-Detail 3 2 3 3 5 2" xfId="10427" xr:uid="{00000000-0005-0000-0000-0000CE280000}"/>
    <cellStyle name="RowTitles1-Detail 3 2 3 3 5_Tertiary Salaries Survey" xfId="10428" xr:uid="{00000000-0005-0000-0000-0000CF280000}"/>
    <cellStyle name="RowTitles1-Detail 3 2 3 3 6" xfId="10429" xr:uid="{00000000-0005-0000-0000-0000D0280000}"/>
    <cellStyle name="RowTitles1-Detail 3 2 3 3_Tertiary Salaries Survey" xfId="10430" xr:uid="{00000000-0005-0000-0000-0000D1280000}"/>
    <cellStyle name="RowTitles1-Detail 3 2 3 4" xfId="10431" xr:uid="{00000000-0005-0000-0000-0000D2280000}"/>
    <cellStyle name="RowTitles1-Detail 3 2 3 4 2" xfId="10432" xr:uid="{00000000-0005-0000-0000-0000D3280000}"/>
    <cellStyle name="RowTitles1-Detail 3 2 3 4 2 2" xfId="10433" xr:uid="{00000000-0005-0000-0000-0000D4280000}"/>
    <cellStyle name="RowTitles1-Detail 3 2 3 4 2 2 2" xfId="10434" xr:uid="{00000000-0005-0000-0000-0000D5280000}"/>
    <cellStyle name="RowTitles1-Detail 3 2 3 4 2 2_Tertiary Salaries Survey" xfId="10435" xr:uid="{00000000-0005-0000-0000-0000D6280000}"/>
    <cellStyle name="RowTitles1-Detail 3 2 3 4 2 3" xfId="10436" xr:uid="{00000000-0005-0000-0000-0000D7280000}"/>
    <cellStyle name="RowTitles1-Detail 3 2 3 4 2_Tertiary Salaries Survey" xfId="10437" xr:uid="{00000000-0005-0000-0000-0000D8280000}"/>
    <cellStyle name="RowTitles1-Detail 3 2 3 4 3" xfId="10438" xr:uid="{00000000-0005-0000-0000-0000D9280000}"/>
    <cellStyle name="RowTitles1-Detail 3 2 3 4 3 2" xfId="10439" xr:uid="{00000000-0005-0000-0000-0000DA280000}"/>
    <cellStyle name="RowTitles1-Detail 3 2 3 4 3 2 2" xfId="10440" xr:uid="{00000000-0005-0000-0000-0000DB280000}"/>
    <cellStyle name="RowTitles1-Detail 3 2 3 4 3 2_Tertiary Salaries Survey" xfId="10441" xr:uid="{00000000-0005-0000-0000-0000DC280000}"/>
    <cellStyle name="RowTitles1-Detail 3 2 3 4 3 3" xfId="10442" xr:uid="{00000000-0005-0000-0000-0000DD280000}"/>
    <cellStyle name="RowTitles1-Detail 3 2 3 4 3_Tertiary Salaries Survey" xfId="10443" xr:uid="{00000000-0005-0000-0000-0000DE280000}"/>
    <cellStyle name="RowTitles1-Detail 3 2 3 4 4" xfId="10444" xr:uid="{00000000-0005-0000-0000-0000DF280000}"/>
    <cellStyle name="RowTitles1-Detail 3 2 3 4 4 2" xfId="10445" xr:uid="{00000000-0005-0000-0000-0000E0280000}"/>
    <cellStyle name="RowTitles1-Detail 3 2 3 4 4_Tertiary Salaries Survey" xfId="10446" xr:uid="{00000000-0005-0000-0000-0000E1280000}"/>
    <cellStyle name="RowTitles1-Detail 3 2 3 4 5" xfId="10447" xr:uid="{00000000-0005-0000-0000-0000E2280000}"/>
    <cellStyle name="RowTitles1-Detail 3 2 3 4_Tertiary Salaries Survey" xfId="10448" xr:uid="{00000000-0005-0000-0000-0000E3280000}"/>
    <cellStyle name="RowTitles1-Detail 3 2 3 5" xfId="10449" xr:uid="{00000000-0005-0000-0000-0000E4280000}"/>
    <cellStyle name="RowTitles1-Detail 3 2 3 5 2" xfId="10450" xr:uid="{00000000-0005-0000-0000-0000E5280000}"/>
    <cellStyle name="RowTitles1-Detail 3 2 3 5 2 2" xfId="10451" xr:uid="{00000000-0005-0000-0000-0000E6280000}"/>
    <cellStyle name="RowTitles1-Detail 3 2 3 5 2 2 2" xfId="10452" xr:uid="{00000000-0005-0000-0000-0000E7280000}"/>
    <cellStyle name="RowTitles1-Detail 3 2 3 5 2 2_Tertiary Salaries Survey" xfId="10453" xr:uid="{00000000-0005-0000-0000-0000E8280000}"/>
    <cellStyle name="RowTitles1-Detail 3 2 3 5 2 3" xfId="10454" xr:uid="{00000000-0005-0000-0000-0000E9280000}"/>
    <cellStyle name="RowTitles1-Detail 3 2 3 5 2_Tertiary Salaries Survey" xfId="10455" xr:uid="{00000000-0005-0000-0000-0000EA280000}"/>
    <cellStyle name="RowTitles1-Detail 3 2 3 5 3" xfId="10456" xr:uid="{00000000-0005-0000-0000-0000EB280000}"/>
    <cellStyle name="RowTitles1-Detail 3 2 3 5 3 2" xfId="10457" xr:uid="{00000000-0005-0000-0000-0000EC280000}"/>
    <cellStyle name="RowTitles1-Detail 3 2 3 5 3 2 2" xfId="10458" xr:uid="{00000000-0005-0000-0000-0000ED280000}"/>
    <cellStyle name="RowTitles1-Detail 3 2 3 5 3 2_Tertiary Salaries Survey" xfId="10459" xr:uid="{00000000-0005-0000-0000-0000EE280000}"/>
    <cellStyle name="RowTitles1-Detail 3 2 3 5 3 3" xfId="10460" xr:uid="{00000000-0005-0000-0000-0000EF280000}"/>
    <cellStyle name="RowTitles1-Detail 3 2 3 5 3_Tertiary Salaries Survey" xfId="10461" xr:uid="{00000000-0005-0000-0000-0000F0280000}"/>
    <cellStyle name="RowTitles1-Detail 3 2 3 5 4" xfId="10462" xr:uid="{00000000-0005-0000-0000-0000F1280000}"/>
    <cellStyle name="RowTitles1-Detail 3 2 3 5 4 2" xfId="10463" xr:uid="{00000000-0005-0000-0000-0000F2280000}"/>
    <cellStyle name="RowTitles1-Detail 3 2 3 5 4_Tertiary Salaries Survey" xfId="10464" xr:uid="{00000000-0005-0000-0000-0000F3280000}"/>
    <cellStyle name="RowTitles1-Detail 3 2 3 5 5" xfId="10465" xr:uid="{00000000-0005-0000-0000-0000F4280000}"/>
    <cellStyle name="RowTitles1-Detail 3 2 3 5_Tertiary Salaries Survey" xfId="10466" xr:uid="{00000000-0005-0000-0000-0000F5280000}"/>
    <cellStyle name="RowTitles1-Detail 3 2 3 6" xfId="10467" xr:uid="{00000000-0005-0000-0000-0000F6280000}"/>
    <cellStyle name="RowTitles1-Detail 3 2 3 6 2" xfId="10468" xr:uid="{00000000-0005-0000-0000-0000F7280000}"/>
    <cellStyle name="RowTitles1-Detail 3 2 3 6 2 2" xfId="10469" xr:uid="{00000000-0005-0000-0000-0000F8280000}"/>
    <cellStyle name="RowTitles1-Detail 3 2 3 6 2 2 2" xfId="10470" xr:uid="{00000000-0005-0000-0000-0000F9280000}"/>
    <cellStyle name="RowTitles1-Detail 3 2 3 6 2 2_Tertiary Salaries Survey" xfId="10471" xr:uid="{00000000-0005-0000-0000-0000FA280000}"/>
    <cellStyle name="RowTitles1-Detail 3 2 3 6 2 3" xfId="10472" xr:uid="{00000000-0005-0000-0000-0000FB280000}"/>
    <cellStyle name="RowTitles1-Detail 3 2 3 6 2_Tertiary Salaries Survey" xfId="10473" xr:uid="{00000000-0005-0000-0000-0000FC280000}"/>
    <cellStyle name="RowTitles1-Detail 3 2 3 6 3" xfId="10474" xr:uid="{00000000-0005-0000-0000-0000FD280000}"/>
    <cellStyle name="RowTitles1-Detail 3 2 3 6 3 2" xfId="10475" xr:uid="{00000000-0005-0000-0000-0000FE280000}"/>
    <cellStyle name="RowTitles1-Detail 3 2 3 6 3 2 2" xfId="10476" xr:uid="{00000000-0005-0000-0000-0000FF280000}"/>
    <cellStyle name="RowTitles1-Detail 3 2 3 6 3 2_Tertiary Salaries Survey" xfId="10477" xr:uid="{00000000-0005-0000-0000-000000290000}"/>
    <cellStyle name="RowTitles1-Detail 3 2 3 6 3 3" xfId="10478" xr:uid="{00000000-0005-0000-0000-000001290000}"/>
    <cellStyle name="RowTitles1-Detail 3 2 3 6 3_Tertiary Salaries Survey" xfId="10479" xr:uid="{00000000-0005-0000-0000-000002290000}"/>
    <cellStyle name="RowTitles1-Detail 3 2 3 6 4" xfId="10480" xr:uid="{00000000-0005-0000-0000-000003290000}"/>
    <cellStyle name="RowTitles1-Detail 3 2 3 6 4 2" xfId="10481" xr:uid="{00000000-0005-0000-0000-000004290000}"/>
    <cellStyle name="RowTitles1-Detail 3 2 3 6 4_Tertiary Salaries Survey" xfId="10482" xr:uid="{00000000-0005-0000-0000-000005290000}"/>
    <cellStyle name="RowTitles1-Detail 3 2 3 6 5" xfId="10483" xr:uid="{00000000-0005-0000-0000-000006290000}"/>
    <cellStyle name="RowTitles1-Detail 3 2 3 6_Tertiary Salaries Survey" xfId="10484" xr:uid="{00000000-0005-0000-0000-000007290000}"/>
    <cellStyle name="RowTitles1-Detail 3 2 3 7" xfId="10485" xr:uid="{00000000-0005-0000-0000-000008290000}"/>
    <cellStyle name="RowTitles1-Detail 3 2 3 7 2" xfId="10486" xr:uid="{00000000-0005-0000-0000-000009290000}"/>
    <cellStyle name="RowTitles1-Detail 3 2 3 7 2 2" xfId="10487" xr:uid="{00000000-0005-0000-0000-00000A290000}"/>
    <cellStyle name="RowTitles1-Detail 3 2 3 7 2_Tertiary Salaries Survey" xfId="10488" xr:uid="{00000000-0005-0000-0000-00000B290000}"/>
    <cellStyle name="RowTitles1-Detail 3 2 3 7 3" xfId="10489" xr:uid="{00000000-0005-0000-0000-00000C290000}"/>
    <cellStyle name="RowTitles1-Detail 3 2 3 7_Tertiary Salaries Survey" xfId="10490" xr:uid="{00000000-0005-0000-0000-00000D290000}"/>
    <cellStyle name="RowTitles1-Detail 3 2 3 8" xfId="10491" xr:uid="{00000000-0005-0000-0000-00000E290000}"/>
    <cellStyle name="RowTitles1-Detail 3 2 3 9" xfId="10492" xr:uid="{00000000-0005-0000-0000-00000F290000}"/>
    <cellStyle name="RowTitles1-Detail 3 2 3_STUD aligned by INSTIT" xfId="10493" xr:uid="{00000000-0005-0000-0000-000010290000}"/>
    <cellStyle name="RowTitles1-Detail 3 2 4" xfId="10494" xr:uid="{00000000-0005-0000-0000-000011290000}"/>
    <cellStyle name="RowTitles1-Detail 3 2 4 2" xfId="10495" xr:uid="{00000000-0005-0000-0000-000012290000}"/>
    <cellStyle name="RowTitles1-Detail 3 2 4 2 2" xfId="10496" xr:uid="{00000000-0005-0000-0000-000013290000}"/>
    <cellStyle name="RowTitles1-Detail 3 2 4 2 2 2" xfId="10497" xr:uid="{00000000-0005-0000-0000-000014290000}"/>
    <cellStyle name="RowTitles1-Detail 3 2 4 2 2 2 2" xfId="10498" xr:uid="{00000000-0005-0000-0000-000015290000}"/>
    <cellStyle name="RowTitles1-Detail 3 2 4 2 2 2_Tertiary Salaries Survey" xfId="10499" xr:uid="{00000000-0005-0000-0000-000016290000}"/>
    <cellStyle name="RowTitles1-Detail 3 2 4 2 2 3" xfId="10500" xr:uid="{00000000-0005-0000-0000-000017290000}"/>
    <cellStyle name="RowTitles1-Detail 3 2 4 2 2_Tertiary Salaries Survey" xfId="10501" xr:uid="{00000000-0005-0000-0000-000018290000}"/>
    <cellStyle name="RowTitles1-Detail 3 2 4 2 3" xfId="10502" xr:uid="{00000000-0005-0000-0000-000019290000}"/>
    <cellStyle name="RowTitles1-Detail 3 2 4 2 3 2" xfId="10503" xr:uid="{00000000-0005-0000-0000-00001A290000}"/>
    <cellStyle name="RowTitles1-Detail 3 2 4 2 3 2 2" xfId="10504" xr:uid="{00000000-0005-0000-0000-00001B290000}"/>
    <cellStyle name="RowTitles1-Detail 3 2 4 2 3 2_Tertiary Salaries Survey" xfId="10505" xr:uid="{00000000-0005-0000-0000-00001C290000}"/>
    <cellStyle name="RowTitles1-Detail 3 2 4 2 3 3" xfId="10506" xr:uid="{00000000-0005-0000-0000-00001D290000}"/>
    <cellStyle name="RowTitles1-Detail 3 2 4 2 3_Tertiary Salaries Survey" xfId="10507" xr:uid="{00000000-0005-0000-0000-00001E290000}"/>
    <cellStyle name="RowTitles1-Detail 3 2 4 2 4" xfId="10508" xr:uid="{00000000-0005-0000-0000-00001F290000}"/>
    <cellStyle name="RowTitles1-Detail 3 2 4 2 5" xfId="10509" xr:uid="{00000000-0005-0000-0000-000020290000}"/>
    <cellStyle name="RowTitles1-Detail 3 2 4 2 5 2" xfId="10510" xr:uid="{00000000-0005-0000-0000-000021290000}"/>
    <cellStyle name="RowTitles1-Detail 3 2 4 2 5_Tertiary Salaries Survey" xfId="10511" xr:uid="{00000000-0005-0000-0000-000022290000}"/>
    <cellStyle name="RowTitles1-Detail 3 2 4 2 6" xfId="10512" xr:uid="{00000000-0005-0000-0000-000023290000}"/>
    <cellStyle name="RowTitles1-Detail 3 2 4 2_Tertiary Salaries Survey" xfId="10513" xr:uid="{00000000-0005-0000-0000-000024290000}"/>
    <cellStyle name="RowTitles1-Detail 3 2 4 3" xfId="10514" xr:uid="{00000000-0005-0000-0000-000025290000}"/>
    <cellStyle name="RowTitles1-Detail 3 2 4 3 2" xfId="10515" xr:uid="{00000000-0005-0000-0000-000026290000}"/>
    <cellStyle name="RowTitles1-Detail 3 2 4 3 2 2" xfId="10516" xr:uid="{00000000-0005-0000-0000-000027290000}"/>
    <cellStyle name="RowTitles1-Detail 3 2 4 3 2 2 2" xfId="10517" xr:uid="{00000000-0005-0000-0000-000028290000}"/>
    <cellStyle name="RowTitles1-Detail 3 2 4 3 2 2_Tertiary Salaries Survey" xfId="10518" xr:uid="{00000000-0005-0000-0000-000029290000}"/>
    <cellStyle name="RowTitles1-Detail 3 2 4 3 2 3" xfId="10519" xr:uid="{00000000-0005-0000-0000-00002A290000}"/>
    <cellStyle name="RowTitles1-Detail 3 2 4 3 2_Tertiary Salaries Survey" xfId="10520" xr:uid="{00000000-0005-0000-0000-00002B290000}"/>
    <cellStyle name="RowTitles1-Detail 3 2 4 3 3" xfId="10521" xr:uid="{00000000-0005-0000-0000-00002C290000}"/>
    <cellStyle name="RowTitles1-Detail 3 2 4 3 3 2" xfId="10522" xr:uid="{00000000-0005-0000-0000-00002D290000}"/>
    <cellStyle name="RowTitles1-Detail 3 2 4 3 3 2 2" xfId="10523" xr:uid="{00000000-0005-0000-0000-00002E290000}"/>
    <cellStyle name="RowTitles1-Detail 3 2 4 3 3 2_Tertiary Salaries Survey" xfId="10524" xr:uid="{00000000-0005-0000-0000-00002F290000}"/>
    <cellStyle name="RowTitles1-Detail 3 2 4 3 3 3" xfId="10525" xr:uid="{00000000-0005-0000-0000-000030290000}"/>
    <cellStyle name="RowTitles1-Detail 3 2 4 3 3_Tertiary Salaries Survey" xfId="10526" xr:uid="{00000000-0005-0000-0000-000031290000}"/>
    <cellStyle name="RowTitles1-Detail 3 2 4 3 4" xfId="10527" xr:uid="{00000000-0005-0000-0000-000032290000}"/>
    <cellStyle name="RowTitles1-Detail 3 2 4 3 5" xfId="10528" xr:uid="{00000000-0005-0000-0000-000033290000}"/>
    <cellStyle name="RowTitles1-Detail 3 2 4 3_Tertiary Salaries Survey" xfId="10529" xr:uid="{00000000-0005-0000-0000-000034290000}"/>
    <cellStyle name="RowTitles1-Detail 3 2 4 4" xfId="10530" xr:uid="{00000000-0005-0000-0000-000035290000}"/>
    <cellStyle name="RowTitles1-Detail 3 2 4 4 2" xfId="10531" xr:uid="{00000000-0005-0000-0000-000036290000}"/>
    <cellStyle name="RowTitles1-Detail 3 2 4 4 2 2" xfId="10532" xr:uid="{00000000-0005-0000-0000-000037290000}"/>
    <cellStyle name="RowTitles1-Detail 3 2 4 4 2 2 2" xfId="10533" xr:uid="{00000000-0005-0000-0000-000038290000}"/>
    <cellStyle name="RowTitles1-Detail 3 2 4 4 2 2_Tertiary Salaries Survey" xfId="10534" xr:uid="{00000000-0005-0000-0000-000039290000}"/>
    <cellStyle name="RowTitles1-Detail 3 2 4 4 2 3" xfId="10535" xr:uid="{00000000-0005-0000-0000-00003A290000}"/>
    <cellStyle name="RowTitles1-Detail 3 2 4 4 2_Tertiary Salaries Survey" xfId="10536" xr:uid="{00000000-0005-0000-0000-00003B290000}"/>
    <cellStyle name="RowTitles1-Detail 3 2 4 4 3" xfId="10537" xr:uid="{00000000-0005-0000-0000-00003C290000}"/>
    <cellStyle name="RowTitles1-Detail 3 2 4 4 3 2" xfId="10538" xr:uid="{00000000-0005-0000-0000-00003D290000}"/>
    <cellStyle name="RowTitles1-Detail 3 2 4 4 3 2 2" xfId="10539" xr:uid="{00000000-0005-0000-0000-00003E290000}"/>
    <cellStyle name="RowTitles1-Detail 3 2 4 4 3 2_Tertiary Salaries Survey" xfId="10540" xr:uid="{00000000-0005-0000-0000-00003F290000}"/>
    <cellStyle name="RowTitles1-Detail 3 2 4 4 3 3" xfId="10541" xr:uid="{00000000-0005-0000-0000-000040290000}"/>
    <cellStyle name="RowTitles1-Detail 3 2 4 4 3_Tertiary Salaries Survey" xfId="10542" xr:uid="{00000000-0005-0000-0000-000041290000}"/>
    <cellStyle name="RowTitles1-Detail 3 2 4 4 4" xfId="10543" xr:uid="{00000000-0005-0000-0000-000042290000}"/>
    <cellStyle name="RowTitles1-Detail 3 2 4 4 4 2" xfId="10544" xr:uid="{00000000-0005-0000-0000-000043290000}"/>
    <cellStyle name="RowTitles1-Detail 3 2 4 4 4_Tertiary Salaries Survey" xfId="10545" xr:uid="{00000000-0005-0000-0000-000044290000}"/>
    <cellStyle name="RowTitles1-Detail 3 2 4 4 5" xfId="10546" xr:uid="{00000000-0005-0000-0000-000045290000}"/>
    <cellStyle name="RowTitles1-Detail 3 2 4 4_Tertiary Salaries Survey" xfId="10547" xr:uid="{00000000-0005-0000-0000-000046290000}"/>
    <cellStyle name="RowTitles1-Detail 3 2 4 5" xfId="10548" xr:uid="{00000000-0005-0000-0000-000047290000}"/>
    <cellStyle name="RowTitles1-Detail 3 2 4 5 2" xfId="10549" xr:uid="{00000000-0005-0000-0000-000048290000}"/>
    <cellStyle name="RowTitles1-Detail 3 2 4 5 2 2" xfId="10550" xr:uid="{00000000-0005-0000-0000-000049290000}"/>
    <cellStyle name="RowTitles1-Detail 3 2 4 5 2 2 2" xfId="10551" xr:uid="{00000000-0005-0000-0000-00004A290000}"/>
    <cellStyle name="RowTitles1-Detail 3 2 4 5 2 2_Tertiary Salaries Survey" xfId="10552" xr:uid="{00000000-0005-0000-0000-00004B290000}"/>
    <cellStyle name="RowTitles1-Detail 3 2 4 5 2 3" xfId="10553" xr:uid="{00000000-0005-0000-0000-00004C290000}"/>
    <cellStyle name="RowTitles1-Detail 3 2 4 5 2_Tertiary Salaries Survey" xfId="10554" xr:uid="{00000000-0005-0000-0000-00004D290000}"/>
    <cellStyle name="RowTitles1-Detail 3 2 4 5 3" xfId="10555" xr:uid="{00000000-0005-0000-0000-00004E290000}"/>
    <cellStyle name="RowTitles1-Detail 3 2 4 5 3 2" xfId="10556" xr:uid="{00000000-0005-0000-0000-00004F290000}"/>
    <cellStyle name="RowTitles1-Detail 3 2 4 5 3 2 2" xfId="10557" xr:uid="{00000000-0005-0000-0000-000050290000}"/>
    <cellStyle name="RowTitles1-Detail 3 2 4 5 3 2_Tertiary Salaries Survey" xfId="10558" xr:uid="{00000000-0005-0000-0000-000051290000}"/>
    <cellStyle name="RowTitles1-Detail 3 2 4 5 3 3" xfId="10559" xr:uid="{00000000-0005-0000-0000-000052290000}"/>
    <cellStyle name="RowTitles1-Detail 3 2 4 5 3_Tertiary Salaries Survey" xfId="10560" xr:uid="{00000000-0005-0000-0000-000053290000}"/>
    <cellStyle name="RowTitles1-Detail 3 2 4 5 4" xfId="10561" xr:uid="{00000000-0005-0000-0000-000054290000}"/>
    <cellStyle name="RowTitles1-Detail 3 2 4 5 4 2" xfId="10562" xr:uid="{00000000-0005-0000-0000-000055290000}"/>
    <cellStyle name="RowTitles1-Detail 3 2 4 5 4_Tertiary Salaries Survey" xfId="10563" xr:uid="{00000000-0005-0000-0000-000056290000}"/>
    <cellStyle name="RowTitles1-Detail 3 2 4 5 5" xfId="10564" xr:uid="{00000000-0005-0000-0000-000057290000}"/>
    <cellStyle name="RowTitles1-Detail 3 2 4 5_Tertiary Salaries Survey" xfId="10565" xr:uid="{00000000-0005-0000-0000-000058290000}"/>
    <cellStyle name="RowTitles1-Detail 3 2 4 6" xfId="10566" xr:uid="{00000000-0005-0000-0000-000059290000}"/>
    <cellStyle name="RowTitles1-Detail 3 2 4 6 2" xfId="10567" xr:uid="{00000000-0005-0000-0000-00005A290000}"/>
    <cellStyle name="RowTitles1-Detail 3 2 4 6 2 2" xfId="10568" xr:uid="{00000000-0005-0000-0000-00005B290000}"/>
    <cellStyle name="RowTitles1-Detail 3 2 4 6 2 2 2" xfId="10569" xr:uid="{00000000-0005-0000-0000-00005C290000}"/>
    <cellStyle name="RowTitles1-Detail 3 2 4 6 2 2_Tertiary Salaries Survey" xfId="10570" xr:uid="{00000000-0005-0000-0000-00005D290000}"/>
    <cellStyle name="RowTitles1-Detail 3 2 4 6 2 3" xfId="10571" xr:uid="{00000000-0005-0000-0000-00005E290000}"/>
    <cellStyle name="RowTitles1-Detail 3 2 4 6 2_Tertiary Salaries Survey" xfId="10572" xr:uid="{00000000-0005-0000-0000-00005F290000}"/>
    <cellStyle name="RowTitles1-Detail 3 2 4 6 3" xfId="10573" xr:uid="{00000000-0005-0000-0000-000060290000}"/>
    <cellStyle name="RowTitles1-Detail 3 2 4 6 3 2" xfId="10574" xr:uid="{00000000-0005-0000-0000-000061290000}"/>
    <cellStyle name="RowTitles1-Detail 3 2 4 6 3 2 2" xfId="10575" xr:uid="{00000000-0005-0000-0000-000062290000}"/>
    <cellStyle name="RowTitles1-Detail 3 2 4 6 3 2_Tertiary Salaries Survey" xfId="10576" xr:uid="{00000000-0005-0000-0000-000063290000}"/>
    <cellStyle name="RowTitles1-Detail 3 2 4 6 3 3" xfId="10577" xr:uid="{00000000-0005-0000-0000-000064290000}"/>
    <cellStyle name="RowTitles1-Detail 3 2 4 6 3_Tertiary Salaries Survey" xfId="10578" xr:uid="{00000000-0005-0000-0000-000065290000}"/>
    <cellStyle name="RowTitles1-Detail 3 2 4 6 4" xfId="10579" xr:uid="{00000000-0005-0000-0000-000066290000}"/>
    <cellStyle name="RowTitles1-Detail 3 2 4 6 4 2" xfId="10580" xr:uid="{00000000-0005-0000-0000-000067290000}"/>
    <cellStyle name="RowTitles1-Detail 3 2 4 6 4_Tertiary Salaries Survey" xfId="10581" xr:uid="{00000000-0005-0000-0000-000068290000}"/>
    <cellStyle name="RowTitles1-Detail 3 2 4 6 5" xfId="10582" xr:uid="{00000000-0005-0000-0000-000069290000}"/>
    <cellStyle name="RowTitles1-Detail 3 2 4 6_Tertiary Salaries Survey" xfId="10583" xr:uid="{00000000-0005-0000-0000-00006A290000}"/>
    <cellStyle name="RowTitles1-Detail 3 2 4 7" xfId="10584" xr:uid="{00000000-0005-0000-0000-00006B290000}"/>
    <cellStyle name="RowTitles1-Detail 3 2 4 7 2" xfId="10585" xr:uid="{00000000-0005-0000-0000-00006C290000}"/>
    <cellStyle name="RowTitles1-Detail 3 2 4 7 2 2" xfId="10586" xr:uid="{00000000-0005-0000-0000-00006D290000}"/>
    <cellStyle name="RowTitles1-Detail 3 2 4 7 2_Tertiary Salaries Survey" xfId="10587" xr:uid="{00000000-0005-0000-0000-00006E290000}"/>
    <cellStyle name="RowTitles1-Detail 3 2 4 7 3" xfId="10588" xr:uid="{00000000-0005-0000-0000-00006F290000}"/>
    <cellStyle name="RowTitles1-Detail 3 2 4 7_Tertiary Salaries Survey" xfId="10589" xr:uid="{00000000-0005-0000-0000-000070290000}"/>
    <cellStyle name="RowTitles1-Detail 3 2 4 8" xfId="10590" xr:uid="{00000000-0005-0000-0000-000071290000}"/>
    <cellStyle name="RowTitles1-Detail 3 2 4 8 2" xfId="10591" xr:uid="{00000000-0005-0000-0000-000072290000}"/>
    <cellStyle name="RowTitles1-Detail 3 2 4 8 2 2" xfId="10592" xr:uid="{00000000-0005-0000-0000-000073290000}"/>
    <cellStyle name="RowTitles1-Detail 3 2 4 8 2_Tertiary Salaries Survey" xfId="10593" xr:uid="{00000000-0005-0000-0000-000074290000}"/>
    <cellStyle name="RowTitles1-Detail 3 2 4 8 3" xfId="10594" xr:uid="{00000000-0005-0000-0000-000075290000}"/>
    <cellStyle name="RowTitles1-Detail 3 2 4 8_Tertiary Salaries Survey" xfId="10595" xr:uid="{00000000-0005-0000-0000-000076290000}"/>
    <cellStyle name="RowTitles1-Detail 3 2 4 9" xfId="10596" xr:uid="{00000000-0005-0000-0000-000077290000}"/>
    <cellStyle name="RowTitles1-Detail 3 2 4_STUD aligned by INSTIT" xfId="10597" xr:uid="{00000000-0005-0000-0000-000078290000}"/>
    <cellStyle name="RowTitles1-Detail 3 2 5" xfId="10598" xr:uid="{00000000-0005-0000-0000-000079290000}"/>
    <cellStyle name="RowTitles1-Detail 3 2 5 2" xfId="10599" xr:uid="{00000000-0005-0000-0000-00007A290000}"/>
    <cellStyle name="RowTitles1-Detail 3 2 5 2 2" xfId="10600" xr:uid="{00000000-0005-0000-0000-00007B290000}"/>
    <cellStyle name="RowTitles1-Detail 3 2 5 2 2 2" xfId="10601" xr:uid="{00000000-0005-0000-0000-00007C290000}"/>
    <cellStyle name="RowTitles1-Detail 3 2 5 2 2 2 2" xfId="10602" xr:uid="{00000000-0005-0000-0000-00007D290000}"/>
    <cellStyle name="RowTitles1-Detail 3 2 5 2 2 2_Tertiary Salaries Survey" xfId="10603" xr:uid="{00000000-0005-0000-0000-00007E290000}"/>
    <cellStyle name="RowTitles1-Detail 3 2 5 2 2 3" xfId="10604" xr:uid="{00000000-0005-0000-0000-00007F290000}"/>
    <cellStyle name="RowTitles1-Detail 3 2 5 2 2_Tertiary Salaries Survey" xfId="10605" xr:uid="{00000000-0005-0000-0000-000080290000}"/>
    <cellStyle name="RowTitles1-Detail 3 2 5 2 3" xfId="10606" xr:uid="{00000000-0005-0000-0000-000081290000}"/>
    <cellStyle name="RowTitles1-Detail 3 2 5 2 3 2" xfId="10607" xr:uid="{00000000-0005-0000-0000-000082290000}"/>
    <cellStyle name="RowTitles1-Detail 3 2 5 2 3 2 2" xfId="10608" xr:uid="{00000000-0005-0000-0000-000083290000}"/>
    <cellStyle name="RowTitles1-Detail 3 2 5 2 3 2_Tertiary Salaries Survey" xfId="10609" xr:uid="{00000000-0005-0000-0000-000084290000}"/>
    <cellStyle name="RowTitles1-Detail 3 2 5 2 3 3" xfId="10610" xr:uid="{00000000-0005-0000-0000-000085290000}"/>
    <cellStyle name="RowTitles1-Detail 3 2 5 2 3_Tertiary Salaries Survey" xfId="10611" xr:uid="{00000000-0005-0000-0000-000086290000}"/>
    <cellStyle name="RowTitles1-Detail 3 2 5 2 4" xfId="10612" xr:uid="{00000000-0005-0000-0000-000087290000}"/>
    <cellStyle name="RowTitles1-Detail 3 2 5 2 5" xfId="10613" xr:uid="{00000000-0005-0000-0000-000088290000}"/>
    <cellStyle name="RowTitles1-Detail 3 2 5 2 5 2" xfId="10614" xr:uid="{00000000-0005-0000-0000-000089290000}"/>
    <cellStyle name="RowTitles1-Detail 3 2 5 2 5_Tertiary Salaries Survey" xfId="10615" xr:uid="{00000000-0005-0000-0000-00008A290000}"/>
    <cellStyle name="RowTitles1-Detail 3 2 5 2 6" xfId="10616" xr:uid="{00000000-0005-0000-0000-00008B290000}"/>
    <cellStyle name="RowTitles1-Detail 3 2 5 2_Tertiary Salaries Survey" xfId="10617" xr:uid="{00000000-0005-0000-0000-00008C290000}"/>
    <cellStyle name="RowTitles1-Detail 3 2 5 3" xfId="10618" xr:uid="{00000000-0005-0000-0000-00008D290000}"/>
    <cellStyle name="RowTitles1-Detail 3 2 5 3 2" xfId="10619" xr:uid="{00000000-0005-0000-0000-00008E290000}"/>
    <cellStyle name="RowTitles1-Detail 3 2 5 3 2 2" xfId="10620" xr:uid="{00000000-0005-0000-0000-00008F290000}"/>
    <cellStyle name="RowTitles1-Detail 3 2 5 3 2 2 2" xfId="10621" xr:uid="{00000000-0005-0000-0000-000090290000}"/>
    <cellStyle name="RowTitles1-Detail 3 2 5 3 2 2_Tertiary Salaries Survey" xfId="10622" xr:uid="{00000000-0005-0000-0000-000091290000}"/>
    <cellStyle name="RowTitles1-Detail 3 2 5 3 2 3" xfId="10623" xr:uid="{00000000-0005-0000-0000-000092290000}"/>
    <cellStyle name="RowTitles1-Detail 3 2 5 3 2_Tertiary Salaries Survey" xfId="10624" xr:uid="{00000000-0005-0000-0000-000093290000}"/>
    <cellStyle name="RowTitles1-Detail 3 2 5 3 3" xfId="10625" xr:uid="{00000000-0005-0000-0000-000094290000}"/>
    <cellStyle name="RowTitles1-Detail 3 2 5 3 3 2" xfId="10626" xr:uid="{00000000-0005-0000-0000-000095290000}"/>
    <cellStyle name="RowTitles1-Detail 3 2 5 3 3 2 2" xfId="10627" xr:uid="{00000000-0005-0000-0000-000096290000}"/>
    <cellStyle name="RowTitles1-Detail 3 2 5 3 3 2_Tertiary Salaries Survey" xfId="10628" xr:uid="{00000000-0005-0000-0000-000097290000}"/>
    <cellStyle name="RowTitles1-Detail 3 2 5 3 3 3" xfId="10629" xr:uid="{00000000-0005-0000-0000-000098290000}"/>
    <cellStyle name="RowTitles1-Detail 3 2 5 3 3_Tertiary Salaries Survey" xfId="10630" xr:uid="{00000000-0005-0000-0000-000099290000}"/>
    <cellStyle name="RowTitles1-Detail 3 2 5 3 4" xfId="10631" xr:uid="{00000000-0005-0000-0000-00009A290000}"/>
    <cellStyle name="RowTitles1-Detail 3 2 5 3 5" xfId="10632" xr:uid="{00000000-0005-0000-0000-00009B290000}"/>
    <cellStyle name="RowTitles1-Detail 3 2 5 3_Tertiary Salaries Survey" xfId="10633" xr:uid="{00000000-0005-0000-0000-00009C290000}"/>
    <cellStyle name="RowTitles1-Detail 3 2 5 4" xfId="10634" xr:uid="{00000000-0005-0000-0000-00009D290000}"/>
    <cellStyle name="RowTitles1-Detail 3 2 5 4 2" xfId="10635" xr:uid="{00000000-0005-0000-0000-00009E290000}"/>
    <cellStyle name="RowTitles1-Detail 3 2 5 4 2 2" xfId="10636" xr:uid="{00000000-0005-0000-0000-00009F290000}"/>
    <cellStyle name="RowTitles1-Detail 3 2 5 4 2 2 2" xfId="10637" xr:uid="{00000000-0005-0000-0000-0000A0290000}"/>
    <cellStyle name="RowTitles1-Detail 3 2 5 4 2 2_Tertiary Salaries Survey" xfId="10638" xr:uid="{00000000-0005-0000-0000-0000A1290000}"/>
    <cellStyle name="RowTitles1-Detail 3 2 5 4 2 3" xfId="10639" xr:uid="{00000000-0005-0000-0000-0000A2290000}"/>
    <cellStyle name="RowTitles1-Detail 3 2 5 4 2_Tertiary Salaries Survey" xfId="10640" xr:uid="{00000000-0005-0000-0000-0000A3290000}"/>
    <cellStyle name="RowTitles1-Detail 3 2 5 4 3" xfId="10641" xr:uid="{00000000-0005-0000-0000-0000A4290000}"/>
    <cellStyle name="RowTitles1-Detail 3 2 5 4 3 2" xfId="10642" xr:uid="{00000000-0005-0000-0000-0000A5290000}"/>
    <cellStyle name="RowTitles1-Detail 3 2 5 4 3 2 2" xfId="10643" xr:uid="{00000000-0005-0000-0000-0000A6290000}"/>
    <cellStyle name="RowTitles1-Detail 3 2 5 4 3 2_Tertiary Salaries Survey" xfId="10644" xr:uid="{00000000-0005-0000-0000-0000A7290000}"/>
    <cellStyle name="RowTitles1-Detail 3 2 5 4 3 3" xfId="10645" xr:uid="{00000000-0005-0000-0000-0000A8290000}"/>
    <cellStyle name="RowTitles1-Detail 3 2 5 4 3_Tertiary Salaries Survey" xfId="10646" xr:uid="{00000000-0005-0000-0000-0000A9290000}"/>
    <cellStyle name="RowTitles1-Detail 3 2 5 4 4" xfId="10647" xr:uid="{00000000-0005-0000-0000-0000AA290000}"/>
    <cellStyle name="RowTitles1-Detail 3 2 5 4 5" xfId="10648" xr:uid="{00000000-0005-0000-0000-0000AB290000}"/>
    <cellStyle name="RowTitles1-Detail 3 2 5 4 5 2" xfId="10649" xr:uid="{00000000-0005-0000-0000-0000AC290000}"/>
    <cellStyle name="RowTitles1-Detail 3 2 5 4 5_Tertiary Salaries Survey" xfId="10650" xr:uid="{00000000-0005-0000-0000-0000AD290000}"/>
    <cellStyle name="RowTitles1-Detail 3 2 5 4 6" xfId="10651" xr:uid="{00000000-0005-0000-0000-0000AE290000}"/>
    <cellStyle name="RowTitles1-Detail 3 2 5 4_Tertiary Salaries Survey" xfId="10652" xr:uid="{00000000-0005-0000-0000-0000AF290000}"/>
    <cellStyle name="RowTitles1-Detail 3 2 5 5" xfId="10653" xr:uid="{00000000-0005-0000-0000-0000B0290000}"/>
    <cellStyle name="RowTitles1-Detail 3 2 5 5 2" xfId="10654" xr:uid="{00000000-0005-0000-0000-0000B1290000}"/>
    <cellStyle name="RowTitles1-Detail 3 2 5 5 2 2" xfId="10655" xr:uid="{00000000-0005-0000-0000-0000B2290000}"/>
    <cellStyle name="RowTitles1-Detail 3 2 5 5 2 2 2" xfId="10656" xr:uid="{00000000-0005-0000-0000-0000B3290000}"/>
    <cellStyle name="RowTitles1-Detail 3 2 5 5 2 2_Tertiary Salaries Survey" xfId="10657" xr:uid="{00000000-0005-0000-0000-0000B4290000}"/>
    <cellStyle name="RowTitles1-Detail 3 2 5 5 2 3" xfId="10658" xr:uid="{00000000-0005-0000-0000-0000B5290000}"/>
    <cellStyle name="RowTitles1-Detail 3 2 5 5 2_Tertiary Salaries Survey" xfId="10659" xr:uid="{00000000-0005-0000-0000-0000B6290000}"/>
    <cellStyle name="RowTitles1-Detail 3 2 5 5 3" xfId="10660" xr:uid="{00000000-0005-0000-0000-0000B7290000}"/>
    <cellStyle name="RowTitles1-Detail 3 2 5 5 3 2" xfId="10661" xr:uid="{00000000-0005-0000-0000-0000B8290000}"/>
    <cellStyle name="RowTitles1-Detail 3 2 5 5 3 2 2" xfId="10662" xr:uid="{00000000-0005-0000-0000-0000B9290000}"/>
    <cellStyle name="RowTitles1-Detail 3 2 5 5 3 2_Tertiary Salaries Survey" xfId="10663" xr:uid="{00000000-0005-0000-0000-0000BA290000}"/>
    <cellStyle name="RowTitles1-Detail 3 2 5 5 3 3" xfId="10664" xr:uid="{00000000-0005-0000-0000-0000BB290000}"/>
    <cellStyle name="RowTitles1-Detail 3 2 5 5 3_Tertiary Salaries Survey" xfId="10665" xr:uid="{00000000-0005-0000-0000-0000BC290000}"/>
    <cellStyle name="RowTitles1-Detail 3 2 5 5 4" xfId="10666" xr:uid="{00000000-0005-0000-0000-0000BD290000}"/>
    <cellStyle name="RowTitles1-Detail 3 2 5 5 4 2" xfId="10667" xr:uid="{00000000-0005-0000-0000-0000BE290000}"/>
    <cellStyle name="RowTitles1-Detail 3 2 5 5 4_Tertiary Salaries Survey" xfId="10668" xr:uid="{00000000-0005-0000-0000-0000BF290000}"/>
    <cellStyle name="RowTitles1-Detail 3 2 5 5 5" xfId="10669" xr:uid="{00000000-0005-0000-0000-0000C0290000}"/>
    <cellStyle name="RowTitles1-Detail 3 2 5 5_Tertiary Salaries Survey" xfId="10670" xr:uid="{00000000-0005-0000-0000-0000C1290000}"/>
    <cellStyle name="RowTitles1-Detail 3 2 5 6" xfId="10671" xr:uid="{00000000-0005-0000-0000-0000C2290000}"/>
    <cellStyle name="RowTitles1-Detail 3 2 5 6 2" xfId="10672" xr:uid="{00000000-0005-0000-0000-0000C3290000}"/>
    <cellStyle name="RowTitles1-Detail 3 2 5 6 2 2" xfId="10673" xr:uid="{00000000-0005-0000-0000-0000C4290000}"/>
    <cellStyle name="RowTitles1-Detail 3 2 5 6 2 2 2" xfId="10674" xr:uid="{00000000-0005-0000-0000-0000C5290000}"/>
    <cellStyle name="RowTitles1-Detail 3 2 5 6 2 2_Tertiary Salaries Survey" xfId="10675" xr:uid="{00000000-0005-0000-0000-0000C6290000}"/>
    <cellStyle name="RowTitles1-Detail 3 2 5 6 2 3" xfId="10676" xr:uid="{00000000-0005-0000-0000-0000C7290000}"/>
    <cellStyle name="RowTitles1-Detail 3 2 5 6 2_Tertiary Salaries Survey" xfId="10677" xr:uid="{00000000-0005-0000-0000-0000C8290000}"/>
    <cellStyle name="RowTitles1-Detail 3 2 5 6 3" xfId="10678" xr:uid="{00000000-0005-0000-0000-0000C9290000}"/>
    <cellStyle name="RowTitles1-Detail 3 2 5 6 3 2" xfId="10679" xr:uid="{00000000-0005-0000-0000-0000CA290000}"/>
    <cellStyle name="RowTitles1-Detail 3 2 5 6 3 2 2" xfId="10680" xr:uid="{00000000-0005-0000-0000-0000CB290000}"/>
    <cellStyle name="RowTitles1-Detail 3 2 5 6 3 2_Tertiary Salaries Survey" xfId="10681" xr:uid="{00000000-0005-0000-0000-0000CC290000}"/>
    <cellStyle name="RowTitles1-Detail 3 2 5 6 3 3" xfId="10682" xr:uid="{00000000-0005-0000-0000-0000CD290000}"/>
    <cellStyle name="RowTitles1-Detail 3 2 5 6 3_Tertiary Salaries Survey" xfId="10683" xr:uid="{00000000-0005-0000-0000-0000CE290000}"/>
    <cellStyle name="RowTitles1-Detail 3 2 5 6 4" xfId="10684" xr:uid="{00000000-0005-0000-0000-0000CF290000}"/>
    <cellStyle name="RowTitles1-Detail 3 2 5 6 4 2" xfId="10685" xr:uid="{00000000-0005-0000-0000-0000D0290000}"/>
    <cellStyle name="RowTitles1-Detail 3 2 5 6 4_Tertiary Salaries Survey" xfId="10686" xr:uid="{00000000-0005-0000-0000-0000D1290000}"/>
    <cellStyle name="RowTitles1-Detail 3 2 5 6 5" xfId="10687" xr:uid="{00000000-0005-0000-0000-0000D2290000}"/>
    <cellStyle name="RowTitles1-Detail 3 2 5 6_Tertiary Salaries Survey" xfId="10688" xr:uid="{00000000-0005-0000-0000-0000D3290000}"/>
    <cellStyle name="RowTitles1-Detail 3 2 5 7" xfId="10689" xr:uid="{00000000-0005-0000-0000-0000D4290000}"/>
    <cellStyle name="RowTitles1-Detail 3 2 5 7 2" xfId="10690" xr:uid="{00000000-0005-0000-0000-0000D5290000}"/>
    <cellStyle name="RowTitles1-Detail 3 2 5 7 2 2" xfId="10691" xr:uid="{00000000-0005-0000-0000-0000D6290000}"/>
    <cellStyle name="RowTitles1-Detail 3 2 5 7 2_Tertiary Salaries Survey" xfId="10692" xr:uid="{00000000-0005-0000-0000-0000D7290000}"/>
    <cellStyle name="RowTitles1-Detail 3 2 5 7 3" xfId="10693" xr:uid="{00000000-0005-0000-0000-0000D8290000}"/>
    <cellStyle name="RowTitles1-Detail 3 2 5 7_Tertiary Salaries Survey" xfId="10694" xr:uid="{00000000-0005-0000-0000-0000D9290000}"/>
    <cellStyle name="RowTitles1-Detail 3 2 5 8" xfId="10695" xr:uid="{00000000-0005-0000-0000-0000DA290000}"/>
    <cellStyle name="RowTitles1-Detail 3 2 5 9" xfId="10696" xr:uid="{00000000-0005-0000-0000-0000DB290000}"/>
    <cellStyle name="RowTitles1-Detail 3 2 5_STUD aligned by INSTIT" xfId="10697" xr:uid="{00000000-0005-0000-0000-0000DC290000}"/>
    <cellStyle name="RowTitles1-Detail 3 2 6" xfId="10698" xr:uid="{00000000-0005-0000-0000-0000DD290000}"/>
    <cellStyle name="RowTitles1-Detail 3 2 6 2" xfId="10699" xr:uid="{00000000-0005-0000-0000-0000DE290000}"/>
    <cellStyle name="RowTitles1-Detail 3 2 6 2 2" xfId="10700" xr:uid="{00000000-0005-0000-0000-0000DF290000}"/>
    <cellStyle name="RowTitles1-Detail 3 2 6 2 2 2" xfId="10701" xr:uid="{00000000-0005-0000-0000-0000E0290000}"/>
    <cellStyle name="RowTitles1-Detail 3 2 6 2 2_Tertiary Salaries Survey" xfId="10702" xr:uid="{00000000-0005-0000-0000-0000E1290000}"/>
    <cellStyle name="RowTitles1-Detail 3 2 6 2 3" xfId="10703" xr:uid="{00000000-0005-0000-0000-0000E2290000}"/>
    <cellStyle name="RowTitles1-Detail 3 2 6 2_Tertiary Salaries Survey" xfId="10704" xr:uid="{00000000-0005-0000-0000-0000E3290000}"/>
    <cellStyle name="RowTitles1-Detail 3 2 6 3" xfId="10705" xr:uid="{00000000-0005-0000-0000-0000E4290000}"/>
    <cellStyle name="RowTitles1-Detail 3 2 6 3 2" xfId="10706" xr:uid="{00000000-0005-0000-0000-0000E5290000}"/>
    <cellStyle name="RowTitles1-Detail 3 2 6 3 2 2" xfId="10707" xr:uid="{00000000-0005-0000-0000-0000E6290000}"/>
    <cellStyle name="RowTitles1-Detail 3 2 6 3 2_Tertiary Salaries Survey" xfId="10708" xr:uid="{00000000-0005-0000-0000-0000E7290000}"/>
    <cellStyle name="RowTitles1-Detail 3 2 6 3 3" xfId="10709" xr:uid="{00000000-0005-0000-0000-0000E8290000}"/>
    <cellStyle name="RowTitles1-Detail 3 2 6 3_Tertiary Salaries Survey" xfId="10710" xr:uid="{00000000-0005-0000-0000-0000E9290000}"/>
    <cellStyle name="RowTitles1-Detail 3 2 6 4" xfId="10711" xr:uid="{00000000-0005-0000-0000-0000EA290000}"/>
    <cellStyle name="RowTitles1-Detail 3 2 6 5" xfId="10712" xr:uid="{00000000-0005-0000-0000-0000EB290000}"/>
    <cellStyle name="RowTitles1-Detail 3 2 6 5 2" xfId="10713" xr:uid="{00000000-0005-0000-0000-0000EC290000}"/>
    <cellStyle name="RowTitles1-Detail 3 2 6 5_Tertiary Salaries Survey" xfId="10714" xr:uid="{00000000-0005-0000-0000-0000ED290000}"/>
    <cellStyle name="RowTitles1-Detail 3 2 6 6" xfId="10715" xr:uid="{00000000-0005-0000-0000-0000EE290000}"/>
    <cellStyle name="RowTitles1-Detail 3 2 6_Tertiary Salaries Survey" xfId="10716" xr:uid="{00000000-0005-0000-0000-0000EF290000}"/>
    <cellStyle name="RowTitles1-Detail 3 2 7" xfId="10717" xr:uid="{00000000-0005-0000-0000-0000F0290000}"/>
    <cellStyle name="RowTitles1-Detail 3 2 7 2" xfId="10718" xr:uid="{00000000-0005-0000-0000-0000F1290000}"/>
    <cellStyle name="RowTitles1-Detail 3 2 7 2 2" xfId="10719" xr:uid="{00000000-0005-0000-0000-0000F2290000}"/>
    <cellStyle name="RowTitles1-Detail 3 2 7 2 2 2" xfId="10720" xr:uid="{00000000-0005-0000-0000-0000F3290000}"/>
    <cellStyle name="RowTitles1-Detail 3 2 7 2 2_Tertiary Salaries Survey" xfId="10721" xr:uid="{00000000-0005-0000-0000-0000F4290000}"/>
    <cellStyle name="RowTitles1-Detail 3 2 7 2 3" xfId="10722" xr:uid="{00000000-0005-0000-0000-0000F5290000}"/>
    <cellStyle name="RowTitles1-Detail 3 2 7 2_Tertiary Salaries Survey" xfId="10723" xr:uid="{00000000-0005-0000-0000-0000F6290000}"/>
    <cellStyle name="RowTitles1-Detail 3 2 7 3" xfId="10724" xr:uid="{00000000-0005-0000-0000-0000F7290000}"/>
    <cellStyle name="RowTitles1-Detail 3 2 7 3 2" xfId="10725" xr:uid="{00000000-0005-0000-0000-0000F8290000}"/>
    <cellStyle name="RowTitles1-Detail 3 2 7 3 2 2" xfId="10726" xr:uid="{00000000-0005-0000-0000-0000F9290000}"/>
    <cellStyle name="RowTitles1-Detail 3 2 7 3 2_Tertiary Salaries Survey" xfId="10727" xr:uid="{00000000-0005-0000-0000-0000FA290000}"/>
    <cellStyle name="RowTitles1-Detail 3 2 7 3 3" xfId="10728" xr:uid="{00000000-0005-0000-0000-0000FB290000}"/>
    <cellStyle name="RowTitles1-Detail 3 2 7 3_Tertiary Salaries Survey" xfId="10729" xr:uid="{00000000-0005-0000-0000-0000FC290000}"/>
    <cellStyle name="RowTitles1-Detail 3 2 7 4" xfId="10730" xr:uid="{00000000-0005-0000-0000-0000FD290000}"/>
    <cellStyle name="RowTitles1-Detail 3 2 7 5" xfId="10731" xr:uid="{00000000-0005-0000-0000-0000FE290000}"/>
    <cellStyle name="RowTitles1-Detail 3 2 7_Tertiary Salaries Survey" xfId="10732" xr:uid="{00000000-0005-0000-0000-0000FF290000}"/>
    <cellStyle name="RowTitles1-Detail 3 2 8" xfId="10733" xr:uid="{00000000-0005-0000-0000-0000002A0000}"/>
    <cellStyle name="RowTitles1-Detail 3 2 8 2" xfId="10734" xr:uid="{00000000-0005-0000-0000-0000012A0000}"/>
    <cellStyle name="RowTitles1-Detail 3 2 8 2 2" xfId="10735" xr:uid="{00000000-0005-0000-0000-0000022A0000}"/>
    <cellStyle name="RowTitles1-Detail 3 2 8 2 2 2" xfId="10736" xr:uid="{00000000-0005-0000-0000-0000032A0000}"/>
    <cellStyle name="RowTitles1-Detail 3 2 8 2 2_Tertiary Salaries Survey" xfId="10737" xr:uid="{00000000-0005-0000-0000-0000042A0000}"/>
    <cellStyle name="RowTitles1-Detail 3 2 8 2 3" xfId="10738" xr:uid="{00000000-0005-0000-0000-0000052A0000}"/>
    <cellStyle name="RowTitles1-Detail 3 2 8 2_Tertiary Salaries Survey" xfId="10739" xr:uid="{00000000-0005-0000-0000-0000062A0000}"/>
    <cellStyle name="RowTitles1-Detail 3 2 8 3" xfId="10740" xr:uid="{00000000-0005-0000-0000-0000072A0000}"/>
    <cellStyle name="RowTitles1-Detail 3 2 8 3 2" xfId="10741" xr:uid="{00000000-0005-0000-0000-0000082A0000}"/>
    <cellStyle name="RowTitles1-Detail 3 2 8 3 2 2" xfId="10742" xr:uid="{00000000-0005-0000-0000-0000092A0000}"/>
    <cellStyle name="RowTitles1-Detail 3 2 8 3 2_Tertiary Salaries Survey" xfId="10743" xr:uid="{00000000-0005-0000-0000-00000A2A0000}"/>
    <cellStyle name="RowTitles1-Detail 3 2 8 3 3" xfId="10744" xr:uid="{00000000-0005-0000-0000-00000B2A0000}"/>
    <cellStyle name="RowTitles1-Detail 3 2 8 3_Tertiary Salaries Survey" xfId="10745" xr:uid="{00000000-0005-0000-0000-00000C2A0000}"/>
    <cellStyle name="RowTitles1-Detail 3 2 8 4" xfId="10746" xr:uid="{00000000-0005-0000-0000-00000D2A0000}"/>
    <cellStyle name="RowTitles1-Detail 3 2 8 5" xfId="10747" xr:uid="{00000000-0005-0000-0000-00000E2A0000}"/>
    <cellStyle name="RowTitles1-Detail 3 2 8 5 2" xfId="10748" xr:uid="{00000000-0005-0000-0000-00000F2A0000}"/>
    <cellStyle name="RowTitles1-Detail 3 2 8 5_Tertiary Salaries Survey" xfId="10749" xr:uid="{00000000-0005-0000-0000-0000102A0000}"/>
    <cellStyle name="RowTitles1-Detail 3 2 8 6" xfId="10750" xr:uid="{00000000-0005-0000-0000-0000112A0000}"/>
    <cellStyle name="RowTitles1-Detail 3 2 8_Tertiary Salaries Survey" xfId="10751" xr:uid="{00000000-0005-0000-0000-0000122A0000}"/>
    <cellStyle name="RowTitles1-Detail 3 2 9" xfId="10752" xr:uid="{00000000-0005-0000-0000-0000132A0000}"/>
    <cellStyle name="RowTitles1-Detail 3 2 9 2" xfId="10753" xr:uid="{00000000-0005-0000-0000-0000142A0000}"/>
    <cellStyle name="RowTitles1-Detail 3 2 9 2 2" xfId="10754" xr:uid="{00000000-0005-0000-0000-0000152A0000}"/>
    <cellStyle name="RowTitles1-Detail 3 2 9 2 2 2" xfId="10755" xr:uid="{00000000-0005-0000-0000-0000162A0000}"/>
    <cellStyle name="RowTitles1-Detail 3 2 9 2 2_Tertiary Salaries Survey" xfId="10756" xr:uid="{00000000-0005-0000-0000-0000172A0000}"/>
    <cellStyle name="RowTitles1-Detail 3 2 9 2 3" xfId="10757" xr:uid="{00000000-0005-0000-0000-0000182A0000}"/>
    <cellStyle name="RowTitles1-Detail 3 2 9 2_Tertiary Salaries Survey" xfId="10758" xr:uid="{00000000-0005-0000-0000-0000192A0000}"/>
    <cellStyle name="RowTitles1-Detail 3 2 9 3" xfId="10759" xr:uid="{00000000-0005-0000-0000-00001A2A0000}"/>
    <cellStyle name="RowTitles1-Detail 3 2 9 3 2" xfId="10760" xr:uid="{00000000-0005-0000-0000-00001B2A0000}"/>
    <cellStyle name="RowTitles1-Detail 3 2 9 3 2 2" xfId="10761" xr:uid="{00000000-0005-0000-0000-00001C2A0000}"/>
    <cellStyle name="RowTitles1-Detail 3 2 9 3 2_Tertiary Salaries Survey" xfId="10762" xr:uid="{00000000-0005-0000-0000-00001D2A0000}"/>
    <cellStyle name="RowTitles1-Detail 3 2 9 3 3" xfId="10763" xr:uid="{00000000-0005-0000-0000-00001E2A0000}"/>
    <cellStyle name="RowTitles1-Detail 3 2 9 3_Tertiary Salaries Survey" xfId="10764" xr:uid="{00000000-0005-0000-0000-00001F2A0000}"/>
    <cellStyle name="RowTitles1-Detail 3 2 9 4" xfId="10765" xr:uid="{00000000-0005-0000-0000-0000202A0000}"/>
    <cellStyle name="RowTitles1-Detail 3 2 9 4 2" xfId="10766" xr:uid="{00000000-0005-0000-0000-0000212A0000}"/>
    <cellStyle name="RowTitles1-Detail 3 2 9 4_Tertiary Salaries Survey" xfId="10767" xr:uid="{00000000-0005-0000-0000-0000222A0000}"/>
    <cellStyle name="RowTitles1-Detail 3 2 9 5" xfId="10768" xr:uid="{00000000-0005-0000-0000-0000232A0000}"/>
    <cellStyle name="RowTitles1-Detail 3 2 9_Tertiary Salaries Survey" xfId="10769" xr:uid="{00000000-0005-0000-0000-0000242A0000}"/>
    <cellStyle name="RowTitles1-Detail 3 2_STUD aligned by INSTIT" xfId="10770" xr:uid="{00000000-0005-0000-0000-0000252A0000}"/>
    <cellStyle name="RowTitles1-Detail 3 3" xfId="10771" xr:uid="{00000000-0005-0000-0000-0000262A0000}"/>
    <cellStyle name="RowTitles1-Detail 3 3 10" xfId="10772" xr:uid="{00000000-0005-0000-0000-0000272A0000}"/>
    <cellStyle name="RowTitles1-Detail 3 3 10 2" xfId="10773" xr:uid="{00000000-0005-0000-0000-0000282A0000}"/>
    <cellStyle name="RowTitles1-Detail 3 3 10 2 2" xfId="10774" xr:uid="{00000000-0005-0000-0000-0000292A0000}"/>
    <cellStyle name="RowTitles1-Detail 3 3 10 2_Tertiary Salaries Survey" xfId="10775" xr:uid="{00000000-0005-0000-0000-00002A2A0000}"/>
    <cellStyle name="RowTitles1-Detail 3 3 10 3" xfId="10776" xr:uid="{00000000-0005-0000-0000-00002B2A0000}"/>
    <cellStyle name="RowTitles1-Detail 3 3 10_Tertiary Salaries Survey" xfId="10777" xr:uid="{00000000-0005-0000-0000-00002C2A0000}"/>
    <cellStyle name="RowTitles1-Detail 3 3 11" xfId="10778" xr:uid="{00000000-0005-0000-0000-00002D2A0000}"/>
    <cellStyle name="RowTitles1-Detail 3 3 12" xfId="10779" xr:uid="{00000000-0005-0000-0000-00002E2A0000}"/>
    <cellStyle name="RowTitles1-Detail 3 3 2" xfId="10780" xr:uid="{00000000-0005-0000-0000-00002F2A0000}"/>
    <cellStyle name="RowTitles1-Detail 3 3 2 2" xfId="10781" xr:uid="{00000000-0005-0000-0000-0000302A0000}"/>
    <cellStyle name="RowTitles1-Detail 3 3 2 2 2" xfId="10782" xr:uid="{00000000-0005-0000-0000-0000312A0000}"/>
    <cellStyle name="RowTitles1-Detail 3 3 2 2 2 2" xfId="10783" xr:uid="{00000000-0005-0000-0000-0000322A0000}"/>
    <cellStyle name="RowTitles1-Detail 3 3 2 2 2 2 2" xfId="10784" xr:uid="{00000000-0005-0000-0000-0000332A0000}"/>
    <cellStyle name="RowTitles1-Detail 3 3 2 2 2 2_Tertiary Salaries Survey" xfId="10785" xr:uid="{00000000-0005-0000-0000-0000342A0000}"/>
    <cellStyle name="RowTitles1-Detail 3 3 2 2 2 3" xfId="10786" xr:uid="{00000000-0005-0000-0000-0000352A0000}"/>
    <cellStyle name="RowTitles1-Detail 3 3 2 2 2_Tertiary Salaries Survey" xfId="10787" xr:uid="{00000000-0005-0000-0000-0000362A0000}"/>
    <cellStyle name="RowTitles1-Detail 3 3 2 2 3" xfId="10788" xr:uid="{00000000-0005-0000-0000-0000372A0000}"/>
    <cellStyle name="RowTitles1-Detail 3 3 2 2 3 2" xfId="10789" xr:uid="{00000000-0005-0000-0000-0000382A0000}"/>
    <cellStyle name="RowTitles1-Detail 3 3 2 2 3 2 2" xfId="10790" xr:uid="{00000000-0005-0000-0000-0000392A0000}"/>
    <cellStyle name="RowTitles1-Detail 3 3 2 2 3 2_Tertiary Salaries Survey" xfId="10791" xr:uid="{00000000-0005-0000-0000-00003A2A0000}"/>
    <cellStyle name="RowTitles1-Detail 3 3 2 2 3 3" xfId="10792" xr:uid="{00000000-0005-0000-0000-00003B2A0000}"/>
    <cellStyle name="RowTitles1-Detail 3 3 2 2 3_Tertiary Salaries Survey" xfId="10793" xr:uid="{00000000-0005-0000-0000-00003C2A0000}"/>
    <cellStyle name="RowTitles1-Detail 3 3 2 2 4" xfId="10794" xr:uid="{00000000-0005-0000-0000-00003D2A0000}"/>
    <cellStyle name="RowTitles1-Detail 3 3 2 2 5" xfId="10795" xr:uid="{00000000-0005-0000-0000-00003E2A0000}"/>
    <cellStyle name="RowTitles1-Detail 3 3 2 2_Tertiary Salaries Survey" xfId="10796" xr:uid="{00000000-0005-0000-0000-00003F2A0000}"/>
    <cellStyle name="RowTitles1-Detail 3 3 2 3" xfId="10797" xr:uid="{00000000-0005-0000-0000-0000402A0000}"/>
    <cellStyle name="RowTitles1-Detail 3 3 2 3 2" xfId="10798" xr:uid="{00000000-0005-0000-0000-0000412A0000}"/>
    <cellStyle name="RowTitles1-Detail 3 3 2 3 2 2" xfId="10799" xr:uid="{00000000-0005-0000-0000-0000422A0000}"/>
    <cellStyle name="RowTitles1-Detail 3 3 2 3 2 2 2" xfId="10800" xr:uid="{00000000-0005-0000-0000-0000432A0000}"/>
    <cellStyle name="RowTitles1-Detail 3 3 2 3 2 2_Tertiary Salaries Survey" xfId="10801" xr:uid="{00000000-0005-0000-0000-0000442A0000}"/>
    <cellStyle name="RowTitles1-Detail 3 3 2 3 2 3" xfId="10802" xr:uid="{00000000-0005-0000-0000-0000452A0000}"/>
    <cellStyle name="RowTitles1-Detail 3 3 2 3 2_Tertiary Salaries Survey" xfId="10803" xr:uid="{00000000-0005-0000-0000-0000462A0000}"/>
    <cellStyle name="RowTitles1-Detail 3 3 2 3 3" xfId="10804" xr:uid="{00000000-0005-0000-0000-0000472A0000}"/>
    <cellStyle name="RowTitles1-Detail 3 3 2 3 3 2" xfId="10805" xr:uid="{00000000-0005-0000-0000-0000482A0000}"/>
    <cellStyle name="RowTitles1-Detail 3 3 2 3 3 2 2" xfId="10806" xr:uid="{00000000-0005-0000-0000-0000492A0000}"/>
    <cellStyle name="RowTitles1-Detail 3 3 2 3 3 2_Tertiary Salaries Survey" xfId="10807" xr:uid="{00000000-0005-0000-0000-00004A2A0000}"/>
    <cellStyle name="RowTitles1-Detail 3 3 2 3 3 3" xfId="10808" xr:uid="{00000000-0005-0000-0000-00004B2A0000}"/>
    <cellStyle name="RowTitles1-Detail 3 3 2 3 3_Tertiary Salaries Survey" xfId="10809" xr:uid="{00000000-0005-0000-0000-00004C2A0000}"/>
    <cellStyle name="RowTitles1-Detail 3 3 2 3 4" xfId="10810" xr:uid="{00000000-0005-0000-0000-00004D2A0000}"/>
    <cellStyle name="RowTitles1-Detail 3 3 2 3 5" xfId="10811" xr:uid="{00000000-0005-0000-0000-00004E2A0000}"/>
    <cellStyle name="RowTitles1-Detail 3 3 2 3 5 2" xfId="10812" xr:uid="{00000000-0005-0000-0000-00004F2A0000}"/>
    <cellStyle name="RowTitles1-Detail 3 3 2 3 5_Tertiary Salaries Survey" xfId="10813" xr:uid="{00000000-0005-0000-0000-0000502A0000}"/>
    <cellStyle name="RowTitles1-Detail 3 3 2 3 6" xfId="10814" xr:uid="{00000000-0005-0000-0000-0000512A0000}"/>
    <cellStyle name="RowTitles1-Detail 3 3 2 3_Tertiary Salaries Survey" xfId="10815" xr:uid="{00000000-0005-0000-0000-0000522A0000}"/>
    <cellStyle name="RowTitles1-Detail 3 3 2 4" xfId="10816" xr:uid="{00000000-0005-0000-0000-0000532A0000}"/>
    <cellStyle name="RowTitles1-Detail 3 3 2 4 2" xfId="10817" xr:uid="{00000000-0005-0000-0000-0000542A0000}"/>
    <cellStyle name="RowTitles1-Detail 3 3 2 4 2 2" xfId="10818" xr:uid="{00000000-0005-0000-0000-0000552A0000}"/>
    <cellStyle name="RowTitles1-Detail 3 3 2 4 2 2 2" xfId="10819" xr:uid="{00000000-0005-0000-0000-0000562A0000}"/>
    <cellStyle name="RowTitles1-Detail 3 3 2 4 2 2_Tertiary Salaries Survey" xfId="10820" xr:uid="{00000000-0005-0000-0000-0000572A0000}"/>
    <cellStyle name="RowTitles1-Detail 3 3 2 4 2 3" xfId="10821" xr:uid="{00000000-0005-0000-0000-0000582A0000}"/>
    <cellStyle name="RowTitles1-Detail 3 3 2 4 2_Tertiary Salaries Survey" xfId="10822" xr:uid="{00000000-0005-0000-0000-0000592A0000}"/>
    <cellStyle name="RowTitles1-Detail 3 3 2 4 3" xfId="10823" xr:uid="{00000000-0005-0000-0000-00005A2A0000}"/>
    <cellStyle name="RowTitles1-Detail 3 3 2 4 3 2" xfId="10824" xr:uid="{00000000-0005-0000-0000-00005B2A0000}"/>
    <cellStyle name="RowTitles1-Detail 3 3 2 4 3 2 2" xfId="10825" xr:uid="{00000000-0005-0000-0000-00005C2A0000}"/>
    <cellStyle name="RowTitles1-Detail 3 3 2 4 3 2_Tertiary Salaries Survey" xfId="10826" xr:uid="{00000000-0005-0000-0000-00005D2A0000}"/>
    <cellStyle name="RowTitles1-Detail 3 3 2 4 3 3" xfId="10827" xr:uid="{00000000-0005-0000-0000-00005E2A0000}"/>
    <cellStyle name="RowTitles1-Detail 3 3 2 4 3_Tertiary Salaries Survey" xfId="10828" xr:uid="{00000000-0005-0000-0000-00005F2A0000}"/>
    <cellStyle name="RowTitles1-Detail 3 3 2 4 4" xfId="10829" xr:uid="{00000000-0005-0000-0000-0000602A0000}"/>
    <cellStyle name="RowTitles1-Detail 3 3 2 4 4 2" xfId="10830" xr:uid="{00000000-0005-0000-0000-0000612A0000}"/>
    <cellStyle name="RowTitles1-Detail 3 3 2 4 4_Tertiary Salaries Survey" xfId="10831" xr:uid="{00000000-0005-0000-0000-0000622A0000}"/>
    <cellStyle name="RowTitles1-Detail 3 3 2 4 5" xfId="10832" xr:uid="{00000000-0005-0000-0000-0000632A0000}"/>
    <cellStyle name="RowTitles1-Detail 3 3 2 4_Tertiary Salaries Survey" xfId="10833" xr:uid="{00000000-0005-0000-0000-0000642A0000}"/>
    <cellStyle name="RowTitles1-Detail 3 3 2 5" xfId="10834" xr:uid="{00000000-0005-0000-0000-0000652A0000}"/>
    <cellStyle name="RowTitles1-Detail 3 3 2 5 2" xfId="10835" xr:uid="{00000000-0005-0000-0000-0000662A0000}"/>
    <cellStyle name="RowTitles1-Detail 3 3 2 5 2 2" xfId="10836" xr:uid="{00000000-0005-0000-0000-0000672A0000}"/>
    <cellStyle name="RowTitles1-Detail 3 3 2 5 2 2 2" xfId="10837" xr:uid="{00000000-0005-0000-0000-0000682A0000}"/>
    <cellStyle name="RowTitles1-Detail 3 3 2 5 2 2_Tertiary Salaries Survey" xfId="10838" xr:uid="{00000000-0005-0000-0000-0000692A0000}"/>
    <cellStyle name="RowTitles1-Detail 3 3 2 5 2 3" xfId="10839" xr:uid="{00000000-0005-0000-0000-00006A2A0000}"/>
    <cellStyle name="RowTitles1-Detail 3 3 2 5 2_Tertiary Salaries Survey" xfId="10840" xr:uid="{00000000-0005-0000-0000-00006B2A0000}"/>
    <cellStyle name="RowTitles1-Detail 3 3 2 5 3" xfId="10841" xr:uid="{00000000-0005-0000-0000-00006C2A0000}"/>
    <cellStyle name="RowTitles1-Detail 3 3 2 5 3 2" xfId="10842" xr:uid="{00000000-0005-0000-0000-00006D2A0000}"/>
    <cellStyle name="RowTitles1-Detail 3 3 2 5 3 2 2" xfId="10843" xr:uid="{00000000-0005-0000-0000-00006E2A0000}"/>
    <cellStyle name="RowTitles1-Detail 3 3 2 5 3 2_Tertiary Salaries Survey" xfId="10844" xr:uid="{00000000-0005-0000-0000-00006F2A0000}"/>
    <cellStyle name="RowTitles1-Detail 3 3 2 5 3 3" xfId="10845" xr:uid="{00000000-0005-0000-0000-0000702A0000}"/>
    <cellStyle name="RowTitles1-Detail 3 3 2 5 3_Tertiary Salaries Survey" xfId="10846" xr:uid="{00000000-0005-0000-0000-0000712A0000}"/>
    <cellStyle name="RowTitles1-Detail 3 3 2 5 4" xfId="10847" xr:uid="{00000000-0005-0000-0000-0000722A0000}"/>
    <cellStyle name="RowTitles1-Detail 3 3 2 5 4 2" xfId="10848" xr:uid="{00000000-0005-0000-0000-0000732A0000}"/>
    <cellStyle name="RowTitles1-Detail 3 3 2 5 4_Tertiary Salaries Survey" xfId="10849" xr:uid="{00000000-0005-0000-0000-0000742A0000}"/>
    <cellStyle name="RowTitles1-Detail 3 3 2 5 5" xfId="10850" xr:uid="{00000000-0005-0000-0000-0000752A0000}"/>
    <cellStyle name="RowTitles1-Detail 3 3 2 5_Tertiary Salaries Survey" xfId="10851" xr:uid="{00000000-0005-0000-0000-0000762A0000}"/>
    <cellStyle name="RowTitles1-Detail 3 3 2 6" xfId="10852" xr:uid="{00000000-0005-0000-0000-0000772A0000}"/>
    <cellStyle name="RowTitles1-Detail 3 3 2 6 2" xfId="10853" xr:uid="{00000000-0005-0000-0000-0000782A0000}"/>
    <cellStyle name="RowTitles1-Detail 3 3 2 6 2 2" xfId="10854" xr:uid="{00000000-0005-0000-0000-0000792A0000}"/>
    <cellStyle name="RowTitles1-Detail 3 3 2 6 2 2 2" xfId="10855" xr:uid="{00000000-0005-0000-0000-00007A2A0000}"/>
    <cellStyle name="RowTitles1-Detail 3 3 2 6 2 2_Tertiary Salaries Survey" xfId="10856" xr:uid="{00000000-0005-0000-0000-00007B2A0000}"/>
    <cellStyle name="RowTitles1-Detail 3 3 2 6 2 3" xfId="10857" xr:uid="{00000000-0005-0000-0000-00007C2A0000}"/>
    <cellStyle name="RowTitles1-Detail 3 3 2 6 2_Tertiary Salaries Survey" xfId="10858" xr:uid="{00000000-0005-0000-0000-00007D2A0000}"/>
    <cellStyle name="RowTitles1-Detail 3 3 2 6 3" xfId="10859" xr:uid="{00000000-0005-0000-0000-00007E2A0000}"/>
    <cellStyle name="RowTitles1-Detail 3 3 2 6 3 2" xfId="10860" xr:uid="{00000000-0005-0000-0000-00007F2A0000}"/>
    <cellStyle name="RowTitles1-Detail 3 3 2 6 3 2 2" xfId="10861" xr:uid="{00000000-0005-0000-0000-0000802A0000}"/>
    <cellStyle name="RowTitles1-Detail 3 3 2 6 3 2_Tertiary Salaries Survey" xfId="10862" xr:uid="{00000000-0005-0000-0000-0000812A0000}"/>
    <cellStyle name="RowTitles1-Detail 3 3 2 6 3 3" xfId="10863" xr:uid="{00000000-0005-0000-0000-0000822A0000}"/>
    <cellStyle name="RowTitles1-Detail 3 3 2 6 3_Tertiary Salaries Survey" xfId="10864" xr:uid="{00000000-0005-0000-0000-0000832A0000}"/>
    <cellStyle name="RowTitles1-Detail 3 3 2 6 4" xfId="10865" xr:uid="{00000000-0005-0000-0000-0000842A0000}"/>
    <cellStyle name="RowTitles1-Detail 3 3 2 6 4 2" xfId="10866" xr:uid="{00000000-0005-0000-0000-0000852A0000}"/>
    <cellStyle name="RowTitles1-Detail 3 3 2 6 4_Tertiary Salaries Survey" xfId="10867" xr:uid="{00000000-0005-0000-0000-0000862A0000}"/>
    <cellStyle name="RowTitles1-Detail 3 3 2 6 5" xfId="10868" xr:uid="{00000000-0005-0000-0000-0000872A0000}"/>
    <cellStyle name="RowTitles1-Detail 3 3 2 6_Tertiary Salaries Survey" xfId="10869" xr:uid="{00000000-0005-0000-0000-0000882A0000}"/>
    <cellStyle name="RowTitles1-Detail 3 3 2 7" xfId="10870" xr:uid="{00000000-0005-0000-0000-0000892A0000}"/>
    <cellStyle name="RowTitles1-Detail 3 3 2 7 2" xfId="10871" xr:uid="{00000000-0005-0000-0000-00008A2A0000}"/>
    <cellStyle name="RowTitles1-Detail 3 3 2 7 2 2" xfId="10872" xr:uid="{00000000-0005-0000-0000-00008B2A0000}"/>
    <cellStyle name="RowTitles1-Detail 3 3 2 7 2_Tertiary Salaries Survey" xfId="10873" xr:uid="{00000000-0005-0000-0000-00008C2A0000}"/>
    <cellStyle name="RowTitles1-Detail 3 3 2 7 3" xfId="10874" xr:uid="{00000000-0005-0000-0000-00008D2A0000}"/>
    <cellStyle name="RowTitles1-Detail 3 3 2 7_Tertiary Salaries Survey" xfId="10875" xr:uid="{00000000-0005-0000-0000-00008E2A0000}"/>
    <cellStyle name="RowTitles1-Detail 3 3 2 8" xfId="10876" xr:uid="{00000000-0005-0000-0000-00008F2A0000}"/>
    <cellStyle name="RowTitles1-Detail 3 3 2 9" xfId="10877" xr:uid="{00000000-0005-0000-0000-0000902A0000}"/>
    <cellStyle name="RowTitles1-Detail 3 3 2_STUD aligned by INSTIT" xfId="10878" xr:uid="{00000000-0005-0000-0000-0000912A0000}"/>
    <cellStyle name="RowTitles1-Detail 3 3 3" xfId="10879" xr:uid="{00000000-0005-0000-0000-0000922A0000}"/>
    <cellStyle name="RowTitles1-Detail 3 3 3 2" xfId="10880" xr:uid="{00000000-0005-0000-0000-0000932A0000}"/>
    <cellStyle name="RowTitles1-Detail 3 3 3 2 2" xfId="10881" xr:uid="{00000000-0005-0000-0000-0000942A0000}"/>
    <cellStyle name="RowTitles1-Detail 3 3 3 2 2 2" xfId="10882" xr:uid="{00000000-0005-0000-0000-0000952A0000}"/>
    <cellStyle name="RowTitles1-Detail 3 3 3 2 2 2 2" xfId="10883" xr:uid="{00000000-0005-0000-0000-0000962A0000}"/>
    <cellStyle name="RowTitles1-Detail 3 3 3 2 2 2_Tertiary Salaries Survey" xfId="10884" xr:uid="{00000000-0005-0000-0000-0000972A0000}"/>
    <cellStyle name="RowTitles1-Detail 3 3 3 2 2 3" xfId="10885" xr:uid="{00000000-0005-0000-0000-0000982A0000}"/>
    <cellStyle name="RowTitles1-Detail 3 3 3 2 2_Tertiary Salaries Survey" xfId="10886" xr:uid="{00000000-0005-0000-0000-0000992A0000}"/>
    <cellStyle name="RowTitles1-Detail 3 3 3 2 3" xfId="10887" xr:uid="{00000000-0005-0000-0000-00009A2A0000}"/>
    <cellStyle name="RowTitles1-Detail 3 3 3 2 3 2" xfId="10888" xr:uid="{00000000-0005-0000-0000-00009B2A0000}"/>
    <cellStyle name="RowTitles1-Detail 3 3 3 2 3 2 2" xfId="10889" xr:uid="{00000000-0005-0000-0000-00009C2A0000}"/>
    <cellStyle name="RowTitles1-Detail 3 3 3 2 3 2_Tertiary Salaries Survey" xfId="10890" xr:uid="{00000000-0005-0000-0000-00009D2A0000}"/>
    <cellStyle name="RowTitles1-Detail 3 3 3 2 3 3" xfId="10891" xr:uid="{00000000-0005-0000-0000-00009E2A0000}"/>
    <cellStyle name="RowTitles1-Detail 3 3 3 2 3_Tertiary Salaries Survey" xfId="10892" xr:uid="{00000000-0005-0000-0000-00009F2A0000}"/>
    <cellStyle name="RowTitles1-Detail 3 3 3 2 4" xfId="10893" xr:uid="{00000000-0005-0000-0000-0000A02A0000}"/>
    <cellStyle name="RowTitles1-Detail 3 3 3 2 5" xfId="10894" xr:uid="{00000000-0005-0000-0000-0000A12A0000}"/>
    <cellStyle name="RowTitles1-Detail 3 3 3 2 5 2" xfId="10895" xr:uid="{00000000-0005-0000-0000-0000A22A0000}"/>
    <cellStyle name="RowTitles1-Detail 3 3 3 2 5_Tertiary Salaries Survey" xfId="10896" xr:uid="{00000000-0005-0000-0000-0000A32A0000}"/>
    <cellStyle name="RowTitles1-Detail 3 3 3 2 6" xfId="10897" xr:uid="{00000000-0005-0000-0000-0000A42A0000}"/>
    <cellStyle name="RowTitles1-Detail 3 3 3 2_Tertiary Salaries Survey" xfId="10898" xr:uid="{00000000-0005-0000-0000-0000A52A0000}"/>
    <cellStyle name="RowTitles1-Detail 3 3 3 3" xfId="10899" xr:uid="{00000000-0005-0000-0000-0000A62A0000}"/>
    <cellStyle name="RowTitles1-Detail 3 3 3 3 2" xfId="10900" xr:uid="{00000000-0005-0000-0000-0000A72A0000}"/>
    <cellStyle name="RowTitles1-Detail 3 3 3 3 2 2" xfId="10901" xr:uid="{00000000-0005-0000-0000-0000A82A0000}"/>
    <cellStyle name="RowTitles1-Detail 3 3 3 3 2 2 2" xfId="10902" xr:uid="{00000000-0005-0000-0000-0000A92A0000}"/>
    <cellStyle name="RowTitles1-Detail 3 3 3 3 2 2_Tertiary Salaries Survey" xfId="10903" xr:uid="{00000000-0005-0000-0000-0000AA2A0000}"/>
    <cellStyle name="RowTitles1-Detail 3 3 3 3 2 3" xfId="10904" xr:uid="{00000000-0005-0000-0000-0000AB2A0000}"/>
    <cellStyle name="RowTitles1-Detail 3 3 3 3 2_Tertiary Salaries Survey" xfId="10905" xr:uid="{00000000-0005-0000-0000-0000AC2A0000}"/>
    <cellStyle name="RowTitles1-Detail 3 3 3 3 3" xfId="10906" xr:uid="{00000000-0005-0000-0000-0000AD2A0000}"/>
    <cellStyle name="RowTitles1-Detail 3 3 3 3 3 2" xfId="10907" xr:uid="{00000000-0005-0000-0000-0000AE2A0000}"/>
    <cellStyle name="RowTitles1-Detail 3 3 3 3 3 2 2" xfId="10908" xr:uid="{00000000-0005-0000-0000-0000AF2A0000}"/>
    <cellStyle name="RowTitles1-Detail 3 3 3 3 3 2_Tertiary Salaries Survey" xfId="10909" xr:uid="{00000000-0005-0000-0000-0000B02A0000}"/>
    <cellStyle name="RowTitles1-Detail 3 3 3 3 3 3" xfId="10910" xr:uid="{00000000-0005-0000-0000-0000B12A0000}"/>
    <cellStyle name="RowTitles1-Detail 3 3 3 3 3_Tertiary Salaries Survey" xfId="10911" xr:uid="{00000000-0005-0000-0000-0000B22A0000}"/>
    <cellStyle name="RowTitles1-Detail 3 3 3 3 4" xfId="10912" xr:uid="{00000000-0005-0000-0000-0000B32A0000}"/>
    <cellStyle name="RowTitles1-Detail 3 3 3 3 5" xfId="10913" xr:uid="{00000000-0005-0000-0000-0000B42A0000}"/>
    <cellStyle name="RowTitles1-Detail 3 3 3 3_Tertiary Salaries Survey" xfId="10914" xr:uid="{00000000-0005-0000-0000-0000B52A0000}"/>
    <cellStyle name="RowTitles1-Detail 3 3 3 4" xfId="10915" xr:uid="{00000000-0005-0000-0000-0000B62A0000}"/>
    <cellStyle name="RowTitles1-Detail 3 3 3 4 2" xfId="10916" xr:uid="{00000000-0005-0000-0000-0000B72A0000}"/>
    <cellStyle name="RowTitles1-Detail 3 3 3 4 2 2" xfId="10917" xr:uid="{00000000-0005-0000-0000-0000B82A0000}"/>
    <cellStyle name="RowTitles1-Detail 3 3 3 4 2 2 2" xfId="10918" xr:uid="{00000000-0005-0000-0000-0000B92A0000}"/>
    <cellStyle name="RowTitles1-Detail 3 3 3 4 2 2_Tertiary Salaries Survey" xfId="10919" xr:uid="{00000000-0005-0000-0000-0000BA2A0000}"/>
    <cellStyle name="RowTitles1-Detail 3 3 3 4 2 3" xfId="10920" xr:uid="{00000000-0005-0000-0000-0000BB2A0000}"/>
    <cellStyle name="RowTitles1-Detail 3 3 3 4 2_Tertiary Salaries Survey" xfId="10921" xr:uid="{00000000-0005-0000-0000-0000BC2A0000}"/>
    <cellStyle name="RowTitles1-Detail 3 3 3 4 3" xfId="10922" xr:uid="{00000000-0005-0000-0000-0000BD2A0000}"/>
    <cellStyle name="RowTitles1-Detail 3 3 3 4 3 2" xfId="10923" xr:uid="{00000000-0005-0000-0000-0000BE2A0000}"/>
    <cellStyle name="RowTitles1-Detail 3 3 3 4 3 2 2" xfId="10924" xr:uid="{00000000-0005-0000-0000-0000BF2A0000}"/>
    <cellStyle name="RowTitles1-Detail 3 3 3 4 3 2_Tertiary Salaries Survey" xfId="10925" xr:uid="{00000000-0005-0000-0000-0000C02A0000}"/>
    <cellStyle name="RowTitles1-Detail 3 3 3 4 3 3" xfId="10926" xr:uid="{00000000-0005-0000-0000-0000C12A0000}"/>
    <cellStyle name="RowTitles1-Detail 3 3 3 4 3_Tertiary Salaries Survey" xfId="10927" xr:uid="{00000000-0005-0000-0000-0000C22A0000}"/>
    <cellStyle name="RowTitles1-Detail 3 3 3 4 4" xfId="10928" xr:uid="{00000000-0005-0000-0000-0000C32A0000}"/>
    <cellStyle name="RowTitles1-Detail 3 3 3 4 4 2" xfId="10929" xr:uid="{00000000-0005-0000-0000-0000C42A0000}"/>
    <cellStyle name="RowTitles1-Detail 3 3 3 4 4_Tertiary Salaries Survey" xfId="10930" xr:uid="{00000000-0005-0000-0000-0000C52A0000}"/>
    <cellStyle name="RowTitles1-Detail 3 3 3 4 5" xfId="10931" xr:uid="{00000000-0005-0000-0000-0000C62A0000}"/>
    <cellStyle name="RowTitles1-Detail 3 3 3 4_Tertiary Salaries Survey" xfId="10932" xr:uid="{00000000-0005-0000-0000-0000C72A0000}"/>
    <cellStyle name="RowTitles1-Detail 3 3 3 5" xfId="10933" xr:uid="{00000000-0005-0000-0000-0000C82A0000}"/>
    <cellStyle name="RowTitles1-Detail 3 3 3 5 2" xfId="10934" xr:uid="{00000000-0005-0000-0000-0000C92A0000}"/>
    <cellStyle name="RowTitles1-Detail 3 3 3 5 2 2" xfId="10935" xr:uid="{00000000-0005-0000-0000-0000CA2A0000}"/>
    <cellStyle name="RowTitles1-Detail 3 3 3 5 2 2 2" xfId="10936" xr:uid="{00000000-0005-0000-0000-0000CB2A0000}"/>
    <cellStyle name="RowTitles1-Detail 3 3 3 5 2 2_Tertiary Salaries Survey" xfId="10937" xr:uid="{00000000-0005-0000-0000-0000CC2A0000}"/>
    <cellStyle name="RowTitles1-Detail 3 3 3 5 2 3" xfId="10938" xr:uid="{00000000-0005-0000-0000-0000CD2A0000}"/>
    <cellStyle name="RowTitles1-Detail 3 3 3 5 2_Tertiary Salaries Survey" xfId="10939" xr:uid="{00000000-0005-0000-0000-0000CE2A0000}"/>
    <cellStyle name="RowTitles1-Detail 3 3 3 5 3" xfId="10940" xr:uid="{00000000-0005-0000-0000-0000CF2A0000}"/>
    <cellStyle name="RowTitles1-Detail 3 3 3 5 3 2" xfId="10941" xr:uid="{00000000-0005-0000-0000-0000D02A0000}"/>
    <cellStyle name="RowTitles1-Detail 3 3 3 5 3 2 2" xfId="10942" xr:uid="{00000000-0005-0000-0000-0000D12A0000}"/>
    <cellStyle name="RowTitles1-Detail 3 3 3 5 3 2_Tertiary Salaries Survey" xfId="10943" xr:uid="{00000000-0005-0000-0000-0000D22A0000}"/>
    <cellStyle name="RowTitles1-Detail 3 3 3 5 3 3" xfId="10944" xr:uid="{00000000-0005-0000-0000-0000D32A0000}"/>
    <cellStyle name="RowTitles1-Detail 3 3 3 5 3_Tertiary Salaries Survey" xfId="10945" xr:uid="{00000000-0005-0000-0000-0000D42A0000}"/>
    <cellStyle name="RowTitles1-Detail 3 3 3 5 4" xfId="10946" xr:uid="{00000000-0005-0000-0000-0000D52A0000}"/>
    <cellStyle name="RowTitles1-Detail 3 3 3 5 4 2" xfId="10947" xr:uid="{00000000-0005-0000-0000-0000D62A0000}"/>
    <cellStyle name="RowTitles1-Detail 3 3 3 5 4_Tertiary Salaries Survey" xfId="10948" xr:uid="{00000000-0005-0000-0000-0000D72A0000}"/>
    <cellStyle name="RowTitles1-Detail 3 3 3 5 5" xfId="10949" xr:uid="{00000000-0005-0000-0000-0000D82A0000}"/>
    <cellStyle name="RowTitles1-Detail 3 3 3 5_Tertiary Salaries Survey" xfId="10950" xr:uid="{00000000-0005-0000-0000-0000D92A0000}"/>
    <cellStyle name="RowTitles1-Detail 3 3 3 6" xfId="10951" xr:uid="{00000000-0005-0000-0000-0000DA2A0000}"/>
    <cellStyle name="RowTitles1-Detail 3 3 3 6 2" xfId="10952" xr:uid="{00000000-0005-0000-0000-0000DB2A0000}"/>
    <cellStyle name="RowTitles1-Detail 3 3 3 6 2 2" xfId="10953" xr:uid="{00000000-0005-0000-0000-0000DC2A0000}"/>
    <cellStyle name="RowTitles1-Detail 3 3 3 6 2 2 2" xfId="10954" xr:uid="{00000000-0005-0000-0000-0000DD2A0000}"/>
    <cellStyle name="RowTitles1-Detail 3 3 3 6 2 2_Tertiary Salaries Survey" xfId="10955" xr:uid="{00000000-0005-0000-0000-0000DE2A0000}"/>
    <cellStyle name="RowTitles1-Detail 3 3 3 6 2 3" xfId="10956" xr:uid="{00000000-0005-0000-0000-0000DF2A0000}"/>
    <cellStyle name="RowTitles1-Detail 3 3 3 6 2_Tertiary Salaries Survey" xfId="10957" xr:uid="{00000000-0005-0000-0000-0000E02A0000}"/>
    <cellStyle name="RowTitles1-Detail 3 3 3 6 3" xfId="10958" xr:uid="{00000000-0005-0000-0000-0000E12A0000}"/>
    <cellStyle name="RowTitles1-Detail 3 3 3 6 3 2" xfId="10959" xr:uid="{00000000-0005-0000-0000-0000E22A0000}"/>
    <cellStyle name="RowTitles1-Detail 3 3 3 6 3 2 2" xfId="10960" xr:uid="{00000000-0005-0000-0000-0000E32A0000}"/>
    <cellStyle name="RowTitles1-Detail 3 3 3 6 3 2_Tertiary Salaries Survey" xfId="10961" xr:uid="{00000000-0005-0000-0000-0000E42A0000}"/>
    <cellStyle name="RowTitles1-Detail 3 3 3 6 3 3" xfId="10962" xr:uid="{00000000-0005-0000-0000-0000E52A0000}"/>
    <cellStyle name="RowTitles1-Detail 3 3 3 6 3_Tertiary Salaries Survey" xfId="10963" xr:uid="{00000000-0005-0000-0000-0000E62A0000}"/>
    <cellStyle name="RowTitles1-Detail 3 3 3 6 4" xfId="10964" xr:uid="{00000000-0005-0000-0000-0000E72A0000}"/>
    <cellStyle name="RowTitles1-Detail 3 3 3 6 4 2" xfId="10965" xr:uid="{00000000-0005-0000-0000-0000E82A0000}"/>
    <cellStyle name="RowTitles1-Detail 3 3 3 6 4_Tertiary Salaries Survey" xfId="10966" xr:uid="{00000000-0005-0000-0000-0000E92A0000}"/>
    <cellStyle name="RowTitles1-Detail 3 3 3 6 5" xfId="10967" xr:uid="{00000000-0005-0000-0000-0000EA2A0000}"/>
    <cellStyle name="RowTitles1-Detail 3 3 3 6_Tertiary Salaries Survey" xfId="10968" xr:uid="{00000000-0005-0000-0000-0000EB2A0000}"/>
    <cellStyle name="RowTitles1-Detail 3 3 3 7" xfId="10969" xr:uid="{00000000-0005-0000-0000-0000EC2A0000}"/>
    <cellStyle name="RowTitles1-Detail 3 3 3 7 2" xfId="10970" xr:uid="{00000000-0005-0000-0000-0000ED2A0000}"/>
    <cellStyle name="RowTitles1-Detail 3 3 3 7 2 2" xfId="10971" xr:uid="{00000000-0005-0000-0000-0000EE2A0000}"/>
    <cellStyle name="RowTitles1-Detail 3 3 3 7 2_Tertiary Salaries Survey" xfId="10972" xr:uid="{00000000-0005-0000-0000-0000EF2A0000}"/>
    <cellStyle name="RowTitles1-Detail 3 3 3 7 3" xfId="10973" xr:uid="{00000000-0005-0000-0000-0000F02A0000}"/>
    <cellStyle name="RowTitles1-Detail 3 3 3 7_Tertiary Salaries Survey" xfId="10974" xr:uid="{00000000-0005-0000-0000-0000F12A0000}"/>
    <cellStyle name="RowTitles1-Detail 3 3 3 8" xfId="10975" xr:uid="{00000000-0005-0000-0000-0000F22A0000}"/>
    <cellStyle name="RowTitles1-Detail 3 3 3 8 2" xfId="10976" xr:uid="{00000000-0005-0000-0000-0000F32A0000}"/>
    <cellStyle name="RowTitles1-Detail 3 3 3 8 2 2" xfId="10977" xr:uid="{00000000-0005-0000-0000-0000F42A0000}"/>
    <cellStyle name="RowTitles1-Detail 3 3 3 8 2_Tertiary Salaries Survey" xfId="10978" xr:uid="{00000000-0005-0000-0000-0000F52A0000}"/>
    <cellStyle name="RowTitles1-Detail 3 3 3 8 3" xfId="10979" xr:uid="{00000000-0005-0000-0000-0000F62A0000}"/>
    <cellStyle name="RowTitles1-Detail 3 3 3 8_Tertiary Salaries Survey" xfId="10980" xr:uid="{00000000-0005-0000-0000-0000F72A0000}"/>
    <cellStyle name="RowTitles1-Detail 3 3 3 9" xfId="10981" xr:uid="{00000000-0005-0000-0000-0000F82A0000}"/>
    <cellStyle name="RowTitles1-Detail 3 3 3_STUD aligned by INSTIT" xfId="10982" xr:uid="{00000000-0005-0000-0000-0000F92A0000}"/>
    <cellStyle name="RowTitles1-Detail 3 3 4" xfId="10983" xr:uid="{00000000-0005-0000-0000-0000FA2A0000}"/>
    <cellStyle name="RowTitles1-Detail 3 3 4 2" xfId="10984" xr:uid="{00000000-0005-0000-0000-0000FB2A0000}"/>
    <cellStyle name="RowTitles1-Detail 3 3 4 2 2" xfId="10985" xr:uid="{00000000-0005-0000-0000-0000FC2A0000}"/>
    <cellStyle name="RowTitles1-Detail 3 3 4 2 2 2" xfId="10986" xr:uid="{00000000-0005-0000-0000-0000FD2A0000}"/>
    <cellStyle name="RowTitles1-Detail 3 3 4 2 2 2 2" xfId="10987" xr:uid="{00000000-0005-0000-0000-0000FE2A0000}"/>
    <cellStyle name="RowTitles1-Detail 3 3 4 2 2 2_Tertiary Salaries Survey" xfId="10988" xr:uid="{00000000-0005-0000-0000-0000FF2A0000}"/>
    <cellStyle name="RowTitles1-Detail 3 3 4 2 2 3" xfId="10989" xr:uid="{00000000-0005-0000-0000-0000002B0000}"/>
    <cellStyle name="RowTitles1-Detail 3 3 4 2 2_Tertiary Salaries Survey" xfId="10990" xr:uid="{00000000-0005-0000-0000-0000012B0000}"/>
    <cellStyle name="RowTitles1-Detail 3 3 4 2 3" xfId="10991" xr:uid="{00000000-0005-0000-0000-0000022B0000}"/>
    <cellStyle name="RowTitles1-Detail 3 3 4 2 3 2" xfId="10992" xr:uid="{00000000-0005-0000-0000-0000032B0000}"/>
    <cellStyle name="RowTitles1-Detail 3 3 4 2 3 2 2" xfId="10993" xr:uid="{00000000-0005-0000-0000-0000042B0000}"/>
    <cellStyle name="RowTitles1-Detail 3 3 4 2 3 2_Tertiary Salaries Survey" xfId="10994" xr:uid="{00000000-0005-0000-0000-0000052B0000}"/>
    <cellStyle name="RowTitles1-Detail 3 3 4 2 3 3" xfId="10995" xr:uid="{00000000-0005-0000-0000-0000062B0000}"/>
    <cellStyle name="RowTitles1-Detail 3 3 4 2 3_Tertiary Salaries Survey" xfId="10996" xr:uid="{00000000-0005-0000-0000-0000072B0000}"/>
    <cellStyle name="RowTitles1-Detail 3 3 4 2 4" xfId="10997" xr:uid="{00000000-0005-0000-0000-0000082B0000}"/>
    <cellStyle name="RowTitles1-Detail 3 3 4 2 5" xfId="10998" xr:uid="{00000000-0005-0000-0000-0000092B0000}"/>
    <cellStyle name="RowTitles1-Detail 3 3 4 2 5 2" xfId="10999" xr:uid="{00000000-0005-0000-0000-00000A2B0000}"/>
    <cellStyle name="RowTitles1-Detail 3 3 4 2 5_Tertiary Salaries Survey" xfId="11000" xr:uid="{00000000-0005-0000-0000-00000B2B0000}"/>
    <cellStyle name="RowTitles1-Detail 3 3 4 2 6" xfId="11001" xr:uid="{00000000-0005-0000-0000-00000C2B0000}"/>
    <cellStyle name="RowTitles1-Detail 3 3 4 2_Tertiary Salaries Survey" xfId="11002" xr:uid="{00000000-0005-0000-0000-00000D2B0000}"/>
    <cellStyle name="RowTitles1-Detail 3 3 4 3" xfId="11003" xr:uid="{00000000-0005-0000-0000-00000E2B0000}"/>
    <cellStyle name="RowTitles1-Detail 3 3 4 3 2" xfId="11004" xr:uid="{00000000-0005-0000-0000-00000F2B0000}"/>
    <cellStyle name="RowTitles1-Detail 3 3 4 3 2 2" xfId="11005" xr:uid="{00000000-0005-0000-0000-0000102B0000}"/>
    <cellStyle name="RowTitles1-Detail 3 3 4 3 2 2 2" xfId="11006" xr:uid="{00000000-0005-0000-0000-0000112B0000}"/>
    <cellStyle name="RowTitles1-Detail 3 3 4 3 2 2_Tertiary Salaries Survey" xfId="11007" xr:uid="{00000000-0005-0000-0000-0000122B0000}"/>
    <cellStyle name="RowTitles1-Detail 3 3 4 3 2 3" xfId="11008" xr:uid="{00000000-0005-0000-0000-0000132B0000}"/>
    <cellStyle name="RowTitles1-Detail 3 3 4 3 2_Tertiary Salaries Survey" xfId="11009" xr:uid="{00000000-0005-0000-0000-0000142B0000}"/>
    <cellStyle name="RowTitles1-Detail 3 3 4 3 3" xfId="11010" xr:uid="{00000000-0005-0000-0000-0000152B0000}"/>
    <cellStyle name="RowTitles1-Detail 3 3 4 3 3 2" xfId="11011" xr:uid="{00000000-0005-0000-0000-0000162B0000}"/>
    <cellStyle name="RowTitles1-Detail 3 3 4 3 3 2 2" xfId="11012" xr:uid="{00000000-0005-0000-0000-0000172B0000}"/>
    <cellStyle name="RowTitles1-Detail 3 3 4 3 3 2_Tertiary Salaries Survey" xfId="11013" xr:uid="{00000000-0005-0000-0000-0000182B0000}"/>
    <cellStyle name="RowTitles1-Detail 3 3 4 3 3 3" xfId="11014" xr:uid="{00000000-0005-0000-0000-0000192B0000}"/>
    <cellStyle name="RowTitles1-Detail 3 3 4 3 3_Tertiary Salaries Survey" xfId="11015" xr:uid="{00000000-0005-0000-0000-00001A2B0000}"/>
    <cellStyle name="RowTitles1-Detail 3 3 4 3 4" xfId="11016" xr:uid="{00000000-0005-0000-0000-00001B2B0000}"/>
    <cellStyle name="RowTitles1-Detail 3 3 4 3 5" xfId="11017" xr:uid="{00000000-0005-0000-0000-00001C2B0000}"/>
    <cellStyle name="RowTitles1-Detail 3 3 4 3_Tertiary Salaries Survey" xfId="11018" xr:uid="{00000000-0005-0000-0000-00001D2B0000}"/>
    <cellStyle name="RowTitles1-Detail 3 3 4 4" xfId="11019" xr:uid="{00000000-0005-0000-0000-00001E2B0000}"/>
    <cellStyle name="RowTitles1-Detail 3 3 4 4 2" xfId="11020" xr:uid="{00000000-0005-0000-0000-00001F2B0000}"/>
    <cellStyle name="RowTitles1-Detail 3 3 4 4 2 2" xfId="11021" xr:uid="{00000000-0005-0000-0000-0000202B0000}"/>
    <cellStyle name="RowTitles1-Detail 3 3 4 4 2 2 2" xfId="11022" xr:uid="{00000000-0005-0000-0000-0000212B0000}"/>
    <cellStyle name="RowTitles1-Detail 3 3 4 4 2 2_Tertiary Salaries Survey" xfId="11023" xr:uid="{00000000-0005-0000-0000-0000222B0000}"/>
    <cellStyle name="RowTitles1-Detail 3 3 4 4 2 3" xfId="11024" xr:uid="{00000000-0005-0000-0000-0000232B0000}"/>
    <cellStyle name="RowTitles1-Detail 3 3 4 4 2_Tertiary Salaries Survey" xfId="11025" xr:uid="{00000000-0005-0000-0000-0000242B0000}"/>
    <cellStyle name="RowTitles1-Detail 3 3 4 4 3" xfId="11026" xr:uid="{00000000-0005-0000-0000-0000252B0000}"/>
    <cellStyle name="RowTitles1-Detail 3 3 4 4 3 2" xfId="11027" xr:uid="{00000000-0005-0000-0000-0000262B0000}"/>
    <cellStyle name="RowTitles1-Detail 3 3 4 4 3 2 2" xfId="11028" xr:uid="{00000000-0005-0000-0000-0000272B0000}"/>
    <cellStyle name="RowTitles1-Detail 3 3 4 4 3 2_Tertiary Salaries Survey" xfId="11029" xr:uid="{00000000-0005-0000-0000-0000282B0000}"/>
    <cellStyle name="RowTitles1-Detail 3 3 4 4 3 3" xfId="11030" xr:uid="{00000000-0005-0000-0000-0000292B0000}"/>
    <cellStyle name="RowTitles1-Detail 3 3 4 4 3_Tertiary Salaries Survey" xfId="11031" xr:uid="{00000000-0005-0000-0000-00002A2B0000}"/>
    <cellStyle name="RowTitles1-Detail 3 3 4 4 4" xfId="11032" xr:uid="{00000000-0005-0000-0000-00002B2B0000}"/>
    <cellStyle name="RowTitles1-Detail 3 3 4 4 5" xfId="11033" xr:uid="{00000000-0005-0000-0000-00002C2B0000}"/>
    <cellStyle name="RowTitles1-Detail 3 3 4 4 5 2" xfId="11034" xr:uid="{00000000-0005-0000-0000-00002D2B0000}"/>
    <cellStyle name="RowTitles1-Detail 3 3 4 4 5_Tertiary Salaries Survey" xfId="11035" xr:uid="{00000000-0005-0000-0000-00002E2B0000}"/>
    <cellStyle name="RowTitles1-Detail 3 3 4 4 6" xfId="11036" xr:uid="{00000000-0005-0000-0000-00002F2B0000}"/>
    <cellStyle name="RowTitles1-Detail 3 3 4 4_Tertiary Salaries Survey" xfId="11037" xr:uid="{00000000-0005-0000-0000-0000302B0000}"/>
    <cellStyle name="RowTitles1-Detail 3 3 4 5" xfId="11038" xr:uid="{00000000-0005-0000-0000-0000312B0000}"/>
    <cellStyle name="RowTitles1-Detail 3 3 4 5 2" xfId="11039" xr:uid="{00000000-0005-0000-0000-0000322B0000}"/>
    <cellStyle name="RowTitles1-Detail 3 3 4 5 2 2" xfId="11040" xr:uid="{00000000-0005-0000-0000-0000332B0000}"/>
    <cellStyle name="RowTitles1-Detail 3 3 4 5 2 2 2" xfId="11041" xr:uid="{00000000-0005-0000-0000-0000342B0000}"/>
    <cellStyle name="RowTitles1-Detail 3 3 4 5 2 2_Tertiary Salaries Survey" xfId="11042" xr:uid="{00000000-0005-0000-0000-0000352B0000}"/>
    <cellStyle name="RowTitles1-Detail 3 3 4 5 2 3" xfId="11043" xr:uid="{00000000-0005-0000-0000-0000362B0000}"/>
    <cellStyle name="RowTitles1-Detail 3 3 4 5 2_Tertiary Salaries Survey" xfId="11044" xr:uid="{00000000-0005-0000-0000-0000372B0000}"/>
    <cellStyle name="RowTitles1-Detail 3 3 4 5 3" xfId="11045" xr:uid="{00000000-0005-0000-0000-0000382B0000}"/>
    <cellStyle name="RowTitles1-Detail 3 3 4 5 3 2" xfId="11046" xr:uid="{00000000-0005-0000-0000-0000392B0000}"/>
    <cellStyle name="RowTitles1-Detail 3 3 4 5 3 2 2" xfId="11047" xr:uid="{00000000-0005-0000-0000-00003A2B0000}"/>
    <cellStyle name="RowTitles1-Detail 3 3 4 5 3 2_Tertiary Salaries Survey" xfId="11048" xr:uid="{00000000-0005-0000-0000-00003B2B0000}"/>
    <cellStyle name="RowTitles1-Detail 3 3 4 5 3 3" xfId="11049" xr:uid="{00000000-0005-0000-0000-00003C2B0000}"/>
    <cellStyle name="RowTitles1-Detail 3 3 4 5 3_Tertiary Salaries Survey" xfId="11050" xr:uid="{00000000-0005-0000-0000-00003D2B0000}"/>
    <cellStyle name="RowTitles1-Detail 3 3 4 5 4" xfId="11051" xr:uid="{00000000-0005-0000-0000-00003E2B0000}"/>
    <cellStyle name="RowTitles1-Detail 3 3 4 5 4 2" xfId="11052" xr:uid="{00000000-0005-0000-0000-00003F2B0000}"/>
    <cellStyle name="RowTitles1-Detail 3 3 4 5 4_Tertiary Salaries Survey" xfId="11053" xr:uid="{00000000-0005-0000-0000-0000402B0000}"/>
    <cellStyle name="RowTitles1-Detail 3 3 4 5 5" xfId="11054" xr:uid="{00000000-0005-0000-0000-0000412B0000}"/>
    <cellStyle name="RowTitles1-Detail 3 3 4 5_Tertiary Salaries Survey" xfId="11055" xr:uid="{00000000-0005-0000-0000-0000422B0000}"/>
    <cellStyle name="RowTitles1-Detail 3 3 4 6" xfId="11056" xr:uid="{00000000-0005-0000-0000-0000432B0000}"/>
    <cellStyle name="RowTitles1-Detail 3 3 4 6 2" xfId="11057" xr:uid="{00000000-0005-0000-0000-0000442B0000}"/>
    <cellStyle name="RowTitles1-Detail 3 3 4 6 2 2" xfId="11058" xr:uid="{00000000-0005-0000-0000-0000452B0000}"/>
    <cellStyle name="RowTitles1-Detail 3 3 4 6 2 2 2" xfId="11059" xr:uid="{00000000-0005-0000-0000-0000462B0000}"/>
    <cellStyle name="RowTitles1-Detail 3 3 4 6 2 2_Tertiary Salaries Survey" xfId="11060" xr:uid="{00000000-0005-0000-0000-0000472B0000}"/>
    <cellStyle name="RowTitles1-Detail 3 3 4 6 2 3" xfId="11061" xr:uid="{00000000-0005-0000-0000-0000482B0000}"/>
    <cellStyle name="RowTitles1-Detail 3 3 4 6 2_Tertiary Salaries Survey" xfId="11062" xr:uid="{00000000-0005-0000-0000-0000492B0000}"/>
    <cellStyle name="RowTitles1-Detail 3 3 4 6 3" xfId="11063" xr:uid="{00000000-0005-0000-0000-00004A2B0000}"/>
    <cellStyle name="RowTitles1-Detail 3 3 4 6 3 2" xfId="11064" xr:uid="{00000000-0005-0000-0000-00004B2B0000}"/>
    <cellStyle name="RowTitles1-Detail 3 3 4 6 3 2 2" xfId="11065" xr:uid="{00000000-0005-0000-0000-00004C2B0000}"/>
    <cellStyle name="RowTitles1-Detail 3 3 4 6 3 2_Tertiary Salaries Survey" xfId="11066" xr:uid="{00000000-0005-0000-0000-00004D2B0000}"/>
    <cellStyle name="RowTitles1-Detail 3 3 4 6 3 3" xfId="11067" xr:uid="{00000000-0005-0000-0000-00004E2B0000}"/>
    <cellStyle name="RowTitles1-Detail 3 3 4 6 3_Tertiary Salaries Survey" xfId="11068" xr:uid="{00000000-0005-0000-0000-00004F2B0000}"/>
    <cellStyle name="RowTitles1-Detail 3 3 4 6 4" xfId="11069" xr:uid="{00000000-0005-0000-0000-0000502B0000}"/>
    <cellStyle name="RowTitles1-Detail 3 3 4 6 4 2" xfId="11070" xr:uid="{00000000-0005-0000-0000-0000512B0000}"/>
    <cellStyle name="RowTitles1-Detail 3 3 4 6 4_Tertiary Salaries Survey" xfId="11071" xr:uid="{00000000-0005-0000-0000-0000522B0000}"/>
    <cellStyle name="RowTitles1-Detail 3 3 4 6 5" xfId="11072" xr:uid="{00000000-0005-0000-0000-0000532B0000}"/>
    <cellStyle name="RowTitles1-Detail 3 3 4 6_Tertiary Salaries Survey" xfId="11073" xr:uid="{00000000-0005-0000-0000-0000542B0000}"/>
    <cellStyle name="RowTitles1-Detail 3 3 4 7" xfId="11074" xr:uid="{00000000-0005-0000-0000-0000552B0000}"/>
    <cellStyle name="RowTitles1-Detail 3 3 4 7 2" xfId="11075" xr:uid="{00000000-0005-0000-0000-0000562B0000}"/>
    <cellStyle name="RowTitles1-Detail 3 3 4 7 2 2" xfId="11076" xr:uid="{00000000-0005-0000-0000-0000572B0000}"/>
    <cellStyle name="RowTitles1-Detail 3 3 4 7 2_Tertiary Salaries Survey" xfId="11077" xr:uid="{00000000-0005-0000-0000-0000582B0000}"/>
    <cellStyle name="RowTitles1-Detail 3 3 4 7 3" xfId="11078" xr:uid="{00000000-0005-0000-0000-0000592B0000}"/>
    <cellStyle name="RowTitles1-Detail 3 3 4 7_Tertiary Salaries Survey" xfId="11079" xr:uid="{00000000-0005-0000-0000-00005A2B0000}"/>
    <cellStyle name="RowTitles1-Detail 3 3 4 8" xfId="11080" xr:uid="{00000000-0005-0000-0000-00005B2B0000}"/>
    <cellStyle name="RowTitles1-Detail 3 3 4 9" xfId="11081" xr:uid="{00000000-0005-0000-0000-00005C2B0000}"/>
    <cellStyle name="RowTitles1-Detail 3 3 4_STUD aligned by INSTIT" xfId="11082" xr:uid="{00000000-0005-0000-0000-00005D2B0000}"/>
    <cellStyle name="RowTitles1-Detail 3 3 5" xfId="11083" xr:uid="{00000000-0005-0000-0000-00005E2B0000}"/>
    <cellStyle name="RowTitles1-Detail 3 3 5 2" xfId="11084" xr:uid="{00000000-0005-0000-0000-00005F2B0000}"/>
    <cellStyle name="RowTitles1-Detail 3 3 5 2 2" xfId="11085" xr:uid="{00000000-0005-0000-0000-0000602B0000}"/>
    <cellStyle name="RowTitles1-Detail 3 3 5 2 2 2" xfId="11086" xr:uid="{00000000-0005-0000-0000-0000612B0000}"/>
    <cellStyle name="RowTitles1-Detail 3 3 5 2 2_Tertiary Salaries Survey" xfId="11087" xr:uid="{00000000-0005-0000-0000-0000622B0000}"/>
    <cellStyle name="RowTitles1-Detail 3 3 5 2 3" xfId="11088" xr:uid="{00000000-0005-0000-0000-0000632B0000}"/>
    <cellStyle name="RowTitles1-Detail 3 3 5 2_Tertiary Salaries Survey" xfId="11089" xr:uid="{00000000-0005-0000-0000-0000642B0000}"/>
    <cellStyle name="RowTitles1-Detail 3 3 5 3" xfId="11090" xr:uid="{00000000-0005-0000-0000-0000652B0000}"/>
    <cellStyle name="RowTitles1-Detail 3 3 5 3 2" xfId="11091" xr:uid="{00000000-0005-0000-0000-0000662B0000}"/>
    <cellStyle name="RowTitles1-Detail 3 3 5 3 2 2" xfId="11092" xr:uid="{00000000-0005-0000-0000-0000672B0000}"/>
    <cellStyle name="RowTitles1-Detail 3 3 5 3 2_Tertiary Salaries Survey" xfId="11093" xr:uid="{00000000-0005-0000-0000-0000682B0000}"/>
    <cellStyle name="RowTitles1-Detail 3 3 5 3 3" xfId="11094" xr:uid="{00000000-0005-0000-0000-0000692B0000}"/>
    <cellStyle name="RowTitles1-Detail 3 3 5 3_Tertiary Salaries Survey" xfId="11095" xr:uid="{00000000-0005-0000-0000-00006A2B0000}"/>
    <cellStyle name="RowTitles1-Detail 3 3 5 4" xfId="11096" xr:uid="{00000000-0005-0000-0000-00006B2B0000}"/>
    <cellStyle name="RowTitles1-Detail 3 3 5 5" xfId="11097" xr:uid="{00000000-0005-0000-0000-00006C2B0000}"/>
    <cellStyle name="RowTitles1-Detail 3 3 5 5 2" xfId="11098" xr:uid="{00000000-0005-0000-0000-00006D2B0000}"/>
    <cellStyle name="RowTitles1-Detail 3 3 5 5_Tertiary Salaries Survey" xfId="11099" xr:uid="{00000000-0005-0000-0000-00006E2B0000}"/>
    <cellStyle name="RowTitles1-Detail 3 3 5 6" xfId="11100" xr:uid="{00000000-0005-0000-0000-00006F2B0000}"/>
    <cellStyle name="RowTitles1-Detail 3 3 5_Tertiary Salaries Survey" xfId="11101" xr:uid="{00000000-0005-0000-0000-0000702B0000}"/>
    <cellStyle name="RowTitles1-Detail 3 3 6" xfId="11102" xr:uid="{00000000-0005-0000-0000-0000712B0000}"/>
    <cellStyle name="RowTitles1-Detail 3 3 6 2" xfId="11103" xr:uid="{00000000-0005-0000-0000-0000722B0000}"/>
    <cellStyle name="RowTitles1-Detail 3 3 6 2 2" xfId="11104" xr:uid="{00000000-0005-0000-0000-0000732B0000}"/>
    <cellStyle name="RowTitles1-Detail 3 3 6 2 2 2" xfId="11105" xr:uid="{00000000-0005-0000-0000-0000742B0000}"/>
    <cellStyle name="RowTitles1-Detail 3 3 6 2 2_Tertiary Salaries Survey" xfId="11106" xr:uid="{00000000-0005-0000-0000-0000752B0000}"/>
    <cellStyle name="RowTitles1-Detail 3 3 6 2 3" xfId="11107" xr:uid="{00000000-0005-0000-0000-0000762B0000}"/>
    <cellStyle name="RowTitles1-Detail 3 3 6 2_Tertiary Salaries Survey" xfId="11108" xr:uid="{00000000-0005-0000-0000-0000772B0000}"/>
    <cellStyle name="RowTitles1-Detail 3 3 6 3" xfId="11109" xr:uid="{00000000-0005-0000-0000-0000782B0000}"/>
    <cellStyle name="RowTitles1-Detail 3 3 6 3 2" xfId="11110" xr:uid="{00000000-0005-0000-0000-0000792B0000}"/>
    <cellStyle name="RowTitles1-Detail 3 3 6 3 2 2" xfId="11111" xr:uid="{00000000-0005-0000-0000-00007A2B0000}"/>
    <cellStyle name="RowTitles1-Detail 3 3 6 3 2_Tertiary Salaries Survey" xfId="11112" xr:uid="{00000000-0005-0000-0000-00007B2B0000}"/>
    <cellStyle name="RowTitles1-Detail 3 3 6 3 3" xfId="11113" xr:uid="{00000000-0005-0000-0000-00007C2B0000}"/>
    <cellStyle name="RowTitles1-Detail 3 3 6 3_Tertiary Salaries Survey" xfId="11114" xr:uid="{00000000-0005-0000-0000-00007D2B0000}"/>
    <cellStyle name="RowTitles1-Detail 3 3 6 4" xfId="11115" xr:uid="{00000000-0005-0000-0000-00007E2B0000}"/>
    <cellStyle name="RowTitles1-Detail 3 3 6 5" xfId="11116" xr:uid="{00000000-0005-0000-0000-00007F2B0000}"/>
    <cellStyle name="RowTitles1-Detail 3 3 6_Tertiary Salaries Survey" xfId="11117" xr:uid="{00000000-0005-0000-0000-0000802B0000}"/>
    <cellStyle name="RowTitles1-Detail 3 3 7" xfId="11118" xr:uid="{00000000-0005-0000-0000-0000812B0000}"/>
    <cellStyle name="RowTitles1-Detail 3 3 7 2" xfId="11119" xr:uid="{00000000-0005-0000-0000-0000822B0000}"/>
    <cellStyle name="RowTitles1-Detail 3 3 7 2 2" xfId="11120" xr:uid="{00000000-0005-0000-0000-0000832B0000}"/>
    <cellStyle name="RowTitles1-Detail 3 3 7 2 2 2" xfId="11121" xr:uid="{00000000-0005-0000-0000-0000842B0000}"/>
    <cellStyle name="RowTitles1-Detail 3 3 7 2 2_Tertiary Salaries Survey" xfId="11122" xr:uid="{00000000-0005-0000-0000-0000852B0000}"/>
    <cellStyle name="RowTitles1-Detail 3 3 7 2 3" xfId="11123" xr:uid="{00000000-0005-0000-0000-0000862B0000}"/>
    <cellStyle name="RowTitles1-Detail 3 3 7 2_Tertiary Salaries Survey" xfId="11124" xr:uid="{00000000-0005-0000-0000-0000872B0000}"/>
    <cellStyle name="RowTitles1-Detail 3 3 7 3" xfId="11125" xr:uid="{00000000-0005-0000-0000-0000882B0000}"/>
    <cellStyle name="RowTitles1-Detail 3 3 7 3 2" xfId="11126" xr:uid="{00000000-0005-0000-0000-0000892B0000}"/>
    <cellStyle name="RowTitles1-Detail 3 3 7 3 2 2" xfId="11127" xr:uid="{00000000-0005-0000-0000-00008A2B0000}"/>
    <cellStyle name="RowTitles1-Detail 3 3 7 3 2_Tertiary Salaries Survey" xfId="11128" xr:uid="{00000000-0005-0000-0000-00008B2B0000}"/>
    <cellStyle name="RowTitles1-Detail 3 3 7 3 3" xfId="11129" xr:uid="{00000000-0005-0000-0000-00008C2B0000}"/>
    <cellStyle name="RowTitles1-Detail 3 3 7 3_Tertiary Salaries Survey" xfId="11130" xr:uid="{00000000-0005-0000-0000-00008D2B0000}"/>
    <cellStyle name="RowTitles1-Detail 3 3 7 4" xfId="11131" xr:uid="{00000000-0005-0000-0000-00008E2B0000}"/>
    <cellStyle name="RowTitles1-Detail 3 3 7 5" xfId="11132" xr:uid="{00000000-0005-0000-0000-00008F2B0000}"/>
    <cellStyle name="RowTitles1-Detail 3 3 7 5 2" xfId="11133" xr:uid="{00000000-0005-0000-0000-0000902B0000}"/>
    <cellStyle name="RowTitles1-Detail 3 3 7 5_Tertiary Salaries Survey" xfId="11134" xr:uid="{00000000-0005-0000-0000-0000912B0000}"/>
    <cellStyle name="RowTitles1-Detail 3 3 7 6" xfId="11135" xr:uid="{00000000-0005-0000-0000-0000922B0000}"/>
    <cellStyle name="RowTitles1-Detail 3 3 7_Tertiary Salaries Survey" xfId="11136" xr:uid="{00000000-0005-0000-0000-0000932B0000}"/>
    <cellStyle name="RowTitles1-Detail 3 3 8" xfId="11137" xr:uid="{00000000-0005-0000-0000-0000942B0000}"/>
    <cellStyle name="RowTitles1-Detail 3 3 8 2" xfId="11138" xr:uid="{00000000-0005-0000-0000-0000952B0000}"/>
    <cellStyle name="RowTitles1-Detail 3 3 8 2 2" xfId="11139" xr:uid="{00000000-0005-0000-0000-0000962B0000}"/>
    <cellStyle name="RowTitles1-Detail 3 3 8 2 2 2" xfId="11140" xr:uid="{00000000-0005-0000-0000-0000972B0000}"/>
    <cellStyle name="RowTitles1-Detail 3 3 8 2 2_Tertiary Salaries Survey" xfId="11141" xr:uid="{00000000-0005-0000-0000-0000982B0000}"/>
    <cellStyle name="RowTitles1-Detail 3 3 8 2 3" xfId="11142" xr:uid="{00000000-0005-0000-0000-0000992B0000}"/>
    <cellStyle name="RowTitles1-Detail 3 3 8 2_Tertiary Salaries Survey" xfId="11143" xr:uid="{00000000-0005-0000-0000-00009A2B0000}"/>
    <cellStyle name="RowTitles1-Detail 3 3 8 3" xfId="11144" xr:uid="{00000000-0005-0000-0000-00009B2B0000}"/>
    <cellStyle name="RowTitles1-Detail 3 3 8 3 2" xfId="11145" xr:uid="{00000000-0005-0000-0000-00009C2B0000}"/>
    <cellStyle name="RowTitles1-Detail 3 3 8 3 2 2" xfId="11146" xr:uid="{00000000-0005-0000-0000-00009D2B0000}"/>
    <cellStyle name="RowTitles1-Detail 3 3 8 3 2_Tertiary Salaries Survey" xfId="11147" xr:uid="{00000000-0005-0000-0000-00009E2B0000}"/>
    <cellStyle name="RowTitles1-Detail 3 3 8 3 3" xfId="11148" xr:uid="{00000000-0005-0000-0000-00009F2B0000}"/>
    <cellStyle name="RowTitles1-Detail 3 3 8 3_Tertiary Salaries Survey" xfId="11149" xr:uid="{00000000-0005-0000-0000-0000A02B0000}"/>
    <cellStyle name="RowTitles1-Detail 3 3 8 4" xfId="11150" xr:uid="{00000000-0005-0000-0000-0000A12B0000}"/>
    <cellStyle name="RowTitles1-Detail 3 3 8 4 2" xfId="11151" xr:uid="{00000000-0005-0000-0000-0000A22B0000}"/>
    <cellStyle name="RowTitles1-Detail 3 3 8 4_Tertiary Salaries Survey" xfId="11152" xr:uid="{00000000-0005-0000-0000-0000A32B0000}"/>
    <cellStyle name="RowTitles1-Detail 3 3 8 5" xfId="11153" xr:uid="{00000000-0005-0000-0000-0000A42B0000}"/>
    <cellStyle name="RowTitles1-Detail 3 3 8_Tertiary Salaries Survey" xfId="11154" xr:uid="{00000000-0005-0000-0000-0000A52B0000}"/>
    <cellStyle name="RowTitles1-Detail 3 3 9" xfId="11155" xr:uid="{00000000-0005-0000-0000-0000A62B0000}"/>
    <cellStyle name="RowTitles1-Detail 3 3 9 2" xfId="11156" xr:uid="{00000000-0005-0000-0000-0000A72B0000}"/>
    <cellStyle name="RowTitles1-Detail 3 3 9 2 2" xfId="11157" xr:uid="{00000000-0005-0000-0000-0000A82B0000}"/>
    <cellStyle name="RowTitles1-Detail 3 3 9 2 2 2" xfId="11158" xr:uid="{00000000-0005-0000-0000-0000A92B0000}"/>
    <cellStyle name="RowTitles1-Detail 3 3 9 2 2_Tertiary Salaries Survey" xfId="11159" xr:uid="{00000000-0005-0000-0000-0000AA2B0000}"/>
    <cellStyle name="RowTitles1-Detail 3 3 9 2 3" xfId="11160" xr:uid="{00000000-0005-0000-0000-0000AB2B0000}"/>
    <cellStyle name="RowTitles1-Detail 3 3 9 2_Tertiary Salaries Survey" xfId="11161" xr:uid="{00000000-0005-0000-0000-0000AC2B0000}"/>
    <cellStyle name="RowTitles1-Detail 3 3 9 3" xfId="11162" xr:uid="{00000000-0005-0000-0000-0000AD2B0000}"/>
    <cellStyle name="RowTitles1-Detail 3 3 9 3 2" xfId="11163" xr:uid="{00000000-0005-0000-0000-0000AE2B0000}"/>
    <cellStyle name="RowTitles1-Detail 3 3 9 3 2 2" xfId="11164" xr:uid="{00000000-0005-0000-0000-0000AF2B0000}"/>
    <cellStyle name="RowTitles1-Detail 3 3 9 3 2_Tertiary Salaries Survey" xfId="11165" xr:uid="{00000000-0005-0000-0000-0000B02B0000}"/>
    <cellStyle name="RowTitles1-Detail 3 3 9 3 3" xfId="11166" xr:uid="{00000000-0005-0000-0000-0000B12B0000}"/>
    <cellStyle name="RowTitles1-Detail 3 3 9 3_Tertiary Salaries Survey" xfId="11167" xr:uid="{00000000-0005-0000-0000-0000B22B0000}"/>
    <cellStyle name="RowTitles1-Detail 3 3 9 4" xfId="11168" xr:uid="{00000000-0005-0000-0000-0000B32B0000}"/>
    <cellStyle name="RowTitles1-Detail 3 3 9 4 2" xfId="11169" xr:uid="{00000000-0005-0000-0000-0000B42B0000}"/>
    <cellStyle name="RowTitles1-Detail 3 3 9 4_Tertiary Salaries Survey" xfId="11170" xr:uid="{00000000-0005-0000-0000-0000B52B0000}"/>
    <cellStyle name="RowTitles1-Detail 3 3 9 5" xfId="11171" xr:uid="{00000000-0005-0000-0000-0000B62B0000}"/>
    <cellStyle name="RowTitles1-Detail 3 3 9_Tertiary Salaries Survey" xfId="11172" xr:uid="{00000000-0005-0000-0000-0000B72B0000}"/>
    <cellStyle name="RowTitles1-Detail 3 3_STUD aligned by INSTIT" xfId="11173" xr:uid="{00000000-0005-0000-0000-0000B82B0000}"/>
    <cellStyle name="RowTitles1-Detail 3 4" xfId="11174" xr:uid="{00000000-0005-0000-0000-0000B92B0000}"/>
    <cellStyle name="RowTitles1-Detail 3 4 2" xfId="11175" xr:uid="{00000000-0005-0000-0000-0000BA2B0000}"/>
    <cellStyle name="RowTitles1-Detail 3 4 2 2" xfId="11176" xr:uid="{00000000-0005-0000-0000-0000BB2B0000}"/>
    <cellStyle name="RowTitles1-Detail 3 4 2 2 2" xfId="11177" xr:uid="{00000000-0005-0000-0000-0000BC2B0000}"/>
    <cellStyle name="RowTitles1-Detail 3 4 2 2 2 2" xfId="11178" xr:uid="{00000000-0005-0000-0000-0000BD2B0000}"/>
    <cellStyle name="RowTitles1-Detail 3 4 2 2 2_Tertiary Salaries Survey" xfId="11179" xr:uid="{00000000-0005-0000-0000-0000BE2B0000}"/>
    <cellStyle name="RowTitles1-Detail 3 4 2 2 3" xfId="11180" xr:uid="{00000000-0005-0000-0000-0000BF2B0000}"/>
    <cellStyle name="RowTitles1-Detail 3 4 2 2_Tertiary Salaries Survey" xfId="11181" xr:uid="{00000000-0005-0000-0000-0000C02B0000}"/>
    <cellStyle name="RowTitles1-Detail 3 4 2 3" xfId="11182" xr:uid="{00000000-0005-0000-0000-0000C12B0000}"/>
    <cellStyle name="RowTitles1-Detail 3 4 2 3 2" xfId="11183" xr:uid="{00000000-0005-0000-0000-0000C22B0000}"/>
    <cellStyle name="RowTitles1-Detail 3 4 2 3 2 2" xfId="11184" xr:uid="{00000000-0005-0000-0000-0000C32B0000}"/>
    <cellStyle name="RowTitles1-Detail 3 4 2 3 2_Tertiary Salaries Survey" xfId="11185" xr:uid="{00000000-0005-0000-0000-0000C42B0000}"/>
    <cellStyle name="RowTitles1-Detail 3 4 2 3 3" xfId="11186" xr:uid="{00000000-0005-0000-0000-0000C52B0000}"/>
    <cellStyle name="RowTitles1-Detail 3 4 2 3_Tertiary Salaries Survey" xfId="11187" xr:uid="{00000000-0005-0000-0000-0000C62B0000}"/>
    <cellStyle name="RowTitles1-Detail 3 4 2 4" xfId="11188" xr:uid="{00000000-0005-0000-0000-0000C72B0000}"/>
    <cellStyle name="RowTitles1-Detail 3 4 2 5" xfId="11189" xr:uid="{00000000-0005-0000-0000-0000C82B0000}"/>
    <cellStyle name="RowTitles1-Detail 3 4 2_Tertiary Salaries Survey" xfId="11190" xr:uid="{00000000-0005-0000-0000-0000C92B0000}"/>
    <cellStyle name="RowTitles1-Detail 3 4 3" xfId="11191" xr:uid="{00000000-0005-0000-0000-0000CA2B0000}"/>
    <cellStyle name="RowTitles1-Detail 3 4 3 2" xfId="11192" xr:uid="{00000000-0005-0000-0000-0000CB2B0000}"/>
    <cellStyle name="RowTitles1-Detail 3 4 3 2 2" xfId="11193" xr:uid="{00000000-0005-0000-0000-0000CC2B0000}"/>
    <cellStyle name="RowTitles1-Detail 3 4 3 2 2 2" xfId="11194" xr:uid="{00000000-0005-0000-0000-0000CD2B0000}"/>
    <cellStyle name="RowTitles1-Detail 3 4 3 2 2_Tertiary Salaries Survey" xfId="11195" xr:uid="{00000000-0005-0000-0000-0000CE2B0000}"/>
    <cellStyle name="RowTitles1-Detail 3 4 3 2 3" xfId="11196" xr:uid="{00000000-0005-0000-0000-0000CF2B0000}"/>
    <cellStyle name="RowTitles1-Detail 3 4 3 2_Tertiary Salaries Survey" xfId="11197" xr:uid="{00000000-0005-0000-0000-0000D02B0000}"/>
    <cellStyle name="RowTitles1-Detail 3 4 3 3" xfId="11198" xr:uid="{00000000-0005-0000-0000-0000D12B0000}"/>
    <cellStyle name="RowTitles1-Detail 3 4 3 3 2" xfId="11199" xr:uid="{00000000-0005-0000-0000-0000D22B0000}"/>
    <cellStyle name="RowTitles1-Detail 3 4 3 3 2 2" xfId="11200" xr:uid="{00000000-0005-0000-0000-0000D32B0000}"/>
    <cellStyle name="RowTitles1-Detail 3 4 3 3 2_Tertiary Salaries Survey" xfId="11201" xr:uid="{00000000-0005-0000-0000-0000D42B0000}"/>
    <cellStyle name="RowTitles1-Detail 3 4 3 3 3" xfId="11202" xr:uid="{00000000-0005-0000-0000-0000D52B0000}"/>
    <cellStyle name="RowTitles1-Detail 3 4 3 3_Tertiary Salaries Survey" xfId="11203" xr:uid="{00000000-0005-0000-0000-0000D62B0000}"/>
    <cellStyle name="RowTitles1-Detail 3 4 3 4" xfId="11204" xr:uid="{00000000-0005-0000-0000-0000D72B0000}"/>
    <cellStyle name="RowTitles1-Detail 3 4 3 5" xfId="11205" xr:uid="{00000000-0005-0000-0000-0000D82B0000}"/>
    <cellStyle name="RowTitles1-Detail 3 4 3 5 2" xfId="11206" xr:uid="{00000000-0005-0000-0000-0000D92B0000}"/>
    <cellStyle name="RowTitles1-Detail 3 4 3 5_Tertiary Salaries Survey" xfId="11207" xr:uid="{00000000-0005-0000-0000-0000DA2B0000}"/>
    <cellStyle name="RowTitles1-Detail 3 4 3 6" xfId="11208" xr:uid="{00000000-0005-0000-0000-0000DB2B0000}"/>
    <cellStyle name="RowTitles1-Detail 3 4 3_Tertiary Salaries Survey" xfId="11209" xr:uid="{00000000-0005-0000-0000-0000DC2B0000}"/>
    <cellStyle name="RowTitles1-Detail 3 4 4" xfId="11210" xr:uid="{00000000-0005-0000-0000-0000DD2B0000}"/>
    <cellStyle name="RowTitles1-Detail 3 4 4 2" xfId="11211" xr:uid="{00000000-0005-0000-0000-0000DE2B0000}"/>
    <cellStyle name="RowTitles1-Detail 3 4 4 2 2" xfId="11212" xr:uid="{00000000-0005-0000-0000-0000DF2B0000}"/>
    <cellStyle name="RowTitles1-Detail 3 4 4 2 2 2" xfId="11213" xr:uid="{00000000-0005-0000-0000-0000E02B0000}"/>
    <cellStyle name="RowTitles1-Detail 3 4 4 2 2_Tertiary Salaries Survey" xfId="11214" xr:uid="{00000000-0005-0000-0000-0000E12B0000}"/>
    <cellStyle name="RowTitles1-Detail 3 4 4 2 3" xfId="11215" xr:uid="{00000000-0005-0000-0000-0000E22B0000}"/>
    <cellStyle name="RowTitles1-Detail 3 4 4 2_Tertiary Salaries Survey" xfId="11216" xr:uid="{00000000-0005-0000-0000-0000E32B0000}"/>
    <cellStyle name="RowTitles1-Detail 3 4 4 3" xfId="11217" xr:uid="{00000000-0005-0000-0000-0000E42B0000}"/>
    <cellStyle name="RowTitles1-Detail 3 4 4 3 2" xfId="11218" xr:uid="{00000000-0005-0000-0000-0000E52B0000}"/>
    <cellStyle name="RowTitles1-Detail 3 4 4 3 2 2" xfId="11219" xr:uid="{00000000-0005-0000-0000-0000E62B0000}"/>
    <cellStyle name="RowTitles1-Detail 3 4 4 3 2_Tertiary Salaries Survey" xfId="11220" xr:uid="{00000000-0005-0000-0000-0000E72B0000}"/>
    <cellStyle name="RowTitles1-Detail 3 4 4 3 3" xfId="11221" xr:uid="{00000000-0005-0000-0000-0000E82B0000}"/>
    <cellStyle name="RowTitles1-Detail 3 4 4 3_Tertiary Salaries Survey" xfId="11222" xr:uid="{00000000-0005-0000-0000-0000E92B0000}"/>
    <cellStyle name="RowTitles1-Detail 3 4 4 4" xfId="11223" xr:uid="{00000000-0005-0000-0000-0000EA2B0000}"/>
    <cellStyle name="RowTitles1-Detail 3 4 4 4 2" xfId="11224" xr:uid="{00000000-0005-0000-0000-0000EB2B0000}"/>
    <cellStyle name="RowTitles1-Detail 3 4 4 4_Tertiary Salaries Survey" xfId="11225" xr:uid="{00000000-0005-0000-0000-0000EC2B0000}"/>
    <cellStyle name="RowTitles1-Detail 3 4 4 5" xfId="11226" xr:uid="{00000000-0005-0000-0000-0000ED2B0000}"/>
    <cellStyle name="RowTitles1-Detail 3 4 4_Tertiary Salaries Survey" xfId="11227" xr:uid="{00000000-0005-0000-0000-0000EE2B0000}"/>
    <cellStyle name="RowTitles1-Detail 3 4 5" xfId="11228" xr:uid="{00000000-0005-0000-0000-0000EF2B0000}"/>
    <cellStyle name="RowTitles1-Detail 3 4 5 2" xfId="11229" xr:uid="{00000000-0005-0000-0000-0000F02B0000}"/>
    <cellStyle name="RowTitles1-Detail 3 4 5 2 2" xfId="11230" xr:uid="{00000000-0005-0000-0000-0000F12B0000}"/>
    <cellStyle name="RowTitles1-Detail 3 4 5 2 2 2" xfId="11231" xr:uid="{00000000-0005-0000-0000-0000F22B0000}"/>
    <cellStyle name="RowTitles1-Detail 3 4 5 2 2_Tertiary Salaries Survey" xfId="11232" xr:uid="{00000000-0005-0000-0000-0000F32B0000}"/>
    <cellStyle name="RowTitles1-Detail 3 4 5 2 3" xfId="11233" xr:uid="{00000000-0005-0000-0000-0000F42B0000}"/>
    <cellStyle name="RowTitles1-Detail 3 4 5 2_Tertiary Salaries Survey" xfId="11234" xr:uid="{00000000-0005-0000-0000-0000F52B0000}"/>
    <cellStyle name="RowTitles1-Detail 3 4 5 3" xfId="11235" xr:uid="{00000000-0005-0000-0000-0000F62B0000}"/>
    <cellStyle name="RowTitles1-Detail 3 4 5 3 2" xfId="11236" xr:uid="{00000000-0005-0000-0000-0000F72B0000}"/>
    <cellStyle name="RowTitles1-Detail 3 4 5 3 2 2" xfId="11237" xr:uid="{00000000-0005-0000-0000-0000F82B0000}"/>
    <cellStyle name="RowTitles1-Detail 3 4 5 3 2_Tertiary Salaries Survey" xfId="11238" xr:uid="{00000000-0005-0000-0000-0000F92B0000}"/>
    <cellStyle name="RowTitles1-Detail 3 4 5 3 3" xfId="11239" xr:uid="{00000000-0005-0000-0000-0000FA2B0000}"/>
    <cellStyle name="RowTitles1-Detail 3 4 5 3_Tertiary Salaries Survey" xfId="11240" xr:uid="{00000000-0005-0000-0000-0000FB2B0000}"/>
    <cellStyle name="RowTitles1-Detail 3 4 5 4" xfId="11241" xr:uid="{00000000-0005-0000-0000-0000FC2B0000}"/>
    <cellStyle name="RowTitles1-Detail 3 4 5 4 2" xfId="11242" xr:uid="{00000000-0005-0000-0000-0000FD2B0000}"/>
    <cellStyle name="RowTitles1-Detail 3 4 5 4_Tertiary Salaries Survey" xfId="11243" xr:uid="{00000000-0005-0000-0000-0000FE2B0000}"/>
    <cellStyle name="RowTitles1-Detail 3 4 5 5" xfId="11244" xr:uid="{00000000-0005-0000-0000-0000FF2B0000}"/>
    <cellStyle name="RowTitles1-Detail 3 4 5_Tertiary Salaries Survey" xfId="11245" xr:uid="{00000000-0005-0000-0000-0000002C0000}"/>
    <cellStyle name="RowTitles1-Detail 3 4 6" xfId="11246" xr:uid="{00000000-0005-0000-0000-0000012C0000}"/>
    <cellStyle name="RowTitles1-Detail 3 4 6 2" xfId="11247" xr:uid="{00000000-0005-0000-0000-0000022C0000}"/>
    <cellStyle name="RowTitles1-Detail 3 4 6 2 2" xfId="11248" xr:uid="{00000000-0005-0000-0000-0000032C0000}"/>
    <cellStyle name="RowTitles1-Detail 3 4 6 2 2 2" xfId="11249" xr:uid="{00000000-0005-0000-0000-0000042C0000}"/>
    <cellStyle name="RowTitles1-Detail 3 4 6 2 2_Tertiary Salaries Survey" xfId="11250" xr:uid="{00000000-0005-0000-0000-0000052C0000}"/>
    <cellStyle name="RowTitles1-Detail 3 4 6 2 3" xfId="11251" xr:uid="{00000000-0005-0000-0000-0000062C0000}"/>
    <cellStyle name="RowTitles1-Detail 3 4 6 2_Tertiary Salaries Survey" xfId="11252" xr:uid="{00000000-0005-0000-0000-0000072C0000}"/>
    <cellStyle name="RowTitles1-Detail 3 4 6 3" xfId="11253" xr:uid="{00000000-0005-0000-0000-0000082C0000}"/>
    <cellStyle name="RowTitles1-Detail 3 4 6 3 2" xfId="11254" xr:uid="{00000000-0005-0000-0000-0000092C0000}"/>
    <cellStyle name="RowTitles1-Detail 3 4 6 3 2 2" xfId="11255" xr:uid="{00000000-0005-0000-0000-00000A2C0000}"/>
    <cellStyle name="RowTitles1-Detail 3 4 6 3 2_Tertiary Salaries Survey" xfId="11256" xr:uid="{00000000-0005-0000-0000-00000B2C0000}"/>
    <cellStyle name="RowTitles1-Detail 3 4 6 3 3" xfId="11257" xr:uid="{00000000-0005-0000-0000-00000C2C0000}"/>
    <cellStyle name="RowTitles1-Detail 3 4 6 3_Tertiary Salaries Survey" xfId="11258" xr:uid="{00000000-0005-0000-0000-00000D2C0000}"/>
    <cellStyle name="RowTitles1-Detail 3 4 6 4" xfId="11259" xr:uid="{00000000-0005-0000-0000-00000E2C0000}"/>
    <cellStyle name="RowTitles1-Detail 3 4 6 4 2" xfId="11260" xr:uid="{00000000-0005-0000-0000-00000F2C0000}"/>
    <cellStyle name="RowTitles1-Detail 3 4 6 4_Tertiary Salaries Survey" xfId="11261" xr:uid="{00000000-0005-0000-0000-0000102C0000}"/>
    <cellStyle name="RowTitles1-Detail 3 4 6 5" xfId="11262" xr:uid="{00000000-0005-0000-0000-0000112C0000}"/>
    <cellStyle name="RowTitles1-Detail 3 4 6_Tertiary Salaries Survey" xfId="11263" xr:uid="{00000000-0005-0000-0000-0000122C0000}"/>
    <cellStyle name="RowTitles1-Detail 3 4 7" xfId="11264" xr:uid="{00000000-0005-0000-0000-0000132C0000}"/>
    <cellStyle name="RowTitles1-Detail 3 4 7 2" xfId="11265" xr:uid="{00000000-0005-0000-0000-0000142C0000}"/>
    <cellStyle name="RowTitles1-Detail 3 4 7 2 2" xfId="11266" xr:uid="{00000000-0005-0000-0000-0000152C0000}"/>
    <cellStyle name="RowTitles1-Detail 3 4 7 2_Tertiary Salaries Survey" xfId="11267" xr:uid="{00000000-0005-0000-0000-0000162C0000}"/>
    <cellStyle name="RowTitles1-Detail 3 4 7 3" xfId="11268" xr:uid="{00000000-0005-0000-0000-0000172C0000}"/>
    <cellStyle name="RowTitles1-Detail 3 4 7_Tertiary Salaries Survey" xfId="11269" xr:uid="{00000000-0005-0000-0000-0000182C0000}"/>
    <cellStyle name="RowTitles1-Detail 3 4 8" xfId="11270" xr:uid="{00000000-0005-0000-0000-0000192C0000}"/>
    <cellStyle name="RowTitles1-Detail 3 4 9" xfId="11271" xr:uid="{00000000-0005-0000-0000-00001A2C0000}"/>
    <cellStyle name="RowTitles1-Detail 3 4_STUD aligned by INSTIT" xfId="11272" xr:uid="{00000000-0005-0000-0000-00001B2C0000}"/>
    <cellStyle name="RowTitles1-Detail 3 5" xfId="11273" xr:uid="{00000000-0005-0000-0000-00001C2C0000}"/>
    <cellStyle name="RowTitles1-Detail 3 5 2" xfId="11274" xr:uid="{00000000-0005-0000-0000-00001D2C0000}"/>
    <cellStyle name="RowTitles1-Detail 3 5 2 2" xfId="11275" xr:uid="{00000000-0005-0000-0000-00001E2C0000}"/>
    <cellStyle name="RowTitles1-Detail 3 5 2 2 2" xfId="11276" xr:uid="{00000000-0005-0000-0000-00001F2C0000}"/>
    <cellStyle name="RowTitles1-Detail 3 5 2 2 2 2" xfId="11277" xr:uid="{00000000-0005-0000-0000-0000202C0000}"/>
    <cellStyle name="RowTitles1-Detail 3 5 2 2 2_Tertiary Salaries Survey" xfId="11278" xr:uid="{00000000-0005-0000-0000-0000212C0000}"/>
    <cellStyle name="RowTitles1-Detail 3 5 2 2 3" xfId="11279" xr:uid="{00000000-0005-0000-0000-0000222C0000}"/>
    <cellStyle name="RowTitles1-Detail 3 5 2 2_Tertiary Salaries Survey" xfId="11280" xr:uid="{00000000-0005-0000-0000-0000232C0000}"/>
    <cellStyle name="RowTitles1-Detail 3 5 2 3" xfId="11281" xr:uid="{00000000-0005-0000-0000-0000242C0000}"/>
    <cellStyle name="RowTitles1-Detail 3 5 2 3 2" xfId="11282" xr:uid="{00000000-0005-0000-0000-0000252C0000}"/>
    <cellStyle name="RowTitles1-Detail 3 5 2 3 2 2" xfId="11283" xr:uid="{00000000-0005-0000-0000-0000262C0000}"/>
    <cellStyle name="RowTitles1-Detail 3 5 2 3 2_Tertiary Salaries Survey" xfId="11284" xr:uid="{00000000-0005-0000-0000-0000272C0000}"/>
    <cellStyle name="RowTitles1-Detail 3 5 2 3 3" xfId="11285" xr:uid="{00000000-0005-0000-0000-0000282C0000}"/>
    <cellStyle name="RowTitles1-Detail 3 5 2 3_Tertiary Salaries Survey" xfId="11286" xr:uid="{00000000-0005-0000-0000-0000292C0000}"/>
    <cellStyle name="RowTitles1-Detail 3 5 2 4" xfId="11287" xr:uid="{00000000-0005-0000-0000-00002A2C0000}"/>
    <cellStyle name="RowTitles1-Detail 3 5 2 5" xfId="11288" xr:uid="{00000000-0005-0000-0000-00002B2C0000}"/>
    <cellStyle name="RowTitles1-Detail 3 5 2 5 2" xfId="11289" xr:uid="{00000000-0005-0000-0000-00002C2C0000}"/>
    <cellStyle name="RowTitles1-Detail 3 5 2 5_Tertiary Salaries Survey" xfId="11290" xr:uid="{00000000-0005-0000-0000-00002D2C0000}"/>
    <cellStyle name="RowTitles1-Detail 3 5 2 6" xfId="11291" xr:uid="{00000000-0005-0000-0000-00002E2C0000}"/>
    <cellStyle name="RowTitles1-Detail 3 5 2_Tertiary Salaries Survey" xfId="11292" xr:uid="{00000000-0005-0000-0000-00002F2C0000}"/>
    <cellStyle name="RowTitles1-Detail 3 5 3" xfId="11293" xr:uid="{00000000-0005-0000-0000-0000302C0000}"/>
    <cellStyle name="RowTitles1-Detail 3 5 3 2" xfId="11294" xr:uid="{00000000-0005-0000-0000-0000312C0000}"/>
    <cellStyle name="RowTitles1-Detail 3 5 3 2 2" xfId="11295" xr:uid="{00000000-0005-0000-0000-0000322C0000}"/>
    <cellStyle name="RowTitles1-Detail 3 5 3 2 2 2" xfId="11296" xr:uid="{00000000-0005-0000-0000-0000332C0000}"/>
    <cellStyle name="RowTitles1-Detail 3 5 3 2 2_Tertiary Salaries Survey" xfId="11297" xr:uid="{00000000-0005-0000-0000-0000342C0000}"/>
    <cellStyle name="RowTitles1-Detail 3 5 3 2 3" xfId="11298" xr:uid="{00000000-0005-0000-0000-0000352C0000}"/>
    <cellStyle name="RowTitles1-Detail 3 5 3 2_Tertiary Salaries Survey" xfId="11299" xr:uid="{00000000-0005-0000-0000-0000362C0000}"/>
    <cellStyle name="RowTitles1-Detail 3 5 3 3" xfId="11300" xr:uid="{00000000-0005-0000-0000-0000372C0000}"/>
    <cellStyle name="RowTitles1-Detail 3 5 3 3 2" xfId="11301" xr:uid="{00000000-0005-0000-0000-0000382C0000}"/>
    <cellStyle name="RowTitles1-Detail 3 5 3 3 2 2" xfId="11302" xr:uid="{00000000-0005-0000-0000-0000392C0000}"/>
    <cellStyle name="RowTitles1-Detail 3 5 3 3 2_Tertiary Salaries Survey" xfId="11303" xr:uid="{00000000-0005-0000-0000-00003A2C0000}"/>
    <cellStyle name="RowTitles1-Detail 3 5 3 3 3" xfId="11304" xr:uid="{00000000-0005-0000-0000-00003B2C0000}"/>
    <cellStyle name="RowTitles1-Detail 3 5 3 3_Tertiary Salaries Survey" xfId="11305" xr:uid="{00000000-0005-0000-0000-00003C2C0000}"/>
    <cellStyle name="RowTitles1-Detail 3 5 3 4" xfId="11306" xr:uid="{00000000-0005-0000-0000-00003D2C0000}"/>
    <cellStyle name="RowTitles1-Detail 3 5 3 5" xfId="11307" xr:uid="{00000000-0005-0000-0000-00003E2C0000}"/>
    <cellStyle name="RowTitles1-Detail 3 5 3_Tertiary Salaries Survey" xfId="11308" xr:uid="{00000000-0005-0000-0000-00003F2C0000}"/>
    <cellStyle name="RowTitles1-Detail 3 5 4" xfId="11309" xr:uid="{00000000-0005-0000-0000-0000402C0000}"/>
    <cellStyle name="RowTitles1-Detail 3 5 4 2" xfId="11310" xr:uid="{00000000-0005-0000-0000-0000412C0000}"/>
    <cellStyle name="RowTitles1-Detail 3 5 4 2 2" xfId="11311" xr:uid="{00000000-0005-0000-0000-0000422C0000}"/>
    <cellStyle name="RowTitles1-Detail 3 5 4 2 2 2" xfId="11312" xr:uid="{00000000-0005-0000-0000-0000432C0000}"/>
    <cellStyle name="RowTitles1-Detail 3 5 4 2 2_Tertiary Salaries Survey" xfId="11313" xr:uid="{00000000-0005-0000-0000-0000442C0000}"/>
    <cellStyle name="RowTitles1-Detail 3 5 4 2 3" xfId="11314" xr:uid="{00000000-0005-0000-0000-0000452C0000}"/>
    <cellStyle name="RowTitles1-Detail 3 5 4 2_Tertiary Salaries Survey" xfId="11315" xr:uid="{00000000-0005-0000-0000-0000462C0000}"/>
    <cellStyle name="RowTitles1-Detail 3 5 4 3" xfId="11316" xr:uid="{00000000-0005-0000-0000-0000472C0000}"/>
    <cellStyle name="RowTitles1-Detail 3 5 4 3 2" xfId="11317" xr:uid="{00000000-0005-0000-0000-0000482C0000}"/>
    <cellStyle name="RowTitles1-Detail 3 5 4 3 2 2" xfId="11318" xr:uid="{00000000-0005-0000-0000-0000492C0000}"/>
    <cellStyle name="RowTitles1-Detail 3 5 4 3 2_Tertiary Salaries Survey" xfId="11319" xr:uid="{00000000-0005-0000-0000-00004A2C0000}"/>
    <cellStyle name="RowTitles1-Detail 3 5 4 3 3" xfId="11320" xr:uid="{00000000-0005-0000-0000-00004B2C0000}"/>
    <cellStyle name="RowTitles1-Detail 3 5 4 3_Tertiary Salaries Survey" xfId="11321" xr:uid="{00000000-0005-0000-0000-00004C2C0000}"/>
    <cellStyle name="RowTitles1-Detail 3 5 4 4" xfId="11322" xr:uid="{00000000-0005-0000-0000-00004D2C0000}"/>
    <cellStyle name="RowTitles1-Detail 3 5 4 4 2" xfId="11323" xr:uid="{00000000-0005-0000-0000-00004E2C0000}"/>
    <cellStyle name="RowTitles1-Detail 3 5 4 4_Tertiary Salaries Survey" xfId="11324" xr:uid="{00000000-0005-0000-0000-00004F2C0000}"/>
    <cellStyle name="RowTitles1-Detail 3 5 4 5" xfId="11325" xr:uid="{00000000-0005-0000-0000-0000502C0000}"/>
    <cellStyle name="RowTitles1-Detail 3 5 4_Tertiary Salaries Survey" xfId="11326" xr:uid="{00000000-0005-0000-0000-0000512C0000}"/>
    <cellStyle name="RowTitles1-Detail 3 5 5" xfId="11327" xr:uid="{00000000-0005-0000-0000-0000522C0000}"/>
    <cellStyle name="RowTitles1-Detail 3 5 5 2" xfId="11328" xr:uid="{00000000-0005-0000-0000-0000532C0000}"/>
    <cellStyle name="RowTitles1-Detail 3 5 5 2 2" xfId="11329" xr:uid="{00000000-0005-0000-0000-0000542C0000}"/>
    <cellStyle name="RowTitles1-Detail 3 5 5 2 2 2" xfId="11330" xr:uid="{00000000-0005-0000-0000-0000552C0000}"/>
    <cellStyle name="RowTitles1-Detail 3 5 5 2 2_Tertiary Salaries Survey" xfId="11331" xr:uid="{00000000-0005-0000-0000-0000562C0000}"/>
    <cellStyle name="RowTitles1-Detail 3 5 5 2 3" xfId="11332" xr:uid="{00000000-0005-0000-0000-0000572C0000}"/>
    <cellStyle name="RowTitles1-Detail 3 5 5 2_Tertiary Salaries Survey" xfId="11333" xr:uid="{00000000-0005-0000-0000-0000582C0000}"/>
    <cellStyle name="RowTitles1-Detail 3 5 5 3" xfId="11334" xr:uid="{00000000-0005-0000-0000-0000592C0000}"/>
    <cellStyle name="RowTitles1-Detail 3 5 5 3 2" xfId="11335" xr:uid="{00000000-0005-0000-0000-00005A2C0000}"/>
    <cellStyle name="RowTitles1-Detail 3 5 5 3 2 2" xfId="11336" xr:uid="{00000000-0005-0000-0000-00005B2C0000}"/>
    <cellStyle name="RowTitles1-Detail 3 5 5 3 2_Tertiary Salaries Survey" xfId="11337" xr:uid="{00000000-0005-0000-0000-00005C2C0000}"/>
    <cellStyle name="RowTitles1-Detail 3 5 5 3 3" xfId="11338" xr:uid="{00000000-0005-0000-0000-00005D2C0000}"/>
    <cellStyle name="RowTitles1-Detail 3 5 5 3_Tertiary Salaries Survey" xfId="11339" xr:uid="{00000000-0005-0000-0000-00005E2C0000}"/>
    <cellStyle name="RowTitles1-Detail 3 5 5 4" xfId="11340" xr:uid="{00000000-0005-0000-0000-00005F2C0000}"/>
    <cellStyle name="RowTitles1-Detail 3 5 5 4 2" xfId="11341" xr:uid="{00000000-0005-0000-0000-0000602C0000}"/>
    <cellStyle name="RowTitles1-Detail 3 5 5 4_Tertiary Salaries Survey" xfId="11342" xr:uid="{00000000-0005-0000-0000-0000612C0000}"/>
    <cellStyle name="RowTitles1-Detail 3 5 5 5" xfId="11343" xr:uid="{00000000-0005-0000-0000-0000622C0000}"/>
    <cellStyle name="RowTitles1-Detail 3 5 5_Tertiary Salaries Survey" xfId="11344" xr:uid="{00000000-0005-0000-0000-0000632C0000}"/>
    <cellStyle name="RowTitles1-Detail 3 5 6" xfId="11345" xr:uid="{00000000-0005-0000-0000-0000642C0000}"/>
    <cellStyle name="RowTitles1-Detail 3 5 6 2" xfId="11346" xr:uid="{00000000-0005-0000-0000-0000652C0000}"/>
    <cellStyle name="RowTitles1-Detail 3 5 6 2 2" xfId="11347" xr:uid="{00000000-0005-0000-0000-0000662C0000}"/>
    <cellStyle name="RowTitles1-Detail 3 5 6 2 2 2" xfId="11348" xr:uid="{00000000-0005-0000-0000-0000672C0000}"/>
    <cellStyle name="RowTitles1-Detail 3 5 6 2 2_Tertiary Salaries Survey" xfId="11349" xr:uid="{00000000-0005-0000-0000-0000682C0000}"/>
    <cellStyle name="RowTitles1-Detail 3 5 6 2 3" xfId="11350" xr:uid="{00000000-0005-0000-0000-0000692C0000}"/>
    <cellStyle name="RowTitles1-Detail 3 5 6 2_Tertiary Salaries Survey" xfId="11351" xr:uid="{00000000-0005-0000-0000-00006A2C0000}"/>
    <cellStyle name="RowTitles1-Detail 3 5 6 3" xfId="11352" xr:uid="{00000000-0005-0000-0000-00006B2C0000}"/>
    <cellStyle name="RowTitles1-Detail 3 5 6 3 2" xfId="11353" xr:uid="{00000000-0005-0000-0000-00006C2C0000}"/>
    <cellStyle name="RowTitles1-Detail 3 5 6 3 2 2" xfId="11354" xr:uid="{00000000-0005-0000-0000-00006D2C0000}"/>
    <cellStyle name="RowTitles1-Detail 3 5 6 3 2_Tertiary Salaries Survey" xfId="11355" xr:uid="{00000000-0005-0000-0000-00006E2C0000}"/>
    <cellStyle name="RowTitles1-Detail 3 5 6 3 3" xfId="11356" xr:uid="{00000000-0005-0000-0000-00006F2C0000}"/>
    <cellStyle name="RowTitles1-Detail 3 5 6 3_Tertiary Salaries Survey" xfId="11357" xr:uid="{00000000-0005-0000-0000-0000702C0000}"/>
    <cellStyle name="RowTitles1-Detail 3 5 6 4" xfId="11358" xr:uid="{00000000-0005-0000-0000-0000712C0000}"/>
    <cellStyle name="RowTitles1-Detail 3 5 6 4 2" xfId="11359" xr:uid="{00000000-0005-0000-0000-0000722C0000}"/>
    <cellStyle name="RowTitles1-Detail 3 5 6 4_Tertiary Salaries Survey" xfId="11360" xr:uid="{00000000-0005-0000-0000-0000732C0000}"/>
    <cellStyle name="RowTitles1-Detail 3 5 6 5" xfId="11361" xr:uid="{00000000-0005-0000-0000-0000742C0000}"/>
    <cellStyle name="RowTitles1-Detail 3 5 6_Tertiary Salaries Survey" xfId="11362" xr:uid="{00000000-0005-0000-0000-0000752C0000}"/>
    <cellStyle name="RowTitles1-Detail 3 5 7" xfId="11363" xr:uid="{00000000-0005-0000-0000-0000762C0000}"/>
    <cellStyle name="RowTitles1-Detail 3 5 7 2" xfId="11364" xr:uid="{00000000-0005-0000-0000-0000772C0000}"/>
    <cellStyle name="RowTitles1-Detail 3 5 7 2 2" xfId="11365" xr:uid="{00000000-0005-0000-0000-0000782C0000}"/>
    <cellStyle name="RowTitles1-Detail 3 5 7 2_Tertiary Salaries Survey" xfId="11366" xr:uid="{00000000-0005-0000-0000-0000792C0000}"/>
    <cellStyle name="RowTitles1-Detail 3 5 7 3" xfId="11367" xr:uid="{00000000-0005-0000-0000-00007A2C0000}"/>
    <cellStyle name="RowTitles1-Detail 3 5 7_Tertiary Salaries Survey" xfId="11368" xr:uid="{00000000-0005-0000-0000-00007B2C0000}"/>
    <cellStyle name="RowTitles1-Detail 3 5 8" xfId="11369" xr:uid="{00000000-0005-0000-0000-00007C2C0000}"/>
    <cellStyle name="RowTitles1-Detail 3 5 8 2" xfId="11370" xr:uid="{00000000-0005-0000-0000-00007D2C0000}"/>
    <cellStyle name="RowTitles1-Detail 3 5 8 2 2" xfId="11371" xr:uid="{00000000-0005-0000-0000-00007E2C0000}"/>
    <cellStyle name="RowTitles1-Detail 3 5 8 2_Tertiary Salaries Survey" xfId="11372" xr:uid="{00000000-0005-0000-0000-00007F2C0000}"/>
    <cellStyle name="RowTitles1-Detail 3 5 8 3" xfId="11373" xr:uid="{00000000-0005-0000-0000-0000802C0000}"/>
    <cellStyle name="RowTitles1-Detail 3 5 8_Tertiary Salaries Survey" xfId="11374" xr:uid="{00000000-0005-0000-0000-0000812C0000}"/>
    <cellStyle name="RowTitles1-Detail 3 5 9" xfId="11375" xr:uid="{00000000-0005-0000-0000-0000822C0000}"/>
    <cellStyle name="RowTitles1-Detail 3 5_STUD aligned by INSTIT" xfId="11376" xr:uid="{00000000-0005-0000-0000-0000832C0000}"/>
    <cellStyle name="RowTitles1-Detail 3 6" xfId="11377" xr:uid="{00000000-0005-0000-0000-0000842C0000}"/>
    <cellStyle name="RowTitles1-Detail 3 6 2" xfId="11378" xr:uid="{00000000-0005-0000-0000-0000852C0000}"/>
    <cellStyle name="RowTitles1-Detail 3 6 2 2" xfId="11379" xr:uid="{00000000-0005-0000-0000-0000862C0000}"/>
    <cellStyle name="RowTitles1-Detail 3 6 2 2 2" xfId="11380" xr:uid="{00000000-0005-0000-0000-0000872C0000}"/>
    <cellStyle name="RowTitles1-Detail 3 6 2 2 2 2" xfId="11381" xr:uid="{00000000-0005-0000-0000-0000882C0000}"/>
    <cellStyle name="RowTitles1-Detail 3 6 2 2 2_Tertiary Salaries Survey" xfId="11382" xr:uid="{00000000-0005-0000-0000-0000892C0000}"/>
    <cellStyle name="RowTitles1-Detail 3 6 2 2 3" xfId="11383" xr:uid="{00000000-0005-0000-0000-00008A2C0000}"/>
    <cellStyle name="RowTitles1-Detail 3 6 2 2_Tertiary Salaries Survey" xfId="11384" xr:uid="{00000000-0005-0000-0000-00008B2C0000}"/>
    <cellStyle name="RowTitles1-Detail 3 6 2 3" xfId="11385" xr:uid="{00000000-0005-0000-0000-00008C2C0000}"/>
    <cellStyle name="RowTitles1-Detail 3 6 2 3 2" xfId="11386" xr:uid="{00000000-0005-0000-0000-00008D2C0000}"/>
    <cellStyle name="RowTitles1-Detail 3 6 2 3 2 2" xfId="11387" xr:uid="{00000000-0005-0000-0000-00008E2C0000}"/>
    <cellStyle name="RowTitles1-Detail 3 6 2 3 2_Tertiary Salaries Survey" xfId="11388" xr:uid="{00000000-0005-0000-0000-00008F2C0000}"/>
    <cellStyle name="RowTitles1-Detail 3 6 2 3 3" xfId="11389" xr:uid="{00000000-0005-0000-0000-0000902C0000}"/>
    <cellStyle name="RowTitles1-Detail 3 6 2 3_Tertiary Salaries Survey" xfId="11390" xr:uid="{00000000-0005-0000-0000-0000912C0000}"/>
    <cellStyle name="RowTitles1-Detail 3 6 2 4" xfId="11391" xr:uid="{00000000-0005-0000-0000-0000922C0000}"/>
    <cellStyle name="RowTitles1-Detail 3 6 2 5" xfId="11392" xr:uid="{00000000-0005-0000-0000-0000932C0000}"/>
    <cellStyle name="RowTitles1-Detail 3 6 2 5 2" xfId="11393" xr:uid="{00000000-0005-0000-0000-0000942C0000}"/>
    <cellStyle name="RowTitles1-Detail 3 6 2 5_Tertiary Salaries Survey" xfId="11394" xr:uid="{00000000-0005-0000-0000-0000952C0000}"/>
    <cellStyle name="RowTitles1-Detail 3 6 2 6" xfId="11395" xr:uid="{00000000-0005-0000-0000-0000962C0000}"/>
    <cellStyle name="RowTitles1-Detail 3 6 2_Tertiary Salaries Survey" xfId="11396" xr:uid="{00000000-0005-0000-0000-0000972C0000}"/>
    <cellStyle name="RowTitles1-Detail 3 6 3" xfId="11397" xr:uid="{00000000-0005-0000-0000-0000982C0000}"/>
    <cellStyle name="RowTitles1-Detail 3 6 3 2" xfId="11398" xr:uid="{00000000-0005-0000-0000-0000992C0000}"/>
    <cellStyle name="RowTitles1-Detail 3 6 3 2 2" xfId="11399" xr:uid="{00000000-0005-0000-0000-00009A2C0000}"/>
    <cellStyle name="RowTitles1-Detail 3 6 3 2 2 2" xfId="11400" xr:uid="{00000000-0005-0000-0000-00009B2C0000}"/>
    <cellStyle name="RowTitles1-Detail 3 6 3 2 2_Tertiary Salaries Survey" xfId="11401" xr:uid="{00000000-0005-0000-0000-00009C2C0000}"/>
    <cellStyle name="RowTitles1-Detail 3 6 3 2 3" xfId="11402" xr:uid="{00000000-0005-0000-0000-00009D2C0000}"/>
    <cellStyle name="RowTitles1-Detail 3 6 3 2_Tertiary Salaries Survey" xfId="11403" xr:uid="{00000000-0005-0000-0000-00009E2C0000}"/>
    <cellStyle name="RowTitles1-Detail 3 6 3 3" xfId="11404" xr:uid="{00000000-0005-0000-0000-00009F2C0000}"/>
    <cellStyle name="RowTitles1-Detail 3 6 3 3 2" xfId="11405" xr:uid="{00000000-0005-0000-0000-0000A02C0000}"/>
    <cellStyle name="RowTitles1-Detail 3 6 3 3 2 2" xfId="11406" xr:uid="{00000000-0005-0000-0000-0000A12C0000}"/>
    <cellStyle name="RowTitles1-Detail 3 6 3 3 2_Tertiary Salaries Survey" xfId="11407" xr:uid="{00000000-0005-0000-0000-0000A22C0000}"/>
    <cellStyle name="RowTitles1-Detail 3 6 3 3 3" xfId="11408" xr:uid="{00000000-0005-0000-0000-0000A32C0000}"/>
    <cellStyle name="RowTitles1-Detail 3 6 3 3_Tertiary Salaries Survey" xfId="11409" xr:uid="{00000000-0005-0000-0000-0000A42C0000}"/>
    <cellStyle name="RowTitles1-Detail 3 6 3 4" xfId="11410" xr:uid="{00000000-0005-0000-0000-0000A52C0000}"/>
    <cellStyle name="RowTitles1-Detail 3 6 3 5" xfId="11411" xr:uid="{00000000-0005-0000-0000-0000A62C0000}"/>
    <cellStyle name="RowTitles1-Detail 3 6 3_Tertiary Salaries Survey" xfId="11412" xr:uid="{00000000-0005-0000-0000-0000A72C0000}"/>
    <cellStyle name="RowTitles1-Detail 3 6 4" xfId="11413" xr:uid="{00000000-0005-0000-0000-0000A82C0000}"/>
    <cellStyle name="RowTitles1-Detail 3 6 4 2" xfId="11414" xr:uid="{00000000-0005-0000-0000-0000A92C0000}"/>
    <cellStyle name="RowTitles1-Detail 3 6 4 2 2" xfId="11415" xr:uid="{00000000-0005-0000-0000-0000AA2C0000}"/>
    <cellStyle name="RowTitles1-Detail 3 6 4 2 2 2" xfId="11416" xr:uid="{00000000-0005-0000-0000-0000AB2C0000}"/>
    <cellStyle name="RowTitles1-Detail 3 6 4 2 2_Tertiary Salaries Survey" xfId="11417" xr:uid="{00000000-0005-0000-0000-0000AC2C0000}"/>
    <cellStyle name="RowTitles1-Detail 3 6 4 2 3" xfId="11418" xr:uid="{00000000-0005-0000-0000-0000AD2C0000}"/>
    <cellStyle name="RowTitles1-Detail 3 6 4 2_Tertiary Salaries Survey" xfId="11419" xr:uid="{00000000-0005-0000-0000-0000AE2C0000}"/>
    <cellStyle name="RowTitles1-Detail 3 6 4 3" xfId="11420" xr:uid="{00000000-0005-0000-0000-0000AF2C0000}"/>
    <cellStyle name="RowTitles1-Detail 3 6 4 3 2" xfId="11421" xr:uid="{00000000-0005-0000-0000-0000B02C0000}"/>
    <cellStyle name="RowTitles1-Detail 3 6 4 3 2 2" xfId="11422" xr:uid="{00000000-0005-0000-0000-0000B12C0000}"/>
    <cellStyle name="RowTitles1-Detail 3 6 4 3 2_Tertiary Salaries Survey" xfId="11423" xr:uid="{00000000-0005-0000-0000-0000B22C0000}"/>
    <cellStyle name="RowTitles1-Detail 3 6 4 3 3" xfId="11424" xr:uid="{00000000-0005-0000-0000-0000B32C0000}"/>
    <cellStyle name="RowTitles1-Detail 3 6 4 3_Tertiary Salaries Survey" xfId="11425" xr:uid="{00000000-0005-0000-0000-0000B42C0000}"/>
    <cellStyle name="RowTitles1-Detail 3 6 4 4" xfId="11426" xr:uid="{00000000-0005-0000-0000-0000B52C0000}"/>
    <cellStyle name="RowTitles1-Detail 3 6 4 5" xfId="11427" xr:uid="{00000000-0005-0000-0000-0000B62C0000}"/>
    <cellStyle name="RowTitles1-Detail 3 6 4 5 2" xfId="11428" xr:uid="{00000000-0005-0000-0000-0000B72C0000}"/>
    <cellStyle name="RowTitles1-Detail 3 6 4 5_Tertiary Salaries Survey" xfId="11429" xr:uid="{00000000-0005-0000-0000-0000B82C0000}"/>
    <cellStyle name="RowTitles1-Detail 3 6 4 6" xfId="11430" xr:uid="{00000000-0005-0000-0000-0000B92C0000}"/>
    <cellStyle name="RowTitles1-Detail 3 6 4_Tertiary Salaries Survey" xfId="11431" xr:uid="{00000000-0005-0000-0000-0000BA2C0000}"/>
    <cellStyle name="RowTitles1-Detail 3 6 5" xfId="11432" xr:uid="{00000000-0005-0000-0000-0000BB2C0000}"/>
    <cellStyle name="RowTitles1-Detail 3 6 5 2" xfId="11433" xr:uid="{00000000-0005-0000-0000-0000BC2C0000}"/>
    <cellStyle name="RowTitles1-Detail 3 6 5 2 2" xfId="11434" xr:uid="{00000000-0005-0000-0000-0000BD2C0000}"/>
    <cellStyle name="RowTitles1-Detail 3 6 5 2 2 2" xfId="11435" xr:uid="{00000000-0005-0000-0000-0000BE2C0000}"/>
    <cellStyle name="RowTitles1-Detail 3 6 5 2 2_Tertiary Salaries Survey" xfId="11436" xr:uid="{00000000-0005-0000-0000-0000BF2C0000}"/>
    <cellStyle name="RowTitles1-Detail 3 6 5 2 3" xfId="11437" xr:uid="{00000000-0005-0000-0000-0000C02C0000}"/>
    <cellStyle name="RowTitles1-Detail 3 6 5 2_Tertiary Salaries Survey" xfId="11438" xr:uid="{00000000-0005-0000-0000-0000C12C0000}"/>
    <cellStyle name="RowTitles1-Detail 3 6 5 3" xfId="11439" xr:uid="{00000000-0005-0000-0000-0000C22C0000}"/>
    <cellStyle name="RowTitles1-Detail 3 6 5 3 2" xfId="11440" xr:uid="{00000000-0005-0000-0000-0000C32C0000}"/>
    <cellStyle name="RowTitles1-Detail 3 6 5 3 2 2" xfId="11441" xr:uid="{00000000-0005-0000-0000-0000C42C0000}"/>
    <cellStyle name="RowTitles1-Detail 3 6 5 3 2_Tertiary Salaries Survey" xfId="11442" xr:uid="{00000000-0005-0000-0000-0000C52C0000}"/>
    <cellStyle name="RowTitles1-Detail 3 6 5 3 3" xfId="11443" xr:uid="{00000000-0005-0000-0000-0000C62C0000}"/>
    <cellStyle name="RowTitles1-Detail 3 6 5 3_Tertiary Salaries Survey" xfId="11444" xr:uid="{00000000-0005-0000-0000-0000C72C0000}"/>
    <cellStyle name="RowTitles1-Detail 3 6 5 4" xfId="11445" xr:uid="{00000000-0005-0000-0000-0000C82C0000}"/>
    <cellStyle name="RowTitles1-Detail 3 6 5 4 2" xfId="11446" xr:uid="{00000000-0005-0000-0000-0000C92C0000}"/>
    <cellStyle name="RowTitles1-Detail 3 6 5 4_Tertiary Salaries Survey" xfId="11447" xr:uid="{00000000-0005-0000-0000-0000CA2C0000}"/>
    <cellStyle name="RowTitles1-Detail 3 6 5 5" xfId="11448" xr:uid="{00000000-0005-0000-0000-0000CB2C0000}"/>
    <cellStyle name="RowTitles1-Detail 3 6 5_Tertiary Salaries Survey" xfId="11449" xr:uid="{00000000-0005-0000-0000-0000CC2C0000}"/>
    <cellStyle name="RowTitles1-Detail 3 6 6" xfId="11450" xr:uid="{00000000-0005-0000-0000-0000CD2C0000}"/>
    <cellStyle name="RowTitles1-Detail 3 6 6 2" xfId="11451" xr:uid="{00000000-0005-0000-0000-0000CE2C0000}"/>
    <cellStyle name="RowTitles1-Detail 3 6 6 2 2" xfId="11452" xr:uid="{00000000-0005-0000-0000-0000CF2C0000}"/>
    <cellStyle name="RowTitles1-Detail 3 6 6 2 2 2" xfId="11453" xr:uid="{00000000-0005-0000-0000-0000D02C0000}"/>
    <cellStyle name="RowTitles1-Detail 3 6 6 2 2_Tertiary Salaries Survey" xfId="11454" xr:uid="{00000000-0005-0000-0000-0000D12C0000}"/>
    <cellStyle name="RowTitles1-Detail 3 6 6 2 3" xfId="11455" xr:uid="{00000000-0005-0000-0000-0000D22C0000}"/>
    <cellStyle name="RowTitles1-Detail 3 6 6 2_Tertiary Salaries Survey" xfId="11456" xr:uid="{00000000-0005-0000-0000-0000D32C0000}"/>
    <cellStyle name="RowTitles1-Detail 3 6 6 3" xfId="11457" xr:uid="{00000000-0005-0000-0000-0000D42C0000}"/>
    <cellStyle name="RowTitles1-Detail 3 6 6 3 2" xfId="11458" xr:uid="{00000000-0005-0000-0000-0000D52C0000}"/>
    <cellStyle name="RowTitles1-Detail 3 6 6 3 2 2" xfId="11459" xr:uid="{00000000-0005-0000-0000-0000D62C0000}"/>
    <cellStyle name="RowTitles1-Detail 3 6 6 3 2_Tertiary Salaries Survey" xfId="11460" xr:uid="{00000000-0005-0000-0000-0000D72C0000}"/>
    <cellStyle name="RowTitles1-Detail 3 6 6 3 3" xfId="11461" xr:uid="{00000000-0005-0000-0000-0000D82C0000}"/>
    <cellStyle name="RowTitles1-Detail 3 6 6 3_Tertiary Salaries Survey" xfId="11462" xr:uid="{00000000-0005-0000-0000-0000D92C0000}"/>
    <cellStyle name="RowTitles1-Detail 3 6 6 4" xfId="11463" xr:uid="{00000000-0005-0000-0000-0000DA2C0000}"/>
    <cellStyle name="RowTitles1-Detail 3 6 6 4 2" xfId="11464" xr:uid="{00000000-0005-0000-0000-0000DB2C0000}"/>
    <cellStyle name="RowTitles1-Detail 3 6 6 4_Tertiary Salaries Survey" xfId="11465" xr:uid="{00000000-0005-0000-0000-0000DC2C0000}"/>
    <cellStyle name="RowTitles1-Detail 3 6 6 5" xfId="11466" xr:uid="{00000000-0005-0000-0000-0000DD2C0000}"/>
    <cellStyle name="RowTitles1-Detail 3 6 6_Tertiary Salaries Survey" xfId="11467" xr:uid="{00000000-0005-0000-0000-0000DE2C0000}"/>
    <cellStyle name="RowTitles1-Detail 3 6 7" xfId="11468" xr:uid="{00000000-0005-0000-0000-0000DF2C0000}"/>
    <cellStyle name="RowTitles1-Detail 3 6 7 2" xfId="11469" xr:uid="{00000000-0005-0000-0000-0000E02C0000}"/>
    <cellStyle name="RowTitles1-Detail 3 6 7 2 2" xfId="11470" xr:uid="{00000000-0005-0000-0000-0000E12C0000}"/>
    <cellStyle name="RowTitles1-Detail 3 6 7 2_Tertiary Salaries Survey" xfId="11471" xr:uid="{00000000-0005-0000-0000-0000E22C0000}"/>
    <cellStyle name="RowTitles1-Detail 3 6 7 3" xfId="11472" xr:uid="{00000000-0005-0000-0000-0000E32C0000}"/>
    <cellStyle name="RowTitles1-Detail 3 6 7_Tertiary Salaries Survey" xfId="11473" xr:uid="{00000000-0005-0000-0000-0000E42C0000}"/>
    <cellStyle name="RowTitles1-Detail 3 6 8" xfId="11474" xr:uid="{00000000-0005-0000-0000-0000E52C0000}"/>
    <cellStyle name="RowTitles1-Detail 3 6 9" xfId="11475" xr:uid="{00000000-0005-0000-0000-0000E62C0000}"/>
    <cellStyle name="RowTitles1-Detail 3 6_STUD aligned by INSTIT" xfId="11476" xr:uid="{00000000-0005-0000-0000-0000E72C0000}"/>
    <cellStyle name="RowTitles1-Detail 3 7" xfId="11477" xr:uid="{00000000-0005-0000-0000-0000E82C0000}"/>
    <cellStyle name="RowTitles1-Detail 3 7 2" xfId="11478" xr:uid="{00000000-0005-0000-0000-0000E92C0000}"/>
    <cellStyle name="RowTitles1-Detail 3 7 2 2" xfId="11479" xr:uid="{00000000-0005-0000-0000-0000EA2C0000}"/>
    <cellStyle name="RowTitles1-Detail 3 7 2 2 2" xfId="11480" xr:uid="{00000000-0005-0000-0000-0000EB2C0000}"/>
    <cellStyle name="RowTitles1-Detail 3 7 2 2_Tertiary Salaries Survey" xfId="11481" xr:uid="{00000000-0005-0000-0000-0000EC2C0000}"/>
    <cellStyle name="RowTitles1-Detail 3 7 2 3" xfId="11482" xr:uid="{00000000-0005-0000-0000-0000ED2C0000}"/>
    <cellStyle name="RowTitles1-Detail 3 7 2_Tertiary Salaries Survey" xfId="11483" xr:uid="{00000000-0005-0000-0000-0000EE2C0000}"/>
    <cellStyle name="RowTitles1-Detail 3 7 3" xfId="11484" xr:uid="{00000000-0005-0000-0000-0000EF2C0000}"/>
    <cellStyle name="RowTitles1-Detail 3 7 3 2" xfId="11485" xr:uid="{00000000-0005-0000-0000-0000F02C0000}"/>
    <cellStyle name="RowTitles1-Detail 3 7 3 2 2" xfId="11486" xr:uid="{00000000-0005-0000-0000-0000F12C0000}"/>
    <cellStyle name="RowTitles1-Detail 3 7 3 2_Tertiary Salaries Survey" xfId="11487" xr:uid="{00000000-0005-0000-0000-0000F22C0000}"/>
    <cellStyle name="RowTitles1-Detail 3 7 3 3" xfId="11488" xr:uid="{00000000-0005-0000-0000-0000F32C0000}"/>
    <cellStyle name="RowTitles1-Detail 3 7 3_Tertiary Salaries Survey" xfId="11489" xr:uid="{00000000-0005-0000-0000-0000F42C0000}"/>
    <cellStyle name="RowTitles1-Detail 3 7 4" xfId="11490" xr:uid="{00000000-0005-0000-0000-0000F52C0000}"/>
    <cellStyle name="RowTitles1-Detail 3 7 5" xfId="11491" xr:uid="{00000000-0005-0000-0000-0000F62C0000}"/>
    <cellStyle name="RowTitles1-Detail 3 7 5 2" xfId="11492" xr:uid="{00000000-0005-0000-0000-0000F72C0000}"/>
    <cellStyle name="RowTitles1-Detail 3 7 5_Tertiary Salaries Survey" xfId="11493" xr:uid="{00000000-0005-0000-0000-0000F82C0000}"/>
    <cellStyle name="RowTitles1-Detail 3 7 6" xfId="11494" xr:uid="{00000000-0005-0000-0000-0000F92C0000}"/>
    <cellStyle name="RowTitles1-Detail 3 7_Tertiary Salaries Survey" xfId="11495" xr:uid="{00000000-0005-0000-0000-0000FA2C0000}"/>
    <cellStyle name="RowTitles1-Detail 3 8" xfId="11496" xr:uid="{00000000-0005-0000-0000-0000FB2C0000}"/>
    <cellStyle name="RowTitles1-Detail 3 8 2" xfId="11497" xr:uid="{00000000-0005-0000-0000-0000FC2C0000}"/>
    <cellStyle name="RowTitles1-Detail 3 8 2 2" xfId="11498" xr:uid="{00000000-0005-0000-0000-0000FD2C0000}"/>
    <cellStyle name="RowTitles1-Detail 3 8 2 2 2" xfId="11499" xr:uid="{00000000-0005-0000-0000-0000FE2C0000}"/>
    <cellStyle name="RowTitles1-Detail 3 8 2 2_Tertiary Salaries Survey" xfId="11500" xr:uid="{00000000-0005-0000-0000-0000FF2C0000}"/>
    <cellStyle name="RowTitles1-Detail 3 8 2 3" xfId="11501" xr:uid="{00000000-0005-0000-0000-0000002D0000}"/>
    <cellStyle name="RowTitles1-Detail 3 8 2_Tertiary Salaries Survey" xfId="11502" xr:uid="{00000000-0005-0000-0000-0000012D0000}"/>
    <cellStyle name="RowTitles1-Detail 3 8 3" xfId="11503" xr:uid="{00000000-0005-0000-0000-0000022D0000}"/>
    <cellStyle name="RowTitles1-Detail 3 8 3 2" xfId="11504" xr:uid="{00000000-0005-0000-0000-0000032D0000}"/>
    <cellStyle name="RowTitles1-Detail 3 8 3 2 2" xfId="11505" xr:uid="{00000000-0005-0000-0000-0000042D0000}"/>
    <cellStyle name="RowTitles1-Detail 3 8 3 2_Tertiary Salaries Survey" xfId="11506" xr:uid="{00000000-0005-0000-0000-0000052D0000}"/>
    <cellStyle name="RowTitles1-Detail 3 8 3 3" xfId="11507" xr:uid="{00000000-0005-0000-0000-0000062D0000}"/>
    <cellStyle name="RowTitles1-Detail 3 8 3_Tertiary Salaries Survey" xfId="11508" xr:uid="{00000000-0005-0000-0000-0000072D0000}"/>
    <cellStyle name="RowTitles1-Detail 3 8 4" xfId="11509" xr:uid="{00000000-0005-0000-0000-0000082D0000}"/>
    <cellStyle name="RowTitles1-Detail 3 8 5" xfId="11510" xr:uid="{00000000-0005-0000-0000-0000092D0000}"/>
    <cellStyle name="RowTitles1-Detail 3 8_Tertiary Salaries Survey" xfId="11511" xr:uid="{00000000-0005-0000-0000-00000A2D0000}"/>
    <cellStyle name="RowTitles1-Detail 3 9" xfId="11512" xr:uid="{00000000-0005-0000-0000-00000B2D0000}"/>
    <cellStyle name="RowTitles1-Detail 3 9 2" xfId="11513" xr:uid="{00000000-0005-0000-0000-00000C2D0000}"/>
    <cellStyle name="RowTitles1-Detail 3 9 2 2" xfId="11514" xr:uid="{00000000-0005-0000-0000-00000D2D0000}"/>
    <cellStyle name="RowTitles1-Detail 3 9 2 2 2" xfId="11515" xr:uid="{00000000-0005-0000-0000-00000E2D0000}"/>
    <cellStyle name="RowTitles1-Detail 3 9 2 2_Tertiary Salaries Survey" xfId="11516" xr:uid="{00000000-0005-0000-0000-00000F2D0000}"/>
    <cellStyle name="RowTitles1-Detail 3 9 2 3" xfId="11517" xr:uid="{00000000-0005-0000-0000-0000102D0000}"/>
    <cellStyle name="RowTitles1-Detail 3 9 2_Tertiary Salaries Survey" xfId="11518" xr:uid="{00000000-0005-0000-0000-0000112D0000}"/>
    <cellStyle name="RowTitles1-Detail 3 9 3" xfId="11519" xr:uid="{00000000-0005-0000-0000-0000122D0000}"/>
    <cellStyle name="RowTitles1-Detail 3 9 3 2" xfId="11520" xr:uid="{00000000-0005-0000-0000-0000132D0000}"/>
    <cellStyle name="RowTitles1-Detail 3 9 3 2 2" xfId="11521" xr:uid="{00000000-0005-0000-0000-0000142D0000}"/>
    <cellStyle name="RowTitles1-Detail 3 9 3 2_Tertiary Salaries Survey" xfId="11522" xr:uid="{00000000-0005-0000-0000-0000152D0000}"/>
    <cellStyle name="RowTitles1-Detail 3 9 3 3" xfId="11523" xr:uid="{00000000-0005-0000-0000-0000162D0000}"/>
    <cellStyle name="RowTitles1-Detail 3 9 3_Tertiary Salaries Survey" xfId="11524" xr:uid="{00000000-0005-0000-0000-0000172D0000}"/>
    <cellStyle name="RowTitles1-Detail 3 9 4" xfId="11525" xr:uid="{00000000-0005-0000-0000-0000182D0000}"/>
    <cellStyle name="RowTitles1-Detail 3 9 5" xfId="11526" xr:uid="{00000000-0005-0000-0000-0000192D0000}"/>
    <cellStyle name="RowTitles1-Detail 3 9 5 2" xfId="11527" xr:uid="{00000000-0005-0000-0000-00001A2D0000}"/>
    <cellStyle name="RowTitles1-Detail 3 9 5_Tertiary Salaries Survey" xfId="11528" xr:uid="{00000000-0005-0000-0000-00001B2D0000}"/>
    <cellStyle name="RowTitles1-Detail 3 9 6" xfId="11529" xr:uid="{00000000-0005-0000-0000-00001C2D0000}"/>
    <cellStyle name="RowTitles1-Detail 3 9_Tertiary Salaries Survey" xfId="11530" xr:uid="{00000000-0005-0000-0000-00001D2D0000}"/>
    <cellStyle name="RowTitles1-Detail 3_STUD aligned by INSTIT" xfId="11531" xr:uid="{00000000-0005-0000-0000-00001E2D0000}"/>
    <cellStyle name="RowTitles1-Detail 4" xfId="11532" xr:uid="{00000000-0005-0000-0000-00001F2D0000}"/>
    <cellStyle name="RowTitles1-Detail 4 10" xfId="11533" xr:uid="{00000000-0005-0000-0000-0000202D0000}"/>
    <cellStyle name="RowTitles1-Detail 4 10 2" xfId="11534" xr:uid="{00000000-0005-0000-0000-0000212D0000}"/>
    <cellStyle name="RowTitles1-Detail 4 10 2 2" xfId="11535" xr:uid="{00000000-0005-0000-0000-0000222D0000}"/>
    <cellStyle name="RowTitles1-Detail 4 10 2 2 2" xfId="11536" xr:uid="{00000000-0005-0000-0000-0000232D0000}"/>
    <cellStyle name="RowTitles1-Detail 4 10 2 2_Tertiary Salaries Survey" xfId="11537" xr:uid="{00000000-0005-0000-0000-0000242D0000}"/>
    <cellStyle name="RowTitles1-Detail 4 10 2 3" xfId="11538" xr:uid="{00000000-0005-0000-0000-0000252D0000}"/>
    <cellStyle name="RowTitles1-Detail 4 10 2_Tertiary Salaries Survey" xfId="11539" xr:uid="{00000000-0005-0000-0000-0000262D0000}"/>
    <cellStyle name="RowTitles1-Detail 4 10 3" xfId="11540" xr:uid="{00000000-0005-0000-0000-0000272D0000}"/>
    <cellStyle name="RowTitles1-Detail 4 10 3 2" xfId="11541" xr:uid="{00000000-0005-0000-0000-0000282D0000}"/>
    <cellStyle name="RowTitles1-Detail 4 10 3 2 2" xfId="11542" xr:uid="{00000000-0005-0000-0000-0000292D0000}"/>
    <cellStyle name="RowTitles1-Detail 4 10 3 2_Tertiary Salaries Survey" xfId="11543" xr:uid="{00000000-0005-0000-0000-00002A2D0000}"/>
    <cellStyle name="RowTitles1-Detail 4 10 3 3" xfId="11544" xr:uid="{00000000-0005-0000-0000-00002B2D0000}"/>
    <cellStyle name="RowTitles1-Detail 4 10 3_Tertiary Salaries Survey" xfId="11545" xr:uid="{00000000-0005-0000-0000-00002C2D0000}"/>
    <cellStyle name="RowTitles1-Detail 4 10 4" xfId="11546" xr:uid="{00000000-0005-0000-0000-00002D2D0000}"/>
    <cellStyle name="RowTitles1-Detail 4 10 4 2" xfId="11547" xr:uid="{00000000-0005-0000-0000-00002E2D0000}"/>
    <cellStyle name="RowTitles1-Detail 4 10 4_Tertiary Salaries Survey" xfId="11548" xr:uid="{00000000-0005-0000-0000-00002F2D0000}"/>
    <cellStyle name="RowTitles1-Detail 4 10 5" xfId="11549" xr:uid="{00000000-0005-0000-0000-0000302D0000}"/>
    <cellStyle name="RowTitles1-Detail 4 10_Tertiary Salaries Survey" xfId="11550" xr:uid="{00000000-0005-0000-0000-0000312D0000}"/>
    <cellStyle name="RowTitles1-Detail 4 11" xfId="11551" xr:uid="{00000000-0005-0000-0000-0000322D0000}"/>
    <cellStyle name="RowTitles1-Detail 4 11 2" xfId="11552" xr:uid="{00000000-0005-0000-0000-0000332D0000}"/>
    <cellStyle name="RowTitles1-Detail 4 11 2 2" xfId="11553" xr:uid="{00000000-0005-0000-0000-0000342D0000}"/>
    <cellStyle name="RowTitles1-Detail 4 11 2 2 2" xfId="11554" xr:uid="{00000000-0005-0000-0000-0000352D0000}"/>
    <cellStyle name="RowTitles1-Detail 4 11 2 2_Tertiary Salaries Survey" xfId="11555" xr:uid="{00000000-0005-0000-0000-0000362D0000}"/>
    <cellStyle name="RowTitles1-Detail 4 11 2 3" xfId="11556" xr:uid="{00000000-0005-0000-0000-0000372D0000}"/>
    <cellStyle name="RowTitles1-Detail 4 11 2_Tertiary Salaries Survey" xfId="11557" xr:uid="{00000000-0005-0000-0000-0000382D0000}"/>
    <cellStyle name="RowTitles1-Detail 4 11 3" xfId="11558" xr:uid="{00000000-0005-0000-0000-0000392D0000}"/>
    <cellStyle name="RowTitles1-Detail 4 11 3 2" xfId="11559" xr:uid="{00000000-0005-0000-0000-00003A2D0000}"/>
    <cellStyle name="RowTitles1-Detail 4 11 3 2 2" xfId="11560" xr:uid="{00000000-0005-0000-0000-00003B2D0000}"/>
    <cellStyle name="RowTitles1-Detail 4 11 3 2_Tertiary Salaries Survey" xfId="11561" xr:uid="{00000000-0005-0000-0000-00003C2D0000}"/>
    <cellStyle name="RowTitles1-Detail 4 11 3 3" xfId="11562" xr:uid="{00000000-0005-0000-0000-00003D2D0000}"/>
    <cellStyle name="RowTitles1-Detail 4 11 3_Tertiary Salaries Survey" xfId="11563" xr:uid="{00000000-0005-0000-0000-00003E2D0000}"/>
    <cellStyle name="RowTitles1-Detail 4 11 4" xfId="11564" xr:uid="{00000000-0005-0000-0000-00003F2D0000}"/>
    <cellStyle name="RowTitles1-Detail 4 11 4 2" xfId="11565" xr:uid="{00000000-0005-0000-0000-0000402D0000}"/>
    <cellStyle name="RowTitles1-Detail 4 11 4_Tertiary Salaries Survey" xfId="11566" xr:uid="{00000000-0005-0000-0000-0000412D0000}"/>
    <cellStyle name="RowTitles1-Detail 4 11 5" xfId="11567" xr:uid="{00000000-0005-0000-0000-0000422D0000}"/>
    <cellStyle name="RowTitles1-Detail 4 11_Tertiary Salaries Survey" xfId="11568" xr:uid="{00000000-0005-0000-0000-0000432D0000}"/>
    <cellStyle name="RowTitles1-Detail 4 12" xfId="11569" xr:uid="{00000000-0005-0000-0000-0000442D0000}"/>
    <cellStyle name="RowTitles1-Detail 4 12 2" xfId="11570" xr:uid="{00000000-0005-0000-0000-0000452D0000}"/>
    <cellStyle name="RowTitles1-Detail 4 12 2 2" xfId="11571" xr:uid="{00000000-0005-0000-0000-0000462D0000}"/>
    <cellStyle name="RowTitles1-Detail 4 12 2_Tertiary Salaries Survey" xfId="11572" xr:uid="{00000000-0005-0000-0000-0000472D0000}"/>
    <cellStyle name="RowTitles1-Detail 4 12 3" xfId="11573" xr:uid="{00000000-0005-0000-0000-0000482D0000}"/>
    <cellStyle name="RowTitles1-Detail 4 12_Tertiary Salaries Survey" xfId="11574" xr:uid="{00000000-0005-0000-0000-0000492D0000}"/>
    <cellStyle name="RowTitles1-Detail 4 13" xfId="11575" xr:uid="{00000000-0005-0000-0000-00004A2D0000}"/>
    <cellStyle name="RowTitles1-Detail 4 14" xfId="11576" xr:uid="{00000000-0005-0000-0000-00004B2D0000}"/>
    <cellStyle name="RowTitles1-Detail 4 15" xfId="11577" xr:uid="{00000000-0005-0000-0000-00004C2D0000}"/>
    <cellStyle name="RowTitles1-Detail 4 2" xfId="11578" xr:uid="{00000000-0005-0000-0000-00004D2D0000}"/>
    <cellStyle name="RowTitles1-Detail 4 2 10" xfId="11579" xr:uid="{00000000-0005-0000-0000-00004E2D0000}"/>
    <cellStyle name="RowTitles1-Detail 4 2 10 2" xfId="11580" xr:uid="{00000000-0005-0000-0000-00004F2D0000}"/>
    <cellStyle name="RowTitles1-Detail 4 2 10 2 2" xfId="11581" xr:uid="{00000000-0005-0000-0000-0000502D0000}"/>
    <cellStyle name="RowTitles1-Detail 4 2 10 2 2 2" xfId="11582" xr:uid="{00000000-0005-0000-0000-0000512D0000}"/>
    <cellStyle name="RowTitles1-Detail 4 2 10 2 2_Tertiary Salaries Survey" xfId="11583" xr:uid="{00000000-0005-0000-0000-0000522D0000}"/>
    <cellStyle name="RowTitles1-Detail 4 2 10 2 3" xfId="11584" xr:uid="{00000000-0005-0000-0000-0000532D0000}"/>
    <cellStyle name="RowTitles1-Detail 4 2 10 2_Tertiary Salaries Survey" xfId="11585" xr:uid="{00000000-0005-0000-0000-0000542D0000}"/>
    <cellStyle name="RowTitles1-Detail 4 2 10 3" xfId="11586" xr:uid="{00000000-0005-0000-0000-0000552D0000}"/>
    <cellStyle name="RowTitles1-Detail 4 2 10 3 2" xfId="11587" xr:uid="{00000000-0005-0000-0000-0000562D0000}"/>
    <cellStyle name="RowTitles1-Detail 4 2 10 3 2 2" xfId="11588" xr:uid="{00000000-0005-0000-0000-0000572D0000}"/>
    <cellStyle name="RowTitles1-Detail 4 2 10 3 2_Tertiary Salaries Survey" xfId="11589" xr:uid="{00000000-0005-0000-0000-0000582D0000}"/>
    <cellStyle name="RowTitles1-Detail 4 2 10 3 3" xfId="11590" xr:uid="{00000000-0005-0000-0000-0000592D0000}"/>
    <cellStyle name="RowTitles1-Detail 4 2 10 3_Tertiary Salaries Survey" xfId="11591" xr:uid="{00000000-0005-0000-0000-00005A2D0000}"/>
    <cellStyle name="RowTitles1-Detail 4 2 10 4" xfId="11592" xr:uid="{00000000-0005-0000-0000-00005B2D0000}"/>
    <cellStyle name="RowTitles1-Detail 4 2 10 4 2" xfId="11593" xr:uid="{00000000-0005-0000-0000-00005C2D0000}"/>
    <cellStyle name="RowTitles1-Detail 4 2 10 4_Tertiary Salaries Survey" xfId="11594" xr:uid="{00000000-0005-0000-0000-00005D2D0000}"/>
    <cellStyle name="RowTitles1-Detail 4 2 10 5" xfId="11595" xr:uid="{00000000-0005-0000-0000-00005E2D0000}"/>
    <cellStyle name="RowTitles1-Detail 4 2 10_Tertiary Salaries Survey" xfId="11596" xr:uid="{00000000-0005-0000-0000-00005F2D0000}"/>
    <cellStyle name="RowTitles1-Detail 4 2 11" xfId="11597" xr:uid="{00000000-0005-0000-0000-0000602D0000}"/>
    <cellStyle name="RowTitles1-Detail 4 2 11 2" xfId="11598" xr:uid="{00000000-0005-0000-0000-0000612D0000}"/>
    <cellStyle name="RowTitles1-Detail 4 2 11 2 2" xfId="11599" xr:uid="{00000000-0005-0000-0000-0000622D0000}"/>
    <cellStyle name="RowTitles1-Detail 4 2 11 2_Tertiary Salaries Survey" xfId="11600" xr:uid="{00000000-0005-0000-0000-0000632D0000}"/>
    <cellStyle name="RowTitles1-Detail 4 2 11 3" xfId="11601" xr:uid="{00000000-0005-0000-0000-0000642D0000}"/>
    <cellStyle name="RowTitles1-Detail 4 2 11_Tertiary Salaries Survey" xfId="11602" xr:uid="{00000000-0005-0000-0000-0000652D0000}"/>
    <cellStyle name="RowTitles1-Detail 4 2 12" xfId="11603" xr:uid="{00000000-0005-0000-0000-0000662D0000}"/>
    <cellStyle name="RowTitles1-Detail 4 2 13" xfId="11604" xr:uid="{00000000-0005-0000-0000-0000672D0000}"/>
    <cellStyle name="RowTitles1-Detail 4 2 2" xfId="11605" xr:uid="{00000000-0005-0000-0000-0000682D0000}"/>
    <cellStyle name="RowTitles1-Detail 4 2 2 10" xfId="11606" xr:uid="{00000000-0005-0000-0000-0000692D0000}"/>
    <cellStyle name="RowTitles1-Detail 4 2 2 10 2" xfId="11607" xr:uid="{00000000-0005-0000-0000-00006A2D0000}"/>
    <cellStyle name="RowTitles1-Detail 4 2 2 10 2 2" xfId="11608" xr:uid="{00000000-0005-0000-0000-00006B2D0000}"/>
    <cellStyle name="RowTitles1-Detail 4 2 2 10 2_Tertiary Salaries Survey" xfId="11609" xr:uid="{00000000-0005-0000-0000-00006C2D0000}"/>
    <cellStyle name="RowTitles1-Detail 4 2 2 10 3" xfId="11610" xr:uid="{00000000-0005-0000-0000-00006D2D0000}"/>
    <cellStyle name="RowTitles1-Detail 4 2 2 10_Tertiary Salaries Survey" xfId="11611" xr:uid="{00000000-0005-0000-0000-00006E2D0000}"/>
    <cellStyle name="RowTitles1-Detail 4 2 2 11" xfId="11612" xr:uid="{00000000-0005-0000-0000-00006F2D0000}"/>
    <cellStyle name="RowTitles1-Detail 4 2 2 12" xfId="11613" xr:uid="{00000000-0005-0000-0000-0000702D0000}"/>
    <cellStyle name="RowTitles1-Detail 4 2 2 2" xfId="11614" xr:uid="{00000000-0005-0000-0000-0000712D0000}"/>
    <cellStyle name="RowTitles1-Detail 4 2 2 2 2" xfId="11615" xr:uid="{00000000-0005-0000-0000-0000722D0000}"/>
    <cellStyle name="RowTitles1-Detail 4 2 2 2 2 2" xfId="11616" xr:uid="{00000000-0005-0000-0000-0000732D0000}"/>
    <cellStyle name="RowTitles1-Detail 4 2 2 2 2 2 2" xfId="11617" xr:uid="{00000000-0005-0000-0000-0000742D0000}"/>
    <cellStyle name="RowTitles1-Detail 4 2 2 2 2 2 2 2" xfId="11618" xr:uid="{00000000-0005-0000-0000-0000752D0000}"/>
    <cellStyle name="RowTitles1-Detail 4 2 2 2 2 2 2_Tertiary Salaries Survey" xfId="11619" xr:uid="{00000000-0005-0000-0000-0000762D0000}"/>
    <cellStyle name="RowTitles1-Detail 4 2 2 2 2 2 3" xfId="11620" xr:uid="{00000000-0005-0000-0000-0000772D0000}"/>
    <cellStyle name="RowTitles1-Detail 4 2 2 2 2 2_Tertiary Salaries Survey" xfId="11621" xr:uid="{00000000-0005-0000-0000-0000782D0000}"/>
    <cellStyle name="RowTitles1-Detail 4 2 2 2 2 3" xfId="11622" xr:uid="{00000000-0005-0000-0000-0000792D0000}"/>
    <cellStyle name="RowTitles1-Detail 4 2 2 2 2 3 2" xfId="11623" xr:uid="{00000000-0005-0000-0000-00007A2D0000}"/>
    <cellStyle name="RowTitles1-Detail 4 2 2 2 2 3 2 2" xfId="11624" xr:uid="{00000000-0005-0000-0000-00007B2D0000}"/>
    <cellStyle name="RowTitles1-Detail 4 2 2 2 2 3 2_Tertiary Salaries Survey" xfId="11625" xr:uid="{00000000-0005-0000-0000-00007C2D0000}"/>
    <cellStyle name="RowTitles1-Detail 4 2 2 2 2 3 3" xfId="11626" xr:uid="{00000000-0005-0000-0000-00007D2D0000}"/>
    <cellStyle name="RowTitles1-Detail 4 2 2 2 2 3_Tertiary Salaries Survey" xfId="11627" xr:uid="{00000000-0005-0000-0000-00007E2D0000}"/>
    <cellStyle name="RowTitles1-Detail 4 2 2 2 2 4" xfId="11628" xr:uid="{00000000-0005-0000-0000-00007F2D0000}"/>
    <cellStyle name="RowTitles1-Detail 4 2 2 2 2 5" xfId="11629" xr:uid="{00000000-0005-0000-0000-0000802D0000}"/>
    <cellStyle name="RowTitles1-Detail 4 2 2 2 2_Tertiary Salaries Survey" xfId="11630" xr:uid="{00000000-0005-0000-0000-0000812D0000}"/>
    <cellStyle name="RowTitles1-Detail 4 2 2 2 3" xfId="11631" xr:uid="{00000000-0005-0000-0000-0000822D0000}"/>
    <cellStyle name="RowTitles1-Detail 4 2 2 2 3 2" xfId="11632" xr:uid="{00000000-0005-0000-0000-0000832D0000}"/>
    <cellStyle name="RowTitles1-Detail 4 2 2 2 3 2 2" xfId="11633" xr:uid="{00000000-0005-0000-0000-0000842D0000}"/>
    <cellStyle name="RowTitles1-Detail 4 2 2 2 3 2 2 2" xfId="11634" xr:uid="{00000000-0005-0000-0000-0000852D0000}"/>
    <cellStyle name="RowTitles1-Detail 4 2 2 2 3 2 2_Tertiary Salaries Survey" xfId="11635" xr:uid="{00000000-0005-0000-0000-0000862D0000}"/>
    <cellStyle name="RowTitles1-Detail 4 2 2 2 3 2 3" xfId="11636" xr:uid="{00000000-0005-0000-0000-0000872D0000}"/>
    <cellStyle name="RowTitles1-Detail 4 2 2 2 3 2_Tertiary Salaries Survey" xfId="11637" xr:uid="{00000000-0005-0000-0000-0000882D0000}"/>
    <cellStyle name="RowTitles1-Detail 4 2 2 2 3 3" xfId="11638" xr:uid="{00000000-0005-0000-0000-0000892D0000}"/>
    <cellStyle name="RowTitles1-Detail 4 2 2 2 3 3 2" xfId="11639" xr:uid="{00000000-0005-0000-0000-00008A2D0000}"/>
    <cellStyle name="RowTitles1-Detail 4 2 2 2 3 3 2 2" xfId="11640" xr:uid="{00000000-0005-0000-0000-00008B2D0000}"/>
    <cellStyle name="RowTitles1-Detail 4 2 2 2 3 3 2_Tertiary Salaries Survey" xfId="11641" xr:uid="{00000000-0005-0000-0000-00008C2D0000}"/>
    <cellStyle name="RowTitles1-Detail 4 2 2 2 3 3 3" xfId="11642" xr:uid="{00000000-0005-0000-0000-00008D2D0000}"/>
    <cellStyle name="RowTitles1-Detail 4 2 2 2 3 3_Tertiary Salaries Survey" xfId="11643" xr:uid="{00000000-0005-0000-0000-00008E2D0000}"/>
    <cellStyle name="RowTitles1-Detail 4 2 2 2 3 4" xfId="11644" xr:uid="{00000000-0005-0000-0000-00008F2D0000}"/>
    <cellStyle name="RowTitles1-Detail 4 2 2 2 3 5" xfId="11645" xr:uid="{00000000-0005-0000-0000-0000902D0000}"/>
    <cellStyle name="RowTitles1-Detail 4 2 2 2 3 5 2" xfId="11646" xr:uid="{00000000-0005-0000-0000-0000912D0000}"/>
    <cellStyle name="RowTitles1-Detail 4 2 2 2 3 5_Tertiary Salaries Survey" xfId="11647" xr:uid="{00000000-0005-0000-0000-0000922D0000}"/>
    <cellStyle name="RowTitles1-Detail 4 2 2 2 3 6" xfId="11648" xr:uid="{00000000-0005-0000-0000-0000932D0000}"/>
    <cellStyle name="RowTitles1-Detail 4 2 2 2 3_Tertiary Salaries Survey" xfId="11649" xr:uid="{00000000-0005-0000-0000-0000942D0000}"/>
    <cellStyle name="RowTitles1-Detail 4 2 2 2 4" xfId="11650" xr:uid="{00000000-0005-0000-0000-0000952D0000}"/>
    <cellStyle name="RowTitles1-Detail 4 2 2 2 4 2" xfId="11651" xr:uid="{00000000-0005-0000-0000-0000962D0000}"/>
    <cellStyle name="RowTitles1-Detail 4 2 2 2 4 2 2" xfId="11652" xr:uid="{00000000-0005-0000-0000-0000972D0000}"/>
    <cellStyle name="RowTitles1-Detail 4 2 2 2 4 2 2 2" xfId="11653" xr:uid="{00000000-0005-0000-0000-0000982D0000}"/>
    <cellStyle name="RowTitles1-Detail 4 2 2 2 4 2 2_Tertiary Salaries Survey" xfId="11654" xr:uid="{00000000-0005-0000-0000-0000992D0000}"/>
    <cellStyle name="RowTitles1-Detail 4 2 2 2 4 2 3" xfId="11655" xr:uid="{00000000-0005-0000-0000-00009A2D0000}"/>
    <cellStyle name="RowTitles1-Detail 4 2 2 2 4 2_Tertiary Salaries Survey" xfId="11656" xr:uid="{00000000-0005-0000-0000-00009B2D0000}"/>
    <cellStyle name="RowTitles1-Detail 4 2 2 2 4 3" xfId="11657" xr:uid="{00000000-0005-0000-0000-00009C2D0000}"/>
    <cellStyle name="RowTitles1-Detail 4 2 2 2 4 3 2" xfId="11658" xr:uid="{00000000-0005-0000-0000-00009D2D0000}"/>
    <cellStyle name="RowTitles1-Detail 4 2 2 2 4 3 2 2" xfId="11659" xr:uid="{00000000-0005-0000-0000-00009E2D0000}"/>
    <cellStyle name="RowTitles1-Detail 4 2 2 2 4 3 2_Tertiary Salaries Survey" xfId="11660" xr:uid="{00000000-0005-0000-0000-00009F2D0000}"/>
    <cellStyle name="RowTitles1-Detail 4 2 2 2 4 3 3" xfId="11661" xr:uid="{00000000-0005-0000-0000-0000A02D0000}"/>
    <cellStyle name="RowTitles1-Detail 4 2 2 2 4 3_Tertiary Salaries Survey" xfId="11662" xr:uid="{00000000-0005-0000-0000-0000A12D0000}"/>
    <cellStyle name="RowTitles1-Detail 4 2 2 2 4 4" xfId="11663" xr:uid="{00000000-0005-0000-0000-0000A22D0000}"/>
    <cellStyle name="RowTitles1-Detail 4 2 2 2 4 4 2" xfId="11664" xr:uid="{00000000-0005-0000-0000-0000A32D0000}"/>
    <cellStyle name="RowTitles1-Detail 4 2 2 2 4 4_Tertiary Salaries Survey" xfId="11665" xr:uid="{00000000-0005-0000-0000-0000A42D0000}"/>
    <cellStyle name="RowTitles1-Detail 4 2 2 2 4 5" xfId="11666" xr:uid="{00000000-0005-0000-0000-0000A52D0000}"/>
    <cellStyle name="RowTitles1-Detail 4 2 2 2 4_Tertiary Salaries Survey" xfId="11667" xr:uid="{00000000-0005-0000-0000-0000A62D0000}"/>
    <cellStyle name="RowTitles1-Detail 4 2 2 2 5" xfId="11668" xr:uid="{00000000-0005-0000-0000-0000A72D0000}"/>
    <cellStyle name="RowTitles1-Detail 4 2 2 2 5 2" xfId="11669" xr:uid="{00000000-0005-0000-0000-0000A82D0000}"/>
    <cellStyle name="RowTitles1-Detail 4 2 2 2 5 2 2" xfId="11670" xr:uid="{00000000-0005-0000-0000-0000A92D0000}"/>
    <cellStyle name="RowTitles1-Detail 4 2 2 2 5 2 2 2" xfId="11671" xr:uid="{00000000-0005-0000-0000-0000AA2D0000}"/>
    <cellStyle name="RowTitles1-Detail 4 2 2 2 5 2 2_Tertiary Salaries Survey" xfId="11672" xr:uid="{00000000-0005-0000-0000-0000AB2D0000}"/>
    <cellStyle name="RowTitles1-Detail 4 2 2 2 5 2 3" xfId="11673" xr:uid="{00000000-0005-0000-0000-0000AC2D0000}"/>
    <cellStyle name="RowTitles1-Detail 4 2 2 2 5 2_Tertiary Salaries Survey" xfId="11674" xr:uid="{00000000-0005-0000-0000-0000AD2D0000}"/>
    <cellStyle name="RowTitles1-Detail 4 2 2 2 5 3" xfId="11675" xr:uid="{00000000-0005-0000-0000-0000AE2D0000}"/>
    <cellStyle name="RowTitles1-Detail 4 2 2 2 5 3 2" xfId="11676" xr:uid="{00000000-0005-0000-0000-0000AF2D0000}"/>
    <cellStyle name="RowTitles1-Detail 4 2 2 2 5 3 2 2" xfId="11677" xr:uid="{00000000-0005-0000-0000-0000B02D0000}"/>
    <cellStyle name="RowTitles1-Detail 4 2 2 2 5 3 2_Tertiary Salaries Survey" xfId="11678" xr:uid="{00000000-0005-0000-0000-0000B12D0000}"/>
    <cellStyle name="RowTitles1-Detail 4 2 2 2 5 3 3" xfId="11679" xr:uid="{00000000-0005-0000-0000-0000B22D0000}"/>
    <cellStyle name="RowTitles1-Detail 4 2 2 2 5 3_Tertiary Salaries Survey" xfId="11680" xr:uid="{00000000-0005-0000-0000-0000B32D0000}"/>
    <cellStyle name="RowTitles1-Detail 4 2 2 2 5 4" xfId="11681" xr:uid="{00000000-0005-0000-0000-0000B42D0000}"/>
    <cellStyle name="RowTitles1-Detail 4 2 2 2 5 4 2" xfId="11682" xr:uid="{00000000-0005-0000-0000-0000B52D0000}"/>
    <cellStyle name="RowTitles1-Detail 4 2 2 2 5 4_Tertiary Salaries Survey" xfId="11683" xr:uid="{00000000-0005-0000-0000-0000B62D0000}"/>
    <cellStyle name="RowTitles1-Detail 4 2 2 2 5 5" xfId="11684" xr:uid="{00000000-0005-0000-0000-0000B72D0000}"/>
    <cellStyle name="RowTitles1-Detail 4 2 2 2 5_Tertiary Salaries Survey" xfId="11685" xr:uid="{00000000-0005-0000-0000-0000B82D0000}"/>
    <cellStyle name="RowTitles1-Detail 4 2 2 2 6" xfId="11686" xr:uid="{00000000-0005-0000-0000-0000B92D0000}"/>
    <cellStyle name="RowTitles1-Detail 4 2 2 2 6 2" xfId="11687" xr:uid="{00000000-0005-0000-0000-0000BA2D0000}"/>
    <cellStyle name="RowTitles1-Detail 4 2 2 2 6 2 2" xfId="11688" xr:uid="{00000000-0005-0000-0000-0000BB2D0000}"/>
    <cellStyle name="RowTitles1-Detail 4 2 2 2 6 2 2 2" xfId="11689" xr:uid="{00000000-0005-0000-0000-0000BC2D0000}"/>
    <cellStyle name="RowTitles1-Detail 4 2 2 2 6 2 2_Tertiary Salaries Survey" xfId="11690" xr:uid="{00000000-0005-0000-0000-0000BD2D0000}"/>
    <cellStyle name="RowTitles1-Detail 4 2 2 2 6 2 3" xfId="11691" xr:uid="{00000000-0005-0000-0000-0000BE2D0000}"/>
    <cellStyle name="RowTitles1-Detail 4 2 2 2 6 2_Tertiary Salaries Survey" xfId="11692" xr:uid="{00000000-0005-0000-0000-0000BF2D0000}"/>
    <cellStyle name="RowTitles1-Detail 4 2 2 2 6 3" xfId="11693" xr:uid="{00000000-0005-0000-0000-0000C02D0000}"/>
    <cellStyle name="RowTitles1-Detail 4 2 2 2 6 3 2" xfId="11694" xr:uid="{00000000-0005-0000-0000-0000C12D0000}"/>
    <cellStyle name="RowTitles1-Detail 4 2 2 2 6 3 2 2" xfId="11695" xr:uid="{00000000-0005-0000-0000-0000C22D0000}"/>
    <cellStyle name="RowTitles1-Detail 4 2 2 2 6 3 2_Tertiary Salaries Survey" xfId="11696" xr:uid="{00000000-0005-0000-0000-0000C32D0000}"/>
    <cellStyle name="RowTitles1-Detail 4 2 2 2 6 3 3" xfId="11697" xr:uid="{00000000-0005-0000-0000-0000C42D0000}"/>
    <cellStyle name="RowTitles1-Detail 4 2 2 2 6 3_Tertiary Salaries Survey" xfId="11698" xr:uid="{00000000-0005-0000-0000-0000C52D0000}"/>
    <cellStyle name="RowTitles1-Detail 4 2 2 2 6 4" xfId="11699" xr:uid="{00000000-0005-0000-0000-0000C62D0000}"/>
    <cellStyle name="RowTitles1-Detail 4 2 2 2 6 4 2" xfId="11700" xr:uid="{00000000-0005-0000-0000-0000C72D0000}"/>
    <cellStyle name="RowTitles1-Detail 4 2 2 2 6 4_Tertiary Salaries Survey" xfId="11701" xr:uid="{00000000-0005-0000-0000-0000C82D0000}"/>
    <cellStyle name="RowTitles1-Detail 4 2 2 2 6 5" xfId="11702" xr:uid="{00000000-0005-0000-0000-0000C92D0000}"/>
    <cellStyle name="RowTitles1-Detail 4 2 2 2 6_Tertiary Salaries Survey" xfId="11703" xr:uid="{00000000-0005-0000-0000-0000CA2D0000}"/>
    <cellStyle name="RowTitles1-Detail 4 2 2 2 7" xfId="11704" xr:uid="{00000000-0005-0000-0000-0000CB2D0000}"/>
    <cellStyle name="RowTitles1-Detail 4 2 2 2 7 2" xfId="11705" xr:uid="{00000000-0005-0000-0000-0000CC2D0000}"/>
    <cellStyle name="RowTitles1-Detail 4 2 2 2 7 2 2" xfId="11706" xr:uid="{00000000-0005-0000-0000-0000CD2D0000}"/>
    <cellStyle name="RowTitles1-Detail 4 2 2 2 7 2_Tertiary Salaries Survey" xfId="11707" xr:uid="{00000000-0005-0000-0000-0000CE2D0000}"/>
    <cellStyle name="RowTitles1-Detail 4 2 2 2 7 3" xfId="11708" xr:uid="{00000000-0005-0000-0000-0000CF2D0000}"/>
    <cellStyle name="RowTitles1-Detail 4 2 2 2 7_Tertiary Salaries Survey" xfId="11709" xr:uid="{00000000-0005-0000-0000-0000D02D0000}"/>
    <cellStyle name="RowTitles1-Detail 4 2 2 2 8" xfId="11710" xr:uid="{00000000-0005-0000-0000-0000D12D0000}"/>
    <cellStyle name="RowTitles1-Detail 4 2 2 2 9" xfId="11711" xr:uid="{00000000-0005-0000-0000-0000D22D0000}"/>
    <cellStyle name="RowTitles1-Detail 4 2 2 2_STUD aligned by INSTIT" xfId="11712" xr:uid="{00000000-0005-0000-0000-0000D32D0000}"/>
    <cellStyle name="RowTitles1-Detail 4 2 2 3" xfId="11713" xr:uid="{00000000-0005-0000-0000-0000D42D0000}"/>
    <cellStyle name="RowTitles1-Detail 4 2 2 3 2" xfId="11714" xr:uid="{00000000-0005-0000-0000-0000D52D0000}"/>
    <cellStyle name="RowTitles1-Detail 4 2 2 3 2 2" xfId="11715" xr:uid="{00000000-0005-0000-0000-0000D62D0000}"/>
    <cellStyle name="RowTitles1-Detail 4 2 2 3 2 2 2" xfId="11716" xr:uid="{00000000-0005-0000-0000-0000D72D0000}"/>
    <cellStyle name="RowTitles1-Detail 4 2 2 3 2 2 2 2" xfId="11717" xr:uid="{00000000-0005-0000-0000-0000D82D0000}"/>
    <cellStyle name="RowTitles1-Detail 4 2 2 3 2 2 2_Tertiary Salaries Survey" xfId="11718" xr:uid="{00000000-0005-0000-0000-0000D92D0000}"/>
    <cellStyle name="RowTitles1-Detail 4 2 2 3 2 2 3" xfId="11719" xr:uid="{00000000-0005-0000-0000-0000DA2D0000}"/>
    <cellStyle name="RowTitles1-Detail 4 2 2 3 2 2_Tertiary Salaries Survey" xfId="11720" xr:uid="{00000000-0005-0000-0000-0000DB2D0000}"/>
    <cellStyle name="RowTitles1-Detail 4 2 2 3 2 3" xfId="11721" xr:uid="{00000000-0005-0000-0000-0000DC2D0000}"/>
    <cellStyle name="RowTitles1-Detail 4 2 2 3 2 3 2" xfId="11722" xr:uid="{00000000-0005-0000-0000-0000DD2D0000}"/>
    <cellStyle name="RowTitles1-Detail 4 2 2 3 2 3 2 2" xfId="11723" xr:uid="{00000000-0005-0000-0000-0000DE2D0000}"/>
    <cellStyle name="RowTitles1-Detail 4 2 2 3 2 3 2_Tertiary Salaries Survey" xfId="11724" xr:uid="{00000000-0005-0000-0000-0000DF2D0000}"/>
    <cellStyle name="RowTitles1-Detail 4 2 2 3 2 3 3" xfId="11725" xr:uid="{00000000-0005-0000-0000-0000E02D0000}"/>
    <cellStyle name="RowTitles1-Detail 4 2 2 3 2 3_Tertiary Salaries Survey" xfId="11726" xr:uid="{00000000-0005-0000-0000-0000E12D0000}"/>
    <cellStyle name="RowTitles1-Detail 4 2 2 3 2 4" xfId="11727" xr:uid="{00000000-0005-0000-0000-0000E22D0000}"/>
    <cellStyle name="RowTitles1-Detail 4 2 2 3 2 5" xfId="11728" xr:uid="{00000000-0005-0000-0000-0000E32D0000}"/>
    <cellStyle name="RowTitles1-Detail 4 2 2 3 2 5 2" xfId="11729" xr:uid="{00000000-0005-0000-0000-0000E42D0000}"/>
    <cellStyle name="RowTitles1-Detail 4 2 2 3 2 5_Tertiary Salaries Survey" xfId="11730" xr:uid="{00000000-0005-0000-0000-0000E52D0000}"/>
    <cellStyle name="RowTitles1-Detail 4 2 2 3 2 6" xfId="11731" xr:uid="{00000000-0005-0000-0000-0000E62D0000}"/>
    <cellStyle name="RowTitles1-Detail 4 2 2 3 2_Tertiary Salaries Survey" xfId="11732" xr:uid="{00000000-0005-0000-0000-0000E72D0000}"/>
    <cellStyle name="RowTitles1-Detail 4 2 2 3 3" xfId="11733" xr:uid="{00000000-0005-0000-0000-0000E82D0000}"/>
    <cellStyle name="RowTitles1-Detail 4 2 2 3 3 2" xfId="11734" xr:uid="{00000000-0005-0000-0000-0000E92D0000}"/>
    <cellStyle name="RowTitles1-Detail 4 2 2 3 3 2 2" xfId="11735" xr:uid="{00000000-0005-0000-0000-0000EA2D0000}"/>
    <cellStyle name="RowTitles1-Detail 4 2 2 3 3 2 2 2" xfId="11736" xr:uid="{00000000-0005-0000-0000-0000EB2D0000}"/>
    <cellStyle name="RowTitles1-Detail 4 2 2 3 3 2 2_Tertiary Salaries Survey" xfId="11737" xr:uid="{00000000-0005-0000-0000-0000EC2D0000}"/>
    <cellStyle name="RowTitles1-Detail 4 2 2 3 3 2 3" xfId="11738" xr:uid="{00000000-0005-0000-0000-0000ED2D0000}"/>
    <cellStyle name="RowTitles1-Detail 4 2 2 3 3 2_Tertiary Salaries Survey" xfId="11739" xr:uid="{00000000-0005-0000-0000-0000EE2D0000}"/>
    <cellStyle name="RowTitles1-Detail 4 2 2 3 3 3" xfId="11740" xr:uid="{00000000-0005-0000-0000-0000EF2D0000}"/>
    <cellStyle name="RowTitles1-Detail 4 2 2 3 3 3 2" xfId="11741" xr:uid="{00000000-0005-0000-0000-0000F02D0000}"/>
    <cellStyle name="RowTitles1-Detail 4 2 2 3 3 3 2 2" xfId="11742" xr:uid="{00000000-0005-0000-0000-0000F12D0000}"/>
    <cellStyle name="RowTitles1-Detail 4 2 2 3 3 3 2_Tertiary Salaries Survey" xfId="11743" xr:uid="{00000000-0005-0000-0000-0000F22D0000}"/>
    <cellStyle name="RowTitles1-Detail 4 2 2 3 3 3 3" xfId="11744" xr:uid="{00000000-0005-0000-0000-0000F32D0000}"/>
    <cellStyle name="RowTitles1-Detail 4 2 2 3 3 3_Tertiary Salaries Survey" xfId="11745" xr:uid="{00000000-0005-0000-0000-0000F42D0000}"/>
    <cellStyle name="RowTitles1-Detail 4 2 2 3 3 4" xfId="11746" xr:uid="{00000000-0005-0000-0000-0000F52D0000}"/>
    <cellStyle name="RowTitles1-Detail 4 2 2 3 3 5" xfId="11747" xr:uid="{00000000-0005-0000-0000-0000F62D0000}"/>
    <cellStyle name="RowTitles1-Detail 4 2 2 3 3_Tertiary Salaries Survey" xfId="11748" xr:uid="{00000000-0005-0000-0000-0000F72D0000}"/>
    <cellStyle name="RowTitles1-Detail 4 2 2 3 4" xfId="11749" xr:uid="{00000000-0005-0000-0000-0000F82D0000}"/>
    <cellStyle name="RowTitles1-Detail 4 2 2 3 4 2" xfId="11750" xr:uid="{00000000-0005-0000-0000-0000F92D0000}"/>
    <cellStyle name="RowTitles1-Detail 4 2 2 3 4 2 2" xfId="11751" xr:uid="{00000000-0005-0000-0000-0000FA2D0000}"/>
    <cellStyle name="RowTitles1-Detail 4 2 2 3 4 2 2 2" xfId="11752" xr:uid="{00000000-0005-0000-0000-0000FB2D0000}"/>
    <cellStyle name="RowTitles1-Detail 4 2 2 3 4 2 2_Tertiary Salaries Survey" xfId="11753" xr:uid="{00000000-0005-0000-0000-0000FC2D0000}"/>
    <cellStyle name="RowTitles1-Detail 4 2 2 3 4 2 3" xfId="11754" xr:uid="{00000000-0005-0000-0000-0000FD2D0000}"/>
    <cellStyle name="RowTitles1-Detail 4 2 2 3 4 2_Tertiary Salaries Survey" xfId="11755" xr:uid="{00000000-0005-0000-0000-0000FE2D0000}"/>
    <cellStyle name="RowTitles1-Detail 4 2 2 3 4 3" xfId="11756" xr:uid="{00000000-0005-0000-0000-0000FF2D0000}"/>
    <cellStyle name="RowTitles1-Detail 4 2 2 3 4 3 2" xfId="11757" xr:uid="{00000000-0005-0000-0000-0000002E0000}"/>
    <cellStyle name="RowTitles1-Detail 4 2 2 3 4 3 2 2" xfId="11758" xr:uid="{00000000-0005-0000-0000-0000012E0000}"/>
    <cellStyle name="RowTitles1-Detail 4 2 2 3 4 3 2_Tertiary Salaries Survey" xfId="11759" xr:uid="{00000000-0005-0000-0000-0000022E0000}"/>
    <cellStyle name="RowTitles1-Detail 4 2 2 3 4 3 3" xfId="11760" xr:uid="{00000000-0005-0000-0000-0000032E0000}"/>
    <cellStyle name="RowTitles1-Detail 4 2 2 3 4 3_Tertiary Salaries Survey" xfId="11761" xr:uid="{00000000-0005-0000-0000-0000042E0000}"/>
    <cellStyle name="RowTitles1-Detail 4 2 2 3 4 4" xfId="11762" xr:uid="{00000000-0005-0000-0000-0000052E0000}"/>
    <cellStyle name="RowTitles1-Detail 4 2 2 3 4 4 2" xfId="11763" xr:uid="{00000000-0005-0000-0000-0000062E0000}"/>
    <cellStyle name="RowTitles1-Detail 4 2 2 3 4 4_Tertiary Salaries Survey" xfId="11764" xr:uid="{00000000-0005-0000-0000-0000072E0000}"/>
    <cellStyle name="RowTitles1-Detail 4 2 2 3 4 5" xfId="11765" xr:uid="{00000000-0005-0000-0000-0000082E0000}"/>
    <cellStyle name="RowTitles1-Detail 4 2 2 3 4_Tertiary Salaries Survey" xfId="11766" xr:uid="{00000000-0005-0000-0000-0000092E0000}"/>
    <cellStyle name="RowTitles1-Detail 4 2 2 3 5" xfId="11767" xr:uid="{00000000-0005-0000-0000-00000A2E0000}"/>
    <cellStyle name="RowTitles1-Detail 4 2 2 3 5 2" xfId="11768" xr:uid="{00000000-0005-0000-0000-00000B2E0000}"/>
    <cellStyle name="RowTitles1-Detail 4 2 2 3 5 2 2" xfId="11769" xr:uid="{00000000-0005-0000-0000-00000C2E0000}"/>
    <cellStyle name="RowTitles1-Detail 4 2 2 3 5 2 2 2" xfId="11770" xr:uid="{00000000-0005-0000-0000-00000D2E0000}"/>
    <cellStyle name="RowTitles1-Detail 4 2 2 3 5 2 2_Tertiary Salaries Survey" xfId="11771" xr:uid="{00000000-0005-0000-0000-00000E2E0000}"/>
    <cellStyle name="RowTitles1-Detail 4 2 2 3 5 2 3" xfId="11772" xr:uid="{00000000-0005-0000-0000-00000F2E0000}"/>
    <cellStyle name="RowTitles1-Detail 4 2 2 3 5 2_Tertiary Salaries Survey" xfId="11773" xr:uid="{00000000-0005-0000-0000-0000102E0000}"/>
    <cellStyle name="RowTitles1-Detail 4 2 2 3 5 3" xfId="11774" xr:uid="{00000000-0005-0000-0000-0000112E0000}"/>
    <cellStyle name="RowTitles1-Detail 4 2 2 3 5 3 2" xfId="11775" xr:uid="{00000000-0005-0000-0000-0000122E0000}"/>
    <cellStyle name="RowTitles1-Detail 4 2 2 3 5 3 2 2" xfId="11776" xr:uid="{00000000-0005-0000-0000-0000132E0000}"/>
    <cellStyle name="RowTitles1-Detail 4 2 2 3 5 3 2_Tertiary Salaries Survey" xfId="11777" xr:uid="{00000000-0005-0000-0000-0000142E0000}"/>
    <cellStyle name="RowTitles1-Detail 4 2 2 3 5 3 3" xfId="11778" xr:uid="{00000000-0005-0000-0000-0000152E0000}"/>
    <cellStyle name="RowTitles1-Detail 4 2 2 3 5 3_Tertiary Salaries Survey" xfId="11779" xr:uid="{00000000-0005-0000-0000-0000162E0000}"/>
    <cellStyle name="RowTitles1-Detail 4 2 2 3 5 4" xfId="11780" xr:uid="{00000000-0005-0000-0000-0000172E0000}"/>
    <cellStyle name="RowTitles1-Detail 4 2 2 3 5 4 2" xfId="11781" xr:uid="{00000000-0005-0000-0000-0000182E0000}"/>
    <cellStyle name="RowTitles1-Detail 4 2 2 3 5 4_Tertiary Salaries Survey" xfId="11782" xr:uid="{00000000-0005-0000-0000-0000192E0000}"/>
    <cellStyle name="RowTitles1-Detail 4 2 2 3 5 5" xfId="11783" xr:uid="{00000000-0005-0000-0000-00001A2E0000}"/>
    <cellStyle name="RowTitles1-Detail 4 2 2 3 5_Tertiary Salaries Survey" xfId="11784" xr:uid="{00000000-0005-0000-0000-00001B2E0000}"/>
    <cellStyle name="RowTitles1-Detail 4 2 2 3 6" xfId="11785" xr:uid="{00000000-0005-0000-0000-00001C2E0000}"/>
    <cellStyle name="RowTitles1-Detail 4 2 2 3 6 2" xfId="11786" xr:uid="{00000000-0005-0000-0000-00001D2E0000}"/>
    <cellStyle name="RowTitles1-Detail 4 2 2 3 6 2 2" xfId="11787" xr:uid="{00000000-0005-0000-0000-00001E2E0000}"/>
    <cellStyle name="RowTitles1-Detail 4 2 2 3 6 2 2 2" xfId="11788" xr:uid="{00000000-0005-0000-0000-00001F2E0000}"/>
    <cellStyle name="RowTitles1-Detail 4 2 2 3 6 2 2_Tertiary Salaries Survey" xfId="11789" xr:uid="{00000000-0005-0000-0000-0000202E0000}"/>
    <cellStyle name="RowTitles1-Detail 4 2 2 3 6 2 3" xfId="11790" xr:uid="{00000000-0005-0000-0000-0000212E0000}"/>
    <cellStyle name="RowTitles1-Detail 4 2 2 3 6 2_Tertiary Salaries Survey" xfId="11791" xr:uid="{00000000-0005-0000-0000-0000222E0000}"/>
    <cellStyle name="RowTitles1-Detail 4 2 2 3 6 3" xfId="11792" xr:uid="{00000000-0005-0000-0000-0000232E0000}"/>
    <cellStyle name="RowTitles1-Detail 4 2 2 3 6 3 2" xfId="11793" xr:uid="{00000000-0005-0000-0000-0000242E0000}"/>
    <cellStyle name="RowTitles1-Detail 4 2 2 3 6 3 2 2" xfId="11794" xr:uid="{00000000-0005-0000-0000-0000252E0000}"/>
    <cellStyle name="RowTitles1-Detail 4 2 2 3 6 3 2_Tertiary Salaries Survey" xfId="11795" xr:uid="{00000000-0005-0000-0000-0000262E0000}"/>
    <cellStyle name="RowTitles1-Detail 4 2 2 3 6 3 3" xfId="11796" xr:uid="{00000000-0005-0000-0000-0000272E0000}"/>
    <cellStyle name="RowTitles1-Detail 4 2 2 3 6 3_Tertiary Salaries Survey" xfId="11797" xr:uid="{00000000-0005-0000-0000-0000282E0000}"/>
    <cellStyle name="RowTitles1-Detail 4 2 2 3 6 4" xfId="11798" xr:uid="{00000000-0005-0000-0000-0000292E0000}"/>
    <cellStyle name="RowTitles1-Detail 4 2 2 3 6 4 2" xfId="11799" xr:uid="{00000000-0005-0000-0000-00002A2E0000}"/>
    <cellStyle name="RowTitles1-Detail 4 2 2 3 6 4_Tertiary Salaries Survey" xfId="11800" xr:uid="{00000000-0005-0000-0000-00002B2E0000}"/>
    <cellStyle name="RowTitles1-Detail 4 2 2 3 6 5" xfId="11801" xr:uid="{00000000-0005-0000-0000-00002C2E0000}"/>
    <cellStyle name="RowTitles1-Detail 4 2 2 3 6_Tertiary Salaries Survey" xfId="11802" xr:uid="{00000000-0005-0000-0000-00002D2E0000}"/>
    <cellStyle name="RowTitles1-Detail 4 2 2 3 7" xfId="11803" xr:uid="{00000000-0005-0000-0000-00002E2E0000}"/>
    <cellStyle name="RowTitles1-Detail 4 2 2 3 7 2" xfId="11804" xr:uid="{00000000-0005-0000-0000-00002F2E0000}"/>
    <cellStyle name="RowTitles1-Detail 4 2 2 3 7 2 2" xfId="11805" xr:uid="{00000000-0005-0000-0000-0000302E0000}"/>
    <cellStyle name="RowTitles1-Detail 4 2 2 3 7 2_Tertiary Salaries Survey" xfId="11806" xr:uid="{00000000-0005-0000-0000-0000312E0000}"/>
    <cellStyle name="RowTitles1-Detail 4 2 2 3 7 3" xfId="11807" xr:uid="{00000000-0005-0000-0000-0000322E0000}"/>
    <cellStyle name="RowTitles1-Detail 4 2 2 3 7_Tertiary Salaries Survey" xfId="11808" xr:uid="{00000000-0005-0000-0000-0000332E0000}"/>
    <cellStyle name="RowTitles1-Detail 4 2 2 3 8" xfId="11809" xr:uid="{00000000-0005-0000-0000-0000342E0000}"/>
    <cellStyle name="RowTitles1-Detail 4 2 2 3 8 2" xfId="11810" xr:uid="{00000000-0005-0000-0000-0000352E0000}"/>
    <cellStyle name="RowTitles1-Detail 4 2 2 3 8 2 2" xfId="11811" xr:uid="{00000000-0005-0000-0000-0000362E0000}"/>
    <cellStyle name="RowTitles1-Detail 4 2 2 3 8 2_Tertiary Salaries Survey" xfId="11812" xr:uid="{00000000-0005-0000-0000-0000372E0000}"/>
    <cellStyle name="RowTitles1-Detail 4 2 2 3 8 3" xfId="11813" xr:uid="{00000000-0005-0000-0000-0000382E0000}"/>
    <cellStyle name="RowTitles1-Detail 4 2 2 3 8_Tertiary Salaries Survey" xfId="11814" xr:uid="{00000000-0005-0000-0000-0000392E0000}"/>
    <cellStyle name="RowTitles1-Detail 4 2 2 3 9" xfId="11815" xr:uid="{00000000-0005-0000-0000-00003A2E0000}"/>
    <cellStyle name="RowTitles1-Detail 4 2 2 3_STUD aligned by INSTIT" xfId="11816" xr:uid="{00000000-0005-0000-0000-00003B2E0000}"/>
    <cellStyle name="RowTitles1-Detail 4 2 2 4" xfId="11817" xr:uid="{00000000-0005-0000-0000-00003C2E0000}"/>
    <cellStyle name="RowTitles1-Detail 4 2 2 4 2" xfId="11818" xr:uid="{00000000-0005-0000-0000-00003D2E0000}"/>
    <cellStyle name="RowTitles1-Detail 4 2 2 4 2 2" xfId="11819" xr:uid="{00000000-0005-0000-0000-00003E2E0000}"/>
    <cellStyle name="RowTitles1-Detail 4 2 2 4 2 2 2" xfId="11820" xr:uid="{00000000-0005-0000-0000-00003F2E0000}"/>
    <cellStyle name="RowTitles1-Detail 4 2 2 4 2 2 2 2" xfId="11821" xr:uid="{00000000-0005-0000-0000-0000402E0000}"/>
    <cellStyle name="RowTitles1-Detail 4 2 2 4 2 2 2_Tertiary Salaries Survey" xfId="11822" xr:uid="{00000000-0005-0000-0000-0000412E0000}"/>
    <cellStyle name="RowTitles1-Detail 4 2 2 4 2 2 3" xfId="11823" xr:uid="{00000000-0005-0000-0000-0000422E0000}"/>
    <cellStyle name="RowTitles1-Detail 4 2 2 4 2 2_Tertiary Salaries Survey" xfId="11824" xr:uid="{00000000-0005-0000-0000-0000432E0000}"/>
    <cellStyle name="RowTitles1-Detail 4 2 2 4 2 3" xfId="11825" xr:uid="{00000000-0005-0000-0000-0000442E0000}"/>
    <cellStyle name="RowTitles1-Detail 4 2 2 4 2 3 2" xfId="11826" xr:uid="{00000000-0005-0000-0000-0000452E0000}"/>
    <cellStyle name="RowTitles1-Detail 4 2 2 4 2 3 2 2" xfId="11827" xr:uid="{00000000-0005-0000-0000-0000462E0000}"/>
    <cellStyle name="RowTitles1-Detail 4 2 2 4 2 3 2_Tertiary Salaries Survey" xfId="11828" xr:uid="{00000000-0005-0000-0000-0000472E0000}"/>
    <cellStyle name="RowTitles1-Detail 4 2 2 4 2 3 3" xfId="11829" xr:uid="{00000000-0005-0000-0000-0000482E0000}"/>
    <cellStyle name="RowTitles1-Detail 4 2 2 4 2 3_Tertiary Salaries Survey" xfId="11830" xr:uid="{00000000-0005-0000-0000-0000492E0000}"/>
    <cellStyle name="RowTitles1-Detail 4 2 2 4 2 4" xfId="11831" xr:uid="{00000000-0005-0000-0000-00004A2E0000}"/>
    <cellStyle name="RowTitles1-Detail 4 2 2 4 2 5" xfId="11832" xr:uid="{00000000-0005-0000-0000-00004B2E0000}"/>
    <cellStyle name="RowTitles1-Detail 4 2 2 4 2 5 2" xfId="11833" xr:uid="{00000000-0005-0000-0000-00004C2E0000}"/>
    <cellStyle name="RowTitles1-Detail 4 2 2 4 2 5_Tertiary Salaries Survey" xfId="11834" xr:uid="{00000000-0005-0000-0000-00004D2E0000}"/>
    <cellStyle name="RowTitles1-Detail 4 2 2 4 2 6" xfId="11835" xr:uid="{00000000-0005-0000-0000-00004E2E0000}"/>
    <cellStyle name="RowTitles1-Detail 4 2 2 4 2_Tertiary Salaries Survey" xfId="11836" xr:uid="{00000000-0005-0000-0000-00004F2E0000}"/>
    <cellStyle name="RowTitles1-Detail 4 2 2 4 3" xfId="11837" xr:uid="{00000000-0005-0000-0000-0000502E0000}"/>
    <cellStyle name="RowTitles1-Detail 4 2 2 4 3 2" xfId="11838" xr:uid="{00000000-0005-0000-0000-0000512E0000}"/>
    <cellStyle name="RowTitles1-Detail 4 2 2 4 3 2 2" xfId="11839" xr:uid="{00000000-0005-0000-0000-0000522E0000}"/>
    <cellStyle name="RowTitles1-Detail 4 2 2 4 3 2 2 2" xfId="11840" xr:uid="{00000000-0005-0000-0000-0000532E0000}"/>
    <cellStyle name="RowTitles1-Detail 4 2 2 4 3 2 2_Tertiary Salaries Survey" xfId="11841" xr:uid="{00000000-0005-0000-0000-0000542E0000}"/>
    <cellStyle name="RowTitles1-Detail 4 2 2 4 3 2 3" xfId="11842" xr:uid="{00000000-0005-0000-0000-0000552E0000}"/>
    <cellStyle name="RowTitles1-Detail 4 2 2 4 3 2_Tertiary Salaries Survey" xfId="11843" xr:uid="{00000000-0005-0000-0000-0000562E0000}"/>
    <cellStyle name="RowTitles1-Detail 4 2 2 4 3 3" xfId="11844" xr:uid="{00000000-0005-0000-0000-0000572E0000}"/>
    <cellStyle name="RowTitles1-Detail 4 2 2 4 3 3 2" xfId="11845" xr:uid="{00000000-0005-0000-0000-0000582E0000}"/>
    <cellStyle name="RowTitles1-Detail 4 2 2 4 3 3 2 2" xfId="11846" xr:uid="{00000000-0005-0000-0000-0000592E0000}"/>
    <cellStyle name="RowTitles1-Detail 4 2 2 4 3 3 2_Tertiary Salaries Survey" xfId="11847" xr:uid="{00000000-0005-0000-0000-00005A2E0000}"/>
    <cellStyle name="RowTitles1-Detail 4 2 2 4 3 3 3" xfId="11848" xr:uid="{00000000-0005-0000-0000-00005B2E0000}"/>
    <cellStyle name="RowTitles1-Detail 4 2 2 4 3 3_Tertiary Salaries Survey" xfId="11849" xr:uid="{00000000-0005-0000-0000-00005C2E0000}"/>
    <cellStyle name="RowTitles1-Detail 4 2 2 4 3 4" xfId="11850" xr:uid="{00000000-0005-0000-0000-00005D2E0000}"/>
    <cellStyle name="RowTitles1-Detail 4 2 2 4 3 5" xfId="11851" xr:uid="{00000000-0005-0000-0000-00005E2E0000}"/>
    <cellStyle name="RowTitles1-Detail 4 2 2 4 3_Tertiary Salaries Survey" xfId="11852" xr:uid="{00000000-0005-0000-0000-00005F2E0000}"/>
    <cellStyle name="RowTitles1-Detail 4 2 2 4 4" xfId="11853" xr:uid="{00000000-0005-0000-0000-0000602E0000}"/>
    <cellStyle name="RowTitles1-Detail 4 2 2 4 4 2" xfId="11854" xr:uid="{00000000-0005-0000-0000-0000612E0000}"/>
    <cellStyle name="RowTitles1-Detail 4 2 2 4 4 2 2" xfId="11855" xr:uid="{00000000-0005-0000-0000-0000622E0000}"/>
    <cellStyle name="RowTitles1-Detail 4 2 2 4 4 2 2 2" xfId="11856" xr:uid="{00000000-0005-0000-0000-0000632E0000}"/>
    <cellStyle name="RowTitles1-Detail 4 2 2 4 4 2 2_Tertiary Salaries Survey" xfId="11857" xr:uid="{00000000-0005-0000-0000-0000642E0000}"/>
    <cellStyle name="RowTitles1-Detail 4 2 2 4 4 2 3" xfId="11858" xr:uid="{00000000-0005-0000-0000-0000652E0000}"/>
    <cellStyle name="RowTitles1-Detail 4 2 2 4 4 2_Tertiary Salaries Survey" xfId="11859" xr:uid="{00000000-0005-0000-0000-0000662E0000}"/>
    <cellStyle name="RowTitles1-Detail 4 2 2 4 4 3" xfId="11860" xr:uid="{00000000-0005-0000-0000-0000672E0000}"/>
    <cellStyle name="RowTitles1-Detail 4 2 2 4 4 3 2" xfId="11861" xr:uid="{00000000-0005-0000-0000-0000682E0000}"/>
    <cellStyle name="RowTitles1-Detail 4 2 2 4 4 3 2 2" xfId="11862" xr:uid="{00000000-0005-0000-0000-0000692E0000}"/>
    <cellStyle name="RowTitles1-Detail 4 2 2 4 4 3 2_Tertiary Salaries Survey" xfId="11863" xr:uid="{00000000-0005-0000-0000-00006A2E0000}"/>
    <cellStyle name="RowTitles1-Detail 4 2 2 4 4 3 3" xfId="11864" xr:uid="{00000000-0005-0000-0000-00006B2E0000}"/>
    <cellStyle name="RowTitles1-Detail 4 2 2 4 4 3_Tertiary Salaries Survey" xfId="11865" xr:uid="{00000000-0005-0000-0000-00006C2E0000}"/>
    <cellStyle name="RowTitles1-Detail 4 2 2 4 4 4" xfId="11866" xr:uid="{00000000-0005-0000-0000-00006D2E0000}"/>
    <cellStyle name="RowTitles1-Detail 4 2 2 4 4 5" xfId="11867" xr:uid="{00000000-0005-0000-0000-00006E2E0000}"/>
    <cellStyle name="RowTitles1-Detail 4 2 2 4 4 5 2" xfId="11868" xr:uid="{00000000-0005-0000-0000-00006F2E0000}"/>
    <cellStyle name="RowTitles1-Detail 4 2 2 4 4 5_Tertiary Salaries Survey" xfId="11869" xr:uid="{00000000-0005-0000-0000-0000702E0000}"/>
    <cellStyle name="RowTitles1-Detail 4 2 2 4 4 6" xfId="11870" xr:uid="{00000000-0005-0000-0000-0000712E0000}"/>
    <cellStyle name="RowTitles1-Detail 4 2 2 4 4_Tertiary Salaries Survey" xfId="11871" xr:uid="{00000000-0005-0000-0000-0000722E0000}"/>
    <cellStyle name="RowTitles1-Detail 4 2 2 4 5" xfId="11872" xr:uid="{00000000-0005-0000-0000-0000732E0000}"/>
    <cellStyle name="RowTitles1-Detail 4 2 2 4 5 2" xfId="11873" xr:uid="{00000000-0005-0000-0000-0000742E0000}"/>
    <cellStyle name="RowTitles1-Detail 4 2 2 4 5 2 2" xfId="11874" xr:uid="{00000000-0005-0000-0000-0000752E0000}"/>
    <cellStyle name="RowTitles1-Detail 4 2 2 4 5 2 2 2" xfId="11875" xr:uid="{00000000-0005-0000-0000-0000762E0000}"/>
    <cellStyle name="RowTitles1-Detail 4 2 2 4 5 2 2_Tertiary Salaries Survey" xfId="11876" xr:uid="{00000000-0005-0000-0000-0000772E0000}"/>
    <cellStyle name="RowTitles1-Detail 4 2 2 4 5 2 3" xfId="11877" xr:uid="{00000000-0005-0000-0000-0000782E0000}"/>
    <cellStyle name="RowTitles1-Detail 4 2 2 4 5 2_Tertiary Salaries Survey" xfId="11878" xr:uid="{00000000-0005-0000-0000-0000792E0000}"/>
    <cellStyle name="RowTitles1-Detail 4 2 2 4 5 3" xfId="11879" xr:uid="{00000000-0005-0000-0000-00007A2E0000}"/>
    <cellStyle name="RowTitles1-Detail 4 2 2 4 5 3 2" xfId="11880" xr:uid="{00000000-0005-0000-0000-00007B2E0000}"/>
    <cellStyle name="RowTitles1-Detail 4 2 2 4 5 3 2 2" xfId="11881" xr:uid="{00000000-0005-0000-0000-00007C2E0000}"/>
    <cellStyle name="RowTitles1-Detail 4 2 2 4 5 3 2_Tertiary Salaries Survey" xfId="11882" xr:uid="{00000000-0005-0000-0000-00007D2E0000}"/>
    <cellStyle name="RowTitles1-Detail 4 2 2 4 5 3 3" xfId="11883" xr:uid="{00000000-0005-0000-0000-00007E2E0000}"/>
    <cellStyle name="RowTitles1-Detail 4 2 2 4 5 3_Tertiary Salaries Survey" xfId="11884" xr:uid="{00000000-0005-0000-0000-00007F2E0000}"/>
    <cellStyle name="RowTitles1-Detail 4 2 2 4 5 4" xfId="11885" xr:uid="{00000000-0005-0000-0000-0000802E0000}"/>
    <cellStyle name="RowTitles1-Detail 4 2 2 4 5 4 2" xfId="11886" xr:uid="{00000000-0005-0000-0000-0000812E0000}"/>
    <cellStyle name="RowTitles1-Detail 4 2 2 4 5 4_Tertiary Salaries Survey" xfId="11887" xr:uid="{00000000-0005-0000-0000-0000822E0000}"/>
    <cellStyle name="RowTitles1-Detail 4 2 2 4 5 5" xfId="11888" xr:uid="{00000000-0005-0000-0000-0000832E0000}"/>
    <cellStyle name="RowTitles1-Detail 4 2 2 4 5_Tertiary Salaries Survey" xfId="11889" xr:uid="{00000000-0005-0000-0000-0000842E0000}"/>
    <cellStyle name="RowTitles1-Detail 4 2 2 4 6" xfId="11890" xr:uid="{00000000-0005-0000-0000-0000852E0000}"/>
    <cellStyle name="RowTitles1-Detail 4 2 2 4 6 2" xfId="11891" xr:uid="{00000000-0005-0000-0000-0000862E0000}"/>
    <cellStyle name="RowTitles1-Detail 4 2 2 4 6 2 2" xfId="11892" xr:uid="{00000000-0005-0000-0000-0000872E0000}"/>
    <cellStyle name="RowTitles1-Detail 4 2 2 4 6 2 2 2" xfId="11893" xr:uid="{00000000-0005-0000-0000-0000882E0000}"/>
    <cellStyle name="RowTitles1-Detail 4 2 2 4 6 2 2_Tertiary Salaries Survey" xfId="11894" xr:uid="{00000000-0005-0000-0000-0000892E0000}"/>
    <cellStyle name="RowTitles1-Detail 4 2 2 4 6 2 3" xfId="11895" xr:uid="{00000000-0005-0000-0000-00008A2E0000}"/>
    <cellStyle name="RowTitles1-Detail 4 2 2 4 6 2_Tertiary Salaries Survey" xfId="11896" xr:uid="{00000000-0005-0000-0000-00008B2E0000}"/>
    <cellStyle name="RowTitles1-Detail 4 2 2 4 6 3" xfId="11897" xr:uid="{00000000-0005-0000-0000-00008C2E0000}"/>
    <cellStyle name="RowTitles1-Detail 4 2 2 4 6 3 2" xfId="11898" xr:uid="{00000000-0005-0000-0000-00008D2E0000}"/>
    <cellStyle name="RowTitles1-Detail 4 2 2 4 6 3 2 2" xfId="11899" xr:uid="{00000000-0005-0000-0000-00008E2E0000}"/>
    <cellStyle name="RowTitles1-Detail 4 2 2 4 6 3 2_Tertiary Salaries Survey" xfId="11900" xr:uid="{00000000-0005-0000-0000-00008F2E0000}"/>
    <cellStyle name="RowTitles1-Detail 4 2 2 4 6 3 3" xfId="11901" xr:uid="{00000000-0005-0000-0000-0000902E0000}"/>
    <cellStyle name="RowTitles1-Detail 4 2 2 4 6 3_Tertiary Salaries Survey" xfId="11902" xr:uid="{00000000-0005-0000-0000-0000912E0000}"/>
    <cellStyle name="RowTitles1-Detail 4 2 2 4 6 4" xfId="11903" xr:uid="{00000000-0005-0000-0000-0000922E0000}"/>
    <cellStyle name="RowTitles1-Detail 4 2 2 4 6 4 2" xfId="11904" xr:uid="{00000000-0005-0000-0000-0000932E0000}"/>
    <cellStyle name="RowTitles1-Detail 4 2 2 4 6 4_Tertiary Salaries Survey" xfId="11905" xr:uid="{00000000-0005-0000-0000-0000942E0000}"/>
    <cellStyle name="RowTitles1-Detail 4 2 2 4 6 5" xfId="11906" xr:uid="{00000000-0005-0000-0000-0000952E0000}"/>
    <cellStyle name="RowTitles1-Detail 4 2 2 4 6_Tertiary Salaries Survey" xfId="11907" xr:uid="{00000000-0005-0000-0000-0000962E0000}"/>
    <cellStyle name="RowTitles1-Detail 4 2 2 4 7" xfId="11908" xr:uid="{00000000-0005-0000-0000-0000972E0000}"/>
    <cellStyle name="RowTitles1-Detail 4 2 2 4 7 2" xfId="11909" xr:uid="{00000000-0005-0000-0000-0000982E0000}"/>
    <cellStyle name="RowTitles1-Detail 4 2 2 4 7 2 2" xfId="11910" xr:uid="{00000000-0005-0000-0000-0000992E0000}"/>
    <cellStyle name="RowTitles1-Detail 4 2 2 4 7 2_Tertiary Salaries Survey" xfId="11911" xr:uid="{00000000-0005-0000-0000-00009A2E0000}"/>
    <cellStyle name="RowTitles1-Detail 4 2 2 4 7 3" xfId="11912" xr:uid="{00000000-0005-0000-0000-00009B2E0000}"/>
    <cellStyle name="RowTitles1-Detail 4 2 2 4 7_Tertiary Salaries Survey" xfId="11913" xr:uid="{00000000-0005-0000-0000-00009C2E0000}"/>
    <cellStyle name="RowTitles1-Detail 4 2 2 4 8" xfId="11914" xr:uid="{00000000-0005-0000-0000-00009D2E0000}"/>
    <cellStyle name="RowTitles1-Detail 4 2 2 4 9" xfId="11915" xr:uid="{00000000-0005-0000-0000-00009E2E0000}"/>
    <cellStyle name="RowTitles1-Detail 4 2 2 4_STUD aligned by INSTIT" xfId="11916" xr:uid="{00000000-0005-0000-0000-00009F2E0000}"/>
    <cellStyle name="RowTitles1-Detail 4 2 2 5" xfId="11917" xr:uid="{00000000-0005-0000-0000-0000A02E0000}"/>
    <cellStyle name="RowTitles1-Detail 4 2 2 5 2" xfId="11918" xr:uid="{00000000-0005-0000-0000-0000A12E0000}"/>
    <cellStyle name="RowTitles1-Detail 4 2 2 5 2 2" xfId="11919" xr:uid="{00000000-0005-0000-0000-0000A22E0000}"/>
    <cellStyle name="RowTitles1-Detail 4 2 2 5 2 2 2" xfId="11920" xr:uid="{00000000-0005-0000-0000-0000A32E0000}"/>
    <cellStyle name="RowTitles1-Detail 4 2 2 5 2 2_Tertiary Salaries Survey" xfId="11921" xr:uid="{00000000-0005-0000-0000-0000A42E0000}"/>
    <cellStyle name="RowTitles1-Detail 4 2 2 5 2 3" xfId="11922" xr:uid="{00000000-0005-0000-0000-0000A52E0000}"/>
    <cellStyle name="RowTitles1-Detail 4 2 2 5 2_Tertiary Salaries Survey" xfId="11923" xr:uid="{00000000-0005-0000-0000-0000A62E0000}"/>
    <cellStyle name="RowTitles1-Detail 4 2 2 5 3" xfId="11924" xr:uid="{00000000-0005-0000-0000-0000A72E0000}"/>
    <cellStyle name="RowTitles1-Detail 4 2 2 5 3 2" xfId="11925" xr:uid="{00000000-0005-0000-0000-0000A82E0000}"/>
    <cellStyle name="RowTitles1-Detail 4 2 2 5 3 2 2" xfId="11926" xr:uid="{00000000-0005-0000-0000-0000A92E0000}"/>
    <cellStyle name="RowTitles1-Detail 4 2 2 5 3 2_Tertiary Salaries Survey" xfId="11927" xr:uid="{00000000-0005-0000-0000-0000AA2E0000}"/>
    <cellStyle name="RowTitles1-Detail 4 2 2 5 3 3" xfId="11928" xr:uid="{00000000-0005-0000-0000-0000AB2E0000}"/>
    <cellStyle name="RowTitles1-Detail 4 2 2 5 3_Tertiary Salaries Survey" xfId="11929" xr:uid="{00000000-0005-0000-0000-0000AC2E0000}"/>
    <cellStyle name="RowTitles1-Detail 4 2 2 5 4" xfId="11930" xr:uid="{00000000-0005-0000-0000-0000AD2E0000}"/>
    <cellStyle name="RowTitles1-Detail 4 2 2 5 5" xfId="11931" xr:uid="{00000000-0005-0000-0000-0000AE2E0000}"/>
    <cellStyle name="RowTitles1-Detail 4 2 2 5 5 2" xfId="11932" xr:uid="{00000000-0005-0000-0000-0000AF2E0000}"/>
    <cellStyle name="RowTitles1-Detail 4 2 2 5 5_Tertiary Salaries Survey" xfId="11933" xr:uid="{00000000-0005-0000-0000-0000B02E0000}"/>
    <cellStyle name="RowTitles1-Detail 4 2 2 5 6" xfId="11934" xr:uid="{00000000-0005-0000-0000-0000B12E0000}"/>
    <cellStyle name="RowTitles1-Detail 4 2 2 5_Tertiary Salaries Survey" xfId="11935" xr:uid="{00000000-0005-0000-0000-0000B22E0000}"/>
    <cellStyle name="RowTitles1-Detail 4 2 2 6" xfId="11936" xr:uid="{00000000-0005-0000-0000-0000B32E0000}"/>
    <cellStyle name="RowTitles1-Detail 4 2 2 6 2" xfId="11937" xr:uid="{00000000-0005-0000-0000-0000B42E0000}"/>
    <cellStyle name="RowTitles1-Detail 4 2 2 6 2 2" xfId="11938" xr:uid="{00000000-0005-0000-0000-0000B52E0000}"/>
    <cellStyle name="RowTitles1-Detail 4 2 2 6 2 2 2" xfId="11939" xr:uid="{00000000-0005-0000-0000-0000B62E0000}"/>
    <cellStyle name="RowTitles1-Detail 4 2 2 6 2 2_Tertiary Salaries Survey" xfId="11940" xr:uid="{00000000-0005-0000-0000-0000B72E0000}"/>
    <cellStyle name="RowTitles1-Detail 4 2 2 6 2 3" xfId="11941" xr:uid="{00000000-0005-0000-0000-0000B82E0000}"/>
    <cellStyle name="RowTitles1-Detail 4 2 2 6 2_Tertiary Salaries Survey" xfId="11942" xr:uid="{00000000-0005-0000-0000-0000B92E0000}"/>
    <cellStyle name="RowTitles1-Detail 4 2 2 6 3" xfId="11943" xr:uid="{00000000-0005-0000-0000-0000BA2E0000}"/>
    <cellStyle name="RowTitles1-Detail 4 2 2 6 3 2" xfId="11944" xr:uid="{00000000-0005-0000-0000-0000BB2E0000}"/>
    <cellStyle name="RowTitles1-Detail 4 2 2 6 3 2 2" xfId="11945" xr:uid="{00000000-0005-0000-0000-0000BC2E0000}"/>
    <cellStyle name="RowTitles1-Detail 4 2 2 6 3 2_Tertiary Salaries Survey" xfId="11946" xr:uid="{00000000-0005-0000-0000-0000BD2E0000}"/>
    <cellStyle name="RowTitles1-Detail 4 2 2 6 3 3" xfId="11947" xr:uid="{00000000-0005-0000-0000-0000BE2E0000}"/>
    <cellStyle name="RowTitles1-Detail 4 2 2 6 3_Tertiary Salaries Survey" xfId="11948" xr:uid="{00000000-0005-0000-0000-0000BF2E0000}"/>
    <cellStyle name="RowTitles1-Detail 4 2 2 6 4" xfId="11949" xr:uid="{00000000-0005-0000-0000-0000C02E0000}"/>
    <cellStyle name="RowTitles1-Detail 4 2 2 6 5" xfId="11950" xr:uid="{00000000-0005-0000-0000-0000C12E0000}"/>
    <cellStyle name="RowTitles1-Detail 4 2 2 6_Tertiary Salaries Survey" xfId="11951" xr:uid="{00000000-0005-0000-0000-0000C22E0000}"/>
    <cellStyle name="RowTitles1-Detail 4 2 2 7" xfId="11952" xr:uid="{00000000-0005-0000-0000-0000C32E0000}"/>
    <cellStyle name="RowTitles1-Detail 4 2 2 7 2" xfId="11953" xr:uid="{00000000-0005-0000-0000-0000C42E0000}"/>
    <cellStyle name="RowTitles1-Detail 4 2 2 7 2 2" xfId="11954" xr:uid="{00000000-0005-0000-0000-0000C52E0000}"/>
    <cellStyle name="RowTitles1-Detail 4 2 2 7 2 2 2" xfId="11955" xr:uid="{00000000-0005-0000-0000-0000C62E0000}"/>
    <cellStyle name="RowTitles1-Detail 4 2 2 7 2 2_Tertiary Salaries Survey" xfId="11956" xr:uid="{00000000-0005-0000-0000-0000C72E0000}"/>
    <cellStyle name="RowTitles1-Detail 4 2 2 7 2 3" xfId="11957" xr:uid="{00000000-0005-0000-0000-0000C82E0000}"/>
    <cellStyle name="RowTitles1-Detail 4 2 2 7 2_Tertiary Salaries Survey" xfId="11958" xr:uid="{00000000-0005-0000-0000-0000C92E0000}"/>
    <cellStyle name="RowTitles1-Detail 4 2 2 7 3" xfId="11959" xr:uid="{00000000-0005-0000-0000-0000CA2E0000}"/>
    <cellStyle name="RowTitles1-Detail 4 2 2 7 3 2" xfId="11960" xr:uid="{00000000-0005-0000-0000-0000CB2E0000}"/>
    <cellStyle name="RowTitles1-Detail 4 2 2 7 3 2 2" xfId="11961" xr:uid="{00000000-0005-0000-0000-0000CC2E0000}"/>
    <cellStyle name="RowTitles1-Detail 4 2 2 7 3 2_Tertiary Salaries Survey" xfId="11962" xr:uid="{00000000-0005-0000-0000-0000CD2E0000}"/>
    <cellStyle name="RowTitles1-Detail 4 2 2 7 3 3" xfId="11963" xr:uid="{00000000-0005-0000-0000-0000CE2E0000}"/>
    <cellStyle name="RowTitles1-Detail 4 2 2 7 3_Tertiary Salaries Survey" xfId="11964" xr:uid="{00000000-0005-0000-0000-0000CF2E0000}"/>
    <cellStyle name="RowTitles1-Detail 4 2 2 7 4" xfId="11965" xr:uid="{00000000-0005-0000-0000-0000D02E0000}"/>
    <cellStyle name="RowTitles1-Detail 4 2 2 7 5" xfId="11966" xr:uid="{00000000-0005-0000-0000-0000D12E0000}"/>
    <cellStyle name="RowTitles1-Detail 4 2 2 7 5 2" xfId="11967" xr:uid="{00000000-0005-0000-0000-0000D22E0000}"/>
    <cellStyle name="RowTitles1-Detail 4 2 2 7 5_Tertiary Salaries Survey" xfId="11968" xr:uid="{00000000-0005-0000-0000-0000D32E0000}"/>
    <cellStyle name="RowTitles1-Detail 4 2 2 7 6" xfId="11969" xr:uid="{00000000-0005-0000-0000-0000D42E0000}"/>
    <cellStyle name="RowTitles1-Detail 4 2 2 7_Tertiary Salaries Survey" xfId="11970" xr:uid="{00000000-0005-0000-0000-0000D52E0000}"/>
    <cellStyle name="RowTitles1-Detail 4 2 2 8" xfId="11971" xr:uid="{00000000-0005-0000-0000-0000D62E0000}"/>
    <cellStyle name="RowTitles1-Detail 4 2 2 8 2" xfId="11972" xr:uid="{00000000-0005-0000-0000-0000D72E0000}"/>
    <cellStyle name="RowTitles1-Detail 4 2 2 8 2 2" xfId="11973" xr:uid="{00000000-0005-0000-0000-0000D82E0000}"/>
    <cellStyle name="RowTitles1-Detail 4 2 2 8 2 2 2" xfId="11974" xr:uid="{00000000-0005-0000-0000-0000D92E0000}"/>
    <cellStyle name="RowTitles1-Detail 4 2 2 8 2 2_Tertiary Salaries Survey" xfId="11975" xr:uid="{00000000-0005-0000-0000-0000DA2E0000}"/>
    <cellStyle name="RowTitles1-Detail 4 2 2 8 2 3" xfId="11976" xr:uid="{00000000-0005-0000-0000-0000DB2E0000}"/>
    <cellStyle name="RowTitles1-Detail 4 2 2 8 2_Tertiary Salaries Survey" xfId="11977" xr:uid="{00000000-0005-0000-0000-0000DC2E0000}"/>
    <cellStyle name="RowTitles1-Detail 4 2 2 8 3" xfId="11978" xr:uid="{00000000-0005-0000-0000-0000DD2E0000}"/>
    <cellStyle name="RowTitles1-Detail 4 2 2 8 3 2" xfId="11979" xr:uid="{00000000-0005-0000-0000-0000DE2E0000}"/>
    <cellStyle name="RowTitles1-Detail 4 2 2 8 3 2 2" xfId="11980" xr:uid="{00000000-0005-0000-0000-0000DF2E0000}"/>
    <cellStyle name="RowTitles1-Detail 4 2 2 8 3 2_Tertiary Salaries Survey" xfId="11981" xr:uid="{00000000-0005-0000-0000-0000E02E0000}"/>
    <cellStyle name="RowTitles1-Detail 4 2 2 8 3 3" xfId="11982" xr:uid="{00000000-0005-0000-0000-0000E12E0000}"/>
    <cellStyle name="RowTitles1-Detail 4 2 2 8 3_Tertiary Salaries Survey" xfId="11983" xr:uid="{00000000-0005-0000-0000-0000E22E0000}"/>
    <cellStyle name="RowTitles1-Detail 4 2 2 8 4" xfId="11984" xr:uid="{00000000-0005-0000-0000-0000E32E0000}"/>
    <cellStyle name="RowTitles1-Detail 4 2 2 8 4 2" xfId="11985" xr:uid="{00000000-0005-0000-0000-0000E42E0000}"/>
    <cellStyle name="RowTitles1-Detail 4 2 2 8 4_Tertiary Salaries Survey" xfId="11986" xr:uid="{00000000-0005-0000-0000-0000E52E0000}"/>
    <cellStyle name="RowTitles1-Detail 4 2 2 8 5" xfId="11987" xr:uid="{00000000-0005-0000-0000-0000E62E0000}"/>
    <cellStyle name="RowTitles1-Detail 4 2 2 8_Tertiary Salaries Survey" xfId="11988" xr:uid="{00000000-0005-0000-0000-0000E72E0000}"/>
    <cellStyle name="RowTitles1-Detail 4 2 2 9" xfId="11989" xr:uid="{00000000-0005-0000-0000-0000E82E0000}"/>
    <cellStyle name="RowTitles1-Detail 4 2 2 9 2" xfId="11990" xr:uid="{00000000-0005-0000-0000-0000E92E0000}"/>
    <cellStyle name="RowTitles1-Detail 4 2 2 9 2 2" xfId="11991" xr:uid="{00000000-0005-0000-0000-0000EA2E0000}"/>
    <cellStyle name="RowTitles1-Detail 4 2 2 9 2 2 2" xfId="11992" xr:uid="{00000000-0005-0000-0000-0000EB2E0000}"/>
    <cellStyle name="RowTitles1-Detail 4 2 2 9 2 2_Tertiary Salaries Survey" xfId="11993" xr:uid="{00000000-0005-0000-0000-0000EC2E0000}"/>
    <cellStyle name="RowTitles1-Detail 4 2 2 9 2 3" xfId="11994" xr:uid="{00000000-0005-0000-0000-0000ED2E0000}"/>
    <cellStyle name="RowTitles1-Detail 4 2 2 9 2_Tertiary Salaries Survey" xfId="11995" xr:uid="{00000000-0005-0000-0000-0000EE2E0000}"/>
    <cellStyle name="RowTitles1-Detail 4 2 2 9 3" xfId="11996" xr:uid="{00000000-0005-0000-0000-0000EF2E0000}"/>
    <cellStyle name="RowTitles1-Detail 4 2 2 9 3 2" xfId="11997" xr:uid="{00000000-0005-0000-0000-0000F02E0000}"/>
    <cellStyle name="RowTitles1-Detail 4 2 2 9 3 2 2" xfId="11998" xr:uid="{00000000-0005-0000-0000-0000F12E0000}"/>
    <cellStyle name="RowTitles1-Detail 4 2 2 9 3 2_Tertiary Salaries Survey" xfId="11999" xr:uid="{00000000-0005-0000-0000-0000F22E0000}"/>
    <cellStyle name="RowTitles1-Detail 4 2 2 9 3 3" xfId="12000" xr:uid="{00000000-0005-0000-0000-0000F32E0000}"/>
    <cellStyle name="RowTitles1-Detail 4 2 2 9 3_Tertiary Salaries Survey" xfId="12001" xr:uid="{00000000-0005-0000-0000-0000F42E0000}"/>
    <cellStyle name="RowTitles1-Detail 4 2 2 9 4" xfId="12002" xr:uid="{00000000-0005-0000-0000-0000F52E0000}"/>
    <cellStyle name="RowTitles1-Detail 4 2 2 9 4 2" xfId="12003" xr:uid="{00000000-0005-0000-0000-0000F62E0000}"/>
    <cellStyle name="RowTitles1-Detail 4 2 2 9 4_Tertiary Salaries Survey" xfId="12004" xr:uid="{00000000-0005-0000-0000-0000F72E0000}"/>
    <cellStyle name="RowTitles1-Detail 4 2 2 9 5" xfId="12005" xr:uid="{00000000-0005-0000-0000-0000F82E0000}"/>
    <cellStyle name="RowTitles1-Detail 4 2 2 9_Tertiary Salaries Survey" xfId="12006" xr:uid="{00000000-0005-0000-0000-0000F92E0000}"/>
    <cellStyle name="RowTitles1-Detail 4 2 2_STUD aligned by INSTIT" xfId="12007" xr:uid="{00000000-0005-0000-0000-0000FA2E0000}"/>
    <cellStyle name="RowTitles1-Detail 4 2 3" xfId="12008" xr:uid="{00000000-0005-0000-0000-0000FB2E0000}"/>
    <cellStyle name="RowTitles1-Detail 4 2 3 2" xfId="12009" xr:uid="{00000000-0005-0000-0000-0000FC2E0000}"/>
    <cellStyle name="RowTitles1-Detail 4 2 3 2 2" xfId="12010" xr:uid="{00000000-0005-0000-0000-0000FD2E0000}"/>
    <cellStyle name="RowTitles1-Detail 4 2 3 2 2 2" xfId="12011" xr:uid="{00000000-0005-0000-0000-0000FE2E0000}"/>
    <cellStyle name="RowTitles1-Detail 4 2 3 2 2 2 2" xfId="12012" xr:uid="{00000000-0005-0000-0000-0000FF2E0000}"/>
    <cellStyle name="RowTitles1-Detail 4 2 3 2 2 2_Tertiary Salaries Survey" xfId="12013" xr:uid="{00000000-0005-0000-0000-0000002F0000}"/>
    <cellStyle name="RowTitles1-Detail 4 2 3 2 2 3" xfId="12014" xr:uid="{00000000-0005-0000-0000-0000012F0000}"/>
    <cellStyle name="RowTitles1-Detail 4 2 3 2 2_Tertiary Salaries Survey" xfId="12015" xr:uid="{00000000-0005-0000-0000-0000022F0000}"/>
    <cellStyle name="RowTitles1-Detail 4 2 3 2 3" xfId="12016" xr:uid="{00000000-0005-0000-0000-0000032F0000}"/>
    <cellStyle name="RowTitles1-Detail 4 2 3 2 3 2" xfId="12017" xr:uid="{00000000-0005-0000-0000-0000042F0000}"/>
    <cellStyle name="RowTitles1-Detail 4 2 3 2 3 2 2" xfId="12018" xr:uid="{00000000-0005-0000-0000-0000052F0000}"/>
    <cellStyle name="RowTitles1-Detail 4 2 3 2 3 2_Tertiary Salaries Survey" xfId="12019" xr:uid="{00000000-0005-0000-0000-0000062F0000}"/>
    <cellStyle name="RowTitles1-Detail 4 2 3 2 3 3" xfId="12020" xr:uid="{00000000-0005-0000-0000-0000072F0000}"/>
    <cellStyle name="RowTitles1-Detail 4 2 3 2 3_Tertiary Salaries Survey" xfId="12021" xr:uid="{00000000-0005-0000-0000-0000082F0000}"/>
    <cellStyle name="RowTitles1-Detail 4 2 3 2 4" xfId="12022" xr:uid="{00000000-0005-0000-0000-0000092F0000}"/>
    <cellStyle name="RowTitles1-Detail 4 2 3 2 5" xfId="12023" xr:uid="{00000000-0005-0000-0000-00000A2F0000}"/>
    <cellStyle name="RowTitles1-Detail 4 2 3 2_Tertiary Salaries Survey" xfId="12024" xr:uid="{00000000-0005-0000-0000-00000B2F0000}"/>
    <cellStyle name="RowTitles1-Detail 4 2 3 3" xfId="12025" xr:uid="{00000000-0005-0000-0000-00000C2F0000}"/>
    <cellStyle name="RowTitles1-Detail 4 2 3 3 2" xfId="12026" xr:uid="{00000000-0005-0000-0000-00000D2F0000}"/>
    <cellStyle name="RowTitles1-Detail 4 2 3 3 2 2" xfId="12027" xr:uid="{00000000-0005-0000-0000-00000E2F0000}"/>
    <cellStyle name="RowTitles1-Detail 4 2 3 3 2 2 2" xfId="12028" xr:uid="{00000000-0005-0000-0000-00000F2F0000}"/>
    <cellStyle name="RowTitles1-Detail 4 2 3 3 2 2_Tertiary Salaries Survey" xfId="12029" xr:uid="{00000000-0005-0000-0000-0000102F0000}"/>
    <cellStyle name="RowTitles1-Detail 4 2 3 3 2 3" xfId="12030" xr:uid="{00000000-0005-0000-0000-0000112F0000}"/>
    <cellStyle name="RowTitles1-Detail 4 2 3 3 2_Tertiary Salaries Survey" xfId="12031" xr:uid="{00000000-0005-0000-0000-0000122F0000}"/>
    <cellStyle name="RowTitles1-Detail 4 2 3 3 3" xfId="12032" xr:uid="{00000000-0005-0000-0000-0000132F0000}"/>
    <cellStyle name="RowTitles1-Detail 4 2 3 3 3 2" xfId="12033" xr:uid="{00000000-0005-0000-0000-0000142F0000}"/>
    <cellStyle name="RowTitles1-Detail 4 2 3 3 3 2 2" xfId="12034" xr:uid="{00000000-0005-0000-0000-0000152F0000}"/>
    <cellStyle name="RowTitles1-Detail 4 2 3 3 3 2_Tertiary Salaries Survey" xfId="12035" xr:uid="{00000000-0005-0000-0000-0000162F0000}"/>
    <cellStyle name="RowTitles1-Detail 4 2 3 3 3 3" xfId="12036" xr:uid="{00000000-0005-0000-0000-0000172F0000}"/>
    <cellStyle name="RowTitles1-Detail 4 2 3 3 3_Tertiary Salaries Survey" xfId="12037" xr:uid="{00000000-0005-0000-0000-0000182F0000}"/>
    <cellStyle name="RowTitles1-Detail 4 2 3 3 4" xfId="12038" xr:uid="{00000000-0005-0000-0000-0000192F0000}"/>
    <cellStyle name="RowTitles1-Detail 4 2 3 3 5" xfId="12039" xr:uid="{00000000-0005-0000-0000-00001A2F0000}"/>
    <cellStyle name="RowTitles1-Detail 4 2 3 3 5 2" xfId="12040" xr:uid="{00000000-0005-0000-0000-00001B2F0000}"/>
    <cellStyle name="RowTitles1-Detail 4 2 3 3 5_Tertiary Salaries Survey" xfId="12041" xr:uid="{00000000-0005-0000-0000-00001C2F0000}"/>
    <cellStyle name="RowTitles1-Detail 4 2 3 3 6" xfId="12042" xr:uid="{00000000-0005-0000-0000-00001D2F0000}"/>
    <cellStyle name="RowTitles1-Detail 4 2 3 3_Tertiary Salaries Survey" xfId="12043" xr:uid="{00000000-0005-0000-0000-00001E2F0000}"/>
    <cellStyle name="RowTitles1-Detail 4 2 3 4" xfId="12044" xr:uid="{00000000-0005-0000-0000-00001F2F0000}"/>
    <cellStyle name="RowTitles1-Detail 4 2 3 4 2" xfId="12045" xr:uid="{00000000-0005-0000-0000-0000202F0000}"/>
    <cellStyle name="RowTitles1-Detail 4 2 3 4 2 2" xfId="12046" xr:uid="{00000000-0005-0000-0000-0000212F0000}"/>
    <cellStyle name="RowTitles1-Detail 4 2 3 4 2 2 2" xfId="12047" xr:uid="{00000000-0005-0000-0000-0000222F0000}"/>
    <cellStyle name="RowTitles1-Detail 4 2 3 4 2 2_Tertiary Salaries Survey" xfId="12048" xr:uid="{00000000-0005-0000-0000-0000232F0000}"/>
    <cellStyle name="RowTitles1-Detail 4 2 3 4 2 3" xfId="12049" xr:uid="{00000000-0005-0000-0000-0000242F0000}"/>
    <cellStyle name="RowTitles1-Detail 4 2 3 4 2_Tertiary Salaries Survey" xfId="12050" xr:uid="{00000000-0005-0000-0000-0000252F0000}"/>
    <cellStyle name="RowTitles1-Detail 4 2 3 4 3" xfId="12051" xr:uid="{00000000-0005-0000-0000-0000262F0000}"/>
    <cellStyle name="RowTitles1-Detail 4 2 3 4 3 2" xfId="12052" xr:uid="{00000000-0005-0000-0000-0000272F0000}"/>
    <cellStyle name="RowTitles1-Detail 4 2 3 4 3 2 2" xfId="12053" xr:uid="{00000000-0005-0000-0000-0000282F0000}"/>
    <cellStyle name="RowTitles1-Detail 4 2 3 4 3 2_Tertiary Salaries Survey" xfId="12054" xr:uid="{00000000-0005-0000-0000-0000292F0000}"/>
    <cellStyle name="RowTitles1-Detail 4 2 3 4 3 3" xfId="12055" xr:uid="{00000000-0005-0000-0000-00002A2F0000}"/>
    <cellStyle name="RowTitles1-Detail 4 2 3 4 3_Tertiary Salaries Survey" xfId="12056" xr:uid="{00000000-0005-0000-0000-00002B2F0000}"/>
    <cellStyle name="RowTitles1-Detail 4 2 3 4 4" xfId="12057" xr:uid="{00000000-0005-0000-0000-00002C2F0000}"/>
    <cellStyle name="RowTitles1-Detail 4 2 3 4 4 2" xfId="12058" xr:uid="{00000000-0005-0000-0000-00002D2F0000}"/>
    <cellStyle name="RowTitles1-Detail 4 2 3 4 4_Tertiary Salaries Survey" xfId="12059" xr:uid="{00000000-0005-0000-0000-00002E2F0000}"/>
    <cellStyle name="RowTitles1-Detail 4 2 3 4 5" xfId="12060" xr:uid="{00000000-0005-0000-0000-00002F2F0000}"/>
    <cellStyle name="RowTitles1-Detail 4 2 3 4_Tertiary Salaries Survey" xfId="12061" xr:uid="{00000000-0005-0000-0000-0000302F0000}"/>
    <cellStyle name="RowTitles1-Detail 4 2 3 5" xfId="12062" xr:uid="{00000000-0005-0000-0000-0000312F0000}"/>
    <cellStyle name="RowTitles1-Detail 4 2 3 5 2" xfId="12063" xr:uid="{00000000-0005-0000-0000-0000322F0000}"/>
    <cellStyle name="RowTitles1-Detail 4 2 3 5 2 2" xfId="12064" xr:uid="{00000000-0005-0000-0000-0000332F0000}"/>
    <cellStyle name="RowTitles1-Detail 4 2 3 5 2 2 2" xfId="12065" xr:uid="{00000000-0005-0000-0000-0000342F0000}"/>
    <cellStyle name="RowTitles1-Detail 4 2 3 5 2 2_Tertiary Salaries Survey" xfId="12066" xr:uid="{00000000-0005-0000-0000-0000352F0000}"/>
    <cellStyle name="RowTitles1-Detail 4 2 3 5 2 3" xfId="12067" xr:uid="{00000000-0005-0000-0000-0000362F0000}"/>
    <cellStyle name="RowTitles1-Detail 4 2 3 5 2_Tertiary Salaries Survey" xfId="12068" xr:uid="{00000000-0005-0000-0000-0000372F0000}"/>
    <cellStyle name="RowTitles1-Detail 4 2 3 5 3" xfId="12069" xr:uid="{00000000-0005-0000-0000-0000382F0000}"/>
    <cellStyle name="RowTitles1-Detail 4 2 3 5 3 2" xfId="12070" xr:uid="{00000000-0005-0000-0000-0000392F0000}"/>
    <cellStyle name="RowTitles1-Detail 4 2 3 5 3 2 2" xfId="12071" xr:uid="{00000000-0005-0000-0000-00003A2F0000}"/>
    <cellStyle name="RowTitles1-Detail 4 2 3 5 3 2_Tertiary Salaries Survey" xfId="12072" xr:uid="{00000000-0005-0000-0000-00003B2F0000}"/>
    <cellStyle name="RowTitles1-Detail 4 2 3 5 3 3" xfId="12073" xr:uid="{00000000-0005-0000-0000-00003C2F0000}"/>
    <cellStyle name="RowTitles1-Detail 4 2 3 5 3_Tertiary Salaries Survey" xfId="12074" xr:uid="{00000000-0005-0000-0000-00003D2F0000}"/>
    <cellStyle name="RowTitles1-Detail 4 2 3 5 4" xfId="12075" xr:uid="{00000000-0005-0000-0000-00003E2F0000}"/>
    <cellStyle name="RowTitles1-Detail 4 2 3 5 4 2" xfId="12076" xr:uid="{00000000-0005-0000-0000-00003F2F0000}"/>
    <cellStyle name="RowTitles1-Detail 4 2 3 5 4_Tertiary Salaries Survey" xfId="12077" xr:uid="{00000000-0005-0000-0000-0000402F0000}"/>
    <cellStyle name="RowTitles1-Detail 4 2 3 5 5" xfId="12078" xr:uid="{00000000-0005-0000-0000-0000412F0000}"/>
    <cellStyle name="RowTitles1-Detail 4 2 3 5_Tertiary Salaries Survey" xfId="12079" xr:uid="{00000000-0005-0000-0000-0000422F0000}"/>
    <cellStyle name="RowTitles1-Detail 4 2 3 6" xfId="12080" xr:uid="{00000000-0005-0000-0000-0000432F0000}"/>
    <cellStyle name="RowTitles1-Detail 4 2 3 6 2" xfId="12081" xr:uid="{00000000-0005-0000-0000-0000442F0000}"/>
    <cellStyle name="RowTitles1-Detail 4 2 3 6 2 2" xfId="12082" xr:uid="{00000000-0005-0000-0000-0000452F0000}"/>
    <cellStyle name="RowTitles1-Detail 4 2 3 6 2 2 2" xfId="12083" xr:uid="{00000000-0005-0000-0000-0000462F0000}"/>
    <cellStyle name="RowTitles1-Detail 4 2 3 6 2 2_Tertiary Salaries Survey" xfId="12084" xr:uid="{00000000-0005-0000-0000-0000472F0000}"/>
    <cellStyle name="RowTitles1-Detail 4 2 3 6 2 3" xfId="12085" xr:uid="{00000000-0005-0000-0000-0000482F0000}"/>
    <cellStyle name="RowTitles1-Detail 4 2 3 6 2_Tertiary Salaries Survey" xfId="12086" xr:uid="{00000000-0005-0000-0000-0000492F0000}"/>
    <cellStyle name="RowTitles1-Detail 4 2 3 6 3" xfId="12087" xr:uid="{00000000-0005-0000-0000-00004A2F0000}"/>
    <cellStyle name="RowTitles1-Detail 4 2 3 6 3 2" xfId="12088" xr:uid="{00000000-0005-0000-0000-00004B2F0000}"/>
    <cellStyle name="RowTitles1-Detail 4 2 3 6 3 2 2" xfId="12089" xr:uid="{00000000-0005-0000-0000-00004C2F0000}"/>
    <cellStyle name="RowTitles1-Detail 4 2 3 6 3 2_Tertiary Salaries Survey" xfId="12090" xr:uid="{00000000-0005-0000-0000-00004D2F0000}"/>
    <cellStyle name="RowTitles1-Detail 4 2 3 6 3 3" xfId="12091" xr:uid="{00000000-0005-0000-0000-00004E2F0000}"/>
    <cellStyle name="RowTitles1-Detail 4 2 3 6 3_Tertiary Salaries Survey" xfId="12092" xr:uid="{00000000-0005-0000-0000-00004F2F0000}"/>
    <cellStyle name="RowTitles1-Detail 4 2 3 6 4" xfId="12093" xr:uid="{00000000-0005-0000-0000-0000502F0000}"/>
    <cellStyle name="RowTitles1-Detail 4 2 3 6 4 2" xfId="12094" xr:uid="{00000000-0005-0000-0000-0000512F0000}"/>
    <cellStyle name="RowTitles1-Detail 4 2 3 6 4_Tertiary Salaries Survey" xfId="12095" xr:uid="{00000000-0005-0000-0000-0000522F0000}"/>
    <cellStyle name="RowTitles1-Detail 4 2 3 6 5" xfId="12096" xr:uid="{00000000-0005-0000-0000-0000532F0000}"/>
    <cellStyle name="RowTitles1-Detail 4 2 3 6_Tertiary Salaries Survey" xfId="12097" xr:uid="{00000000-0005-0000-0000-0000542F0000}"/>
    <cellStyle name="RowTitles1-Detail 4 2 3 7" xfId="12098" xr:uid="{00000000-0005-0000-0000-0000552F0000}"/>
    <cellStyle name="RowTitles1-Detail 4 2 3 7 2" xfId="12099" xr:uid="{00000000-0005-0000-0000-0000562F0000}"/>
    <cellStyle name="RowTitles1-Detail 4 2 3 7 2 2" xfId="12100" xr:uid="{00000000-0005-0000-0000-0000572F0000}"/>
    <cellStyle name="RowTitles1-Detail 4 2 3 7 2_Tertiary Salaries Survey" xfId="12101" xr:uid="{00000000-0005-0000-0000-0000582F0000}"/>
    <cellStyle name="RowTitles1-Detail 4 2 3 7 3" xfId="12102" xr:uid="{00000000-0005-0000-0000-0000592F0000}"/>
    <cellStyle name="RowTitles1-Detail 4 2 3 7_Tertiary Salaries Survey" xfId="12103" xr:uid="{00000000-0005-0000-0000-00005A2F0000}"/>
    <cellStyle name="RowTitles1-Detail 4 2 3 8" xfId="12104" xr:uid="{00000000-0005-0000-0000-00005B2F0000}"/>
    <cellStyle name="RowTitles1-Detail 4 2 3 9" xfId="12105" xr:uid="{00000000-0005-0000-0000-00005C2F0000}"/>
    <cellStyle name="RowTitles1-Detail 4 2 3_STUD aligned by INSTIT" xfId="12106" xr:uid="{00000000-0005-0000-0000-00005D2F0000}"/>
    <cellStyle name="RowTitles1-Detail 4 2 4" xfId="12107" xr:uid="{00000000-0005-0000-0000-00005E2F0000}"/>
    <cellStyle name="RowTitles1-Detail 4 2 4 2" xfId="12108" xr:uid="{00000000-0005-0000-0000-00005F2F0000}"/>
    <cellStyle name="RowTitles1-Detail 4 2 4 2 2" xfId="12109" xr:uid="{00000000-0005-0000-0000-0000602F0000}"/>
    <cellStyle name="RowTitles1-Detail 4 2 4 2 2 2" xfId="12110" xr:uid="{00000000-0005-0000-0000-0000612F0000}"/>
    <cellStyle name="RowTitles1-Detail 4 2 4 2 2 2 2" xfId="12111" xr:uid="{00000000-0005-0000-0000-0000622F0000}"/>
    <cellStyle name="RowTitles1-Detail 4 2 4 2 2 2_Tertiary Salaries Survey" xfId="12112" xr:uid="{00000000-0005-0000-0000-0000632F0000}"/>
    <cellStyle name="RowTitles1-Detail 4 2 4 2 2 3" xfId="12113" xr:uid="{00000000-0005-0000-0000-0000642F0000}"/>
    <cellStyle name="RowTitles1-Detail 4 2 4 2 2_Tertiary Salaries Survey" xfId="12114" xr:uid="{00000000-0005-0000-0000-0000652F0000}"/>
    <cellStyle name="RowTitles1-Detail 4 2 4 2 3" xfId="12115" xr:uid="{00000000-0005-0000-0000-0000662F0000}"/>
    <cellStyle name="RowTitles1-Detail 4 2 4 2 3 2" xfId="12116" xr:uid="{00000000-0005-0000-0000-0000672F0000}"/>
    <cellStyle name="RowTitles1-Detail 4 2 4 2 3 2 2" xfId="12117" xr:uid="{00000000-0005-0000-0000-0000682F0000}"/>
    <cellStyle name="RowTitles1-Detail 4 2 4 2 3 2_Tertiary Salaries Survey" xfId="12118" xr:uid="{00000000-0005-0000-0000-0000692F0000}"/>
    <cellStyle name="RowTitles1-Detail 4 2 4 2 3 3" xfId="12119" xr:uid="{00000000-0005-0000-0000-00006A2F0000}"/>
    <cellStyle name="RowTitles1-Detail 4 2 4 2 3_Tertiary Salaries Survey" xfId="12120" xr:uid="{00000000-0005-0000-0000-00006B2F0000}"/>
    <cellStyle name="RowTitles1-Detail 4 2 4 2 4" xfId="12121" xr:uid="{00000000-0005-0000-0000-00006C2F0000}"/>
    <cellStyle name="RowTitles1-Detail 4 2 4 2 5" xfId="12122" xr:uid="{00000000-0005-0000-0000-00006D2F0000}"/>
    <cellStyle name="RowTitles1-Detail 4 2 4 2 5 2" xfId="12123" xr:uid="{00000000-0005-0000-0000-00006E2F0000}"/>
    <cellStyle name="RowTitles1-Detail 4 2 4 2 5_Tertiary Salaries Survey" xfId="12124" xr:uid="{00000000-0005-0000-0000-00006F2F0000}"/>
    <cellStyle name="RowTitles1-Detail 4 2 4 2 6" xfId="12125" xr:uid="{00000000-0005-0000-0000-0000702F0000}"/>
    <cellStyle name="RowTitles1-Detail 4 2 4 2_Tertiary Salaries Survey" xfId="12126" xr:uid="{00000000-0005-0000-0000-0000712F0000}"/>
    <cellStyle name="RowTitles1-Detail 4 2 4 3" xfId="12127" xr:uid="{00000000-0005-0000-0000-0000722F0000}"/>
    <cellStyle name="RowTitles1-Detail 4 2 4 3 2" xfId="12128" xr:uid="{00000000-0005-0000-0000-0000732F0000}"/>
    <cellStyle name="RowTitles1-Detail 4 2 4 3 2 2" xfId="12129" xr:uid="{00000000-0005-0000-0000-0000742F0000}"/>
    <cellStyle name="RowTitles1-Detail 4 2 4 3 2 2 2" xfId="12130" xr:uid="{00000000-0005-0000-0000-0000752F0000}"/>
    <cellStyle name="RowTitles1-Detail 4 2 4 3 2 2_Tertiary Salaries Survey" xfId="12131" xr:uid="{00000000-0005-0000-0000-0000762F0000}"/>
    <cellStyle name="RowTitles1-Detail 4 2 4 3 2 3" xfId="12132" xr:uid="{00000000-0005-0000-0000-0000772F0000}"/>
    <cellStyle name="RowTitles1-Detail 4 2 4 3 2_Tertiary Salaries Survey" xfId="12133" xr:uid="{00000000-0005-0000-0000-0000782F0000}"/>
    <cellStyle name="RowTitles1-Detail 4 2 4 3 3" xfId="12134" xr:uid="{00000000-0005-0000-0000-0000792F0000}"/>
    <cellStyle name="RowTitles1-Detail 4 2 4 3 3 2" xfId="12135" xr:uid="{00000000-0005-0000-0000-00007A2F0000}"/>
    <cellStyle name="RowTitles1-Detail 4 2 4 3 3 2 2" xfId="12136" xr:uid="{00000000-0005-0000-0000-00007B2F0000}"/>
    <cellStyle name="RowTitles1-Detail 4 2 4 3 3 2_Tertiary Salaries Survey" xfId="12137" xr:uid="{00000000-0005-0000-0000-00007C2F0000}"/>
    <cellStyle name="RowTitles1-Detail 4 2 4 3 3 3" xfId="12138" xr:uid="{00000000-0005-0000-0000-00007D2F0000}"/>
    <cellStyle name="RowTitles1-Detail 4 2 4 3 3_Tertiary Salaries Survey" xfId="12139" xr:uid="{00000000-0005-0000-0000-00007E2F0000}"/>
    <cellStyle name="RowTitles1-Detail 4 2 4 3 4" xfId="12140" xr:uid="{00000000-0005-0000-0000-00007F2F0000}"/>
    <cellStyle name="RowTitles1-Detail 4 2 4 3 5" xfId="12141" xr:uid="{00000000-0005-0000-0000-0000802F0000}"/>
    <cellStyle name="RowTitles1-Detail 4 2 4 3_Tertiary Salaries Survey" xfId="12142" xr:uid="{00000000-0005-0000-0000-0000812F0000}"/>
    <cellStyle name="RowTitles1-Detail 4 2 4 4" xfId="12143" xr:uid="{00000000-0005-0000-0000-0000822F0000}"/>
    <cellStyle name="RowTitles1-Detail 4 2 4 4 2" xfId="12144" xr:uid="{00000000-0005-0000-0000-0000832F0000}"/>
    <cellStyle name="RowTitles1-Detail 4 2 4 4 2 2" xfId="12145" xr:uid="{00000000-0005-0000-0000-0000842F0000}"/>
    <cellStyle name="RowTitles1-Detail 4 2 4 4 2 2 2" xfId="12146" xr:uid="{00000000-0005-0000-0000-0000852F0000}"/>
    <cellStyle name="RowTitles1-Detail 4 2 4 4 2 2_Tertiary Salaries Survey" xfId="12147" xr:uid="{00000000-0005-0000-0000-0000862F0000}"/>
    <cellStyle name="RowTitles1-Detail 4 2 4 4 2 3" xfId="12148" xr:uid="{00000000-0005-0000-0000-0000872F0000}"/>
    <cellStyle name="RowTitles1-Detail 4 2 4 4 2_Tertiary Salaries Survey" xfId="12149" xr:uid="{00000000-0005-0000-0000-0000882F0000}"/>
    <cellStyle name="RowTitles1-Detail 4 2 4 4 3" xfId="12150" xr:uid="{00000000-0005-0000-0000-0000892F0000}"/>
    <cellStyle name="RowTitles1-Detail 4 2 4 4 3 2" xfId="12151" xr:uid="{00000000-0005-0000-0000-00008A2F0000}"/>
    <cellStyle name="RowTitles1-Detail 4 2 4 4 3 2 2" xfId="12152" xr:uid="{00000000-0005-0000-0000-00008B2F0000}"/>
    <cellStyle name="RowTitles1-Detail 4 2 4 4 3 2_Tertiary Salaries Survey" xfId="12153" xr:uid="{00000000-0005-0000-0000-00008C2F0000}"/>
    <cellStyle name="RowTitles1-Detail 4 2 4 4 3 3" xfId="12154" xr:uid="{00000000-0005-0000-0000-00008D2F0000}"/>
    <cellStyle name="RowTitles1-Detail 4 2 4 4 3_Tertiary Salaries Survey" xfId="12155" xr:uid="{00000000-0005-0000-0000-00008E2F0000}"/>
    <cellStyle name="RowTitles1-Detail 4 2 4 4 4" xfId="12156" xr:uid="{00000000-0005-0000-0000-00008F2F0000}"/>
    <cellStyle name="RowTitles1-Detail 4 2 4 4 4 2" xfId="12157" xr:uid="{00000000-0005-0000-0000-0000902F0000}"/>
    <cellStyle name="RowTitles1-Detail 4 2 4 4 4_Tertiary Salaries Survey" xfId="12158" xr:uid="{00000000-0005-0000-0000-0000912F0000}"/>
    <cellStyle name="RowTitles1-Detail 4 2 4 4 5" xfId="12159" xr:uid="{00000000-0005-0000-0000-0000922F0000}"/>
    <cellStyle name="RowTitles1-Detail 4 2 4 4_Tertiary Salaries Survey" xfId="12160" xr:uid="{00000000-0005-0000-0000-0000932F0000}"/>
    <cellStyle name="RowTitles1-Detail 4 2 4 5" xfId="12161" xr:uid="{00000000-0005-0000-0000-0000942F0000}"/>
    <cellStyle name="RowTitles1-Detail 4 2 4 5 2" xfId="12162" xr:uid="{00000000-0005-0000-0000-0000952F0000}"/>
    <cellStyle name="RowTitles1-Detail 4 2 4 5 2 2" xfId="12163" xr:uid="{00000000-0005-0000-0000-0000962F0000}"/>
    <cellStyle name="RowTitles1-Detail 4 2 4 5 2 2 2" xfId="12164" xr:uid="{00000000-0005-0000-0000-0000972F0000}"/>
    <cellStyle name="RowTitles1-Detail 4 2 4 5 2 2_Tertiary Salaries Survey" xfId="12165" xr:uid="{00000000-0005-0000-0000-0000982F0000}"/>
    <cellStyle name="RowTitles1-Detail 4 2 4 5 2 3" xfId="12166" xr:uid="{00000000-0005-0000-0000-0000992F0000}"/>
    <cellStyle name="RowTitles1-Detail 4 2 4 5 2_Tertiary Salaries Survey" xfId="12167" xr:uid="{00000000-0005-0000-0000-00009A2F0000}"/>
    <cellStyle name="RowTitles1-Detail 4 2 4 5 3" xfId="12168" xr:uid="{00000000-0005-0000-0000-00009B2F0000}"/>
    <cellStyle name="RowTitles1-Detail 4 2 4 5 3 2" xfId="12169" xr:uid="{00000000-0005-0000-0000-00009C2F0000}"/>
    <cellStyle name="RowTitles1-Detail 4 2 4 5 3 2 2" xfId="12170" xr:uid="{00000000-0005-0000-0000-00009D2F0000}"/>
    <cellStyle name="RowTitles1-Detail 4 2 4 5 3 2_Tertiary Salaries Survey" xfId="12171" xr:uid="{00000000-0005-0000-0000-00009E2F0000}"/>
    <cellStyle name="RowTitles1-Detail 4 2 4 5 3 3" xfId="12172" xr:uid="{00000000-0005-0000-0000-00009F2F0000}"/>
    <cellStyle name="RowTitles1-Detail 4 2 4 5 3_Tertiary Salaries Survey" xfId="12173" xr:uid="{00000000-0005-0000-0000-0000A02F0000}"/>
    <cellStyle name="RowTitles1-Detail 4 2 4 5 4" xfId="12174" xr:uid="{00000000-0005-0000-0000-0000A12F0000}"/>
    <cellStyle name="RowTitles1-Detail 4 2 4 5 4 2" xfId="12175" xr:uid="{00000000-0005-0000-0000-0000A22F0000}"/>
    <cellStyle name="RowTitles1-Detail 4 2 4 5 4_Tertiary Salaries Survey" xfId="12176" xr:uid="{00000000-0005-0000-0000-0000A32F0000}"/>
    <cellStyle name="RowTitles1-Detail 4 2 4 5 5" xfId="12177" xr:uid="{00000000-0005-0000-0000-0000A42F0000}"/>
    <cellStyle name="RowTitles1-Detail 4 2 4 5_Tertiary Salaries Survey" xfId="12178" xr:uid="{00000000-0005-0000-0000-0000A52F0000}"/>
    <cellStyle name="RowTitles1-Detail 4 2 4 6" xfId="12179" xr:uid="{00000000-0005-0000-0000-0000A62F0000}"/>
    <cellStyle name="RowTitles1-Detail 4 2 4 6 2" xfId="12180" xr:uid="{00000000-0005-0000-0000-0000A72F0000}"/>
    <cellStyle name="RowTitles1-Detail 4 2 4 6 2 2" xfId="12181" xr:uid="{00000000-0005-0000-0000-0000A82F0000}"/>
    <cellStyle name="RowTitles1-Detail 4 2 4 6 2 2 2" xfId="12182" xr:uid="{00000000-0005-0000-0000-0000A92F0000}"/>
    <cellStyle name="RowTitles1-Detail 4 2 4 6 2 2_Tertiary Salaries Survey" xfId="12183" xr:uid="{00000000-0005-0000-0000-0000AA2F0000}"/>
    <cellStyle name="RowTitles1-Detail 4 2 4 6 2 3" xfId="12184" xr:uid="{00000000-0005-0000-0000-0000AB2F0000}"/>
    <cellStyle name="RowTitles1-Detail 4 2 4 6 2_Tertiary Salaries Survey" xfId="12185" xr:uid="{00000000-0005-0000-0000-0000AC2F0000}"/>
    <cellStyle name="RowTitles1-Detail 4 2 4 6 3" xfId="12186" xr:uid="{00000000-0005-0000-0000-0000AD2F0000}"/>
    <cellStyle name="RowTitles1-Detail 4 2 4 6 3 2" xfId="12187" xr:uid="{00000000-0005-0000-0000-0000AE2F0000}"/>
    <cellStyle name="RowTitles1-Detail 4 2 4 6 3 2 2" xfId="12188" xr:uid="{00000000-0005-0000-0000-0000AF2F0000}"/>
    <cellStyle name="RowTitles1-Detail 4 2 4 6 3 2_Tertiary Salaries Survey" xfId="12189" xr:uid="{00000000-0005-0000-0000-0000B02F0000}"/>
    <cellStyle name="RowTitles1-Detail 4 2 4 6 3 3" xfId="12190" xr:uid="{00000000-0005-0000-0000-0000B12F0000}"/>
    <cellStyle name="RowTitles1-Detail 4 2 4 6 3_Tertiary Salaries Survey" xfId="12191" xr:uid="{00000000-0005-0000-0000-0000B22F0000}"/>
    <cellStyle name="RowTitles1-Detail 4 2 4 6 4" xfId="12192" xr:uid="{00000000-0005-0000-0000-0000B32F0000}"/>
    <cellStyle name="RowTitles1-Detail 4 2 4 6 4 2" xfId="12193" xr:uid="{00000000-0005-0000-0000-0000B42F0000}"/>
    <cellStyle name="RowTitles1-Detail 4 2 4 6 4_Tertiary Salaries Survey" xfId="12194" xr:uid="{00000000-0005-0000-0000-0000B52F0000}"/>
    <cellStyle name="RowTitles1-Detail 4 2 4 6 5" xfId="12195" xr:uid="{00000000-0005-0000-0000-0000B62F0000}"/>
    <cellStyle name="RowTitles1-Detail 4 2 4 6_Tertiary Salaries Survey" xfId="12196" xr:uid="{00000000-0005-0000-0000-0000B72F0000}"/>
    <cellStyle name="RowTitles1-Detail 4 2 4 7" xfId="12197" xr:uid="{00000000-0005-0000-0000-0000B82F0000}"/>
    <cellStyle name="RowTitles1-Detail 4 2 4 7 2" xfId="12198" xr:uid="{00000000-0005-0000-0000-0000B92F0000}"/>
    <cellStyle name="RowTitles1-Detail 4 2 4 7 2 2" xfId="12199" xr:uid="{00000000-0005-0000-0000-0000BA2F0000}"/>
    <cellStyle name="RowTitles1-Detail 4 2 4 7 2_Tertiary Salaries Survey" xfId="12200" xr:uid="{00000000-0005-0000-0000-0000BB2F0000}"/>
    <cellStyle name="RowTitles1-Detail 4 2 4 7 3" xfId="12201" xr:uid="{00000000-0005-0000-0000-0000BC2F0000}"/>
    <cellStyle name="RowTitles1-Detail 4 2 4 7_Tertiary Salaries Survey" xfId="12202" xr:uid="{00000000-0005-0000-0000-0000BD2F0000}"/>
    <cellStyle name="RowTitles1-Detail 4 2 4 8" xfId="12203" xr:uid="{00000000-0005-0000-0000-0000BE2F0000}"/>
    <cellStyle name="RowTitles1-Detail 4 2 4 8 2" xfId="12204" xr:uid="{00000000-0005-0000-0000-0000BF2F0000}"/>
    <cellStyle name="RowTitles1-Detail 4 2 4 8 2 2" xfId="12205" xr:uid="{00000000-0005-0000-0000-0000C02F0000}"/>
    <cellStyle name="RowTitles1-Detail 4 2 4 8 2_Tertiary Salaries Survey" xfId="12206" xr:uid="{00000000-0005-0000-0000-0000C12F0000}"/>
    <cellStyle name="RowTitles1-Detail 4 2 4 8 3" xfId="12207" xr:uid="{00000000-0005-0000-0000-0000C22F0000}"/>
    <cellStyle name="RowTitles1-Detail 4 2 4 8_Tertiary Salaries Survey" xfId="12208" xr:uid="{00000000-0005-0000-0000-0000C32F0000}"/>
    <cellStyle name="RowTitles1-Detail 4 2 4 9" xfId="12209" xr:uid="{00000000-0005-0000-0000-0000C42F0000}"/>
    <cellStyle name="RowTitles1-Detail 4 2 4_STUD aligned by INSTIT" xfId="12210" xr:uid="{00000000-0005-0000-0000-0000C52F0000}"/>
    <cellStyle name="RowTitles1-Detail 4 2 5" xfId="12211" xr:uid="{00000000-0005-0000-0000-0000C62F0000}"/>
    <cellStyle name="RowTitles1-Detail 4 2 5 2" xfId="12212" xr:uid="{00000000-0005-0000-0000-0000C72F0000}"/>
    <cellStyle name="RowTitles1-Detail 4 2 5 2 2" xfId="12213" xr:uid="{00000000-0005-0000-0000-0000C82F0000}"/>
    <cellStyle name="RowTitles1-Detail 4 2 5 2 2 2" xfId="12214" xr:uid="{00000000-0005-0000-0000-0000C92F0000}"/>
    <cellStyle name="RowTitles1-Detail 4 2 5 2 2 2 2" xfId="12215" xr:uid="{00000000-0005-0000-0000-0000CA2F0000}"/>
    <cellStyle name="RowTitles1-Detail 4 2 5 2 2 2_Tertiary Salaries Survey" xfId="12216" xr:uid="{00000000-0005-0000-0000-0000CB2F0000}"/>
    <cellStyle name="RowTitles1-Detail 4 2 5 2 2 3" xfId="12217" xr:uid="{00000000-0005-0000-0000-0000CC2F0000}"/>
    <cellStyle name="RowTitles1-Detail 4 2 5 2 2_Tertiary Salaries Survey" xfId="12218" xr:uid="{00000000-0005-0000-0000-0000CD2F0000}"/>
    <cellStyle name="RowTitles1-Detail 4 2 5 2 3" xfId="12219" xr:uid="{00000000-0005-0000-0000-0000CE2F0000}"/>
    <cellStyle name="RowTitles1-Detail 4 2 5 2 3 2" xfId="12220" xr:uid="{00000000-0005-0000-0000-0000CF2F0000}"/>
    <cellStyle name="RowTitles1-Detail 4 2 5 2 3 2 2" xfId="12221" xr:uid="{00000000-0005-0000-0000-0000D02F0000}"/>
    <cellStyle name="RowTitles1-Detail 4 2 5 2 3 2_Tertiary Salaries Survey" xfId="12222" xr:uid="{00000000-0005-0000-0000-0000D12F0000}"/>
    <cellStyle name="RowTitles1-Detail 4 2 5 2 3 3" xfId="12223" xr:uid="{00000000-0005-0000-0000-0000D22F0000}"/>
    <cellStyle name="RowTitles1-Detail 4 2 5 2 3_Tertiary Salaries Survey" xfId="12224" xr:uid="{00000000-0005-0000-0000-0000D32F0000}"/>
    <cellStyle name="RowTitles1-Detail 4 2 5 2 4" xfId="12225" xr:uid="{00000000-0005-0000-0000-0000D42F0000}"/>
    <cellStyle name="RowTitles1-Detail 4 2 5 2 5" xfId="12226" xr:uid="{00000000-0005-0000-0000-0000D52F0000}"/>
    <cellStyle name="RowTitles1-Detail 4 2 5 2 5 2" xfId="12227" xr:uid="{00000000-0005-0000-0000-0000D62F0000}"/>
    <cellStyle name="RowTitles1-Detail 4 2 5 2 5_Tertiary Salaries Survey" xfId="12228" xr:uid="{00000000-0005-0000-0000-0000D72F0000}"/>
    <cellStyle name="RowTitles1-Detail 4 2 5 2 6" xfId="12229" xr:uid="{00000000-0005-0000-0000-0000D82F0000}"/>
    <cellStyle name="RowTitles1-Detail 4 2 5 2_Tertiary Salaries Survey" xfId="12230" xr:uid="{00000000-0005-0000-0000-0000D92F0000}"/>
    <cellStyle name="RowTitles1-Detail 4 2 5 3" xfId="12231" xr:uid="{00000000-0005-0000-0000-0000DA2F0000}"/>
    <cellStyle name="RowTitles1-Detail 4 2 5 3 2" xfId="12232" xr:uid="{00000000-0005-0000-0000-0000DB2F0000}"/>
    <cellStyle name="RowTitles1-Detail 4 2 5 3 2 2" xfId="12233" xr:uid="{00000000-0005-0000-0000-0000DC2F0000}"/>
    <cellStyle name="RowTitles1-Detail 4 2 5 3 2 2 2" xfId="12234" xr:uid="{00000000-0005-0000-0000-0000DD2F0000}"/>
    <cellStyle name="RowTitles1-Detail 4 2 5 3 2 2_Tertiary Salaries Survey" xfId="12235" xr:uid="{00000000-0005-0000-0000-0000DE2F0000}"/>
    <cellStyle name="RowTitles1-Detail 4 2 5 3 2 3" xfId="12236" xr:uid="{00000000-0005-0000-0000-0000DF2F0000}"/>
    <cellStyle name="RowTitles1-Detail 4 2 5 3 2_Tertiary Salaries Survey" xfId="12237" xr:uid="{00000000-0005-0000-0000-0000E02F0000}"/>
    <cellStyle name="RowTitles1-Detail 4 2 5 3 3" xfId="12238" xr:uid="{00000000-0005-0000-0000-0000E12F0000}"/>
    <cellStyle name="RowTitles1-Detail 4 2 5 3 3 2" xfId="12239" xr:uid="{00000000-0005-0000-0000-0000E22F0000}"/>
    <cellStyle name="RowTitles1-Detail 4 2 5 3 3 2 2" xfId="12240" xr:uid="{00000000-0005-0000-0000-0000E32F0000}"/>
    <cellStyle name="RowTitles1-Detail 4 2 5 3 3 2_Tertiary Salaries Survey" xfId="12241" xr:uid="{00000000-0005-0000-0000-0000E42F0000}"/>
    <cellStyle name="RowTitles1-Detail 4 2 5 3 3 3" xfId="12242" xr:uid="{00000000-0005-0000-0000-0000E52F0000}"/>
    <cellStyle name="RowTitles1-Detail 4 2 5 3 3_Tertiary Salaries Survey" xfId="12243" xr:uid="{00000000-0005-0000-0000-0000E62F0000}"/>
    <cellStyle name="RowTitles1-Detail 4 2 5 3 4" xfId="12244" xr:uid="{00000000-0005-0000-0000-0000E72F0000}"/>
    <cellStyle name="RowTitles1-Detail 4 2 5 3 5" xfId="12245" xr:uid="{00000000-0005-0000-0000-0000E82F0000}"/>
    <cellStyle name="RowTitles1-Detail 4 2 5 3_Tertiary Salaries Survey" xfId="12246" xr:uid="{00000000-0005-0000-0000-0000E92F0000}"/>
    <cellStyle name="RowTitles1-Detail 4 2 5 4" xfId="12247" xr:uid="{00000000-0005-0000-0000-0000EA2F0000}"/>
    <cellStyle name="RowTitles1-Detail 4 2 5 4 2" xfId="12248" xr:uid="{00000000-0005-0000-0000-0000EB2F0000}"/>
    <cellStyle name="RowTitles1-Detail 4 2 5 4 2 2" xfId="12249" xr:uid="{00000000-0005-0000-0000-0000EC2F0000}"/>
    <cellStyle name="RowTitles1-Detail 4 2 5 4 2 2 2" xfId="12250" xr:uid="{00000000-0005-0000-0000-0000ED2F0000}"/>
    <cellStyle name="RowTitles1-Detail 4 2 5 4 2 2_Tertiary Salaries Survey" xfId="12251" xr:uid="{00000000-0005-0000-0000-0000EE2F0000}"/>
    <cellStyle name="RowTitles1-Detail 4 2 5 4 2 3" xfId="12252" xr:uid="{00000000-0005-0000-0000-0000EF2F0000}"/>
    <cellStyle name="RowTitles1-Detail 4 2 5 4 2_Tertiary Salaries Survey" xfId="12253" xr:uid="{00000000-0005-0000-0000-0000F02F0000}"/>
    <cellStyle name="RowTitles1-Detail 4 2 5 4 3" xfId="12254" xr:uid="{00000000-0005-0000-0000-0000F12F0000}"/>
    <cellStyle name="RowTitles1-Detail 4 2 5 4 3 2" xfId="12255" xr:uid="{00000000-0005-0000-0000-0000F22F0000}"/>
    <cellStyle name="RowTitles1-Detail 4 2 5 4 3 2 2" xfId="12256" xr:uid="{00000000-0005-0000-0000-0000F32F0000}"/>
    <cellStyle name="RowTitles1-Detail 4 2 5 4 3 2_Tertiary Salaries Survey" xfId="12257" xr:uid="{00000000-0005-0000-0000-0000F42F0000}"/>
    <cellStyle name="RowTitles1-Detail 4 2 5 4 3 3" xfId="12258" xr:uid="{00000000-0005-0000-0000-0000F52F0000}"/>
    <cellStyle name="RowTitles1-Detail 4 2 5 4 3_Tertiary Salaries Survey" xfId="12259" xr:uid="{00000000-0005-0000-0000-0000F62F0000}"/>
    <cellStyle name="RowTitles1-Detail 4 2 5 4 4" xfId="12260" xr:uid="{00000000-0005-0000-0000-0000F72F0000}"/>
    <cellStyle name="RowTitles1-Detail 4 2 5 4 5" xfId="12261" xr:uid="{00000000-0005-0000-0000-0000F82F0000}"/>
    <cellStyle name="RowTitles1-Detail 4 2 5 4 5 2" xfId="12262" xr:uid="{00000000-0005-0000-0000-0000F92F0000}"/>
    <cellStyle name="RowTitles1-Detail 4 2 5 4 5_Tertiary Salaries Survey" xfId="12263" xr:uid="{00000000-0005-0000-0000-0000FA2F0000}"/>
    <cellStyle name="RowTitles1-Detail 4 2 5 4 6" xfId="12264" xr:uid="{00000000-0005-0000-0000-0000FB2F0000}"/>
    <cellStyle name="RowTitles1-Detail 4 2 5 4_Tertiary Salaries Survey" xfId="12265" xr:uid="{00000000-0005-0000-0000-0000FC2F0000}"/>
    <cellStyle name="RowTitles1-Detail 4 2 5 5" xfId="12266" xr:uid="{00000000-0005-0000-0000-0000FD2F0000}"/>
    <cellStyle name="RowTitles1-Detail 4 2 5 5 2" xfId="12267" xr:uid="{00000000-0005-0000-0000-0000FE2F0000}"/>
    <cellStyle name="RowTitles1-Detail 4 2 5 5 2 2" xfId="12268" xr:uid="{00000000-0005-0000-0000-0000FF2F0000}"/>
    <cellStyle name="RowTitles1-Detail 4 2 5 5 2 2 2" xfId="12269" xr:uid="{00000000-0005-0000-0000-000000300000}"/>
    <cellStyle name="RowTitles1-Detail 4 2 5 5 2 2_Tertiary Salaries Survey" xfId="12270" xr:uid="{00000000-0005-0000-0000-000001300000}"/>
    <cellStyle name="RowTitles1-Detail 4 2 5 5 2 3" xfId="12271" xr:uid="{00000000-0005-0000-0000-000002300000}"/>
    <cellStyle name="RowTitles1-Detail 4 2 5 5 2_Tertiary Salaries Survey" xfId="12272" xr:uid="{00000000-0005-0000-0000-000003300000}"/>
    <cellStyle name="RowTitles1-Detail 4 2 5 5 3" xfId="12273" xr:uid="{00000000-0005-0000-0000-000004300000}"/>
    <cellStyle name="RowTitles1-Detail 4 2 5 5 3 2" xfId="12274" xr:uid="{00000000-0005-0000-0000-000005300000}"/>
    <cellStyle name="RowTitles1-Detail 4 2 5 5 3 2 2" xfId="12275" xr:uid="{00000000-0005-0000-0000-000006300000}"/>
    <cellStyle name="RowTitles1-Detail 4 2 5 5 3 2_Tertiary Salaries Survey" xfId="12276" xr:uid="{00000000-0005-0000-0000-000007300000}"/>
    <cellStyle name="RowTitles1-Detail 4 2 5 5 3 3" xfId="12277" xr:uid="{00000000-0005-0000-0000-000008300000}"/>
    <cellStyle name="RowTitles1-Detail 4 2 5 5 3_Tertiary Salaries Survey" xfId="12278" xr:uid="{00000000-0005-0000-0000-000009300000}"/>
    <cellStyle name="RowTitles1-Detail 4 2 5 5 4" xfId="12279" xr:uid="{00000000-0005-0000-0000-00000A300000}"/>
    <cellStyle name="RowTitles1-Detail 4 2 5 5 4 2" xfId="12280" xr:uid="{00000000-0005-0000-0000-00000B300000}"/>
    <cellStyle name="RowTitles1-Detail 4 2 5 5 4_Tertiary Salaries Survey" xfId="12281" xr:uid="{00000000-0005-0000-0000-00000C300000}"/>
    <cellStyle name="RowTitles1-Detail 4 2 5 5 5" xfId="12282" xr:uid="{00000000-0005-0000-0000-00000D300000}"/>
    <cellStyle name="RowTitles1-Detail 4 2 5 5_Tertiary Salaries Survey" xfId="12283" xr:uid="{00000000-0005-0000-0000-00000E300000}"/>
    <cellStyle name="RowTitles1-Detail 4 2 5 6" xfId="12284" xr:uid="{00000000-0005-0000-0000-00000F300000}"/>
    <cellStyle name="RowTitles1-Detail 4 2 5 6 2" xfId="12285" xr:uid="{00000000-0005-0000-0000-000010300000}"/>
    <cellStyle name="RowTitles1-Detail 4 2 5 6 2 2" xfId="12286" xr:uid="{00000000-0005-0000-0000-000011300000}"/>
    <cellStyle name="RowTitles1-Detail 4 2 5 6 2 2 2" xfId="12287" xr:uid="{00000000-0005-0000-0000-000012300000}"/>
    <cellStyle name="RowTitles1-Detail 4 2 5 6 2 2_Tertiary Salaries Survey" xfId="12288" xr:uid="{00000000-0005-0000-0000-000013300000}"/>
    <cellStyle name="RowTitles1-Detail 4 2 5 6 2 3" xfId="12289" xr:uid="{00000000-0005-0000-0000-000014300000}"/>
    <cellStyle name="RowTitles1-Detail 4 2 5 6 2_Tertiary Salaries Survey" xfId="12290" xr:uid="{00000000-0005-0000-0000-000015300000}"/>
    <cellStyle name="RowTitles1-Detail 4 2 5 6 3" xfId="12291" xr:uid="{00000000-0005-0000-0000-000016300000}"/>
    <cellStyle name="RowTitles1-Detail 4 2 5 6 3 2" xfId="12292" xr:uid="{00000000-0005-0000-0000-000017300000}"/>
    <cellStyle name="RowTitles1-Detail 4 2 5 6 3 2 2" xfId="12293" xr:uid="{00000000-0005-0000-0000-000018300000}"/>
    <cellStyle name="RowTitles1-Detail 4 2 5 6 3 2_Tertiary Salaries Survey" xfId="12294" xr:uid="{00000000-0005-0000-0000-000019300000}"/>
    <cellStyle name="RowTitles1-Detail 4 2 5 6 3 3" xfId="12295" xr:uid="{00000000-0005-0000-0000-00001A300000}"/>
    <cellStyle name="RowTitles1-Detail 4 2 5 6 3_Tertiary Salaries Survey" xfId="12296" xr:uid="{00000000-0005-0000-0000-00001B300000}"/>
    <cellStyle name="RowTitles1-Detail 4 2 5 6 4" xfId="12297" xr:uid="{00000000-0005-0000-0000-00001C300000}"/>
    <cellStyle name="RowTitles1-Detail 4 2 5 6 4 2" xfId="12298" xr:uid="{00000000-0005-0000-0000-00001D300000}"/>
    <cellStyle name="RowTitles1-Detail 4 2 5 6 4_Tertiary Salaries Survey" xfId="12299" xr:uid="{00000000-0005-0000-0000-00001E300000}"/>
    <cellStyle name="RowTitles1-Detail 4 2 5 6 5" xfId="12300" xr:uid="{00000000-0005-0000-0000-00001F300000}"/>
    <cellStyle name="RowTitles1-Detail 4 2 5 6_Tertiary Salaries Survey" xfId="12301" xr:uid="{00000000-0005-0000-0000-000020300000}"/>
    <cellStyle name="RowTitles1-Detail 4 2 5 7" xfId="12302" xr:uid="{00000000-0005-0000-0000-000021300000}"/>
    <cellStyle name="RowTitles1-Detail 4 2 5 7 2" xfId="12303" xr:uid="{00000000-0005-0000-0000-000022300000}"/>
    <cellStyle name="RowTitles1-Detail 4 2 5 7 2 2" xfId="12304" xr:uid="{00000000-0005-0000-0000-000023300000}"/>
    <cellStyle name="RowTitles1-Detail 4 2 5 7 2_Tertiary Salaries Survey" xfId="12305" xr:uid="{00000000-0005-0000-0000-000024300000}"/>
    <cellStyle name="RowTitles1-Detail 4 2 5 7 3" xfId="12306" xr:uid="{00000000-0005-0000-0000-000025300000}"/>
    <cellStyle name="RowTitles1-Detail 4 2 5 7_Tertiary Salaries Survey" xfId="12307" xr:uid="{00000000-0005-0000-0000-000026300000}"/>
    <cellStyle name="RowTitles1-Detail 4 2 5 8" xfId="12308" xr:uid="{00000000-0005-0000-0000-000027300000}"/>
    <cellStyle name="RowTitles1-Detail 4 2 5 9" xfId="12309" xr:uid="{00000000-0005-0000-0000-000028300000}"/>
    <cellStyle name="RowTitles1-Detail 4 2 5_STUD aligned by INSTIT" xfId="12310" xr:uid="{00000000-0005-0000-0000-000029300000}"/>
    <cellStyle name="RowTitles1-Detail 4 2 6" xfId="12311" xr:uid="{00000000-0005-0000-0000-00002A300000}"/>
    <cellStyle name="RowTitles1-Detail 4 2 6 2" xfId="12312" xr:uid="{00000000-0005-0000-0000-00002B300000}"/>
    <cellStyle name="RowTitles1-Detail 4 2 6 2 2" xfId="12313" xr:uid="{00000000-0005-0000-0000-00002C300000}"/>
    <cellStyle name="RowTitles1-Detail 4 2 6 2 2 2" xfId="12314" xr:uid="{00000000-0005-0000-0000-00002D300000}"/>
    <cellStyle name="RowTitles1-Detail 4 2 6 2 2_Tertiary Salaries Survey" xfId="12315" xr:uid="{00000000-0005-0000-0000-00002E300000}"/>
    <cellStyle name="RowTitles1-Detail 4 2 6 2 3" xfId="12316" xr:uid="{00000000-0005-0000-0000-00002F300000}"/>
    <cellStyle name="RowTitles1-Detail 4 2 6 2_Tertiary Salaries Survey" xfId="12317" xr:uid="{00000000-0005-0000-0000-000030300000}"/>
    <cellStyle name="RowTitles1-Detail 4 2 6 3" xfId="12318" xr:uid="{00000000-0005-0000-0000-000031300000}"/>
    <cellStyle name="RowTitles1-Detail 4 2 6 3 2" xfId="12319" xr:uid="{00000000-0005-0000-0000-000032300000}"/>
    <cellStyle name="RowTitles1-Detail 4 2 6 3 2 2" xfId="12320" xr:uid="{00000000-0005-0000-0000-000033300000}"/>
    <cellStyle name="RowTitles1-Detail 4 2 6 3 2_Tertiary Salaries Survey" xfId="12321" xr:uid="{00000000-0005-0000-0000-000034300000}"/>
    <cellStyle name="RowTitles1-Detail 4 2 6 3 3" xfId="12322" xr:uid="{00000000-0005-0000-0000-000035300000}"/>
    <cellStyle name="RowTitles1-Detail 4 2 6 3_Tertiary Salaries Survey" xfId="12323" xr:uid="{00000000-0005-0000-0000-000036300000}"/>
    <cellStyle name="RowTitles1-Detail 4 2 6 4" xfId="12324" xr:uid="{00000000-0005-0000-0000-000037300000}"/>
    <cellStyle name="RowTitles1-Detail 4 2 6 5" xfId="12325" xr:uid="{00000000-0005-0000-0000-000038300000}"/>
    <cellStyle name="RowTitles1-Detail 4 2 6 5 2" xfId="12326" xr:uid="{00000000-0005-0000-0000-000039300000}"/>
    <cellStyle name="RowTitles1-Detail 4 2 6 5_Tertiary Salaries Survey" xfId="12327" xr:uid="{00000000-0005-0000-0000-00003A300000}"/>
    <cellStyle name="RowTitles1-Detail 4 2 6 6" xfId="12328" xr:uid="{00000000-0005-0000-0000-00003B300000}"/>
    <cellStyle name="RowTitles1-Detail 4 2 6_Tertiary Salaries Survey" xfId="12329" xr:uid="{00000000-0005-0000-0000-00003C300000}"/>
    <cellStyle name="RowTitles1-Detail 4 2 7" xfId="12330" xr:uid="{00000000-0005-0000-0000-00003D300000}"/>
    <cellStyle name="RowTitles1-Detail 4 2 7 2" xfId="12331" xr:uid="{00000000-0005-0000-0000-00003E300000}"/>
    <cellStyle name="RowTitles1-Detail 4 2 7 2 2" xfId="12332" xr:uid="{00000000-0005-0000-0000-00003F300000}"/>
    <cellStyle name="RowTitles1-Detail 4 2 7 2 2 2" xfId="12333" xr:uid="{00000000-0005-0000-0000-000040300000}"/>
    <cellStyle name="RowTitles1-Detail 4 2 7 2 2_Tertiary Salaries Survey" xfId="12334" xr:uid="{00000000-0005-0000-0000-000041300000}"/>
    <cellStyle name="RowTitles1-Detail 4 2 7 2 3" xfId="12335" xr:uid="{00000000-0005-0000-0000-000042300000}"/>
    <cellStyle name="RowTitles1-Detail 4 2 7 2_Tertiary Salaries Survey" xfId="12336" xr:uid="{00000000-0005-0000-0000-000043300000}"/>
    <cellStyle name="RowTitles1-Detail 4 2 7 3" xfId="12337" xr:uid="{00000000-0005-0000-0000-000044300000}"/>
    <cellStyle name="RowTitles1-Detail 4 2 7 3 2" xfId="12338" xr:uid="{00000000-0005-0000-0000-000045300000}"/>
    <cellStyle name="RowTitles1-Detail 4 2 7 3 2 2" xfId="12339" xr:uid="{00000000-0005-0000-0000-000046300000}"/>
    <cellStyle name="RowTitles1-Detail 4 2 7 3 2_Tertiary Salaries Survey" xfId="12340" xr:uid="{00000000-0005-0000-0000-000047300000}"/>
    <cellStyle name="RowTitles1-Detail 4 2 7 3 3" xfId="12341" xr:uid="{00000000-0005-0000-0000-000048300000}"/>
    <cellStyle name="RowTitles1-Detail 4 2 7 3_Tertiary Salaries Survey" xfId="12342" xr:uid="{00000000-0005-0000-0000-000049300000}"/>
    <cellStyle name="RowTitles1-Detail 4 2 7 4" xfId="12343" xr:uid="{00000000-0005-0000-0000-00004A300000}"/>
    <cellStyle name="RowTitles1-Detail 4 2 7 5" xfId="12344" xr:uid="{00000000-0005-0000-0000-00004B300000}"/>
    <cellStyle name="RowTitles1-Detail 4 2 7_Tertiary Salaries Survey" xfId="12345" xr:uid="{00000000-0005-0000-0000-00004C300000}"/>
    <cellStyle name="RowTitles1-Detail 4 2 8" xfId="12346" xr:uid="{00000000-0005-0000-0000-00004D300000}"/>
    <cellStyle name="RowTitles1-Detail 4 2 8 2" xfId="12347" xr:uid="{00000000-0005-0000-0000-00004E300000}"/>
    <cellStyle name="RowTitles1-Detail 4 2 8 2 2" xfId="12348" xr:uid="{00000000-0005-0000-0000-00004F300000}"/>
    <cellStyle name="RowTitles1-Detail 4 2 8 2 2 2" xfId="12349" xr:uid="{00000000-0005-0000-0000-000050300000}"/>
    <cellStyle name="RowTitles1-Detail 4 2 8 2 2_Tertiary Salaries Survey" xfId="12350" xr:uid="{00000000-0005-0000-0000-000051300000}"/>
    <cellStyle name="RowTitles1-Detail 4 2 8 2 3" xfId="12351" xr:uid="{00000000-0005-0000-0000-000052300000}"/>
    <cellStyle name="RowTitles1-Detail 4 2 8 2_Tertiary Salaries Survey" xfId="12352" xr:uid="{00000000-0005-0000-0000-000053300000}"/>
    <cellStyle name="RowTitles1-Detail 4 2 8 3" xfId="12353" xr:uid="{00000000-0005-0000-0000-000054300000}"/>
    <cellStyle name="RowTitles1-Detail 4 2 8 3 2" xfId="12354" xr:uid="{00000000-0005-0000-0000-000055300000}"/>
    <cellStyle name="RowTitles1-Detail 4 2 8 3 2 2" xfId="12355" xr:uid="{00000000-0005-0000-0000-000056300000}"/>
    <cellStyle name="RowTitles1-Detail 4 2 8 3 2_Tertiary Salaries Survey" xfId="12356" xr:uid="{00000000-0005-0000-0000-000057300000}"/>
    <cellStyle name="RowTitles1-Detail 4 2 8 3 3" xfId="12357" xr:uid="{00000000-0005-0000-0000-000058300000}"/>
    <cellStyle name="RowTitles1-Detail 4 2 8 3_Tertiary Salaries Survey" xfId="12358" xr:uid="{00000000-0005-0000-0000-000059300000}"/>
    <cellStyle name="RowTitles1-Detail 4 2 8 4" xfId="12359" xr:uid="{00000000-0005-0000-0000-00005A300000}"/>
    <cellStyle name="RowTitles1-Detail 4 2 8 5" xfId="12360" xr:uid="{00000000-0005-0000-0000-00005B300000}"/>
    <cellStyle name="RowTitles1-Detail 4 2 8 5 2" xfId="12361" xr:uid="{00000000-0005-0000-0000-00005C300000}"/>
    <cellStyle name="RowTitles1-Detail 4 2 8 5_Tertiary Salaries Survey" xfId="12362" xr:uid="{00000000-0005-0000-0000-00005D300000}"/>
    <cellStyle name="RowTitles1-Detail 4 2 8 6" xfId="12363" xr:uid="{00000000-0005-0000-0000-00005E300000}"/>
    <cellStyle name="RowTitles1-Detail 4 2 8_Tertiary Salaries Survey" xfId="12364" xr:uid="{00000000-0005-0000-0000-00005F300000}"/>
    <cellStyle name="RowTitles1-Detail 4 2 9" xfId="12365" xr:uid="{00000000-0005-0000-0000-000060300000}"/>
    <cellStyle name="RowTitles1-Detail 4 2 9 2" xfId="12366" xr:uid="{00000000-0005-0000-0000-000061300000}"/>
    <cellStyle name="RowTitles1-Detail 4 2 9 2 2" xfId="12367" xr:uid="{00000000-0005-0000-0000-000062300000}"/>
    <cellStyle name="RowTitles1-Detail 4 2 9 2 2 2" xfId="12368" xr:uid="{00000000-0005-0000-0000-000063300000}"/>
    <cellStyle name="RowTitles1-Detail 4 2 9 2 2_Tertiary Salaries Survey" xfId="12369" xr:uid="{00000000-0005-0000-0000-000064300000}"/>
    <cellStyle name="RowTitles1-Detail 4 2 9 2 3" xfId="12370" xr:uid="{00000000-0005-0000-0000-000065300000}"/>
    <cellStyle name="RowTitles1-Detail 4 2 9 2_Tertiary Salaries Survey" xfId="12371" xr:uid="{00000000-0005-0000-0000-000066300000}"/>
    <cellStyle name="RowTitles1-Detail 4 2 9 3" xfId="12372" xr:uid="{00000000-0005-0000-0000-000067300000}"/>
    <cellStyle name="RowTitles1-Detail 4 2 9 3 2" xfId="12373" xr:uid="{00000000-0005-0000-0000-000068300000}"/>
    <cellStyle name="RowTitles1-Detail 4 2 9 3 2 2" xfId="12374" xr:uid="{00000000-0005-0000-0000-000069300000}"/>
    <cellStyle name="RowTitles1-Detail 4 2 9 3 2_Tertiary Salaries Survey" xfId="12375" xr:uid="{00000000-0005-0000-0000-00006A300000}"/>
    <cellStyle name="RowTitles1-Detail 4 2 9 3 3" xfId="12376" xr:uid="{00000000-0005-0000-0000-00006B300000}"/>
    <cellStyle name="RowTitles1-Detail 4 2 9 3_Tertiary Salaries Survey" xfId="12377" xr:uid="{00000000-0005-0000-0000-00006C300000}"/>
    <cellStyle name="RowTitles1-Detail 4 2 9 4" xfId="12378" xr:uid="{00000000-0005-0000-0000-00006D300000}"/>
    <cellStyle name="RowTitles1-Detail 4 2 9 4 2" xfId="12379" xr:uid="{00000000-0005-0000-0000-00006E300000}"/>
    <cellStyle name="RowTitles1-Detail 4 2 9 4_Tertiary Salaries Survey" xfId="12380" xr:uid="{00000000-0005-0000-0000-00006F300000}"/>
    <cellStyle name="RowTitles1-Detail 4 2 9 5" xfId="12381" xr:uid="{00000000-0005-0000-0000-000070300000}"/>
    <cellStyle name="RowTitles1-Detail 4 2 9_Tertiary Salaries Survey" xfId="12382" xr:uid="{00000000-0005-0000-0000-000071300000}"/>
    <cellStyle name="RowTitles1-Detail 4 2_STUD aligned by INSTIT" xfId="12383" xr:uid="{00000000-0005-0000-0000-000072300000}"/>
    <cellStyle name="RowTitles1-Detail 4 3" xfId="12384" xr:uid="{00000000-0005-0000-0000-000073300000}"/>
    <cellStyle name="RowTitles1-Detail 4 3 10" xfId="12385" xr:uid="{00000000-0005-0000-0000-000074300000}"/>
    <cellStyle name="RowTitles1-Detail 4 3 10 2" xfId="12386" xr:uid="{00000000-0005-0000-0000-000075300000}"/>
    <cellStyle name="RowTitles1-Detail 4 3 10 2 2" xfId="12387" xr:uid="{00000000-0005-0000-0000-000076300000}"/>
    <cellStyle name="RowTitles1-Detail 4 3 10 2_Tertiary Salaries Survey" xfId="12388" xr:uid="{00000000-0005-0000-0000-000077300000}"/>
    <cellStyle name="RowTitles1-Detail 4 3 10 3" xfId="12389" xr:uid="{00000000-0005-0000-0000-000078300000}"/>
    <cellStyle name="RowTitles1-Detail 4 3 10_Tertiary Salaries Survey" xfId="12390" xr:uid="{00000000-0005-0000-0000-000079300000}"/>
    <cellStyle name="RowTitles1-Detail 4 3 11" xfId="12391" xr:uid="{00000000-0005-0000-0000-00007A300000}"/>
    <cellStyle name="RowTitles1-Detail 4 3 12" xfId="12392" xr:uid="{00000000-0005-0000-0000-00007B300000}"/>
    <cellStyle name="RowTitles1-Detail 4 3 2" xfId="12393" xr:uid="{00000000-0005-0000-0000-00007C300000}"/>
    <cellStyle name="RowTitles1-Detail 4 3 2 2" xfId="12394" xr:uid="{00000000-0005-0000-0000-00007D300000}"/>
    <cellStyle name="RowTitles1-Detail 4 3 2 2 2" xfId="12395" xr:uid="{00000000-0005-0000-0000-00007E300000}"/>
    <cellStyle name="RowTitles1-Detail 4 3 2 2 2 2" xfId="12396" xr:uid="{00000000-0005-0000-0000-00007F300000}"/>
    <cellStyle name="RowTitles1-Detail 4 3 2 2 2 2 2" xfId="12397" xr:uid="{00000000-0005-0000-0000-000080300000}"/>
    <cellStyle name="RowTitles1-Detail 4 3 2 2 2 2_Tertiary Salaries Survey" xfId="12398" xr:uid="{00000000-0005-0000-0000-000081300000}"/>
    <cellStyle name="RowTitles1-Detail 4 3 2 2 2 3" xfId="12399" xr:uid="{00000000-0005-0000-0000-000082300000}"/>
    <cellStyle name="RowTitles1-Detail 4 3 2 2 2_Tertiary Salaries Survey" xfId="12400" xr:uid="{00000000-0005-0000-0000-000083300000}"/>
    <cellStyle name="RowTitles1-Detail 4 3 2 2 3" xfId="12401" xr:uid="{00000000-0005-0000-0000-000084300000}"/>
    <cellStyle name="RowTitles1-Detail 4 3 2 2 3 2" xfId="12402" xr:uid="{00000000-0005-0000-0000-000085300000}"/>
    <cellStyle name="RowTitles1-Detail 4 3 2 2 3 2 2" xfId="12403" xr:uid="{00000000-0005-0000-0000-000086300000}"/>
    <cellStyle name="RowTitles1-Detail 4 3 2 2 3 2_Tertiary Salaries Survey" xfId="12404" xr:uid="{00000000-0005-0000-0000-000087300000}"/>
    <cellStyle name="RowTitles1-Detail 4 3 2 2 3 3" xfId="12405" xr:uid="{00000000-0005-0000-0000-000088300000}"/>
    <cellStyle name="RowTitles1-Detail 4 3 2 2 3_Tertiary Salaries Survey" xfId="12406" xr:uid="{00000000-0005-0000-0000-000089300000}"/>
    <cellStyle name="RowTitles1-Detail 4 3 2 2 4" xfId="12407" xr:uid="{00000000-0005-0000-0000-00008A300000}"/>
    <cellStyle name="RowTitles1-Detail 4 3 2 2 5" xfId="12408" xr:uid="{00000000-0005-0000-0000-00008B300000}"/>
    <cellStyle name="RowTitles1-Detail 4 3 2 2_Tertiary Salaries Survey" xfId="12409" xr:uid="{00000000-0005-0000-0000-00008C300000}"/>
    <cellStyle name="RowTitles1-Detail 4 3 2 3" xfId="12410" xr:uid="{00000000-0005-0000-0000-00008D300000}"/>
    <cellStyle name="RowTitles1-Detail 4 3 2 3 2" xfId="12411" xr:uid="{00000000-0005-0000-0000-00008E300000}"/>
    <cellStyle name="RowTitles1-Detail 4 3 2 3 2 2" xfId="12412" xr:uid="{00000000-0005-0000-0000-00008F300000}"/>
    <cellStyle name="RowTitles1-Detail 4 3 2 3 2 2 2" xfId="12413" xr:uid="{00000000-0005-0000-0000-000090300000}"/>
    <cellStyle name="RowTitles1-Detail 4 3 2 3 2 2_Tertiary Salaries Survey" xfId="12414" xr:uid="{00000000-0005-0000-0000-000091300000}"/>
    <cellStyle name="RowTitles1-Detail 4 3 2 3 2 3" xfId="12415" xr:uid="{00000000-0005-0000-0000-000092300000}"/>
    <cellStyle name="RowTitles1-Detail 4 3 2 3 2_Tertiary Salaries Survey" xfId="12416" xr:uid="{00000000-0005-0000-0000-000093300000}"/>
    <cellStyle name="RowTitles1-Detail 4 3 2 3 3" xfId="12417" xr:uid="{00000000-0005-0000-0000-000094300000}"/>
    <cellStyle name="RowTitles1-Detail 4 3 2 3 3 2" xfId="12418" xr:uid="{00000000-0005-0000-0000-000095300000}"/>
    <cellStyle name="RowTitles1-Detail 4 3 2 3 3 2 2" xfId="12419" xr:uid="{00000000-0005-0000-0000-000096300000}"/>
    <cellStyle name="RowTitles1-Detail 4 3 2 3 3 2_Tertiary Salaries Survey" xfId="12420" xr:uid="{00000000-0005-0000-0000-000097300000}"/>
    <cellStyle name="RowTitles1-Detail 4 3 2 3 3 3" xfId="12421" xr:uid="{00000000-0005-0000-0000-000098300000}"/>
    <cellStyle name="RowTitles1-Detail 4 3 2 3 3_Tertiary Salaries Survey" xfId="12422" xr:uid="{00000000-0005-0000-0000-000099300000}"/>
    <cellStyle name="RowTitles1-Detail 4 3 2 3 4" xfId="12423" xr:uid="{00000000-0005-0000-0000-00009A300000}"/>
    <cellStyle name="RowTitles1-Detail 4 3 2 3 5" xfId="12424" xr:uid="{00000000-0005-0000-0000-00009B300000}"/>
    <cellStyle name="RowTitles1-Detail 4 3 2 3 5 2" xfId="12425" xr:uid="{00000000-0005-0000-0000-00009C300000}"/>
    <cellStyle name="RowTitles1-Detail 4 3 2 3 5_Tertiary Salaries Survey" xfId="12426" xr:uid="{00000000-0005-0000-0000-00009D300000}"/>
    <cellStyle name="RowTitles1-Detail 4 3 2 3 6" xfId="12427" xr:uid="{00000000-0005-0000-0000-00009E300000}"/>
    <cellStyle name="RowTitles1-Detail 4 3 2 3_Tertiary Salaries Survey" xfId="12428" xr:uid="{00000000-0005-0000-0000-00009F300000}"/>
    <cellStyle name="RowTitles1-Detail 4 3 2 4" xfId="12429" xr:uid="{00000000-0005-0000-0000-0000A0300000}"/>
    <cellStyle name="RowTitles1-Detail 4 3 2 4 2" xfId="12430" xr:uid="{00000000-0005-0000-0000-0000A1300000}"/>
    <cellStyle name="RowTitles1-Detail 4 3 2 4 2 2" xfId="12431" xr:uid="{00000000-0005-0000-0000-0000A2300000}"/>
    <cellStyle name="RowTitles1-Detail 4 3 2 4 2 2 2" xfId="12432" xr:uid="{00000000-0005-0000-0000-0000A3300000}"/>
    <cellStyle name="RowTitles1-Detail 4 3 2 4 2 2_Tertiary Salaries Survey" xfId="12433" xr:uid="{00000000-0005-0000-0000-0000A4300000}"/>
    <cellStyle name="RowTitles1-Detail 4 3 2 4 2 3" xfId="12434" xr:uid="{00000000-0005-0000-0000-0000A5300000}"/>
    <cellStyle name="RowTitles1-Detail 4 3 2 4 2_Tertiary Salaries Survey" xfId="12435" xr:uid="{00000000-0005-0000-0000-0000A6300000}"/>
    <cellStyle name="RowTitles1-Detail 4 3 2 4 3" xfId="12436" xr:uid="{00000000-0005-0000-0000-0000A7300000}"/>
    <cellStyle name="RowTitles1-Detail 4 3 2 4 3 2" xfId="12437" xr:uid="{00000000-0005-0000-0000-0000A8300000}"/>
    <cellStyle name="RowTitles1-Detail 4 3 2 4 3 2 2" xfId="12438" xr:uid="{00000000-0005-0000-0000-0000A9300000}"/>
    <cellStyle name="RowTitles1-Detail 4 3 2 4 3 2_Tertiary Salaries Survey" xfId="12439" xr:uid="{00000000-0005-0000-0000-0000AA300000}"/>
    <cellStyle name="RowTitles1-Detail 4 3 2 4 3 3" xfId="12440" xr:uid="{00000000-0005-0000-0000-0000AB300000}"/>
    <cellStyle name="RowTitles1-Detail 4 3 2 4 3_Tertiary Salaries Survey" xfId="12441" xr:uid="{00000000-0005-0000-0000-0000AC300000}"/>
    <cellStyle name="RowTitles1-Detail 4 3 2 4 4" xfId="12442" xr:uid="{00000000-0005-0000-0000-0000AD300000}"/>
    <cellStyle name="RowTitles1-Detail 4 3 2 4 4 2" xfId="12443" xr:uid="{00000000-0005-0000-0000-0000AE300000}"/>
    <cellStyle name="RowTitles1-Detail 4 3 2 4 4_Tertiary Salaries Survey" xfId="12444" xr:uid="{00000000-0005-0000-0000-0000AF300000}"/>
    <cellStyle name="RowTitles1-Detail 4 3 2 4 5" xfId="12445" xr:uid="{00000000-0005-0000-0000-0000B0300000}"/>
    <cellStyle name="RowTitles1-Detail 4 3 2 4_Tertiary Salaries Survey" xfId="12446" xr:uid="{00000000-0005-0000-0000-0000B1300000}"/>
    <cellStyle name="RowTitles1-Detail 4 3 2 5" xfId="12447" xr:uid="{00000000-0005-0000-0000-0000B2300000}"/>
    <cellStyle name="RowTitles1-Detail 4 3 2 5 2" xfId="12448" xr:uid="{00000000-0005-0000-0000-0000B3300000}"/>
    <cellStyle name="RowTitles1-Detail 4 3 2 5 2 2" xfId="12449" xr:uid="{00000000-0005-0000-0000-0000B4300000}"/>
    <cellStyle name="RowTitles1-Detail 4 3 2 5 2 2 2" xfId="12450" xr:uid="{00000000-0005-0000-0000-0000B5300000}"/>
    <cellStyle name="RowTitles1-Detail 4 3 2 5 2 2_Tertiary Salaries Survey" xfId="12451" xr:uid="{00000000-0005-0000-0000-0000B6300000}"/>
    <cellStyle name="RowTitles1-Detail 4 3 2 5 2 3" xfId="12452" xr:uid="{00000000-0005-0000-0000-0000B7300000}"/>
    <cellStyle name="RowTitles1-Detail 4 3 2 5 2_Tertiary Salaries Survey" xfId="12453" xr:uid="{00000000-0005-0000-0000-0000B8300000}"/>
    <cellStyle name="RowTitles1-Detail 4 3 2 5 3" xfId="12454" xr:uid="{00000000-0005-0000-0000-0000B9300000}"/>
    <cellStyle name="RowTitles1-Detail 4 3 2 5 3 2" xfId="12455" xr:uid="{00000000-0005-0000-0000-0000BA300000}"/>
    <cellStyle name="RowTitles1-Detail 4 3 2 5 3 2 2" xfId="12456" xr:uid="{00000000-0005-0000-0000-0000BB300000}"/>
    <cellStyle name="RowTitles1-Detail 4 3 2 5 3 2_Tertiary Salaries Survey" xfId="12457" xr:uid="{00000000-0005-0000-0000-0000BC300000}"/>
    <cellStyle name="RowTitles1-Detail 4 3 2 5 3 3" xfId="12458" xr:uid="{00000000-0005-0000-0000-0000BD300000}"/>
    <cellStyle name="RowTitles1-Detail 4 3 2 5 3_Tertiary Salaries Survey" xfId="12459" xr:uid="{00000000-0005-0000-0000-0000BE300000}"/>
    <cellStyle name="RowTitles1-Detail 4 3 2 5 4" xfId="12460" xr:uid="{00000000-0005-0000-0000-0000BF300000}"/>
    <cellStyle name="RowTitles1-Detail 4 3 2 5 4 2" xfId="12461" xr:uid="{00000000-0005-0000-0000-0000C0300000}"/>
    <cellStyle name="RowTitles1-Detail 4 3 2 5 4_Tertiary Salaries Survey" xfId="12462" xr:uid="{00000000-0005-0000-0000-0000C1300000}"/>
    <cellStyle name="RowTitles1-Detail 4 3 2 5 5" xfId="12463" xr:uid="{00000000-0005-0000-0000-0000C2300000}"/>
    <cellStyle name="RowTitles1-Detail 4 3 2 5_Tertiary Salaries Survey" xfId="12464" xr:uid="{00000000-0005-0000-0000-0000C3300000}"/>
    <cellStyle name="RowTitles1-Detail 4 3 2 6" xfId="12465" xr:uid="{00000000-0005-0000-0000-0000C4300000}"/>
    <cellStyle name="RowTitles1-Detail 4 3 2 6 2" xfId="12466" xr:uid="{00000000-0005-0000-0000-0000C5300000}"/>
    <cellStyle name="RowTitles1-Detail 4 3 2 6 2 2" xfId="12467" xr:uid="{00000000-0005-0000-0000-0000C6300000}"/>
    <cellStyle name="RowTitles1-Detail 4 3 2 6 2 2 2" xfId="12468" xr:uid="{00000000-0005-0000-0000-0000C7300000}"/>
    <cellStyle name="RowTitles1-Detail 4 3 2 6 2 2_Tertiary Salaries Survey" xfId="12469" xr:uid="{00000000-0005-0000-0000-0000C8300000}"/>
    <cellStyle name="RowTitles1-Detail 4 3 2 6 2 3" xfId="12470" xr:uid="{00000000-0005-0000-0000-0000C9300000}"/>
    <cellStyle name="RowTitles1-Detail 4 3 2 6 2_Tertiary Salaries Survey" xfId="12471" xr:uid="{00000000-0005-0000-0000-0000CA300000}"/>
    <cellStyle name="RowTitles1-Detail 4 3 2 6 3" xfId="12472" xr:uid="{00000000-0005-0000-0000-0000CB300000}"/>
    <cellStyle name="RowTitles1-Detail 4 3 2 6 3 2" xfId="12473" xr:uid="{00000000-0005-0000-0000-0000CC300000}"/>
    <cellStyle name="RowTitles1-Detail 4 3 2 6 3 2 2" xfId="12474" xr:uid="{00000000-0005-0000-0000-0000CD300000}"/>
    <cellStyle name="RowTitles1-Detail 4 3 2 6 3 2_Tertiary Salaries Survey" xfId="12475" xr:uid="{00000000-0005-0000-0000-0000CE300000}"/>
    <cellStyle name="RowTitles1-Detail 4 3 2 6 3 3" xfId="12476" xr:uid="{00000000-0005-0000-0000-0000CF300000}"/>
    <cellStyle name="RowTitles1-Detail 4 3 2 6 3_Tertiary Salaries Survey" xfId="12477" xr:uid="{00000000-0005-0000-0000-0000D0300000}"/>
    <cellStyle name="RowTitles1-Detail 4 3 2 6 4" xfId="12478" xr:uid="{00000000-0005-0000-0000-0000D1300000}"/>
    <cellStyle name="RowTitles1-Detail 4 3 2 6 4 2" xfId="12479" xr:uid="{00000000-0005-0000-0000-0000D2300000}"/>
    <cellStyle name="RowTitles1-Detail 4 3 2 6 4_Tertiary Salaries Survey" xfId="12480" xr:uid="{00000000-0005-0000-0000-0000D3300000}"/>
    <cellStyle name="RowTitles1-Detail 4 3 2 6 5" xfId="12481" xr:uid="{00000000-0005-0000-0000-0000D4300000}"/>
    <cellStyle name="RowTitles1-Detail 4 3 2 6_Tertiary Salaries Survey" xfId="12482" xr:uid="{00000000-0005-0000-0000-0000D5300000}"/>
    <cellStyle name="RowTitles1-Detail 4 3 2 7" xfId="12483" xr:uid="{00000000-0005-0000-0000-0000D6300000}"/>
    <cellStyle name="RowTitles1-Detail 4 3 2 7 2" xfId="12484" xr:uid="{00000000-0005-0000-0000-0000D7300000}"/>
    <cellStyle name="RowTitles1-Detail 4 3 2 7 2 2" xfId="12485" xr:uid="{00000000-0005-0000-0000-0000D8300000}"/>
    <cellStyle name="RowTitles1-Detail 4 3 2 7 2_Tertiary Salaries Survey" xfId="12486" xr:uid="{00000000-0005-0000-0000-0000D9300000}"/>
    <cellStyle name="RowTitles1-Detail 4 3 2 7 3" xfId="12487" xr:uid="{00000000-0005-0000-0000-0000DA300000}"/>
    <cellStyle name="RowTitles1-Detail 4 3 2 7_Tertiary Salaries Survey" xfId="12488" xr:uid="{00000000-0005-0000-0000-0000DB300000}"/>
    <cellStyle name="RowTitles1-Detail 4 3 2 8" xfId="12489" xr:uid="{00000000-0005-0000-0000-0000DC300000}"/>
    <cellStyle name="RowTitles1-Detail 4 3 2 9" xfId="12490" xr:uid="{00000000-0005-0000-0000-0000DD300000}"/>
    <cellStyle name="RowTitles1-Detail 4 3 2_STUD aligned by INSTIT" xfId="12491" xr:uid="{00000000-0005-0000-0000-0000DE300000}"/>
    <cellStyle name="RowTitles1-Detail 4 3 3" xfId="12492" xr:uid="{00000000-0005-0000-0000-0000DF300000}"/>
    <cellStyle name="RowTitles1-Detail 4 3 3 2" xfId="12493" xr:uid="{00000000-0005-0000-0000-0000E0300000}"/>
    <cellStyle name="RowTitles1-Detail 4 3 3 2 2" xfId="12494" xr:uid="{00000000-0005-0000-0000-0000E1300000}"/>
    <cellStyle name="RowTitles1-Detail 4 3 3 2 2 2" xfId="12495" xr:uid="{00000000-0005-0000-0000-0000E2300000}"/>
    <cellStyle name="RowTitles1-Detail 4 3 3 2 2 2 2" xfId="12496" xr:uid="{00000000-0005-0000-0000-0000E3300000}"/>
    <cellStyle name="RowTitles1-Detail 4 3 3 2 2 2_Tertiary Salaries Survey" xfId="12497" xr:uid="{00000000-0005-0000-0000-0000E4300000}"/>
    <cellStyle name="RowTitles1-Detail 4 3 3 2 2 3" xfId="12498" xr:uid="{00000000-0005-0000-0000-0000E5300000}"/>
    <cellStyle name="RowTitles1-Detail 4 3 3 2 2_Tertiary Salaries Survey" xfId="12499" xr:uid="{00000000-0005-0000-0000-0000E6300000}"/>
    <cellStyle name="RowTitles1-Detail 4 3 3 2 3" xfId="12500" xr:uid="{00000000-0005-0000-0000-0000E7300000}"/>
    <cellStyle name="RowTitles1-Detail 4 3 3 2 3 2" xfId="12501" xr:uid="{00000000-0005-0000-0000-0000E8300000}"/>
    <cellStyle name="RowTitles1-Detail 4 3 3 2 3 2 2" xfId="12502" xr:uid="{00000000-0005-0000-0000-0000E9300000}"/>
    <cellStyle name="RowTitles1-Detail 4 3 3 2 3 2_Tertiary Salaries Survey" xfId="12503" xr:uid="{00000000-0005-0000-0000-0000EA300000}"/>
    <cellStyle name="RowTitles1-Detail 4 3 3 2 3 3" xfId="12504" xr:uid="{00000000-0005-0000-0000-0000EB300000}"/>
    <cellStyle name="RowTitles1-Detail 4 3 3 2 3_Tertiary Salaries Survey" xfId="12505" xr:uid="{00000000-0005-0000-0000-0000EC300000}"/>
    <cellStyle name="RowTitles1-Detail 4 3 3 2 4" xfId="12506" xr:uid="{00000000-0005-0000-0000-0000ED300000}"/>
    <cellStyle name="RowTitles1-Detail 4 3 3 2 5" xfId="12507" xr:uid="{00000000-0005-0000-0000-0000EE300000}"/>
    <cellStyle name="RowTitles1-Detail 4 3 3 2 5 2" xfId="12508" xr:uid="{00000000-0005-0000-0000-0000EF300000}"/>
    <cellStyle name="RowTitles1-Detail 4 3 3 2 5_Tertiary Salaries Survey" xfId="12509" xr:uid="{00000000-0005-0000-0000-0000F0300000}"/>
    <cellStyle name="RowTitles1-Detail 4 3 3 2 6" xfId="12510" xr:uid="{00000000-0005-0000-0000-0000F1300000}"/>
    <cellStyle name="RowTitles1-Detail 4 3 3 2_Tertiary Salaries Survey" xfId="12511" xr:uid="{00000000-0005-0000-0000-0000F2300000}"/>
    <cellStyle name="RowTitles1-Detail 4 3 3 3" xfId="12512" xr:uid="{00000000-0005-0000-0000-0000F3300000}"/>
    <cellStyle name="RowTitles1-Detail 4 3 3 3 2" xfId="12513" xr:uid="{00000000-0005-0000-0000-0000F4300000}"/>
    <cellStyle name="RowTitles1-Detail 4 3 3 3 2 2" xfId="12514" xr:uid="{00000000-0005-0000-0000-0000F5300000}"/>
    <cellStyle name="RowTitles1-Detail 4 3 3 3 2 2 2" xfId="12515" xr:uid="{00000000-0005-0000-0000-0000F6300000}"/>
    <cellStyle name="RowTitles1-Detail 4 3 3 3 2 2_Tertiary Salaries Survey" xfId="12516" xr:uid="{00000000-0005-0000-0000-0000F7300000}"/>
    <cellStyle name="RowTitles1-Detail 4 3 3 3 2 3" xfId="12517" xr:uid="{00000000-0005-0000-0000-0000F8300000}"/>
    <cellStyle name="RowTitles1-Detail 4 3 3 3 2_Tertiary Salaries Survey" xfId="12518" xr:uid="{00000000-0005-0000-0000-0000F9300000}"/>
    <cellStyle name="RowTitles1-Detail 4 3 3 3 3" xfId="12519" xr:uid="{00000000-0005-0000-0000-0000FA300000}"/>
    <cellStyle name="RowTitles1-Detail 4 3 3 3 3 2" xfId="12520" xr:uid="{00000000-0005-0000-0000-0000FB300000}"/>
    <cellStyle name="RowTitles1-Detail 4 3 3 3 3 2 2" xfId="12521" xr:uid="{00000000-0005-0000-0000-0000FC300000}"/>
    <cellStyle name="RowTitles1-Detail 4 3 3 3 3 2_Tertiary Salaries Survey" xfId="12522" xr:uid="{00000000-0005-0000-0000-0000FD300000}"/>
    <cellStyle name="RowTitles1-Detail 4 3 3 3 3 3" xfId="12523" xr:uid="{00000000-0005-0000-0000-0000FE300000}"/>
    <cellStyle name="RowTitles1-Detail 4 3 3 3 3_Tertiary Salaries Survey" xfId="12524" xr:uid="{00000000-0005-0000-0000-0000FF300000}"/>
    <cellStyle name="RowTitles1-Detail 4 3 3 3 4" xfId="12525" xr:uid="{00000000-0005-0000-0000-000000310000}"/>
    <cellStyle name="RowTitles1-Detail 4 3 3 3 5" xfId="12526" xr:uid="{00000000-0005-0000-0000-000001310000}"/>
    <cellStyle name="RowTitles1-Detail 4 3 3 3_Tertiary Salaries Survey" xfId="12527" xr:uid="{00000000-0005-0000-0000-000002310000}"/>
    <cellStyle name="RowTitles1-Detail 4 3 3 4" xfId="12528" xr:uid="{00000000-0005-0000-0000-000003310000}"/>
    <cellStyle name="RowTitles1-Detail 4 3 3 4 2" xfId="12529" xr:uid="{00000000-0005-0000-0000-000004310000}"/>
    <cellStyle name="RowTitles1-Detail 4 3 3 4 2 2" xfId="12530" xr:uid="{00000000-0005-0000-0000-000005310000}"/>
    <cellStyle name="RowTitles1-Detail 4 3 3 4 2 2 2" xfId="12531" xr:uid="{00000000-0005-0000-0000-000006310000}"/>
    <cellStyle name="RowTitles1-Detail 4 3 3 4 2 2_Tertiary Salaries Survey" xfId="12532" xr:uid="{00000000-0005-0000-0000-000007310000}"/>
    <cellStyle name="RowTitles1-Detail 4 3 3 4 2 3" xfId="12533" xr:uid="{00000000-0005-0000-0000-000008310000}"/>
    <cellStyle name="RowTitles1-Detail 4 3 3 4 2_Tertiary Salaries Survey" xfId="12534" xr:uid="{00000000-0005-0000-0000-000009310000}"/>
    <cellStyle name="RowTitles1-Detail 4 3 3 4 3" xfId="12535" xr:uid="{00000000-0005-0000-0000-00000A310000}"/>
    <cellStyle name="RowTitles1-Detail 4 3 3 4 3 2" xfId="12536" xr:uid="{00000000-0005-0000-0000-00000B310000}"/>
    <cellStyle name="RowTitles1-Detail 4 3 3 4 3 2 2" xfId="12537" xr:uid="{00000000-0005-0000-0000-00000C310000}"/>
    <cellStyle name="RowTitles1-Detail 4 3 3 4 3 2_Tertiary Salaries Survey" xfId="12538" xr:uid="{00000000-0005-0000-0000-00000D310000}"/>
    <cellStyle name="RowTitles1-Detail 4 3 3 4 3 3" xfId="12539" xr:uid="{00000000-0005-0000-0000-00000E310000}"/>
    <cellStyle name="RowTitles1-Detail 4 3 3 4 3_Tertiary Salaries Survey" xfId="12540" xr:uid="{00000000-0005-0000-0000-00000F310000}"/>
    <cellStyle name="RowTitles1-Detail 4 3 3 4 4" xfId="12541" xr:uid="{00000000-0005-0000-0000-000010310000}"/>
    <cellStyle name="RowTitles1-Detail 4 3 3 4 4 2" xfId="12542" xr:uid="{00000000-0005-0000-0000-000011310000}"/>
    <cellStyle name="RowTitles1-Detail 4 3 3 4 4_Tertiary Salaries Survey" xfId="12543" xr:uid="{00000000-0005-0000-0000-000012310000}"/>
    <cellStyle name="RowTitles1-Detail 4 3 3 4 5" xfId="12544" xr:uid="{00000000-0005-0000-0000-000013310000}"/>
    <cellStyle name="RowTitles1-Detail 4 3 3 4_Tertiary Salaries Survey" xfId="12545" xr:uid="{00000000-0005-0000-0000-000014310000}"/>
    <cellStyle name="RowTitles1-Detail 4 3 3 5" xfId="12546" xr:uid="{00000000-0005-0000-0000-000015310000}"/>
    <cellStyle name="RowTitles1-Detail 4 3 3 5 2" xfId="12547" xr:uid="{00000000-0005-0000-0000-000016310000}"/>
    <cellStyle name="RowTitles1-Detail 4 3 3 5 2 2" xfId="12548" xr:uid="{00000000-0005-0000-0000-000017310000}"/>
    <cellStyle name="RowTitles1-Detail 4 3 3 5 2 2 2" xfId="12549" xr:uid="{00000000-0005-0000-0000-000018310000}"/>
    <cellStyle name="RowTitles1-Detail 4 3 3 5 2 2_Tertiary Salaries Survey" xfId="12550" xr:uid="{00000000-0005-0000-0000-000019310000}"/>
    <cellStyle name="RowTitles1-Detail 4 3 3 5 2 3" xfId="12551" xr:uid="{00000000-0005-0000-0000-00001A310000}"/>
    <cellStyle name="RowTitles1-Detail 4 3 3 5 2_Tertiary Salaries Survey" xfId="12552" xr:uid="{00000000-0005-0000-0000-00001B310000}"/>
    <cellStyle name="RowTitles1-Detail 4 3 3 5 3" xfId="12553" xr:uid="{00000000-0005-0000-0000-00001C310000}"/>
    <cellStyle name="RowTitles1-Detail 4 3 3 5 3 2" xfId="12554" xr:uid="{00000000-0005-0000-0000-00001D310000}"/>
    <cellStyle name="RowTitles1-Detail 4 3 3 5 3 2 2" xfId="12555" xr:uid="{00000000-0005-0000-0000-00001E310000}"/>
    <cellStyle name="RowTitles1-Detail 4 3 3 5 3 2_Tertiary Salaries Survey" xfId="12556" xr:uid="{00000000-0005-0000-0000-00001F310000}"/>
    <cellStyle name="RowTitles1-Detail 4 3 3 5 3 3" xfId="12557" xr:uid="{00000000-0005-0000-0000-000020310000}"/>
    <cellStyle name="RowTitles1-Detail 4 3 3 5 3_Tertiary Salaries Survey" xfId="12558" xr:uid="{00000000-0005-0000-0000-000021310000}"/>
    <cellStyle name="RowTitles1-Detail 4 3 3 5 4" xfId="12559" xr:uid="{00000000-0005-0000-0000-000022310000}"/>
    <cellStyle name="RowTitles1-Detail 4 3 3 5 4 2" xfId="12560" xr:uid="{00000000-0005-0000-0000-000023310000}"/>
    <cellStyle name="RowTitles1-Detail 4 3 3 5 4_Tertiary Salaries Survey" xfId="12561" xr:uid="{00000000-0005-0000-0000-000024310000}"/>
    <cellStyle name="RowTitles1-Detail 4 3 3 5 5" xfId="12562" xr:uid="{00000000-0005-0000-0000-000025310000}"/>
    <cellStyle name="RowTitles1-Detail 4 3 3 5_Tertiary Salaries Survey" xfId="12563" xr:uid="{00000000-0005-0000-0000-000026310000}"/>
    <cellStyle name="RowTitles1-Detail 4 3 3 6" xfId="12564" xr:uid="{00000000-0005-0000-0000-000027310000}"/>
    <cellStyle name="RowTitles1-Detail 4 3 3 6 2" xfId="12565" xr:uid="{00000000-0005-0000-0000-000028310000}"/>
    <cellStyle name="RowTitles1-Detail 4 3 3 6 2 2" xfId="12566" xr:uid="{00000000-0005-0000-0000-000029310000}"/>
    <cellStyle name="RowTitles1-Detail 4 3 3 6 2 2 2" xfId="12567" xr:uid="{00000000-0005-0000-0000-00002A310000}"/>
    <cellStyle name="RowTitles1-Detail 4 3 3 6 2 2_Tertiary Salaries Survey" xfId="12568" xr:uid="{00000000-0005-0000-0000-00002B310000}"/>
    <cellStyle name="RowTitles1-Detail 4 3 3 6 2 3" xfId="12569" xr:uid="{00000000-0005-0000-0000-00002C310000}"/>
    <cellStyle name="RowTitles1-Detail 4 3 3 6 2_Tertiary Salaries Survey" xfId="12570" xr:uid="{00000000-0005-0000-0000-00002D310000}"/>
    <cellStyle name="RowTitles1-Detail 4 3 3 6 3" xfId="12571" xr:uid="{00000000-0005-0000-0000-00002E310000}"/>
    <cellStyle name="RowTitles1-Detail 4 3 3 6 3 2" xfId="12572" xr:uid="{00000000-0005-0000-0000-00002F310000}"/>
    <cellStyle name="RowTitles1-Detail 4 3 3 6 3 2 2" xfId="12573" xr:uid="{00000000-0005-0000-0000-000030310000}"/>
    <cellStyle name="RowTitles1-Detail 4 3 3 6 3 2_Tertiary Salaries Survey" xfId="12574" xr:uid="{00000000-0005-0000-0000-000031310000}"/>
    <cellStyle name="RowTitles1-Detail 4 3 3 6 3 3" xfId="12575" xr:uid="{00000000-0005-0000-0000-000032310000}"/>
    <cellStyle name="RowTitles1-Detail 4 3 3 6 3_Tertiary Salaries Survey" xfId="12576" xr:uid="{00000000-0005-0000-0000-000033310000}"/>
    <cellStyle name="RowTitles1-Detail 4 3 3 6 4" xfId="12577" xr:uid="{00000000-0005-0000-0000-000034310000}"/>
    <cellStyle name="RowTitles1-Detail 4 3 3 6 4 2" xfId="12578" xr:uid="{00000000-0005-0000-0000-000035310000}"/>
    <cellStyle name="RowTitles1-Detail 4 3 3 6 4_Tertiary Salaries Survey" xfId="12579" xr:uid="{00000000-0005-0000-0000-000036310000}"/>
    <cellStyle name="RowTitles1-Detail 4 3 3 6 5" xfId="12580" xr:uid="{00000000-0005-0000-0000-000037310000}"/>
    <cellStyle name="RowTitles1-Detail 4 3 3 6_Tertiary Salaries Survey" xfId="12581" xr:uid="{00000000-0005-0000-0000-000038310000}"/>
    <cellStyle name="RowTitles1-Detail 4 3 3 7" xfId="12582" xr:uid="{00000000-0005-0000-0000-000039310000}"/>
    <cellStyle name="RowTitles1-Detail 4 3 3 7 2" xfId="12583" xr:uid="{00000000-0005-0000-0000-00003A310000}"/>
    <cellStyle name="RowTitles1-Detail 4 3 3 7 2 2" xfId="12584" xr:uid="{00000000-0005-0000-0000-00003B310000}"/>
    <cellStyle name="RowTitles1-Detail 4 3 3 7 2_Tertiary Salaries Survey" xfId="12585" xr:uid="{00000000-0005-0000-0000-00003C310000}"/>
    <cellStyle name="RowTitles1-Detail 4 3 3 7 3" xfId="12586" xr:uid="{00000000-0005-0000-0000-00003D310000}"/>
    <cellStyle name="RowTitles1-Detail 4 3 3 7_Tertiary Salaries Survey" xfId="12587" xr:uid="{00000000-0005-0000-0000-00003E310000}"/>
    <cellStyle name="RowTitles1-Detail 4 3 3 8" xfId="12588" xr:uid="{00000000-0005-0000-0000-00003F310000}"/>
    <cellStyle name="RowTitles1-Detail 4 3 3 8 2" xfId="12589" xr:uid="{00000000-0005-0000-0000-000040310000}"/>
    <cellStyle name="RowTitles1-Detail 4 3 3 8 2 2" xfId="12590" xr:uid="{00000000-0005-0000-0000-000041310000}"/>
    <cellStyle name="RowTitles1-Detail 4 3 3 8 2_Tertiary Salaries Survey" xfId="12591" xr:uid="{00000000-0005-0000-0000-000042310000}"/>
    <cellStyle name="RowTitles1-Detail 4 3 3 8 3" xfId="12592" xr:uid="{00000000-0005-0000-0000-000043310000}"/>
    <cellStyle name="RowTitles1-Detail 4 3 3 8_Tertiary Salaries Survey" xfId="12593" xr:uid="{00000000-0005-0000-0000-000044310000}"/>
    <cellStyle name="RowTitles1-Detail 4 3 3 9" xfId="12594" xr:uid="{00000000-0005-0000-0000-000045310000}"/>
    <cellStyle name="RowTitles1-Detail 4 3 3_STUD aligned by INSTIT" xfId="12595" xr:uid="{00000000-0005-0000-0000-000046310000}"/>
    <cellStyle name="RowTitles1-Detail 4 3 4" xfId="12596" xr:uid="{00000000-0005-0000-0000-000047310000}"/>
    <cellStyle name="RowTitles1-Detail 4 3 4 2" xfId="12597" xr:uid="{00000000-0005-0000-0000-000048310000}"/>
    <cellStyle name="RowTitles1-Detail 4 3 4 2 2" xfId="12598" xr:uid="{00000000-0005-0000-0000-000049310000}"/>
    <cellStyle name="RowTitles1-Detail 4 3 4 2 2 2" xfId="12599" xr:uid="{00000000-0005-0000-0000-00004A310000}"/>
    <cellStyle name="RowTitles1-Detail 4 3 4 2 2 2 2" xfId="12600" xr:uid="{00000000-0005-0000-0000-00004B310000}"/>
    <cellStyle name="RowTitles1-Detail 4 3 4 2 2 2_Tertiary Salaries Survey" xfId="12601" xr:uid="{00000000-0005-0000-0000-00004C310000}"/>
    <cellStyle name="RowTitles1-Detail 4 3 4 2 2 3" xfId="12602" xr:uid="{00000000-0005-0000-0000-00004D310000}"/>
    <cellStyle name="RowTitles1-Detail 4 3 4 2 2_Tertiary Salaries Survey" xfId="12603" xr:uid="{00000000-0005-0000-0000-00004E310000}"/>
    <cellStyle name="RowTitles1-Detail 4 3 4 2 3" xfId="12604" xr:uid="{00000000-0005-0000-0000-00004F310000}"/>
    <cellStyle name="RowTitles1-Detail 4 3 4 2 3 2" xfId="12605" xr:uid="{00000000-0005-0000-0000-000050310000}"/>
    <cellStyle name="RowTitles1-Detail 4 3 4 2 3 2 2" xfId="12606" xr:uid="{00000000-0005-0000-0000-000051310000}"/>
    <cellStyle name="RowTitles1-Detail 4 3 4 2 3 2_Tertiary Salaries Survey" xfId="12607" xr:uid="{00000000-0005-0000-0000-000052310000}"/>
    <cellStyle name="RowTitles1-Detail 4 3 4 2 3 3" xfId="12608" xr:uid="{00000000-0005-0000-0000-000053310000}"/>
    <cellStyle name="RowTitles1-Detail 4 3 4 2 3_Tertiary Salaries Survey" xfId="12609" xr:uid="{00000000-0005-0000-0000-000054310000}"/>
    <cellStyle name="RowTitles1-Detail 4 3 4 2 4" xfId="12610" xr:uid="{00000000-0005-0000-0000-000055310000}"/>
    <cellStyle name="RowTitles1-Detail 4 3 4 2 5" xfId="12611" xr:uid="{00000000-0005-0000-0000-000056310000}"/>
    <cellStyle name="RowTitles1-Detail 4 3 4 2 5 2" xfId="12612" xr:uid="{00000000-0005-0000-0000-000057310000}"/>
    <cellStyle name="RowTitles1-Detail 4 3 4 2 5_Tertiary Salaries Survey" xfId="12613" xr:uid="{00000000-0005-0000-0000-000058310000}"/>
    <cellStyle name="RowTitles1-Detail 4 3 4 2 6" xfId="12614" xr:uid="{00000000-0005-0000-0000-000059310000}"/>
    <cellStyle name="RowTitles1-Detail 4 3 4 2_Tertiary Salaries Survey" xfId="12615" xr:uid="{00000000-0005-0000-0000-00005A310000}"/>
    <cellStyle name="RowTitles1-Detail 4 3 4 3" xfId="12616" xr:uid="{00000000-0005-0000-0000-00005B310000}"/>
    <cellStyle name="RowTitles1-Detail 4 3 4 3 2" xfId="12617" xr:uid="{00000000-0005-0000-0000-00005C310000}"/>
    <cellStyle name="RowTitles1-Detail 4 3 4 3 2 2" xfId="12618" xr:uid="{00000000-0005-0000-0000-00005D310000}"/>
    <cellStyle name="RowTitles1-Detail 4 3 4 3 2 2 2" xfId="12619" xr:uid="{00000000-0005-0000-0000-00005E310000}"/>
    <cellStyle name="RowTitles1-Detail 4 3 4 3 2 2_Tertiary Salaries Survey" xfId="12620" xr:uid="{00000000-0005-0000-0000-00005F310000}"/>
    <cellStyle name="RowTitles1-Detail 4 3 4 3 2 3" xfId="12621" xr:uid="{00000000-0005-0000-0000-000060310000}"/>
    <cellStyle name="RowTitles1-Detail 4 3 4 3 2_Tertiary Salaries Survey" xfId="12622" xr:uid="{00000000-0005-0000-0000-000061310000}"/>
    <cellStyle name="RowTitles1-Detail 4 3 4 3 3" xfId="12623" xr:uid="{00000000-0005-0000-0000-000062310000}"/>
    <cellStyle name="RowTitles1-Detail 4 3 4 3 3 2" xfId="12624" xr:uid="{00000000-0005-0000-0000-000063310000}"/>
    <cellStyle name="RowTitles1-Detail 4 3 4 3 3 2 2" xfId="12625" xr:uid="{00000000-0005-0000-0000-000064310000}"/>
    <cellStyle name="RowTitles1-Detail 4 3 4 3 3 2_Tertiary Salaries Survey" xfId="12626" xr:uid="{00000000-0005-0000-0000-000065310000}"/>
    <cellStyle name="RowTitles1-Detail 4 3 4 3 3 3" xfId="12627" xr:uid="{00000000-0005-0000-0000-000066310000}"/>
    <cellStyle name="RowTitles1-Detail 4 3 4 3 3_Tertiary Salaries Survey" xfId="12628" xr:uid="{00000000-0005-0000-0000-000067310000}"/>
    <cellStyle name="RowTitles1-Detail 4 3 4 3 4" xfId="12629" xr:uid="{00000000-0005-0000-0000-000068310000}"/>
    <cellStyle name="RowTitles1-Detail 4 3 4 3 5" xfId="12630" xr:uid="{00000000-0005-0000-0000-000069310000}"/>
    <cellStyle name="RowTitles1-Detail 4 3 4 3_Tertiary Salaries Survey" xfId="12631" xr:uid="{00000000-0005-0000-0000-00006A310000}"/>
    <cellStyle name="RowTitles1-Detail 4 3 4 4" xfId="12632" xr:uid="{00000000-0005-0000-0000-00006B310000}"/>
    <cellStyle name="RowTitles1-Detail 4 3 4 4 2" xfId="12633" xr:uid="{00000000-0005-0000-0000-00006C310000}"/>
    <cellStyle name="RowTitles1-Detail 4 3 4 4 2 2" xfId="12634" xr:uid="{00000000-0005-0000-0000-00006D310000}"/>
    <cellStyle name="RowTitles1-Detail 4 3 4 4 2 2 2" xfId="12635" xr:uid="{00000000-0005-0000-0000-00006E310000}"/>
    <cellStyle name="RowTitles1-Detail 4 3 4 4 2 2_Tertiary Salaries Survey" xfId="12636" xr:uid="{00000000-0005-0000-0000-00006F310000}"/>
    <cellStyle name="RowTitles1-Detail 4 3 4 4 2 3" xfId="12637" xr:uid="{00000000-0005-0000-0000-000070310000}"/>
    <cellStyle name="RowTitles1-Detail 4 3 4 4 2_Tertiary Salaries Survey" xfId="12638" xr:uid="{00000000-0005-0000-0000-000071310000}"/>
    <cellStyle name="RowTitles1-Detail 4 3 4 4 3" xfId="12639" xr:uid="{00000000-0005-0000-0000-000072310000}"/>
    <cellStyle name="RowTitles1-Detail 4 3 4 4 3 2" xfId="12640" xr:uid="{00000000-0005-0000-0000-000073310000}"/>
    <cellStyle name="RowTitles1-Detail 4 3 4 4 3 2 2" xfId="12641" xr:uid="{00000000-0005-0000-0000-000074310000}"/>
    <cellStyle name="RowTitles1-Detail 4 3 4 4 3 2_Tertiary Salaries Survey" xfId="12642" xr:uid="{00000000-0005-0000-0000-000075310000}"/>
    <cellStyle name="RowTitles1-Detail 4 3 4 4 3 3" xfId="12643" xr:uid="{00000000-0005-0000-0000-000076310000}"/>
    <cellStyle name="RowTitles1-Detail 4 3 4 4 3_Tertiary Salaries Survey" xfId="12644" xr:uid="{00000000-0005-0000-0000-000077310000}"/>
    <cellStyle name="RowTitles1-Detail 4 3 4 4 4" xfId="12645" xr:uid="{00000000-0005-0000-0000-000078310000}"/>
    <cellStyle name="RowTitles1-Detail 4 3 4 4 5" xfId="12646" xr:uid="{00000000-0005-0000-0000-000079310000}"/>
    <cellStyle name="RowTitles1-Detail 4 3 4 4 5 2" xfId="12647" xr:uid="{00000000-0005-0000-0000-00007A310000}"/>
    <cellStyle name="RowTitles1-Detail 4 3 4 4 5_Tertiary Salaries Survey" xfId="12648" xr:uid="{00000000-0005-0000-0000-00007B310000}"/>
    <cellStyle name="RowTitles1-Detail 4 3 4 4 6" xfId="12649" xr:uid="{00000000-0005-0000-0000-00007C310000}"/>
    <cellStyle name="RowTitles1-Detail 4 3 4 4_Tertiary Salaries Survey" xfId="12650" xr:uid="{00000000-0005-0000-0000-00007D310000}"/>
    <cellStyle name="RowTitles1-Detail 4 3 4 5" xfId="12651" xr:uid="{00000000-0005-0000-0000-00007E310000}"/>
    <cellStyle name="RowTitles1-Detail 4 3 4 5 2" xfId="12652" xr:uid="{00000000-0005-0000-0000-00007F310000}"/>
    <cellStyle name="RowTitles1-Detail 4 3 4 5 2 2" xfId="12653" xr:uid="{00000000-0005-0000-0000-000080310000}"/>
    <cellStyle name="RowTitles1-Detail 4 3 4 5 2 2 2" xfId="12654" xr:uid="{00000000-0005-0000-0000-000081310000}"/>
    <cellStyle name="RowTitles1-Detail 4 3 4 5 2 2_Tertiary Salaries Survey" xfId="12655" xr:uid="{00000000-0005-0000-0000-000082310000}"/>
    <cellStyle name="RowTitles1-Detail 4 3 4 5 2 3" xfId="12656" xr:uid="{00000000-0005-0000-0000-000083310000}"/>
    <cellStyle name="RowTitles1-Detail 4 3 4 5 2_Tertiary Salaries Survey" xfId="12657" xr:uid="{00000000-0005-0000-0000-000084310000}"/>
    <cellStyle name="RowTitles1-Detail 4 3 4 5 3" xfId="12658" xr:uid="{00000000-0005-0000-0000-000085310000}"/>
    <cellStyle name="RowTitles1-Detail 4 3 4 5 3 2" xfId="12659" xr:uid="{00000000-0005-0000-0000-000086310000}"/>
    <cellStyle name="RowTitles1-Detail 4 3 4 5 3 2 2" xfId="12660" xr:uid="{00000000-0005-0000-0000-000087310000}"/>
    <cellStyle name="RowTitles1-Detail 4 3 4 5 3 2_Tertiary Salaries Survey" xfId="12661" xr:uid="{00000000-0005-0000-0000-000088310000}"/>
    <cellStyle name="RowTitles1-Detail 4 3 4 5 3 3" xfId="12662" xr:uid="{00000000-0005-0000-0000-000089310000}"/>
    <cellStyle name="RowTitles1-Detail 4 3 4 5 3_Tertiary Salaries Survey" xfId="12663" xr:uid="{00000000-0005-0000-0000-00008A310000}"/>
    <cellStyle name="RowTitles1-Detail 4 3 4 5 4" xfId="12664" xr:uid="{00000000-0005-0000-0000-00008B310000}"/>
    <cellStyle name="RowTitles1-Detail 4 3 4 5 4 2" xfId="12665" xr:uid="{00000000-0005-0000-0000-00008C310000}"/>
    <cellStyle name="RowTitles1-Detail 4 3 4 5 4_Tertiary Salaries Survey" xfId="12666" xr:uid="{00000000-0005-0000-0000-00008D310000}"/>
    <cellStyle name="RowTitles1-Detail 4 3 4 5 5" xfId="12667" xr:uid="{00000000-0005-0000-0000-00008E310000}"/>
    <cellStyle name="RowTitles1-Detail 4 3 4 5_Tertiary Salaries Survey" xfId="12668" xr:uid="{00000000-0005-0000-0000-00008F310000}"/>
    <cellStyle name="RowTitles1-Detail 4 3 4 6" xfId="12669" xr:uid="{00000000-0005-0000-0000-000090310000}"/>
    <cellStyle name="RowTitles1-Detail 4 3 4 6 2" xfId="12670" xr:uid="{00000000-0005-0000-0000-000091310000}"/>
    <cellStyle name="RowTitles1-Detail 4 3 4 6 2 2" xfId="12671" xr:uid="{00000000-0005-0000-0000-000092310000}"/>
    <cellStyle name="RowTitles1-Detail 4 3 4 6 2 2 2" xfId="12672" xr:uid="{00000000-0005-0000-0000-000093310000}"/>
    <cellStyle name="RowTitles1-Detail 4 3 4 6 2 2_Tertiary Salaries Survey" xfId="12673" xr:uid="{00000000-0005-0000-0000-000094310000}"/>
    <cellStyle name="RowTitles1-Detail 4 3 4 6 2 3" xfId="12674" xr:uid="{00000000-0005-0000-0000-000095310000}"/>
    <cellStyle name="RowTitles1-Detail 4 3 4 6 2_Tertiary Salaries Survey" xfId="12675" xr:uid="{00000000-0005-0000-0000-000096310000}"/>
    <cellStyle name="RowTitles1-Detail 4 3 4 6 3" xfId="12676" xr:uid="{00000000-0005-0000-0000-000097310000}"/>
    <cellStyle name="RowTitles1-Detail 4 3 4 6 3 2" xfId="12677" xr:uid="{00000000-0005-0000-0000-000098310000}"/>
    <cellStyle name="RowTitles1-Detail 4 3 4 6 3 2 2" xfId="12678" xr:uid="{00000000-0005-0000-0000-000099310000}"/>
    <cellStyle name="RowTitles1-Detail 4 3 4 6 3 2_Tertiary Salaries Survey" xfId="12679" xr:uid="{00000000-0005-0000-0000-00009A310000}"/>
    <cellStyle name="RowTitles1-Detail 4 3 4 6 3 3" xfId="12680" xr:uid="{00000000-0005-0000-0000-00009B310000}"/>
    <cellStyle name="RowTitles1-Detail 4 3 4 6 3_Tertiary Salaries Survey" xfId="12681" xr:uid="{00000000-0005-0000-0000-00009C310000}"/>
    <cellStyle name="RowTitles1-Detail 4 3 4 6 4" xfId="12682" xr:uid="{00000000-0005-0000-0000-00009D310000}"/>
    <cellStyle name="RowTitles1-Detail 4 3 4 6 4 2" xfId="12683" xr:uid="{00000000-0005-0000-0000-00009E310000}"/>
    <cellStyle name="RowTitles1-Detail 4 3 4 6 4_Tertiary Salaries Survey" xfId="12684" xr:uid="{00000000-0005-0000-0000-00009F310000}"/>
    <cellStyle name="RowTitles1-Detail 4 3 4 6 5" xfId="12685" xr:uid="{00000000-0005-0000-0000-0000A0310000}"/>
    <cellStyle name="RowTitles1-Detail 4 3 4 6_Tertiary Salaries Survey" xfId="12686" xr:uid="{00000000-0005-0000-0000-0000A1310000}"/>
    <cellStyle name="RowTitles1-Detail 4 3 4 7" xfId="12687" xr:uid="{00000000-0005-0000-0000-0000A2310000}"/>
    <cellStyle name="RowTitles1-Detail 4 3 4 7 2" xfId="12688" xr:uid="{00000000-0005-0000-0000-0000A3310000}"/>
    <cellStyle name="RowTitles1-Detail 4 3 4 7 2 2" xfId="12689" xr:uid="{00000000-0005-0000-0000-0000A4310000}"/>
    <cellStyle name="RowTitles1-Detail 4 3 4 7 2_Tertiary Salaries Survey" xfId="12690" xr:uid="{00000000-0005-0000-0000-0000A5310000}"/>
    <cellStyle name="RowTitles1-Detail 4 3 4 7 3" xfId="12691" xr:uid="{00000000-0005-0000-0000-0000A6310000}"/>
    <cellStyle name="RowTitles1-Detail 4 3 4 7_Tertiary Salaries Survey" xfId="12692" xr:uid="{00000000-0005-0000-0000-0000A7310000}"/>
    <cellStyle name="RowTitles1-Detail 4 3 4 8" xfId="12693" xr:uid="{00000000-0005-0000-0000-0000A8310000}"/>
    <cellStyle name="RowTitles1-Detail 4 3 4 9" xfId="12694" xr:uid="{00000000-0005-0000-0000-0000A9310000}"/>
    <cellStyle name="RowTitles1-Detail 4 3 4_STUD aligned by INSTIT" xfId="12695" xr:uid="{00000000-0005-0000-0000-0000AA310000}"/>
    <cellStyle name="RowTitles1-Detail 4 3 5" xfId="12696" xr:uid="{00000000-0005-0000-0000-0000AB310000}"/>
    <cellStyle name="RowTitles1-Detail 4 3 5 2" xfId="12697" xr:uid="{00000000-0005-0000-0000-0000AC310000}"/>
    <cellStyle name="RowTitles1-Detail 4 3 5 2 2" xfId="12698" xr:uid="{00000000-0005-0000-0000-0000AD310000}"/>
    <cellStyle name="RowTitles1-Detail 4 3 5 2 2 2" xfId="12699" xr:uid="{00000000-0005-0000-0000-0000AE310000}"/>
    <cellStyle name="RowTitles1-Detail 4 3 5 2 2_Tertiary Salaries Survey" xfId="12700" xr:uid="{00000000-0005-0000-0000-0000AF310000}"/>
    <cellStyle name="RowTitles1-Detail 4 3 5 2 3" xfId="12701" xr:uid="{00000000-0005-0000-0000-0000B0310000}"/>
    <cellStyle name="RowTitles1-Detail 4 3 5 2_Tertiary Salaries Survey" xfId="12702" xr:uid="{00000000-0005-0000-0000-0000B1310000}"/>
    <cellStyle name="RowTitles1-Detail 4 3 5 3" xfId="12703" xr:uid="{00000000-0005-0000-0000-0000B2310000}"/>
    <cellStyle name="RowTitles1-Detail 4 3 5 3 2" xfId="12704" xr:uid="{00000000-0005-0000-0000-0000B3310000}"/>
    <cellStyle name="RowTitles1-Detail 4 3 5 3 2 2" xfId="12705" xr:uid="{00000000-0005-0000-0000-0000B4310000}"/>
    <cellStyle name="RowTitles1-Detail 4 3 5 3 2_Tertiary Salaries Survey" xfId="12706" xr:uid="{00000000-0005-0000-0000-0000B5310000}"/>
    <cellStyle name="RowTitles1-Detail 4 3 5 3 3" xfId="12707" xr:uid="{00000000-0005-0000-0000-0000B6310000}"/>
    <cellStyle name="RowTitles1-Detail 4 3 5 3_Tertiary Salaries Survey" xfId="12708" xr:uid="{00000000-0005-0000-0000-0000B7310000}"/>
    <cellStyle name="RowTitles1-Detail 4 3 5 4" xfId="12709" xr:uid="{00000000-0005-0000-0000-0000B8310000}"/>
    <cellStyle name="RowTitles1-Detail 4 3 5 5" xfId="12710" xr:uid="{00000000-0005-0000-0000-0000B9310000}"/>
    <cellStyle name="RowTitles1-Detail 4 3 5 5 2" xfId="12711" xr:uid="{00000000-0005-0000-0000-0000BA310000}"/>
    <cellStyle name="RowTitles1-Detail 4 3 5 5_Tertiary Salaries Survey" xfId="12712" xr:uid="{00000000-0005-0000-0000-0000BB310000}"/>
    <cellStyle name="RowTitles1-Detail 4 3 5 6" xfId="12713" xr:uid="{00000000-0005-0000-0000-0000BC310000}"/>
    <cellStyle name="RowTitles1-Detail 4 3 5_Tertiary Salaries Survey" xfId="12714" xr:uid="{00000000-0005-0000-0000-0000BD310000}"/>
    <cellStyle name="RowTitles1-Detail 4 3 6" xfId="12715" xr:uid="{00000000-0005-0000-0000-0000BE310000}"/>
    <cellStyle name="RowTitles1-Detail 4 3 6 2" xfId="12716" xr:uid="{00000000-0005-0000-0000-0000BF310000}"/>
    <cellStyle name="RowTitles1-Detail 4 3 6 2 2" xfId="12717" xr:uid="{00000000-0005-0000-0000-0000C0310000}"/>
    <cellStyle name="RowTitles1-Detail 4 3 6 2 2 2" xfId="12718" xr:uid="{00000000-0005-0000-0000-0000C1310000}"/>
    <cellStyle name="RowTitles1-Detail 4 3 6 2 2_Tertiary Salaries Survey" xfId="12719" xr:uid="{00000000-0005-0000-0000-0000C2310000}"/>
    <cellStyle name="RowTitles1-Detail 4 3 6 2 3" xfId="12720" xr:uid="{00000000-0005-0000-0000-0000C3310000}"/>
    <cellStyle name="RowTitles1-Detail 4 3 6 2_Tertiary Salaries Survey" xfId="12721" xr:uid="{00000000-0005-0000-0000-0000C4310000}"/>
    <cellStyle name="RowTitles1-Detail 4 3 6 3" xfId="12722" xr:uid="{00000000-0005-0000-0000-0000C5310000}"/>
    <cellStyle name="RowTitles1-Detail 4 3 6 3 2" xfId="12723" xr:uid="{00000000-0005-0000-0000-0000C6310000}"/>
    <cellStyle name="RowTitles1-Detail 4 3 6 3 2 2" xfId="12724" xr:uid="{00000000-0005-0000-0000-0000C7310000}"/>
    <cellStyle name="RowTitles1-Detail 4 3 6 3 2_Tertiary Salaries Survey" xfId="12725" xr:uid="{00000000-0005-0000-0000-0000C8310000}"/>
    <cellStyle name="RowTitles1-Detail 4 3 6 3 3" xfId="12726" xr:uid="{00000000-0005-0000-0000-0000C9310000}"/>
    <cellStyle name="RowTitles1-Detail 4 3 6 3_Tertiary Salaries Survey" xfId="12727" xr:uid="{00000000-0005-0000-0000-0000CA310000}"/>
    <cellStyle name="RowTitles1-Detail 4 3 6 4" xfId="12728" xr:uid="{00000000-0005-0000-0000-0000CB310000}"/>
    <cellStyle name="RowTitles1-Detail 4 3 6 5" xfId="12729" xr:uid="{00000000-0005-0000-0000-0000CC310000}"/>
    <cellStyle name="RowTitles1-Detail 4 3 6_Tertiary Salaries Survey" xfId="12730" xr:uid="{00000000-0005-0000-0000-0000CD310000}"/>
    <cellStyle name="RowTitles1-Detail 4 3 7" xfId="12731" xr:uid="{00000000-0005-0000-0000-0000CE310000}"/>
    <cellStyle name="RowTitles1-Detail 4 3 7 2" xfId="12732" xr:uid="{00000000-0005-0000-0000-0000CF310000}"/>
    <cellStyle name="RowTitles1-Detail 4 3 7 2 2" xfId="12733" xr:uid="{00000000-0005-0000-0000-0000D0310000}"/>
    <cellStyle name="RowTitles1-Detail 4 3 7 2 2 2" xfId="12734" xr:uid="{00000000-0005-0000-0000-0000D1310000}"/>
    <cellStyle name="RowTitles1-Detail 4 3 7 2 2_Tertiary Salaries Survey" xfId="12735" xr:uid="{00000000-0005-0000-0000-0000D2310000}"/>
    <cellStyle name="RowTitles1-Detail 4 3 7 2 3" xfId="12736" xr:uid="{00000000-0005-0000-0000-0000D3310000}"/>
    <cellStyle name="RowTitles1-Detail 4 3 7 2_Tertiary Salaries Survey" xfId="12737" xr:uid="{00000000-0005-0000-0000-0000D4310000}"/>
    <cellStyle name="RowTitles1-Detail 4 3 7 3" xfId="12738" xr:uid="{00000000-0005-0000-0000-0000D5310000}"/>
    <cellStyle name="RowTitles1-Detail 4 3 7 3 2" xfId="12739" xr:uid="{00000000-0005-0000-0000-0000D6310000}"/>
    <cellStyle name="RowTitles1-Detail 4 3 7 3 2 2" xfId="12740" xr:uid="{00000000-0005-0000-0000-0000D7310000}"/>
    <cellStyle name="RowTitles1-Detail 4 3 7 3 2_Tertiary Salaries Survey" xfId="12741" xr:uid="{00000000-0005-0000-0000-0000D8310000}"/>
    <cellStyle name="RowTitles1-Detail 4 3 7 3 3" xfId="12742" xr:uid="{00000000-0005-0000-0000-0000D9310000}"/>
    <cellStyle name="RowTitles1-Detail 4 3 7 3_Tertiary Salaries Survey" xfId="12743" xr:uid="{00000000-0005-0000-0000-0000DA310000}"/>
    <cellStyle name="RowTitles1-Detail 4 3 7 4" xfId="12744" xr:uid="{00000000-0005-0000-0000-0000DB310000}"/>
    <cellStyle name="RowTitles1-Detail 4 3 7 5" xfId="12745" xr:uid="{00000000-0005-0000-0000-0000DC310000}"/>
    <cellStyle name="RowTitles1-Detail 4 3 7 5 2" xfId="12746" xr:uid="{00000000-0005-0000-0000-0000DD310000}"/>
    <cellStyle name="RowTitles1-Detail 4 3 7 5_Tertiary Salaries Survey" xfId="12747" xr:uid="{00000000-0005-0000-0000-0000DE310000}"/>
    <cellStyle name="RowTitles1-Detail 4 3 7 6" xfId="12748" xr:uid="{00000000-0005-0000-0000-0000DF310000}"/>
    <cellStyle name="RowTitles1-Detail 4 3 7_Tertiary Salaries Survey" xfId="12749" xr:uid="{00000000-0005-0000-0000-0000E0310000}"/>
    <cellStyle name="RowTitles1-Detail 4 3 8" xfId="12750" xr:uid="{00000000-0005-0000-0000-0000E1310000}"/>
    <cellStyle name="RowTitles1-Detail 4 3 8 2" xfId="12751" xr:uid="{00000000-0005-0000-0000-0000E2310000}"/>
    <cellStyle name="RowTitles1-Detail 4 3 8 2 2" xfId="12752" xr:uid="{00000000-0005-0000-0000-0000E3310000}"/>
    <cellStyle name="RowTitles1-Detail 4 3 8 2 2 2" xfId="12753" xr:uid="{00000000-0005-0000-0000-0000E4310000}"/>
    <cellStyle name="RowTitles1-Detail 4 3 8 2 2_Tertiary Salaries Survey" xfId="12754" xr:uid="{00000000-0005-0000-0000-0000E5310000}"/>
    <cellStyle name="RowTitles1-Detail 4 3 8 2 3" xfId="12755" xr:uid="{00000000-0005-0000-0000-0000E6310000}"/>
    <cellStyle name="RowTitles1-Detail 4 3 8 2_Tertiary Salaries Survey" xfId="12756" xr:uid="{00000000-0005-0000-0000-0000E7310000}"/>
    <cellStyle name="RowTitles1-Detail 4 3 8 3" xfId="12757" xr:uid="{00000000-0005-0000-0000-0000E8310000}"/>
    <cellStyle name="RowTitles1-Detail 4 3 8 3 2" xfId="12758" xr:uid="{00000000-0005-0000-0000-0000E9310000}"/>
    <cellStyle name="RowTitles1-Detail 4 3 8 3 2 2" xfId="12759" xr:uid="{00000000-0005-0000-0000-0000EA310000}"/>
    <cellStyle name="RowTitles1-Detail 4 3 8 3 2_Tertiary Salaries Survey" xfId="12760" xr:uid="{00000000-0005-0000-0000-0000EB310000}"/>
    <cellStyle name="RowTitles1-Detail 4 3 8 3 3" xfId="12761" xr:uid="{00000000-0005-0000-0000-0000EC310000}"/>
    <cellStyle name="RowTitles1-Detail 4 3 8 3_Tertiary Salaries Survey" xfId="12762" xr:uid="{00000000-0005-0000-0000-0000ED310000}"/>
    <cellStyle name="RowTitles1-Detail 4 3 8 4" xfId="12763" xr:uid="{00000000-0005-0000-0000-0000EE310000}"/>
    <cellStyle name="RowTitles1-Detail 4 3 8 4 2" xfId="12764" xr:uid="{00000000-0005-0000-0000-0000EF310000}"/>
    <cellStyle name="RowTitles1-Detail 4 3 8 4_Tertiary Salaries Survey" xfId="12765" xr:uid="{00000000-0005-0000-0000-0000F0310000}"/>
    <cellStyle name="RowTitles1-Detail 4 3 8 5" xfId="12766" xr:uid="{00000000-0005-0000-0000-0000F1310000}"/>
    <cellStyle name="RowTitles1-Detail 4 3 8_Tertiary Salaries Survey" xfId="12767" xr:uid="{00000000-0005-0000-0000-0000F2310000}"/>
    <cellStyle name="RowTitles1-Detail 4 3 9" xfId="12768" xr:uid="{00000000-0005-0000-0000-0000F3310000}"/>
    <cellStyle name="RowTitles1-Detail 4 3 9 2" xfId="12769" xr:uid="{00000000-0005-0000-0000-0000F4310000}"/>
    <cellStyle name="RowTitles1-Detail 4 3 9 2 2" xfId="12770" xr:uid="{00000000-0005-0000-0000-0000F5310000}"/>
    <cellStyle name="RowTitles1-Detail 4 3 9 2 2 2" xfId="12771" xr:uid="{00000000-0005-0000-0000-0000F6310000}"/>
    <cellStyle name="RowTitles1-Detail 4 3 9 2 2_Tertiary Salaries Survey" xfId="12772" xr:uid="{00000000-0005-0000-0000-0000F7310000}"/>
    <cellStyle name="RowTitles1-Detail 4 3 9 2 3" xfId="12773" xr:uid="{00000000-0005-0000-0000-0000F8310000}"/>
    <cellStyle name="RowTitles1-Detail 4 3 9 2_Tertiary Salaries Survey" xfId="12774" xr:uid="{00000000-0005-0000-0000-0000F9310000}"/>
    <cellStyle name="RowTitles1-Detail 4 3 9 3" xfId="12775" xr:uid="{00000000-0005-0000-0000-0000FA310000}"/>
    <cellStyle name="RowTitles1-Detail 4 3 9 3 2" xfId="12776" xr:uid="{00000000-0005-0000-0000-0000FB310000}"/>
    <cellStyle name="RowTitles1-Detail 4 3 9 3 2 2" xfId="12777" xr:uid="{00000000-0005-0000-0000-0000FC310000}"/>
    <cellStyle name="RowTitles1-Detail 4 3 9 3 2_Tertiary Salaries Survey" xfId="12778" xr:uid="{00000000-0005-0000-0000-0000FD310000}"/>
    <cellStyle name="RowTitles1-Detail 4 3 9 3 3" xfId="12779" xr:uid="{00000000-0005-0000-0000-0000FE310000}"/>
    <cellStyle name="RowTitles1-Detail 4 3 9 3_Tertiary Salaries Survey" xfId="12780" xr:uid="{00000000-0005-0000-0000-0000FF310000}"/>
    <cellStyle name="RowTitles1-Detail 4 3 9 4" xfId="12781" xr:uid="{00000000-0005-0000-0000-000000320000}"/>
    <cellStyle name="RowTitles1-Detail 4 3 9 4 2" xfId="12782" xr:uid="{00000000-0005-0000-0000-000001320000}"/>
    <cellStyle name="RowTitles1-Detail 4 3 9 4_Tertiary Salaries Survey" xfId="12783" xr:uid="{00000000-0005-0000-0000-000002320000}"/>
    <cellStyle name="RowTitles1-Detail 4 3 9 5" xfId="12784" xr:uid="{00000000-0005-0000-0000-000003320000}"/>
    <cellStyle name="RowTitles1-Detail 4 3 9_Tertiary Salaries Survey" xfId="12785" xr:uid="{00000000-0005-0000-0000-000004320000}"/>
    <cellStyle name="RowTitles1-Detail 4 3_STUD aligned by INSTIT" xfId="12786" xr:uid="{00000000-0005-0000-0000-000005320000}"/>
    <cellStyle name="RowTitles1-Detail 4 4" xfId="12787" xr:uid="{00000000-0005-0000-0000-000006320000}"/>
    <cellStyle name="RowTitles1-Detail 4 4 2" xfId="12788" xr:uid="{00000000-0005-0000-0000-000007320000}"/>
    <cellStyle name="RowTitles1-Detail 4 4 2 2" xfId="12789" xr:uid="{00000000-0005-0000-0000-000008320000}"/>
    <cellStyle name="RowTitles1-Detail 4 4 2 2 2" xfId="12790" xr:uid="{00000000-0005-0000-0000-000009320000}"/>
    <cellStyle name="RowTitles1-Detail 4 4 2 2 2 2" xfId="12791" xr:uid="{00000000-0005-0000-0000-00000A320000}"/>
    <cellStyle name="RowTitles1-Detail 4 4 2 2 2_Tertiary Salaries Survey" xfId="12792" xr:uid="{00000000-0005-0000-0000-00000B320000}"/>
    <cellStyle name="RowTitles1-Detail 4 4 2 2 3" xfId="12793" xr:uid="{00000000-0005-0000-0000-00000C320000}"/>
    <cellStyle name="RowTitles1-Detail 4 4 2 2_Tertiary Salaries Survey" xfId="12794" xr:uid="{00000000-0005-0000-0000-00000D320000}"/>
    <cellStyle name="RowTitles1-Detail 4 4 2 3" xfId="12795" xr:uid="{00000000-0005-0000-0000-00000E320000}"/>
    <cellStyle name="RowTitles1-Detail 4 4 2 3 2" xfId="12796" xr:uid="{00000000-0005-0000-0000-00000F320000}"/>
    <cellStyle name="RowTitles1-Detail 4 4 2 3 2 2" xfId="12797" xr:uid="{00000000-0005-0000-0000-000010320000}"/>
    <cellStyle name="RowTitles1-Detail 4 4 2 3 2_Tertiary Salaries Survey" xfId="12798" xr:uid="{00000000-0005-0000-0000-000011320000}"/>
    <cellStyle name="RowTitles1-Detail 4 4 2 3 3" xfId="12799" xr:uid="{00000000-0005-0000-0000-000012320000}"/>
    <cellStyle name="RowTitles1-Detail 4 4 2 3_Tertiary Salaries Survey" xfId="12800" xr:uid="{00000000-0005-0000-0000-000013320000}"/>
    <cellStyle name="RowTitles1-Detail 4 4 2 4" xfId="12801" xr:uid="{00000000-0005-0000-0000-000014320000}"/>
    <cellStyle name="RowTitles1-Detail 4 4 2 5" xfId="12802" xr:uid="{00000000-0005-0000-0000-000015320000}"/>
    <cellStyle name="RowTitles1-Detail 4 4 2_Tertiary Salaries Survey" xfId="12803" xr:uid="{00000000-0005-0000-0000-000016320000}"/>
    <cellStyle name="RowTitles1-Detail 4 4 3" xfId="12804" xr:uid="{00000000-0005-0000-0000-000017320000}"/>
    <cellStyle name="RowTitles1-Detail 4 4 3 2" xfId="12805" xr:uid="{00000000-0005-0000-0000-000018320000}"/>
    <cellStyle name="RowTitles1-Detail 4 4 3 2 2" xfId="12806" xr:uid="{00000000-0005-0000-0000-000019320000}"/>
    <cellStyle name="RowTitles1-Detail 4 4 3 2 2 2" xfId="12807" xr:uid="{00000000-0005-0000-0000-00001A320000}"/>
    <cellStyle name="RowTitles1-Detail 4 4 3 2 2_Tertiary Salaries Survey" xfId="12808" xr:uid="{00000000-0005-0000-0000-00001B320000}"/>
    <cellStyle name="RowTitles1-Detail 4 4 3 2 3" xfId="12809" xr:uid="{00000000-0005-0000-0000-00001C320000}"/>
    <cellStyle name="RowTitles1-Detail 4 4 3 2_Tertiary Salaries Survey" xfId="12810" xr:uid="{00000000-0005-0000-0000-00001D320000}"/>
    <cellStyle name="RowTitles1-Detail 4 4 3 3" xfId="12811" xr:uid="{00000000-0005-0000-0000-00001E320000}"/>
    <cellStyle name="RowTitles1-Detail 4 4 3 3 2" xfId="12812" xr:uid="{00000000-0005-0000-0000-00001F320000}"/>
    <cellStyle name="RowTitles1-Detail 4 4 3 3 2 2" xfId="12813" xr:uid="{00000000-0005-0000-0000-000020320000}"/>
    <cellStyle name="RowTitles1-Detail 4 4 3 3 2_Tertiary Salaries Survey" xfId="12814" xr:uid="{00000000-0005-0000-0000-000021320000}"/>
    <cellStyle name="RowTitles1-Detail 4 4 3 3 3" xfId="12815" xr:uid="{00000000-0005-0000-0000-000022320000}"/>
    <cellStyle name="RowTitles1-Detail 4 4 3 3_Tertiary Salaries Survey" xfId="12816" xr:uid="{00000000-0005-0000-0000-000023320000}"/>
    <cellStyle name="RowTitles1-Detail 4 4 3 4" xfId="12817" xr:uid="{00000000-0005-0000-0000-000024320000}"/>
    <cellStyle name="RowTitles1-Detail 4 4 3 5" xfId="12818" xr:uid="{00000000-0005-0000-0000-000025320000}"/>
    <cellStyle name="RowTitles1-Detail 4 4 3 5 2" xfId="12819" xr:uid="{00000000-0005-0000-0000-000026320000}"/>
    <cellStyle name="RowTitles1-Detail 4 4 3 5_Tertiary Salaries Survey" xfId="12820" xr:uid="{00000000-0005-0000-0000-000027320000}"/>
    <cellStyle name="RowTitles1-Detail 4 4 3 6" xfId="12821" xr:uid="{00000000-0005-0000-0000-000028320000}"/>
    <cellStyle name="RowTitles1-Detail 4 4 3_Tertiary Salaries Survey" xfId="12822" xr:uid="{00000000-0005-0000-0000-000029320000}"/>
    <cellStyle name="RowTitles1-Detail 4 4 4" xfId="12823" xr:uid="{00000000-0005-0000-0000-00002A320000}"/>
    <cellStyle name="RowTitles1-Detail 4 4 4 2" xfId="12824" xr:uid="{00000000-0005-0000-0000-00002B320000}"/>
    <cellStyle name="RowTitles1-Detail 4 4 4 2 2" xfId="12825" xr:uid="{00000000-0005-0000-0000-00002C320000}"/>
    <cellStyle name="RowTitles1-Detail 4 4 4 2 2 2" xfId="12826" xr:uid="{00000000-0005-0000-0000-00002D320000}"/>
    <cellStyle name="RowTitles1-Detail 4 4 4 2 2_Tertiary Salaries Survey" xfId="12827" xr:uid="{00000000-0005-0000-0000-00002E320000}"/>
    <cellStyle name="RowTitles1-Detail 4 4 4 2 3" xfId="12828" xr:uid="{00000000-0005-0000-0000-00002F320000}"/>
    <cellStyle name="RowTitles1-Detail 4 4 4 2_Tertiary Salaries Survey" xfId="12829" xr:uid="{00000000-0005-0000-0000-000030320000}"/>
    <cellStyle name="RowTitles1-Detail 4 4 4 3" xfId="12830" xr:uid="{00000000-0005-0000-0000-000031320000}"/>
    <cellStyle name="RowTitles1-Detail 4 4 4 3 2" xfId="12831" xr:uid="{00000000-0005-0000-0000-000032320000}"/>
    <cellStyle name="RowTitles1-Detail 4 4 4 3 2 2" xfId="12832" xr:uid="{00000000-0005-0000-0000-000033320000}"/>
    <cellStyle name="RowTitles1-Detail 4 4 4 3 2_Tertiary Salaries Survey" xfId="12833" xr:uid="{00000000-0005-0000-0000-000034320000}"/>
    <cellStyle name="RowTitles1-Detail 4 4 4 3 3" xfId="12834" xr:uid="{00000000-0005-0000-0000-000035320000}"/>
    <cellStyle name="RowTitles1-Detail 4 4 4 3_Tertiary Salaries Survey" xfId="12835" xr:uid="{00000000-0005-0000-0000-000036320000}"/>
    <cellStyle name="RowTitles1-Detail 4 4 4 4" xfId="12836" xr:uid="{00000000-0005-0000-0000-000037320000}"/>
    <cellStyle name="RowTitles1-Detail 4 4 4 4 2" xfId="12837" xr:uid="{00000000-0005-0000-0000-000038320000}"/>
    <cellStyle name="RowTitles1-Detail 4 4 4 4_Tertiary Salaries Survey" xfId="12838" xr:uid="{00000000-0005-0000-0000-000039320000}"/>
    <cellStyle name="RowTitles1-Detail 4 4 4 5" xfId="12839" xr:uid="{00000000-0005-0000-0000-00003A320000}"/>
    <cellStyle name="RowTitles1-Detail 4 4 4_Tertiary Salaries Survey" xfId="12840" xr:uid="{00000000-0005-0000-0000-00003B320000}"/>
    <cellStyle name="RowTitles1-Detail 4 4 5" xfId="12841" xr:uid="{00000000-0005-0000-0000-00003C320000}"/>
    <cellStyle name="RowTitles1-Detail 4 4 5 2" xfId="12842" xr:uid="{00000000-0005-0000-0000-00003D320000}"/>
    <cellStyle name="RowTitles1-Detail 4 4 5 2 2" xfId="12843" xr:uid="{00000000-0005-0000-0000-00003E320000}"/>
    <cellStyle name="RowTitles1-Detail 4 4 5 2 2 2" xfId="12844" xr:uid="{00000000-0005-0000-0000-00003F320000}"/>
    <cellStyle name="RowTitles1-Detail 4 4 5 2 2_Tertiary Salaries Survey" xfId="12845" xr:uid="{00000000-0005-0000-0000-000040320000}"/>
    <cellStyle name="RowTitles1-Detail 4 4 5 2 3" xfId="12846" xr:uid="{00000000-0005-0000-0000-000041320000}"/>
    <cellStyle name="RowTitles1-Detail 4 4 5 2_Tertiary Salaries Survey" xfId="12847" xr:uid="{00000000-0005-0000-0000-000042320000}"/>
    <cellStyle name="RowTitles1-Detail 4 4 5 3" xfId="12848" xr:uid="{00000000-0005-0000-0000-000043320000}"/>
    <cellStyle name="RowTitles1-Detail 4 4 5 3 2" xfId="12849" xr:uid="{00000000-0005-0000-0000-000044320000}"/>
    <cellStyle name="RowTitles1-Detail 4 4 5 3 2 2" xfId="12850" xr:uid="{00000000-0005-0000-0000-000045320000}"/>
    <cellStyle name="RowTitles1-Detail 4 4 5 3 2_Tertiary Salaries Survey" xfId="12851" xr:uid="{00000000-0005-0000-0000-000046320000}"/>
    <cellStyle name="RowTitles1-Detail 4 4 5 3 3" xfId="12852" xr:uid="{00000000-0005-0000-0000-000047320000}"/>
    <cellStyle name="RowTitles1-Detail 4 4 5 3_Tertiary Salaries Survey" xfId="12853" xr:uid="{00000000-0005-0000-0000-000048320000}"/>
    <cellStyle name="RowTitles1-Detail 4 4 5 4" xfId="12854" xr:uid="{00000000-0005-0000-0000-000049320000}"/>
    <cellStyle name="RowTitles1-Detail 4 4 5 4 2" xfId="12855" xr:uid="{00000000-0005-0000-0000-00004A320000}"/>
    <cellStyle name="RowTitles1-Detail 4 4 5 4_Tertiary Salaries Survey" xfId="12856" xr:uid="{00000000-0005-0000-0000-00004B320000}"/>
    <cellStyle name="RowTitles1-Detail 4 4 5 5" xfId="12857" xr:uid="{00000000-0005-0000-0000-00004C320000}"/>
    <cellStyle name="RowTitles1-Detail 4 4 5_Tertiary Salaries Survey" xfId="12858" xr:uid="{00000000-0005-0000-0000-00004D320000}"/>
    <cellStyle name="RowTitles1-Detail 4 4 6" xfId="12859" xr:uid="{00000000-0005-0000-0000-00004E320000}"/>
    <cellStyle name="RowTitles1-Detail 4 4 6 2" xfId="12860" xr:uid="{00000000-0005-0000-0000-00004F320000}"/>
    <cellStyle name="RowTitles1-Detail 4 4 6 2 2" xfId="12861" xr:uid="{00000000-0005-0000-0000-000050320000}"/>
    <cellStyle name="RowTitles1-Detail 4 4 6 2 2 2" xfId="12862" xr:uid="{00000000-0005-0000-0000-000051320000}"/>
    <cellStyle name="RowTitles1-Detail 4 4 6 2 2_Tertiary Salaries Survey" xfId="12863" xr:uid="{00000000-0005-0000-0000-000052320000}"/>
    <cellStyle name="RowTitles1-Detail 4 4 6 2 3" xfId="12864" xr:uid="{00000000-0005-0000-0000-000053320000}"/>
    <cellStyle name="RowTitles1-Detail 4 4 6 2_Tertiary Salaries Survey" xfId="12865" xr:uid="{00000000-0005-0000-0000-000054320000}"/>
    <cellStyle name="RowTitles1-Detail 4 4 6 3" xfId="12866" xr:uid="{00000000-0005-0000-0000-000055320000}"/>
    <cellStyle name="RowTitles1-Detail 4 4 6 3 2" xfId="12867" xr:uid="{00000000-0005-0000-0000-000056320000}"/>
    <cellStyle name="RowTitles1-Detail 4 4 6 3 2 2" xfId="12868" xr:uid="{00000000-0005-0000-0000-000057320000}"/>
    <cellStyle name="RowTitles1-Detail 4 4 6 3 2_Tertiary Salaries Survey" xfId="12869" xr:uid="{00000000-0005-0000-0000-000058320000}"/>
    <cellStyle name="RowTitles1-Detail 4 4 6 3 3" xfId="12870" xr:uid="{00000000-0005-0000-0000-000059320000}"/>
    <cellStyle name="RowTitles1-Detail 4 4 6 3_Tertiary Salaries Survey" xfId="12871" xr:uid="{00000000-0005-0000-0000-00005A320000}"/>
    <cellStyle name="RowTitles1-Detail 4 4 6 4" xfId="12872" xr:uid="{00000000-0005-0000-0000-00005B320000}"/>
    <cellStyle name="RowTitles1-Detail 4 4 6 4 2" xfId="12873" xr:uid="{00000000-0005-0000-0000-00005C320000}"/>
    <cellStyle name="RowTitles1-Detail 4 4 6 4_Tertiary Salaries Survey" xfId="12874" xr:uid="{00000000-0005-0000-0000-00005D320000}"/>
    <cellStyle name="RowTitles1-Detail 4 4 6 5" xfId="12875" xr:uid="{00000000-0005-0000-0000-00005E320000}"/>
    <cellStyle name="RowTitles1-Detail 4 4 6_Tertiary Salaries Survey" xfId="12876" xr:uid="{00000000-0005-0000-0000-00005F320000}"/>
    <cellStyle name="RowTitles1-Detail 4 4 7" xfId="12877" xr:uid="{00000000-0005-0000-0000-000060320000}"/>
    <cellStyle name="RowTitles1-Detail 4 4 7 2" xfId="12878" xr:uid="{00000000-0005-0000-0000-000061320000}"/>
    <cellStyle name="RowTitles1-Detail 4 4 7 2 2" xfId="12879" xr:uid="{00000000-0005-0000-0000-000062320000}"/>
    <cellStyle name="RowTitles1-Detail 4 4 7 2_Tertiary Salaries Survey" xfId="12880" xr:uid="{00000000-0005-0000-0000-000063320000}"/>
    <cellStyle name="RowTitles1-Detail 4 4 7 3" xfId="12881" xr:uid="{00000000-0005-0000-0000-000064320000}"/>
    <cellStyle name="RowTitles1-Detail 4 4 7_Tertiary Salaries Survey" xfId="12882" xr:uid="{00000000-0005-0000-0000-000065320000}"/>
    <cellStyle name="RowTitles1-Detail 4 4 8" xfId="12883" xr:uid="{00000000-0005-0000-0000-000066320000}"/>
    <cellStyle name="RowTitles1-Detail 4 4 9" xfId="12884" xr:uid="{00000000-0005-0000-0000-000067320000}"/>
    <cellStyle name="RowTitles1-Detail 4 4_STUD aligned by INSTIT" xfId="12885" xr:uid="{00000000-0005-0000-0000-000068320000}"/>
    <cellStyle name="RowTitles1-Detail 4 5" xfId="12886" xr:uid="{00000000-0005-0000-0000-000069320000}"/>
    <cellStyle name="RowTitles1-Detail 4 5 2" xfId="12887" xr:uid="{00000000-0005-0000-0000-00006A320000}"/>
    <cellStyle name="RowTitles1-Detail 4 5 2 2" xfId="12888" xr:uid="{00000000-0005-0000-0000-00006B320000}"/>
    <cellStyle name="RowTitles1-Detail 4 5 2 2 2" xfId="12889" xr:uid="{00000000-0005-0000-0000-00006C320000}"/>
    <cellStyle name="RowTitles1-Detail 4 5 2 2 2 2" xfId="12890" xr:uid="{00000000-0005-0000-0000-00006D320000}"/>
    <cellStyle name="RowTitles1-Detail 4 5 2 2 2_Tertiary Salaries Survey" xfId="12891" xr:uid="{00000000-0005-0000-0000-00006E320000}"/>
    <cellStyle name="RowTitles1-Detail 4 5 2 2 3" xfId="12892" xr:uid="{00000000-0005-0000-0000-00006F320000}"/>
    <cellStyle name="RowTitles1-Detail 4 5 2 2_Tertiary Salaries Survey" xfId="12893" xr:uid="{00000000-0005-0000-0000-000070320000}"/>
    <cellStyle name="RowTitles1-Detail 4 5 2 3" xfId="12894" xr:uid="{00000000-0005-0000-0000-000071320000}"/>
    <cellStyle name="RowTitles1-Detail 4 5 2 3 2" xfId="12895" xr:uid="{00000000-0005-0000-0000-000072320000}"/>
    <cellStyle name="RowTitles1-Detail 4 5 2 3 2 2" xfId="12896" xr:uid="{00000000-0005-0000-0000-000073320000}"/>
    <cellStyle name="RowTitles1-Detail 4 5 2 3 2_Tertiary Salaries Survey" xfId="12897" xr:uid="{00000000-0005-0000-0000-000074320000}"/>
    <cellStyle name="RowTitles1-Detail 4 5 2 3 3" xfId="12898" xr:uid="{00000000-0005-0000-0000-000075320000}"/>
    <cellStyle name="RowTitles1-Detail 4 5 2 3_Tertiary Salaries Survey" xfId="12899" xr:uid="{00000000-0005-0000-0000-000076320000}"/>
    <cellStyle name="RowTitles1-Detail 4 5 2 4" xfId="12900" xr:uid="{00000000-0005-0000-0000-000077320000}"/>
    <cellStyle name="RowTitles1-Detail 4 5 2 5" xfId="12901" xr:uid="{00000000-0005-0000-0000-000078320000}"/>
    <cellStyle name="RowTitles1-Detail 4 5 2 5 2" xfId="12902" xr:uid="{00000000-0005-0000-0000-000079320000}"/>
    <cellStyle name="RowTitles1-Detail 4 5 2 5_Tertiary Salaries Survey" xfId="12903" xr:uid="{00000000-0005-0000-0000-00007A320000}"/>
    <cellStyle name="RowTitles1-Detail 4 5 2 6" xfId="12904" xr:uid="{00000000-0005-0000-0000-00007B320000}"/>
    <cellStyle name="RowTitles1-Detail 4 5 2_Tertiary Salaries Survey" xfId="12905" xr:uid="{00000000-0005-0000-0000-00007C320000}"/>
    <cellStyle name="RowTitles1-Detail 4 5 3" xfId="12906" xr:uid="{00000000-0005-0000-0000-00007D320000}"/>
    <cellStyle name="RowTitles1-Detail 4 5 3 2" xfId="12907" xr:uid="{00000000-0005-0000-0000-00007E320000}"/>
    <cellStyle name="RowTitles1-Detail 4 5 3 2 2" xfId="12908" xr:uid="{00000000-0005-0000-0000-00007F320000}"/>
    <cellStyle name="RowTitles1-Detail 4 5 3 2 2 2" xfId="12909" xr:uid="{00000000-0005-0000-0000-000080320000}"/>
    <cellStyle name="RowTitles1-Detail 4 5 3 2 2_Tertiary Salaries Survey" xfId="12910" xr:uid="{00000000-0005-0000-0000-000081320000}"/>
    <cellStyle name="RowTitles1-Detail 4 5 3 2 3" xfId="12911" xr:uid="{00000000-0005-0000-0000-000082320000}"/>
    <cellStyle name="RowTitles1-Detail 4 5 3 2_Tertiary Salaries Survey" xfId="12912" xr:uid="{00000000-0005-0000-0000-000083320000}"/>
    <cellStyle name="RowTitles1-Detail 4 5 3 3" xfId="12913" xr:uid="{00000000-0005-0000-0000-000084320000}"/>
    <cellStyle name="RowTitles1-Detail 4 5 3 3 2" xfId="12914" xr:uid="{00000000-0005-0000-0000-000085320000}"/>
    <cellStyle name="RowTitles1-Detail 4 5 3 3 2 2" xfId="12915" xr:uid="{00000000-0005-0000-0000-000086320000}"/>
    <cellStyle name="RowTitles1-Detail 4 5 3 3 2_Tertiary Salaries Survey" xfId="12916" xr:uid="{00000000-0005-0000-0000-000087320000}"/>
    <cellStyle name="RowTitles1-Detail 4 5 3 3 3" xfId="12917" xr:uid="{00000000-0005-0000-0000-000088320000}"/>
    <cellStyle name="RowTitles1-Detail 4 5 3 3_Tertiary Salaries Survey" xfId="12918" xr:uid="{00000000-0005-0000-0000-000089320000}"/>
    <cellStyle name="RowTitles1-Detail 4 5 3 4" xfId="12919" xr:uid="{00000000-0005-0000-0000-00008A320000}"/>
    <cellStyle name="RowTitles1-Detail 4 5 3 5" xfId="12920" xr:uid="{00000000-0005-0000-0000-00008B320000}"/>
    <cellStyle name="RowTitles1-Detail 4 5 3_Tertiary Salaries Survey" xfId="12921" xr:uid="{00000000-0005-0000-0000-00008C320000}"/>
    <cellStyle name="RowTitles1-Detail 4 5 4" xfId="12922" xr:uid="{00000000-0005-0000-0000-00008D320000}"/>
    <cellStyle name="RowTitles1-Detail 4 5 4 2" xfId="12923" xr:uid="{00000000-0005-0000-0000-00008E320000}"/>
    <cellStyle name="RowTitles1-Detail 4 5 4 2 2" xfId="12924" xr:uid="{00000000-0005-0000-0000-00008F320000}"/>
    <cellStyle name="RowTitles1-Detail 4 5 4 2 2 2" xfId="12925" xr:uid="{00000000-0005-0000-0000-000090320000}"/>
    <cellStyle name="RowTitles1-Detail 4 5 4 2 2_Tertiary Salaries Survey" xfId="12926" xr:uid="{00000000-0005-0000-0000-000091320000}"/>
    <cellStyle name="RowTitles1-Detail 4 5 4 2 3" xfId="12927" xr:uid="{00000000-0005-0000-0000-000092320000}"/>
    <cellStyle name="RowTitles1-Detail 4 5 4 2_Tertiary Salaries Survey" xfId="12928" xr:uid="{00000000-0005-0000-0000-000093320000}"/>
    <cellStyle name="RowTitles1-Detail 4 5 4 3" xfId="12929" xr:uid="{00000000-0005-0000-0000-000094320000}"/>
    <cellStyle name="RowTitles1-Detail 4 5 4 3 2" xfId="12930" xr:uid="{00000000-0005-0000-0000-000095320000}"/>
    <cellStyle name="RowTitles1-Detail 4 5 4 3 2 2" xfId="12931" xr:uid="{00000000-0005-0000-0000-000096320000}"/>
    <cellStyle name="RowTitles1-Detail 4 5 4 3 2_Tertiary Salaries Survey" xfId="12932" xr:uid="{00000000-0005-0000-0000-000097320000}"/>
    <cellStyle name="RowTitles1-Detail 4 5 4 3 3" xfId="12933" xr:uid="{00000000-0005-0000-0000-000098320000}"/>
    <cellStyle name="RowTitles1-Detail 4 5 4 3_Tertiary Salaries Survey" xfId="12934" xr:uid="{00000000-0005-0000-0000-000099320000}"/>
    <cellStyle name="RowTitles1-Detail 4 5 4 4" xfId="12935" xr:uid="{00000000-0005-0000-0000-00009A320000}"/>
    <cellStyle name="RowTitles1-Detail 4 5 4 4 2" xfId="12936" xr:uid="{00000000-0005-0000-0000-00009B320000}"/>
    <cellStyle name="RowTitles1-Detail 4 5 4 4_Tertiary Salaries Survey" xfId="12937" xr:uid="{00000000-0005-0000-0000-00009C320000}"/>
    <cellStyle name="RowTitles1-Detail 4 5 4 5" xfId="12938" xr:uid="{00000000-0005-0000-0000-00009D320000}"/>
    <cellStyle name="RowTitles1-Detail 4 5 4_Tertiary Salaries Survey" xfId="12939" xr:uid="{00000000-0005-0000-0000-00009E320000}"/>
    <cellStyle name="RowTitles1-Detail 4 5 5" xfId="12940" xr:uid="{00000000-0005-0000-0000-00009F320000}"/>
    <cellStyle name="RowTitles1-Detail 4 5 5 2" xfId="12941" xr:uid="{00000000-0005-0000-0000-0000A0320000}"/>
    <cellStyle name="RowTitles1-Detail 4 5 5 2 2" xfId="12942" xr:uid="{00000000-0005-0000-0000-0000A1320000}"/>
    <cellStyle name="RowTitles1-Detail 4 5 5 2 2 2" xfId="12943" xr:uid="{00000000-0005-0000-0000-0000A2320000}"/>
    <cellStyle name="RowTitles1-Detail 4 5 5 2 2_Tertiary Salaries Survey" xfId="12944" xr:uid="{00000000-0005-0000-0000-0000A3320000}"/>
    <cellStyle name="RowTitles1-Detail 4 5 5 2 3" xfId="12945" xr:uid="{00000000-0005-0000-0000-0000A4320000}"/>
    <cellStyle name="RowTitles1-Detail 4 5 5 2_Tertiary Salaries Survey" xfId="12946" xr:uid="{00000000-0005-0000-0000-0000A5320000}"/>
    <cellStyle name="RowTitles1-Detail 4 5 5 3" xfId="12947" xr:uid="{00000000-0005-0000-0000-0000A6320000}"/>
    <cellStyle name="RowTitles1-Detail 4 5 5 3 2" xfId="12948" xr:uid="{00000000-0005-0000-0000-0000A7320000}"/>
    <cellStyle name="RowTitles1-Detail 4 5 5 3 2 2" xfId="12949" xr:uid="{00000000-0005-0000-0000-0000A8320000}"/>
    <cellStyle name="RowTitles1-Detail 4 5 5 3 2_Tertiary Salaries Survey" xfId="12950" xr:uid="{00000000-0005-0000-0000-0000A9320000}"/>
    <cellStyle name="RowTitles1-Detail 4 5 5 3 3" xfId="12951" xr:uid="{00000000-0005-0000-0000-0000AA320000}"/>
    <cellStyle name="RowTitles1-Detail 4 5 5 3_Tertiary Salaries Survey" xfId="12952" xr:uid="{00000000-0005-0000-0000-0000AB320000}"/>
    <cellStyle name="RowTitles1-Detail 4 5 5 4" xfId="12953" xr:uid="{00000000-0005-0000-0000-0000AC320000}"/>
    <cellStyle name="RowTitles1-Detail 4 5 5 4 2" xfId="12954" xr:uid="{00000000-0005-0000-0000-0000AD320000}"/>
    <cellStyle name="RowTitles1-Detail 4 5 5 4_Tertiary Salaries Survey" xfId="12955" xr:uid="{00000000-0005-0000-0000-0000AE320000}"/>
    <cellStyle name="RowTitles1-Detail 4 5 5 5" xfId="12956" xr:uid="{00000000-0005-0000-0000-0000AF320000}"/>
    <cellStyle name="RowTitles1-Detail 4 5 5_Tertiary Salaries Survey" xfId="12957" xr:uid="{00000000-0005-0000-0000-0000B0320000}"/>
    <cellStyle name="RowTitles1-Detail 4 5 6" xfId="12958" xr:uid="{00000000-0005-0000-0000-0000B1320000}"/>
    <cellStyle name="RowTitles1-Detail 4 5 6 2" xfId="12959" xr:uid="{00000000-0005-0000-0000-0000B2320000}"/>
    <cellStyle name="RowTitles1-Detail 4 5 6 2 2" xfId="12960" xr:uid="{00000000-0005-0000-0000-0000B3320000}"/>
    <cellStyle name="RowTitles1-Detail 4 5 6 2 2 2" xfId="12961" xr:uid="{00000000-0005-0000-0000-0000B4320000}"/>
    <cellStyle name="RowTitles1-Detail 4 5 6 2 2_Tertiary Salaries Survey" xfId="12962" xr:uid="{00000000-0005-0000-0000-0000B5320000}"/>
    <cellStyle name="RowTitles1-Detail 4 5 6 2 3" xfId="12963" xr:uid="{00000000-0005-0000-0000-0000B6320000}"/>
    <cellStyle name="RowTitles1-Detail 4 5 6 2_Tertiary Salaries Survey" xfId="12964" xr:uid="{00000000-0005-0000-0000-0000B7320000}"/>
    <cellStyle name="RowTitles1-Detail 4 5 6 3" xfId="12965" xr:uid="{00000000-0005-0000-0000-0000B8320000}"/>
    <cellStyle name="RowTitles1-Detail 4 5 6 3 2" xfId="12966" xr:uid="{00000000-0005-0000-0000-0000B9320000}"/>
    <cellStyle name="RowTitles1-Detail 4 5 6 3 2 2" xfId="12967" xr:uid="{00000000-0005-0000-0000-0000BA320000}"/>
    <cellStyle name="RowTitles1-Detail 4 5 6 3 2_Tertiary Salaries Survey" xfId="12968" xr:uid="{00000000-0005-0000-0000-0000BB320000}"/>
    <cellStyle name="RowTitles1-Detail 4 5 6 3 3" xfId="12969" xr:uid="{00000000-0005-0000-0000-0000BC320000}"/>
    <cellStyle name="RowTitles1-Detail 4 5 6 3_Tertiary Salaries Survey" xfId="12970" xr:uid="{00000000-0005-0000-0000-0000BD320000}"/>
    <cellStyle name="RowTitles1-Detail 4 5 6 4" xfId="12971" xr:uid="{00000000-0005-0000-0000-0000BE320000}"/>
    <cellStyle name="RowTitles1-Detail 4 5 6 4 2" xfId="12972" xr:uid="{00000000-0005-0000-0000-0000BF320000}"/>
    <cellStyle name="RowTitles1-Detail 4 5 6 4_Tertiary Salaries Survey" xfId="12973" xr:uid="{00000000-0005-0000-0000-0000C0320000}"/>
    <cellStyle name="RowTitles1-Detail 4 5 6 5" xfId="12974" xr:uid="{00000000-0005-0000-0000-0000C1320000}"/>
    <cellStyle name="RowTitles1-Detail 4 5 6_Tertiary Salaries Survey" xfId="12975" xr:uid="{00000000-0005-0000-0000-0000C2320000}"/>
    <cellStyle name="RowTitles1-Detail 4 5 7" xfId="12976" xr:uid="{00000000-0005-0000-0000-0000C3320000}"/>
    <cellStyle name="RowTitles1-Detail 4 5 7 2" xfId="12977" xr:uid="{00000000-0005-0000-0000-0000C4320000}"/>
    <cellStyle name="RowTitles1-Detail 4 5 7 2 2" xfId="12978" xr:uid="{00000000-0005-0000-0000-0000C5320000}"/>
    <cellStyle name="RowTitles1-Detail 4 5 7 2_Tertiary Salaries Survey" xfId="12979" xr:uid="{00000000-0005-0000-0000-0000C6320000}"/>
    <cellStyle name="RowTitles1-Detail 4 5 7 3" xfId="12980" xr:uid="{00000000-0005-0000-0000-0000C7320000}"/>
    <cellStyle name="RowTitles1-Detail 4 5 7_Tertiary Salaries Survey" xfId="12981" xr:uid="{00000000-0005-0000-0000-0000C8320000}"/>
    <cellStyle name="RowTitles1-Detail 4 5 8" xfId="12982" xr:uid="{00000000-0005-0000-0000-0000C9320000}"/>
    <cellStyle name="RowTitles1-Detail 4 5 8 2" xfId="12983" xr:uid="{00000000-0005-0000-0000-0000CA320000}"/>
    <cellStyle name="RowTitles1-Detail 4 5 8 2 2" xfId="12984" xr:uid="{00000000-0005-0000-0000-0000CB320000}"/>
    <cellStyle name="RowTitles1-Detail 4 5 8 2_Tertiary Salaries Survey" xfId="12985" xr:uid="{00000000-0005-0000-0000-0000CC320000}"/>
    <cellStyle name="RowTitles1-Detail 4 5 8 3" xfId="12986" xr:uid="{00000000-0005-0000-0000-0000CD320000}"/>
    <cellStyle name="RowTitles1-Detail 4 5 8_Tertiary Salaries Survey" xfId="12987" xr:uid="{00000000-0005-0000-0000-0000CE320000}"/>
    <cellStyle name="RowTitles1-Detail 4 5 9" xfId="12988" xr:uid="{00000000-0005-0000-0000-0000CF320000}"/>
    <cellStyle name="RowTitles1-Detail 4 5_STUD aligned by INSTIT" xfId="12989" xr:uid="{00000000-0005-0000-0000-0000D0320000}"/>
    <cellStyle name="RowTitles1-Detail 4 6" xfId="12990" xr:uid="{00000000-0005-0000-0000-0000D1320000}"/>
    <cellStyle name="RowTitles1-Detail 4 6 2" xfId="12991" xr:uid="{00000000-0005-0000-0000-0000D2320000}"/>
    <cellStyle name="RowTitles1-Detail 4 6 2 2" xfId="12992" xr:uid="{00000000-0005-0000-0000-0000D3320000}"/>
    <cellStyle name="RowTitles1-Detail 4 6 2 2 2" xfId="12993" xr:uid="{00000000-0005-0000-0000-0000D4320000}"/>
    <cellStyle name="RowTitles1-Detail 4 6 2 2 2 2" xfId="12994" xr:uid="{00000000-0005-0000-0000-0000D5320000}"/>
    <cellStyle name="RowTitles1-Detail 4 6 2 2 2_Tertiary Salaries Survey" xfId="12995" xr:uid="{00000000-0005-0000-0000-0000D6320000}"/>
    <cellStyle name="RowTitles1-Detail 4 6 2 2 3" xfId="12996" xr:uid="{00000000-0005-0000-0000-0000D7320000}"/>
    <cellStyle name="RowTitles1-Detail 4 6 2 2_Tertiary Salaries Survey" xfId="12997" xr:uid="{00000000-0005-0000-0000-0000D8320000}"/>
    <cellStyle name="RowTitles1-Detail 4 6 2 3" xfId="12998" xr:uid="{00000000-0005-0000-0000-0000D9320000}"/>
    <cellStyle name="RowTitles1-Detail 4 6 2 3 2" xfId="12999" xr:uid="{00000000-0005-0000-0000-0000DA320000}"/>
    <cellStyle name="RowTitles1-Detail 4 6 2 3 2 2" xfId="13000" xr:uid="{00000000-0005-0000-0000-0000DB320000}"/>
    <cellStyle name="RowTitles1-Detail 4 6 2 3 2_Tertiary Salaries Survey" xfId="13001" xr:uid="{00000000-0005-0000-0000-0000DC320000}"/>
    <cellStyle name="RowTitles1-Detail 4 6 2 3 3" xfId="13002" xr:uid="{00000000-0005-0000-0000-0000DD320000}"/>
    <cellStyle name="RowTitles1-Detail 4 6 2 3_Tertiary Salaries Survey" xfId="13003" xr:uid="{00000000-0005-0000-0000-0000DE320000}"/>
    <cellStyle name="RowTitles1-Detail 4 6 2 4" xfId="13004" xr:uid="{00000000-0005-0000-0000-0000DF320000}"/>
    <cellStyle name="RowTitles1-Detail 4 6 2 5" xfId="13005" xr:uid="{00000000-0005-0000-0000-0000E0320000}"/>
    <cellStyle name="RowTitles1-Detail 4 6 2 5 2" xfId="13006" xr:uid="{00000000-0005-0000-0000-0000E1320000}"/>
    <cellStyle name="RowTitles1-Detail 4 6 2 5_Tertiary Salaries Survey" xfId="13007" xr:uid="{00000000-0005-0000-0000-0000E2320000}"/>
    <cellStyle name="RowTitles1-Detail 4 6 2 6" xfId="13008" xr:uid="{00000000-0005-0000-0000-0000E3320000}"/>
    <cellStyle name="RowTitles1-Detail 4 6 2_Tertiary Salaries Survey" xfId="13009" xr:uid="{00000000-0005-0000-0000-0000E4320000}"/>
    <cellStyle name="RowTitles1-Detail 4 6 3" xfId="13010" xr:uid="{00000000-0005-0000-0000-0000E5320000}"/>
    <cellStyle name="RowTitles1-Detail 4 6 3 2" xfId="13011" xr:uid="{00000000-0005-0000-0000-0000E6320000}"/>
    <cellStyle name="RowTitles1-Detail 4 6 3 2 2" xfId="13012" xr:uid="{00000000-0005-0000-0000-0000E7320000}"/>
    <cellStyle name="RowTitles1-Detail 4 6 3 2 2 2" xfId="13013" xr:uid="{00000000-0005-0000-0000-0000E8320000}"/>
    <cellStyle name="RowTitles1-Detail 4 6 3 2 2_Tertiary Salaries Survey" xfId="13014" xr:uid="{00000000-0005-0000-0000-0000E9320000}"/>
    <cellStyle name="RowTitles1-Detail 4 6 3 2 3" xfId="13015" xr:uid="{00000000-0005-0000-0000-0000EA320000}"/>
    <cellStyle name="RowTitles1-Detail 4 6 3 2_Tertiary Salaries Survey" xfId="13016" xr:uid="{00000000-0005-0000-0000-0000EB320000}"/>
    <cellStyle name="RowTitles1-Detail 4 6 3 3" xfId="13017" xr:uid="{00000000-0005-0000-0000-0000EC320000}"/>
    <cellStyle name="RowTitles1-Detail 4 6 3 3 2" xfId="13018" xr:uid="{00000000-0005-0000-0000-0000ED320000}"/>
    <cellStyle name="RowTitles1-Detail 4 6 3 3 2 2" xfId="13019" xr:uid="{00000000-0005-0000-0000-0000EE320000}"/>
    <cellStyle name="RowTitles1-Detail 4 6 3 3 2_Tertiary Salaries Survey" xfId="13020" xr:uid="{00000000-0005-0000-0000-0000EF320000}"/>
    <cellStyle name="RowTitles1-Detail 4 6 3 3 3" xfId="13021" xr:uid="{00000000-0005-0000-0000-0000F0320000}"/>
    <cellStyle name="RowTitles1-Detail 4 6 3 3_Tertiary Salaries Survey" xfId="13022" xr:uid="{00000000-0005-0000-0000-0000F1320000}"/>
    <cellStyle name="RowTitles1-Detail 4 6 3 4" xfId="13023" xr:uid="{00000000-0005-0000-0000-0000F2320000}"/>
    <cellStyle name="RowTitles1-Detail 4 6 3 5" xfId="13024" xr:uid="{00000000-0005-0000-0000-0000F3320000}"/>
    <cellStyle name="RowTitles1-Detail 4 6 3_Tertiary Salaries Survey" xfId="13025" xr:uid="{00000000-0005-0000-0000-0000F4320000}"/>
    <cellStyle name="RowTitles1-Detail 4 6 4" xfId="13026" xr:uid="{00000000-0005-0000-0000-0000F5320000}"/>
    <cellStyle name="RowTitles1-Detail 4 6 4 2" xfId="13027" xr:uid="{00000000-0005-0000-0000-0000F6320000}"/>
    <cellStyle name="RowTitles1-Detail 4 6 4 2 2" xfId="13028" xr:uid="{00000000-0005-0000-0000-0000F7320000}"/>
    <cellStyle name="RowTitles1-Detail 4 6 4 2 2 2" xfId="13029" xr:uid="{00000000-0005-0000-0000-0000F8320000}"/>
    <cellStyle name="RowTitles1-Detail 4 6 4 2 2_Tertiary Salaries Survey" xfId="13030" xr:uid="{00000000-0005-0000-0000-0000F9320000}"/>
    <cellStyle name="RowTitles1-Detail 4 6 4 2 3" xfId="13031" xr:uid="{00000000-0005-0000-0000-0000FA320000}"/>
    <cellStyle name="RowTitles1-Detail 4 6 4 2_Tertiary Salaries Survey" xfId="13032" xr:uid="{00000000-0005-0000-0000-0000FB320000}"/>
    <cellStyle name="RowTitles1-Detail 4 6 4 3" xfId="13033" xr:uid="{00000000-0005-0000-0000-0000FC320000}"/>
    <cellStyle name="RowTitles1-Detail 4 6 4 3 2" xfId="13034" xr:uid="{00000000-0005-0000-0000-0000FD320000}"/>
    <cellStyle name="RowTitles1-Detail 4 6 4 3 2 2" xfId="13035" xr:uid="{00000000-0005-0000-0000-0000FE320000}"/>
    <cellStyle name="RowTitles1-Detail 4 6 4 3 2_Tertiary Salaries Survey" xfId="13036" xr:uid="{00000000-0005-0000-0000-0000FF320000}"/>
    <cellStyle name="RowTitles1-Detail 4 6 4 3 3" xfId="13037" xr:uid="{00000000-0005-0000-0000-000000330000}"/>
    <cellStyle name="RowTitles1-Detail 4 6 4 3_Tertiary Salaries Survey" xfId="13038" xr:uid="{00000000-0005-0000-0000-000001330000}"/>
    <cellStyle name="RowTitles1-Detail 4 6 4 4" xfId="13039" xr:uid="{00000000-0005-0000-0000-000002330000}"/>
    <cellStyle name="RowTitles1-Detail 4 6 4 5" xfId="13040" xr:uid="{00000000-0005-0000-0000-000003330000}"/>
    <cellStyle name="RowTitles1-Detail 4 6 4 5 2" xfId="13041" xr:uid="{00000000-0005-0000-0000-000004330000}"/>
    <cellStyle name="RowTitles1-Detail 4 6 4 5_Tertiary Salaries Survey" xfId="13042" xr:uid="{00000000-0005-0000-0000-000005330000}"/>
    <cellStyle name="RowTitles1-Detail 4 6 4 6" xfId="13043" xr:uid="{00000000-0005-0000-0000-000006330000}"/>
    <cellStyle name="RowTitles1-Detail 4 6 4_Tertiary Salaries Survey" xfId="13044" xr:uid="{00000000-0005-0000-0000-000007330000}"/>
    <cellStyle name="RowTitles1-Detail 4 6 5" xfId="13045" xr:uid="{00000000-0005-0000-0000-000008330000}"/>
    <cellStyle name="RowTitles1-Detail 4 6 5 2" xfId="13046" xr:uid="{00000000-0005-0000-0000-000009330000}"/>
    <cellStyle name="RowTitles1-Detail 4 6 5 2 2" xfId="13047" xr:uid="{00000000-0005-0000-0000-00000A330000}"/>
    <cellStyle name="RowTitles1-Detail 4 6 5 2 2 2" xfId="13048" xr:uid="{00000000-0005-0000-0000-00000B330000}"/>
    <cellStyle name="RowTitles1-Detail 4 6 5 2 2_Tertiary Salaries Survey" xfId="13049" xr:uid="{00000000-0005-0000-0000-00000C330000}"/>
    <cellStyle name="RowTitles1-Detail 4 6 5 2 3" xfId="13050" xr:uid="{00000000-0005-0000-0000-00000D330000}"/>
    <cellStyle name="RowTitles1-Detail 4 6 5 2_Tertiary Salaries Survey" xfId="13051" xr:uid="{00000000-0005-0000-0000-00000E330000}"/>
    <cellStyle name="RowTitles1-Detail 4 6 5 3" xfId="13052" xr:uid="{00000000-0005-0000-0000-00000F330000}"/>
    <cellStyle name="RowTitles1-Detail 4 6 5 3 2" xfId="13053" xr:uid="{00000000-0005-0000-0000-000010330000}"/>
    <cellStyle name="RowTitles1-Detail 4 6 5 3 2 2" xfId="13054" xr:uid="{00000000-0005-0000-0000-000011330000}"/>
    <cellStyle name="RowTitles1-Detail 4 6 5 3 2_Tertiary Salaries Survey" xfId="13055" xr:uid="{00000000-0005-0000-0000-000012330000}"/>
    <cellStyle name="RowTitles1-Detail 4 6 5 3 3" xfId="13056" xr:uid="{00000000-0005-0000-0000-000013330000}"/>
    <cellStyle name="RowTitles1-Detail 4 6 5 3_Tertiary Salaries Survey" xfId="13057" xr:uid="{00000000-0005-0000-0000-000014330000}"/>
    <cellStyle name="RowTitles1-Detail 4 6 5 4" xfId="13058" xr:uid="{00000000-0005-0000-0000-000015330000}"/>
    <cellStyle name="RowTitles1-Detail 4 6 5 4 2" xfId="13059" xr:uid="{00000000-0005-0000-0000-000016330000}"/>
    <cellStyle name="RowTitles1-Detail 4 6 5 4_Tertiary Salaries Survey" xfId="13060" xr:uid="{00000000-0005-0000-0000-000017330000}"/>
    <cellStyle name="RowTitles1-Detail 4 6 5 5" xfId="13061" xr:uid="{00000000-0005-0000-0000-000018330000}"/>
    <cellStyle name="RowTitles1-Detail 4 6 5_Tertiary Salaries Survey" xfId="13062" xr:uid="{00000000-0005-0000-0000-000019330000}"/>
    <cellStyle name="RowTitles1-Detail 4 6 6" xfId="13063" xr:uid="{00000000-0005-0000-0000-00001A330000}"/>
    <cellStyle name="RowTitles1-Detail 4 6 6 2" xfId="13064" xr:uid="{00000000-0005-0000-0000-00001B330000}"/>
    <cellStyle name="RowTitles1-Detail 4 6 6 2 2" xfId="13065" xr:uid="{00000000-0005-0000-0000-00001C330000}"/>
    <cellStyle name="RowTitles1-Detail 4 6 6 2 2 2" xfId="13066" xr:uid="{00000000-0005-0000-0000-00001D330000}"/>
    <cellStyle name="RowTitles1-Detail 4 6 6 2 2_Tertiary Salaries Survey" xfId="13067" xr:uid="{00000000-0005-0000-0000-00001E330000}"/>
    <cellStyle name="RowTitles1-Detail 4 6 6 2 3" xfId="13068" xr:uid="{00000000-0005-0000-0000-00001F330000}"/>
    <cellStyle name="RowTitles1-Detail 4 6 6 2_Tertiary Salaries Survey" xfId="13069" xr:uid="{00000000-0005-0000-0000-000020330000}"/>
    <cellStyle name="RowTitles1-Detail 4 6 6 3" xfId="13070" xr:uid="{00000000-0005-0000-0000-000021330000}"/>
    <cellStyle name="RowTitles1-Detail 4 6 6 3 2" xfId="13071" xr:uid="{00000000-0005-0000-0000-000022330000}"/>
    <cellStyle name="RowTitles1-Detail 4 6 6 3 2 2" xfId="13072" xr:uid="{00000000-0005-0000-0000-000023330000}"/>
    <cellStyle name="RowTitles1-Detail 4 6 6 3 2_Tertiary Salaries Survey" xfId="13073" xr:uid="{00000000-0005-0000-0000-000024330000}"/>
    <cellStyle name="RowTitles1-Detail 4 6 6 3 3" xfId="13074" xr:uid="{00000000-0005-0000-0000-000025330000}"/>
    <cellStyle name="RowTitles1-Detail 4 6 6 3_Tertiary Salaries Survey" xfId="13075" xr:uid="{00000000-0005-0000-0000-000026330000}"/>
    <cellStyle name="RowTitles1-Detail 4 6 6 4" xfId="13076" xr:uid="{00000000-0005-0000-0000-000027330000}"/>
    <cellStyle name="RowTitles1-Detail 4 6 6 4 2" xfId="13077" xr:uid="{00000000-0005-0000-0000-000028330000}"/>
    <cellStyle name="RowTitles1-Detail 4 6 6 4_Tertiary Salaries Survey" xfId="13078" xr:uid="{00000000-0005-0000-0000-000029330000}"/>
    <cellStyle name="RowTitles1-Detail 4 6 6 5" xfId="13079" xr:uid="{00000000-0005-0000-0000-00002A330000}"/>
    <cellStyle name="RowTitles1-Detail 4 6 6_Tertiary Salaries Survey" xfId="13080" xr:uid="{00000000-0005-0000-0000-00002B330000}"/>
    <cellStyle name="RowTitles1-Detail 4 6 7" xfId="13081" xr:uid="{00000000-0005-0000-0000-00002C330000}"/>
    <cellStyle name="RowTitles1-Detail 4 6 7 2" xfId="13082" xr:uid="{00000000-0005-0000-0000-00002D330000}"/>
    <cellStyle name="RowTitles1-Detail 4 6 7 2 2" xfId="13083" xr:uid="{00000000-0005-0000-0000-00002E330000}"/>
    <cellStyle name="RowTitles1-Detail 4 6 7 2_Tertiary Salaries Survey" xfId="13084" xr:uid="{00000000-0005-0000-0000-00002F330000}"/>
    <cellStyle name="RowTitles1-Detail 4 6 7 3" xfId="13085" xr:uid="{00000000-0005-0000-0000-000030330000}"/>
    <cellStyle name="RowTitles1-Detail 4 6 7_Tertiary Salaries Survey" xfId="13086" xr:uid="{00000000-0005-0000-0000-000031330000}"/>
    <cellStyle name="RowTitles1-Detail 4 6 8" xfId="13087" xr:uid="{00000000-0005-0000-0000-000032330000}"/>
    <cellStyle name="RowTitles1-Detail 4 6 9" xfId="13088" xr:uid="{00000000-0005-0000-0000-000033330000}"/>
    <cellStyle name="RowTitles1-Detail 4 6_STUD aligned by INSTIT" xfId="13089" xr:uid="{00000000-0005-0000-0000-000034330000}"/>
    <cellStyle name="RowTitles1-Detail 4 7" xfId="13090" xr:uid="{00000000-0005-0000-0000-000035330000}"/>
    <cellStyle name="RowTitles1-Detail 4 7 2" xfId="13091" xr:uid="{00000000-0005-0000-0000-000036330000}"/>
    <cellStyle name="RowTitles1-Detail 4 7 2 2" xfId="13092" xr:uid="{00000000-0005-0000-0000-000037330000}"/>
    <cellStyle name="RowTitles1-Detail 4 7 2 2 2" xfId="13093" xr:uid="{00000000-0005-0000-0000-000038330000}"/>
    <cellStyle name="RowTitles1-Detail 4 7 2 2_Tertiary Salaries Survey" xfId="13094" xr:uid="{00000000-0005-0000-0000-000039330000}"/>
    <cellStyle name="RowTitles1-Detail 4 7 2 3" xfId="13095" xr:uid="{00000000-0005-0000-0000-00003A330000}"/>
    <cellStyle name="RowTitles1-Detail 4 7 2_Tertiary Salaries Survey" xfId="13096" xr:uid="{00000000-0005-0000-0000-00003B330000}"/>
    <cellStyle name="RowTitles1-Detail 4 7 3" xfId="13097" xr:uid="{00000000-0005-0000-0000-00003C330000}"/>
    <cellStyle name="RowTitles1-Detail 4 7 3 2" xfId="13098" xr:uid="{00000000-0005-0000-0000-00003D330000}"/>
    <cellStyle name="RowTitles1-Detail 4 7 3 2 2" xfId="13099" xr:uid="{00000000-0005-0000-0000-00003E330000}"/>
    <cellStyle name="RowTitles1-Detail 4 7 3 2_Tertiary Salaries Survey" xfId="13100" xr:uid="{00000000-0005-0000-0000-00003F330000}"/>
    <cellStyle name="RowTitles1-Detail 4 7 3 3" xfId="13101" xr:uid="{00000000-0005-0000-0000-000040330000}"/>
    <cellStyle name="RowTitles1-Detail 4 7 3_Tertiary Salaries Survey" xfId="13102" xr:uid="{00000000-0005-0000-0000-000041330000}"/>
    <cellStyle name="RowTitles1-Detail 4 7 4" xfId="13103" xr:uid="{00000000-0005-0000-0000-000042330000}"/>
    <cellStyle name="RowTitles1-Detail 4 7 5" xfId="13104" xr:uid="{00000000-0005-0000-0000-000043330000}"/>
    <cellStyle name="RowTitles1-Detail 4 7 5 2" xfId="13105" xr:uid="{00000000-0005-0000-0000-000044330000}"/>
    <cellStyle name="RowTitles1-Detail 4 7 5_Tertiary Salaries Survey" xfId="13106" xr:uid="{00000000-0005-0000-0000-000045330000}"/>
    <cellStyle name="RowTitles1-Detail 4 7 6" xfId="13107" xr:uid="{00000000-0005-0000-0000-000046330000}"/>
    <cellStyle name="RowTitles1-Detail 4 7_Tertiary Salaries Survey" xfId="13108" xr:uid="{00000000-0005-0000-0000-000047330000}"/>
    <cellStyle name="RowTitles1-Detail 4 8" xfId="13109" xr:uid="{00000000-0005-0000-0000-000048330000}"/>
    <cellStyle name="RowTitles1-Detail 4 8 2" xfId="13110" xr:uid="{00000000-0005-0000-0000-000049330000}"/>
    <cellStyle name="RowTitles1-Detail 4 8 2 2" xfId="13111" xr:uid="{00000000-0005-0000-0000-00004A330000}"/>
    <cellStyle name="RowTitles1-Detail 4 8 2 2 2" xfId="13112" xr:uid="{00000000-0005-0000-0000-00004B330000}"/>
    <cellStyle name="RowTitles1-Detail 4 8 2 2_Tertiary Salaries Survey" xfId="13113" xr:uid="{00000000-0005-0000-0000-00004C330000}"/>
    <cellStyle name="RowTitles1-Detail 4 8 2 3" xfId="13114" xr:uid="{00000000-0005-0000-0000-00004D330000}"/>
    <cellStyle name="RowTitles1-Detail 4 8 2_Tertiary Salaries Survey" xfId="13115" xr:uid="{00000000-0005-0000-0000-00004E330000}"/>
    <cellStyle name="RowTitles1-Detail 4 8 3" xfId="13116" xr:uid="{00000000-0005-0000-0000-00004F330000}"/>
    <cellStyle name="RowTitles1-Detail 4 8 3 2" xfId="13117" xr:uid="{00000000-0005-0000-0000-000050330000}"/>
    <cellStyle name="RowTitles1-Detail 4 8 3 2 2" xfId="13118" xr:uid="{00000000-0005-0000-0000-000051330000}"/>
    <cellStyle name="RowTitles1-Detail 4 8 3 2_Tertiary Salaries Survey" xfId="13119" xr:uid="{00000000-0005-0000-0000-000052330000}"/>
    <cellStyle name="RowTitles1-Detail 4 8 3 3" xfId="13120" xr:uid="{00000000-0005-0000-0000-000053330000}"/>
    <cellStyle name="RowTitles1-Detail 4 8 3_Tertiary Salaries Survey" xfId="13121" xr:uid="{00000000-0005-0000-0000-000054330000}"/>
    <cellStyle name="RowTitles1-Detail 4 8 4" xfId="13122" xr:uid="{00000000-0005-0000-0000-000055330000}"/>
    <cellStyle name="RowTitles1-Detail 4 8 5" xfId="13123" xr:uid="{00000000-0005-0000-0000-000056330000}"/>
    <cellStyle name="RowTitles1-Detail 4 8_Tertiary Salaries Survey" xfId="13124" xr:uid="{00000000-0005-0000-0000-000057330000}"/>
    <cellStyle name="RowTitles1-Detail 4 9" xfId="13125" xr:uid="{00000000-0005-0000-0000-000058330000}"/>
    <cellStyle name="RowTitles1-Detail 4 9 2" xfId="13126" xr:uid="{00000000-0005-0000-0000-000059330000}"/>
    <cellStyle name="RowTitles1-Detail 4 9 2 2" xfId="13127" xr:uid="{00000000-0005-0000-0000-00005A330000}"/>
    <cellStyle name="RowTitles1-Detail 4 9 2 2 2" xfId="13128" xr:uid="{00000000-0005-0000-0000-00005B330000}"/>
    <cellStyle name="RowTitles1-Detail 4 9 2 2_Tertiary Salaries Survey" xfId="13129" xr:uid="{00000000-0005-0000-0000-00005C330000}"/>
    <cellStyle name="RowTitles1-Detail 4 9 2 3" xfId="13130" xr:uid="{00000000-0005-0000-0000-00005D330000}"/>
    <cellStyle name="RowTitles1-Detail 4 9 2_Tertiary Salaries Survey" xfId="13131" xr:uid="{00000000-0005-0000-0000-00005E330000}"/>
    <cellStyle name="RowTitles1-Detail 4 9 3" xfId="13132" xr:uid="{00000000-0005-0000-0000-00005F330000}"/>
    <cellStyle name="RowTitles1-Detail 4 9 3 2" xfId="13133" xr:uid="{00000000-0005-0000-0000-000060330000}"/>
    <cellStyle name="RowTitles1-Detail 4 9 3 2 2" xfId="13134" xr:uid="{00000000-0005-0000-0000-000061330000}"/>
    <cellStyle name="RowTitles1-Detail 4 9 3 2_Tertiary Salaries Survey" xfId="13135" xr:uid="{00000000-0005-0000-0000-000062330000}"/>
    <cellStyle name="RowTitles1-Detail 4 9 3 3" xfId="13136" xr:uid="{00000000-0005-0000-0000-000063330000}"/>
    <cellStyle name="RowTitles1-Detail 4 9 3_Tertiary Salaries Survey" xfId="13137" xr:uid="{00000000-0005-0000-0000-000064330000}"/>
    <cellStyle name="RowTitles1-Detail 4 9 4" xfId="13138" xr:uid="{00000000-0005-0000-0000-000065330000}"/>
    <cellStyle name="RowTitles1-Detail 4 9 5" xfId="13139" xr:uid="{00000000-0005-0000-0000-000066330000}"/>
    <cellStyle name="RowTitles1-Detail 4 9 5 2" xfId="13140" xr:uid="{00000000-0005-0000-0000-000067330000}"/>
    <cellStyle name="RowTitles1-Detail 4 9 5_Tertiary Salaries Survey" xfId="13141" xr:uid="{00000000-0005-0000-0000-000068330000}"/>
    <cellStyle name="RowTitles1-Detail 4 9 6" xfId="13142" xr:uid="{00000000-0005-0000-0000-000069330000}"/>
    <cellStyle name="RowTitles1-Detail 4 9_Tertiary Salaries Survey" xfId="13143" xr:uid="{00000000-0005-0000-0000-00006A330000}"/>
    <cellStyle name="RowTitles1-Detail 4_STUD aligned by INSTIT" xfId="13144" xr:uid="{00000000-0005-0000-0000-00006B330000}"/>
    <cellStyle name="RowTitles1-Detail 5" xfId="13145" xr:uid="{00000000-0005-0000-0000-00006C330000}"/>
    <cellStyle name="RowTitles1-Detail 5 2" xfId="13146" xr:uid="{00000000-0005-0000-0000-00006D330000}"/>
    <cellStyle name="RowTitles1-Detail 5 2 2" xfId="13147" xr:uid="{00000000-0005-0000-0000-00006E330000}"/>
    <cellStyle name="RowTitles1-Detail 5 2 2 2" xfId="13148" xr:uid="{00000000-0005-0000-0000-00006F330000}"/>
    <cellStyle name="RowTitles1-Detail 5 2 2 2 2" xfId="13149" xr:uid="{00000000-0005-0000-0000-000070330000}"/>
    <cellStyle name="RowTitles1-Detail 5 2 2 2_Tertiary Salaries Survey" xfId="13150" xr:uid="{00000000-0005-0000-0000-000071330000}"/>
    <cellStyle name="RowTitles1-Detail 5 2 2 3" xfId="13151" xr:uid="{00000000-0005-0000-0000-000072330000}"/>
    <cellStyle name="RowTitles1-Detail 5 2 2_Tertiary Salaries Survey" xfId="13152" xr:uid="{00000000-0005-0000-0000-000073330000}"/>
    <cellStyle name="RowTitles1-Detail 5 2 3" xfId="13153" xr:uid="{00000000-0005-0000-0000-000074330000}"/>
    <cellStyle name="RowTitles1-Detail 5 2 3 2" xfId="13154" xr:uid="{00000000-0005-0000-0000-000075330000}"/>
    <cellStyle name="RowTitles1-Detail 5 2 3 2 2" xfId="13155" xr:uid="{00000000-0005-0000-0000-000076330000}"/>
    <cellStyle name="RowTitles1-Detail 5 2 3 2_Tertiary Salaries Survey" xfId="13156" xr:uid="{00000000-0005-0000-0000-000077330000}"/>
    <cellStyle name="RowTitles1-Detail 5 2 3 3" xfId="13157" xr:uid="{00000000-0005-0000-0000-000078330000}"/>
    <cellStyle name="RowTitles1-Detail 5 2 3_Tertiary Salaries Survey" xfId="13158" xr:uid="{00000000-0005-0000-0000-000079330000}"/>
    <cellStyle name="RowTitles1-Detail 5 2 4" xfId="13159" xr:uid="{00000000-0005-0000-0000-00007A330000}"/>
    <cellStyle name="RowTitles1-Detail 5 2 5" xfId="13160" xr:uid="{00000000-0005-0000-0000-00007B330000}"/>
    <cellStyle name="RowTitles1-Detail 5 2_Tertiary Salaries Survey" xfId="13161" xr:uid="{00000000-0005-0000-0000-00007C330000}"/>
    <cellStyle name="RowTitles1-Detail 5 3" xfId="13162" xr:uid="{00000000-0005-0000-0000-00007D330000}"/>
    <cellStyle name="RowTitles1-Detail 5 3 2" xfId="13163" xr:uid="{00000000-0005-0000-0000-00007E330000}"/>
    <cellStyle name="RowTitles1-Detail 5 3 2 2" xfId="13164" xr:uid="{00000000-0005-0000-0000-00007F330000}"/>
    <cellStyle name="RowTitles1-Detail 5 3 2 2 2" xfId="13165" xr:uid="{00000000-0005-0000-0000-000080330000}"/>
    <cellStyle name="RowTitles1-Detail 5 3 2 2_Tertiary Salaries Survey" xfId="13166" xr:uid="{00000000-0005-0000-0000-000081330000}"/>
    <cellStyle name="RowTitles1-Detail 5 3 2 3" xfId="13167" xr:uid="{00000000-0005-0000-0000-000082330000}"/>
    <cellStyle name="RowTitles1-Detail 5 3 2_Tertiary Salaries Survey" xfId="13168" xr:uid="{00000000-0005-0000-0000-000083330000}"/>
    <cellStyle name="RowTitles1-Detail 5 3 3" xfId="13169" xr:uid="{00000000-0005-0000-0000-000084330000}"/>
    <cellStyle name="RowTitles1-Detail 5 3 3 2" xfId="13170" xr:uid="{00000000-0005-0000-0000-000085330000}"/>
    <cellStyle name="RowTitles1-Detail 5 3 3 2 2" xfId="13171" xr:uid="{00000000-0005-0000-0000-000086330000}"/>
    <cellStyle name="RowTitles1-Detail 5 3 3 2_Tertiary Salaries Survey" xfId="13172" xr:uid="{00000000-0005-0000-0000-000087330000}"/>
    <cellStyle name="RowTitles1-Detail 5 3 3 3" xfId="13173" xr:uid="{00000000-0005-0000-0000-000088330000}"/>
    <cellStyle name="RowTitles1-Detail 5 3 3_Tertiary Salaries Survey" xfId="13174" xr:uid="{00000000-0005-0000-0000-000089330000}"/>
    <cellStyle name="RowTitles1-Detail 5 3 4" xfId="13175" xr:uid="{00000000-0005-0000-0000-00008A330000}"/>
    <cellStyle name="RowTitles1-Detail 5 3 5" xfId="13176" xr:uid="{00000000-0005-0000-0000-00008B330000}"/>
    <cellStyle name="RowTitles1-Detail 5 3 5 2" xfId="13177" xr:uid="{00000000-0005-0000-0000-00008C330000}"/>
    <cellStyle name="RowTitles1-Detail 5 3 5_Tertiary Salaries Survey" xfId="13178" xr:uid="{00000000-0005-0000-0000-00008D330000}"/>
    <cellStyle name="RowTitles1-Detail 5 3 6" xfId="13179" xr:uid="{00000000-0005-0000-0000-00008E330000}"/>
    <cellStyle name="RowTitles1-Detail 5 3_Tertiary Salaries Survey" xfId="13180" xr:uid="{00000000-0005-0000-0000-00008F330000}"/>
    <cellStyle name="RowTitles1-Detail 5 4" xfId="13181" xr:uid="{00000000-0005-0000-0000-000090330000}"/>
    <cellStyle name="RowTitles1-Detail 5 4 2" xfId="13182" xr:uid="{00000000-0005-0000-0000-000091330000}"/>
    <cellStyle name="RowTitles1-Detail 5 4 2 2" xfId="13183" xr:uid="{00000000-0005-0000-0000-000092330000}"/>
    <cellStyle name="RowTitles1-Detail 5 4 2 2 2" xfId="13184" xr:uid="{00000000-0005-0000-0000-000093330000}"/>
    <cellStyle name="RowTitles1-Detail 5 4 2 2_Tertiary Salaries Survey" xfId="13185" xr:uid="{00000000-0005-0000-0000-000094330000}"/>
    <cellStyle name="RowTitles1-Detail 5 4 2 3" xfId="13186" xr:uid="{00000000-0005-0000-0000-000095330000}"/>
    <cellStyle name="RowTitles1-Detail 5 4 2_Tertiary Salaries Survey" xfId="13187" xr:uid="{00000000-0005-0000-0000-000096330000}"/>
    <cellStyle name="RowTitles1-Detail 5 4 3" xfId="13188" xr:uid="{00000000-0005-0000-0000-000097330000}"/>
    <cellStyle name="RowTitles1-Detail 5 4 3 2" xfId="13189" xr:uid="{00000000-0005-0000-0000-000098330000}"/>
    <cellStyle name="RowTitles1-Detail 5 4 3 2 2" xfId="13190" xr:uid="{00000000-0005-0000-0000-000099330000}"/>
    <cellStyle name="RowTitles1-Detail 5 4 3 2_Tertiary Salaries Survey" xfId="13191" xr:uid="{00000000-0005-0000-0000-00009A330000}"/>
    <cellStyle name="RowTitles1-Detail 5 4 3 3" xfId="13192" xr:uid="{00000000-0005-0000-0000-00009B330000}"/>
    <cellStyle name="RowTitles1-Detail 5 4 3_Tertiary Salaries Survey" xfId="13193" xr:uid="{00000000-0005-0000-0000-00009C330000}"/>
    <cellStyle name="RowTitles1-Detail 5 4 4" xfId="13194" xr:uid="{00000000-0005-0000-0000-00009D330000}"/>
    <cellStyle name="RowTitles1-Detail 5 4 4 2" xfId="13195" xr:uid="{00000000-0005-0000-0000-00009E330000}"/>
    <cellStyle name="RowTitles1-Detail 5 4 4_Tertiary Salaries Survey" xfId="13196" xr:uid="{00000000-0005-0000-0000-00009F330000}"/>
    <cellStyle name="RowTitles1-Detail 5 4 5" xfId="13197" xr:uid="{00000000-0005-0000-0000-0000A0330000}"/>
    <cellStyle name="RowTitles1-Detail 5 4_Tertiary Salaries Survey" xfId="13198" xr:uid="{00000000-0005-0000-0000-0000A1330000}"/>
    <cellStyle name="RowTitles1-Detail 5 5" xfId="13199" xr:uid="{00000000-0005-0000-0000-0000A2330000}"/>
    <cellStyle name="RowTitles1-Detail 5 5 2" xfId="13200" xr:uid="{00000000-0005-0000-0000-0000A3330000}"/>
    <cellStyle name="RowTitles1-Detail 5 5 2 2" xfId="13201" xr:uid="{00000000-0005-0000-0000-0000A4330000}"/>
    <cellStyle name="RowTitles1-Detail 5 5 2 2 2" xfId="13202" xr:uid="{00000000-0005-0000-0000-0000A5330000}"/>
    <cellStyle name="RowTitles1-Detail 5 5 2 2_Tertiary Salaries Survey" xfId="13203" xr:uid="{00000000-0005-0000-0000-0000A6330000}"/>
    <cellStyle name="RowTitles1-Detail 5 5 2 3" xfId="13204" xr:uid="{00000000-0005-0000-0000-0000A7330000}"/>
    <cellStyle name="RowTitles1-Detail 5 5 2_Tertiary Salaries Survey" xfId="13205" xr:uid="{00000000-0005-0000-0000-0000A8330000}"/>
    <cellStyle name="RowTitles1-Detail 5 5 3" xfId="13206" xr:uid="{00000000-0005-0000-0000-0000A9330000}"/>
    <cellStyle name="RowTitles1-Detail 5 5 3 2" xfId="13207" xr:uid="{00000000-0005-0000-0000-0000AA330000}"/>
    <cellStyle name="RowTitles1-Detail 5 5 3 2 2" xfId="13208" xr:uid="{00000000-0005-0000-0000-0000AB330000}"/>
    <cellStyle name="RowTitles1-Detail 5 5 3 2_Tertiary Salaries Survey" xfId="13209" xr:uid="{00000000-0005-0000-0000-0000AC330000}"/>
    <cellStyle name="RowTitles1-Detail 5 5 3 3" xfId="13210" xr:uid="{00000000-0005-0000-0000-0000AD330000}"/>
    <cellStyle name="RowTitles1-Detail 5 5 3_Tertiary Salaries Survey" xfId="13211" xr:uid="{00000000-0005-0000-0000-0000AE330000}"/>
    <cellStyle name="RowTitles1-Detail 5 5 4" xfId="13212" xr:uid="{00000000-0005-0000-0000-0000AF330000}"/>
    <cellStyle name="RowTitles1-Detail 5 5 4 2" xfId="13213" xr:uid="{00000000-0005-0000-0000-0000B0330000}"/>
    <cellStyle name="RowTitles1-Detail 5 5 4_Tertiary Salaries Survey" xfId="13214" xr:uid="{00000000-0005-0000-0000-0000B1330000}"/>
    <cellStyle name="RowTitles1-Detail 5 5 5" xfId="13215" xr:uid="{00000000-0005-0000-0000-0000B2330000}"/>
    <cellStyle name="RowTitles1-Detail 5 5_Tertiary Salaries Survey" xfId="13216" xr:uid="{00000000-0005-0000-0000-0000B3330000}"/>
    <cellStyle name="RowTitles1-Detail 5 6" xfId="13217" xr:uid="{00000000-0005-0000-0000-0000B4330000}"/>
    <cellStyle name="RowTitles1-Detail 5 6 2" xfId="13218" xr:uid="{00000000-0005-0000-0000-0000B5330000}"/>
    <cellStyle name="RowTitles1-Detail 5 6 2 2" xfId="13219" xr:uid="{00000000-0005-0000-0000-0000B6330000}"/>
    <cellStyle name="RowTitles1-Detail 5 6 2 2 2" xfId="13220" xr:uid="{00000000-0005-0000-0000-0000B7330000}"/>
    <cellStyle name="RowTitles1-Detail 5 6 2 2_Tertiary Salaries Survey" xfId="13221" xr:uid="{00000000-0005-0000-0000-0000B8330000}"/>
    <cellStyle name="RowTitles1-Detail 5 6 2 3" xfId="13222" xr:uid="{00000000-0005-0000-0000-0000B9330000}"/>
    <cellStyle name="RowTitles1-Detail 5 6 2_Tertiary Salaries Survey" xfId="13223" xr:uid="{00000000-0005-0000-0000-0000BA330000}"/>
    <cellStyle name="RowTitles1-Detail 5 6 3" xfId="13224" xr:uid="{00000000-0005-0000-0000-0000BB330000}"/>
    <cellStyle name="RowTitles1-Detail 5 6 3 2" xfId="13225" xr:uid="{00000000-0005-0000-0000-0000BC330000}"/>
    <cellStyle name="RowTitles1-Detail 5 6 3 2 2" xfId="13226" xr:uid="{00000000-0005-0000-0000-0000BD330000}"/>
    <cellStyle name="RowTitles1-Detail 5 6 3 2_Tertiary Salaries Survey" xfId="13227" xr:uid="{00000000-0005-0000-0000-0000BE330000}"/>
    <cellStyle name="RowTitles1-Detail 5 6 3 3" xfId="13228" xr:uid="{00000000-0005-0000-0000-0000BF330000}"/>
    <cellStyle name="RowTitles1-Detail 5 6 3_Tertiary Salaries Survey" xfId="13229" xr:uid="{00000000-0005-0000-0000-0000C0330000}"/>
    <cellStyle name="RowTitles1-Detail 5 6 4" xfId="13230" xr:uid="{00000000-0005-0000-0000-0000C1330000}"/>
    <cellStyle name="RowTitles1-Detail 5 6 4 2" xfId="13231" xr:uid="{00000000-0005-0000-0000-0000C2330000}"/>
    <cellStyle name="RowTitles1-Detail 5 6 4_Tertiary Salaries Survey" xfId="13232" xr:uid="{00000000-0005-0000-0000-0000C3330000}"/>
    <cellStyle name="RowTitles1-Detail 5 6 5" xfId="13233" xr:uid="{00000000-0005-0000-0000-0000C4330000}"/>
    <cellStyle name="RowTitles1-Detail 5 6_Tertiary Salaries Survey" xfId="13234" xr:uid="{00000000-0005-0000-0000-0000C5330000}"/>
    <cellStyle name="RowTitles1-Detail 5 7" xfId="13235" xr:uid="{00000000-0005-0000-0000-0000C6330000}"/>
    <cellStyle name="RowTitles1-Detail 5 7 2" xfId="13236" xr:uid="{00000000-0005-0000-0000-0000C7330000}"/>
    <cellStyle name="RowTitles1-Detail 5 7 2 2" xfId="13237" xr:uid="{00000000-0005-0000-0000-0000C8330000}"/>
    <cellStyle name="RowTitles1-Detail 5 7 2_Tertiary Salaries Survey" xfId="13238" xr:uid="{00000000-0005-0000-0000-0000C9330000}"/>
    <cellStyle name="RowTitles1-Detail 5 7 3" xfId="13239" xr:uid="{00000000-0005-0000-0000-0000CA330000}"/>
    <cellStyle name="RowTitles1-Detail 5 7_Tertiary Salaries Survey" xfId="13240" xr:uid="{00000000-0005-0000-0000-0000CB330000}"/>
    <cellStyle name="RowTitles1-Detail 5 8" xfId="13241" xr:uid="{00000000-0005-0000-0000-0000CC330000}"/>
    <cellStyle name="RowTitles1-Detail 5 9" xfId="13242" xr:uid="{00000000-0005-0000-0000-0000CD330000}"/>
    <cellStyle name="RowTitles1-Detail 5_STUD aligned by INSTIT" xfId="13243" xr:uid="{00000000-0005-0000-0000-0000CE330000}"/>
    <cellStyle name="RowTitles1-Detail 6" xfId="13244" xr:uid="{00000000-0005-0000-0000-0000CF330000}"/>
    <cellStyle name="RowTitles1-Detail 6 2" xfId="13245" xr:uid="{00000000-0005-0000-0000-0000D0330000}"/>
    <cellStyle name="RowTitles1-Detail 6 2 2" xfId="13246" xr:uid="{00000000-0005-0000-0000-0000D1330000}"/>
    <cellStyle name="RowTitles1-Detail 6 2 2 2" xfId="13247" xr:uid="{00000000-0005-0000-0000-0000D2330000}"/>
    <cellStyle name="RowTitles1-Detail 6 2 2 2 2" xfId="13248" xr:uid="{00000000-0005-0000-0000-0000D3330000}"/>
    <cellStyle name="RowTitles1-Detail 6 2 2 2_Tertiary Salaries Survey" xfId="13249" xr:uid="{00000000-0005-0000-0000-0000D4330000}"/>
    <cellStyle name="RowTitles1-Detail 6 2 2 3" xfId="13250" xr:uid="{00000000-0005-0000-0000-0000D5330000}"/>
    <cellStyle name="RowTitles1-Detail 6 2 2_Tertiary Salaries Survey" xfId="13251" xr:uid="{00000000-0005-0000-0000-0000D6330000}"/>
    <cellStyle name="RowTitles1-Detail 6 2 3" xfId="13252" xr:uid="{00000000-0005-0000-0000-0000D7330000}"/>
    <cellStyle name="RowTitles1-Detail 6 2 3 2" xfId="13253" xr:uid="{00000000-0005-0000-0000-0000D8330000}"/>
    <cellStyle name="RowTitles1-Detail 6 2 3 2 2" xfId="13254" xr:uid="{00000000-0005-0000-0000-0000D9330000}"/>
    <cellStyle name="RowTitles1-Detail 6 2 3 2_Tertiary Salaries Survey" xfId="13255" xr:uid="{00000000-0005-0000-0000-0000DA330000}"/>
    <cellStyle name="RowTitles1-Detail 6 2 3 3" xfId="13256" xr:uid="{00000000-0005-0000-0000-0000DB330000}"/>
    <cellStyle name="RowTitles1-Detail 6 2 3_Tertiary Salaries Survey" xfId="13257" xr:uid="{00000000-0005-0000-0000-0000DC330000}"/>
    <cellStyle name="RowTitles1-Detail 6 2 4" xfId="13258" xr:uid="{00000000-0005-0000-0000-0000DD330000}"/>
    <cellStyle name="RowTitles1-Detail 6 2 5" xfId="13259" xr:uid="{00000000-0005-0000-0000-0000DE330000}"/>
    <cellStyle name="RowTitles1-Detail 6 2 5 2" xfId="13260" xr:uid="{00000000-0005-0000-0000-0000DF330000}"/>
    <cellStyle name="RowTitles1-Detail 6 2 5_Tertiary Salaries Survey" xfId="13261" xr:uid="{00000000-0005-0000-0000-0000E0330000}"/>
    <cellStyle name="RowTitles1-Detail 6 2 6" xfId="13262" xr:uid="{00000000-0005-0000-0000-0000E1330000}"/>
    <cellStyle name="RowTitles1-Detail 6 2_Tertiary Salaries Survey" xfId="13263" xr:uid="{00000000-0005-0000-0000-0000E2330000}"/>
    <cellStyle name="RowTitles1-Detail 6 3" xfId="13264" xr:uid="{00000000-0005-0000-0000-0000E3330000}"/>
    <cellStyle name="RowTitles1-Detail 6 3 2" xfId="13265" xr:uid="{00000000-0005-0000-0000-0000E4330000}"/>
    <cellStyle name="RowTitles1-Detail 6 3 2 2" xfId="13266" xr:uid="{00000000-0005-0000-0000-0000E5330000}"/>
    <cellStyle name="RowTitles1-Detail 6 3 2 2 2" xfId="13267" xr:uid="{00000000-0005-0000-0000-0000E6330000}"/>
    <cellStyle name="RowTitles1-Detail 6 3 2 2_Tertiary Salaries Survey" xfId="13268" xr:uid="{00000000-0005-0000-0000-0000E7330000}"/>
    <cellStyle name="RowTitles1-Detail 6 3 2 3" xfId="13269" xr:uid="{00000000-0005-0000-0000-0000E8330000}"/>
    <cellStyle name="RowTitles1-Detail 6 3 2_Tertiary Salaries Survey" xfId="13270" xr:uid="{00000000-0005-0000-0000-0000E9330000}"/>
    <cellStyle name="RowTitles1-Detail 6 3 3" xfId="13271" xr:uid="{00000000-0005-0000-0000-0000EA330000}"/>
    <cellStyle name="RowTitles1-Detail 6 3 3 2" xfId="13272" xr:uid="{00000000-0005-0000-0000-0000EB330000}"/>
    <cellStyle name="RowTitles1-Detail 6 3 3 2 2" xfId="13273" xr:uid="{00000000-0005-0000-0000-0000EC330000}"/>
    <cellStyle name="RowTitles1-Detail 6 3 3 2_Tertiary Salaries Survey" xfId="13274" xr:uid="{00000000-0005-0000-0000-0000ED330000}"/>
    <cellStyle name="RowTitles1-Detail 6 3 3 3" xfId="13275" xr:uid="{00000000-0005-0000-0000-0000EE330000}"/>
    <cellStyle name="RowTitles1-Detail 6 3 3_Tertiary Salaries Survey" xfId="13276" xr:uid="{00000000-0005-0000-0000-0000EF330000}"/>
    <cellStyle name="RowTitles1-Detail 6 3 4" xfId="13277" xr:uid="{00000000-0005-0000-0000-0000F0330000}"/>
    <cellStyle name="RowTitles1-Detail 6 3 5" xfId="13278" xr:uid="{00000000-0005-0000-0000-0000F1330000}"/>
    <cellStyle name="RowTitles1-Detail 6 3_Tertiary Salaries Survey" xfId="13279" xr:uid="{00000000-0005-0000-0000-0000F2330000}"/>
    <cellStyle name="RowTitles1-Detail 6 4" xfId="13280" xr:uid="{00000000-0005-0000-0000-0000F3330000}"/>
    <cellStyle name="RowTitles1-Detail 6 4 2" xfId="13281" xr:uid="{00000000-0005-0000-0000-0000F4330000}"/>
    <cellStyle name="RowTitles1-Detail 6 4 2 2" xfId="13282" xr:uid="{00000000-0005-0000-0000-0000F5330000}"/>
    <cellStyle name="RowTitles1-Detail 6 4 2 2 2" xfId="13283" xr:uid="{00000000-0005-0000-0000-0000F6330000}"/>
    <cellStyle name="RowTitles1-Detail 6 4 2 2_Tertiary Salaries Survey" xfId="13284" xr:uid="{00000000-0005-0000-0000-0000F7330000}"/>
    <cellStyle name="RowTitles1-Detail 6 4 2 3" xfId="13285" xr:uid="{00000000-0005-0000-0000-0000F8330000}"/>
    <cellStyle name="RowTitles1-Detail 6 4 2_Tertiary Salaries Survey" xfId="13286" xr:uid="{00000000-0005-0000-0000-0000F9330000}"/>
    <cellStyle name="RowTitles1-Detail 6 4 3" xfId="13287" xr:uid="{00000000-0005-0000-0000-0000FA330000}"/>
    <cellStyle name="RowTitles1-Detail 6 4 3 2" xfId="13288" xr:uid="{00000000-0005-0000-0000-0000FB330000}"/>
    <cellStyle name="RowTitles1-Detail 6 4 3 2 2" xfId="13289" xr:uid="{00000000-0005-0000-0000-0000FC330000}"/>
    <cellStyle name="RowTitles1-Detail 6 4 3 2_Tertiary Salaries Survey" xfId="13290" xr:uid="{00000000-0005-0000-0000-0000FD330000}"/>
    <cellStyle name="RowTitles1-Detail 6 4 3 3" xfId="13291" xr:uid="{00000000-0005-0000-0000-0000FE330000}"/>
    <cellStyle name="RowTitles1-Detail 6 4 3_Tertiary Salaries Survey" xfId="13292" xr:uid="{00000000-0005-0000-0000-0000FF330000}"/>
    <cellStyle name="RowTitles1-Detail 6 4 4" xfId="13293" xr:uid="{00000000-0005-0000-0000-000000340000}"/>
    <cellStyle name="RowTitles1-Detail 6 4 4 2" xfId="13294" xr:uid="{00000000-0005-0000-0000-000001340000}"/>
    <cellStyle name="RowTitles1-Detail 6 4 4_Tertiary Salaries Survey" xfId="13295" xr:uid="{00000000-0005-0000-0000-000002340000}"/>
    <cellStyle name="RowTitles1-Detail 6 4 5" xfId="13296" xr:uid="{00000000-0005-0000-0000-000003340000}"/>
    <cellStyle name="RowTitles1-Detail 6 4_Tertiary Salaries Survey" xfId="13297" xr:uid="{00000000-0005-0000-0000-000004340000}"/>
    <cellStyle name="RowTitles1-Detail 6 5" xfId="13298" xr:uid="{00000000-0005-0000-0000-000005340000}"/>
    <cellStyle name="RowTitles1-Detail 6 5 2" xfId="13299" xr:uid="{00000000-0005-0000-0000-000006340000}"/>
    <cellStyle name="RowTitles1-Detail 6 5 2 2" xfId="13300" xr:uid="{00000000-0005-0000-0000-000007340000}"/>
    <cellStyle name="RowTitles1-Detail 6 5 2 2 2" xfId="13301" xr:uid="{00000000-0005-0000-0000-000008340000}"/>
    <cellStyle name="RowTitles1-Detail 6 5 2 2_Tertiary Salaries Survey" xfId="13302" xr:uid="{00000000-0005-0000-0000-000009340000}"/>
    <cellStyle name="RowTitles1-Detail 6 5 2 3" xfId="13303" xr:uid="{00000000-0005-0000-0000-00000A340000}"/>
    <cellStyle name="RowTitles1-Detail 6 5 2_Tertiary Salaries Survey" xfId="13304" xr:uid="{00000000-0005-0000-0000-00000B340000}"/>
    <cellStyle name="RowTitles1-Detail 6 5 3" xfId="13305" xr:uid="{00000000-0005-0000-0000-00000C340000}"/>
    <cellStyle name="RowTitles1-Detail 6 5 3 2" xfId="13306" xr:uid="{00000000-0005-0000-0000-00000D340000}"/>
    <cellStyle name="RowTitles1-Detail 6 5 3 2 2" xfId="13307" xr:uid="{00000000-0005-0000-0000-00000E340000}"/>
    <cellStyle name="RowTitles1-Detail 6 5 3 2_Tertiary Salaries Survey" xfId="13308" xr:uid="{00000000-0005-0000-0000-00000F340000}"/>
    <cellStyle name="RowTitles1-Detail 6 5 3 3" xfId="13309" xr:uid="{00000000-0005-0000-0000-000010340000}"/>
    <cellStyle name="RowTitles1-Detail 6 5 3_Tertiary Salaries Survey" xfId="13310" xr:uid="{00000000-0005-0000-0000-000011340000}"/>
    <cellStyle name="RowTitles1-Detail 6 5 4" xfId="13311" xr:uid="{00000000-0005-0000-0000-000012340000}"/>
    <cellStyle name="RowTitles1-Detail 6 5 4 2" xfId="13312" xr:uid="{00000000-0005-0000-0000-000013340000}"/>
    <cellStyle name="RowTitles1-Detail 6 5 4_Tertiary Salaries Survey" xfId="13313" xr:uid="{00000000-0005-0000-0000-000014340000}"/>
    <cellStyle name="RowTitles1-Detail 6 5 5" xfId="13314" xr:uid="{00000000-0005-0000-0000-000015340000}"/>
    <cellStyle name="RowTitles1-Detail 6 5_Tertiary Salaries Survey" xfId="13315" xr:uid="{00000000-0005-0000-0000-000016340000}"/>
    <cellStyle name="RowTitles1-Detail 6 6" xfId="13316" xr:uid="{00000000-0005-0000-0000-000017340000}"/>
    <cellStyle name="RowTitles1-Detail 6 6 2" xfId="13317" xr:uid="{00000000-0005-0000-0000-000018340000}"/>
    <cellStyle name="RowTitles1-Detail 6 6 2 2" xfId="13318" xr:uid="{00000000-0005-0000-0000-000019340000}"/>
    <cellStyle name="RowTitles1-Detail 6 6 2 2 2" xfId="13319" xr:uid="{00000000-0005-0000-0000-00001A340000}"/>
    <cellStyle name="RowTitles1-Detail 6 6 2 2_Tertiary Salaries Survey" xfId="13320" xr:uid="{00000000-0005-0000-0000-00001B340000}"/>
    <cellStyle name="RowTitles1-Detail 6 6 2 3" xfId="13321" xr:uid="{00000000-0005-0000-0000-00001C340000}"/>
    <cellStyle name="RowTitles1-Detail 6 6 2_Tertiary Salaries Survey" xfId="13322" xr:uid="{00000000-0005-0000-0000-00001D340000}"/>
    <cellStyle name="RowTitles1-Detail 6 6 3" xfId="13323" xr:uid="{00000000-0005-0000-0000-00001E340000}"/>
    <cellStyle name="RowTitles1-Detail 6 6 3 2" xfId="13324" xr:uid="{00000000-0005-0000-0000-00001F340000}"/>
    <cellStyle name="RowTitles1-Detail 6 6 3 2 2" xfId="13325" xr:uid="{00000000-0005-0000-0000-000020340000}"/>
    <cellStyle name="RowTitles1-Detail 6 6 3 2_Tertiary Salaries Survey" xfId="13326" xr:uid="{00000000-0005-0000-0000-000021340000}"/>
    <cellStyle name="RowTitles1-Detail 6 6 3 3" xfId="13327" xr:uid="{00000000-0005-0000-0000-000022340000}"/>
    <cellStyle name="RowTitles1-Detail 6 6 3_Tertiary Salaries Survey" xfId="13328" xr:uid="{00000000-0005-0000-0000-000023340000}"/>
    <cellStyle name="RowTitles1-Detail 6 6 4" xfId="13329" xr:uid="{00000000-0005-0000-0000-000024340000}"/>
    <cellStyle name="RowTitles1-Detail 6 6 4 2" xfId="13330" xr:uid="{00000000-0005-0000-0000-000025340000}"/>
    <cellStyle name="RowTitles1-Detail 6 6 4_Tertiary Salaries Survey" xfId="13331" xr:uid="{00000000-0005-0000-0000-000026340000}"/>
    <cellStyle name="RowTitles1-Detail 6 6 5" xfId="13332" xr:uid="{00000000-0005-0000-0000-000027340000}"/>
    <cellStyle name="RowTitles1-Detail 6 6_Tertiary Salaries Survey" xfId="13333" xr:uid="{00000000-0005-0000-0000-000028340000}"/>
    <cellStyle name="RowTitles1-Detail 6 7" xfId="13334" xr:uid="{00000000-0005-0000-0000-000029340000}"/>
    <cellStyle name="RowTitles1-Detail 6 7 2" xfId="13335" xr:uid="{00000000-0005-0000-0000-00002A340000}"/>
    <cellStyle name="RowTitles1-Detail 6 7 2 2" xfId="13336" xr:uid="{00000000-0005-0000-0000-00002B340000}"/>
    <cellStyle name="RowTitles1-Detail 6 7 2_Tertiary Salaries Survey" xfId="13337" xr:uid="{00000000-0005-0000-0000-00002C340000}"/>
    <cellStyle name="RowTitles1-Detail 6 7 3" xfId="13338" xr:uid="{00000000-0005-0000-0000-00002D340000}"/>
    <cellStyle name="RowTitles1-Detail 6 7_Tertiary Salaries Survey" xfId="13339" xr:uid="{00000000-0005-0000-0000-00002E340000}"/>
    <cellStyle name="RowTitles1-Detail 6 8" xfId="13340" xr:uid="{00000000-0005-0000-0000-00002F340000}"/>
    <cellStyle name="RowTitles1-Detail 6 8 2" xfId="13341" xr:uid="{00000000-0005-0000-0000-000030340000}"/>
    <cellStyle name="RowTitles1-Detail 6 8 2 2" xfId="13342" xr:uid="{00000000-0005-0000-0000-000031340000}"/>
    <cellStyle name="RowTitles1-Detail 6 8 2_Tertiary Salaries Survey" xfId="13343" xr:uid="{00000000-0005-0000-0000-000032340000}"/>
    <cellStyle name="RowTitles1-Detail 6 8 3" xfId="13344" xr:uid="{00000000-0005-0000-0000-000033340000}"/>
    <cellStyle name="RowTitles1-Detail 6 8_Tertiary Salaries Survey" xfId="13345" xr:uid="{00000000-0005-0000-0000-000034340000}"/>
    <cellStyle name="RowTitles1-Detail 6 9" xfId="13346" xr:uid="{00000000-0005-0000-0000-000035340000}"/>
    <cellStyle name="RowTitles1-Detail 6_STUD aligned by INSTIT" xfId="13347" xr:uid="{00000000-0005-0000-0000-000036340000}"/>
    <cellStyle name="RowTitles1-Detail 7" xfId="13348" xr:uid="{00000000-0005-0000-0000-000037340000}"/>
    <cellStyle name="RowTitles1-Detail 7 2" xfId="13349" xr:uid="{00000000-0005-0000-0000-000038340000}"/>
    <cellStyle name="RowTitles1-Detail 7 2 2" xfId="13350" xr:uid="{00000000-0005-0000-0000-000039340000}"/>
    <cellStyle name="RowTitles1-Detail 7 2 2 2" xfId="13351" xr:uid="{00000000-0005-0000-0000-00003A340000}"/>
    <cellStyle name="RowTitles1-Detail 7 2 2 2 2" xfId="13352" xr:uid="{00000000-0005-0000-0000-00003B340000}"/>
    <cellStyle name="RowTitles1-Detail 7 2 2 2_Tertiary Salaries Survey" xfId="13353" xr:uid="{00000000-0005-0000-0000-00003C340000}"/>
    <cellStyle name="RowTitles1-Detail 7 2 2 3" xfId="13354" xr:uid="{00000000-0005-0000-0000-00003D340000}"/>
    <cellStyle name="RowTitles1-Detail 7 2 2_Tertiary Salaries Survey" xfId="13355" xr:uid="{00000000-0005-0000-0000-00003E340000}"/>
    <cellStyle name="RowTitles1-Detail 7 2 3" xfId="13356" xr:uid="{00000000-0005-0000-0000-00003F340000}"/>
    <cellStyle name="RowTitles1-Detail 7 2 3 2" xfId="13357" xr:uid="{00000000-0005-0000-0000-000040340000}"/>
    <cellStyle name="RowTitles1-Detail 7 2 3 2 2" xfId="13358" xr:uid="{00000000-0005-0000-0000-000041340000}"/>
    <cellStyle name="RowTitles1-Detail 7 2 3 2_Tertiary Salaries Survey" xfId="13359" xr:uid="{00000000-0005-0000-0000-000042340000}"/>
    <cellStyle name="RowTitles1-Detail 7 2 3 3" xfId="13360" xr:uid="{00000000-0005-0000-0000-000043340000}"/>
    <cellStyle name="RowTitles1-Detail 7 2 3_Tertiary Salaries Survey" xfId="13361" xr:uid="{00000000-0005-0000-0000-000044340000}"/>
    <cellStyle name="RowTitles1-Detail 7 2 4" xfId="13362" xr:uid="{00000000-0005-0000-0000-000045340000}"/>
    <cellStyle name="RowTitles1-Detail 7 2 5" xfId="13363" xr:uid="{00000000-0005-0000-0000-000046340000}"/>
    <cellStyle name="RowTitles1-Detail 7 2_Tertiary Salaries Survey" xfId="13364" xr:uid="{00000000-0005-0000-0000-000047340000}"/>
    <cellStyle name="RowTitles1-Detail 7 3" xfId="13365" xr:uid="{00000000-0005-0000-0000-000048340000}"/>
    <cellStyle name="RowTitles1-Detail 7 3 2" xfId="13366" xr:uid="{00000000-0005-0000-0000-000049340000}"/>
    <cellStyle name="RowTitles1-Detail 7 3 2 2" xfId="13367" xr:uid="{00000000-0005-0000-0000-00004A340000}"/>
    <cellStyle name="RowTitles1-Detail 7 3 2 2 2" xfId="13368" xr:uid="{00000000-0005-0000-0000-00004B340000}"/>
    <cellStyle name="RowTitles1-Detail 7 3 2 2_Tertiary Salaries Survey" xfId="13369" xr:uid="{00000000-0005-0000-0000-00004C340000}"/>
    <cellStyle name="RowTitles1-Detail 7 3 2 3" xfId="13370" xr:uid="{00000000-0005-0000-0000-00004D340000}"/>
    <cellStyle name="RowTitles1-Detail 7 3 2_Tertiary Salaries Survey" xfId="13371" xr:uid="{00000000-0005-0000-0000-00004E340000}"/>
    <cellStyle name="RowTitles1-Detail 7 3 3" xfId="13372" xr:uid="{00000000-0005-0000-0000-00004F340000}"/>
    <cellStyle name="RowTitles1-Detail 7 3 3 2" xfId="13373" xr:uid="{00000000-0005-0000-0000-000050340000}"/>
    <cellStyle name="RowTitles1-Detail 7 3 3 2 2" xfId="13374" xr:uid="{00000000-0005-0000-0000-000051340000}"/>
    <cellStyle name="RowTitles1-Detail 7 3 3 2_Tertiary Salaries Survey" xfId="13375" xr:uid="{00000000-0005-0000-0000-000052340000}"/>
    <cellStyle name="RowTitles1-Detail 7 3 3 3" xfId="13376" xr:uid="{00000000-0005-0000-0000-000053340000}"/>
    <cellStyle name="RowTitles1-Detail 7 3 3_Tertiary Salaries Survey" xfId="13377" xr:uid="{00000000-0005-0000-0000-000054340000}"/>
    <cellStyle name="RowTitles1-Detail 7 3 4" xfId="13378" xr:uid="{00000000-0005-0000-0000-000055340000}"/>
    <cellStyle name="RowTitles1-Detail 7 3 4 2" xfId="13379" xr:uid="{00000000-0005-0000-0000-000056340000}"/>
    <cellStyle name="RowTitles1-Detail 7 3 4_Tertiary Salaries Survey" xfId="13380" xr:uid="{00000000-0005-0000-0000-000057340000}"/>
    <cellStyle name="RowTitles1-Detail 7 3 5" xfId="13381" xr:uid="{00000000-0005-0000-0000-000058340000}"/>
    <cellStyle name="RowTitles1-Detail 7 3_Tertiary Salaries Survey" xfId="13382" xr:uid="{00000000-0005-0000-0000-000059340000}"/>
    <cellStyle name="RowTitles1-Detail 7 4" xfId="13383" xr:uid="{00000000-0005-0000-0000-00005A340000}"/>
    <cellStyle name="RowTitles1-Detail 7 4 2" xfId="13384" xr:uid="{00000000-0005-0000-0000-00005B340000}"/>
    <cellStyle name="RowTitles1-Detail 7 4 2 2" xfId="13385" xr:uid="{00000000-0005-0000-0000-00005C340000}"/>
    <cellStyle name="RowTitles1-Detail 7 4 2 2 2" xfId="13386" xr:uid="{00000000-0005-0000-0000-00005D340000}"/>
    <cellStyle name="RowTitles1-Detail 7 4 2 2_Tertiary Salaries Survey" xfId="13387" xr:uid="{00000000-0005-0000-0000-00005E340000}"/>
    <cellStyle name="RowTitles1-Detail 7 4 2 3" xfId="13388" xr:uid="{00000000-0005-0000-0000-00005F340000}"/>
    <cellStyle name="RowTitles1-Detail 7 4 2_Tertiary Salaries Survey" xfId="13389" xr:uid="{00000000-0005-0000-0000-000060340000}"/>
    <cellStyle name="RowTitles1-Detail 7 4 3" xfId="13390" xr:uid="{00000000-0005-0000-0000-000061340000}"/>
    <cellStyle name="RowTitles1-Detail 7 4 3 2" xfId="13391" xr:uid="{00000000-0005-0000-0000-000062340000}"/>
    <cellStyle name="RowTitles1-Detail 7 4 3 2 2" xfId="13392" xr:uid="{00000000-0005-0000-0000-000063340000}"/>
    <cellStyle name="RowTitles1-Detail 7 4 3 2_Tertiary Salaries Survey" xfId="13393" xr:uid="{00000000-0005-0000-0000-000064340000}"/>
    <cellStyle name="RowTitles1-Detail 7 4 3 3" xfId="13394" xr:uid="{00000000-0005-0000-0000-000065340000}"/>
    <cellStyle name="RowTitles1-Detail 7 4 3_Tertiary Salaries Survey" xfId="13395" xr:uid="{00000000-0005-0000-0000-000066340000}"/>
    <cellStyle name="RowTitles1-Detail 7 4 4" xfId="13396" xr:uid="{00000000-0005-0000-0000-000067340000}"/>
    <cellStyle name="RowTitles1-Detail 7 4 4 2" xfId="13397" xr:uid="{00000000-0005-0000-0000-000068340000}"/>
    <cellStyle name="RowTitles1-Detail 7 4 4_Tertiary Salaries Survey" xfId="13398" xr:uid="{00000000-0005-0000-0000-000069340000}"/>
    <cellStyle name="RowTitles1-Detail 7 4 5" xfId="13399" xr:uid="{00000000-0005-0000-0000-00006A340000}"/>
    <cellStyle name="RowTitles1-Detail 7 4_Tertiary Salaries Survey" xfId="13400" xr:uid="{00000000-0005-0000-0000-00006B340000}"/>
    <cellStyle name="RowTitles1-Detail 7 5" xfId="13401" xr:uid="{00000000-0005-0000-0000-00006C340000}"/>
    <cellStyle name="RowTitles1-Detail 7 5 2" xfId="13402" xr:uid="{00000000-0005-0000-0000-00006D340000}"/>
    <cellStyle name="RowTitles1-Detail 7 5 2 2" xfId="13403" xr:uid="{00000000-0005-0000-0000-00006E340000}"/>
    <cellStyle name="RowTitles1-Detail 7 5 2 2 2" xfId="13404" xr:uid="{00000000-0005-0000-0000-00006F340000}"/>
    <cellStyle name="RowTitles1-Detail 7 5 2 2_Tertiary Salaries Survey" xfId="13405" xr:uid="{00000000-0005-0000-0000-000070340000}"/>
    <cellStyle name="RowTitles1-Detail 7 5 2 3" xfId="13406" xr:uid="{00000000-0005-0000-0000-000071340000}"/>
    <cellStyle name="RowTitles1-Detail 7 5 2_Tertiary Salaries Survey" xfId="13407" xr:uid="{00000000-0005-0000-0000-000072340000}"/>
    <cellStyle name="RowTitles1-Detail 7 5 3" xfId="13408" xr:uid="{00000000-0005-0000-0000-000073340000}"/>
    <cellStyle name="RowTitles1-Detail 7 5 3 2" xfId="13409" xr:uid="{00000000-0005-0000-0000-000074340000}"/>
    <cellStyle name="RowTitles1-Detail 7 5 3 2 2" xfId="13410" xr:uid="{00000000-0005-0000-0000-000075340000}"/>
    <cellStyle name="RowTitles1-Detail 7 5 3 2_Tertiary Salaries Survey" xfId="13411" xr:uid="{00000000-0005-0000-0000-000076340000}"/>
    <cellStyle name="RowTitles1-Detail 7 5 3 3" xfId="13412" xr:uid="{00000000-0005-0000-0000-000077340000}"/>
    <cellStyle name="RowTitles1-Detail 7 5 3_Tertiary Salaries Survey" xfId="13413" xr:uid="{00000000-0005-0000-0000-000078340000}"/>
    <cellStyle name="RowTitles1-Detail 7 5 4" xfId="13414" xr:uid="{00000000-0005-0000-0000-000079340000}"/>
    <cellStyle name="RowTitles1-Detail 7 5 4 2" xfId="13415" xr:uid="{00000000-0005-0000-0000-00007A340000}"/>
    <cellStyle name="RowTitles1-Detail 7 5 4_Tertiary Salaries Survey" xfId="13416" xr:uid="{00000000-0005-0000-0000-00007B340000}"/>
    <cellStyle name="RowTitles1-Detail 7 5 5" xfId="13417" xr:uid="{00000000-0005-0000-0000-00007C340000}"/>
    <cellStyle name="RowTitles1-Detail 7 5_Tertiary Salaries Survey" xfId="13418" xr:uid="{00000000-0005-0000-0000-00007D340000}"/>
    <cellStyle name="RowTitles1-Detail 7 6" xfId="13419" xr:uid="{00000000-0005-0000-0000-00007E340000}"/>
    <cellStyle name="RowTitles1-Detail 7 6 2" xfId="13420" xr:uid="{00000000-0005-0000-0000-00007F340000}"/>
    <cellStyle name="RowTitles1-Detail 7 6 2 2" xfId="13421" xr:uid="{00000000-0005-0000-0000-000080340000}"/>
    <cellStyle name="RowTitles1-Detail 7 6 2 2 2" xfId="13422" xr:uid="{00000000-0005-0000-0000-000081340000}"/>
    <cellStyle name="RowTitles1-Detail 7 6 2 2_Tertiary Salaries Survey" xfId="13423" xr:uid="{00000000-0005-0000-0000-000082340000}"/>
    <cellStyle name="RowTitles1-Detail 7 6 2 3" xfId="13424" xr:uid="{00000000-0005-0000-0000-000083340000}"/>
    <cellStyle name="RowTitles1-Detail 7 6 2_Tertiary Salaries Survey" xfId="13425" xr:uid="{00000000-0005-0000-0000-000084340000}"/>
    <cellStyle name="RowTitles1-Detail 7 6 3" xfId="13426" xr:uid="{00000000-0005-0000-0000-000085340000}"/>
    <cellStyle name="RowTitles1-Detail 7 6 3 2" xfId="13427" xr:uid="{00000000-0005-0000-0000-000086340000}"/>
    <cellStyle name="RowTitles1-Detail 7 6 3 2 2" xfId="13428" xr:uid="{00000000-0005-0000-0000-000087340000}"/>
    <cellStyle name="RowTitles1-Detail 7 6 3 2_Tertiary Salaries Survey" xfId="13429" xr:uid="{00000000-0005-0000-0000-000088340000}"/>
    <cellStyle name="RowTitles1-Detail 7 6 3 3" xfId="13430" xr:uid="{00000000-0005-0000-0000-000089340000}"/>
    <cellStyle name="RowTitles1-Detail 7 6 3_Tertiary Salaries Survey" xfId="13431" xr:uid="{00000000-0005-0000-0000-00008A340000}"/>
    <cellStyle name="RowTitles1-Detail 7 6 4" xfId="13432" xr:uid="{00000000-0005-0000-0000-00008B340000}"/>
    <cellStyle name="RowTitles1-Detail 7 6 4 2" xfId="13433" xr:uid="{00000000-0005-0000-0000-00008C340000}"/>
    <cellStyle name="RowTitles1-Detail 7 6 4_Tertiary Salaries Survey" xfId="13434" xr:uid="{00000000-0005-0000-0000-00008D340000}"/>
    <cellStyle name="RowTitles1-Detail 7 6 5" xfId="13435" xr:uid="{00000000-0005-0000-0000-00008E340000}"/>
    <cellStyle name="RowTitles1-Detail 7 6_Tertiary Salaries Survey" xfId="13436" xr:uid="{00000000-0005-0000-0000-00008F340000}"/>
    <cellStyle name="RowTitles1-Detail 7 7" xfId="13437" xr:uid="{00000000-0005-0000-0000-000090340000}"/>
    <cellStyle name="RowTitles1-Detail 7 7 2" xfId="13438" xr:uid="{00000000-0005-0000-0000-000091340000}"/>
    <cellStyle name="RowTitles1-Detail 7 7 2 2" xfId="13439" xr:uid="{00000000-0005-0000-0000-000092340000}"/>
    <cellStyle name="RowTitles1-Detail 7 7 2_Tertiary Salaries Survey" xfId="13440" xr:uid="{00000000-0005-0000-0000-000093340000}"/>
    <cellStyle name="RowTitles1-Detail 7 7 3" xfId="13441" xr:uid="{00000000-0005-0000-0000-000094340000}"/>
    <cellStyle name="RowTitles1-Detail 7 7_Tertiary Salaries Survey" xfId="13442" xr:uid="{00000000-0005-0000-0000-000095340000}"/>
    <cellStyle name="RowTitles1-Detail 7 8" xfId="13443" xr:uid="{00000000-0005-0000-0000-000096340000}"/>
    <cellStyle name="RowTitles1-Detail 7 8 2" xfId="13444" xr:uid="{00000000-0005-0000-0000-000097340000}"/>
    <cellStyle name="RowTitles1-Detail 7 8 2 2" xfId="13445" xr:uid="{00000000-0005-0000-0000-000098340000}"/>
    <cellStyle name="RowTitles1-Detail 7 8 2_Tertiary Salaries Survey" xfId="13446" xr:uid="{00000000-0005-0000-0000-000099340000}"/>
    <cellStyle name="RowTitles1-Detail 7 8 3" xfId="13447" xr:uid="{00000000-0005-0000-0000-00009A340000}"/>
    <cellStyle name="RowTitles1-Detail 7 8_Tertiary Salaries Survey" xfId="13448" xr:uid="{00000000-0005-0000-0000-00009B340000}"/>
    <cellStyle name="RowTitles1-Detail 7 9" xfId="13449" xr:uid="{00000000-0005-0000-0000-00009C340000}"/>
    <cellStyle name="RowTitles1-Detail 7_STUD aligned by INSTIT" xfId="13450" xr:uid="{00000000-0005-0000-0000-00009D340000}"/>
    <cellStyle name="RowTitles1-Detail 8" xfId="13451" xr:uid="{00000000-0005-0000-0000-00009E340000}"/>
    <cellStyle name="RowTitles1-Detail 8 2" xfId="13452" xr:uid="{00000000-0005-0000-0000-00009F340000}"/>
    <cellStyle name="RowTitles1-Detail 8 2 2" xfId="13453" xr:uid="{00000000-0005-0000-0000-0000A0340000}"/>
    <cellStyle name="RowTitles1-Detail 8 2 2 2" xfId="13454" xr:uid="{00000000-0005-0000-0000-0000A1340000}"/>
    <cellStyle name="RowTitles1-Detail 8 2 2_Tertiary Salaries Survey" xfId="13455" xr:uid="{00000000-0005-0000-0000-0000A2340000}"/>
    <cellStyle name="RowTitles1-Detail 8 2 3" xfId="13456" xr:uid="{00000000-0005-0000-0000-0000A3340000}"/>
    <cellStyle name="RowTitles1-Detail 8 2_Tertiary Salaries Survey" xfId="13457" xr:uid="{00000000-0005-0000-0000-0000A4340000}"/>
    <cellStyle name="RowTitles1-Detail 8 3" xfId="13458" xr:uid="{00000000-0005-0000-0000-0000A5340000}"/>
    <cellStyle name="RowTitles1-Detail 8 3 2" xfId="13459" xr:uid="{00000000-0005-0000-0000-0000A6340000}"/>
    <cellStyle name="RowTitles1-Detail 8 3 2 2" xfId="13460" xr:uid="{00000000-0005-0000-0000-0000A7340000}"/>
    <cellStyle name="RowTitles1-Detail 8 3 2_Tertiary Salaries Survey" xfId="13461" xr:uid="{00000000-0005-0000-0000-0000A8340000}"/>
    <cellStyle name="RowTitles1-Detail 8 3 3" xfId="13462" xr:uid="{00000000-0005-0000-0000-0000A9340000}"/>
    <cellStyle name="RowTitles1-Detail 8 3_Tertiary Salaries Survey" xfId="13463" xr:uid="{00000000-0005-0000-0000-0000AA340000}"/>
    <cellStyle name="RowTitles1-Detail 8 4" xfId="13464" xr:uid="{00000000-0005-0000-0000-0000AB340000}"/>
    <cellStyle name="RowTitles1-Detail 8 5" xfId="13465" xr:uid="{00000000-0005-0000-0000-0000AC340000}"/>
    <cellStyle name="RowTitles1-Detail 8_Tertiary Salaries Survey" xfId="13466" xr:uid="{00000000-0005-0000-0000-0000AD340000}"/>
    <cellStyle name="RowTitles1-Detail 9" xfId="13467" xr:uid="{00000000-0005-0000-0000-0000AE340000}"/>
    <cellStyle name="RowTitles1-Detail 9 2" xfId="13468" xr:uid="{00000000-0005-0000-0000-0000AF340000}"/>
    <cellStyle name="RowTitles1-Detail 9 2 2" xfId="13469" xr:uid="{00000000-0005-0000-0000-0000B0340000}"/>
    <cellStyle name="RowTitles1-Detail 9 2 2 2" xfId="13470" xr:uid="{00000000-0005-0000-0000-0000B1340000}"/>
    <cellStyle name="RowTitles1-Detail 9 2 2_Tertiary Salaries Survey" xfId="13471" xr:uid="{00000000-0005-0000-0000-0000B2340000}"/>
    <cellStyle name="RowTitles1-Detail 9 2 3" xfId="13472" xr:uid="{00000000-0005-0000-0000-0000B3340000}"/>
    <cellStyle name="RowTitles1-Detail 9 2_Tertiary Salaries Survey" xfId="13473" xr:uid="{00000000-0005-0000-0000-0000B4340000}"/>
    <cellStyle name="RowTitles1-Detail 9 3" xfId="13474" xr:uid="{00000000-0005-0000-0000-0000B5340000}"/>
    <cellStyle name="RowTitles1-Detail 9 3 2" xfId="13475" xr:uid="{00000000-0005-0000-0000-0000B6340000}"/>
    <cellStyle name="RowTitles1-Detail 9 3 2 2" xfId="13476" xr:uid="{00000000-0005-0000-0000-0000B7340000}"/>
    <cellStyle name="RowTitles1-Detail 9 3 2_Tertiary Salaries Survey" xfId="13477" xr:uid="{00000000-0005-0000-0000-0000B8340000}"/>
    <cellStyle name="RowTitles1-Detail 9 3 3" xfId="13478" xr:uid="{00000000-0005-0000-0000-0000B9340000}"/>
    <cellStyle name="RowTitles1-Detail 9 3_Tertiary Salaries Survey" xfId="13479" xr:uid="{00000000-0005-0000-0000-0000BA340000}"/>
    <cellStyle name="RowTitles1-Detail 9 4" xfId="13480" xr:uid="{00000000-0005-0000-0000-0000BB340000}"/>
    <cellStyle name="RowTitles1-Detail 9 5" xfId="13481" xr:uid="{00000000-0005-0000-0000-0000BC340000}"/>
    <cellStyle name="RowTitles1-Detail 9 5 2" xfId="13482" xr:uid="{00000000-0005-0000-0000-0000BD340000}"/>
    <cellStyle name="RowTitles1-Detail 9 5_Tertiary Salaries Survey" xfId="13483" xr:uid="{00000000-0005-0000-0000-0000BE340000}"/>
    <cellStyle name="RowTitles1-Detail 9 6" xfId="13484" xr:uid="{00000000-0005-0000-0000-0000BF340000}"/>
    <cellStyle name="RowTitles1-Detail 9_Tertiary Salaries Survey" xfId="13485" xr:uid="{00000000-0005-0000-0000-0000C0340000}"/>
    <cellStyle name="RowTitles1-Detail_STUD aligned by INSTIT" xfId="13486" xr:uid="{00000000-0005-0000-0000-0000C1340000}"/>
    <cellStyle name="RowTitles-Col2" xfId="13487" xr:uid="{00000000-0005-0000-0000-0000C2340000}"/>
    <cellStyle name="RowTitles-Col2 10" xfId="13488" xr:uid="{00000000-0005-0000-0000-0000C3340000}"/>
    <cellStyle name="RowTitles-Col2 10 2" xfId="13489" xr:uid="{00000000-0005-0000-0000-0000C4340000}"/>
    <cellStyle name="RowTitles-Col2 10 2 2" xfId="13490" xr:uid="{00000000-0005-0000-0000-0000C5340000}"/>
    <cellStyle name="RowTitles-Col2 10 2 2 2" xfId="13491" xr:uid="{00000000-0005-0000-0000-0000C6340000}"/>
    <cellStyle name="RowTitles-Col2 10 2 2_Tertiary Salaries Survey" xfId="13492" xr:uid="{00000000-0005-0000-0000-0000C7340000}"/>
    <cellStyle name="RowTitles-Col2 10 2 3" xfId="13493" xr:uid="{00000000-0005-0000-0000-0000C8340000}"/>
    <cellStyle name="RowTitles-Col2 10 2_Tertiary Salaries Survey" xfId="13494" xr:uid="{00000000-0005-0000-0000-0000C9340000}"/>
    <cellStyle name="RowTitles-Col2 10 3" xfId="13495" xr:uid="{00000000-0005-0000-0000-0000CA340000}"/>
    <cellStyle name="RowTitles-Col2 10 3 2" xfId="13496" xr:uid="{00000000-0005-0000-0000-0000CB340000}"/>
    <cellStyle name="RowTitles-Col2 10 3 2 2" xfId="13497" xr:uid="{00000000-0005-0000-0000-0000CC340000}"/>
    <cellStyle name="RowTitles-Col2 10 3 2_Tertiary Salaries Survey" xfId="13498" xr:uid="{00000000-0005-0000-0000-0000CD340000}"/>
    <cellStyle name="RowTitles-Col2 10 3 3" xfId="13499" xr:uid="{00000000-0005-0000-0000-0000CE340000}"/>
    <cellStyle name="RowTitles-Col2 10 3_Tertiary Salaries Survey" xfId="13500" xr:uid="{00000000-0005-0000-0000-0000CF340000}"/>
    <cellStyle name="RowTitles-Col2 10 4" xfId="13501" xr:uid="{00000000-0005-0000-0000-0000D0340000}"/>
    <cellStyle name="RowTitles-Col2 10 4 2" xfId="13502" xr:uid="{00000000-0005-0000-0000-0000D1340000}"/>
    <cellStyle name="RowTitles-Col2 10 4_Tertiary Salaries Survey" xfId="13503" xr:uid="{00000000-0005-0000-0000-0000D2340000}"/>
    <cellStyle name="RowTitles-Col2 10 5" xfId="13504" xr:uid="{00000000-0005-0000-0000-0000D3340000}"/>
    <cellStyle name="RowTitles-Col2 10_Tertiary Salaries Survey" xfId="13505" xr:uid="{00000000-0005-0000-0000-0000D4340000}"/>
    <cellStyle name="RowTitles-Col2 11" xfId="13506" xr:uid="{00000000-0005-0000-0000-0000D5340000}"/>
    <cellStyle name="RowTitles-Col2 11 2" xfId="13507" xr:uid="{00000000-0005-0000-0000-0000D6340000}"/>
    <cellStyle name="RowTitles-Col2 11 2 2" xfId="13508" xr:uid="{00000000-0005-0000-0000-0000D7340000}"/>
    <cellStyle name="RowTitles-Col2 11 2 2 2" xfId="13509" xr:uid="{00000000-0005-0000-0000-0000D8340000}"/>
    <cellStyle name="RowTitles-Col2 11 2 2_Tertiary Salaries Survey" xfId="13510" xr:uid="{00000000-0005-0000-0000-0000D9340000}"/>
    <cellStyle name="RowTitles-Col2 11 2 3" xfId="13511" xr:uid="{00000000-0005-0000-0000-0000DA340000}"/>
    <cellStyle name="RowTitles-Col2 11 2_Tertiary Salaries Survey" xfId="13512" xr:uid="{00000000-0005-0000-0000-0000DB340000}"/>
    <cellStyle name="RowTitles-Col2 11 3" xfId="13513" xr:uid="{00000000-0005-0000-0000-0000DC340000}"/>
    <cellStyle name="RowTitles-Col2 11 3 2" xfId="13514" xr:uid="{00000000-0005-0000-0000-0000DD340000}"/>
    <cellStyle name="RowTitles-Col2 11 3 2 2" xfId="13515" xr:uid="{00000000-0005-0000-0000-0000DE340000}"/>
    <cellStyle name="RowTitles-Col2 11 3 2_Tertiary Salaries Survey" xfId="13516" xr:uid="{00000000-0005-0000-0000-0000DF340000}"/>
    <cellStyle name="RowTitles-Col2 11 3 3" xfId="13517" xr:uid="{00000000-0005-0000-0000-0000E0340000}"/>
    <cellStyle name="RowTitles-Col2 11 3_Tertiary Salaries Survey" xfId="13518" xr:uid="{00000000-0005-0000-0000-0000E1340000}"/>
    <cellStyle name="RowTitles-Col2 11 4" xfId="13519" xr:uid="{00000000-0005-0000-0000-0000E2340000}"/>
    <cellStyle name="RowTitles-Col2 11 4 2" xfId="13520" xr:uid="{00000000-0005-0000-0000-0000E3340000}"/>
    <cellStyle name="RowTitles-Col2 11 4_Tertiary Salaries Survey" xfId="13521" xr:uid="{00000000-0005-0000-0000-0000E4340000}"/>
    <cellStyle name="RowTitles-Col2 11 5" xfId="13522" xr:uid="{00000000-0005-0000-0000-0000E5340000}"/>
    <cellStyle name="RowTitles-Col2 11_Tertiary Salaries Survey" xfId="13523" xr:uid="{00000000-0005-0000-0000-0000E6340000}"/>
    <cellStyle name="RowTitles-Col2 12" xfId="13524" xr:uid="{00000000-0005-0000-0000-0000E7340000}"/>
    <cellStyle name="RowTitles-Col2 12 2" xfId="13525" xr:uid="{00000000-0005-0000-0000-0000E8340000}"/>
    <cellStyle name="RowTitles-Col2 12 2 2" xfId="13526" xr:uid="{00000000-0005-0000-0000-0000E9340000}"/>
    <cellStyle name="RowTitles-Col2 12 2_Tertiary Salaries Survey" xfId="13527" xr:uid="{00000000-0005-0000-0000-0000EA340000}"/>
    <cellStyle name="RowTitles-Col2 12 3" xfId="13528" xr:uid="{00000000-0005-0000-0000-0000EB340000}"/>
    <cellStyle name="RowTitles-Col2 12_Tertiary Salaries Survey" xfId="13529" xr:uid="{00000000-0005-0000-0000-0000EC340000}"/>
    <cellStyle name="RowTitles-Col2 13" xfId="13530" xr:uid="{00000000-0005-0000-0000-0000ED340000}"/>
    <cellStyle name="RowTitles-Col2 14" xfId="13531" xr:uid="{00000000-0005-0000-0000-0000EE340000}"/>
    <cellStyle name="RowTitles-Col2 15" xfId="13532" xr:uid="{00000000-0005-0000-0000-0000EF340000}"/>
    <cellStyle name="RowTitles-Col2 16" xfId="13533" xr:uid="{00000000-0005-0000-0000-0000F0340000}"/>
    <cellStyle name="RowTitles-Col2 2" xfId="13534" xr:uid="{00000000-0005-0000-0000-0000F1340000}"/>
    <cellStyle name="RowTitles-Col2 2 10" xfId="13535" xr:uid="{00000000-0005-0000-0000-0000F2340000}"/>
    <cellStyle name="RowTitles-Col2 2 10 2" xfId="13536" xr:uid="{00000000-0005-0000-0000-0000F3340000}"/>
    <cellStyle name="RowTitles-Col2 2 10 2 2" xfId="13537" xr:uid="{00000000-0005-0000-0000-0000F4340000}"/>
    <cellStyle name="RowTitles-Col2 2 10 2 2 2" xfId="13538" xr:uid="{00000000-0005-0000-0000-0000F5340000}"/>
    <cellStyle name="RowTitles-Col2 2 10 2 2_Tertiary Salaries Survey" xfId="13539" xr:uid="{00000000-0005-0000-0000-0000F6340000}"/>
    <cellStyle name="RowTitles-Col2 2 10 2 3" xfId="13540" xr:uid="{00000000-0005-0000-0000-0000F7340000}"/>
    <cellStyle name="RowTitles-Col2 2 10 2_Tertiary Salaries Survey" xfId="13541" xr:uid="{00000000-0005-0000-0000-0000F8340000}"/>
    <cellStyle name="RowTitles-Col2 2 10 3" xfId="13542" xr:uid="{00000000-0005-0000-0000-0000F9340000}"/>
    <cellStyle name="RowTitles-Col2 2 10 3 2" xfId="13543" xr:uid="{00000000-0005-0000-0000-0000FA340000}"/>
    <cellStyle name="RowTitles-Col2 2 10 3 2 2" xfId="13544" xr:uid="{00000000-0005-0000-0000-0000FB340000}"/>
    <cellStyle name="RowTitles-Col2 2 10 3 2_Tertiary Salaries Survey" xfId="13545" xr:uid="{00000000-0005-0000-0000-0000FC340000}"/>
    <cellStyle name="RowTitles-Col2 2 10 3 3" xfId="13546" xr:uid="{00000000-0005-0000-0000-0000FD340000}"/>
    <cellStyle name="RowTitles-Col2 2 10 3_Tertiary Salaries Survey" xfId="13547" xr:uid="{00000000-0005-0000-0000-0000FE340000}"/>
    <cellStyle name="RowTitles-Col2 2 10 4" xfId="13548" xr:uid="{00000000-0005-0000-0000-0000FF340000}"/>
    <cellStyle name="RowTitles-Col2 2 10 4 2" xfId="13549" xr:uid="{00000000-0005-0000-0000-000000350000}"/>
    <cellStyle name="RowTitles-Col2 2 10 4_Tertiary Salaries Survey" xfId="13550" xr:uid="{00000000-0005-0000-0000-000001350000}"/>
    <cellStyle name="RowTitles-Col2 2 10 5" xfId="13551" xr:uid="{00000000-0005-0000-0000-000002350000}"/>
    <cellStyle name="RowTitles-Col2 2 10_Tertiary Salaries Survey" xfId="13552" xr:uid="{00000000-0005-0000-0000-000003350000}"/>
    <cellStyle name="RowTitles-Col2 2 11" xfId="13553" xr:uid="{00000000-0005-0000-0000-000004350000}"/>
    <cellStyle name="RowTitles-Col2 2 11 2" xfId="13554" xr:uid="{00000000-0005-0000-0000-000005350000}"/>
    <cellStyle name="RowTitles-Col2 2 11 2 2" xfId="13555" xr:uid="{00000000-0005-0000-0000-000006350000}"/>
    <cellStyle name="RowTitles-Col2 2 11 2 2 2" xfId="13556" xr:uid="{00000000-0005-0000-0000-000007350000}"/>
    <cellStyle name="RowTitles-Col2 2 11 2 2_Tertiary Salaries Survey" xfId="13557" xr:uid="{00000000-0005-0000-0000-000008350000}"/>
    <cellStyle name="RowTitles-Col2 2 11 2 3" xfId="13558" xr:uid="{00000000-0005-0000-0000-000009350000}"/>
    <cellStyle name="RowTitles-Col2 2 11 2_Tertiary Salaries Survey" xfId="13559" xr:uid="{00000000-0005-0000-0000-00000A350000}"/>
    <cellStyle name="RowTitles-Col2 2 11 3" xfId="13560" xr:uid="{00000000-0005-0000-0000-00000B350000}"/>
    <cellStyle name="RowTitles-Col2 2 11 3 2" xfId="13561" xr:uid="{00000000-0005-0000-0000-00000C350000}"/>
    <cellStyle name="RowTitles-Col2 2 11 3 2 2" xfId="13562" xr:uid="{00000000-0005-0000-0000-00000D350000}"/>
    <cellStyle name="RowTitles-Col2 2 11 3 2_Tertiary Salaries Survey" xfId="13563" xr:uid="{00000000-0005-0000-0000-00000E350000}"/>
    <cellStyle name="RowTitles-Col2 2 11 3 3" xfId="13564" xr:uid="{00000000-0005-0000-0000-00000F350000}"/>
    <cellStyle name="RowTitles-Col2 2 11 3_Tertiary Salaries Survey" xfId="13565" xr:uid="{00000000-0005-0000-0000-000010350000}"/>
    <cellStyle name="RowTitles-Col2 2 11 4" xfId="13566" xr:uid="{00000000-0005-0000-0000-000011350000}"/>
    <cellStyle name="RowTitles-Col2 2 11 4 2" xfId="13567" xr:uid="{00000000-0005-0000-0000-000012350000}"/>
    <cellStyle name="RowTitles-Col2 2 11 4_Tertiary Salaries Survey" xfId="13568" xr:uid="{00000000-0005-0000-0000-000013350000}"/>
    <cellStyle name="RowTitles-Col2 2 11 5" xfId="13569" xr:uid="{00000000-0005-0000-0000-000014350000}"/>
    <cellStyle name="RowTitles-Col2 2 11_Tertiary Salaries Survey" xfId="13570" xr:uid="{00000000-0005-0000-0000-000015350000}"/>
    <cellStyle name="RowTitles-Col2 2 12" xfId="13571" xr:uid="{00000000-0005-0000-0000-000016350000}"/>
    <cellStyle name="RowTitles-Col2 2 12 2" xfId="13572" xr:uid="{00000000-0005-0000-0000-000017350000}"/>
    <cellStyle name="RowTitles-Col2 2 12 2 2" xfId="13573" xr:uid="{00000000-0005-0000-0000-000018350000}"/>
    <cellStyle name="RowTitles-Col2 2 12 2_Tertiary Salaries Survey" xfId="13574" xr:uid="{00000000-0005-0000-0000-000019350000}"/>
    <cellStyle name="RowTitles-Col2 2 12 3" xfId="13575" xr:uid="{00000000-0005-0000-0000-00001A350000}"/>
    <cellStyle name="RowTitles-Col2 2 12_Tertiary Salaries Survey" xfId="13576" xr:uid="{00000000-0005-0000-0000-00001B350000}"/>
    <cellStyle name="RowTitles-Col2 2 13" xfId="13577" xr:uid="{00000000-0005-0000-0000-00001C350000}"/>
    <cellStyle name="RowTitles-Col2 2 14" xfId="13578" xr:uid="{00000000-0005-0000-0000-00001D350000}"/>
    <cellStyle name="RowTitles-Col2 2 2" xfId="13579" xr:uid="{00000000-0005-0000-0000-00001E350000}"/>
    <cellStyle name="RowTitles-Col2 2 2 10" xfId="13580" xr:uid="{00000000-0005-0000-0000-00001F350000}"/>
    <cellStyle name="RowTitles-Col2 2 2 10 2" xfId="13581" xr:uid="{00000000-0005-0000-0000-000020350000}"/>
    <cellStyle name="RowTitles-Col2 2 2 10 2 2" xfId="13582" xr:uid="{00000000-0005-0000-0000-000021350000}"/>
    <cellStyle name="RowTitles-Col2 2 2 10 2 2 2" xfId="13583" xr:uid="{00000000-0005-0000-0000-000022350000}"/>
    <cellStyle name="RowTitles-Col2 2 2 10 2 2_Tertiary Salaries Survey" xfId="13584" xr:uid="{00000000-0005-0000-0000-000023350000}"/>
    <cellStyle name="RowTitles-Col2 2 2 10 2 3" xfId="13585" xr:uid="{00000000-0005-0000-0000-000024350000}"/>
    <cellStyle name="RowTitles-Col2 2 2 10 2_Tertiary Salaries Survey" xfId="13586" xr:uid="{00000000-0005-0000-0000-000025350000}"/>
    <cellStyle name="RowTitles-Col2 2 2 10 3" xfId="13587" xr:uid="{00000000-0005-0000-0000-000026350000}"/>
    <cellStyle name="RowTitles-Col2 2 2 10 3 2" xfId="13588" xr:uid="{00000000-0005-0000-0000-000027350000}"/>
    <cellStyle name="RowTitles-Col2 2 2 10 3 2 2" xfId="13589" xr:uid="{00000000-0005-0000-0000-000028350000}"/>
    <cellStyle name="RowTitles-Col2 2 2 10 3 2_Tertiary Salaries Survey" xfId="13590" xr:uid="{00000000-0005-0000-0000-000029350000}"/>
    <cellStyle name="RowTitles-Col2 2 2 10 3 3" xfId="13591" xr:uid="{00000000-0005-0000-0000-00002A350000}"/>
    <cellStyle name="RowTitles-Col2 2 2 10 3_Tertiary Salaries Survey" xfId="13592" xr:uid="{00000000-0005-0000-0000-00002B350000}"/>
    <cellStyle name="RowTitles-Col2 2 2 10 4" xfId="13593" xr:uid="{00000000-0005-0000-0000-00002C350000}"/>
    <cellStyle name="RowTitles-Col2 2 2 10 4 2" xfId="13594" xr:uid="{00000000-0005-0000-0000-00002D350000}"/>
    <cellStyle name="RowTitles-Col2 2 2 10 4_Tertiary Salaries Survey" xfId="13595" xr:uid="{00000000-0005-0000-0000-00002E350000}"/>
    <cellStyle name="RowTitles-Col2 2 2 10 5" xfId="13596" xr:uid="{00000000-0005-0000-0000-00002F350000}"/>
    <cellStyle name="RowTitles-Col2 2 2 10_Tertiary Salaries Survey" xfId="13597" xr:uid="{00000000-0005-0000-0000-000030350000}"/>
    <cellStyle name="RowTitles-Col2 2 2 11" xfId="13598" xr:uid="{00000000-0005-0000-0000-000031350000}"/>
    <cellStyle name="RowTitles-Col2 2 2 11 2" xfId="13599" xr:uid="{00000000-0005-0000-0000-000032350000}"/>
    <cellStyle name="RowTitles-Col2 2 2 11 2 2" xfId="13600" xr:uid="{00000000-0005-0000-0000-000033350000}"/>
    <cellStyle name="RowTitles-Col2 2 2 11 2_Tertiary Salaries Survey" xfId="13601" xr:uid="{00000000-0005-0000-0000-000034350000}"/>
    <cellStyle name="RowTitles-Col2 2 2 11 3" xfId="13602" xr:uid="{00000000-0005-0000-0000-000035350000}"/>
    <cellStyle name="RowTitles-Col2 2 2 11_Tertiary Salaries Survey" xfId="13603" xr:uid="{00000000-0005-0000-0000-000036350000}"/>
    <cellStyle name="RowTitles-Col2 2 2 12" xfId="13604" xr:uid="{00000000-0005-0000-0000-000037350000}"/>
    <cellStyle name="RowTitles-Col2 2 2 2" xfId="13605" xr:uid="{00000000-0005-0000-0000-000038350000}"/>
    <cellStyle name="RowTitles-Col2 2 2 2 10" xfId="13606" xr:uid="{00000000-0005-0000-0000-000039350000}"/>
    <cellStyle name="RowTitles-Col2 2 2 2 10 2" xfId="13607" xr:uid="{00000000-0005-0000-0000-00003A350000}"/>
    <cellStyle name="RowTitles-Col2 2 2 2 10 2 2" xfId="13608" xr:uid="{00000000-0005-0000-0000-00003B350000}"/>
    <cellStyle name="RowTitles-Col2 2 2 2 10 2_Tertiary Salaries Survey" xfId="13609" xr:uid="{00000000-0005-0000-0000-00003C350000}"/>
    <cellStyle name="RowTitles-Col2 2 2 2 10 3" xfId="13610" xr:uid="{00000000-0005-0000-0000-00003D350000}"/>
    <cellStyle name="RowTitles-Col2 2 2 2 10_Tertiary Salaries Survey" xfId="13611" xr:uid="{00000000-0005-0000-0000-00003E350000}"/>
    <cellStyle name="RowTitles-Col2 2 2 2 11" xfId="13612" xr:uid="{00000000-0005-0000-0000-00003F350000}"/>
    <cellStyle name="RowTitles-Col2 2 2 2 2" xfId="13613" xr:uid="{00000000-0005-0000-0000-000040350000}"/>
    <cellStyle name="RowTitles-Col2 2 2 2 2 2" xfId="13614" xr:uid="{00000000-0005-0000-0000-000041350000}"/>
    <cellStyle name="RowTitles-Col2 2 2 2 2 2 2" xfId="13615" xr:uid="{00000000-0005-0000-0000-000042350000}"/>
    <cellStyle name="RowTitles-Col2 2 2 2 2 2 2 2" xfId="13616" xr:uid="{00000000-0005-0000-0000-000043350000}"/>
    <cellStyle name="RowTitles-Col2 2 2 2 2 2 2 2 2" xfId="13617" xr:uid="{00000000-0005-0000-0000-000044350000}"/>
    <cellStyle name="RowTitles-Col2 2 2 2 2 2 2 2_Tertiary Salaries Survey" xfId="13618" xr:uid="{00000000-0005-0000-0000-000045350000}"/>
    <cellStyle name="RowTitles-Col2 2 2 2 2 2 2 3" xfId="13619" xr:uid="{00000000-0005-0000-0000-000046350000}"/>
    <cellStyle name="RowTitles-Col2 2 2 2 2 2 2_Tertiary Salaries Survey" xfId="13620" xr:uid="{00000000-0005-0000-0000-000047350000}"/>
    <cellStyle name="RowTitles-Col2 2 2 2 2 2 3" xfId="13621" xr:uid="{00000000-0005-0000-0000-000048350000}"/>
    <cellStyle name="RowTitles-Col2 2 2 2 2 2 3 2" xfId="13622" xr:uid="{00000000-0005-0000-0000-000049350000}"/>
    <cellStyle name="RowTitles-Col2 2 2 2 2 2 3 2 2" xfId="13623" xr:uid="{00000000-0005-0000-0000-00004A350000}"/>
    <cellStyle name="RowTitles-Col2 2 2 2 2 2 3 2_Tertiary Salaries Survey" xfId="13624" xr:uid="{00000000-0005-0000-0000-00004B350000}"/>
    <cellStyle name="RowTitles-Col2 2 2 2 2 2 3 3" xfId="13625" xr:uid="{00000000-0005-0000-0000-00004C350000}"/>
    <cellStyle name="RowTitles-Col2 2 2 2 2 2 3_Tertiary Salaries Survey" xfId="13626" xr:uid="{00000000-0005-0000-0000-00004D350000}"/>
    <cellStyle name="RowTitles-Col2 2 2 2 2 2 4" xfId="13627" xr:uid="{00000000-0005-0000-0000-00004E350000}"/>
    <cellStyle name="RowTitles-Col2 2 2 2 2 2_Tertiary Salaries Survey" xfId="13628" xr:uid="{00000000-0005-0000-0000-00004F350000}"/>
    <cellStyle name="RowTitles-Col2 2 2 2 2 3" xfId="13629" xr:uid="{00000000-0005-0000-0000-000050350000}"/>
    <cellStyle name="RowTitles-Col2 2 2 2 2 3 2" xfId="13630" xr:uid="{00000000-0005-0000-0000-000051350000}"/>
    <cellStyle name="RowTitles-Col2 2 2 2 2 3 2 2" xfId="13631" xr:uid="{00000000-0005-0000-0000-000052350000}"/>
    <cellStyle name="RowTitles-Col2 2 2 2 2 3 2 2 2" xfId="13632" xr:uid="{00000000-0005-0000-0000-000053350000}"/>
    <cellStyle name="RowTitles-Col2 2 2 2 2 3 2 2_Tertiary Salaries Survey" xfId="13633" xr:uid="{00000000-0005-0000-0000-000054350000}"/>
    <cellStyle name="RowTitles-Col2 2 2 2 2 3 2 3" xfId="13634" xr:uid="{00000000-0005-0000-0000-000055350000}"/>
    <cellStyle name="RowTitles-Col2 2 2 2 2 3 2_Tertiary Salaries Survey" xfId="13635" xr:uid="{00000000-0005-0000-0000-000056350000}"/>
    <cellStyle name="RowTitles-Col2 2 2 2 2 3 3" xfId="13636" xr:uid="{00000000-0005-0000-0000-000057350000}"/>
    <cellStyle name="RowTitles-Col2 2 2 2 2 3 3 2" xfId="13637" xr:uid="{00000000-0005-0000-0000-000058350000}"/>
    <cellStyle name="RowTitles-Col2 2 2 2 2 3 3 2 2" xfId="13638" xr:uid="{00000000-0005-0000-0000-000059350000}"/>
    <cellStyle name="RowTitles-Col2 2 2 2 2 3 3 2_Tertiary Salaries Survey" xfId="13639" xr:uid="{00000000-0005-0000-0000-00005A350000}"/>
    <cellStyle name="RowTitles-Col2 2 2 2 2 3 3 3" xfId="13640" xr:uid="{00000000-0005-0000-0000-00005B350000}"/>
    <cellStyle name="RowTitles-Col2 2 2 2 2 3 3_Tertiary Salaries Survey" xfId="13641" xr:uid="{00000000-0005-0000-0000-00005C350000}"/>
    <cellStyle name="RowTitles-Col2 2 2 2 2 3 4" xfId="13642" xr:uid="{00000000-0005-0000-0000-00005D350000}"/>
    <cellStyle name="RowTitles-Col2 2 2 2 2 3 5" xfId="13643" xr:uid="{00000000-0005-0000-0000-00005E350000}"/>
    <cellStyle name="RowTitles-Col2 2 2 2 2 3 5 2" xfId="13644" xr:uid="{00000000-0005-0000-0000-00005F350000}"/>
    <cellStyle name="RowTitles-Col2 2 2 2 2 3 5_Tertiary Salaries Survey" xfId="13645" xr:uid="{00000000-0005-0000-0000-000060350000}"/>
    <cellStyle name="RowTitles-Col2 2 2 2 2 3 6" xfId="13646" xr:uid="{00000000-0005-0000-0000-000061350000}"/>
    <cellStyle name="RowTitles-Col2 2 2 2 2 3_Tertiary Salaries Survey" xfId="13647" xr:uid="{00000000-0005-0000-0000-000062350000}"/>
    <cellStyle name="RowTitles-Col2 2 2 2 2 4" xfId="13648" xr:uid="{00000000-0005-0000-0000-000063350000}"/>
    <cellStyle name="RowTitles-Col2 2 2 2 2 4 2" xfId="13649" xr:uid="{00000000-0005-0000-0000-000064350000}"/>
    <cellStyle name="RowTitles-Col2 2 2 2 2 4 2 2" xfId="13650" xr:uid="{00000000-0005-0000-0000-000065350000}"/>
    <cellStyle name="RowTitles-Col2 2 2 2 2 4 2 2 2" xfId="13651" xr:uid="{00000000-0005-0000-0000-000066350000}"/>
    <cellStyle name="RowTitles-Col2 2 2 2 2 4 2 2_Tertiary Salaries Survey" xfId="13652" xr:uid="{00000000-0005-0000-0000-000067350000}"/>
    <cellStyle name="RowTitles-Col2 2 2 2 2 4 2 3" xfId="13653" xr:uid="{00000000-0005-0000-0000-000068350000}"/>
    <cellStyle name="RowTitles-Col2 2 2 2 2 4 2_Tertiary Salaries Survey" xfId="13654" xr:uid="{00000000-0005-0000-0000-000069350000}"/>
    <cellStyle name="RowTitles-Col2 2 2 2 2 4 3" xfId="13655" xr:uid="{00000000-0005-0000-0000-00006A350000}"/>
    <cellStyle name="RowTitles-Col2 2 2 2 2 4 3 2" xfId="13656" xr:uid="{00000000-0005-0000-0000-00006B350000}"/>
    <cellStyle name="RowTitles-Col2 2 2 2 2 4 3 2 2" xfId="13657" xr:uid="{00000000-0005-0000-0000-00006C350000}"/>
    <cellStyle name="RowTitles-Col2 2 2 2 2 4 3 2_Tertiary Salaries Survey" xfId="13658" xr:uid="{00000000-0005-0000-0000-00006D350000}"/>
    <cellStyle name="RowTitles-Col2 2 2 2 2 4 3 3" xfId="13659" xr:uid="{00000000-0005-0000-0000-00006E350000}"/>
    <cellStyle name="RowTitles-Col2 2 2 2 2 4 3_Tertiary Salaries Survey" xfId="13660" xr:uid="{00000000-0005-0000-0000-00006F350000}"/>
    <cellStyle name="RowTitles-Col2 2 2 2 2 4 4" xfId="13661" xr:uid="{00000000-0005-0000-0000-000070350000}"/>
    <cellStyle name="RowTitles-Col2 2 2 2 2 4 4 2" xfId="13662" xr:uid="{00000000-0005-0000-0000-000071350000}"/>
    <cellStyle name="RowTitles-Col2 2 2 2 2 4 4_Tertiary Salaries Survey" xfId="13663" xr:uid="{00000000-0005-0000-0000-000072350000}"/>
    <cellStyle name="RowTitles-Col2 2 2 2 2 4 5" xfId="13664" xr:uid="{00000000-0005-0000-0000-000073350000}"/>
    <cellStyle name="RowTitles-Col2 2 2 2 2 4_Tertiary Salaries Survey" xfId="13665" xr:uid="{00000000-0005-0000-0000-000074350000}"/>
    <cellStyle name="RowTitles-Col2 2 2 2 2 5" xfId="13666" xr:uid="{00000000-0005-0000-0000-000075350000}"/>
    <cellStyle name="RowTitles-Col2 2 2 2 2 5 2" xfId="13667" xr:uid="{00000000-0005-0000-0000-000076350000}"/>
    <cellStyle name="RowTitles-Col2 2 2 2 2 5 2 2" xfId="13668" xr:uid="{00000000-0005-0000-0000-000077350000}"/>
    <cellStyle name="RowTitles-Col2 2 2 2 2 5 2 2 2" xfId="13669" xr:uid="{00000000-0005-0000-0000-000078350000}"/>
    <cellStyle name="RowTitles-Col2 2 2 2 2 5 2 2_Tertiary Salaries Survey" xfId="13670" xr:uid="{00000000-0005-0000-0000-000079350000}"/>
    <cellStyle name="RowTitles-Col2 2 2 2 2 5 2 3" xfId="13671" xr:uid="{00000000-0005-0000-0000-00007A350000}"/>
    <cellStyle name="RowTitles-Col2 2 2 2 2 5 2_Tertiary Salaries Survey" xfId="13672" xr:uid="{00000000-0005-0000-0000-00007B350000}"/>
    <cellStyle name="RowTitles-Col2 2 2 2 2 5 3" xfId="13673" xr:uid="{00000000-0005-0000-0000-00007C350000}"/>
    <cellStyle name="RowTitles-Col2 2 2 2 2 5 3 2" xfId="13674" xr:uid="{00000000-0005-0000-0000-00007D350000}"/>
    <cellStyle name="RowTitles-Col2 2 2 2 2 5 3 2 2" xfId="13675" xr:uid="{00000000-0005-0000-0000-00007E350000}"/>
    <cellStyle name="RowTitles-Col2 2 2 2 2 5 3 2_Tertiary Salaries Survey" xfId="13676" xr:uid="{00000000-0005-0000-0000-00007F350000}"/>
    <cellStyle name="RowTitles-Col2 2 2 2 2 5 3 3" xfId="13677" xr:uid="{00000000-0005-0000-0000-000080350000}"/>
    <cellStyle name="RowTitles-Col2 2 2 2 2 5 3_Tertiary Salaries Survey" xfId="13678" xr:uid="{00000000-0005-0000-0000-000081350000}"/>
    <cellStyle name="RowTitles-Col2 2 2 2 2 5 4" xfId="13679" xr:uid="{00000000-0005-0000-0000-000082350000}"/>
    <cellStyle name="RowTitles-Col2 2 2 2 2 5 4 2" xfId="13680" xr:uid="{00000000-0005-0000-0000-000083350000}"/>
    <cellStyle name="RowTitles-Col2 2 2 2 2 5 4_Tertiary Salaries Survey" xfId="13681" xr:uid="{00000000-0005-0000-0000-000084350000}"/>
    <cellStyle name="RowTitles-Col2 2 2 2 2 5 5" xfId="13682" xr:uid="{00000000-0005-0000-0000-000085350000}"/>
    <cellStyle name="RowTitles-Col2 2 2 2 2 5_Tertiary Salaries Survey" xfId="13683" xr:uid="{00000000-0005-0000-0000-000086350000}"/>
    <cellStyle name="RowTitles-Col2 2 2 2 2 6" xfId="13684" xr:uid="{00000000-0005-0000-0000-000087350000}"/>
    <cellStyle name="RowTitles-Col2 2 2 2 2 6 2" xfId="13685" xr:uid="{00000000-0005-0000-0000-000088350000}"/>
    <cellStyle name="RowTitles-Col2 2 2 2 2 6 2 2" xfId="13686" xr:uid="{00000000-0005-0000-0000-000089350000}"/>
    <cellStyle name="RowTitles-Col2 2 2 2 2 6 2 2 2" xfId="13687" xr:uid="{00000000-0005-0000-0000-00008A350000}"/>
    <cellStyle name="RowTitles-Col2 2 2 2 2 6 2 2_Tertiary Salaries Survey" xfId="13688" xr:uid="{00000000-0005-0000-0000-00008B350000}"/>
    <cellStyle name="RowTitles-Col2 2 2 2 2 6 2 3" xfId="13689" xr:uid="{00000000-0005-0000-0000-00008C350000}"/>
    <cellStyle name="RowTitles-Col2 2 2 2 2 6 2_Tertiary Salaries Survey" xfId="13690" xr:uid="{00000000-0005-0000-0000-00008D350000}"/>
    <cellStyle name="RowTitles-Col2 2 2 2 2 6 3" xfId="13691" xr:uid="{00000000-0005-0000-0000-00008E350000}"/>
    <cellStyle name="RowTitles-Col2 2 2 2 2 6 3 2" xfId="13692" xr:uid="{00000000-0005-0000-0000-00008F350000}"/>
    <cellStyle name="RowTitles-Col2 2 2 2 2 6 3 2 2" xfId="13693" xr:uid="{00000000-0005-0000-0000-000090350000}"/>
    <cellStyle name="RowTitles-Col2 2 2 2 2 6 3 2_Tertiary Salaries Survey" xfId="13694" xr:uid="{00000000-0005-0000-0000-000091350000}"/>
    <cellStyle name="RowTitles-Col2 2 2 2 2 6 3 3" xfId="13695" xr:uid="{00000000-0005-0000-0000-000092350000}"/>
    <cellStyle name="RowTitles-Col2 2 2 2 2 6 3_Tertiary Salaries Survey" xfId="13696" xr:uid="{00000000-0005-0000-0000-000093350000}"/>
    <cellStyle name="RowTitles-Col2 2 2 2 2 6 4" xfId="13697" xr:uid="{00000000-0005-0000-0000-000094350000}"/>
    <cellStyle name="RowTitles-Col2 2 2 2 2 6 4 2" xfId="13698" xr:uid="{00000000-0005-0000-0000-000095350000}"/>
    <cellStyle name="RowTitles-Col2 2 2 2 2 6 4_Tertiary Salaries Survey" xfId="13699" xr:uid="{00000000-0005-0000-0000-000096350000}"/>
    <cellStyle name="RowTitles-Col2 2 2 2 2 6 5" xfId="13700" xr:uid="{00000000-0005-0000-0000-000097350000}"/>
    <cellStyle name="RowTitles-Col2 2 2 2 2 6_Tertiary Salaries Survey" xfId="13701" xr:uid="{00000000-0005-0000-0000-000098350000}"/>
    <cellStyle name="RowTitles-Col2 2 2 2 2 7" xfId="13702" xr:uid="{00000000-0005-0000-0000-000099350000}"/>
    <cellStyle name="RowTitles-Col2 2 2 2 2 7 2" xfId="13703" xr:uid="{00000000-0005-0000-0000-00009A350000}"/>
    <cellStyle name="RowTitles-Col2 2 2 2 2 7 2 2" xfId="13704" xr:uid="{00000000-0005-0000-0000-00009B350000}"/>
    <cellStyle name="RowTitles-Col2 2 2 2 2 7 2_Tertiary Salaries Survey" xfId="13705" xr:uid="{00000000-0005-0000-0000-00009C350000}"/>
    <cellStyle name="RowTitles-Col2 2 2 2 2 7 3" xfId="13706" xr:uid="{00000000-0005-0000-0000-00009D350000}"/>
    <cellStyle name="RowTitles-Col2 2 2 2 2 7_Tertiary Salaries Survey" xfId="13707" xr:uid="{00000000-0005-0000-0000-00009E350000}"/>
    <cellStyle name="RowTitles-Col2 2 2 2 2 8" xfId="13708" xr:uid="{00000000-0005-0000-0000-00009F350000}"/>
    <cellStyle name="RowTitles-Col2 2 2 2 2_STUD aligned by INSTIT" xfId="13709" xr:uid="{00000000-0005-0000-0000-0000A0350000}"/>
    <cellStyle name="RowTitles-Col2 2 2 2 3" xfId="13710" xr:uid="{00000000-0005-0000-0000-0000A1350000}"/>
    <cellStyle name="RowTitles-Col2 2 2 2 3 2" xfId="13711" xr:uid="{00000000-0005-0000-0000-0000A2350000}"/>
    <cellStyle name="RowTitles-Col2 2 2 2 3 2 2" xfId="13712" xr:uid="{00000000-0005-0000-0000-0000A3350000}"/>
    <cellStyle name="RowTitles-Col2 2 2 2 3 2 2 2" xfId="13713" xr:uid="{00000000-0005-0000-0000-0000A4350000}"/>
    <cellStyle name="RowTitles-Col2 2 2 2 3 2 2 2 2" xfId="13714" xr:uid="{00000000-0005-0000-0000-0000A5350000}"/>
    <cellStyle name="RowTitles-Col2 2 2 2 3 2 2 2_Tertiary Salaries Survey" xfId="13715" xr:uid="{00000000-0005-0000-0000-0000A6350000}"/>
    <cellStyle name="RowTitles-Col2 2 2 2 3 2 2 3" xfId="13716" xr:uid="{00000000-0005-0000-0000-0000A7350000}"/>
    <cellStyle name="RowTitles-Col2 2 2 2 3 2 2_Tertiary Salaries Survey" xfId="13717" xr:uid="{00000000-0005-0000-0000-0000A8350000}"/>
    <cellStyle name="RowTitles-Col2 2 2 2 3 2 3" xfId="13718" xr:uid="{00000000-0005-0000-0000-0000A9350000}"/>
    <cellStyle name="RowTitles-Col2 2 2 2 3 2 3 2" xfId="13719" xr:uid="{00000000-0005-0000-0000-0000AA350000}"/>
    <cellStyle name="RowTitles-Col2 2 2 2 3 2 3 2 2" xfId="13720" xr:uid="{00000000-0005-0000-0000-0000AB350000}"/>
    <cellStyle name="RowTitles-Col2 2 2 2 3 2 3 2_Tertiary Salaries Survey" xfId="13721" xr:uid="{00000000-0005-0000-0000-0000AC350000}"/>
    <cellStyle name="RowTitles-Col2 2 2 2 3 2 3 3" xfId="13722" xr:uid="{00000000-0005-0000-0000-0000AD350000}"/>
    <cellStyle name="RowTitles-Col2 2 2 2 3 2 3_Tertiary Salaries Survey" xfId="13723" xr:uid="{00000000-0005-0000-0000-0000AE350000}"/>
    <cellStyle name="RowTitles-Col2 2 2 2 3 2 4" xfId="13724" xr:uid="{00000000-0005-0000-0000-0000AF350000}"/>
    <cellStyle name="RowTitles-Col2 2 2 2 3 2 5" xfId="13725" xr:uid="{00000000-0005-0000-0000-0000B0350000}"/>
    <cellStyle name="RowTitles-Col2 2 2 2 3 2 5 2" xfId="13726" xr:uid="{00000000-0005-0000-0000-0000B1350000}"/>
    <cellStyle name="RowTitles-Col2 2 2 2 3 2 5_Tertiary Salaries Survey" xfId="13727" xr:uid="{00000000-0005-0000-0000-0000B2350000}"/>
    <cellStyle name="RowTitles-Col2 2 2 2 3 2 6" xfId="13728" xr:uid="{00000000-0005-0000-0000-0000B3350000}"/>
    <cellStyle name="RowTitles-Col2 2 2 2 3 2_Tertiary Salaries Survey" xfId="13729" xr:uid="{00000000-0005-0000-0000-0000B4350000}"/>
    <cellStyle name="RowTitles-Col2 2 2 2 3 3" xfId="13730" xr:uid="{00000000-0005-0000-0000-0000B5350000}"/>
    <cellStyle name="RowTitles-Col2 2 2 2 3 3 2" xfId="13731" xr:uid="{00000000-0005-0000-0000-0000B6350000}"/>
    <cellStyle name="RowTitles-Col2 2 2 2 3 3 2 2" xfId="13732" xr:uid="{00000000-0005-0000-0000-0000B7350000}"/>
    <cellStyle name="RowTitles-Col2 2 2 2 3 3 2 2 2" xfId="13733" xr:uid="{00000000-0005-0000-0000-0000B8350000}"/>
    <cellStyle name="RowTitles-Col2 2 2 2 3 3 2 2_Tertiary Salaries Survey" xfId="13734" xr:uid="{00000000-0005-0000-0000-0000B9350000}"/>
    <cellStyle name="RowTitles-Col2 2 2 2 3 3 2 3" xfId="13735" xr:uid="{00000000-0005-0000-0000-0000BA350000}"/>
    <cellStyle name="RowTitles-Col2 2 2 2 3 3 2_Tertiary Salaries Survey" xfId="13736" xr:uid="{00000000-0005-0000-0000-0000BB350000}"/>
    <cellStyle name="RowTitles-Col2 2 2 2 3 3 3" xfId="13737" xr:uid="{00000000-0005-0000-0000-0000BC350000}"/>
    <cellStyle name="RowTitles-Col2 2 2 2 3 3 3 2" xfId="13738" xr:uid="{00000000-0005-0000-0000-0000BD350000}"/>
    <cellStyle name="RowTitles-Col2 2 2 2 3 3 3 2 2" xfId="13739" xr:uid="{00000000-0005-0000-0000-0000BE350000}"/>
    <cellStyle name="RowTitles-Col2 2 2 2 3 3 3 2_Tertiary Salaries Survey" xfId="13740" xr:uid="{00000000-0005-0000-0000-0000BF350000}"/>
    <cellStyle name="RowTitles-Col2 2 2 2 3 3 3 3" xfId="13741" xr:uid="{00000000-0005-0000-0000-0000C0350000}"/>
    <cellStyle name="RowTitles-Col2 2 2 2 3 3 3_Tertiary Salaries Survey" xfId="13742" xr:uid="{00000000-0005-0000-0000-0000C1350000}"/>
    <cellStyle name="RowTitles-Col2 2 2 2 3 3 4" xfId="13743" xr:uid="{00000000-0005-0000-0000-0000C2350000}"/>
    <cellStyle name="RowTitles-Col2 2 2 2 3 3_Tertiary Salaries Survey" xfId="13744" xr:uid="{00000000-0005-0000-0000-0000C3350000}"/>
    <cellStyle name="RowTitles-Col2 2 2 2 3 4" xfId="13745" xr:uid="{00000000-0005-0000-0000-0000C4350000}"/>
    <cellStyle name="RowTitles-Col2 2 2 2 3 4 2" xfId="13746" xr:uid="{00000000-0005-0000-0000-0000C5350000}"/>
    <cellStyle name="RowTitles-Col2 2 2 2 3 4 2 2" xfId="13747" xr:uid="{00000000-0005-0000-0000-0000C6350000}"/>
    <cellStyle name="RowTitles-Col2 2 2 2 3 4 2 2 2" xfId="13748" xr:uid="{00000000-0005-0000-0000-0000C7350000}"/>
    <cellStyle name="RowTitles-Col2 2 2 2 3 4 2 2_Tertiary Salaries Survey" xfId="13749" xr:uid="{00000000-0005-0000-0000-0000C8350000}"/>
    <cellStyle name="RowTitles-Col2 2 2 2 3 4 2 3" xfId="13750" xr:uid="{00000000-0005-0000-0000-0000C9350000}"/>
    <cellStyle name="RowTitles-Col2 2 2 2 3 4 2_Tertiary Salaries Survey" xfId="13751" xr:uid="{00000000-0005-0000-0000-0000CA350000}"/>
    <cellStyle name="RowTitles-Col2 2 2 2 3 4 3" xfId="13752" xr:uid="{00000000-0005-0000-0000-0000CB350000}"/>
    <cellStyle name="RowTitles-Col2 2 2 2 3 4 3 2" xfId="13753" xr:uid="{00000000-0005-0000-0000-0000CC350000}"/>
    <cellStyle name="RowTitles-Col2 2 2 2 3 4 3 2 2" xfId="13754" xr:uid="{00000000-0005-0000-0000-0000CD350000}"/>
    <cellStyle name="RowTitles-Col2 2 2 2 3 4 3 2_Tertiary Salaries Survey" xfId="13755" xr:uid="{00000000-0005-0000-0000-0000CE350000}"/>
    <cellStyle name="RowTitles-Col2 2 2 2 3 4 3 3" xfId="13756" xr:uid="{00000000-0005-0000-0000-0000CF350000}"/>
    <cellStyle name="RowTitles-Col2 2 2 2 3 4 3_Tertiary Salaries Survey" xfId="13757" xr:uid="{00000000-0005-0000-0000-0000D0350000}"/>
    <cellStyle name="RowTitles-Col2 2 2 2 3 4 4" xfId="13758" xr:uid="{00000000-0005-0000-0000-0000D1350000}"/>
    <cellStyle name="RowTitles-Col2 2 2 2 3 4 4 2" xfId="13759" xr:uid="{00000000-0005-0000-0000-0000D2350000}"/>
    <cellStyle name="RowTitles-Col2 2 2 2 3 4 4_Tertiary Salaries Survey" xfId="13760" xr:uid="{00000000-0005-0000-0000-0000D3350000}"/>
    <cellStyle name="RowTitles-Col2 2 2 2 3 4 5" xfId="13761" xr:uid="{00000000-0005-0000-0000-0000D4350000}"/>
    <cellStyle name="RowTitles-Col2 2 2 2 3 4_Tertiary Salaries Survey" xfId="13762" xr:uid="{00000000-0005-0000-0000-0000D5350000}"/>
    <cellStyle name="RowTitles-Col2 2 2 2 3 5" xfId="13763" xr:uid="{00000000-0005-0000-0000-0000D6350000}"/>
    <cellStyle name="RowTitles-Col2 2 2 2 3 5 2" xfId="13764" xr:uid="{00000000-0005-0000-0000-0000D7350000}"/>
    <cellStyle name="RowTitles-Col2 2 2 2 3 5 2 2" xfId="13765" xr:uid="{00000000-0005-0000-0000-0000D8350000}"/>
    <cellStyle name="RowTitles-Col2 2 2 2 3 5 2 2 2" xfId="13766" xr:uid="{00000000-0005-0000-0000-0000D9350000}"/>
    <cellStyle name="RowTitles-Col2 2 2 2 3 5 2 2_Tertiary Salaries Survey" xfId="13767" xr:uid="{00000000-0005-0000-0000-0000DA350000}"/>
    <cellStyle name="RowTitles-Col2 2 2 2 3 5 2 3" xfId="13768" xr:uid="{00000000-0005-0000-0000-0000DB350000}"/>
    <cellStyle name="RowTitles-Col2 2 2 2 3 5 2_Tertiary Salaries Survey" xfId="13769" xr:uid="{00000000-0005-0000-0000-0000DC350000}"/>
    <cellStyle name="RowTitles-Col2 2 2 2 3 5 3" xfId="13770" xr:uid="{00000000-0005-0000-0000-0000DD350000}"/>
    <cellStyle name="RowTitles-Col2 2 2 2 3 5 3 2" xfId="13771" xr:uid="{00000000-0005-0000-0000-0000DE350000}"/>
    <cellStyle name="RowTitles-Col2 2 2 2 3 5 3 2 2" xfId="13772" xr:uid="{00000000-0005-0000-0000-0000DF350000}"/>
    <cellStyle name="RowTitles-Col2 2 2 2 3 5 3 2_Tertiary Salaries Survey" xfId="13773" xr:uid="{00000000-0005-0000-0000-0000E0350000}"/>
    <cellStyle name="RowTitles-Col2 2 2 2 3 5 3 3" xfId="13774" xr:uid="{00000000-0005-0000-0000-0000E1350000}"/>
    <cellStyle name="RowTitles-Col2 2 2 2 3 5 3_Tertiary Salaries Survey" xfId="13775" xr:uid="{00000000-0005-0000-0000-0000E2350000}"/>
    <cellStyle name="RowTitles-Col2 2 2 2 3 5 4" xfId="13776" xr:uid="{00000000-0005-0000-0000-0000E3350000}"/>
    <cellStyle name="RowTitles-Col2 2 2 2 3 5 4 2" xfId="13777" xr:uid="{00000000-0005-0000-0000-0000E4350000}"/>
    <cellStyle name="RowTitles-Col2 2 2 2 3 5 4_Tertiary Salaries Survey" xfId="13778" xr:uid="{00000000-0005-0000-0000-0000E5350000}"/>
    <cellStyle name="RowTitles-Col2 2 2 2 3 5 5" xfId="13779" xr:uid="{00000000-0005-0000-0000-0000E6350000}"/>
    <cellStyle name="RowTitles-Col2 2 2 2 3 5_Tertiary Salaries Survey" xfId="13780" xr:uid="{00000000-0005-0000-0000-0000E7350000}"/>
    <cellStyle name="RowTitles-Col2 2 2 2 3 6" xfId="13781" xr:uid="{00000000-0005-0000-0000-0000E8350000}"/>
    <cellStyle name="RowTitles-Col2 2 2 2 3 6 2" xfId="13782" xr:uid="{00000000-0005-0000-0000-0000E9350000}"/>
    <cellStyle name="RowTitles-Col2 2 2 2 3 6 2 2" xfId="13783" xr:uid="{00000000-0005-0000-0000-0000EA350000}"/>
    <cellStyle name="RowTitles-Col2 2 2 2 3 6 2 2 2" xfId="13784" xr:uid="{00000000-0005-0000-0000-0000EB350000}"/>
    <cellStyle name="RowTitles-Col2 2 2 2 3 6 2 2_Tertiary Salaries Survey" xfId="13785" xr:uid="{00000000-0005-0000-0000-0000EC350000}"/>
    <cellStyle name="RowTitles-Col2 2 2 2 3 6 2 3" xfId="13786" xr:uid="{00000000-0005-0000-0000-0000ED350000}"/>
    <cellStyle name="RowTitles-Col2 2 2 2 3 6 2_Tertiary Salaries Survey" xfId="13787" xr:uid="{00000000-0005-0000-0000-0000EE350000}"/>
    <cellStyle name="RowTitles-Col2 2 2 2 3 6 3" xfId="13788" xr:uid="{00000000-0005-0000-0000-0000EF350000}"/>
    <cellStyle name="RowTitles-Col2 2 2 2 3 6 3 2" xfId="13789" xr:uid="{00000000-0005-0000-0000-0000F0350000}"/>
    <cellStyle name="RowTitles-Col2 2 2 2 3 6 3 2 2" xfId="13790" xr:uid="{00000000-0005-0000-0000-0000F1350000}"/>
    <cellStyle name="RowTitles-Col2 2 2 2 3 6 3 2_Tertiary Salaries Survey" xfId="13791" xr:uid="{00000000-0005-0000-0000-0000F2350000}"/>
    <cellStyle name="RowTitles-Col2 2 2 2 3 6 3 3" xfId="13792" xr:uid="{00000000-0005-0000-0000-0000F3350000}"/>
    <cellStyle name="RowTitles-Col2 2 2 2 3 6 3_Tertiary Salaries Survey" xfId="13793" xr:uid="{00000000-0005-0000-0000-0000F4350000}"/>
    <cellStyle name="RowTitles-Col2 2 2 2 3 6 4" xfId="13794" xr:uid="{00000000-0005-0000-0000-0000F5350000}"/>
    <cellStyle name="RowTitles-Col2 2 2 2 3 6 4 2" xfId="13795" xr:uid="{00000000-0005-0000-0000-0000F6350000}"/>
    <cellStyle name="RowTitles-Col2 2 2 2 3 6 4_Tertiary Salaries Survey" xfId="13796" xr:uid="{00000000-0005-0000-0000-0000F7350000}"/>
    <cellStyle name="RowTitles-Col2 2 2 2 3 6 5" xfId="13797" xr:uid="{00000000-0005-0000-0000-0000F8350000}"/>
    <cellStyle name="RowTitles-Col2 2 2 2 3 6_Tertiary Salaries Survey" xfId="13798" xr:uid="{00000000-0005-0000-0000-0000F9350000}"/>
    <cellStyle name="RowTitles-Col2 2 2 2 3 7" xfId="13799" xr:uid="{00000000-0005-0000-0000-0000FA350000}"/>
    <cellStyle name="RowTitles-Col2 2 2 2 3 7 2" xfId="13800" xr:uid="{00000000-0005-0000-0000-0000FB350000}"/>
    <cellStyle name="RowTitles-Col2 2 2 2 3 7 2 2" xfId="13801" xr:uid="{00000000-0005-0000-0000-0000FC350000}"/>
    <cellStyle name="RowTitles-Col2 2 2 2 3 7 2_Tertiary Salaries Survey" xfId="13802" xr:uid="{00000000-0005-0000-0000-0000FD350000}"/>
    <cellStyle name="RowTitles-Col2 2 2 2 3 7 3" xfId="13803" xr:uid="{00000000-0005-0000-0000-0000FE350000}"/>
    <cellStyle name="RowTitles-Col2 2 2 2 3 7_Tertiary Salaries Survey" xfId="13804" xr:uid="{00000000-0005-0000-0000-0000FF350000}"/>
    <cellStyle name="RowTitles-Col2 2 2 2 3 8" xfId="13805" xr:uid="{00000000-0005-0000-0000-000000360000}"/>
    <cellStyle name="RowTitles-Col2 2 2 2 3 8 2" xfId="13806" xr:uid="{00000000-0005-0000-0000-000001360000}"/>
    <cellStyle name="RowTitles-Col2 2 2 2 3 8 2 2" xfId="13807" xr:uid="{00000000-0005-0000-0000-000002360000}"/>
    <cellStyle name="RowTitles-Col2 2 2 2 3 8 2_Tertiary Salaries Survey" xfId="13808" xr:uid="{00000000-0005-0000-0000-000003360000}"/>
    <cellStyle name="RowTitles-Col2 2 2 2 3 8 3" xfId="13809" xr:uid="{00000000-0005-0000-0000-000004360000}"/>
    <cellStyle name="RowTitles-Col2 2 2 2 3 8_Tertiary Salaries Survey" xfId="13810" xr:uid="{00000000-0005-0000-0000-000005360000}"/>
    <cellStyle name="RowTitles-Col2 2 2 2 3_STUD aligned by INSTIT" xfId="13811" xr:uid="{00000000-0005-0000-0000-000006360000}"/>
    <cellStyle name="RowTitles-Col2 2 2 2 4" xfId="13812" xr:uid="{00000000-0005-0000-0000-000007360000}"/>
    <cellStyle name="RowTitles-Col2 2 2 2 4 2" xfId="13813" xr:uid="{00000000-0005-0000-0000-000008360000}"/>
    <cellStyle name="RowTitles-Col2 2 2 2 4 2 2" xfId="13814" xr:uid="{00000000-0005-0000-0000-000009360000}"/>
    <cellStyle name="RowTitles-Col2 2 2 2 4 2 2 2" xfId="13815" xr:uid="{00000000-0005-0000-0000-00000A360000}"/>
    <cellStyle name="RowTitles-Col2 2 2 2 4 2 2 2 2" xfId="13816" xr:uid="{00000000-0005-0000-0000-00000B360000}"/>
    <cellStyle name="RowTitles-Col2 2 2 2 4 2 2 2_Tertiary Salaries Survey" xfId="13817" xr:uid="{00000000-0005-0000-0000-00000C360000}"/>
    <cellStyle name="RowTitles-Col2 2 2 2 4 2 2 3" xfId="13818" xr:uid="{00000000-0005-0000-0000-00000D360000}"/>
    <cellStyle name="RowTitles-Col2 2 2 2 4 2 2_Tertiary Salaries Survey" xfId="13819" xr:uid="{00000000-0005-0000-0000-00000E360000}"/>
    <cellStyle name="RowTitles-Col2 2 2 2 4 2 3" xfId="13820" xr:uid="{00000000-0005-0000-0000-00000F360000}"/>
    <cellStyle name="RowTitles-Col2 2 2 2 4 2 3 2" xfId="13821" xr:uid="{00000000-0005-0000-0000-000010360000}"/>
    <cellStyle name="RowTitles-Col2 2 2 2 4 2 3 2 2" xfId="13822" xr:uid="{00000000-0005-0000-0000-000011360000}"/>
    <cellStyle name="RowTitles-Col2 2 2 2 4 2 3 2_Tertiary Salaries Survey" xfId="13823" xr:uid="{00000000-0005-0000-0000-000012360000}"/>
    <cellStyle name="RowTitles-Col2 2 2 2 4 2 3 3" xfId="13824" xr:uid="{00000000-0005-0000-0000-000013360000}"/>
    <cellStyle name="RowTitles-Col2 2 2 2 4 2 3_Tertiary Salaries Survey" xfId="13825" xr:uid="{00000000-0005-0000-0000-000014360000}"/>
    <cellStyle name="RowTitles-Col2 2 2 2 4 2 4" xfId="13826" xr:uid="{00000000-0005-0000-0000-000015360000}"/>
    <cellStyle name="RowTitles-Col2 2 2 2 4 2 5" xfId="13827" xr:uid="{00000000-0005-0000-0000-000016360000}"/>
    <cellStyle name="RowTitles-Col2 2 2 2 4 2 5 2" xfId="13828" xr:uid="{00000000-0005-0000-0000-000017360000}"/>
    <cellStyle name="RowTitles-Col2 2 2 2 4 2 5_Tertiary Salaries Survey" xfId="13829" xr:uid="{00000000-0005-0000-0000-000018360000}"/>
    <cellStyle name="RowTitles-Col2 2 2 2 4 2_Tertiary Salaries Survey" xfId="13830" xr:uid="{00000000-0005-0000-0000-000019360000}"/>
    <cellStyle name="RowTitles-Col2 2 2 2 4 3" xfId="13831" xr:uid="{00000000-0005-0000-0000-00001A360000}"/>
    <cellStyle name="RowTitles-Col2 2 2 2 4 3 2" xfId="13832" xr:uid="{00000000-0005-0000-0000-00001B360000}"/>
    <cellStyle name="RowTitles-Col2 2 2 2 4 3 2 2" xfId="13833" xr:uid="{00000000-0005-0000-0000-00001C360000}"/>
    <cellStyle name="RowTitles-Col2 2 2 2 4 3 2 2 2" xfId="13834" xr:uid="{00000000-0005-0000-0000-00001D360000}"/>
    <cellStyle name="RowTitles-Col2 2 2 2 4 3 2 2_Tertiary Salaries Survey" xfId="13835" xr:uid="{00000000-0005-0000-0000-00001E360000}"/>
    <cellStyle name="RowTitles-Col2 2 2 2 4 3 2 3" xfId="13836" xr:uid="{00000000-0005-0000-0000-00001F360000}"/>
    <cellStyle name="RowTitles-Col2 2 2 2 4 3 2_Tertiary Salaries Survey" xfId="13837" xr:uid="{00000000-0005-0000-0000-000020360000}"/>
    <cellStyle name="RowTitles-Col2 2 2 2 4 3 3" xfId="13838" xr:uid="{00000000-0005-0000-0000-000021360000}"/>
    <cellStyle name="RowTitles-Col2 2 2 2 4 3 3 2" xfId="13839" xr:uid="{00000000-0005-0000-0000-000022360000}"/>
    <cellStyle name="RowTitles-Col2 2 2 2 4 3 3 2 2" xfId="13840" xr:uid="{00000000-0005-0000-0000-000023360000}"/>
    <cellStyle name="RowTitles-Col2 2 2 2 4 3 3 2_Tertiary Salaries Survey" xfId="13841" xr:uid="{00000000-0005-0000-0000-000024360000}"/>
    <cellStyle name="RowTitles-Col2 2 2 2 4 3 3 3" xfId="13842" xr:uid="{00000000-0005-0000-0000-000025360000}"/>
    <cellStyle name="RowTitles-Col2 2 2 2 4 3 3_Tertiary Salaries Survey" xfId="13843" xr:uid="{00000000-0005-0000-0000-000026360000}"/>
    <cellStyle name="RowTitles-Col2 2 2 2 4 3 4" xfId="13844" xr:uid="{00000000-0005-0000-0000-000027360000}"/>
    <cellStyle name="RowTitles-Col2 2 2 2 4 3 5" xfId="13845" xr:uid="{00000000-0005-0000-0000-000028360000}"/>
    <cellStyle name="RowTitles-Col2 2 2 2 4 3_Tertiary Salaries Survey" xfId="13846" xr:uid="{00000000-0005-0000-0000-000029360000}"/>
    <cellStyle name="RowTitles-Col2 2 2 2 4 4" xfId="13847" xr:uid="{00000000-0005-0000-0000-00002A360000}"/>
    <cellStyle name="RowTitles-Col2 2 2 2 4 4 2" xfId="13848" xr:uid="{00000000-0005-0000-0000-00002B360000}"/>
    <cellStyle name="RowTitles-Col2 2 2 2 4 4 2 2" xfId="13849" xr:uid="{00000000-0005-0000-0000-00002C360000}"/>
    <cellStyle name="RowTitles-Col2 2 2 2 4 4 2 2 2" xfId="13850" xr:uid="{00000000-0005-0000-0000-00002D360000}"/>
    <cellStyle name="RowTitles-Col2 2 2 2 4 4 2 2_Tertiary Salaries Survey" xfId="13851" xr:uid="{00000000-0005-0000-0000-00002E360000}"/>
    <cellStyle name="RowTitles-Col2 2 2 2 4 4 2 3" xfId="13852" xr:uid="{00000000-0005-0000-0000-00002F360000}"/>
    <cellStyle name="RowTitles-Col2 2 2 2 4 4 2_Tertiary Salaries Survey" xfId="13853" xr:uid="{00000000-0005-0000-0000-000030360000}"/>
    <cellStyle name="RowTitles-Col2 2 2 2 4 4 3" xfId="13854" xr:uid="{00000000-0005-0000-0000-000031360000}"/>
    <cellStyle name="RowTitles-Col2 2 2 2 4 4 3 2" xfId="13855" xr:uid="{00000000-0005-0000-0000-000032360000}"/>
    <cellStyle name="RowTitles-Col2 2 2 2 4 4 3 2 2" xfId="13856" xr:uid="{00000000-0005-0000-0000-000033360000}"/>
    <cellStyle name="RowTitles-Col2 2 2 2 4 4 3 2_Tertiary Salaries Survey" xfId="13857" xr:uid="{00000000-0005-0000-0000-000034360000}"/>
    <cellStyle name="RowTitles-Col2 2 2 2 4 4 3 3" xfId="13858" xr:uid="{00000000-0005-0000-0000-000035360000}"/>
    <cellStyle name="RowTitles-Col2 2 2 2 4 4 3_Tertiary Salaries Survey" xfId="13859" xr:uid="{00000000-0005-0000-0000-000036360000}"/>
    <cellStyle name="RowTitles-Col2 2 2 2 4 4 4" xfId="13860" xr:uid="{00000000-0005-0000-0000-000037360000}"/>
    <cellStyle name="RowTitles-Col2 2 2 2 4 4 5" xfId="13861" xr:uid="{00000000-0005-0000-0000-000038360000}"/>
    <cellStyle name="RowTitles-Col2 2 2 2 4 4 5 2" xfId="13862" xr:uid="{00000000-0005-0000-0000-000039360000}"/>
    <cellStyle name="RowTitles-Col2 2 2 2 4 4 5_Tertiary Salaries Survey" xfId="13863" xr:uid="{00000000-0005-0000-0000-00003A360000}"/>
    <cellStyle name="RowTitles-Col2 2 2 2 4 4 6" xfId="13864" xr:uid="{00000000-0005-0000-0000-00003B360000}"/>
    <cellStyle name="RowTitles-Col2 2 2 2 4 4_Tertiary Salaries Survey" xfId="13865" xr:uid="{00000000-0005-0000-0000-00003C360000}"/>
    <cellStyle name="RowTitles-Col2 2 2 2 4 5" xfId="13866" xr:uid="{00000000-0005-0000-0000-00003D360000}"/>
    <cellStyle name="RowTitles-Col2 2 2 2 4 5 2" xfId="13867" xr:uid="{00000000-0005-0000-0000-00003E360000}"/>
    <cellStyle name="RowTitles-Col2 2 2 2 4 5 2 2" xfId="13868" xr:uid="{00000000-0005-0000-0000-00003F360000}"/>
    <cellStyle name="RowTitles-Col2 2 2 2 4 5 2 2 2" xfId="13869" xr:uid="{00000000-0005-0000-0000-000040360000}"/>
    <cellStyle name="RowTitles-Col2 2 2 2 4 5 2 2_Tertiary Salaries Survey" xfId="13870" xr:uid="{00000000-0005-0000-0000-000041360000}"/>
    <cellStyle name="RowTitles-Col2 2 2 2 4 5 2 3" xfId="13871" xr:uid="{00000000-0005-0000-0000-000042360000}"/>
    <cellStyle name="RowTitles-Col2 2 2 2 4 5 2_Tertiary Salaries Survey" xfId="13872" xr:uid="{00000000-0005-0000-0000-000043360000}"/>
    <cellStyle name="RowTitles-Col2 2 2 2 4 5 3" xfId="13873" xr:uid="{00000000-0005-0000-0000-000044360000}"/>
    <cellStyle name="RowTitles-Col2 2 2 2 4 5 3 2" xfId="13874" xr:uid="{00000000-0005-0000-0000-000045360000}"/>
    <cellStyle name="RowTitles-Col2 2 2 2 4 5 3 2 2" xfId="13875" xr:uid="{00000000-0005-0000-0000-000046360000}"/>
    <cellStyle name="RowTitles-Col2 2 2 2 4 5 3 2_Tertiary Salaries Survey" xfId="13876" xr:uid="{00000000-0005-0000-0000-000047360000}"/>
    <cellStyle name="RowTitles-Col2 2 2 2 4 5 3 3" xfId="13877" xr:uid="{00000000-0005-0000-0000-000048360000}"/>
    <cellStyle name="RowTitles-Col2 2 2 2 4 5 3_Tertiary Salaries Survey" xfId="13878" xr:uid="{00000000-0005-0000-0000-000049360000}"/>
    <cellStyle name="RowTitles-Col2 2 2 2 4 5 4" xfId="13879" xr:uid="{00000000-0005-0000-0000-00004A360000}"/>
    <cellStyle name="RowTitles-Col2 2 2 2 4 5 4 2" xfId="13880" xr:uid="{00000000-0005-0000-0000-00004B360000}"/>
    <cellStyle name="RowTitles-Col2 2 2 2 4 5 4_Tertiary Salaries Survey" xfId="13881" xr:uid="{00000000-0005-0000-0000-00004C360000}"/>
    <cellStyle name="RowTitles-Col2 2 2 2 4 5 5" xfId="13882" xr:uid="{00000000-0005-0000-0000-00004D360000}"/>
    <cellStyle name="RowTitles-Col2 2 2 2 4 5_Tertiary Salaries Survey" xfId="13883" xr:uid="{00000000-0005-0000-0000-00004E360000}"/>
    <cellStyle name="RowTitles-Col2 2 2 2 4 6" xfId="13884" xr:uid="{00000000-0005-0000-0000-00004F360000}"/>
    <cellStyle name="RowTitles-Col2 2 2 2 4 6 2" xfId="13885" xr:uid="{00000000-0005-0000-0000-000050360000}"/>
    <cellStyle name="RowTitles-Col2 2 2 2 4 6 2 2" xfId="13886" xr:uid="{00000000-0005-0000-0000-000051360000}"/>
    <cellStyle name="RowTitles-Col2 2 2 2 4 6 2 2 2" xfId="13887" xr:uid="{00000000-0005-0000-0000-000052360000}"/>
    <cellStyle name="RowTitles-Col2 2 2 2 4 6 2 2_Tertiary Salaries Survey" xfId="13888" xr:uid="{00000000-0005-0000-0000-000053360000}"/>
    <cellStyle name="RowTitles-Col2 2 2 2 4 6 2 3" xfId="13889" xr:uid="{00000000-0005-0000-0000-000054360000}"/>
    <cellStyle name="RowTitles-Col2 2 2 2 4 6 2_Tertiary Salaries Survey" xfId="13890" xr:uid="{00000000-0005-0000-0000-000055360000}"/>
    <cellStyle name="RowTitles-Col2 2 2 2 4 6 3" xfId="13891" xr:uid="{00000000-0005-0000-0000-000056360000}"/>
    <cellStyle name="RowTitles-Col2 2 2 2 4 6 3 2" xfId="13892" xr:uid="{00000000-0005-0000-0000-000057360000}"/>
    <cellStyle name="RowTitles-Col2 2 2 2 4 6 3 2 2" xfId="13893" xr:uid="{00000000-0005-0000-0000-000058360000}"/>
    <cellStyle name="RowTitles-Col2 2 2 2 4 6 3 2_Tertiary Salaries Survey" xfId="13894" xr:uid="{00000000-0005-0000-0000-000059360000}"/>
    <cellStyle name="RowTitles-Col2 2 2 2 4 6 3 3" xfId="13895" xr:uid="{00000000-0005-0000-0000-00005A360000}"/>
    <cellStyle name="RowTitles-Col2 2 2 2 4 6 3_Tertiary Salaries Survey" xfId="13896" xr:uid="{00000000-0005-0000-0000-00005B360000}"/>
    <cellStyle name="RowTitles-Col2 2 2 2 4 6 4" xfId="13897" xr:uid="{00000000-0005-0000-0000-00005C360000}"/>
    <cellStyle name="RowTitles-Col2 2 2 2 4 6 4 2" xfId="13898" xr:uid="{00000000-0005-0000-0000-00005D360000}"/>
    <cellStyle name="RowTitles-Col2 2 2 2 4 6 4_Tertiary Salaries Survey" xfId="13899" xr:uid="{00000000-0005-0000-0000-00005E360000}"/>
    <cellStyle name="RowTitles-Col2 2 2 2 4 6 5" xfId="13900" xr:uid="{00000000-0005-0000-0000-00005F360000}"/>
    <cellStyle name="RowTitles-Col2 2 2 2 4 6_Tertiary Salaries Survey" xfId="13901" xr:uid="{00000000-0005-0000-0000-000060360000}"/>
    <cellStyle name="RowTitles-Col2 2 2 2 4 7" xfId="13902" xr:uid="{00000000-0005-0000-0000-000061360000}"/>
    <cellStyle name="RowTitles-Col2 2 2 2 4 7 2" xfId="13903" xr:uid="{00000000-0005-0000-0000-000062360000}"/>
    <cellStyle name="RowTitles-Col2 2 2 2 4 7 2 2" xfId="13904" xr:uid="{00000000-0005-0000-0000-000063360000}"/>
    <cellStyle name="RowTitles-Col2 2 2 2 4 7 2_Tertiary Salaries Survey" xfId="13905" xr:uid="{00000000-0005-0000-0000-000064360000}"/>
    <cellStyle name="RowTitles-Col2 2 2 2 4 7 3" xfId="13906" xr:uid="{00000000-0005-0000-0000-000065360000}"/>
    <cellStyle name="RowTitles-Col2 2 2 2 4 7_Tertiary Salaries Survey" xfId="13907" xr:uid="{00000000-0005-0000-0000-000066360000}"/>
    <cellStyle name="RowTitles-Col2 2 2 2 4 8" xfId="13908" xr:uid="{00000000-0005-0000-0000-000067360000}"/>
    <cellStyle name="RowTitles-Col2 2 2 2 4_STUD aligned by INSTIT" xfId="13909" xr:uid="{00000000-0005-0000-0000-000068360000}"/>
    <cellStyle name="RowTitles-Col2 2 2 2 5" xfId="13910" xr:uid="{00000000-0005-0000-0000-000069360000}"/>
    <cellStyle name="RowTitles-Col2 2 2 2 5 2" xfId="13911" xr:uid="{00000000-0005-0000-0000-00006A360000}"/>
    <cellStyle name="RowTitles-Col2 2 2 2 5 2 2" xfId="13912" xr:uid="{00000000-0005-0000-0000-00006B360000}"/>
    <cellStyle name="RowTitles-Col2 2 2 2 5 2 2 2" xfId="13913" xr:uid="{00000000-0005-0000-0000-00006C360000}"/>
    <cellStyle name="RowTitles-Col2 2 2 2 5 2 2_Tertiary Salaries Survey" xfId="13914" xr:uid="{00000000-0005-0000-0000-00006D360000}"/>
    <cellStyle name="RowTitles-Col2 2 2 2 5 2 3" xfId="13915" xr:uid="{00000000-0005-0000-0000-00006E360000}"/>
    <cellStyle name="RowTitles-Col2 2 2 2 5 2_Tertiary Salaries Survey" xfId="13916" xr:uid="{00000000-0005-0000-0000-00006F360000}"/>
    <cellStyle name="RowTitles-Col2 2 2 2 5 3" xfId="13917" xr:uid="{00000000-0005-0000-0000-000070360000}"/>
    <cellStyle name="RowTitles-Col2 2 2 2 5 3 2" xfId="13918" xr:uid="{00000000-0005-0000-0000-000071360000}"/>
    <cellStyle name="RowTitles-Col2 2 2 2 5 3 2 2" xfId="13919" xr:uid="{00000000-0005-0000-0000-000072360000}"/>
    <cellStyle name="RowTitles-Col2 2 2 2 5 3 2_Tertiary Salaries Survey" xfId="13920" xr:uid="{00000000-0005-0000-0000-000073360000}"/>
    <cellStyle name="RowTitles-Col2 2 2 2 5 3 3" xfId="13921" xr:uid="{00000000-0005-0000-0000-000074360000}"/>
    <cellStyle name="RowTitles-Col2 2 2 2 5 3_Tertiary Salaries Survey" xfId="13922" xr:uid="{00000000-0005-0000-0000-000075360000}"/>
    <cellStyle name="RowTitles-Col2 2 2 2 5 4" xfId="13923" xr:uid="{00000000-0005-0000-0000-000076360000}"/>
    <cellStyle name="RowTitles-Col2 2 2 2 5 5" xfId="13924" xr:uid="{00000000-0005-0000-0000-000077360000}"/>
    <cellStyle name="RowTitles-Col2 2 2 2 5 5 2" xfId="13925" xr:uid="{00000000-0005-0000-0000-000078360000}"/>
    <cellStyle name="RowTitles-Col2 2 2 2 5 5_Tertiary Salaries Survey" xfId="13926" xr:uid="{00000000-0005-0000-0000-000079360000}"/>
    <cellStyle name="RowTitles-Col2 2 2 2 5_Tertiary Salaries Survey" xfId="13927" xr:uid="{00000000-0005-0000-0000-00007A360000}"/>
    <cellStyle name="RowTitles-Col2 2 2 2 6" xfId="13928" xr:uid="{00000000-0005-0000-0000-00007B360000}"/>
    <cellStyle name="RowTitles-Col2 2 2 2 6 2" xfId="13929" xr:uid="{00000000-0005-0000-0000-00007C360000}"/>
    <cellStyle name="RowTitles-Col2 2 2 2 6 2 2" xfId="13930" xr:uid="{00000000-0005-0000-0000-00007D360000}"/>
    <cellStyle name="RowTitles-Col2 2 2 2 6 2 2 2" xfId="13931" xr:uid="{00000000-0005-0000-0000-00007E360000}"/>
    <cellStyle name="RowTitles-Col2 2 2 2 6 2 2_Tertiary Salaries Survey" xfId="13932" xr:uid="{00000000-0005-0000-0000-00007F360000}"/>
    <cellStyle name="RowTitles-Col2 2 2 2 6 2 3" xfId="13933" xr:uid="{00000000-0005-0000-0000-000080360000}"/>
    <cellStyle name="RowTitles-Col2 2 2 2 6 2_Tertiary Salaries Survey" xfId="13934" xr:uid="{00000000-0005-0000-0000-000081360000}"/>
    <cellStyle name="RowTitles-Col2 2 2 2 6 3" xfId="13935" xr:uid="{00000000-0005-0000-0000-000082360000}"/>
    <cellStyle name="RowTitles-Col2 2 2 2 6 3 2" xfId="13936" xr:uid="{00000000-0005-0000-0000-000083360000}"/>
    <cellStyle name="RowTitles-Col2 2 2 2 6 3 2 2" xfId="13937" xr:uid="{00000000-0005-0000-0000-000084360000}"/>
    <cellStyle name="RowTitles-Col2 2 2 2 6 3 2_Tertiary Salaries Survey" xfId="13938" xr:uid="{00000000-0005-0000-0000-000085360000}"/>
    <cellStyle name="RowTitles-Col2 2 2 2 6 3 3" xfId="13939" xr:uid="{00000000-0005-0000-0000-000086360000}"/>
    <cellStyle name="RowTitles-Col2 2 2 2 6 3_Tertiary Salaries Survey" xfId="13940" xr:uid="{00000000-0005-0000-0000-000087360000}"/>
    <cellStyle name="RowTitles-Col2 2 2 2 6 4" xfId="13941" xr:uid="{00000000-0005-0000-0000-000088360000}"/>
    <cellStyle name="RowTitles-Col2 2 2 2 6 5" xfId="13942" xr:uid="{00000000-0005-0000-0000-000089360000}"/>
    <cellStyle name="RowTitles-Col2 2 2 2 6_Tertiary Salaries Survey" xfId="13943" xr:uid="{00000000-0005-0000-0000-00008A360000}"/>
    <cellStyle name="RowTitles-Col2 2 2 2 7" xfId="13944" xr:uid="{00000000-0005-0000-0000-00008B360000}"/>
    <cellStyle name="RowTitles-Col2 2 2 2 7 2" xfId="13945" xr:uid="{00000000-0005-0000-0000-00008C360000}"/>
    <cellStyle name="RowTitles-Col2 2 2 2 7 2 2" xfId="13946" xr:uid="{00000000-0005-0000-0000-00008D360000}"/>
    <cellStyle name="RowTitles-Col2 2 2 2 7 2 2 2" xfId="13947" xr:uid="{00000000-0005-0000-0000-00008E360000}"/>
    <cellStyle name="RowTitles-Col2 2 2 2 7 2 2_Tertiary Salaries Survey" xfId="13948" xr:uid="{00000000-0005-0000-0000-00008F360000}"/>
    <cellStyle name="RowTitles-Col2 2 2 2 7 2 3" xfId="13949" xr:uid="{00000000-0005-0000-0000-000090360000}"/>
    <cellStyle name="RowTitles-Col2 2 2 2 7 2_Tertiary Salaries Survey" xfId="13950" xr:uid="{00000000-0005-0000-0000-000091360000}"/>
    <cellStyle name="RowTitles-Col2 2 2 2 7 3" xfId="13951" xr:uid="{00000000-0005-0000-0000-000092360000}"/>
    <cellStyle name="RowTitles-Col2 2 2 2 7 3 2" xfId="13952" xr:uid="{00000000-0005-0000-0000-000093360000}"/>
    <cellStyle name="RowTitles-Col2 2 2 2 7 3 2 2" xfId="13953" xr:uid="{00000000-0005-0000-0000-000094360000}"/>
    <cellStyle name="RowTitles-Col2 2 2 2 7 3 2_Tertiary Salaries Survey" xfId="13954" xr:uid="{00000000-0005-0000-0000-000095360000}"/>
    <cellStyle name="RowTitles-Col2 2 2 2 7 3 3" xfId="13955" xr:uid="{00000000-0005-0000-0000-000096360000}"/>
    <cellStyle name="RowTitles-Col2 2 2 2 7 3_Tertiary Salaries Survey" xfId="13956" xr:uid="{00000000-0005-0000-0000-000097360000}"/>
    <cellStyle name="RowTitles-Col2 2 2 2 7 4" xfId="13957" xr:uid="{00000000-0005-0000-0000-000098360000}"/>
    <cellStyle name="RowTitles-Col2 2 2 2 7 5" xfId="13958" xr:uid="{00000000-0005-0000-0000-000099360000}"/>
    <cellStyle name="RowTitles-Col2 2 2 2 7 5 2" xfId="13959" xr:uid="{00000000-0005-0000-0000-00009A360000}"/>
    <cellStyle name="RowTitles-Col2 2 2 2 7 5_Tertiary Salaries Survey" xfId="13960" xr:uid="{00000000-0005-0000-0000-00009B360000}"/>
    <cellStyle name="RowTitles-Col2 2 2 2 7 6" xfId="13961" xr:uid="{00000000-0005-0000-0000-00009C360000}"/>
    <cellStyle name="RowTitles-Col2 2 2 2 7_Tertiary Salaries Survey" xfId="13962" xr:uid="{00000000-0005-0000-0000-00009D360000}"/>
    <cellStyle name="RowTitles-Col2 2 2 2 8" xfId="13963" xr:uid="{00000000-0005-0000-0000-00009E360000}"/>
    <cellStyle name="RowTitles-Col2 2 2 2 8 2" xfId="13964" xr:uid="{00000000-0005-0000-0000-00009F360000}"/>
    <cellStyle name="RowTitles-Col2 2 2 2 8 2 2" xfId="13965" xr:uid="{00000000-0005-0000-0000-0000A0360000}"/>
    <cellStyle name="RowTitles-Col2 2 2 2 8 2 2 2" xfId="13966" xr:uid="{00000000-0005-0000-0000-0000A1360000}"/>
    <cellStyle name="RowTitles-Col2 2 2 2 8 2 2_Tertiary Salaries Survey" xfId="13967" xr:uid="{00000000-0005-0000-0000-0000A2360000}"/>
    <cellStyle name="RowTitles-Col2 2 2 2 8 2 3" xfId="13968" xr:uid="{00000000-0005-0000-0000-0000A3360000}"/>
    <cellStyle name="RowTitles-Col2 2 2 2 8 2_Tertiary Salaries Survey" xfId="13969" xr:uid="{00000000-0005-0000-0000-0000A4360000}"/>
    <cellStyle name="RowTitles-Col2 2 2 2 8 3" xfId="13970" xr:uid="{00000000-0005-0000-0000-0000A5360000}"/>
    <cellStyle name="RowTitles-Col2 2 2 2 8 3 2" xfId="13971" xr:uid="{00000000-0005-0000-0000-0000A6360000}"/>
    <cellStyle name="RowTitles-Col2 2 2 2 8 3 2 2" xfId="13972" xr:uid="{00000000-0005-0000-0000-0000A7360000}"/>
    <cellStyle name="RowTitles-Col2 2 2 2 8 3 2_Tertiary Salaries Survey" xfId="13973" xr:uid="{00000000-0005-0000-0000-0000A8360000}"/>
    <cellStyle name="RowTitles-Col2 2 2 2 8 3 3" xfId="13974" xr:uid="{00000000-0005-0000-0000-0000A9360000}"/>
    <cellStyle name="RowTitles-Col2 2 2 2 8 3_Tertiary Salaries Survey" xfId="13975" xr:uid="{00000000-0005-0000-0000-0000AA360000}"/>
    <cellStyle name="RowTitles-Col2 2 2 2 8 4" xfId="13976" xr:uid="{00000000-0005-0000-0000-0000AB360000}"/>
    <cellStyle name="RowTitles-Col2 2 2 2 8 4 2" xfId="13977" xr:uid="{00000000-0005-0000-0000-0000AC360000}"/>
    <cellStyle name="RowTitles-Col2 2 2 2 8 4_Tertiary Salaries Survey" xfId="13978" xr:uid="{00000000-0005-0000-0000-0000AD360000}"/>
    <cellStyle name="RowTitles-Col2 2 2 2 8 5" xfId="13979" xr:uid="{00000000-0005-0000-0000-0000AE360000}"/>
    <cellStyle name="RowTitles-Col2 2 2 2 8_Tertiary Salaries Survey" xfId="13980" xr:uid="{00000000-0005-0000-0000-0000AF360000}"/>
    <cellStyle name="RowTitles-Col2 2 2 2 9" xfId="13981" xr:uid="{00000000-0005-0000-0000-0000B0360000}"/>
    <cellStyle name="RowTitles-Col2 2 2 2 9 2" xfId="13982" xr:uid="{00000000-0005-0000-0000-0000B1360000}"/>
    <cellStyle name="RowTitles-Col2 2 2 2 9 2 2" xfId="13983" xr:uid="{00000000-0005-0000-0000-0000B2360000}"/>
    <cellStyle name="RowTitles-Col2 2 2 2 9 2 2 2" xfId="13984" xr:uid="{00000000-0005-0000-0000-0000B3360000}"/>
    <cellStyle name="RowTitles-Col2 2 2 2 9 2 2_Tertiary Salaries Survey" xfId="13985" xr:uid="{00000000-0005-0000-0000-0000B4360000}"/>
    <cellStyle name="RowTitles-Col2 2 2 2 9 2 3" xfId="13986" xr:uid="{00000000-0005-0000-0000-0000B5360000}"/>
    <cellStyle name="RowTitles-Col2 2 2 2 9 2_Tertiary Salaries Survey" xfId="13987" xr:uid="{00000000-0005-0000-0000-0000B6360000}"/>
    <cellStyle name="RowTitles-Col2 2 2 2 9 3" xfId="13988" xr:uid="{00000000-0005-0000-0000-0000B7360000}"/>
    <cellStyle name="RowTitles-Col2 2 2 2 9 3 2" xfId="13989" xr:uid="{00000000-0005-0000-0000-0000B8360000}"/>
    <cellStyle name="RowTitles-Col2 2 2 2 9 3 2 2" xfId="13990" xr:uid="{00000000-0005-0000-0000-0000B9360000}"/>
    <cellStyle name="RowTitles-Col2 2 2 2 9 3 2_Tertiary Salaries Survey" xfId="13991" xr:uid="{00000000-0005-0000-0000-0000BA360000}"/>
    <cellStyle name="RowTitles-Col2 2 2 2 9 3 3" xfId="13992" xr:uid="{00000000-0005-0000-0000-0000BB360000}"/>
    <cellStyle name="RowTitles-Col2 2 2 2 9 3_Tertiary Salaries Survey" xfId="13993" xr:uid="{00000000-0005-0000-0000-0000BC360000}"/>
    <cellStyle name="RowTitles-Col2 2 2 2 9 4" xfId="13994" xr:uid="{00000000-0005-0000-0000-0000BD360000}"/>
    <cellStyle name="RowTitles-Col2 2 2 2 9 4 2" xfId="13995" xr:uid="{00000000-0005-0000-0000-0000BE360000}"/>
    <cellStyle name="RowTitles-Col2 2 2 2 9 4_Tertiary Salaries Survey" xfId="13996" xr:uid="{00000000-0005-0000-0000-0000BF360000}"/>
    <cellStyle name="RowTitles-Col2 2 2 2 9 5" xfId="13997" xr:uid="{00000000-0005-0000-0000-0000C0360000}"/>
    <cellStyle name="RowTitles-Col2 2 2 2 9_Tertiary Salaries Survey" xfId="13998" xr:uid="{00000000-0005-0000-0000-0000C1360000}"/>
    <cellStyle name="RowTitles-Col2 2 2 2_STUD aligned by INSTIT" xfId="13999" xr:uid="{00000000-0005-0000-0000-0000C2360000}"/>
    <cellStyle name="RowTitles-Col2 2 2 3" xfId="14000" xr:uid="{00000000-0005-0000-0000-0000C3360000}"/>
    <cellStyle name="RowTitles-Col2 2 2 3 2" xfId="14001" xr:uid="{00000000-0005-0000-0000-0000C4360000}"/>
    <cellStyle name="RowTitles-Col2 2 2 3 2 2" xfId="14002" xr:uid="{00000000-0005-0000-0000-0000C5360000}"/>
    <cellStyle name="RowTitles-Col2 2 2 3 2 2 2" xfId="14003" xr:uid="{00000000-0005-0000-0000-0000C6360000}"/>
    <cellStyle name="RowTitles-Col2 2 2 3 2 2 2 2" xfId="14004" xr:uid="{00000000-0005-0000-0000-0000C7360000}"/>
    <cellStyle name="RowTitles-Col2 2 2 3 2 2 2_Tertiary Salaries Survey" xfId="14005" xr:uid="{00000000-0005-0000-0000-0000C8360000}"/>
    <cellStyle name="RowTitles-Col2 2 2 3 2 2 3" xfId="14006" xr:uid="{00000000-0005-0000-0000-0000C9360000}"/>
    <cellStyle name="RowTitles-Col2 2 2 3 2 2_Tertiary Salaries Survey" xfId="14007" xr:uid="{00000000-0005-0000-0000-0000CA360000}"/>
    <cellStyle name="RowTitles-Col2 2 2 3 2 3" xfId="14008" xr:uid="{00000000-0005-0000-0000-0000CB360000}"/>
    <cellStyle name="RowTitles-Col2 2 2 3 2 3 2" xfId="14009" xr:uid="{00000000-0005-0000-0000-0000CC360000}"/>
    <cellStyle name="RowTitles-Col2 2 2 3 2 3 2 2" xfId="14010" xr:uid="{00000000-0005-0000-0000-0000CD360000}"/>
    <cellStyle name="RowTitles-Col2 2 2 3 2 3 2_Tertiary Salaries Survey" xfId="14011" xr:uid="{00000000-0005-0000-0000-0000CE360000}"/>
    <cellStyle name="RowTitles-Col2 2 2 3 2 3 3" xfId="14012" xr:uid="{00000000-0005-0000-0000-0000CF360000}"/>
    <cellStyle name="RowTitles-Col2 2 2 3 2 3_Tertiary Salaries Survey" xfId="14013" xr:uid="{00000000-0005-0000-0000-0000D0360000}"/>
    <cellStyle name="RowTitles-Col2 2 2 3 2 4" xfId="14014" xr:uid="{00000000-0005-0000-0000-0000D1360000}"/>
    <cellStyle name="RowTitles-Col2 2 2 3 2_Tertiary Salaries Survey" xfId="14015" xr:uid="{00000000-0005-0000-0000-0000D2360000}"/>
    <cellStyle name="RowTitles-Col2 2 2 3 3" xfId="14016" xr:uid="{00000000-0005-0000-0000-0000D3360000}"/>
    <cellStyle name="RowTitles-Col2 2 2 3 3 2" xfId="14017" xr:uid="{00000000-0005-0000-0000-0000D4360000}"/>
    <cellStyle name="RowTitles-Col2 2 2 3 3 2 2" xfId="14018" xr:uid="{00000000-0005-0000-0000-0000D5360000}"/>
    <cellStyle name="RowTitles-Col2 2 2 3 3 2 2 2" xfId="14019" xr:uid="{00000000-0005-0000-0000-0000D6360000}"/>
    <cellStyle name="RowTitles-Col2 2 2 3 3 2 2_Tertiary Salaries Survey" xfId="14020" xr:uid="{00000000-0005-0000-0000-0000D7360000}"/>
    <cellStyle name="RowTitles-Col2 2 2 3 3 2 3" xfId="14021" xr:uid="{00000000-0005-0000-0000-0000D8360000}"/>
    <cellStyle name="RowTitles-Col2 2 2 3 3 2_Tertiary Salaries Survey" xfId="14022" xr:uid="{00000000-0005-0000-0000-0000D9360000}"/>
    <cellStyle name="RowTitles-Col2 2 2 3 3 3" xfId="14023" xr:uid="{00000000-0005-0000-0000-0000DA360000}"/>
    <cellStyle name="RowTitles-Col2 2 2 3 3 3 2" xfId="14024" xr:uid="{00000000-0005-0000-0000-0000DB360000}"/>
    <cellStyle name="RowTitles-Col2 2 2 3 3 3 2 2" xfId="14025" xr:uid="{00000000-0005-0000-0000-0000DC360000}"/>
    <cellStyle name="RowTitles-Col2 2 2 3 3 3 2_Tertiary Salaries Survey" xfId="14026" xr:uid="{00000000-0005-0000-0000-0000DD360000}"/>
    <cellStyle name="RowTitles-Col2 2 2 3 3 3 3" xfId="14027" xr:uid="{00000000-0005-0000-0000-0000DE360000}"/>
    <cellStyle name="RowTitles-Col2 2 2 3 3 3_Tertiary Salaries Survey" xfId="14028" xr:uid="{00000000-0005-0000-0000-0000DF360000}"/>
    <cellStyle name="RowTitles-Col2 2 2 3 3 4" xfId="14029" xr:uid="{00000000-0005-0000-0000-0000E0360000}"/>
    <cellStyle name="RowTitles-Col2 2 2 3 3 5" xfId="14030" xr:uid="{00000000-0005-0000-0000-0000E1360000}"/>
    <cellStyle name="RowTitles-Col2 2 2 3 3 5 2" xfId="14031" xr:uid="{00000000-0005-0000-0000-0000E2360000}"/>
    <cellStyle name="RowTitles-Col2 2 2 3 3 5_Tertiary Salaries Survey" xfId="14032" xr:uid="{00000000-0005-0000-0000-0000E3360000}"/>
    <cellStyle name="RowTitles-Col2 2 2 3 3 6" xfId="14033" xr:uid="{00000000-0005-0000-0000-0000E4360000}"/>
    <cellStyle name="RowTitles-Col2 2 2 3 3_Tertiary Salaries Survey" xfId="14034" xr:uid="{00000000-0005-0000-0000-0000E5360000}"/>
    <cellStyle name="RowTitles-Col2 2 2 3 4" xfId="14035" xr:uid="{00000000-0005-0000-0000-0000E6360000}"/>
    <cellStyle name="RowTitles-Col2 2 2 3 4 2" xfId="14036" xr:uid="{00000000-0005-0000-0000-0000E7360000}"/>
    <cellStyle name="RowTitles-Col2 2 2 3 4 2 2" xfId="14037" xr:uid="{00000000-0005-0000-0000-0000E8360000}"/>
    <cellStyle name="RowTitles-Col2 2 2 3 4 2 2 2" xfId="14038" xr:uid="{00000000-0005-0000-0000-0000E9360000}"/>
    <cellStyle name="RowTitles-Col2 2 2 3 4 2 2_Tertiary Salaries Survey" xfId="14039" xr:uid="{00000000-0005-0000-0000-0000EA360000}"/>
    <cellStyle name="RowTitles-Col2 2 2 3 4 2 3" xfId="14040" xr:uid="{00000000-0005-0000-0000-0000EB360000}"/>
    <cellStyle name="RowTitles-Col2 2 2 3 4 2_Tertiary Salaries Survey" xfId="14041" xr:uid="{00000000-0005-0000-0000-0000EC360000}"/>
    <cellStyle name="RowTitles-Col2 2 2 3 4 3" xfId="14042" xr:uid="{00000000-0005-0000-0000-0000ED360000}"/>
    <cellStyle name="RowTitles-Col2 2 2 3 4 3 2" xfId="14043" xr:uid="{00000000-0005-0000-0000-0000EE360000}"/>
    <cellStyle name="RowTitles-Col2 2 2 3 4 3 2 2" xfId="14044" xr:uid="{00000000-0005-0000-0000-0000EF360000}"/>
    <cellStyle name="RowTitles-Col2 2 2 3 4 3 2_Tertiary Salaries Survey" xfId="14045" xr:uid="{00000000-0005-0000-0000-0000F0360000}"/>
    <cellStyle name="RowTitles-Col2 2 2 3 4 3 3" xfId="14046" xr:uid="{00000000-0005-0000-0000-0000F1360000}"/>
    <cellStyle name="RowTitles-Col2 2 2 3 4 3_Tertiary Salaries Survey" xfId="14047" xr:uid="{00000000-0005-0000-0000-0000F2360000}"/>
    <cellStyle name="RowTitles-Col2 2 2 3 4 4" xfId="14048" xr:uid="{00000000-0005-0000-0000-0000F3360000}"/>
    <cellStyle name="RowTitles-Col2 2 2 3 4 4 2" xfId="14049" xr:uid="{00000000-0005-0000-0000-0000F4360000}"/>
    <cellStyle name="RowTitles-Col2 2 2 3 4 4_Tertiary Salaries Survey" xfId="14050" xr:uid="{00000000-0005-0000-0000-0000F5360000}"/>
    <cellStyle name="RowTitles-Col2 2 2 3 4 5" xfId="14051" xr:uid="{00000000-0005-0000-0000-0000F6360000}"/>
    <cellStyle name="RowTitles-Col2 2 2 3 4_Tertiary Salaries Survey" xfId="14052" xr:uid="{00000000-0005-0000-0000-0000F7360000}"/>
    <cellStyle name="RowTitles-Col2 2 2 3 5" xfId="14053" xr:uid="{00000000-0005-0000-0000-0000F8360000}"/>
    <cellStyle name="RowTitles-Col2 2 2 3 5 2" xfId="14054" xr:uid="{00000000-0005-0000-0000-0000F9360000}"/>
    <cellStyle name="RowTitles-Col2 2 2 3 5 2 2" xfId="14055" xr:uid="{00000000-0005-0000-0000-0000FA360000}"/>
    <cellStyle name="RowTitles-Col2 2 2 3 5 2 2 2" xfId="14056" xr:uid="{00000000-0005-0000-0000-0000FB360000}"/>
    <cellStyle name="RowTitles-Col2 2 2 3 5 2 2_Tertiary Salaries Survey" xfId="14057" xr:uid="{00000000-0005-0000-0000-0000FC360000}"/>
    <cellStyle name="RowTitles-Col2 2 2 3 5 2 3" xfId="14058" xr:uid="{00000000-0005-0000-0000-0000FD360000}"/>
    <cellStyle name="RowTitles-Col2 2 2 3 5 2_Tertiary Salaries Survey" xfId="14059" xr:uid="{00000000-0005-0000-0000-0000FE360000}"/>
    <cellStyle name="RowTitles-Col2 2 2 3 5 3" xfId="14060" xr:uid="{00000000-0005-0000-0000-0000FF360000}"/>
    <cellStyle name="RowTitles-Col2 2 2 3 5 3 2" xfId="14061" xr:uid="{00000000-0005-0000-0000-000000370000}"/>
    <cellStyle name="RowTitles-Col2 2 2 3 5 3 2 2" xfId="14062" xr:uid="{00000000-0005-0000-0000-000001370000}"/>
    <cellStyle name="RowTitles-Col2 2 2 3 5 3 2_Tertiary Salaries Survey" xfId="14063" xr:uid="{00000000-0005-0000-0000-000002370000}"/>
    <cellStyle name="RowTitles-Col2 2 2 3 5 3 3" xfId="14064" xr:uid="{00000000-0005-0000-0000-000003370000}"/>
    <cellStyle name="RowTitles-Col2 2 2 3 5 3_Tertiary Salaries Survey" xfId="14065" xr:uid="{00000000-0005-0000-0000-000004370000}"/>
    <cellStyle name="RowTitles-Col2 2 2 3 5 4" xfId="14066" xr:uid="{00000000-0005-0000-0000-000005370000}"/>
    <cellStyle name="RowTitles-Col2 2 2 3 5 4 2" xfId="14067" xr:uid="{00000000-0005-0000-0000-000006370000}"/>
    <cellStyle name="RowTitles-Col2 2 2 3 5 4_Tertiary Salaries Survey" xfId="14068" xr:uid="{00000000-0005-0000-0000-000007370000}"/>
    <cellStyle name="RowTitles-Col2 2 2 3 5 5" xfId="14069" xr:uid="{00000000-0005-0000-0000-000008370000}"/>
    <cellStyle name="RowTitles-Col2 2 2 3 5_Tertiary Salaries Survey" xfId="14070" xr:uid="{00000000-0005-0000-0000-000009370000}"/>
    <cellStyle name="RowTitles-Col2 2 2 3 6" xfId="14071" xr:uid="{00000000-0005-0000-0000-00000A370000}"/>
    <cellStyle name="RowTitles-Col2 2 2 3 6 2" xfId="14072" xr:uid="{00000000-0005-0000-0000-00000B370000}"/>
    <cellStyle name="RowTitles-Col2 2 2 3 6 2 2" xfId="14073" xr:uid="{00000000-0005-0000-0000-00000C370000}"/>
    <cellStyle name="RowTitles-Col2 2 2 3 6 2 2 2" xfId="14074" xr:uid="{00000000-0005-0000-0000-00000D370000}"/>
    <cellStyle name="RowTitles-Col2 2 2 3 6 2 2_Tertiary Salaries Survey" xfId="14075" xr:uid="{00000000-0005-0000-0000-00000E370000}"/>
    <cellStyle name="RowTitles-Col2 2 2 3 6 2 3" xfId="14076" xr:uid="{00000000-0005-0000-0000-00000F370000}"/>
    <cellStyle name="RowTitles-Col2 2 2 3 6 2_Tertiary Salaries Survey" xfId="14077" xr:uid="{00000000-0005-0000-0000-000010370000}"/>
    <cellStyle name="RowTitles-Col2 2 2 3 6 3" xfId="14078" xr:uid="{00000000-0005-0000-0000-000011370000}"/>
    <cellStyle name="RowTitles-Col2 2 2 3 6 3 2" xfId="14079" xr:uid="{00000000-0005-0000-0000-000012370000}"/>
    <cellStyle name="RowTitles-Col2 2 2 3 6 3 2 2" xfId="14080" xr:uid="{00000000-0005-0000-0000-000013370000}"/>
    <cellStyle name="RowTitles-Col2 2 2 3 6 3 2_Tertiary Salaries Survey" xfId="14081" xr:uid="{00000000-0005-0000-0000-000014370000}"/>
    <cellStyle name="RowTitles-Col2 2 2 3 6 3 3" xfId="14082" xr:uid="{00000000-0005-0000-0000-000015370000}"/>
    <cellStyle name="RowTitles-Col2 2 2 3 6 3_Tertiary Salaries Survey" xfId="14083" xr:uid="{00000000-0005-0000-0000-000016370000}"/>
    <cellStyle name="RowTitles-Col2 2 2 3 6 4" xfId="14084" xr:uid="{00000000-0005-0000-0000-000017370000}"/>
    <cellStyle name="RowTitles-Col2 2 2 3 6 4 2" xfId="14085" xr:uid="{00000000-0005-0000-0000-000018370000}"/>
    <cellStyle name="RowTitles-Col2 2 2 3 6 4_Tertiary Salaries Survey" xfId="14086" xr:uid="{00000000-0005-0000-0000-000019370000}"/>
    <cellStyle name="RowTitles-Col2 2 2 3 6 5" xfId="14087" xr:uid="{00000000-0005-0000-0000-00001A370000}"/>
    <cellStyle name="RowTitles-Col2 2 2 3 6_Tertiary Salaries Survey" xfId="14088" xr:uid="{00000000-0005-0000-0000-00001B370000}"/>
    <cellStyle name="RowTitles-Col2 2 2 3 7" xfId="14089" xr:uid="{00000000-0005-0000-0000-00001C370000}"/>
    <cellStyle name="RowTitles-Col2 2 2 3 7 2" xfId="14090" xr:uid="{00000000-0005-0000-0000-00001D370000}"/>
    <cellStyle name="RowTitles-Col2 2 2 3 7 2 2" xfId="14091" xr:uid="{00000000-0005-0000-0000-00001E370000}"/>
    <cellStyle name="RowTitles-Col2 2 2 3 7 2_Tertiary Salaries Survey" xfId="14092" xr:uid="{00000000-0005-0000-0000-00001F370000}"/>
    <cellStyle name="RowTitles-Col2 2 2 3 7 3" xfId="14093" xr:uid="{00000000-0005-0000-0000-000020370000}"/>
    <cellStyle name="RowTitles-Col2 2 2 3 7_Tertiary Salaries Survey" xfId="14094" xr:uid="{00000000-0005-0000-0000-000021370000}"/>
    <cellStyle name="RowTitles-Col2 2 2 3 8" xfId="14095" xr:uid="{00000000-0005-0000-0000-000022370000}"/>
    <cellStyle name="RowTitles-Col2 2 2 3_STUD aligned by INSTIT" xfId="14096" xr:uid="{00000000-0005-0000-0000-000023370000}"/>
    <cellStyle name="RowTitles-Col2 2 2 4" xfId="14097" xr:uid="{00000000-0005-0000-0000-000024370000}"/>
    <cellStyle name="RowTitles-Col2 2 2 4 2" xfId="14098" xr:uid="{00000000-0005-0000-0000-000025370000}"/>
    <cellStyle name="RowTitles-Col2 2 2 4 2 2" xfId="14099" xr:uid="{00000000-0005-0000-0000-000026370000}"/>
    <cellStyle name="RowTitles-Col2 2 2 4 2 2 2" xfId="14100" xr:uid="{00000000-0005-0000-0000-000027370000}"/>
    <cellStyle name="RowTitles-Col2 2 2 4 2 2 2 2" xfId="14101" xr:uid="{00000000-0005-0000-0000-000028370000}"/>
    <cellStyle name="RowTitles-Col2 2 2 4 2 2 2_Tertiary Salaries Survey" xfId="14102" xr:uid="{00000000-0005-0000-0000-000029370000}"/>
    <cellStyle name="RowTitles-Col2 2 2 4 2 2 3" xfId="14103" xr:uid="{00000000-0005-0000-0000-00002A370000}"/>
    <cellStyle name="RowTitles-Col2 2 2 4 2 2_Tertiary Salaries Survey" xfId="14104" xr:uid="{00000000-0005-0000-0000-00002B370000}"/>
    <cellStyle name="RowTitles-Col2 2 2 4 2 3" xfId="14105" xr:uid="{00000000-0005-0000-0000-00002C370000}"/>
    <cellStyle name="RowTitles-Col2 2 2 4 2 3 2" xfId="14106" xr:uid="{00000000-0005-0000-0000-00002D370000}"/>
    <cellStyle name="RowTitles-Col2 2 2 4 2 3 2 2" xfId="14107" xr:uid="{00000000-0005-0000-0000-00002E370000}"/>
    <cellStyle name="RowTitles-Col2 2 2 4 2 3 2_Tertiary Salaries Survey" xfId="14108" xr:uid="{00000000-0005-0000-0000-00002F370000}"/>
    <cellStyle name="RowTitles-Col2 2 2 4 2 3 3" xfId="14109" xr:uid="{00000000-0005-0000-0000-000030370000}"/>
    <cellStyle name="RowTitles-Col2 2 2 4 2 3_Tertiary Salaries Survey" xfId="14110" xr:uid="{00000000-0005-0000-0000-000031370000}"/>
    <cellStyle name="RowTitles-Col2 2 2 4 2 4" xfId="14111" xr:uid="{00000000-0005-0000-0000-000032370000}"/>
    <cellStyle name="RowTitles-Col2 2 2 4 2 5" xfId="14112" xr:uid="{00000000-0005-0000-0000-000033370000}"/>
    <cellStyle name="RowTitles-Col2 2 2 4 2 5 2" xfId="14113" xr:uid="{00000000-0005-0000-0000-000034370000}"/>
    <cellStyle name="RowTitles-Col2 2 2 4 2 5_Tertiary Salaries Survey" xfId="14114" xr:uid="{00000000-0005-0000-0000-000035370000}"/>
    <cellStyle name="RowTitles-Col2 2 2 4 2 6" xfId="14115" xr:uid="{00000000-0005-0000-0000-000036370000}"/>
    <cellStyle name="RowTitles-Col2 2 2 4 2_Tertiary Salaries Survey" xfId="14116" xr:uid="{00000000-0005-0000-0000-000037370000}"/>
    <cellStyle name="RowTitles-Col2 2 2 4 3" xfId="14117" xr:uid="{00000000-0005-0000-0000-000038370000}"/>
    <cellStyle name="RowTitles-Col2 2 2 4 3 2" xfId="14118" xr:uid="{00000000-0005-0000-0000-000039370000}"/>
    <cellStyle name="RowTitles-Col2 2 2 4 3 2 2" xfId="14119" xr:uid="{00000000-0005-0000-0000-00003A370000}"/>
    <cellStyle name="RowTitles-Col2 2 2 4 3 2 2 2" xfId="14120" xr:uid="{00000000-0005-0000-0000-00003B370000}"/>
    <cellStyle name="RowTitles-Col2 2 2 4 3 2 2_Tertiary Salaries Survey" xfId="14121" xr:uid="{00000000-0005-0000-0000-00003C370000}"/>
    <cellStyle name="RowTitles-Col2 2 2 4 3 2 3" xfId="14122" xr:uid="{00000000-0005-0000-0000-00003D370000}"/>
    <cellStyle name="RowTitles-Col2 2 2 4 3 2_Tertiary Salaries Survey" xfId="14123" xr:uid="{00000000-0005-0000-0000-00003E370000}"/>
    <cellStyle name="RowTitles-Col2 2 2 4 3 3" xfId="14124" xr:uid="{00000000-0005-0000-0000-00003F370000}"/>
    <cellStyle name="RowTitles-Col2 2 2 4 3 3 2" xfId="14125" xr:uid="{00000000-0005-0000-0000-000040370000}"/>
    <cellStyle name="RowTitles-Col2 2 2 4 3 3 2 2" xfId="14126" xr:uid="{00000000-0005-0000-0000-000041370000}"/>
    <cellStyle name="RowTitles-Col2 2 2 4 3 3 2_Tertiary Salaries Survey" xfId="14127" xr:uid="{00000000-0005-0000-0000-000042370000}"/>
    <cellStyle name="RowTitles-Col2 2 2 4 3 3 3" xfId="14128" xr:uid="{00000000-0005-0000-0000-000043370000}"/>
    <cellStyle name="RowTitles-Col2 2 2 4 3 3_Tertiary Salaries Survey" xfId="14129" xr:uid="{00000000-0005-0000-0000-000044370000}"/>
    <cellStyle name="RowTitles-Col2 2 2 4 3 4" xfId="14130" xr:uid="{00000000-0005-0000-0000-000045370000}"/>
    <cellStyle name="RowTitles-Col2 2 2 4 3_Tertiary Salaries Survey" xfId="14131" xr:uid="{00000000-0005-0000-0000-000046370000}"/>
    <cellStyle name="RowTitles-Col2 2 2 4 4" xfId="14132" xr:uid="{00000000-0005-0000-0000-000047370000}"/>
    <cellStyle name="RowTitles-Col2 2 2 4 4 2" xfId="14133" xr:uid="{00000000-0005-0000-0000-000048370000}"/>
    <cellStyle name="RowTitles-Col2 2 2 4 4 2 2" xfId="14134" xr:uid="{00000000-0005-0000-0000-000049370000}"/>
    <cellStyle name="RowTitles-Col2 2 2 4 4 2 2 2" xfId="14135" xr:uid="{00000000-0005-0000-0000-00004A370000}"/>
    <cellStyle name="RowTitles-Col2 2 2 4 4 2 2_Tertiary Salaries Survey" xfId="14136" xr:uid="{00000000-0005-0000-0000-00004B370000}"/>
    <cellStyle name="RowTitles-Col2 2 2 4 4 2 3" xfId="14137" xr:uid="{00000000-0005-0000-0000-00004C370000}"/>
    <cellStyle name="RowTitles-Col2 2 2 4 4 2_Tertiary Salaries Survey" xfId="14138" xr:uid="{00000000-0005-0000-0000-00004D370000}"/>
    <cellStyle name="RowTitles-Col2 2 2 4 4 3" xfId="14139" xr:uid="{00000000-0005-0000-0000-00004E370000}"/>
    <cellStyle name="RowTitles-Col2 2 2 4 4 3 2" xfId="14140" xr:uid="{00000000-0005-0000-0000-00004F370000}"/>
    <cellStyle name="RowTitles-Col2 2 2 4 4 3 2 2" xfId="14141" xr:uid="{00000000-0005-0000-0000-000050370000}"/>
    <cellStyle name="RowTitles-Col2 2 2 4 4 3 2_Tertiary Salaries Survey" xfId="14142" xr:uid="{00000000-0005-0000-0000-000051370000}"/>
    <cellStyle name="RowTitles-Col2 2 2 4 4 3 3" xfId="14143" xr:uid="{00000000-0005-0000-0000-000052370000}"/>
    <cellStyle name="RowTitles-Col2 2 2 4 4 3_Tertiary Salaries Survey" xfId="14144" xr:uid="{00000000-0005-0000-0000-000053370000}"/>
    <cellStyle name="RowTitles-Col2 2 2 4 4 4" xfId="14145" xr:uid="{00000000-0005-0000-0000-000054370000}"/>
    <cellStyle name="RowTitles-Col2 2 2 4 4 4 2" xfId="14146" xr:uid="{00000000-0005-0000-0000-000055370000}"/>
    <cellStyle name="RowTitles-Col2 2 2 4 4 4_Tertiary Salaries Survey" xfId="14147" xr:uid="{00000000-0005-0000-0000-000056370000}"/>
    <cellStyle name="RowTitles-Col2 2 2 4 4 5" xfId="14148" xr:uid="{00000000-0005-0000-0000-000057370000}"/>
    <cellStyle name="RowTitles-Col2 2 2 4 4_Tertiary Salaries Survey" xfId="14149" xr:uid="{00000000-0005-0000-0000-000058370000}"/>
    <cellStyle name="RowTitles-Col2 2 2 4 5" xfId="14150" xr:uid="{00000000-0005-0000-0000-000059370000}"/>
    <cellStyle name="RowTitles-Col2 2 2 4 5 2" xfId="14151" xr:uid="{00000000-0005-0000-0000-00005A370000}"/>
    <cellStyle name="RowTitles-Col2 2 2 4 5 2 2" xfId="14152" xr:uid="{00000000-0005-0000-0000-00005B370000}"/>
    <cellStyle name="RowTitles-Col2 2 2 4 5 2 2 2" xfId="14153" xr:uid="{00000000-0005-0000-0000-00005C370000}"/>
    <cellStyle name="RowTitles-Col2 2 2 4 5 2 2_Tertiary Salaries Survey" xfId="14154" xr:uid="{00000000-0005-0000-0000-00005D370000}"/>
    <cellStyle name="RowTitles-Col2 2 2 4 5 2 3" xfId="14155" xr:uid="{00000000-0005-0000-0000-00005E370000}"/>
    <cellStyle name="RowTitles-Col2 2 2 4 5 2_Tertiary Salaries Survey" xfId="14156" xr:uid="{00000000-0005-0000-0000-00005F370000}"/>
    <cellStyle name="RowTitles-Col2 2 2 4 5 3" xfId="14157" xr:uid="{00000000-0005-0000-0000-000060370000}"/>
    <cellStyle name="RowTitles-Col2 2 2 4 5 3 2" xfId="14158" xr:uid="{00000000-0005-0000-0000-000061370000}"/>
    <cellStyle name="RowTitles-Col2 2 2 4 5 3 2 2" xfId="14159" xr:uid="{00000000-0005-0000-0000-000062370000}"/>
    <cellStyle name="RowTitles-Col2 2 2 4 5 3 2_Tertiary Salaries Survey" xfId="14160" xr:uid="{00000000-0005-0000-0000-000063370000}"/>
    <cellStyle name="RowTitles-Col2 2 2 4 5 3 3" xfId="14161" xr:uid="{00000000-0005-0000-0000-000064370000}"/>
    <cellStyle name="RowTitles-Col2 2 2 4 5 3_Tertiary Salaries Survey" xfId="14162" xr:uid="{00000000-0005-0000-0000-000065370000}"/>
    <cellStyle name="RowTitles-Col2 2 2 4 5 4" xfId="14163" xr:uid="{00000000-0005-0000-0000-000066370000}"/>
    <cellStyle name="RowTitles-Col2 2 2 4 5 4 2" xfId="14164" xr:uid="{00000000-0005-0000-0000-000067370000}"/>
    <cellStyle name="RowTitles-Col2 2 2 4 5 4_Tertiary Salaries Survey" xfId="14165" xr:uid="{00000000-0005-0000-0000-000068370000}"/>
    <cellStyle name="RowTitles-Col2 2 2 4 5 5" xfId="14166" xr:uid="{00000000-0005-0000-0000-000069370000}"/>
    <cellStyle name="RowTitles-Col2 2 2 4 5_Tertiary Salaries Survey" xfId="14167" xr:uid="{00000000-0005-0000-0000-00006A370000}"/>
    <cellStyle name="RowTitles-Col2 2 2 4 6" xfId="14168" xr:uid="{00000000-0005-0000-0000-00006B370000}"/>
    <cellStyle name="RowTitles-Col2 2 2 4 6 2" xfId="14169" xr:uid="{00000000-0005-0000-0000-00006C370000}"/>
    <cellStyle name="RowTitles-Col2 2 2 4 6 2 2" xfId="14170" xr:uid="{00000000-0005-0000-0000-00006D370000}"/>
    <cellStyle name="RowTitles-Col2 2 2 4 6 2 2 2" xfId="14171" xr:uid="{00000000-0005-0000-0000-00006E370000}"/>
    <cellStyle name="RowTitles-Col2 2 2 4 6 2 2_Tertiary Salaries Survey" xfId="14172" xr:uid="{00000000-0005-0000-0000-00006F370000}"/>
    <cellStyle name="RowTitles-Col2 2 2 4 6 2 3" xfId="14173" xr:uid="{00000000-0005-0000-0000-000070370000}"/>
    <cellStyle name="RowTitles-Col2 2 2 4 6 2_Tertiary Salaries Survey" xfId="14174" xr:uid="{00000000-0005-0000-0000-000071370000}"/>
    <cellStyle name="RowTitles-Col2 2 2 4 6 3" xfId="14175" xr:uid="{00000000-0005-0000-0000-000072370000}"/>
    <cellStyle name="RowTitles-Col2 2 2 4 6 3 2" xfId="14176" xr:uid="{00000000-0005-0000-0000-000073370000}"/>
    <cellStyle name="RowTitles-Col2 2 2 4 6 3 2 2" xfId="14177" xr:uid="{00000000-0005-0000-0000-000074370000}"/>
    <cellStyle name="RowTitles-Col2 2 2 4 6 3 2_Tertiary Salaries Survey" xfId="14178" xr:uid="{00000000-0005-0000-0000-000075370000}"/>
    <cellStyle name="RowTitles-Col2 2 2 4 6 3 3" xfId="14179" xr:uid="{00000000-0005-0000-0000-000076370000}"/>
    <cellStyle name="RowTitles-Col2 2 2 4 6 3_Tertiary Salaries Survey" xfId="14180" xr:uid="{00000000-0005-0000-0000-000077370000}"/>
    <cellStyle name="RowTitles-Col2 2 2 4 6 4" xfId="14181" xr:uid="{00000000-0005-0000-0000-000078370000}"/>
    <cellStyle name="RowTitles-Col2 2 2 4 6 4 2" xfId="14182" xr:uid="{00000000-0005-0000-0000-000079370000}"/>
    <cellStyle name="RowTitles-Col2 2 2 4 6 4_Tertiary Salaries Survey" xfId="14183" xr:uid="{00000000-0005-0000-0000-00007A370000}"/>
    <cellStyle name="RowTitles-Col2 2 2 4 6 5" xfId="14184" xr:uid="{00000000-0005-0000-0000-00007B370000}"/>
    <cellStyle name="RowTitles-Col2 2 2 4 6_Tertiary Salaries Survey" xfId="14185" xr:uid="{00000000-0005-0000-0000-00007C370000}"/>
    <cellStyle name="RowTitles-Col2 2 2 4 7" xfId="14186" xr:uid="{00000000-0005-0000-0000-00007D370000}"/>
    <cellStyle name="RowTitles-Col2 2 2 4 7 2" xfId="14187" xr:uid="{00000000-0005-0000-0000-00007E370000}"/>
    <cellStyle name="RowTitles-Col2 2 2 4 7 2 2" xfId="14188" xr:uid="{00000000-0005-0000-0000-00007F370000}"/>
    <cellStyle name="RowTitles-Col2 2 2 4 7 2_Tertiary Salaries Survey" xfId="14189" xr:uid="{00000000-0005-0000-0000-000080370000}"/>
    <cellStyle name="RowTitles-Col2 2 2 4 7 3" xfId="14190" xr:uid="{00000000-0005-0000-0000-000081370000}"/>
    <cellStyle name="RowTitles-Col2 2 2 4 7_Tertiary Salaries Survey" xfId="14191" xr:uid="{00000000-0005-0000-0000-000082370000}"/>
    <cellStyle name="RowTitles-Col2 2 2 4 8" xfId="14192" xr:uid="{00000000-0005-0000-0000-000083370000}"/>
    <cellStyle name="RowTitles-Col2 2 2 4 8 2" xfId="14193" xr:uid="{00000000-0005-0000-0000-000084370000}"/>
    <cellStyle name="RowTitles-Col2 2 2 4 8 2 2" xfId="14194" xr:uid="{00000000-0005-0000-0000-000085370000}"/>
    <cellStyle name="RowTitles-Col2 2 2 4 8 2_Tertiary Salaries Survey" xfId="14195" xr:uid="{00000000-0005-0000-0000-000086370000}"/>
    <cellStyle name="RowTitles-Col2 2 2 4 8 3" xfId="14196" xr:uid="{00000000-0005-0000-0000-000087370000}"/>
    <cellStyle name="RowTitles-Col2 2 2 4 8_Tertiary Salaries Survey" xfId="14197" xr:uid="{00000000-0005-0000-0000-000088370000}"/>
    <cellStyle name="RowTitles-Col2 2 2 4_STUD aligned by INSTIT" xfId="14198" xr:uid="{00000000-0005-0000-0000-000089370000}"/>
    <cellStyle name="RowTitles-Col2 2 2 5" xfId="14199" xr:uid="{00000000-0005-0000-0000-00008A370000}"/>
    <cellStyle name="RowTitles-Col2 2 2 5 2" xfId="14200" xr:uid="{00000000-0005-0000-0000-00008B370000}"/>
    <cellStyle name="RowTitles-Col2 2 2 5 2 2" xfId="14201" xr:uid="{00000000-0005-0000-0000-00008C370000}"/>
    <cellStyle name="RowTitles-Col2 2 2 5 2 2 2" xfId="14202" xr:uid="{00000000-0005-0000-0000-00008D370000}"/>
    <cellStyle name="RowTitles-Col2 2 2 5 2 2 2 2" xfId="14203" xr:uid="{00000000-0005-0000-0000-00008E370000}"/>
    <cellStyle name="RowTitles-Col2 2 2 5 2 2 2_Tertiary Salaries Survey" xfId="14204" xr:uid="{00000000-0005-0000-0000-00008F370000}"/>
    <cellStyle name="RowTitles-Col2 2 2 5 2 2 3" xfId="14205" xr:uid="{00000000-0005-0000-0000-000090370000}"/>
    <cellStyle name="RowTitles-Col2 2 2 5 2 2_Tertiary Salaries Survey" xfId="14206" xr:uid="{00000000-0005-0000-0000-000091370000}"/>
    <cellStyle name="RowTitles-Col2 2 2 5 2 3" xfId="14207" xr:uid="{00000000-0005-0000-0000-000092370000}"/>
    <cellStyle name="RowTitles-Col2 2 2 5 2 3 2" xfId="14208" xr:uid="{00000000-0005-0000-0000-000093370000}"/>
    <cellStyle name="RowTitles-Col2 2 2 5 2 3 2 2" xfId="14209" xr:uid="{00000000-0005-0000-0000-000094370000}"/>
    <cellStyle name="RowTitles-Col2 2 2 5 2 3 2_Tertiary Salaries Survey" xfId="14210" xr:uid="{00000000-0005-0000-0000-000095370000}"/>
    <cellStyle name="RowTitles-Col2 2 2 5 2 3 3" xfId="14211" xr:uid="{00000000-0005-0000-0000-000096370000}"/>
    <cellStyle name="RowTitles-Col2 2 2 5 2 3_Tertiary Salaries Survey" xfId="14212" xr:uid="{00000000-0005-0000-0000-000097370000}"/>
    <cellStyle name="RowTitles-Col2 2 2 5 2 4" xfId="14213" xr:uid="{00000000-0005-0000-0000-000098370000}"/>
    <cellStyle name="RowTitles-Col2 2 2 5 2 5" xfId="14214" xr:uid="{00000000-0005-0000-0000-000099370000}"/>
    <cellStyle name="RowTitles-Col2 2 2 5 2 5 2" xfId="14215" xr:uid="{00000000-0005-0000-0000-00009A370000}"/>
    <cellStyle name="RowTitles-Col2 2 2 5 2 5_Tertiary Salaries Survey" xfId="14216" xr:uid="{00000000-0005-0000-0000-00009B370000}"/>
    <cellStyle name="RowTitles-Col2 2 2 5 2_Tertiary Salaries Survey" xfId="14217" xr:uid="{00000000-0005-0000-0000-00009C370000}"/>
    <cellStyle name="RowTitles-Col2 2 2 5 3" xfId="14218" xr:uid="{00000000-0005-0000-0000-00009D370000}"/>
    <cellStyle name="RowTitles-Col2 2 2 5 3 2" xfId="14219" xr:uid="{00000000-0005-0000-0000-00009E370000}"/>
    <cellStyle name="RowTitles-Col2 2 2 5 3 2 2" xfId="14220" xr:uid="{00000000-0005-0000-0000-00009F370000}"/>
    <cellStyle name="RowTitles-Col2 2 2 5 3 2 2 2" xfId="14221" xr:uid="{00000000-0005-0000-0000-0000A0370000}"/>
    <cellStyle name="RowTitles-Col2 2 2 5 3 2 2_Tertiary Salaries Survey" xfId="14222" xr:uid="{00000000-0005-0000-0000-0000A1370000}"/>
    <cellStyle name="RowTitles-Col2 2 2 5 3 2 3" xfId="14223" xr:uid="{00000000-0005-0000-0000-0000A2370000}"/>
    <cellStyle name="RowTitles-Col2 2 2 5 3 2_Tertiary Salaries Survey" xfId="14224" xr:uid="{00000000-0005-0000-0000-0000A3370000}"/>
    <cellStyle name="RowTitles-Col2 2 2 5 3 3" xfId="14225" xr:uid="{00000000-0005-0000-0000-0000A4370000}"/>
    <cellStyle name="RowTitles-Col2 2 2 5 3 3 2" xfId="14226" xr:uid="{00000000-0005-0000-0000-0000A5370000}"/>
    <cellStyle name="RowTitles-Col2 2 2 5 3 3 2 2" xfId="14227" xr:uid="{00000000-0005-0000-0000-0000A6370000}"/>
    <cellStyle name="RowTitles-Col2 2 2 5 3 3 2_Tertiary Salaries Survey" xfId="14228" xr:uid="{00000000-0005-0000-0000-0000A7370000}"/>
    <cellStyle name="RowTitles-Col2 2 2 5 3 3 3" xfId="14229" xr:uid="{00000000-0005-0000-0000-0000A8370000}"/>
    <cellStyle name="RowTitles-Col2 2 2 5 3 3_Tertiary Salaries Survey" xfId="14230" xr:uid="{00000000-0005-0000-0000-0000A9370000}"/>
    <cellStyle name="RowTitles-Col2 2 2 5 3 4" xfId="14231" xr:uid="{00000000-0005-0000-0000-0000AA370000}"/>
    <cellStyle name="RowTitles-Col2 2 2 5 3 5" xfId="14232" xr:uid="{00000000-0005-0000-0000-0000AB370000}"/>
    <cellStyle name="RowTitles-Col2 2 2 5 3_Tertiary Salaries Survey" xfId="14233" xr:uid="{00000000-0005-0000-0000-0000AC370000}"/>
    <cellStyle name="RowTitles-Col2 2 2 5 4" xfId="14234" xr:uid="{00000000-0005-0000-0000-0000AD370000}"/>
    <cellStyle name="RowTitles-Col2 2 2 5 4 2" xfId="14235" xr:uid="{00000000-0005-0000-0000-0000AE370000}"/>
    <cellStyle name="RowTitles-Col2 2 2 5 4 2 2" xfId="14236" xr:uid="{00000000-0005-0000-0000-0000AF370000}"/>
    <cellStyle name="RowTitles-Col2 2 2 5 4 2 2 2" xfId="14237" xr:uid="{00000000-0005-0000-0000-0000B0370000}"/>
    <cellStyle name="RowTitles-Col2 2 2 5 4 2 2_Tertiary Salaries Survey" xfId="14238" xr:uid="{00000000-0005-0000-0000-0000B1370000}"/>
    <cellStyle name="RowTitles-Col2 2 2 5 4 2 3" xfId="14239" xr:uid="{00000000-0005-0000-0000-0000B2370000}"/>
    <cellStyle name="RowTitles-Col2 2 2 5 4 2_Tertiary Salaries Survey" xfId="14240" xr:uid="{00000000-0005-0000-0000-0000B3370000}"/>
    <cellStyle name="RowTitles-Col2 2 2 5 4 3" xfId="14241" xr:uid="{00000000-0005-0000-0000-0000B4370000}"/>
    <cellStyle name="RowTitles-Col2 2 2 5 4 3 2" xfId="14242" xr:uid="{00000000-0005-0000-0000-0000B5370000}"/>
    <cellStyle name="RowTitles-Col2 2 2 5 4 3 2 2" xfId="14243" xr:uid="{00000000-0005-0000-0000-0000B6370000}"/>
    <cellStyle name="RowTitles-Col2 2 2 5 4 3 2_Tertiary Salaries Survey" xfId="14244" xr:uid="{00000000-0005-0000-0000-0000B7370000}"/>
    <cellStyle name="RowTitles-Col2 2 2 5 4 3 3" xfId="14245" xr:uid="{00000000-0005-0000-0000-0000B8370000}"/>
    <cellStyle name="RowTitles-Col2 2 2 5 4 3_Tertiary Salaries Survey" xfId="14246" xr:uid="{00000000-0005-0000-0000-0000B9370000}"/>
    <cellStyle name="RowTitles-Col2 2 2 5 4 4" xfId="14247" xr:uid="{00000000-0005-0000-0000-0000BA370000}"/>
    <cellStyle name="RowTitles-Col2 2 2 5 4 5" xfId="14248" xr:uid="{00000000-0005-0000-0000-0000BB370000}"/>
    <cellStyle name="RowTitles-Col2 2 2 5 4 5 2" xfId="14249" xr:uid="{00000000-0005-0000-0000-0000BC370000}"/>
    <cellStyle name="RowTitles-Col2 2 2 5 4 5_Tertiary Salaries Survey" xfId="14250" xr:uid="{00000000-0005-0000-0000-0000BD370000}"/>
    <cellStyle name="RowTitles-Col2 2 2 5 4 6" xfId="14251" xr:uid="{00000000-0005-0000-0000-0000BE370000}"/>
    <cellStyle name="RowTitles-Col2 2 2 5 4_Tertiary Salaries Survey" xfId="14252" xr:uid="{00000000-0005-0000-0000-0000BF370000}"/>
    <cellStyle name="RowTitles-Col2 2 2 5 5" xfId="14253" xr:uid="{00000000-0005-0000-0000-0000C0370000}"/>
    <cellStyle name="RowTitles-Col2 2 2 5 5 2" xfId="14254" xr:uid="{00000000-0005-0000-0000-0000C1370000}"/>
    <cellStyle name="RowTitles-Col2 2 2 5 5 2 2" xfId="14255" xr:uid="{00000000-0005-0000-0000-0000C2370000}"/>
    <cellStyle name="RowTitles-Col2 2 2 5 5 2 2 2" xfId="14256" xr:uid="{00000000-0005-0000-0000-0000C3370000}"/>
    <cellStyle name="RowTitles-Col2 2 2 5 5 2 2_Tertiary Salaries Survey" xfId="14257" xr:uid="{00000000-0005-0000-0000-0000C4370000}"/>
    <cellStyle name="RowTitles-Col2 2 2 5 5 2 3" xfId="14258" xr:uid="{00000000-0005-0000-0000-0000C5370000}"/>
    <cellStyle name="RowTitles-Col2 2 2 5 5 2_Tertiary Salaries Survey" xfId="14259" xr:uid="{00000000-0005-0000-0000-0000C6370000}"/>
    <cellStyle name="RowTitles-Col2 2 2 5 5 3" xfId="14260" xr:uid="{00000000-0005-0000-0000-0000C7370000}"/>
    <cellStyle name="RowTitles-Col2 2 2 5 5 3 2" xfId="14261" xr:uid="{00000000-0005-0000-0000-0000C8370000}"/>
    <cellStyle name="RowTitles-Col2 2 2 5 5 3 2 2" xfId="14262" xr:uid="{00000000-0005-0000-0000-0000C9370000}"/>
    <cellStyle name="RowTitles-Col2 2 2 5 5 3 2_Tertiary Salaries Survey" xfId="14263" xr:uid="{00000000-0005-0000-0000-0000CA370000}"/>
    <cellStyle name="RowTitles-Col2 2 2 5 5 3 3" xfId="14264" xr:uid="{00000000-0005-0000-0000-0000CB370000}"/>
    <cellStyle name="RowTitles-Col2 2 2 5 5 3_Tertiary Salaries Survey" xfId="14265" xr:uid="{00000000-0005-0000-0000-0000CC370000}"/>
    <cellStyle name="RowTitles-Col2 2 2 5 5 4" xfId="14266" xr:uid="{00000000-0005-0000-0000-0000CD370000}"/>
    <cellStyle name="RowTitles-Col2 2 2 5 5 4 2" xfId="14267" xr:uid="{00000000-0005-0000-0000-0000CE370000}"/>
    <cellStyle name="RowTitles-Col2 2 2 5 5 4_Tertiary Salaries Survey" xfId="14268" xr:uid="{00000000-0005-0000-0000-0000CF370000}"/>
    <cellStyle name="RowTitles-Col2 2 2 5 5 5" xfId="14269" xr:uid="{00000000-0005-0000-0000-0000D0370000}"/>
    <cellStyle name="RowTitles-Col2 2 2 5 5_Tertiary Salaries Survey" xfId="14270" xr:uid="{00000000-0005-0000-0000-0000D1370000}"/>
    <cellStyle name="RowTitles-Col2 2 2 5 6" xfId="14271" xr:uid="{00000000-0005-0000-0000-0000D2370000}"/>
    <cellStyle name="RowTitles-Col2 2 2 5 6 2" xfId="14272" xr:uid="{00000000-0005-0000-0000-0000D3370000}"/>
    <cellStyle name="RowTitles-Col2 2 2 5 6 2 2" xfId="14273" xr:uid="{00000000-0005-0000-0000-0000D4370000}"/>
    <cellStyle name="RowTitles-Col2 2 2 5 6 2 2 2" xfId="14274" xr:uid="{00000000-0005-0000-0000-0000D5370000}"/>
    <cellStyle name="RowTitles-Col2 2 2 5 6 2 2_Tertiary Salaries Survey" xfId="14275" xr:uid="{00000000-0005-0000-0000-0000D6370000}"/>
    <cellStyle name="RowTitles-Col2 2 2 5 6 2 3" xfId="14276" xr:uid="{00000000-0005-0000-0000-0000D7370000}"/>
    <cellStyle name="RowTitles-Col2 2 2 5 6 2_Tertiary Salaries Survey" xfId="14277" xr:uid="{00000000-0005-0000-0000-0000D8370000}"/>
    <cellStyle name="RowTitles-Col2 2 2 5 6 3" xfId="14278" xr:uid="{00000000-0005-0000-0000-0000D9370000}"/>
    <cellStyle name="RowTitles-Col2 2 2 5 6 3 2" xfId="14279" xr:uid="{00000000-0005-0000-0000-0000DA370000}"/>
    <cellStyle name="RowTitles-Col2 2 2 5 6 3 2 2" xfId="14280" xr:uid="{00000000-0005-0000-0000-0000DB370000}"/>
    <cellStyle name="RowTitles-Col2 2 2 5 6 3 2_Tertiary Salaries Survey" xfId="14281" xr:uid="{00000000-0005-0000-0000-0000DC370000}"/>
    <cellStyle name="RowTitles-Col2 2 2 5 6 3 3" xfId="14282" xr:uid="{00000000-0005-0000-0000-0000DD370000}"/>
    <cellStyle name="RowTitles-Col2 2 2 5 6 3_Tertiary Salaries Survey" xfId="14283" xr:uid="{00000000-0005-0000-0000-0000DE370000}"/>
    <cellStyle name="RowTitles-Col2 2 2 5 6 4" xfId="14284" xr:uid="{00000000-0005-0000-0000-0000DF370000}"/>
    <cellStyle name="RowTitles-Col2 2 2 5 6 4 2" xfId="14285" xr:uid="{00000000-0005-0000-0000-0000E0370000}"/>
    <cellStyle name="RowTitles-Col2 2 2 5 6 4_Tertiary Salaries Survey" xfId="14286" xr:uid="{00000000-0005-0000-0000-0000E1370000}"/>
    <cellStyle name="RowTitles-Col2 2 2 5 6 5" xfId="14287" xr:uid="{00000000-0005-0000-0000-0000E2370000}"/>
    <cellStyle name="RowTitles-Col2 2 2 5 6_Tertiary Salaries Survey" xfId="14288" xr:uid="{00000000-0005-0000-0000-0000E3370000}"/>
    <cellStyle name="RowTitles-Col2 2 2 5 7" xfId="14289" xr:uid="{00000000-0005-0000-0000-0000E4370000}"/>
    <cellStyle name="RowTitles-Col2 2 2 5 7 2" xfId="14290" xr:uid="{00000000-0005-0000-0000-0000E5370000}"/>
    <cellStyle name="RowTitles-Col2 2 2 5 7 2 2" xfId="14291" xr:uid="{00000000-0005-0000-0000-0000E6370000}"/>
    <cellStyle name="RowTitles-Col2 2 2 5 7 2_Tertiary Salaries Survey" xfId="14292" xr:uid="{00000000-0005-0000-0000-0000E7370000}"/>
    <cellStyle name="RowTitles-Col2 2 2 5 7 3" xfId="14293" xr:uid="{00000000-0005-0000-0000-0000E8370000}"/>
    <cellStyle name="RowTitles-Col2 2 2 5 7_Tertiary Salaries Survey" xfId="14294" xr:uid="{00000000-0005-0000-0000-0000E9370000}"/>
    <cellStyle name="RowTitles-Col2 2 2 5 8" xfId="14295" xr:uid="{00000000-0005-0000-0000-0000EA370000}"/>
    <cellStyle name="RowTitles-Col2 2 2 5_STUD aligned by INSTIT" xfId="14296" xr:uid="{00000000-0005-0000-0000-0000EB370000}"/>
    <cellStyle name="RowTitles-Col2 2 2 6" xfId="14297" xr:uid="{00000000-0005-0000-0000-0000EC370000}"/>
    <cellStyle name="RowTitles-Col2 2 2 6 2" xfId="14298" xr:uid="{00000000-0005-0000-0000-0000ED370000}"/>
    <cellStyle name="RowTitles-Col2 2 2 6 2 2" xfId="14299" xr:uid="{00000000-0005-0000-0000-0000EE370000}"/>
    <cellStyle name="RowTitles-Col2 2 2 6 2 2 2" xfId="14300" xr:uid="{00000000-0005-0000-0000-0000EF370000}"/>
    <cellStyle name="RowTitles-Col2 2 2 6 2 2_Tertiary Salaries Survey" xfId="14301" xr:uid="{00000000-0005-0000-0000-0000F0370000}"/>
    <cellStyle name="RowTitles-Col2 2 2 6 2 3" xfId="14302" xr:uid="{00000000-0005-0000-0000-0000F1370000}"/>
    <cellStyle name="RowTitles-Col2 2 2 6 2_Tertiary Salaries Survey" xfId="14303" xr:uid="{00000000-0005-0000-0000-0000F2370000}"/>
    <cellStyle name="RowTitles-Col2 2 2 6 3" xfId="14304" xr:uid="{00000000-0005-0000-0000-0000F3370000}"/>
    <cellStyle name="RowTitles-Col2 2 2 6 3 2" xfId="14305" xr:uid="{00000000-0005-0000-0000-0000F4370000}"/>
    <cellStyle name="RowTitles-Col2 2 2 6 3 2 2" xfId="14306" xr:uid="{00000000-0005-0000-0000-0000F5370000}"/>
    <cellStyle name="RowTitles-Col2 2 2 6 3 2_Tertiary Salaries Survey" xfId="14307" xr:uid="{00000000-0005-0000-0000-0000F6370000}"/>
    <cellStyle name="RowTitles-Col2 2 2 6 3 3" xfId="14308" xr:uid="{00000000-0005-0000-0000-0000F7370000}"/>
    <cellStyle name="RowTitles-Col2 2 2 6 3_Tertiary Salaries Survey" xfId="14309" xr:uid="{00000000-0005-0000-0000-0000F8370000}"/>
    <cellStyle name="RowTitles-Col2 2 2 6 4" xfId="14310" xr:uid="{00000000-0005-0000-0000-0000F9370000}"/>
    <cellStyle name="RowTitles-Col2 2 2 6 5" xfId="14311" xr:uid="{00000000-0005-0000-0000-0000FA370000}"/>
    <cellStyle name="RowTitles-Col2 2 2 6 5 2" xfId="14312" xr:uid="{00000000-0005-0000-0000-0000FB370000}"/>
    <cellStyle name="RowTitles-Col2 2 2 6 5_Tertiary Salaries Survey" xfId="14313" xr:uid="{00000000-0005-0000-0000-0000FC370000}"/>
    <cellStyle name="RowTitles-Col2 2 2 6_Tertiary Salaries Survey" xfId="14314" xr:uid="{00000000-0005-0000-0000-0000FD370000}"/>
    <cellStyle name="RowTitles-Col2 2 2 7" xfId="14315" xr:uid="{00000000-0005-0000-0000-0000FE370000}"/>
    <cellStyle name="RowTitles-Col2 2 2 7 2" xfId="14316" xr:uid="{00000000-0005-0000-0000-0000FF370000}"/>
    <cellStyle name="RowTitles-Col2 2 2 7 2 2" xfId="14317" xr:uid="{00000000-0005-0000-0000-000000380000}"/>
    <cellStyle name="RowTitles-Col2 2 2 7 2 2 2" xfId="14318" xr:uid="{00000000-0005-0000-0000-000001380000}"/>
    <cellStyle name="RowTitles-Col2 2 2 7 2 2_Tertiary Salaries Survey" xfId="14319" xr:uid="{00000000-0005-0000-0000-000002380000}"/>
    <cellStyle name="RowTitles-Col2 2 2 7 2 3" xfId="14320" xr:uid="{00000000-0005-0000-0000-000003380000}"/>
    <cellStyle name="RowTitles-Col2 2 2 7 2_Tertiary Salaries Survey" xfId="14321" xr:uid="{00000000-0005-0000-0000-000004380000}"/>
    <cellStyle name="RowTitles-Col2 2 2 7 3" xfId="14322" xr:uid="{00000000-0005-0000-0000-000005380000}"/>
    <cellStyle name="RowTitles-Col2 2 2 7 3 2" xfId="14323" xr:uid="{00000000-0005-0000-0000-000006380000}"/>
    <cellStyle name="RowTitles-Col2 2 2 7 3 2 2" xfId="14324" xr:uid="{00000000-0005-0000-0000-000007380000}"/>
    <cellStyle name="RowTitles-Col2 2 2 7 3 2_Tertiary Salaries Survey" xfId="14325" xr:uid="{00000000-0005-0000-0000-000008380000}"/>
    <cellStyle name="RowTitles-Col2 2 2 7 3 3" xfId="14326" xr:uid="{00000000-0005-0000-0000-000009380000}"/>
    <cellStyle name="RowTitles-Col2 2 2 7 3_Tertiary Salaries Survey" xfId="14327" xr:uid="{00000000-0005-0000-0000-00000A380000}"/>
    <cellStyle name="RowTitles-Col2 2 2 7 4" xfId="14328" xr:uid="{00000000-0005-0000-0000-00000B380000}"/>
    <cellStyle name="RowTitles-Col2 2 2 7 5" xfId="14329" xr:uid="{00000000-0005-0000-0000-00000C380000}"/>
    <cellStyle name="RowTitles-Col2 2 2 7_Tertiary Salaries Survey" xfId="14330" xr:uid="{00000000-0005-0000-0000-00000D380000}"/>
    <cellStyle name="RowTitles-Col2 2 2 8" xfId="14331" xr:uid="{00000000-0005-0000-0000-00000E380000}"/>
    <cellStyle name="RowTitles-Col2 2 2 8 2" xfId="14332" xr:uid="{00000000-0005-0000-0000-00000F380000}"/>
    <cellStyle name="RowTitles-Col2 2 2 8 2 2" xfId="14333" xr:uid="{00000000-0005-0000-0000-000010380000}"/>
    <cellStyle name="RowTitles-Col2 2 2 8 2 2 2" xfId="14334" xr:uid="{00000000-0005-0000-0000-000011380000}"/>
    <cellStyle name="RowTitles-Col2 2 2 8 2 2_Tertiary Salaries Survey" xfId="14335" xr:uid="{00000000-0005-0000-0000-000012380000}"/>
    <cellStyle name="RowTitles-Col2 2 2 8 2 3" xfId="14336" xr:uid="{00000000-0005-0000-0000-000013380000}"/>
    <cellStyle name="RowTitles-Col2 2 2 8 2_Tertiary Salaries Survey" xfId="14337" xr:uid="{00000000-0005-0000-0000-000014380000}"/>
    <cellStyle name="RowTitles-Col2 2 2 8 3" xfId="14338" xr:uid="{00000000-0005-0000-0000-000015380000}"/>
    <cellStyle name="RowTitles-Col2 2 2 8 3 2" xfId="14339" xr:uid="{00000000-0005-0000-0000-000016380000}"/>
    <cellStyle name="RowTitles-Col2 2 2 8 3 2 2" xfId="14340" xr:uid="{00000000-0005-0000-0000-000017380000}"/>
    <cellStyle name="RowTitles-Col2 2 2 8 3 2_Tertiary Salaries Survey" xfId="14341" xr:uid="{00000000-0005-0000-0000-000018380000}"/>
    <cellStyle name="RowTitles-Col2 2 2 8 3 3" xfId="14342" xr:uid="{00000000-0005-0000-0000-000019380000}"/>
    <cellStyle name="RowTitles-Col2 2 2 8 3_Tertiary Salaries Survey" xfId="14343" xr:uid="{00000000-0005-0000-0000-00001A380000}"/>
    <cellStyle name="RowTitles-Col2 2 2 8 4" xfId="14344" xr:uid="{00000000-0005-0000-0000-00001B380000}"/>
    <cellStyle name="RowTitles-Col2 2 2 8 5" xfId="14345" xr:uid="{00000000-0005-0000-0000-00001C380000}"/>
    <cellStyle name="RowTitles-Col2 2 2 8 5 2" xfId="14346" xr:uid="{00000000-0005-0000-0000-00001D380000}"/>
    <cellStyle name="RowTitles-Col2 2 2 8 5_Tertiary Salaries Survey" xfId="14347" xr:uid="{00000000-0005-0000-0000-00001E380000}"/>
    <cellStyle name="RowTitles-Col2 2 2 8 6" xfId="14348" xr:uid="{00000000-0005-0000-0000-00001F380000}"/>
    <cellStyle name="RowTitles-Col2 2 2 8_Tertiary Salaries Survey" xfId="14349" xr:uid="{00000000-0005-0000-0000-000020380000}"/>
    <cellStyle name="RowTitles-Col2 2 2 9" xfId="14350" xr:uid="{00000000-0005-0000-0000-000021380000}"/>
    <cellStyle name="RowTitles-Col2 2 2 9 2" xfId="14351" xr:uid="{00000000-0005-0000-0000-000022380000}"/>
    <cellStyle name="RowTitles-Col2 2 2 9 2 2" xfId="14352" xr:uid="{00000000-0005-0000-0000-000023380000}"/>
    <cellStyle name="RowTitles-Col2 2 2 9 2 2 2" xfId="14353" xr:uid="{00000000-0005-0000-0000-000024380000}"/>
    <cellStyle name="RowTitles-Col2 2 2 9 2 2_Tertiary Salaries Survey" xfId="14354" xr:uid="{00000000-0005-0000-0000-000025380000}"/>
    <cellStyle name="RowTitles-Col2 2 2 9 2 3" xfId="14355" xr:uid="{00000000-0005-0000-0000-000026380000}"/>
    <cellStyle name="RowTitles-Col2 2 2 9 2_Tertiary Salaries Survey" xfId="14356" xr:uid="{00000000-0005-0000-0000-000027380000}"/>
    <cellStyle name="RowTitles-Col2 2 2 9 3" xfId="14357" xr:uid="{00000000-0005-0000-0000-000028380000}"/>
    <cellStyle name="RowTitles-Col2 2 2 9 3 2" xfId="14358" xr:uid="{00000000-0005-0000-0000-000029380000}"/>
    <cellStyle name="RowTitles-Col2 2 2 9 3 2 2" xfId="14359" xr:uid="{00000000-0005-0000-0000-00002A380000}"/>
    <cellStyle name="RowTitles-Col2 2 2 9 3 2_Tertiary Salaries Survey" xfId="14360" xr:uid="{00000000-0005-0000-0000-00002B380000}"/>
    <cellStyle name="RowTitles-Col2 2 2 9 3 3" xfId="14361" xr:uid="{00000000-0005-0000-0000-00002C380000}"/>
    <cellStyle name="RowTitles-Col2 2 2 9 3_Tertiary Salaries Survey" xfId="14362" xr:uid="{00000000-0005-0000-0000-00002D380000}"/>
    <cellStyle name="RowTitles-Col2 2 2 9 4" xfId="14363" xr:uid="{00000000-0005-0000-0000-00002E380000}"/>
    <cellStyle name="RowTitles-Col2 2 2 9 4 2" xfId="14364" xr:uid="{00000000-0005-0000-0000-00002F380000}"/>
    <cellStyle name="RowTitles-Col2 2 2 9 4_Tertiary Salaries Survey" xfId="14365" xr:uid="{00000000-0005-0000-0000-000030380000}"/>
    <cellStyle name="RowTitles-Col2 2 2 9 5" xfId="14366" xr:uid="{00000000-0005-0000-0000-000031380000}"/>
    <cellStyle name="RowTitles-Col2 2 2 9_Tertiary Salaries Survey" xfId="14367" xr:uid="{00000000-0005-0000-0000-000032380000}"/>
    <cellStyle name="RowTitles-Col2 2 2_STUD aligned by INSTIT" xfId="14368" xr:uid="{00000000-0005-0000-0000-000033380000}"/>
    <cellStyle name="RowTitles-Col2 2 3" xfId="14369" xr:uid="{00000000-0005-0000-0000-000034380000}"/>
    <cellStyle name="RowTitles-Col2 2 3 10" xfId="14370" xr:uid="{00000000-0005-0000-0000-000035380000}"/>
    <cellStyle name="RowTitles-Col2 2 3 10 2" xfId="14371" xr:uid="{00000000-0005-0000-0000-000036380000}"/>
    <cellStyle name="RowTitles-Col2 2 3 10 2 2" xfId="14372" xr:uid="{00000000-0005-0000-0000-000037380000}"/>
    <cellStyle name="RowTitles-Col2 2 3 10 2_Tertiary Salaries Survey" xfId="14373" xr:uid="{00000000-0005-0000-0000-000038380000}"/>
    <cellStyle name="RowTitles-Col2 2 3 10 3" xfId="14374" xr:uid="{00000000-0005-0000-0000-000039380000}"/>
    <cellStyle name="RowTitles-Col2 2 3 10_Tertiary Salaries Survey" xfId="14375" xr:uid="{00000000-0005-0000-0000-00003A380000}"/>
    <cellStyle name="RowTitles-Col2 2 3 11" xfId="14376" xr:uid="{00000000-0005-0000-0000-00003B380000}"/>
    <cellStyle name="RowTitles-Col2 2 3 2" xfId="14377" xr:uid="{00000000-0005-0000-0000-00003C380000}"/>
    <cellStyle name="RowTitles-Col2 2 3 2 2" xfId="14378" xr:uid="{00000000-0005-0000-0000-00003D380000}"/>
    <cellStyle name="RowTitles-Col2 2 3 2 2 2" xfId="14379" xr:uid="{00000000-0005-0000-0000-00003E380000}"/>
    <cellStyle name="RowTitles-Col2 2 3 2 2 2 2" xfId="14380" xr:uid="{00000000-0005-0000-0000-00003F380000}"/>
    <cellStyle name="RowTitles-Col2 2 3 2 2 2 2 2" xfId="14381" xr:uid="{00000000-0005-0000-0000-000040380000}"/>
    <cellStyle name="RowTitles-Col2 2 3 2 2 2 2_Tertiary Salaries Survey" xfId="14382" xr:uid="{00000000-0005-0000-0000-000041380000}"/>
    <cellStyle name="RowTitles-Col2 2 3 2 2 2 3" xfId="14383" xr:uid="{00000000-0005-0000-0000-000042380000}"/>
    <cellStyle name="RowTitles-Col2 2 3 2 2 2_Tertiary Salaries Survey" xfId="14384" xr:uid="{00000000-0005-0000-0000-000043380000}"/>
    <cellStyle name="RowTitles-Col2 2 3 2 2 3" xfId="14385" xr:uid="{00000000-0005-0000-0000-000044380000}"/>
    <cellStyle name="RowTitles-Col2 2 3 2 2 3 2" xfId="14386" xr:uid="{00000000-0005-0000-0000-000045380000}"/>
    <cellStyle name="RowTitles-Col2 2 3 2 2 3 2 2" xfId="14387" xr:uid="{00000000-0005-0000-0000-000046380000}"/>
    <cellStyle name="RowTitles-Col2 2 3 2 2 3 2_Tertiary Salaries Survey" xfId="14388" xr:uid="{00000000-0005-0000-0000-000047380000}"/>
    <cellStyle name="RowTitles-Col2 2 3 2 2 3 3" xfId="14389" xr:uid="{00000000-0005-0000-0000-000048380000}"/>
    <cellStyle name="RowTitles-Col2 2 3 2 2 3_Tertiary Salaries Survey" xfId="14390" xr:uid="{00000000-0005-0000-0000-000049380000}"/>
    <cellStyle name="RowTitles-Col2 2 3 2 2 4" xfId="14391" xr:uid="{00000000-0005-0000-0000-00004A380000}"/>
    <cellStyle name="RowTitles-Col2 2 3 2 2_Tertiary Salaries Survey" xfId="14392" xr:uid="{00000000-0005-0000-0000-00004B380000}"/>
    <cellStyle name="RowTitles-Col2 2 3 2 3" xfId="14393" xr:uid="{00000000-0005-0000-0000-00004C380000}"/>
    <cellStyle name="RowTitles-Col2 2 3 2 3 2" xfId="14394" xr:uid="{00000000-0005-0000-0000-00004D380000}"/>
    <cellStyle name="RowTitles-Col2 2 3 2 3 2 2" xfId="14395" xr:uid="{00000000-0005-0000-0000-00004E380000}"/>
    <cellStyle name="RowTitles-Col2 2 3 2 3 2 2 2" xfId="14396" xr:uid="{00000000-0005-0000-0000-00004F380000}"/>
    <cellStyle name="RowTitles-Col2 2 3 2 3 2 2_Tertiary Salaries Survey" xfId="14397" xr:uid="{00000000-0005-0000-0000-000050380000}"/>
    <cellStyle name="RowTitles-Col2 2 3 2 3 2 3" xfId="14398" xr:uid="{00000000-0005-0000-0000-000051380000}"/>
    <cellStyle name="RowTitles-Col2 2 3 2 3 2_Tertiary Salaries Survey" xfId="14399" xr:uid="{00000000-0005-0000-0000-000052380000}"/>
    <cellStyle name="RowTitles-Col2 2 3 2 3 3" xfId="14400" xr:uid="{00000000-0005-0000-0000-000053380000}"/>
    <cellStyle name="RowTitles-Col2 2 3 2 3 3 2" xfId="14401" xr:uid="{00000000-0005-0000-0000-000054380000}"/>
    <cellStyle name="RowTitles-Col2 2 3 2 3 3 2 2" xfId="14402" xr:uid="{00000000-0005-0000-0000-000055380000}"/>
    <cellStyle name="RowTitles-Col2 2 3 2 3 3 2_Tertiary Salaries Survey" xfId="14403" xr:uid="{00000000-0005-0000-0000-000056380000}"/>
    <cellStyle name="RowTitles-Col2 2 3 2 3 3 3" xfId="14404" xr:uid="{00000000-0005-0000-0000-000057380000}"/>
    <cellStyle name="RowTitles-Col2 2 3 2 3 3_Tertiary Salaries Survey" xfId="14405" xr:uid="{00000000-0005-0000-0000-000058380000}"/>
    <cellStyle name="RowTitles-Col2 2 3 2 3 4" xfId="14406" xr:uid="{00000000-0005-0000-0000-000059380000}"/>
    <cellStyle name="RowTitles-Col2 2 3 2 3 5" xfId="14407" xr:uid="{00000000-0005-0000-0000-00005A380000}"/>
    <cellStyle name="RowTitles-Col2 2 3 2 3 5 2" xfId="14408" xr:uid="{00000000-0005-0000-0000-00005B380000}"/>
    <cellStyle name="RowTitles-Col2 2 3 2 3 5_Tertiary Salaries Survey" xfId="14409" xr:uid="{00000000-0005-0000-0000-00005C380000}"/>
    <cellStyle name="RowTitles-Col2 2 3 2 3 6" xfId="14410" xr:uid="{00000000-0005-0000-0000-00005D380000}"/>
    <cellStyle name="RowTitles-Col2 2 3 2 3_Tertiary Salaries Survey" xfId="14411" xr:uid="{00000000-0005-0000-0000-00005E380000}"/>
    <cellStyle name="RowTitles-Col2 2 3 2 4" xfId="14412" xr:uid="{00000000-0005-0000-0000-00005F380000}"/>
    <cellStyle name="RowTitles-Col2 2 3 2 4 2" xfId="14413" xr:uid="{00000000-0005-0000-0000-000060380000}"/>
    <cellStyle name="RowTitles-Col2 2 3 2 4 2 2" xfId="14414" xr:uid="{00000000-0005-0000-0000-000061380000}"/>
    <cellStyle name="RowTitles-Col2 2 3 2 4 2 2 2" xfId="14415" xr:uid="{00000000-0005-0000-0000-000062380000}"/>
    <cellStyle name="RowTitles-Col2 2 3 2 4 2 2_Tertiary Salaries Survey" xfId="14416" xr:uid="{00000000-0005-0000-0000-000063380000}"/>
    <cellStyle name="RowTitles-Col2 2 3 2 4 2 3" xfId="14417" xr:uid="{00000000-0005-0000-0000-000064380000}"/>
    <cellStyle name="RowTitles-Col2 2 3 2 4 2_Tertiary Salaries Survey" xfId="14418" xr:uid="{00000000-0005-0000-0000-000065380000}"/>
    <cellStyle name="RowTitles-Col2 2 3 2 4 3" xfId="14419" xr:uid="{00000000-0005-0000-0000-000066380000}"/>
    <cellStyle name="RowTitles-Col2 2 3 2 4 3 2" xfId="14420" xr:uid="{00000000-0005-0000-0000-000067380000}"/>
    <cellStyle name="RowTitles-Col2 2 3 2 4 3 2 2" xfId="14421" xr:uid="{00000000-0005-0000-0000-000068380000}"/>
    <cellStyle name="RowTitles-Col2 2 3 2 4 3 2_Tertiary Salaries Survey" xfId="14422" xr:uid="{00000000-0005-0000-0000-000069380000}"/>
    <cellStyle name="RowTitles-Col2 2 3 2 4 3 3" xfId="14423" xr:uid="{00000000-0005-0000-0000-00006A380000}"/>
    <cellStyle name="RowTitles-Col2 2 3 2 4 3_Tertiary Salaries Survey" xfId="14424" xr:uid="{00000000-0005-0000-0000-00006B380000}"/>
    <cellStyle name="RowTitles-Col2 2 3 2 4 4" xfId="14425" xr:uid="{00000000-0005-0000-0000-00006C380000}"/>
    <cellStyle name="RowTitles-Col2 2 3 2 4 4 2" xfId="14426" xr:uid="{00000000-0005-0000-0000-00006D380000}"/>
    <cellStyle name="RowTitles-Col2 2 3 2 4 4_Tertiary Salaries Survey" xfId="14427" xr:uid="{00000000-0005-0000-0000-00006E380000}"/>
    <cellStyle name="RowTitles-Col2 2 3 2 4 5" xfId="14428" xr:uid="{00000000-0005-0000-0000-00006F380000}"/>
    <cellStyle name="RowTitles-Col2 2 3 2 4_Tertiary Salaries Survey" xfId="14429" xr:uid="{00000000-0005-0000-0000-000070380000}"/>
    <cellStyle name="RowTitles-Col2 2 3 2 5" xfId="14430" xr:uid="{00000000-0005-0000-0000-000071380000}"/>
    <cellStyle name="RowTitles-Col2 2 3 2 5 2" xfId="14431" xr:uid="{00000000-0005-0000-0000-000072380000}"/>
    <cellStyle name="RowTitles-Col2 2 3 2 5 2 2" xfId="14432" xr:uid="{00000000-0005-0000-0000-000073380000}"/>
    <cellStyle name="RowTitles-Col2 2 3 2 5 2 2 2" xfId="14433" xr:uid="{00000000-0005-0000-0000-000074380000}"/>
    <cellStyle name="RowTitles-Col2 2 3 2 5 2 2_Tertiary Salaries Survey" xfId="14434" xr:uid="{00000000-0005-0000-0000-000075380000}"/>
    <cellStyle name="RowTitles-Col2 2 3 2 5 2 3" xfId="14435" xr:uid="{00000000-0005-0000-0000-000076380000}"/>
    <cellStyle name="RowTitles-Col2 2 3 2 5 2_Tertiary Salaries Survey" xfId="14436" xr:uid="{00000000-0005-0000-0000-000077380000}"/>
    <cellStyle name="RowTitles-Col2 2 3 2 5 3" xfId="14437" xr:uid="{00000000-0005-0000-0000-000078380000}"/>
    <cellStyle name="RowTitles-Col2 2 3 2 5 3 2" xfId="14438" xr:uid="{00000000-0005-0000-0000-000079380000}"/>
    <cellStyle name="RowTitles-Col2 2 3 2 5 3 2 2" xfId="14439" xr:uid="{00000000-0005-0000-0000-00007A380000}"/>
    <cellStyle name="RowTitles-Col2 2 3 2 5 3 2_Tertiary Salaries Survey" xfId="14440" xr:uid="{00000000-0005-0000-0000-00007B380000}"/>
    <cellStyle name="RowTitles-Col2 2 3 2 5 3 3" xfId="14441" xr:uid="{00000000-0005-0000-0000-00007C380000}"/>
    <cellStyle name="RowTitles-Col2 2 3 2 5 3_Tertiary Salaries Survey" xfId="14442" xr:uid="{00000000-0005-0000-0000-00007D380000}"/>
    <cellStyle name="RowTitles-Col2 2 3 2 5 4" xfId="14443" xr:uid="{00000000-0005-0000-0000-00007E380000}"/>
    <cellStyle name="RowTitles-Col2 2 3 2 5 4 2" xfId="14444" xr:uid="{00000000-0005-0000-0000-00007F380000}"/>
    <cellStyle name="RowTitles-Col2 2 3 2 5 4_Tertiary Salaries Survey" xfId="14445" xr:uid="{00000000-0005-0000-0000-000080380000}"/>
    <cellStyle name="RowTitles-Col2 2 3 2 5 5" xfId="14446" xr:uid="{00000000-0005-0000-0000-000081380000}"/>
    <cellStyle name="RowTitles-Col2 2 3 2 5_Tertiary Salaries Survey" xfId="14447" xr:uid="{00000000-0005-0000-0000-000082380000}"/>
    <cellStyle name="RowTitles-Col2 2 3 2 6" xfId="14448" xr:uid="{00000000-0005-0000-0000-000083380000}"/>
    <cellStyle name="RowTitles-Col2 2 3 2 6 2" xfId="14449" xr:uid="{00000000-0005-0000-0000-000084380000}"/>
    <cellStyle name="RowTitles-Col2 2 3 2 6 2 2" xfId="14450" xr:uid="{00000000-0005-0000-0000-000085380000}"/>
    <cellStyle name="RowTitles-Col2 2 3 2 6 2 2 2" xfId="14451" xr:uid="{00000000-0005-0000-0000-000086380000}"/>
    <cellStyle name="RowTitles-Col2 2 3 2 6 2 2_Tertiary Salaries Survey" xfId="14452" xr:uid="{00000000-0005-0000-0000-000087380000}"/>
    <cellStyle name="RowTitles-Col2 2 3 2 6 2 3" xfId="14453" xr:uid="{00000000-0005-0000-0000-000088380000}"/>
    <cellStyle name="RowTitles-Col2 2 3 2 6 2_Tertiary Salaries Survey" xfId="14454" xr:uid="{00000000-0005-0000-0000-000089380000}"/>
    <cellStyle name="RowTitles-Col2 2 3 2 6 3" xfId="14455" xr:uid="{00000000-0005-0000-0000-00008A380000}"/>
    <cellStyle name="RowTitles-Col2 2 3 2 6 3 2" xfId="14456" xr:uid="{00000000-0005-0000-0000-00008B380000}"/>
    <cellStyle name="RowTitles-Col2 2 3 2 6 3 2 2" xfId="14457" xr:uid="{00000000-0005-0000-0000-00008C380000}"/>
    <cellStyle name="RowTitles-Col2 2 3 2 6 3 2_Tertiary Salaries Survey" xfId="14458" xr:uid="{00000000-0005-0000-0000-00008D380000}"/>
    <cellStyle name="RowTitles-Col2 2 3 2 6 3 3" xfId="14459" xr:uid="{00000000-0005-0000-0000-00008E380000}"/>
    <cellStyle name="RowTitles-Col2 2 3 2 6 3_Tertiary Salaries Survey" xfId="14460" xr:uid="{00000000-0005-0000-0000-00008F380000}"/>
    <cellStyle name="RowTitles-Col2 2 3 2 6 4" xfId="14461" xr:uid="{00000000-0005-0000-0000-000090380000}"/>
    <cellStyle name="RowTitles-Col2 2 3 2 6 4 2" xfId="14462" xr:uid="{00000000-0005-0000-0000-000091380000}"/>
    <cellStyle name="RowTitles-Col2 2 3 2 6 4_Tertiary Salaries Survey" xfId="14463" xr:uid="{00000000-0005-0000-0000-000092380000}"/>
    <cellStyle name="RowTitles-Col2 2 3 2 6 5" xfId="14464" xr:uid="{00000000-0005-0000-0000-000093380000}"/>
    <cellStyle name="RowTitles-Col2 2 3 2 6_Tertiary Salaries Survey" xfId="14465" xr:uid="{00000000-0005-0000-0000-000094380000}"/>
    <cellStyle name="RowTitles-Col2 2 3 2 7" xfId="14466" xr:uid="{00000000-0005-0000-0000-000095380000}"/>
    <cellStyle name="RowTitles-Col2 2 3 2 7 2" xfId="14467" xr:uid="{00000000-0005-0000-0000-000096380000}"/>
    <cellStyle name="RowTitles-Col2 2 3 2 7 2 2" xfId="14468" xr:uid="{00000000-0005-0000-0000-000097380000}"/>
    <cellStyle name="RowTitles-Col2 2 3 2 7 2_Tertiary Salaries Survey" xfId="14469" xr:uid="{00000000-0005-0000-0000-000098380000}"/>
    <cellStyle name="RowTitles-Col2 2 3 2 7 3" xfId="14470" xr:uid="{00000000-0005-0000-0000-000099380000}"/>
    <cellStyle name="RowTitles-Col2 2 3 2 7_Tertiary Salaries Survey" xfId="14471" xr:uid="{00000000-0005-0000-0000-00009A380000}"/>
    <cellStyle name="RowTitles-Col2 2 3 2 8" xfId="14472" xr:uid="{00000000-0005-0000-0000-00009B380000}"/>
    <cellStyle name="RowTitles-Col2 2 3 2_STUD aligned by INSTIT" xfId="14473" xr:uid="{00000000-0005-0000-0000-00009C380000}"/>
    <cellStyle name="RowTitles-Col2 2 3 3" xfId="14474" xr:uid="{00000000-0005-0000-0000-00009D380000}"/>
    <cellStyle name="RowTitles-Col2 2 3 3 2" xfId="14475" xr:uid="{00000000-0005-0000-0000-00009E380000}"/>
    <cellStyle name="RowTitles-Col2 2 3 3 2 2" xfId="14476" xr:uid="{00000000-0005-0000-0000-00009F380000}"/>
    <cellStyle name="RowTitles-Col2 2 3 3 2 2 2" xfId="14477" xr:uid="{00000000-0005-0000-0000-0000A0380000}"/>
    <cellStyle name="RowTitles-Col2 2 3 3 2 2 2 2" xfId="14478" xr:uid="{00000000-0005-0000-0000-0000A1380000}"/>
    <cellStyle name="RowTitles-Col2 2 3 3 2 2 2_Tertiary Salaries Survey" xfId="14479" xr:uid="{00000000-0005-0000-0000-0000A2380000}"/>
    <cellStyle name="RowTitles-Col2 2 3 3 2 2 3" xfId="14480" xr:uid="{00000000-0005-0000-0000-0000A3380000}"/>
    <cellStyle name="RowTitles-Col2 2 3 3 2 2_Tertiary Salaries Survey" xfId="14481" xr:uid="{00000000-0005-0000-0000-0000A4380000}"/>
    <cellStyle name="RowTitles-Col2 2 3 3 2 3" xfId="14482" xr:uid="{00000000-0005-0000-0000-0000A5380000}"/>
    <cellStyle name="RowTitles-Col2 2 3 3 2 3 2" xfId="14483" xr:uid="{00000000-0005-0000-0000-0000A6380000}"/>
    <cellStyle name="RowTitles-Col2 2 3 3 2 3 2 2" xfId="14484" xr:uid="{00000000-0005-0000-0000-0000A7380000}"/>
    <cellStyle name="RowTitles-Col2 2 3 3 2 3 2_Tertiary Salaries Survey" xfId="14485" xr:uid="{00000000-0005-0000-0000-0000A8380000}"/>
    <cellStyle name="RowTitles-Col2 2 3 3 2 3 3" xfId="14486" xr:uid="{00000000-0005-0000-0000-0000A9380000}"/>
    <cellStyle name="RowTitles-Col2 2 3 3 2 3_Tertiary Salaries Survey" xfId="14487" xr:uid="{00000000-0005-0000-0000-0000AA380000}"/>
    <cellStyle name="RowTitles-Col2 2 3 3 2 4" xfId="14488" xr:uid="{00000000-0005-0000-0000-0000AB380000}"/>
    <cellStyle name="RowTitles-Col2 2 3 3 2 5" xfId="14489" xr:uid="{00000000-0005-0000-0000-0000AC380000}"/>
    <cellStyle name="RowTitles-Col2 2 3 3 2 5 2" xfId="14490" xr:uid="{00000000-0005-0000-0000-0000AD380000}"/>
    <cellStyle name="RowTitles-Col2 2 3 3 2 5_Tertiary Salaries Survey" xfId="14491" xr:uid="{00000000-0005-0000-0000-0000AE380000}"/>
    <cellStyle name="RowTitles-Col2 2 3 3 2 6" xfId="14492" xr:uid="{00000000-0005-0000-0000-0000AF380000}"/>
    <cellStyle name="RowTitles-Col2 2 3 3 2_Tertiary Salaries Survey" xfId="14493" xr:uid="{00000000-0005-0000-0000-0000B0380000}"/>
    <cellStyle name="RowTitles-Col2 2 3 3 3" xfId="14494" xr:uid="{00000000-0005-0000-0000-0000B1380000}"/>
    <cellStyle name="RowTitles-Col2 2 3 3 3 2" xfId="14495" xr:uid="{00000000-0005-0000-0000-0000B2380000}"/>
    <cellStyle name="RowTitles-Col2 2 3 3 3 2 2" xfId="14496" xr:uid="{00000000-0005-0000-0000-0000B3380000}"/>
    <cellStyle name="RowTitles-Col2 2 3 3 3 2 2 2" xfId="14497" xr:uid="{00000000-0005-0000-0000-0000B4380000}"/>
    <cellStyle name="RowTitles-Col2 2 3 3 3 2 2_Tertiary Salaries Survey" xfId="14498" xr:uid="{00000000-0005-0000-0000-0000B5380000}"/>
    <cellStyle name="RowTitles-Col2 2 3 3 3 2 3" xfId="14499" xr:uid="{00000000-0005-0000-0000-0000B6380000}"/>
    <cellStyle name="RowTitles-Col2 2 3 3 3 2_Tertiary Salaries Survey" xfId="14500" xr:uid="{00000000-0005-0000-0000-0000B7380000}"/>
    <cellStyle name="RowTitles-Col2 2 3 3 3 3" xfId="14501" xr:uid="{00000000-0005-0000-0000-0000B8380000}"/>
    <cellStyle name="RowTitles-Col2 2 3 3 3 3 2" xfId="14502" xr:uid="{00000000-0005-0000-0000-0000B9380000}"/>
    <cellStyle name="RowTitles-Col2 2 3 3 3 3 2 2" xfId="14503" xr:uid="{00000000-0005-0000-0000-0000BA380000}"/>
    <cellStyle name="RowTitles-Col2 2 3 3 3 3 2_Tertiary Salaries Survey" xfId="14504" xr:uid="{00000000-0005-0000-0000-0000BB380000}"/>
    <cellStyle name="RowTitles-Col2 2 3 3 3 3 3" xfId="14505" xr:uid="{00000000-0005-0000-0000-0000BC380000}"/>
    <cellStyle name="RowTitles-Col2 2 3 3 3 3_Tertiary Salaries Survey" xfId="14506" xr:uid="{00000000-0005-0000-0000-0000BD380000}"/>
    <cellStyle name="RowTitles-Col2 2 3 3 3 4" xfId="14507" xr:uid="{00000000-0005-0000-0000-0000BE380000}"/>
    <cellStyle name="RowTitles-Col2 2 3 3 3_Tertiary Salaries Survey" xfId="14508" xr:uid="{00000000-0005-0000-0000-0000BF380000}"/>
    <cellStyle name="RowTitles-Col2 2 3 3 4" xfId="14509" xr:uid="{00000000-0005-0000-0000-0000C0380000}"/>
    <cellStyle name="RowTitles-Col2 2 3 3 4 2" xfId="14510" xr:uid="{00000000-0005-0000-0000-0000C1380000}"/>
    <cellStyle name="RowTitles-Col2 2 3 3 4 2 2" xfId="14511" xr:uid="{00000000-0005-0000-0000-0000C2380000}"/>
    <cellStyle name="RowTitles-Col2 2 3 3 4 2 2 2" xfId="14512" xr:uid="{00000000-0005-0000-0000-0000C3380000}"/>
    <cellStyle name="RowTitles-Col2 2 3 3 4 2 2_Tertiary Salaries Survey" xfId="14513" xr:uid="{00000000-0005-0000-0000-0000C4380000}"/>
    <cellStyle name="RowTitles-Col2 2 3 3 4 2 3" xfId="14514" xr:uid="{00000000-0005-0000-0000-0000C5380000}"/>
    <cellStyle name="RowTitles-Col2 2 3 3 4 2_Tertiary Salaries Survey" xfId="14515" xr:uid="{00000000-0005-0000-0000-0000C6380000}"/>
    <cellStyle name="RowTitles-Col2 2 3 3 4 3" xfId="14516" xr:uid="{00000000-0005-0000-0000-0000C7380000}"/>
    <cellStyle name="RowTitles-Col2 2 3 3 4 3 2" xfId="14517" xr:uid="{00000000-0005-0000-0000-0000C8380000}"/>
    <cellStyle name="RowTitles-Col2 2 3 3 4 3 2 2" xfId="14518" xr:uid="{00000000-0005-0000-0000-0000C9380000}"/>
    <cellStyle name="RowTitles-Col2 2 3 3 4 3 2_Tertiary Salaries Survey" xfId="14519" xr:uid="{00000000-0005-0000-0000-0000CA380000}"/>
    <cellStyle name="RowTitles-Col2 2 3 3 4 3 3" xfId="14520" xr:uid="{00000000-0005-0000-0000-0000CB380000}"/>
    <cellStyle name="RowTitles-Col2 2 3 3 4 3_Tertiary Salaries Survey" xfId="14521" xr:uid="{00000000-0005-0000-0000-0000CC380000}"/>
    <cellStyle name="RowTitles-Col2 2 3 3 4 4" xfId="14522" xr:uid="{00000000-0005-0000-0000-0000CD380000}"/>
    <cellStyle name="RowTitles-Col2 2 3 3 4 4 2" xfId="14523" xr:uid="{00000000-0005-0000-0000-0000CE380000}"/>
    <cellStyle name="RowTitles-Col2 2 3 3 4 4_Tertiary Salaries Survey" xfId="14524" xr:uid="{00000000-0005-0000-0000-0000CF380000}"/>
    <cellStyle name="RowTitles-Col2 2 3 3 4 5" xfId="14525" xr:uid="{00000000-0005-0000-0000-0000D0380000}"/>
    <cellStyle name="RowTitles-Col2 2 3 3 4_Tertiary Salaries Survey" xfId="14526" xr:uid="{00000000-0005-0000-0000-0000D1380000}"/>
    <cellStyle name="RowTitles-Col2 2 3 3 5" xfId="14527" xr:uid="{00000000-0005-0000-0000-0000D2380000}"/>
    <cellStyle name="RowTitles-Col2 2 3 3 5 2" xfId="14528" xr:uid="{00000000-0005-0000-0000-0000D3380000}"/>
    <cellStyle name="RowTitles-Col2 2 3 3 5 2 2" xfId="14529" xr:uid="{00000000-0005-0000-0000-0000D4380000}"/>
    <cellStyle name="RowTitles-Col2 2 3 3 5 2 2 2" xfId="14530" xr:uid="{00000000-0005-0000-0000-0000D5380000}"/>
    <cellStyle name="RowTitles-Col2 2 3 3 5 2 2_Tertiary Salaries Survey" xfId="14531" xr:uid="{00000000-0005-0000-0000-0000D6380000}"/>
    <cellStyle name="RowTitles-Col2 2 3 3 5 2 3" xfId="14532" xr:uid="{00000000-0005-0000-0000-0000D7380000}"/>
    <cellStyle name="RowTitles-Col2 2 3 3 5 2_Tertiary Salaries Survey" xfId="14533" xr:uid="{00000000-0005-0000-0000-0000D8380000}"/>
    <cellStyle name="RowTitles-Col2 2 3 3 5 3" xfId="14534" xr:uid="{00000000-0005-0000-0000-0000D9380000}"/>
    <cellStyle name="RowTitles-Col2 2 3 3 5 3 2" xfId="14535" xr:uid="{00000000-0005-0000-0000-0000DA380000}"/>
    <cellStyle name="RowTitles-Col2 2 3 3 5 3 2 2" xfId="14536" xr:uid="{00000000-0005-0000-0000-0000DB380000}"/>
    <cellStyle name="RowTitles-Col2 2 3 3 5 3 2_Tertiary Salaries Survey" xfId="14537" xr:uid="{00000000-0005-0000-0000-0000DC380000}"/>
    <cellStyle name="RowTitles-Col2 2 3 3 5 3 3" xfId="14538" xr:uid="{00000000-0005-0000-0000-0000DD380000}"/>
    <cellStyle name="RowTitles-Col2 2 3 3 5 3_Tertiary Salaries Survey" xfId="14539" xr:uid="{00000000-0005-0000-0000-0000DE380000}"/>
    <cellStyle name="RowTitles-Col2 2 3 3 5 4" xfId="14540" xr:uid="{00000000-0005-0000-0000-0000DF380000}"/>
    <cellStyle name="RowTitles-Col2 2 3 3 5 4 2" xfId="14541" xr:uid="{00000000-0005-0000-0000-0000E0380000}"/>
    <cellStyle name="RowTitles-Col2 2 3 3 5 4_Tertiary Salaries Survey" xfId="14542" xr:uid="{00000000-0005-0000-0000-0000E1380000}"/>
    <cellStyle name="RowTitles-Col2 2 3 3 5 5" xfId="14543" xr:uid="{00000000-0005-0000-0000-0000E2380000}"/>
    <cellStyle name="RowTitles-Col2 2 3 3 5_Tertiary Salaries Survey" xfId="14544" xr:uid="{00000000-0005-0000-0000-0000E3380000}"/>
    <cellStyle name="RowTitles-Col2 2 3 3 6" xfId="14545" xr:uid="{00000000-0005-0000-0000-0000E4380000}"/>
    <cellStyle name="RowTitles-Col2 2 3 3 6 2" xfId="14546" xr:uid="{00000000-0005-0000-0000-0000E5380000}"/>
    <cellStyle name="RowTitles-Col2 2 3 3 6 2 2" xfId="14547" xr:uid="{00000000-0005-0000-0000-0000E6380000}"/>
    <cellStyle name="RowTitles-Col2 2 3 3 6 2 2 2" xfId="14548" xr:uid="{00000000-0005-0000-0000-0000E7380000}"/>
    <cellStyle name="RowTitles-Col2 2 3 3 6 2 2_Tertiary Salaries Survey" xfId="14549" xr:uid="{00000000-0005-0000-0000-0000E8380000}"/>
    <cellStyle name="RowTitles-Col2 2 3 3 6 2 3" xfId="14550" xr:uid="{00000000-0005-0000-0000-0000E9380000}"/>
    <cellStyle name="RowTitles-Col2 2 3 3 6 2_Tertiary Salaries Survey" xfId="14551" xr:uid="{00000000-0005-0000-0000-0000EA380000}"/>
    <cellStyle name="RowTitles-Col2 2 3 3 6 3" xfId="14552" xr:uid="{00000000-0005-0000-0000-0000EB380000}"/>
    <cellStyle name="RowTitles-Col2 2 3 3 6 3 2" xfId="14553" xr:uid="{00000000-0005-0000-0000-0000EC380000}"/>
    <cellStyle name="RowTitles-Col2 2 3 3 6 3 2 2" xfId="14554" xr:uid="{00000000-0005-0000-0000-0000ED380000}"/>
    <cellStyle name="RowTitles-Col2 2 3 3 6 3 2_Tertiary Salaries Survey" xfId="14555" xr:uid="{00000000-0005-0000-0000-0000EE380000}"/>
    <cellStyle name="RowTitles-Col2 2 3 3 6 3 3" xfId="14556" xr:uid="{00000000-0005-0000-0000-0000EF380000}"/>
    <cellStyle name="RowTitles-Col2 2 3 3 6 3_Tertiary Salaries Survey" xfId="14557" xr:uid="{00000000-0005-0000-0000-0000F0380000}"/>
    <cellStyle name="RowTitles-Col2 2 3 3 6 4" xfId="14558" xr:uid="{00000000-0005-0000-0000-0000F1380000}"/>
    <cellStyle name="RowTitles-Col2 2 3 3 6 4 2" xfId="14559" xr:uid="{00000000-0005-0000-0000-0000F2380000}"/>
    <cellStyle name="RowTitles-Col2 2 3 3 6 4_Tertiary Salaries Survey" xfId="14560" xr:uid="{00000000-0005-0000-0000-0000F3380000}"/>
    <cellStyle name="RowTitles-Col2 2 3 3 6 5" xfId="14561" xr:uid="{00000000-0005-0000-0000-0000F4380000}"/>
    <cellStyle name="RowTitles-Col2 2 3 3 6_Tertiary Salaries Survey" xfId="14562" xr:uid="{00000000-0005-0000-0000-0000F5380000}"/>
    <cellStyle name="RowTitles-Col2 2 3 3 7" xfId="14563" xr:uid="{00000000-0005-0000-0000-0000F6380000}"/>
    <cellStyle name="RowTitles-Col2 2 3 3 7 2" xfId="14564" xr:uid="{00000000-0005-0000-0000-0000F7380000}"/>
    <cellStyle name="RowTitles-Col2 2 3 3 7 2 2" xfId="14565" xr:uid="{00000000-0005-0000-0000-0000F8380000}"/>
    <cellStyle name="RowTitles-Col2 2 3 3 7 2_Tertiary Salaries Survey" xfId="14566" xr:uid="{00000000-0005-0000-0000-0000F9380000}"/>
    <cellStyle name="RowTitles-Col2 2 3 3 7 3" xfId="14567" xr:uid="{00000000-0005-0000-0000-0000FA380000}"/>
    <cellStyle name="RowTitles-Col2 2 3 3 7_Tertiary Salaries Survey" xfId="14568" xr:uid="{00000000-0005-0000-0000-0000FB380000}"/>
    <cellStyle name="RowTitles-Col2 2 3 3 8" xfId="14569" xr:uid="{00000000-0005-0000-0000-0000FC380000}"/>
    <cellStyle name="RowTitles-Col2 2 3 3 8 2" xfId="14570" xr:uid="{00000000-0005-0000-0000-0000FD380000}"/>
    <cellStyle name="RowTitles-Col2 2 3 3 8 2 2" xfId="14571" xr:uid="{00000000-0005-0000-0000-0000FE380000}"/>
    <cellStyle name="RowTitles-Col2 2 3 3 8 2_Tertiary Salaries Survey" xfId="14572" xr:uid="{00000000-0005-0000-0000-0000FF380000}"/>
    <cellStyle name="RowTitles-Col2 2 3 3 8 3" xfId="14573" xr:uid="{00000000-0005-0000-0000-000000390000}"/>
    <cellStyle name="RowTitles-Col2 2 3 3 8_Tertiary Salaries Survey" xfId="14574" xr:uid="{00000000-0005-0000-0000-000001390000}"/>
    <cellStyle name="RowTitles-Col2 2 3 3_STUD aligned by INSTIT" xfId="14575" xr:uid="{00000000-0005-0000-0000-000002390000}"/>
    <cellStyle name="RowTitles-Col2 2 3 4" xfId="14576" xr:uid="{00000000-0005-0000-0000-000003390000}"/>
    <cellStyle name="RowTitles-Col2 2 3 4 2" xfId="14577" xr:uid="{00000000-0005-0000-0000-000004390000}"/>
    <cellStyle name="RowTitles-Col2 2 3 4 2 2" xfId="14578" xr:uid="{00000000-0005-0000-0000-000005390000}"/>
    <cellStyle name="RowTitles-Col2 2 3 4 2 2 2" xfId="14579" xr:uid="{00000000-0005-0000-0000-000006390000}"/>
    <cellStyle name="RowTitles-Col2 2 3 4 2 2 2 2" xfId="14580" xr:uid="{00000000-0005-0000-0000-000007390000}"/>
    <cellStyle name="RowTitles-Col2 2 3 4 2 2 2_Tertiary Salaries Survey" xfId="14581" xr:uid="{00000000-0005-0000-0000-000008390000}"/>
    <cellStyle name="RowTitles-Col2 2 3 4 2 2 3" xfId="14582" xr:uid="{00000000-0005-0000-0000-000009390000}"/>
    <cellStyle name="RowTitles-Col2 2 3 4 2 2_Tertiary Salaries Survey" xfId="14583" xr:uid="{00000000-0005-0000-0000-00000A390000}"/>
    <cellStyle name="RowTitles-Col2 2 3 4 2 3" xfId="14584" xr:uid="{00000000-0005-0000-0000-00000B390000}"/>
    <cellStyle name="RowTitles-Col2 2 3 4 2 3 2" xfId="14585" xr:uid="{00000000-0005-0000-0000-00000C390000}"/>
    <cellStyle name="RowTitles-Col2 2 3 4 2 3 2 2" xfId="14586" xr:uid="{00000000-0005-0000-0000-00000D390000}"/>
    <cellStyle name="RowTitles-Col2 2 3 4 2 3 2_Tertiary Salaries Survey" xfId="14587" xr:uid="{00000000-0005-0000-0000-00000E390000}"/>
    <cellStyle name="RowTitles-Col2 2 3 4 2 3 3" xfId="14588" xr:uid="{00000000-0005-0000-0000-00000F390000}"/>
    <cellStyle name="RowTitles-Col2 2 3 4 2 3_Tertiary Salaries Survey" xfId="14589" xr:uid="{00000000-0005-0000-0000-000010390000}"/>
    <cellStyle name="RowTitles-Col2 2 3 4 2 4" xfId="14590" xr:uid="{00000000-0005-0000-0000-000011390000}"/>
    <cellStyle name="RowTitles-Col2 2 3 4 2 5" xfId="14591" xr:uid="{00000000-0005-0000-0000-000012390000}"/>
    <cellStyle name="RowTitles-Col2 2 3 4 2 5 2" xfId="14592" xr:uid="{00000000-0005-0000-0000-000013390000}"/>
    <cellStyle name="RowTitles-Col2 2 3 4 2 5_Tertiary Salaries Survey" xfId="14593" xr:uid="{00000000-0005-0000-0000-000014390000}"/>
    <cellStyle name="RowTitles-Col2 2 3 4 2_Tertiary Salaries Survey" xfId="14594" xr:uid="{00000000-0005-0000-0000-000015390000}"/>
    <cellStyle name="RowTitles-Col2 2 3 4 3" xfId="14595" xr:uid="{00000000-0005-0000-0000-000016390000}"/>
    <cellStyle name="RowTitles-Col2 2 3 4 3 2" xfId="14596" xr:uid="{00000000-0005-0000-0000-000017390000}"/>
    <cellStyle name="RowTitles-Col2 2 3 4 3 2 2" xfId="14597" xr:uid="{00000000-0005-0000-0000-000018390000}"/>
    <cellStyle name="RowTitles-Col2 2 3 4 3 2 2 2" xfId="14598" xr:uid="{00000000-0005-0000-0000-000019390000}"/>
    <cellStyle name="RowTitles-Col2 2 3 4 3 2 2_Tertiary Salaries Survey" xfId="14599" xr:uid="{00000000-0005-0000-0000-00001A390000}"/>
    <cellStyle name="RowTitles-Col2 2 3 4 3 2 3" xfId="14600" xr:uid="{00000000-0005-0000-0000-00001B390000}"/>
    <cellStyle name="RowTitles-Col2 2 3 4 3 2_Tertiary Salaries Survey" xfId="14601" xr:uid="{00000000-0005-0000-0000-00001C390000}"/>
    <cellStyle name="RowTitles-Col2 2 3 4 3 3" xfId="14602" xr:uid="{00000000-0005-0000-0000-00001D390000}"/>
    <cellStyle name="RowTitles-Col2 2 3 4 3 3 2" xfId="14603" xr:uid="{00000000-0005-0000-0000-00001E390000}"/>
    <cellStyle name="RowTitles-Col2 2 3 4 3 3 2 2" xfId="14604" xr:uid="{00000000-0005-0000-0000-00001F390000}"/>
    <cellStyle name="RowTitles-Col2 2 3 4 3 3 2_Tertiary Salaries Survey" xfId="14605" xr:uid="{00000000-0005-0000-0000-000020390000}"/>
    <cellStyle name="RowTitles-Col2 2 3 4 3 3 3" xfId="14606" xr:uid="{00000000-0005-0000-0000-000021390000}"/>
    <cellStyle name="RowTitles-Col2 2 3 4 3 3_Tertiary Salaries Survey" xfId="14607" xr:uid="{00000000-0005-0000-0000-000022390000}"/>
    <cellStyle name="RowTitles-Col2 2 3 4 3 4" xfId="14608" xr:uid="{00000000-0005-0000-0000-000023390000}"/>
    <cellStyle name="RowTitles-Col2 2 3 4 3 5" xfId="14609" xr:uid="{00000000-0005-0000-0000-000024390000}"/>
    <cellStyle name="RowTitles-Col2 2 3 4 3_Tertiary Salaries Survey" xfId="14610" xr:uid="{00000000-0005-0000-0000-000025390000}"/>
    <cellStyle name="RowTitles-Col2 2 3 4 4" xfId="14611" xr:uid="{00000000-0005-0000-0000-000026390000}"/>
    <cellStyle name="RowTitles-Col2 2 3 4 4 2" xfId="14612" xr:uid="{00000000-0005-0000-0000-000027390000}"/>
    <cellStyle name="RowTitles-Col2 2 3 4 4 2 2" xfId="14613" xr:uid="{00000000-0005-0000-0000-000028390000}"/>
    <cellStyle name="RowTitles-Col2 2 3 4 4 2 2 2" xfId="14614" xr:uid="{00000000-0005-0000-0000-000029390000}"/>
    <cellStyle name="RowTitles-Col2 2 3 4 4 2 2_Tertiary Salaries Survey" xfId="14615" xr:uid="{00000000-0005-0000-0000-00002A390000}"/>
    <cellStyle name="RowTitles-Col2 2 3 4 4 2 3" xfId="14616" xr:uid="{00000000-0005-0000-0000-00002B390000}"/>
    <cellStyle name="RowTitles-Col2 2 3 4 4 2_Tertiary Salaries Survey" xfId="14617" xr:uid="{00000000-0005-0000-0000-00002C390000}"/>
    <cellStyle name="RowTitles-Col2 2 3 4 4 3" xfId="14618" xr:uid="{00000000-0005-0000-0000-00002D390000}"/>
    <cellStyle name="RowTitles-Col2 2 3 4 4 3 2" xfId="14619" xr:uid="{00000000-0005-0000-0000-00002E390000}"/>
    <cellStyle name="RowTitles-Col2 2 3 4 4 3 2 2" xfId="14620" xr:uid="{00000000-0005-0000-0000-00002F390000}"/>
    <cellStyle name="RowTitles-Col2 2 3 4 4 3 2_Tertiary Salaries Survey" xfId="14621" xr:uid="{00000000-0005-0000-0000-000030390000}"/>
    <cellStyle name="RowTitles-Col2 2 3 4 4 3 3" xfId="14622" xr:uid="{00000000-0005-0000-0000-000031390000}"/>
    <cellStyle name="RowTitles-Col2 2 3 4 4 3_Tertiary Salaries Survey" xfId="14623" xr:uid="{00000000-0005-0000-0000-000032390000}"/>
    <cellStyle name="RowTitles-Col2 2 3 4 4 4" xfId="14624" xr:uid="{00000000-0005-0000-0000-000033390000}"/>
    <cellStyle name="RowTitles-Col2 2 3 4 4 5" xfId="14625" xr:uid="{00000000-0005-0000-0000-000034390000}"/>
    <cellStyle name="RowTitles-Col2 2 3 4 4 5 2" xfId="14626" xr:uid="{00000000-0005-0000-0000-000035390000}"/>
    <cellStyle name="RowTitles-Col2 2 3 4 4 5_Tertiary Salaries Survey" xfId="14627" xr:uid="{00000000-0005-0000-0000-000036390000}"/>
    <cellStyle name="RowTitles-Col2 2 3 4 4 6" xfId="14628" xr:uid="{00000000-0005-0000-0000-000037390000}"/>
    <cellStyle name="RowTitles-Col2 2 3 4 4_Tertiary Salaries Survey" xfId="14629" xr:uid="{00000000-0005-0000-0000-000038390000}"/>
    <cellStyle name="RowTitles-Col2 2 3 4 5" xfId="14630" xr:uid="{00000000-0005-0000-0000-000039390000}"/>
    <cellStyle name="RowTitles-Col2 2 3 4 5 2" xfId="14631" xr:uid="{00000000-0005-0000-0000-00003A390000}"/>
    <cellStyle name="RowTitles-Col2 2 3 4 5 2 2" xfId="14632" xr:uid="{00000000-0005-0000-0000-00003B390000}"/>
    <cellStyle name="RowTitles-Col2 2 3 4 5 2 2 2" xfId="14633" xr:uid="{00000000-0005-0000-0000-00003C390000}"/>
    <cellStyle name="RowTitles-Col2 2 3 4 5 2 2_Tertiary Salaries Survey" xfId="14634" xr:uid="{00000000-0005-0000-0000-00003D390000}"/>
    <cellStyle name="RowTitles-Col2 2 3 4 5 2 3" xfId="14635" xr:uid="{00000000-0005-0000-0000-00003E390000}"/>
    <cellStyle name="RowTitles-Col2 2 3 4 5 2_Tertiary Salaries Survey" xfId="14636" xr:uid="{00000000-0005-0000-0000-00003F390000}"/>
    <cellStyle name="RowTitles-Col2 2 3 4 5 3" xfId="14637" xr:uid="{00000000-0005-0000-0000-000040390000}"/>
    <cellStyle name="RowTitles-Col2 2 3 4 5 3 2" xfId="14638" xr:uid="{00000000-0005-0000-0000-000041390000}"/>
    <cellStyle name="RowTitles-Col2 2 3 4 5 3 2 2" xfId="14639" xr:uid="{00000000-0005-0000-0000-000042390000}"/>
    <cellStyle name="RowTitles-Col2 2 3 4 5 3 2_Tertiary Salaries Survey" xfId="14640" xr:uid="{00000000-0005-0000-0000-000043390000}"/>
    <cellStyle name="RowTitles-Col2 2 3 4 5 3 3" xfId="14641" xr:uid="{00000000-0005-0000-0000-000044390000}"/>
    <cellStyle name="RowTitles-Col2 2 3 4 5 3_Tertiary Salaries Survey" xfId="14642" xr:uid="{00000000-0005-0000-0000-000045390000}"/>
    <cellStyle name="RowTitles-Col2 2 3 4 5 4" xfId="14643" xr:uid="{00000000-0005-0000-0000-000046390000}"/>
    <cellStyle name="RowTitles-Col2 2 3 4 5 4 2" xfId="14644" xr:uid="{00000000-0005-0000-0000-000047390000}"/>
    <cellStyle name="RowTitles-Col2 2 3 4 5 4_Tertiary Salaries Survey" xfId="14645" xr:uid="{00000000-0005-0000-0000-000048390000}"/>
    <cellStyle name="RowTitles-Col2 2 3 4 5 5" xfId="14646" xr:uid="{00000000-0005-0000-0000-000049390000}"/>
    <cellStyle name="RowTitles-Col2 2 3 4 5_Tertiary Salaries Survey" xfId="14647" xr:uid="{00000000-0005-0000-0000-00004A390000}"/>
    <cellStyle name="RowTitles-Col2 2 3 4 6" xfId="14648" xr:uid="{00000000-0005-0000-0000-00004B390000}"/>
    <cellStyle name="RowTitles-Col2 2 3 4 6 2" xfId="14649" xr:uid="{00000000-0005-0000-0000-00004C390000}"/>
    <cellStyle name="RowTitles-Col2 2 3 4 6 2 2" xfId="14650" xr:uid="{00000000-0005-0000-0000-00004D390000}"/>
    <cellStyle name="RowTitles-Col2 2 3 4 6 2 2 2" xfId="14651" xr:uid="{00000000-0005-0000-0000-00004E390000}"/>
    <cellStyle name="RowTitles-Col2 2 3 4 6 2 2_Tertiary Salaries Survey" xfId="14652" xr:uid="{00000000-0005-0000-0000-00004F390000}"/>
    <cellStyle name="RowTitles-Col2 2 3 4 6 2 3" xfId="14653" xr:uid="{00000000-0005-0000-0000-000050390000}"/>
    <cellStyle name="RowTitles-Col2 2 3 4 6 2_Tertiary Salaries Survey" xfId="14654" xr:uid="{00000000-0005-0000-0000-000051390000}"/>
    <cellStyle name="RowTitles-Col2 2 3 4 6 3" xfId="14655" xr:uid="{00000000-0005-0000-0000-000052390000}"/>
    <cellStyle name="RowTitles-Col2 2 3 4 6 3 2" xfId="14656" xr:uid="{00000000-0005-0000-0000-000053390000}"/>
    <cellStyle name="RowTitles-Col2 2 3 4 6 3 2 2" xfId="14657" xr:uid="{00000000-0005-0000-0000-000054390000}"/>
    <cellStyle name="RowTitles-Col2 2 3 4 6 3 2_Tertiary Salaries Survey" xfId="14658" xr:uid="{00000000-0005-0000-0000-000055390000}"/>
    <cellStyle name="RowTitles-Col2 2 3 4 6 3 3" xfId="14659" xr:uid="{00000000-0005-0000-0000-000056390000}"/>
    <cellStyle name="RowTitles-Col2 2 3 4 6 3_Tertiary Salaries Survey" xfId="14660" xr:uid="{00000000-0005-0000-0000-000057390000}"/>
    <cellStyle name="RowTitles-Col2 2 3 4 6 4" xfId="14661" xr:uid="{00000000-0005-0000-0000-000058390000}"/>
    <cellStyle name="RowTitles-Col2 2 3 4 6 4 2" xfId="14662" xr:uid="{00000000-0005-0000-0000-000059390000}"/>
    <cellStyle name="RowTitles-Col2 2 3 4 6 4_Tertiary Salaries Survey" xfId="14663" xr:uid="{00000000-0005-0000-0000-00005A390000}"/>
    <cellStyle name="RowTitles-Col2 2 3 4 6 5" xfId="14664" xr:uid="{00000000-0005-0000-0000-00005B390000}"/>
    <cellStyle name="RowTitles-Col2 2 3 4 6_Tertiary Salaries Survey" xfId="14665" xr:uid="{00000000-0005-0000-0000-00005C390000}"/>
    <cellStyle name="RowTitles-Col2 2 3 4 7" xfId="14666" xr:uid="{00000000-0005-0000-0000-00005D390000}"/>
    <cellStyle name="RowTitles-Col2 2 3 4 7 2" xfId="14667" xr:uid="{00000000-0005-0000-0000-00005E390000}"/>
    <cellStyle name="RowTitles-Col2 2 3 4 7 2 2" xfId="14668" xr:uid="{00000000-0005-0000-0000-00005F390000}"/>
    <cellStyle name="RowTitles-Col2 2 3 4 7 2_Tertiary Salaries Survey" xfId="14669" xr:uid="{00000000-0005-0000-0000-000060390000}"/>
    <cellStyle name="RowTitles-Col2 2 3 4 7 3" xfId="14670" xr:uid="{00000000-0005-0000-0000-000061390000}"/>
    <cellStyle name="RowTitles-Col2 2 3 4 7_Tertiary Salaries Survey" xfId="14671" xr:uid="{00000000-0005-0000-0000-000062390000}"/>
    <cellStyle name="RowTitles-Col2 2 3 4 8" xfId="14672" xr:uid="{00000000-0005-0000-0000-000063390000}"/>
    <cellStyle name="RowTitles-Col2 2 3 4_STUD aligned by INSTIT" xfId="14673" xr:uid="{00000000-0005-0000-0000-000064390000}"/>
    <cellStyle name="RowTitles-Col2 2 3 5" xfId="14674" xr:uid="{00000000-0005-0000-0000-000065390000}"/>
    <cellStyle name="RowTitles-Col2 2 3 5 2" xfId="14675" xr:uid="{00000000-0005-0000-0000-000066390000}"/>
    <cellStyle name="RowTitles-Col2 2 3 5 2 2" xfId="14676" xr:uid="{00000000-0005-0000-0000-000067390000}"/>
    <cellStyle name="RowTitles-Col2 2 3 5 2 2 2" xfId="14677" xr:uid="{00000000-0005-0000-0000-000068390000}"/>
    <cellStyle name="RowTitles-Col2 2 3 5 2 2_Tertiary Salaries Survey" xfId="14678" xr:uid="{00000000-0005-0000-0000-000069390000}"/>
    <cellStyle name="RowTitles-Col2 2 3 5 2 3" xfId="14679" xr:uid="{00000000-0005-0000-0000-00006A390000}"/>
    <cellStyle name="RowTitles-Col2 2 3 5 2_Tertiary Salaries Survey" xfId="14680" xr:uid="{00000000-0005-0000-0000-00006B390000}"/>
    <cellStyle name="RowTitles-Col2 2 3 5 3" xfId="14681" xr:uid="{00000000-0005-0000-0000-00006C390000}"/>
    <cellStyle name="RowTitles-Col2 2 3 5 3 2" xfId="14682" xr:uid="{00000000-0005-0000-0000-00006D390000}"/>
    <cellStyle name="RowTitles-Col2 2 3 5 3 2 2" xfId="14683" xr:uid="{00000000-0005-0000-0000-00006E390000}"/>
    <cellStyle name="RowTitles-Col2 2 3 5 3 2_Tertiary Salaries Survey" xfId="14684" xr:uid="{00000000-0005-0000-0000-00006F390000}"/>
    <cellStyle name="RowTitles-Col2 2 3 5 3 3" xfId="14685" xr:uid="{00000000-0005-0000-0000-000070390000}"/>
    <cellStyle name="RowTitles-Col2 2 3 5 3_Tertiary Salaries Survey" xfId="14686" xr:uid="{00000000-0005-0000-0000-000071390000}"/>
    <cellStyle name="RowTitles-Col2 2 3 5 4" xfId="14687" xr:uid="{00000000-0005-0000-0000-000072390000}"/>
    <cellStyle name="RowTitles-Col2 2 3 5 5" xfId="14688" xr:uid="{00000000-0005-0000-0000-000073390000}"/>
    <cellStyle name="RowTitles-Col2 2 3 5 5 2" xfId="14689" xr:uid="{00000000-0005-0000-0000-000074390000}"/>
    <cellStyle name="RowTitles-Col2 2 3 5 5_Tertiary Salaries Survey" xfId="14690" xr:uid="{00000000-0005-0000-0000-000075390000}"/>
    <cellStyle name="RowTitles-Col2 2 3 5_Tertiary Salaries Survey" xfId="14691" xr:uid="{00000000-0005-0000-0000-000076390000}"/>
    <cellStyle name="RowTitles-Col2 2 3 6" xfId="14692" xr:uid="{00000000-0005-0000-0000-000077390000}"/>
    <cellStyle name="RowTitles-Col2 2 3 6 2" xfId="14693" xr:uid="{00000000-0005-0000-0000-000078390000}"/>
    <cellStyle name="RowTitles-Col2 2 3 6 2 2" xfId="14694" xr:uid="{00000000-0005-0000-0000-000079390000}"/>
    <cellStyle name="RowTitles-Col2 2 3 6 2 2 2" xfId="14695" xr:uid="{00000000-0005-0000-0000-00007A390000}"/>
    <cellStyle name="RowTitles-Col2 2 3 6 2 2_Tertiary Salaries Survey" xfId="14696" xr:uid="{00000000-0005-0000-0000-00007B390000}"/>
    <cellStyle name="RowTitles-Col2 2 3 6 2 3" xfId="14697" xr:uid="{00000000-0005-0000-0000-00007C390000}"/>
    <cellStyle name="RowTitles-Col2 2 3 6 2_Tertiary Salaries Survey" xfId="14698" xr:uid="{00000000-0005-0000-0000-00007D390000}"/>
    <cellStyle name="RowTitles-Col2 2 3 6 3" xfId="14699" xr:uid="{00000000-0005-0000-0000-00007E390000}"/>
    <cellStyle name="RowTitles-Col2 2 3 6 3 2" xfId="14700" xr:uid="{00000000-0005-0000-0000-00007F390000}"/>
    <cellStyle name="RowTitles-Col2 2 3 6 3 2 2" xfId="14701" xr:uid="{00000000-0005-0000-0000-000080390000}"/>
    <cellStyle name="RowTitles-Col2 2 3 6 3 2_Tertiary Salaries Survey" xfId="14702" xr:uid="{00000000-0005-0000-0000-000081390000}"/>
    <cellStyle name="RowTitles-Col2 2 3 6 3 3" xfId="14703" xr:uid="{00000000-0005-0000-0000-000082390000}"/>
    <cellStyle name="RowTitles-Col2 2 3 6 3_Tertiary Salaries Survey" xfId="14704" xr:uid="{00000000-0005-0000-0000-000083390000}"/>
    <cellStyle name="RowTitles-Col2 2 3 6 4" xfId="14705" xr:uid="{00000000-0005-0000-0000-000084390000}"/>
    <cellStyle name="RowTitles-Col2 2 3 6 5" xfId="14706" xr:uid="{00000000-0005-0000-0000-000085390000}"/>
    <cellStyle name="RowTitles-Col2 2 3 6_Tertiary Salaries Survey" xfId="14707" xr:uid="{00000000-0005-0000-0000-000086390000}"/>
    <cellStyle name="RowTitles-Col2 2 3 7" xfId="14708" xr:uid="{00000000-0005-0000-0000-000087390000}"/>
    <cellStyle name="RowTitles-Col2 2 3 7 2" xfId="14709" xr:uid="{00000000-0005-0000-0000-000088390000}"/>
    <cellStyle name="RowTitles-Col2 2 3 7 2 2" xfId="14710" xr:uid="{00000000-0005-0000-0000-000089390000}"/>
    <cellStyle name="RowTitles-Col2 2 3 7 2 2 2" xfId="14711" xr:uid="{00000000-0005-0000-0000-00008A390000}"/>
    <cellStyle name="RowTitles-Col2 2 3 7 2 2_Tertiary Salaries Survey" xfId="14712" xr:uid="{00000000-0005-0000-0000-00008B390000}"/>
    <cellStyle name="RowTitles-Col2 2 3 7 2 3" xfId="14713" xr:uid="{00000000-0005-0000-0000-00008C390000}"/>
    <cellStyle name="RowTitles-Col2 2 3 7 2_Tertiary Salaries Survey" xfId="14714" xr:uid="{00000000-0005-0000-0000-00008D390000}"/>
    <cellStyle name="RowTitles-Col2 2 3 7 3" xfId="14715" xr:uid="{00000000-0005-0000-0000-00008E390000}"/>
    <cellStyle name="RowTitles-Col2 2 3 7 3 2" xfId="14716" xr:uid="{00000000-0005-0000-0000-00008F390000}"/>
    <cellStyle name="RowTitles-Col2 2 3 7 3 2 2" xfId="14717" xr:uid="{00000000-0005-0000-0000-000090390000}"/>
    <cellStyle name="RowTitles-Col2 2 3 7 3 2_Tertiary Salaries Survey" xfId="14718" xr:uid="{00000000-0005-0000-0000-000091390000}"/>
    <cellStyle name="RowTitles-Col2 2 3 7 3 3" xfId="14719" xr:uid="{00000000-0005-0000-0000-000092390000}"/>
    <cellStyle name="RowTitles-Col2 2 3 7 3_Tertiary Salaries Survey" xfId="14720" xr:uid="{00000000-0005-0000-0000-000093390000}"/>
    <cellStyle name="RowTitles-Col2 2 3 7 4" xfId="14721" xr:uid="{00000000-0005-0000-0000-000094390000}"/>
    <cellStyle name="RowTitles-Col2 2 3 7 5" xfId="14722" xr:uid="{00000000-0005-0000-0000-000095390000}"/>
    <cellStyle name="RowTitles-Col2 2 3 7 5 2" xfId="14723" xr:uid="{00000000-0005-0000-0000-000096390000}"/>
    <cellStyle name="RowTitles-Col2 2 3 7 5_Tertiary Salaries Survey" xfId="14724" xr:uid="{00000000-0005-0000-0000-000097390000}"/>
    <cellStyle name="RowTitles-Col2 2 3 7 6" xfId="14725" xr:uid="{00000000-0005-0000-0000-000098390000}"/>
    <cellStyle name="RowTitles-Col2 2 3 7_Tertiary Salaries Survey" xfId="14726" xr:uid="{00000000-0005-0000-0000-000099390000}"/>
    <cellStyle name="RowTitles-Col2 2 3 8" xfId="14727" xr:uid="{00000000-0005-0000-0000-00009A390000}"/>
    <cellStyle name="RowTitles-Col2 2 3 8 2" xfId="14728" xr:uid="{00000000-0005-0000-0000-00009B390000}"/>
    <cellStyle name="RowTitles-Col2 2 3 8 2 2" xfId="14729" xr:uid="{00000000-0005-0000-0000-00009C390000}"/>
    <cellStyle name="RowTitles-Col2 2 3 8 2 2 2" xfId="14730" xr:uid="{00000000-0005-0000-0000-00009D390000}"/>
    <cellStyle name="RowTitles-Col2 2 3 8 2 2_Tertiary Salaries Survey" xfId="14731" xr:uid="{00000000-0005-0000-0000-00009E390000}"/>
    <cellStyle name="RowTitles-Col2 2 3 8 2 3" xfId="14732" xr:uid="{00000000-0005-0000-0000-00009F390000}"/>
    <cellStyle name="RowTitles-Col2 2 3 8 2_Tertiary Salaries Survey" xfId="14733" xr:uid="{00000000-0005-0000-0000-0000A0390000}"/>
    <cellStyle name="RowTitles-Col2 2 3 8 3" xfId="14734" xr:uid="{00000000-0005-0000-0000-0000A1390000}"/>
    <cellStyle name="RowTitles-Col2 2 3 8 3 2" xfId="14735" xr:uid="{00000000-0005-0000-0000-0000A2390000}"/>
    <cellStyle name="RowTitles-Col2 2 3 8 3 2 2" xfId="14736" xr:uid="{00000000-0005-0000-0000-0000A3390000}"/>
    <cellStyle name="RowTitles-Col2 2 3 8 3 2_Tertiary Salaries Survey" xfId="14737" xr:uid="{00000000-0005-0000-0000-0000A4390000}"/>
    <cellStyle name="RowTitles-Col2 2 3 8 3 3" xfId="14738" xr:uid="{00000000-0005-0000-0000-0000A5390000}"/>
    <cellStyle name="RowTitles-Col2 2 3 8 3_Tertiary Salaries Survey" xfId="14739" xr:uid="{00000000-0005-0000-0000-0000A6390000}"/>
    <cellStyle name="RowTitles-Col2 2 3 8 4" xfId="14740" xr:uid="{00000000-0005-0000-0000-0000A7390000}"/>
    <cellStyle name="RowTitles-Col2 2 3 8 4 2" xfId="14741" xr:uid="{00000000-0005-0000-0000-0000A8390000}"/>
    <cellStyle name="RowTitles-Col2 2 3 8 4_Tertiary Salaries Survey" xfId="14742" xr:uid="{00000000-0005-0000-0000-0000A9390000}"/>
    <cellStyle name="RowTitles-Col2 2 3 8 5" xfId="14743" xr:uid="{00000000-0005-0000-0000-0000AA390000}"/>
    <cellStyle name="RowTitles-Col2 2 3 8_Tertiary Salaries Survey" xfId="14744" xr:uid="{00000000-0005-0000-0000-0000AB390000}"/>
    <cellStyle name="RowTitles-Col2 2 3 9" xfId="14745" xr:uid="{00000000-0005-0000-0000-0000AC390000}"/>
    <cellStyle name="RowTitles-Col2 2 3 9 2" xfId="14746" xr:uid="{00000000-0005-0000-0000-0000AD390000}"/>
    <cellStyle name="RowTitles-Col2 2 3 9 2 2" xfId="14747" xr:uid="{00000000-0005-0000-0000-0000AE390000}"/>
    <cellStyle name="RowTitles-Col2 2 3 9 2 2 2" xfId="14748" xr:uid="{00000000-0005-0000-0000-0000AF390000}"/>
    <cellStyle name="RowTitles-Col2 2 3 9 2 2_Tertiary Salaries Survey" xfId="14749" xr:uid="{00000000-0005-0000-0000-0000B0390000}"/>
    <cellStyle name="RowTitles-Col2 2 3 9 2 3" xfId="14750" xr:uid="{00000000-0005-0000-0000-0000B1390000}"/>
    <cellStyle name="RowTitles-Col2 2 3 9 2_Tertiary Salaries Survey" xfId="14751" xr:uid="{00000000-0005-0000-0000-0000B2390000}"/>
    <cellStyle name="RowTitles-Col2 2 3 9 3" xfId="14752" xr:uid="{00000000-0005-0000-0000-0000B3390000}"/>
    <cellStyle name="RowTitles-Col2 2 3 9 3 2" xfId="14753" xr:uid="{00000000-0005-0000-0000-0000B4390000}"/>
    <cellStyle name="RowTitles-Col2 2 3 9 3 2 2" xfId="14754" xr:uid="{00000000-0005-0000-0000-0000B5390000}"/>
    <cellStyle name="RowTitles-Col2 2 3 9 3 2_Tertiary Salaries Survey" xfId="14755" xr:uid="{00000000-0005-0000-0000-0000B6390000}"/>
    <cellStyle name="RowTitles-Col2 2 3 9 3 3" xfId="14756" xr:uid="{00000000-0005-0000-0000-0000B7390000}"/>
    <cellStyle name="RowTitles-Col2 2 3 9 3_Tertiary Salaries Survey" xfId="14757" xr:uid="{00000000-0005-0000-0000-0000B8390000}"/>
    <cellStyle name="RowTitles-Col2 2 3 9 4" xfId="14758" xr:uid="{00000000-0005-0000-0000-0000B9390000}"/>
    <cellStyle name="RowTitles-Col2 2 3 9 4 2" xfId="14759" xr:uid="{00000000-0005-0000-0000-0000BA390000}"/>
    <cellStyle name="RowTitles-Col2 2 3 9 4_Tertiary Salaries Survey" xfId="14760" xr:uid="{00000000-0005-0000-0000-0000BB390000}"/>
    <cellStyle name="RowTitles-Col2 2 3 9 5" xfId="14761" xr:uid="{00000000-0005-0000-0000-0000BC390000}"/>
    <cellStyle name="RowTitles-Col2 2 3 9_Tertiary Salaries Survey" xfId="14762" xr:uid="{00000000-0005-0000-0000-0000BD390000}"/>
    <cellStyle name="RowTitles-Col2 2 3_STUD aligned by INSTIT" xfId="14763" xr:uid="{00000000-0005-0000-0000-0000BE390000}"/>
    <cellStyle name="RowTitles-Col2 2 4" xfId="14764" xr:uid="{00000000-0005-0000-0000-0000BF390000}"/>
    <cellStyle name="RowTitles-Col2 2 4 2" xfId="14765" xr:uid="{00000000-0005-0000-0000-0000C0390000}"/>
    <cellStyle name="RowTitles-Col2 2 4 2 2" xfId="14766" xr:uid="{00000000-0005-0000-0000-0000C1390000}"/>
    <cellStyle name="RowTitles-Col2 2 4 2 2 2" xfId="14767" xr:uid="{00000000-0005-0000-0000-0000C2390000}"/>
    <cellStyle name="RowTitles-Col2 2 4 2 2 2 2" xfId="14768" xr:uid="{00000000-0005-0000-0000-0000C3390000}"/>
    <cellStyle name="RowTitles-Col2 2 4 2 2 2_Tertiary Salaries Survey" xfId="14769" xr:uid="{00000000-0005-0000-0000-0000C4390000}"/>
    <cellStyle name="RowTitles-Col2 2 4 2 2 3" xfId="14770" xr:uid="{00000000-0005-0000-0000-0000C5390000}"/>
    <cellStyle name="RowTitles-Col2 2 4 2 2_Tertiary Salaries Survey" xfId="14771" xr:uid="{00000000-0005-0000-0000-0000C6390000}"/>
    <cellStyle name="RowTitles-Col2 2 4 2 3" xfId="14772" xr:uid="{00000000-0005-0000-0000-0000C7390000}"/>
    <cellStyle name="RowTitles-Col2 2 4 2 3 2" xfId="14773" xr:uid="{00000000-0005-0000-0000-0000C8390000}"/>
    <cellStyle name="RowTitles-Col2 2 4 2 3 2 2" xfId="14774" xr:uid="{00000000-0005-0000-0000-0000C9390000}"/>
    <cellStyle name="RowTitles-Col2 2 4 2 3 2_Tertiary Salaries Survey" xfId="14775" xr:uid="{00000000-0005-0000-0000-0000CA390000}"/>
    <cellStyle name="RowTitles-Col2 2 4 2 3 3" xfId="14776" xr:uid="{00000000-0005-0000-0000-0000CB390000}"/>
    <cellStyle name="RowTitles-Col2 2 4 2 3_Tertiary Salaries Survey" xfId="14777" xr:uid="{00000000-0005-0000-0000-0000CC390000}"/>
    <cellStyle name="RowTitles-Col2 2 4 2 4" xfId="14778" xr:uid="{00000000-0005-0000-0000-0000CD390000}"/>
    <cellStyle name="RowTitles-Col2 2 4 2_Tertiary Salaries Survey" xfId="14779" xr:uid="{00000000-0005-0000-0000-0000CE390000}"/>
    <cellStyle name="RowTitles-Col2 2 4 3" xfId="14780" xr:uid="{00000000-0005-0000-0000-0000CF390000}"/>
    <cellStyle name="RowTitles-Col2 2 4 3 2" xfId="14781" xr:uid="{00000000-0005-0000-0000-0000D0390000}"/>
    <cellStyle name="RowTitles-Col2 2 4 3 2 2" xfId="14782" xr:uid="{00000000-0005-0000-0000-0000D1390000}"/>
    <cellStyle name="RowTitles-Col2 2 4 3 2 2 2" xfId="14783" xr:uid="{00000000-0005-0000-0000-0000D2390000}"/>
    <cellStyle name="RowTitles-Col2 2 4 3 2 2_Tertiary Salaries Survey" xfId="14784" xr:uid="{00000000-0005-0000-0000-0000D3390000}"/>
    <cellStyle name="RowTitles-Col2 2 4 3 2 3" xfId="14785" xr:uid="{00000000-0005-0000-0000-0000D4390000}"/>
    <cellStyle name="RowTitles-Col2 2 4 3 2_Tertiary Salaries Survey" xfId="14786" xr:uid="{00000000-0005-0000-0000-0000D5390000}"/>
    <cellStyle name="RowTitles-Col2 2 4 3 3" xfId="14787" xr:uid="{00000000-0005-0000-0000-0000D6390000}"/>
    <cellStyle name="RowTitles-Col2 2 4 3 3 2" xfId="14788" xr:uid="{00000000-0005-0000-0000-0000D7390000}"/>
    <cellStyle name="RowTitles-Col2 2 4 3 3 2 2" xfId="14789" xr:uid="{00000000-0005-0000-0000-0000D8390000}"/>
    <cellStyle name="RowTitles-Col2 2 4 3 3 2_Tertiary Salaries Survey" xfId="14790" xr:uid="{00000000-0005-0000-0000-0000D9390000}"/>
    <cellStyle name="RowTitles-Col2 2 4 3 3 3" xfId="14791" xr:uid="{00000000-0005-0000-0000-0000DA390000}"/>
    <cellStyle name="RowTitles-Col2 2 4 3 3_Tertiary Salaries Survey" xfId="14792" xr:uid="{00000000-0005-0000-0000-0000DB390000}"/>
    <cellStyle name="RowTitles-Col2 2 4 3 4" xfId="14793" xr:uid="{00000000-0005-0000-0000-0000DC390000}"/>
    <cellStyle name="RowTitles-Col2 2 4 3 5" xfId="14794" xr:uid="{00000000-0005-0000-0000-0000DD390000}"/>
    <cellStyle name="RowTitles-Col2 2 4 3 5 2" xfId="14795" xr:uid="{00000000-0005-0000-0000-0000DE390000}"/>
    <cellStyle name="RowTitles-Col2 2 4 3 5_Tertiary Salaries Survey" xfId="14796" xr:uid="{00000000-0005-0000-0000-0000DF390000}"/>
    <cellStyle name="RowTitles-Col2 2 4 3 6" xfId="14797" xr:uid="{00000000-0005-0000-0000-0000E0390000}"/>
    <cellStyle name="RowTitles-Col2 2 4 3_Tertiary Salaries Survey" xfId="14798" xr:uid="{00000000-0005-0000-0000-0000E1390000}"/>
    <cellStyle name="RowTitles-Col2 2 4 4" xfId="14799" xr:uid="{00000000-0005-0000-0000-0000E2390000}"/>
    <cellStyle name="RowTitles-Col2 2 4 4 2" xfId="14800" xr:uid="{00000000-0005-0000-0000-0000E3390000}"/>
    <cellStyle name="RowTitles-Col2 2 4 4 2 2" xfId="14801" xr:uid="{00000000-0005-0000-0000-0000E4390000}"/>
    <cellStyle name="RowTitles-Col2 2 4 4 2 2 2" xfId="14802" xr:uid="{00000000-0005-0000-0000-0000E5390000}"/>
    <cellStyle name="RowTitles-Col2 2 4 4 2 2_Tertiary Salaries Survey" xfId="14803" xr:uid="{00000000-0005-0000-0000-0000E6390000}"/>
    <cellStyle name="RowTitles-Col2 2 4 4 2 3" xfId="14804" xr:uid="{00000000-0005-0000-0000-0000E7390000}"/>
    <cellStyle name="RowTitles-Col2 2 4 4 2_Tertiary Salaries Survey" xfId="14805" xr:uid="{00000000-0005-0000-0000-0000E8390000}"/>
    <cellStyle name="RowTitles-Col2 2 4 4 3" xfId="14806" xr:uid="{00000000-0005-0000-0000-0000E9390000}"/>
    <cellStyle name="RowTitles-Col2 2 4 4 3 2" xfId="14807" xr:uid="{00000000-0005-0000-0000-0000EA390000}"/>
    <cellStyle name="RowTitles-Col2 2 4 4 3 2 2" xfId="14808" xr:uid="{00000000-0005-0000-0000-0000EB390000}"/>
    <cellStyle name="RowTitles-Col2 2 4 4 3 2_Tertiary Salaries Survey" xfId="14809" xr:uid="{00000000-0005-0000-0000-0000EC390000}"/>
    <cellStyle name="RowTitles-Col2 2 4 4 3 3" xfId="14810" xr:uid="{00000000-0005-0000-0000-0000ED390000}"/>
    <cellStyle name="RowTitles-Col2 2 4 4 3_Tertiary Salaries Survey" xfId="14811" xr:uid="{00000000-0005-0000-0000-0000EE390000}"/>
    <cellStyle name="RowTitles-Col2 2 4 4 4" xfId="14812" xr:uid="{00000000-0005-0000-0000-0000EF390000}"/>
    <cellStyle name="RowTitles-Col2 2 4 4 4 2" xfId="14813" xr:uid="{00000000-0005-0000-0000-0000F0390000}"/>
    <cellStyle name="RowTitles-Col2 2 4 4 4_Tertiary Salaries Survey" xfId="14814" xr:uid="{00000000-0005-0000-0000-0000F1390000}"/>
    <cellStyle name="RowTitles-Col2 2 4 4 5" xfId="14815" xr:uid="{00000000-0005-0000-0000-0000F2390000}"/>
    <cellStyle name="RowTitles-Col2 2 4 4_Tertiary Salaries Survey" xfId="14816" xr:uid="{00000000-0005-0000-0000-0000F3390000}"/>
    <cellStyle name="RowTitles-Col2 2 4 5" xfId="14817" xr:uid="{00000000-0005-0000-0000-0000F4390000}"/>
    <cellStyle name="RowTitles-Col2 2 4 5 2" xfId="14818" xr:uid="{00000000-0005-0000-0000-0000F5390000}"/>
    <cellStyle name="RowTitles-Col2 2 4 5 2 2" xfId="14819" xr:uid="{00000000-0005-0000-0000-0000F6390000}"/>
    <cellStyle name="RowTitles-Col2 2 4 5 2 2 2" xfId="14820" xr:uid="{00000000-0005-0000-0000-0000F7390000}"/>
    <cellStyle name="RowTitles-Col2 2 4 5 2 2_Tertiary Salaries Survey" xfId="14821" xr:uid="{00000000-0005-0000-0000-0000F8390000}"/>
    <cellStyle name="RowTitles-Col2 2 4 5 2 3" xfId="14822" xr:uid="{00000000-0005-0000-0000-0000F9390000}"/>
    <cellStyle name="RowTitles-Col2 2 4 5 2_Tertiary Salaries Survey" xfId="14823" xr:uid="{00000000-0005-0000-0000-0000FA390000}"/>
    <cellStyle name="RowTitles-Col2 2 4 5 3" xfId="14824" xr:uid="{00000000-0005-0000-0000-0000FB390000}"/>
    <cellStyle name="RowTitles-Col2 2 4 5 3 2" xfId="14825" xr:uid="{00000000-0005-0000-0000-0000FC390000}"/>
    <cellStyle name="RowTitles-Col2 2 4 5 3 2 2" xfId="14826" xr:uid="{00000000-0005-0000-0000-0000FD390000}"/>
    <cellStyle name="RowTitles-Col2 2 4 5 3 2_Tertiary Salaries Survey" xfId="14827" xr:uid="{00000000-0005-0000-0000-0000FE390000}"/>
    <cellStyle name="RowTitles-Col2 2 4 5 3 3" xfId="14828" xr:uid="{00000000-0005-0000-0000-0000FF390000}"/>
    <cellStyle name="RowTitles-Col2 2 4 5 3_Tertiary Salaries Survey" xfId="14829" xr:uid="{00000000-0005-0000-0000-0000003A0000}"/>
    <cellStyle name="RowTitles-Col2 2 4 5 4" xfId="14830" xr:uid="{00000000-0005-0000-0000-0000013A0000}"/>
    <cellStyle name="RowTitles-Col2 2 4 5 4 2" xfId="14831" xr:uid="{00000000-0005-0000-0000-0000023A0000}"/>
    <cellStyle name="RowTitles-Col2 2 4 5 4_Tertiary Salaries Survey" xfId="14832" xr:uid="{00000000-0005-0000-0000-0000033A0000}"/>
    <cellStyle name="RowTitles-Col2 2 4 5 5" xfId="14833" xr:uid="{00000000-0005-0000-0000-0000043A0000}"/>
    <cellStyle name="RowTitles-Col2 2 4 5_Tertiary Salaries Survey" xfId="14834" xr:uid="{00000000-0005-0000-0000-0000053A0000}"/>
    <cellStyle name="RowTitles-Col2 2 4 6" xfId="14835" xr:uid="{00000000-0005-0000-0000-0000063A0000}"/>
    <cellStyle name="RowTitles-Col2 2 4 6 2" xfId="14836" xr:uid="{00000000-0005-0000-0000-0000073A0000}"/>
    <cellStyle name="RowTitles-Col2 2 4 6 2 2" xfId="14837" xr:uid="{00000000-0005-0000-0000-0000083A0000}"/>
    <cellStyle name="RowTitles-Col2 2 4 6 2 2 2" xfId="14838" xr:uid="{00000000-0005-0000-0000-0000093A0000}"/>
    <cellStyle name="RowTitles-Col2 2 4 6 2 2_Tertiary Salaries Survey" xfId="14839" xr:uid="{00000000-0005-0000-0000-00000A3A0000}"/>
    <cellStyle name="RowTitles-Col2 2 4 6 2 3" xfId="14840" xr:uid="{00000000-0005-0000-0000-00000B3A0000}"/>
    <cellStyle name="RowTitles-Col2 2 4 6 2_Tertiary Salaries Survey" xfId="14841" xr:uid="{00000000-0005-0000-0000-00000C3A0000}"/>
    <cellStyle name="RowTitles-Col2 2 4 6 3" xfId="14842" xr:uid="{00000000-0005-0000-0000-00000D3A0000}"/>
    <cellStyle name="RowTitles-Col2 2 4 6 3 2" xfId="14843" xr:uid="{00000000-0005-0000-0000-00000E3A0000}"/>
    <cellStyle name="RowTitles-Col2 2 4 6 3 2 2" xfId="14844" xr:uid="{00000000-0005-0000-0000-00000F3A0000}"/>
    <cellStyle name="RowTitles-Col2 2 4 6 3 2_Tertiary Salaries Survey" xfId="14845" xr:uid="{00000000-0005-0000-0000-0000103A0000}"/>
    <cellStyle name="RowTitles-Col2 2 4 6 3 3" xfId="14846" xr:uid="{00000000-0005-0000-0000-0000113A0000}"/>
    <cellStyle name="RowTitles-Col2 2 4 6 3_Tertiary Salaries Survey" xfId="14847" xr:uid="{00000000-0005-0000-0000-0000123A0000}"/>
    <cellStyle name="RowTitles-Col2 2 4 6 4" xfId="14848" xr:uid="{00000000-0005-0000-0000-0000133A0000}"/>
    <cellStyle name="RowTitles-Col2 2 4 6 4 2" xfId="14849" xr:uid="{00000000-0005-0000-0000-0000143A0000}"/>
    <cellStyle name="RowTitles-Col2 2 4 6 4_Tertiary Salaries Survey" xfId="14850" xr:uid="{00000000-0005-0000-0000-0000153A0000}"/>
    <cellStyle name="RowTitles-Col2 2 4 6 5" xfId="14851" xr:uid="{00000000-0005-0000-0000-0000163A0000}"/>
    <cellStyle name="RowTitles-Col2 2 4 6_Tertiary Salaries Survey" xfId="14852" xr:uid="{00000000-0005-0000-0000-0000173A0000}"/>
    <cellStyle name="RowTitles-Col2 2 4 7" xfId="14853" xr:uid="{00000000-0005-0000-0000-0000183A0000}"/>
    <cellStyle name="RowTitles-Col2 2 4 7 2" xfId="14854" xr:uid="{00000000-0005-0000-0000-0000193A0000}"/>
    <cellStyle name="RowTitles-Col2 2 4 7 2 2" xfId="14855" xr:uid="{00000000-0005-0000-0000-00001A3A0000}"/>
    <cellStyle name="RowTitles-Col2 2 4 7 2_Tertiary Salaries Survey" xfId="14856" xr:uid="{00000000-0005-0000-0000-00001B3A0000}"/>
    <cellStyle name="RowTitles-Col2 2 4 7 3" xfId="14857" xr:uid="{00000000-0005-0000-0000-00001C3A0000}"/>
    <cellStyle name="RowTitles-Col2 2 4 7_Tertiary Salaries Survey" xfId="14858" xr:uid="{00000000-0005-0000-0000-00001D3A0000}"/>
    <cellStyle name="RowTitles-Col2 2 4 8" xfId="14859" xr:uid="{00000000-0005-0000-0000-00001E3A0000}"/>
    <cellStyle name="RowTitles-Col2 2 4_STUD aligned by INSTIT" xfId="14860" xr:uid="{00000000-0005-0000-0000-00001F3A0000}"/>
    <cellStyle name="RowTitles-Col2 2 5" xfId="14861" xr:uid="{00000000-0005-0000-0000-0000203A0000}"/>
    <cellStyle name="RowTitles-Col2 2 5 2" xfId="14862" xr:uid="{00000000-0005-0000-0000-0000213A0000}"/>
    <cellStyle name="RowTitles-Col2 2 5 2 2" xfId="14863" xr:uid="{00000000-0005-0000-0000-0000223A0000}"/>
    <cellStyle name="RowTitles-Col2 2 5 2 2 2" xfId="14864" xr:uid="{00000000-0005-0000-0000-0000233A0000}"/>
    <cellStyle name="RowTitles-Col2 2 5 2 2 2 2" xfId="14865" xr:uid="{00000000-0005-0000-0000-0000243A0000}"/>
    <cellStyle name="RowTitles-Col2 2 5 2 2 2_Tertiary Salaries Survey" xfId="14866" xr:uid="{00000000-0005-0000-0000-0000253A0000}"/>
    <cellStyle name="RowTitles-Col2 2 5 2 2 3" xfId="14867" xr:uid="{00000000-0005-0000-0000-0000263A0000}"/>
    <cellStyle name="RowTitles-Col2 2 5 2 2_Tertiary Salaries Survey" xfId="14868" xr:uid="{00000000-0005-0000-0000-0000273A0000}"/>
    <cellStyle name="RowTitles-Col2 2 5 2 3" xfId="14869" xr:uid="{00000000-0005-0000-0000-0000283A0000}"/>
    <cellStyle name="RowTitles-Col2 2 5 2 3 2" xfId="14870" xr:uid="{00000000-0005-0000-0000-0000293A0000}"/>
    <cellStyle name="RowTitles-Col2 2 5 2 3 2 2" xfId="14871" xr:uid="{00000000-0005-0000-0000-00002A3A0000}"/>
    <cellStyle name="RowTitles-Col2 2 5 2 3 2_Tertiary Salaries Survey" xfId="14872" xr:uid="{00000000-0005-0000-0000-00002B3A0000}"/>
    <cellStyle name="RowTitles-Col2 2 5 2 3 3" xfId="14873" xr:uid="{00000000-0005-0000-0000-00002C3A0000}"/>
    <cellStyle name="RowTitles-Col2 2 5 2 3_Tertiary Salaries Survey" xfId="14874" xr:uid="{00000000-0005-0000-0000-00002D3A0000}"/>
    <cellStyle name="RowTitles-Col2 2 5 2 4" xfId="14875" xr:uid="{00000000-0005-0000-0000-00002E3A0000}"/>
    <cellStyle name="RowTitles-Col2 2 5 2 5" xfId="14876" xr:uid="{00000000-0005-0000-0000-00002F3A0000}"/>
    <cellStyle name="RowTitles-Col2 2 5 2 5 2" xfId="14877" xr:uid="{00000000-0005-0000-0000-0000303A0000}"/>
    <cellStyle name="RowTitles-Col2 2 5 2 5_Tertiary Salaries Survey" xfId="14878" xr:uid="{00000000-0005-0000-0000-0000313A0000}"/>
    <cellStyle name="RowTitles-Col2 2 5 2 6" xfId="14879" xr:uid="{00000000-0005-0000-0000-0000323A0000}"/>
    <cellStyle name="RowTitles-Col2 2 5 2_Tertiary Salaries Survey" xfId="14880" xr:uid="{00000000-0005-0000-0000-0000333A0000}"/>
    <cellStyle name="RowTitles-Col2 2 5 3" xfId="14881" xr:uid="{00000000-0005-0000-0000-0000343A0000}"/>
    <cellStyle name="RowTitles-Col2 2 5 3 2" xfId="14882" xr:uid="{00000000-0005-0000-0000-0000353A0000}"/>
    <cellStyle name="RowTitles-Col2 2 5 3 2 2" xfId="14883" xr:uid="{00000000-0005-0000-0000-0000363A0000}"/>
    <cellStyle name="RowTitles-Col2 2 5 3 2 2 2" xfId="14884" xr:uid="{00000000-0005-0000-0000-0000373A0000}"/>
    <cellStyle name="RowTitles-Col2 2 5 3 2 2_Tertiary Salaries Survey" xfId="14885" xr:uid="{00000000-0005-0000-0000-0000383A0000}"/>
    <cellStyle name="RowTitles-Col2 2 5 3 2 3" xfId="14886" xr:uid="{00000000-0005-0000-0000-0000393A0000}"/>
    <cellStyle name="RowTitles-Col2 2 5 3 2_Tertiary Salaries Survey" xfId="14887" xr:uid="{00000000-0005-0000-0000-00003A3A0000}"/>
    <cellStyle name="RowTitles-Col2 2 5 3 3" xfId="14888" xr:uid="{00000000-0005-0000-0000-00003B3A0000}"/>
    <cellStyle name="RowTitles-Col2 2 5 3 3 2" xfId="14889" xr:uid="{00000000-0005-0000-0000-00003C3A0000}"/>
    <cellStyle name="RowTitles-Col2 2 5 3 3 2 2" xfId="14890" xr:uid="{00000000-0005-0000-0000-00003D3A0000}"/>
    <cellStyle name="RowTitles-Col2 2 5 3 3 2_Tertiary Salaries Survey" xfId="14891" xr:uid="{00000000-0005-0000-0000-00003E3A0000}"/>
    <cellStyle name="RowTitles-Col2 2 5 3 3 3" xfId="14892" xr:uid="{00000000-0005-0000-0000-00003F3A0000}"/>
    <cellStyle name="RowTitles-Col2 2 5 3 3_Tertiary Salaries Survey" xfId="14893" xr:uid="{00000000-0005-0000-0000-0000403A0000}"/>
    <cellStyle name="RowTitles-Col2 2 5 3 4" xfId="14894" xr:uid="{00000000-0005-0000-0000-0000413A0000}"/>
    <cellStyle name="RowTitles-Col2 2 5 3_Tertiary Salaries Survey" xfId="14895" xr:uid="{00000000-0005-0000-0000-0000423A0000}"/>
    <cellStyle name="RowTitles-Col2 2 5 4" xfId="14896" xr:uid="{00000000-0005-0000-0000-0000433A0000}"/>
    <cellStyle name="RowTitles-Col2 2 5 4 2" xfId="14897" xr:uid="{00000000-0005-0000-0000-0000443A0000}"/>
    <cellStyle name="RowTitles-Col2 2 5 4 2 2" xfId="14898" xr:uid="{00000000-0005-0000-0000-0000453A0000}"/>
    <cellStyle name="RowTitles-Col2 2 5 4 2 2 2" xfId="14899" xr:uid="{00000000-0005-0000-0000-0000463A0000}"/>
    <cellStyle name="RowTitles-Col2 2 5 4 2 2_Tertiary Salaries Survey" xfId="14900" xr:uid="{00000000-0005-0000-0000-0000473A0000}"/>
    <cellStyle name="RowTitles-Col2 2 5 4 2 3" xfId="14901" xr:uid="{00000000-0005-0000-0000-0000483A0000}"/>
    <cellStyle name="RowTitles-Col2 2 5 4 2_Tertiary Salaries Survey" xfId="14902" xr:uid="{00000000-0005-0000-0000-0000493A0000}"/>
    <cellStyle name="RowTitles-Col2 2 5 4 3" xfId="14903" xr:uid="{00000000-0005-0000-0000-00004A3A0000}"/>
    <cellStyle name="RowTitles-Col2 2 5 4 3 2" xfId="14904" xr:uid="{00000000-0005-0000-0000-00004B3A0000}"/>
    <cellStyle name="RowTitles-Col2 2 5 4 3 2 2" xfId="14905" xr:uid="{00000000-0005-0000-0000-00004C3A0000}"/>
    <cellStyle name="RowTitles-Col2 2 5 4 3 2_Tertiary Salaries Survey" xfId="14906" xr:uid="{00000000-0005-0000-0000-00004D3A0000}"/>
    <cellStyle name="RowTitles-Col2 2 5 4 3 3" xfId="14907" xr:uid="{00000000-0005-0000-0000-00004E3A0000}"/>
    <cellStyle name="RowTitles-Col2 2 5 4 3_Tertiary Salaries Survey" xfId="14908" xr:uid="{00000000-0005-0000-0000-00004F3A0000}"/>
    <cellStyle name="RowTitles-Col2 2 5 4 4" xfId="14909" xr:uid="{00000000-0005-0000-0000-0000503A0000}"/>
    <cellStyle name="RowTitles-Col2 2 5 4 4 2" xfId="14910" xr:uid="{00000000-0005-0000-0000-0000513A0000}"/>
    <cellStyle name="RowTitles-Col2 2 5 4 4_Tertiary Salaries Survey" xfId="14911" xr:uid="{00000000-0005-0000-0000-0000523A0000}"/>
    <cellStyle name="RowTitles-Col2 2 5 4 5" xfId="14912" xr:uid="{00000000-0005-0000-0000-0000533A0000}"/>
    <cellStyle name="RowTitles-Col2 2 5 4_Tertiary Salaries Survey" xfId="14913" xr:uid="{00000000-0005-0000-0000-0000543A0000}"/>
    <cellStyle name="RowTitles-Col2 2 5 5" xfId="14914" xr:uid="{00000000-0005-0000-0000-0000553A0000}"/>
    <cellStyle name="RowTitles-Col2 2 5 5 2" xfId="14915" xr:uid="{00000000-0005-0000-0000-0000563A0000}"/>
    <cellStyle name="RowTitles-Col2 2 5 5 2 2" xfId="14916" xr:uid="{00000000-0005-0000-0000-0000573A0000}"/>
    <cellStyle name="RowTitles-Col2 2 5 5 2 2 2" xfId="14917" xr:uid="{00000000-0005-0000-0000-0000583A0000}"/>
    <cellStyle name="RowTitles-Col2 2 5 5 2 2_Tertiary Salaries Survey" xfId="14918" xr:uid="{00000000-0005-0000-0000-0000593A0000}"/>
    <cellStyle name="RowTitles-Col2 2 5 5 2 3" xfId="14919" xr:uid="{00000000-0005-0000-0000-00005A3A0000}"/>
    <cellStyle name="RowTitles-Col2 2 5 5 2_Tertiary Salaries Survey" xfId="14920" xr:uid="{00000000-0005-0000-0000-00005B3A0000}"/>
    <cellStyle name="RowTitles-Col2 2 5 5 3" xfId="14921" xr:uid="{00000000-0005-0000-0000-00005C3A0000}"/>
    <cellStyle name="RowTitles-Col2 2 5 5 3 2" xfId="14922" xr:uid="{00000000-0005-0000-0000-00005D3A0000}"/>
    <cellStyle name="RowTitles-Col2 2 5 5 3 2 2" xfId="14923" xr:uid="{00000000-0005-0000-0000-00005E3A0000}"/>
    <cellStyle name="RowTitles-Col2 2 5 5 3 2_Tertiary Salaries Survey" xfId="14924" xr:uid="{00000000-0005-0000-0000-00005F3A0000}"/>
    <cellStyle name="RowTitles-Col2 2 5 5 3 3" xfId="14925" xr:uid="{00000000-0005-0000-0000-0000603A0000}"/>
    <cellStyle name="RowTitles-Col2 2 5 5 3_Tertiary Salaries Survey" xfId="14926" xr:uid="{00000000-0005-0000-0000-0000613A0000}"/>
    <cellStyle name="RowTitles-Col2 2 5 5 4" xfId="14927" xr:uid="{00000000-0005-0000-0000-0000623A0000}"/>
    <cellStyle name="RowTitles-Col2 2 5 5 4 2" xfId="14928" xr:uid="{00000000-0005-0000-0000-0000633A0000}"/>
    <cellStyle name="RowTitles-Col2 2 5 5 4_Tertiary Salaries Survey" xfId="14929" xr:uid="{00000000-0005-0000-0000-0000643A0000}"/>
    <cellStyle name="RowTitles-Col2 2 5 5 5" xfId="14930" xr:uid="{00000000-0005-0000-0000-0000653A0000}"/>
    <cellStyle name="RowTitles-Col2 2 5 5_Tertiary Salaries Survey" xfId="14931" xr:uid="{00000000-0005-0000-0000-0000663A0000}"/>
    <cellStyle name="RowTitles-Col2 2 5 6" xfId="14932" xr:uid="{00000000-0005-0000-0000-0000673A0000}"/>
    <cellStyle name="RowTitles-Col2 2 5 6 2" xfId="14933" xr:uid="{00000000-0005-0000-0000-0000683A0000}"/>
    <cellStyle name="RowTitles-Col2 2 5 6 2 2" xfId="14934" xr:uid="{00000000-0005-0000-0000-0000693A0000}"/>
    <cellStyle name="RowTitles-Col2 2 5 6 2 2 2" xfId="14935" xr:uid="{00000000-0005-0000-0000-00006A3A0000}"/>
    <cellStyle name="RowTitles-Col2 2 5 6 2 2_Tertiary Salaries Survey" xfId="14936" xr:uid="{00000000-0005-0000-0000-00006B3A0000}"/>
    <cellStyle name="RowTitles-Col2 2 5 6 2 3" xfId="14937" xr:uid="{00000000-0005-0000-0000-00006C3A0000}"/>
    <cellStyle name="RowTitles-Col2 2 5 6 2_Tertiary Salaries Survey" xfId="14938" xr:uid="{00000000-0005-0000-0000-00006D3A0000}"/>
    <cellStyle name="RowTitles-Col2 2 5 6 3" xfId="14939" xr:uid="{00000000-0005-0000-0000-00006E3A0000}"/>
    <cellStyle name="RowTitles-Col2 2 5 6 3 2" xfId="14940" xr:uid="{00000000-0005-0000-0000-00006F3A0000}"/>
    <cellStyle name="RowTitles-Col2 2 5 6 3 2 2" xfId="14941" xr:uid="{00000000-0005-0000-0000-0000703A0000}"/>
    <cellStyle name="RowTitles-Col2 2 5 6 3 2_Tertiary Salaries Survey" xfId="14942" xr:uid="{00000000-0005-0000-0000-0000713A0000}"/>
    <cellStyle name="RowTitles-Col2 2 5 6 3 3" xfId="14943" xr:uid="{00000000-0005-0000-0000-0000723A0000}"/>
    <cellStyle name="RowTitles-Col2 2 5 6 3_Tertiary Salaries Survey" xfId="14944" xr:uid="{00000000-0005-0000-0000-0000733A0000}"/>
    <cellStyle name="RowTitles-Col2 2 5 6 4" xfId="14945" xr:uid="{00000000-0005-0000-0000-0000743A0000}"/>
    <cellStyle name="RowTitles-Col2 2 5 6 4 2" xfId="14946" xr:uid="{00000000-0005-0000-0000-0000753A0000}"/>
    <cellStyle name="RowTitles-Col2 2 5 6 4_Tertiary Salaries Survey" xfId="14947" xr:uid="{00000000-0005-0000-0000-0000763A0000}"/>
    <cellStyle name="RowTitles-Col2 2 5 6 5" xfId="14948" xr:uid="{00000000-0005-0000-0000-0000773A0000}"/>
    <cellStyle name="RowTitles-Col2 2 5 6_Tertiary Salaries Survey" xfId="14949" xr:uid="{00000000-0005-0000-0000-0000783A0000}"/>
    <cellStyle name="RowTitles-Col2 2 5 7" xfId="14950" xr:uid="{00000000-0005-0000-0000-0000793A0000}"/>
    <cellStyle name="RowTitles-Col2 2 5 7 2" xfId="14951" xr:uid="{00000000-0005-0000-0000-00007A3A0000}"/>
    <cellStyle name="RowTitles-Col2 2 5 7 2 2" xfId="14952" xr:uid="{00000000-0005-0000-0000-00007B3A0000}"/>
    <cellStyle name="RowTitles-Col2 2 5 7 2_Tertiary Salaries Survey" xfId="14953" xr:uid="{00000000-0005-0000-0000-00007C3A0000}"/>
    <cellStyle name="RowTitles-Col2 2 5 7 3" xfId="14954" xr:uid="{00000000-0005-0000-0000-00007D3A0000}"/>
    <cellStyle name="RowTitles-Col2 2 5 7_Tertiary Salaries Survey" xfId="14955" xr:uid="{00000000-0005-0000-0000-00007E3A0000}"/>
    <cellStyle name="RowTitles-Col2 2 5 8" xfId="14956" xr:uid="{00000000-0005-0000-0000-00007F3A0000}"/>
    <cellStyle name="RowTitles-Col2 2 5 8 2" xfId="14957" xr:uid="{00000000-0005-0000-0000-0000803A0000}"/>
    <cellStyle name="RowTitles-Col2 2 5 8 2 2" xfId="14958" xr:uid="{00000000-0005-0000-0000-0000813A0000}"/>
    <cellStyle name="RowTitles-Col2 2 5 8 2_Tertiary Salaries Survey" xfId="14959" xr:uid="{00000000-0005-0000-0000-0000823A0000}"/>
    <cellStyle name="RowTitles-Col2 2 5 8 3" xfId="14960" xr:uid="{00000000-0005-0000-0000-0000833A0000}"/>
    <cellStyle name="RowTitles-Col2 2 5 8_Tertiary Salaries Survey" xfId="14961" xr:uid="{00000000-0005-0000-0000-0000843A0000}"/>
    <cellStyle name="RowTitles-Col2 2 5_STUD aligned by INSTIT" xfId="14962" xr:uid="{00000000-0005-0000-0000-0000853A0000}"/>
    <cellStyle name="RowTitles-Col2 2 6" xfId="14963" xr:uid="{00000000-0005-0000-0000-0000863A0000}"/>
    <cellStyle name="RowTitles-Col2 2 6 2" xfId="14964" xr:uid="{00000000-0005-0000-0000-0000873A0000}"/>
    <cellStyle name="RowTitles-Col2 2 6 2 2" xfId="14965" xr:uid="{00000000-0005-0000-0000-0000883A0000}"/>
    <cellStyle name="RowTitles-Col2 2 6 2 2 2" xfId="14966" xr:uid="{00000000-0005-0000-0000-0000893A0000}"/>
    <cellStyle name="RowTitles-Col2 2 6 2 2 2 2" xfId="14967" xr:uid="{00000000-0005-0000-0000-00008A3A0000}"/>
    <cellStyle name="RowTitles-Col2 2 6 2 2 2_Tertiary Salaries Survey" xfId="14968" xr:uid="{00000000-0005-0000-0000-00008B3A0000}"/>
    <cellStyle name="RowTitles-Col2 2 6 2 2 3" xfId="14969" xr:uid="{00000000-0005-0000-0000-00008C3A0000}"/>
    <cellStyle name="RowTitles-Col2 2 6 2 2_Tertiary Salaries Survey" xfId="14970" xr:uid="{00000000-0005-0000-0000-00008D3A0000}"/>
    <cellStyle name="RowTitles-Col2 2 6 2 3" xfId="14971" xr:uid="{00000000-0005-0000-0000-00008E3A0000}"/>
    <cellStyle name="RowTitles-Col2 2 6 2 3 2" xfId="14972" xr:uid="{00000000-0005-0000-0000-00008F3A0000}"/>
    <cellStyle name="RowTitles-Col2 2 6 2 3 2 2" xfId="14973" xr:uid="{00000000-0005-0000-0000-0000903A0000}"/>
    <cellStyle name="RowTitles-Col2 2 6 2 3 2_Tertiary Salaries Survey" xfId="14974" xr:uid="{00000000-0005-0000-0000-0000913A0000}"/>
    <cellStyle name="RowTitles-Col2 2 6 2 3 3" xfId="14975" xr:uid="{00000000-0005-0000-0000-0000923A0000}"/>
    <cellStyle name="RowTitles-Col2 2 6 2 3_Tertiary Salaries Survey" xfId="14976" xr:uid="{00000000-0005-0000-0000-0000933A0000}"/>
    <cellStyle name="RowTitles-Col2 2 6 2 4" xfId="14977" xr:uid="{00000000-0005-0000-0000-0000943A0000}"/>
    <cellStyle name="RowTitles-Col2 2 6 2 5" xfId="14978" xr:uid="{00000000-0005-0000-0000-0000953A0000}"/>
    <cellStyle name="RowTitles-Col2 2 6 2 5 2" xfId="14979" xr:uid="{00000000-0005-0000-0000-0000963A0000}"/>
    <cellStyle name="RowTitles-Col2 2 6 2 5_Tertiary Salaries Survey" xfId="14980" xr:uid="{00000000-0005-0000-0000-0000973A0000}"/>
    <cellStyle name="RowTitles-Col2 2 6 2_Tertiary Salaries Survey" xfId="14981" xr:uid="{00000000-0005-0000-0000-0000983A0000}"/>
    <cellStyle name="RowTitles-Col2 2 6 3" xfId="14982" xr:uid="{00000000-0005-0000-0000-0000993A0000}"/>
    <cellStyle name="RowTitles-Col2 2 6 3 2" xfId="14983" xr:uid="{00000000-0005-0000-0000-00009A3A0000}"/>
    <cellStyle name="RowTitles-Col2 2 6 3 2 2" xfId="14984" xr:uid="{00000000-0005-0000-0000-00009B3A0000}"/>
    <cellStyle name="RowTitles-Col2 2 6 3 2 2 2" xfId="14985" xr:uid="{00000000-0005-0000-0000-00009C3A0000}"/>
    <cellStyle name="RowTitles-Col2 2 6 3 2 2_Tertiary Salaries Survey" xfId="14986" xr:uid="{00000000-0005-0000-0000-00009D3A0000}"/>
    <cellStyle name="RowTitles-Col2 2 6 3 2 3" xfId="14987" xr:uid="{00000000-0005-0000-0000-00009E3A0000}"/>
    <cellStyle name="RowTitles-Col2 2 6 3 2_Tertiary Salaries Survey" xfId="14988" xr:uid="{00000000-0005-0000-0000-00009F3A0000}"/>
    <cellStyle name="RowTitles-Col2 2 6 3 3" xfId="14989" xr:uid="{00000000-0005-0000-0000-0000A03A0000}"/>
    <cellStyle name="RowTitles-Col2 2 6 3 3 2" xfId="14990" xr:uid="{00000000-0005-0000-0000-0000A13A0000}"/>
    <cellStyle name="RowTitles-Col2 2 6 3 3 2 2" xfId="14991" xr:uid="{00000000-0005-0000-0000-0000A23A0000}"/>
    <cellStyle name="RowTitles-Col2 2 6 3 3 2_Tertiary Salaries Survey" xfId="14992" xr:uid="{00000000-0005-0000-0000-0000A33A0000}"/>
    <cellStyle name="RowTitles-Col2 2 6 3 3 3" xfId="14993" xr:uid="{00000000-0005-0000-0000-0000A43A0000}"/>
    <cellStyle name="RowTitles-Col2 2 6 3 3_Tertiary Salaries Survey" xfId="14994" xr:uid="{00000000-0005-0000-0000-0000A53A0000}"/>
    <cellStyle name="RowTitles-Col2 2 6 3 4" xfId="14995" xr:uid="{00000000-0005-0000-0000-0000A63A0000}"/>
    <cellStyle name="RowTitles-Col2 2 6 3 5" xfId="14996" xr:uid="{00000000-0005-0000-0000-0000A73A0000}"/>
    <cellStyle name="RowTitles-Col2 2 6 3_Tertiary Salaries Survey" xfId="14997" xr:uid="{00000000-0005-0000-0000-0000A83A0000}"/>
    <cellStyle name="RowTitles-Col2 2 6 4" xfId="14998" xr:uid="{00000000-0005-0000-0000-0000A93A0000}"/>
    <cellStyle name="RowTitles-Col2 2 6 4 2" xfId="14999" xr:uid="{00000000-0005-0000-0000-0000AA3A0000}"/>
    <cellStyle name="RowTitles-Col2 2 6 4 2 2" xfId="15000" xr:uid="{00000000-0005-0000-0000-0000AB3A0000}"/>
    <cellStyle name="RowTitles-Col2 2 6 4 2 2 2" xfId="15001" xr:uid="{00000000-0005-0000-0000-0000AC3A0000}"/>
    <cellStyle name="RowTitles-Col2 2 6 4 2 2_Tertiary Salaries Survey" xfId="15002" xr:uid="{00000000-0005-0000-0000-0000AD3A0000}"/>
    <cellStyle name="RowTitles-Col2 2 6 4 2 3" xfId="15003" xr:uid="{00000000-0005-0000-0000-0000AE3A0000}"/>
    <cellStyle name="RowTitles-Col2 2 6 4 2_Tertiary Salaries Survey" xfId="15004" xr:uid="{00000000-0005-0000-0000-0000AF3A0000}"/>
    <cellStyle name="RowTitles-Col2 2 6 4 3" xfId="15005" xr:uid="{00000000-0005-0000-0000-0000B03A0000}"/>
    <cellStyle name="RowTitles-Col2 2 6 4 3 2" xfId="15006" xr:uid="{00000000-0005-0000-0000-0000B13A0000}"/>
    <cellStyle name="RowTitles-Col2 2 6 4 3 2 2" xfId="15007" xr:uid="{00000000-0005-0000-0000-0000B23A0000}"/>
    <cellStyle name="RowTitles-Col2 2 6 4 3 2_Tertiary Salaries Survey" xfId="15008" xr:uid="{00000000-0005-0000-0000-0000B33A0000}"/>
    <cellStyle name="RowTitles-Col2 2 6 4 3 3" xfId="15009" xr:uid="{00000000-0005-0000-0000-0000B43A0000}"/>
    <cellStyle name="RowTitles-Col2 2 6 4 3_Tertiary Salaries Survey" xfId="15010" xr:uid="{00000000-0005-0000-0000-0000B53A0000}"/>
    <cellStyle name="RowTitles-Col2 2 6 4 4" xfId="15011" xr:uid="{00000000-0005-0000-0000-0000B63A0000}"/>
    <cellStyle name="RowTitles-Col2 2 6 4 5" xfId="15012" xr:uid="{00000000-0005-0000-0000-0000B73A0000}"/>
    <cellStyle name="RowTitles-Col2 2 6 4 5 2" xfId="15013" xr:uid="{00000000-0005-0000-0000-0000B83A0000}"/>
    <cellStyle name="RowTitles-Col2 2 6 4 5_Tertiary Salaries Survey" xfId="15014" xr:uid="{00000000-0005-0000-0000-0000B93A0000}"/>
    <cellStyle name="RowTitles-Col2 2 6 4 6" xfId="15015" xr:uid="{00000000-0005-0000-0000-0000BA3A0000}"/>
    <cellStyle name="RowTitles-Col2 2 6 4_Tertiary Salaries Survey" xfId="15016" xr:uid="{00000000-0005-0000-0000-0000BB3A0000}"/>
    <cellStyle name="RowTitles-Col2 2 6 5" xfId="15017" xr:uid="{00000000-0005-0000-0000-0000BC3A0000}"/>
    <cellStyle name="RowTitles-Col2 2 6 5 2" xfId="15018" xr:uid="{00000000-0005-0000-0000-0000BD3A0000}"/>
    <cellStyle name="RowTitles-Col2 2 6 5 2 2" xfId="15019" xr:uid="{00000000-0005-0000-0000-0000BE3A0000}"/>
    <cellStyle name="RowTitles-Col2 2 6 5 2 2 2" xfId="15020" xr:uid="{00000000-0005-0000-0000-0000BF3A0000}"/>
    <cellStyle name="RowTitles-Col2 2 6 5 2 2_Tertiary Salaries Survey" xfId="15021" xr:uid="{00000000-0005-0000-0000-0000C03A0000}"/>
    <cellStyle name="RowTitles-Col2 2 6 5 2 3" xfId="15022" xr:uid="{00000000-0005-0000-0000-0000C13A0000}"/>
    <cellStyle name="RowTitles-Col2 2 6 5 2_Tertiary Salaries Survey" xfId="15023" xr:uid="{00000000-0005-0000-0000-0000C23A0000}"/>
    <cellStyle name="RowTitles-Col2 2 6 5 3" xfId="15024" xr:uid="{00000000-0005-0000-0000-0000C33A0000}"/>
    <cellStyle name="RowTitles-Col2 2 6 5 3 2" xfId="15025" xr:uid="{00000000-0005-0000-0000-0000C43A0000}"/>
    <cellStyle name="RowTitles-Col2 2 6 5 3 2 2" xfId="15026" xr:uid="{00000000-0005-0000-0000-0000C53A0000}"/>
    <cellStyle name="RowTitles-Col2 2 6 5 3 2_Tertiary Salaries Survey" xfId="15027" xr:uid="{00000000-0005-0000-0000-0000C63A0000}"/>
    <cellStyle name="RowTitles-Col2 2 6 5 3 3" xfId="15028" xr:uid="{00000000-0005-0000-0000-0000C73A0000}"/>
    <cellStyle name="RowTitles-Col2 2 6 5 3_Tertiary Salaries Survey" xfId="15029" xr:uid="{00000000-0005-0000-0000-0000C83A0000}"/>
    <cellStyle name="RowTitles-Col2 2 6 5 4" xfId="15030" xr:uid="{00000000-0005-0000-0000-0000C93A0000}"/>
    <cellStyle name="RowTitles-Col2 2 6 5 4 2" xfId="15031" xr:uid="{00000000-0005-0000-0000-0000CA3A0000}"/>
    <cellStyle name="RowTitles-Col2 2 6 5 4_Tertiary Salaries Survey" xfId="15032" xr:uid="{00000000-0005-0000-0000-0000CB3A0000}"/>
    <cellStyle name="RowTitles-Col2 2 6 5 5" xfId="15033" xr:uid="{00000000-0005-0000-0000-0000CC3A0000}"/>
    <cellStyle name="RowTitles-Col2 2 6 5_Tertiary Salaries Survey" xfId="15034" xr:uid="{00000000-0005-0000-0000-0000CD3A0000}"/>
    <cellStyle name="RowTitles-Col2 2 6 6" xfId="15035" xr:uid="{00000000-0005-0000-0000-0000CE3A0000}"/>
    <cellStyle name="RowTitles-Col2 2 6 6 2" xfId="15036" xr:uid="{00000000-0005-0000-0000-0000CF3A0000}"/>
    <cellStyle name="RowTitles-Col2 2 6 6 2 2" xfId="15037" xr:uid="{00000000-0005-0000-0000-0000D03A0000}"/>
    <cellStyle name="RowTitles-Col2 2 6 6 2 2 2" xfId="15038" xr:uid="{00000000-0005-0000-0000-0000D13A0000}"/>
    <cellStyle name="RowTitles-Col2 2 6 6 2 2_Tertiary Salaries Survey" xfId="15039" xr:uid="{00000000-0005-0000-0000-0000D23A0000}"/>
    <cellStyle name="RowTitles-Col2 2 6 6 2 3" xfId="15040" xr:uid="{00000000-0005-0000-0000-0000D33A0000}"/>
    <cellStyle name="RowTitles-Col2 2 6 6 2_Tertiary Salaries Survey" xfId="15041" xr:uid="{00000000-0005-0000-0000-0000D43A0000}"/>
    <cellStyle name="RowTitles-Col2 2 6 6 3" xfId="15042" xr:uid="{00000000-0005-0000-0000-0000D53A0000}"/>
    <cellStyle name="RowTitles-Col2 2 6 6 3 2" xfId="15043" xr:uid="{00000000-0005-0000-0000-0000D63A0000}"/>
    <cellStyle name="RowTitles-Col2 2 6 6 3 2 2" xfId="15044" xr:uid="{00000000-0005-0000-0000-0000D73A0000}"/>
    <cellStyle name="RowTitles-Col2 2 6 6 3 2_Tertiary Salaries Survey" xfId="15045" xr:uid="{00000000-0005-0000-0000-0000D83A0000}"/>
    <cellStyle name="RowTitles-Col2 2 6 6 3 3" xfId="15046" xr:uid="{00000000-0005-0000-0000-0000D93A0000}"/>
    <cellStyle name="RowTitles-Col2 2 6 6 3_Tertiary Salaries Survey" xfId="15047" xr:uid="{00000000-0005-0000-0000-0000DA3A0000}"/>
    <cellStyle name="RowTitles-Col2 2 6 6 4" xfId="15048" xr:uid="{00000000-0005-0000-0000-0000DB3A0000}"/>
    <cellStyle name="RowTitles-Col2 2 6 6 4 2" xfId="15049" xr:uid="{00000000-0005-0000-0000-0000DC3A0000}"/>
    <cellStyle name="RowTitles-Col2 2 6 6 4_Tertiary Salaries Survey" xfId="15050" xr:uid="{00000000-0005-0000-0000-0000DD3A0000}"/>
    <cellStyle name="RowTitles-Col2 2 6 6 5" xfId="15051" xr:uid="{00000000-0005-0000-0000-0000DE3A0000}"/>
    <cellStyle name="RowTitles-Col2 2 6 6_Tertiary Salaries Survey" xfId="15052" xr:uid="{00000000-0005-0000-0000-0000DF3A0000}"/>
    <cellStyle name="RowTitles-Col2 2 6 7" xfId="15053" xr:uid="{00000000-0005-0000-0000-0000E03A0000}"/>
    <cellStyle name="RowTitles-Col2 2 6 7 2" xfId="15054" xr:uid="{00000000-0005-0000-0000-0000E13A0000}"/>
    <cellStyle name="RowTitles-Col2 2 6 7 2 2" xfId="15055" xr:uid="{00000000-0005-0000-0000-0000E23A0000}"/>
    <cellStyle name="RowTitles-Col2 2 6 7 2_Tertiary Salaries Survey" xfId="15056" xr:uid="{00000000-0005-0000-0000-0000E33A0000}"/>
    <cellStyle name="RowTitles-Col2 2 6 7 3" xfId="15057" xr:uid="{00000000-0005-0000-0000-0000E43A0000}"/>
    <cellStyle name="RowTitles-Col2 2 6 7_Tertiary Salaries Survey" xfId="15058" xr:uid="{00000000-0005-0000-0000-0000E53A0000}"/>
    <cellStyle name="RowTitles-Col2 2 6 8" xfId="15059" xr:uid="{00000000-0005-0000-0000-0000E63A0000}"/>
    <cellStyle name="RowTitles-Col2 2 6_STUD aligned by INSTIT" xfId="15060" xr:uid="{00000000-0005-0000-0000-0000E73A0000}"/>
    <cellStyle name="RowTitles-Col2 2 7" xfId="15061" xr:uid="{00000000-0005-0000-0000-0000E83A0000}"/>
    <cellStyle name="RowTitles-Col2 2 7 2" xfId="15062" xr:uid="{00000000-0005-0000-0000-0000E93A0000}"/>
    <cellStyle name="RowTitles-Col2 2 7 2 2" xfId="15063" xr:uid="{00000000-0005-0000-0000-0000EA3A0000}"/>
    <cellStyle name="RowTitles-Col2 2 7 2 2 2" xfId="15064" xr:uid="{00000000-0005-0000-0000-0000EB3A0000}"/>
    <cellStyle name="RowTitles-Col2 2 7 2 2_Tertiary Salaries Survey" xfId="15065" xr:uid="{00000000-0005-0000-0000-0000EC3A0000}"/>
    <cellStyle name="RowTitles-Col2 2 7 2 3" xfId="15066" xr:uid="{00000000-0005-0000-0000-0000ED3A0000}"/>
    <cellStyle name="RowTitles-Col2 2 7 2_Tertiary Salaries Survey" xfId="15067" xr:uid="{00000000-0005-0000-0000-0000EE3A0000}"/>
    <cellStyle name="RowTitles-Col2 2 7 3" xfId="15068" xr:uid="{00000000-0005-0000-0000-0000EF3A0000}"/>
    <cellStyle name="RowTitles-Col2 2 7 3 2" xfId="15069" xr:uid="{00000000-0005-0000-0000-0000F03A0000}"/>
    <cellStyle name="RowTitles-Col2 2 7 3 2 2" xfId="15070" xr:uid="{00000000-0005-0000-0000-0000F13A0000}"/>
    <cellStyle name="RowTitles-Col2 2 7 3 2_Tertiary Salaries Survey" xfId="15071" xr:uid="{00000000-0005-0000-0000-0000F23A0000}"/>
    <cellStyle name="RowTitles-Col2 2 7 3 3" xfId="15072" xr:uid="{00000000-0005-0000-0000-0000F33A0000}"/>
    <cellStyle name="RowTitles-Col2 2 7 3_Tertiary Salaries Survey" xfId="15073" xr:uid="{00000000-0005-0000-0000-0000F43A0000}"/>
    <cellStyle name="RowTitles-Col2 2 7 4" xfId="15074" xr:uid="{00000000-0005-0000-0000-0000F53A0000}"/>
    <cellStyle name="RowTitles-Col2 2 7 5" xfId="15075" xr:uid="{00000000-0005-0000-0000-0000F63A0000}"/>
    <cellStyle name="RowTitles-Col2 2 7 5 2" xfId="15076" xr:uid="{00000000-0005-0000-0000-0000F73A0000}"/>
    <cellStyle name="RowTitles-Col2 2 7 5_Tertiary Salaries Survey" xfId="15077" xr:uid="{00000000-0005-0000-0000-0000F83A0000}"/>
    <cellStyle name="RowTitles-Col2 2 7_Tertiary Salaries Survey" xfId="15078" xr:uid="{00000000-0005-0000-0000-0000F93A0000}"/>
    <cellStyle name="RowTitles-Col2 2 8" xfId="15079" xr:uid="{00000000-0005-0000-0000-0000FA3A0000}"/>
    <cellStyle name="RowTitles-Col2 2 8 2" xfId="15080" xr:uid="{00000000-0005-0000-0000-0000FB3A0000}"/>
    <cellStyle name="RowTitles-Col2 2 8 2 2" xfId="15081" xr:uid="{00000000-0005-0000-0000-0000FC3A0000}"/>
    <cellStyle name="RowTitles-Col2 2 8 2 2 2" xfId="15082" xr:uid="{00000000-0005-0000-0000-0000FD3A0000}"/>
    <cellStyle name="RowTitles-Col2 2 8 2 2_Tertiary Salaries Survey" xfId="15083" xr:uid="{00000000-0005-0000-0000-0000FE3A0000}"/>
    <cellStyle name="RowTitles-Col2 2 8 2 3" xfId="15084" xr:uid="{00000000-0005-0000-0000-0000FF3A0000}"/>
    <cellStyle name="RowTitles-Col2 2 8 2_Tertiary Salaries Survey" xfId="15085" xr:uid="{00000000-0005-0000-0000-0000003B0000}"/>
    <cellStyle name="RowTitles-Col2 2 8 3" xfId="15086" xr:uid="{00000000-0005-0000-0000-0000013B0000}"/>
    <cellStyle name="RowTitles-Col2 2 8 3 2" xfId="15087" xr:uid="{00000000-0005-0000-0000-0000023B0000}"/>
    <cellStyle name="RowTitles-Col2 2 8 3 2 2" xfId="15088" xr:uid="{00000000-0005-0000-0000-0000033B0000}"/>
    <cellStyle name="RowTitles-Col2 2 8 3 2_Tertiary Salaries Survey" xfId="15089" xr:uid="{00000000-0005-0000-0000-0000043B0000}"/>
    <cellStyle name="RowTitles-Col2 2 8 3 3" xfId="15090" xr:uid="{00000000-0005-0000-0000-0000053B0000}"/>
    <cellStyle name="RowTitles-Col2 2 8 3_Tertiary Salaries Survey" xfId="15091" xr:uid="{00000000-0005-0000-0000-0000063B0000}"/>
    <cellStyle name="RowTitles-Col2 2 8 4" xfId="15092" xr:uid="{00000000-0005-0000-0000-0000073B0000}"/>
    <cellStyle name="RowTitles-Col2 2 8 5" xfId="15093" xr:uid="{00000000-0005-0000-0000-0000083B0000}"/>
    <cellStyle name="RowTitles-Col2 2 8_Tertiary Salaries Survey" xfId="15094" xr:uid="{00000000-0005-0000-0000-0000093B0000}"/>
    <cellStyle name="RowTitles-Col2 2 9" xfId="15095" xr:uid="{00000000-0005-0000-0000-00000A3B0000}"/>
    <cellStyle name="RowTitles-Col2 2 9 2" xfId="15096" xr:uid="{00000000-0005-0000-0000-00000B3B0000}"/>
    <cellStyle name="RowTitles-Col2 2 9 2 2" xfId="15097" xr:uid="{00000000-0005-0000-0000-00000C3B0000}"/>
    <cellStyle name="RowTitles-Col2 2 9 2 2 2" xfId="15098" xr:uid="{00000000-0005-0000-0000-00000D3B0000}"/>
    <cellStyle name="RowTitles-Col2 2 9 2 2_Tertiary Salaries Survey" xfId="15099" xr:uid="{00000000-0005-0000-0000-00000E3B0000}"/>
    <cellStyle name="RowTitles-Col2 2 9 2 3" xfId="15100" xr:uid="{00000000-0005-0000-0000-00000F3B0000}"/>
    <cellStyle name="RowTitles-Col2 2 9 2_Tertiary Salaries Survey" xfId="15101" xr:uid="{00000000-0005-0000-0000-0000103B0000}"/>
    <cellStyle name="RowTitles-Col2 2 9 3" xfId="15102" xr:uid="{00000000-0005-0000-0000-0000113B0000}"/>
    <cellStyle name="RowTitles-Col2 2 9 3 2" xfId="15103" xr:uid="{00000000-0005-0000-0000-0000123B0000}"/>
    <cellStyle name="RowTitles-Col2 2 9 3 2 2" xfId="15104" xr:uid="{00000000-0005-0000-0000-0000133B0000}"/>
    <cellStyle name="RowTitles-Col2 2 9 3 2_Tertiary Salaries Survey" xfId="15105" xr:uid="{00000000-0005-0000-0000-0000143B0000}"/>
    <cellStyle name="RowTitles-Col2 2 9 3 3" xfId="15106" xr:uid="{00000000-0005-0000-0000-0000153B0000}"/>
    <cellStyle name="RowTitles-Col2 2 9 3_Tertiary Salaries Survey" xfId="15107" xr:uid="{00000000-0005-0000-0000-0000163B0000}"/>
    <cellStyle name="RowTitles-Col2 2 9 4" xfId="15108" xr:uid="{00000000-0005-0000-0000-0000173B0000}"/>
    <cellStyle name="RowTitles-Col2 2 9 5" xfId="15109" xr:uid="{00000000-0005-0000-0000-0000183B0000}"/>
    <cellStyle name="RowTitles-Col2 2 9 5 2" xfId="15110" xr:uid="{00000000-0005-0000-0000-0000193B0000}"/>
    <cellStyle name="RowTitles-Col2 2 9 5_Tertiary Salaries Survey" xfId="15111" xr:uid="{00000000-0005-0000-0000-00001A3B0000}"/>
    <cellStyle name="RowTitles-Col2 2 9 6" xfId="15112" xr:uid="{00000000-0005-0000-0000-00001B3B0000}"/>
    <cellStyle name="RowTitles-Col2 2 9_Tertiary Salaries Survey" xfId="15113" xr:uid="{00000000-0005-0000-0000-00001C3B0000}"/>
    <cellStyle name="RowTitles-Col2 2_STUD aligned by INSTIT" xfId="15114" xr:uid="{00000000-0005-0000-0000-00001D3B0000}"/>
    <cellStyle name="RowTitles-Col2 3" xfId="15115" xr:uid="{00000000-0005-0000-0000-00001E3B0000}"/>
    <cellStyle name="RowTitles-Col2 3 10" xfId="15116" xr:uid="{00000000-0005-0000-0000-00001F3B0000}"/>
    <cellStyle name="RowTitles-Col2 3 10 2" xfId="15117" xr:uid="{00000000-0005-0000-0000-0000203B0000}"/>
    <cellStyle name="RowTitles-Col2 3 10 2 2" xfId="15118" xr:uid="{00000000-0005-0000-0000-0000213B0000}"/>
    <cellStyle name="RowTitles-Col2 3 10 2_Tertiary Salaries Survey" xfId="15119" xr:uid="{00000000-0005-0000-0000-0000223B0000}"/>
    <cellStyle name="RowTitles-Col2 3 10 3" xfId="15120" xr:uid="{00000000-0005-0000-0000-0000233B0000}"/>
    <cellStyle name="RowTitles-Col2 3 10_Tertiary Salaries Survey" xfId="15121" xr:uid="{00000000-0005-0000-0000-0000243B0000}"/>
    <cellStyle name="RowTitles-Col2 3 11" xfId="15122" xr:uid="{00000000-0005-0000-0000-0000253B0000}"/>
    <cellStyle name="RowTitles-Col2 3 2" xfId="15123" xr:uid="{00000000-0005-0000-0000-0000263B0000}"/>
    <cellStyle name="RowTitles-Col2 3 2 2" xfId="15124" xr:uid="{00000000-0005-0000-0000-0000273B0000}"/>
    <cellStyle name="RowTitles-Col2 3 2 2 2" xfId="15125" xr:uid="{00000000-0005-0000-0000-0000283B0000}"/>
    <cellStyle name="RowTitles-Col2 3 2 2 2 2" xfId="15126" xr:uid="{00000000-0005-0000-0000-0000293B0000}"/>
    <cellStyle name="RowTitles-Col2 3 2 2 2 2 2" xfId="15127" xr:uid="{00000000-0005-0000-0000-00002A3B0000}"/>
    <cellStyle name="RowTitles-Col2 3 2 2 2 2_Tertiary Salaries Survey" xfId="15128" xr:uid="{00000000-0005-0000-0000-00002B3B0000}"/>
    <cellStyle name="RowTitles-Col2 3 2 2 2 3" xfId="15129" xr:uid="{00000000-0005-0000-0000-00002C3B0000}"/>
    <cellStyle name="RowTitles-Col2 3 2 2 2_Tertiary Salaries Survey" xfId="15130" xr:uid="{00000000-0005-0000-0000-00002D3B0000}"/>
    <cellStyle name="RowTitles-Col2 3 2 2 3" xfId="15131" xr:uid="{00000000-0005-0000-0000-00002E3B0000}"/>
    <cellStyle name="RowTitles-Col2 3 2 2 3 2" xfId="15132" xr:uid="{00000000-0005-0000-0000-00002F3B0000}"/>
    <cellStyle name="RowTitles-Col2 3 2 2 3 2 2" xfId="15133" xr:uid="{00000000-0005-0000-0000-0000303B0000}"/>
    <cellStyle name="RowTitles-Col2 3 2 2 3 2_Tertiary Salaries Survey" xfId="15134" xr:uid="{00000000-0005-0000-0000-0000313B0000}"/>
    <cellStyle name="RowTitles-Col2 3 2 2 3 3" xfId="15135" xr:uid="{00000000-0005-0000-0000-0000323B0000}"/>
    <cellStyle name="RowTitles-Col2 3 2 2 3_Tertiary Salaries Survey" xfId="15136" xr:uid="{00000000-0005-0000-0000-0000333B0000}"/>
    <cellStyle name="RowTitles-Col2 3 2 2 4" xfId="15137" xr:uid="{00000000-0005-0000-0000-0000343B0000}"/>
    <cellStyle name="RowTitles-Col2 3 2 2_Tertiary Salaries Survey" xfId="15138" xr:uid="{00000000-0005-0000-0000-0000353B0000}"/>
    <cellStyle name="RowTitles-Col2 3 2 3" xfId="15139" xr:uid="{00000000-0005-0000-0000-0000363B0000}"/>
    <cellStyle name="RowTitles-Col2 3 2 3 2" xfId="15140" xr:uid="{00000000-0005-0000-0000-0000373B0000}"/>
    <cellStyle name="RowTitles-Col2 3 2 3 2 2" xfId="15141" xr:uid="{00000000-0005-0000-0000-0000383B0000}"/>
    <cellStyle name="RowTitles-Col2 3 2 3 2 2 2" xfId="15142" xr:uid="{00000000-0005-0000-0000-0000393B0000}"/>
    <cellStyle name="RowTitles-Col2 3 2 3 2 2_Tertiary Salaries Survey" xfId="15143" xr:uid="{00000000-0005-0000-0000-00003A3B0000}"/>
    <cellStyle name="RowTitles-Col2 3 2 3 2 3" xfId="15144" xr:uid="{00000000-0005-0000-0000-00003B3B0000}"/>
    <cellStyle name="RowTitles-Col2 3 2 3 2_Tertiary Salaries Survey" xfId="15145" xr:uid="{00000000-0005-0000-0000-00003C3B0000}"/>
    <cellStyle name="RowTitles-Col2 3 2 3 3" xfId="15146" xr:uid="{00000000-0005-0000-0000-00003D3B0000}"/>
    <cellStyle name="RowTitles-Col2 3 2 3 3 2" xfId="15147" xr:uid="{00000000-0005-0000-0000-00003E3B0000}"/>
    <cellStyle name="RowTitles-Col2 3 2 3 3 2 2" xfId="15148" xr:uid="{00000000-0005-0000-0000-00003F3B0000}"/>
    <cellStyle name="RowTitles-Col2 3 2 3 3 2_Tertiary Salaries Survey" xfId="15149" xr:uid="{00000000-0005-0000-0000-0000403B0000}"/>
    <cellStyle name="RowTitles-Col2 3 2 3 3 3" xfId="15150" xr:uid="{00000000-0005-0000-0000-0000413B0000}"/>
    <cellStyle name="RowTitles-Col2 3 2 3 3_Tertiary Salaries Survey" xfId="15151" xr:uid="{00000000-0005-0000-0000-0000423B0000}"/>
    <cellStyle name="RowTitles-Col2 3 2 3 4" xfId="15152" xr:uid="{00000000-0005-0000-0000-0000433B0000}"/>
    <cellStyle name="RowTitles-Col2 3 2 3 5" xfId="15153" xr:uid="{00000000-0005-0000-0000-0000443B0000}"/>
    <cellStyle name="RowTitles-Col2 3 2 3 5 2" xfId="15154" xr:uid="{00000000-0005-0000-0000-0000453B0000}"/>
    <cellStyle name="RowTitles-Col2 3 2 3 5_Tertiary Salaries Survey" xfId="15155" xr:uid="{00000000-0005-0000-0000-0000463B0000}"/>
    <cellStyle name="RowTitles-Col2 3 2 3 6" xfId="15156" xr:uid="{00000000-0005-0000-0000-0000473B0000}"/>
    <cellStyle name="RowTitles-Col2 3 2 3_Tertiary Salaries Survey" xfId="15157" xr:uid="{00000000-0005-0000-0000-0000483B0000}"/>
    <cellStyle name="RowTitles-Col2 3 2 4" xfId="15158" xr:uid="{00000000-0005-0000-0000-0000493B0000}"/>
    <cellStyle name="RowTitles-Col2 3 2 4 2" xfId="15159" xr:uid="{00000000-0005-0000-0000-00004A3B0000}"/>
    <cellStyle name="RowTitles-Col2 3 2 4 2 2" xfId="15160" xr:uid="{00000000-0005-0000-0000-00004B3B0000}"/>
    <cellStyle name="RowTitles-Col2 3 2 4 2 2 2" xfId="15161" xr:uid="{00000000-0005-0000-0000-00004C3B0000}"/>
    <cellStyle name="RowTitles-Col2 3 2 4 2 2_Tertiary Salaries Survey" xfId="15162" xr:uid="{00000000-0005-0000-0000-00004D3B0000}"/>
    <cellStyle name="RowTitles-Col2 3 2 4 2 3" xfId="15163" xr:uid="{00000000-0005-0000-0000-00004E3B0000}"/>
    <cellStyle name="RowTitles-Col2 3 2 4 2_Tertiary Salaries Survey" xfId="15164" xr:uid="{00000000-0005-0000-0000-00004F3B0000}"/>
    <cellStyle name="RowTitles-Col2 3 2 4 3" xfId="15165" xr:uid="{00000000-0005-0000-0000-0000503B0000}"/>
    <cellStyle name="RowTitles-Col2 3 2 4 3 2" xfId="15166" xr:uid="{00000000-0005-0000-0000-0000513B0000}"/>
    <cellStyle name="RowTitles-Col2 3 2 4 3 2 2" xfId="15167" xr:uid="{00000000-0005-0000-0000-0000523B0000}"/>
    <cellStyle name="RowTitles-Col2 3 2 4 3 2_Tertiary Salaries Survey" xfId="15168" xr:uid="{00000000-0005-0000-0000-0000533B0000}"/>
    <cellStyle name="RowTitles-Col2 3 2 4 3 3" xfId="15169" xr:uid="{00000000-0005-0000-0000-0000543B0000}"/>
    <cellStyle name="RowTitles-Col2 3 2 4 3_Tertiary Salaries Survey" xfId="15170" xr:uid="{00000000-0005-0000-0000-0000553B0000}"/>
    <cellStyle name="RowTitles-Col2 3 2 4 4" xfId="15171" xr:uid="{00000000-0005-0000-0000-0000563B0000}"/>
    <cellStyle name="RowTitles-Col2 3 2 4 4 2" xfId="15172" xr:uid="{00000000-0005-0000-0000-0000573B0000}"/>
    <cellStyle name="RowTitles-Col2 3 2 4 4_Tertiary Salaries Survey" xfId="15173" xr:uid="{00000000-0005-0000-0000-0000583B0000}"/>
    <cellStyle name="RowTitles-Col2 3 2 4 5" xfId="15174" xr:uid="{00000000-0005-0000-0000-0000593B0000}"/>
    <cellStyle name="RowTitles-Col2 3 2 4_Tertiary Salaries Survey" xfId="15175" xr:uid="{00000000-0005-0000-0000-00005A3B0000}"/>
    <cellStyle name="RowTitles-Col2 3 2 5" xfId="15176" xr:uid="{00000000-0005-0000-0000-00005B3B0000}"/>
    <cellStyle name="RowTitles-Col2 3 2 5 2" xfId="15177" xr:uid="{00000000-0005-0000-0000-00005C3B0000}"/>
    <cellStyle name="RowTitles-Col2 3 2 5 2 2" xfId="15178" xr:uid="{00000000-0005-0000-0000-00005D3B0000}"/>
    <cellStyle name="RowTitles-Col2 3 2 5 2 2 2" xfId="15179" xr:uid="{00000000-0005-0000-0000-00005E3B0000}"/>
    <cellStyle name="RowTitles-Col2 3 2 5 2 2_Tertiary Salaries Survey" xfId="15180" xr:uid="{00000000-0005-0000-0000-00005F3B0000}"/>
    <cellStyle name="RowTitles-Col2 3 2 5 2 3" xfId="15181" xr:uid="{00000000-0005-0000-0000-0000603B0000}"/>
    <cellStyle name="RowTitles-Col2 3 2 5 2_Tertiary Salaries Survey" xfId="15182" xr:uid="{00000000-0005-0000-0000-0000613B0000}"/>
    <cellStyle name="RowTitles-Col2 3 2 5 3" xfId="15183" xr:uid="{00000000-0005-0000-0000-0000623B0000}"/>
    <cellStyle name="RowTitles-Col2 3 2 5 3 2" xfId="15184" xr:uid="{00000000-0005-0000-0000-0000633B0000}"/>
    <cellStyle name="RowTitles-Col2 3 2 5 3 2 2" xfId="15185" xr:uid="{00000000-0005-0000-0000-0000643B0000}"/>
    <cellStyle name="RowTitles-Col2 3 2 5 3 2_Tertiary Salaries Survey" xfId="15186" xr:uid="{00000000-0005-0000-0000-0000653B0000}"/>
    <cellStyle name="RowTitles-Col2 3 2 5 3 3" xfId="15187" xr:uid="{00000000-0005-0000-0000-0000663B0000}"/>
    <cellStyle name="RowTitles-Col2 3 2 5 3_Tertiary Salaries Survey" xfId="15188" xr:uid="{00000000-0005-0000-0000-0000673B0000}"/>
    <cellStyle name="RowTitles-Col2 3 2 5 4" xfId="15189" xr:uid="{00000000-0005-0000-0000-0000683B0000}"/>
    <cellStyle name="RowTitles-Col2 3 2 5 4 2" xfId="15190" xr:uid="{00000000-0005-0000-0000-0000693B0000}"/>
    <cellStyle name="RowTitles-Col2 3 2 5 4_Tertiary Salaries Survey" xfId="15191" xr:uid="{00000000-0005-0000-0000-00006A3B0000}"/>
    <cellStyle name="RowTitles-Col2 3 2 5 5" xfId="15192" xr:uid="{00000000-0005-0000-0000-00006B3B0000}"/>
    <cellStyle name="RowTitles-Col2 3 2 5_Tertiary Salaries Survey" xfId="15193" xr:uid="{00000000-0005-0000-0000-00006C3B0000}"/>
    <cellStyle name="RowTitles-Col2 3 2 6" xfId="15194" xr:uid="{00000000-0005-0000-0000-00006D3B0000}"/>
    <cellStyle name="RowTitles-Col2 3 2 6 2" xfId="15195" xr:uid="{00000000-0005-0000-0000-00006E3B0000}"/>
    <cellStyle name="RowTitles-Col2 3 2 6 2 2" xfId="15196" xr:uid="{00000000-0005-0000-0000-00006F3B0000}"/>
    <cellStyle name="RowTitles-Col2 3 2 6 2 2 2" xfId="15197" xr:uid="{00000000-0005-0000-0000-0000703B0000}"/>
    <cellStyle name="RowTitles-Col2 3 2 6 2 2_Tertiary Salaries Survey" xfId="15198" xr:uid="{00000000-0005-0000-0000-0000713B0000}"/>
    <cellStyle name="RowTitles-Col2 3 2 6 2 3" xfId="15199" xr:uid="{00000000-0005-0000-0000-0000723B0000}"/>
    <cellStyle name="RowTitles-Col2 3 2 6 2_Tertiary Salaries Survey" xfId="15200" xr:uid="{00000000-0005-0000-0000-0000733B0000}"/>
    <cellStyle name="RowTitles-Col2 3 2 6 3" xfId="15201" xr:uid="{00000000-0005-0000-0000-0000743B0000}"/>
    <cellStyle name="RowTitles-Col2 3 2 6 3 2" xfId="15202" xr:uid="{00000000-0005-0000-0000-0000753B0000}"/>
    <cellStyle name="RowTitles-Col2 3 2 6 3 2 2" xfId="15203" xr:uid="{00000000-0005-0000-0000-0000763B0000}"/>
    <cellStyle name="RowTitles-Col2 3 2 6 3 2_Tertiary Salaries Survey" xfId="15204" xr:uid="{00000000-0005-0000-0000-0000773B0000}"/>
    <cellStyle name="RowTitles-Col2 3 2 6 3 3" xfId="15205" xr:uid="{00000000-0005-0000-0000-0000783B0000}"/>
    <cellStyle name="RowTitles-Col2 3 2 6 3_Tertiary Salaries Survey" xfId="15206" xr:uid="{00000000-0005-0000-0000-0000793B0000}"/>
    <cellStyle name="RowTitles-Col2 3 2 6 4" xfId="15207" xr:uid="{00000000-0005-0000-0000-00007A3B0000}"/>
    <cellStyle name="RowTitles-Col2 3 2 6 4 2" xfId="15208" xr:uid="{00000000-0005-0000-0000-00007B3B0000}"/>
    <cellStyle name="RowTitles-Col2 3 2 6 4_Tertiary Salaries Survey" xfId="15209" xr:uid="{00000000-0005-0000-0000-00007C3B0000}"/>
    <cellStyle name="RowTitles-Col2 3 2 6 5" xfId="15210" xr:uid="{00000000-0005-0000-0000-00007D3B0000}"/>
    <cellStyle name="RowTitles-Col2 3 2 6_Tertiary Salaries Survey" xfId="15211" xr:uid="{00000000-0005-0000-0000-00007E3B0000}"/>
    <cellStyle name="RowTitles-Col2 3 2 7" xfId="15212" xr:uid="{00000000-0005-0000-0000-00007F3B0000}"/>
    <cellStyle name="RowTitles-Col2 3 2 7 2" xfId="15213" xr:uid="{00000000-0005-0000-0000-0000803B0000}"/>
    <cellStyle name="RowTitles-Col2 3 2 7 2 2" xfId="15214" xr:uid="{00000000-0005-0000-0000-0000813B0000}"/>
    <cellStyle name="RowTitles-Col2 3 2 7 2_Tertiary Salaries Survey" xfId="15215" xr:uid="{00000000-0005-0000-0000-0000823B0000}"/>
    <cellStyle name="RowTitles-Col2 3 2 7 3" xfId="15216" xr:uid="{00000000-0005-0000-0000-0000833B0000}"/>
    <cellStyle name="RowTitles-Col2 3 2 7_Tertiary Salaries Survey" xfId="15217" xr:uid="{00000000-0005-0000-0000-0000843B0000}"/>
    <cellStyle name="RowTitles-Col2 3 2 8" xfId="15218" xr:uid="{00000000-0005-0000-0000-0000853B0000}"/>
    <cellStyle name="RowTitles-Col2 3 2_STUD aligned by INSTIT" xfId="15219" xr:uid="{00000000-0005-0000-0000-0000863B0000}"/>
    <cellStyle name="RowTitles-Col2 3 3" xfId="15220" xr:uid="{00000000-0005-0000-0000-0000873B0000}"/>
    <cellStyle name="RowTitles-Col2 3 3 2" xfId="15221" xr:uid="{00000000-0005-0000-0000-0000883B0000}"/>
    <cellStyle name="RowTitles-Col2 3 3 2 2" xfId="15222" xr:uid="{00000000-0005-0000-0000-0000893B0000}"/>
    <cellStyle name="RowTitles-Col2 3 3 2 2 2" xfId="15223" xr:uid="{00000000-0005-0000-0000-00008A3B0000}"/>
    <cellStyle name="RowTitles-Col2 3 3 2 2 2 2" xfId="15224" xr:uid="{00000000-0005-0000-0000-00008B3B0000}"/>
    <cellStyle name="RowTitles-Col2 3 3 2 2 2_Tertiary Salaries Survey" xfId="15225" xr:uid="{00000000-0005-0000-0000-00008C3B0000}"/>
    <cellStyle name="RowTitles-Col2 3 3 2 2 3" xfId="15226" xr:uid="{00000000-0005-0000-0000-00008D3B0000}"/>
    <cellStyle name="RowTitles-Col2 3 3 2 2_Tertiary Salaries Survey" xfId="15227" xr:uid="{00000000-0005-0000-0000-00008E3B0000}"/>
    <cellStyle name="RowTitles-Col2 3 3 2 3" xfId="15228" xr:uid="{00000000-0005-0000-0000-00008F3B0000}"/>
    <cellStyle name="RowTitles-Col2 3 3 2 3 2" xfId="15229" xr:uid="{00000000-0005-0000-0000-0000903B0000}"/>
    <cellStyle name="RowTitles-Col2 3 3 2 3 2 2" xfId="15230" xr:uid="{00000000-0005-0000-0000-0000913B0000}"/>
    <cellStyle name="RowTitles-Col2 3 3 2 3 2_Tertiary Salaries Survey" xfId="15231" xr:uid="{00000000-0005-0000-0000-0000923B0000}"/>
    <cellStyle name="RowTitles-Col2 3 3 2 3 3" xfId="15232" xr:uid="{00000000-0005-0000-0000-0000933B0000}"/>
    <cellStyle name="RowTitles-Col2 3 3 2 3_Tertiary Salaries Survey" xfId="15233" xr:uid="{00000000-0005-0000-0000-0000943B0000}"/>
    <cellStyle name="RowTitles-Col2 3 3 2 4" xfId="15234" xr:uid="{00000000-0005-0000-0000-0000953B0000}"/>
    <cellStyle name="RowTitles-Col2 3 3 2 5" xfId="15235" xr:uid="{00000000-0005-0000-0000-0000963B0000}"/>
    <cellStyle name="RowTitles-Col2 3 3 2 5 2" xfId="15236" xr:uid="{00000000-0005-0000-0000-0000973B0000}"/>
    <cellStyle name="RowTitles-Col2 3 3 2 5_Tertiary Salaries Survey" xfId="15237" xr:uid="{00000000-0005-0000-0000-0000983B0000}"/>
    <cellStyle name="RowTitles-Col2 3 3 2 6" xfId="15238" xr:uid="{00000000-0005-0000-0000-0000993B0000}"/>
    <cellStyle name="RowTitles-Col2 3 3 2_Tertiary Salaries Survey" xfId="15239" xr:uid="{00000000-0005-0000-0000-00009A3B0000}"/>
    <cellStyle name="RowTitles-Col2 3 3 3" xfId="15240" xr:uid="{00000000-0005-0000-0000-00009B3B0000}"/>
    <cellStyle name="RowTitles-Col2 3 3 3 2" xfId="15241" xr:uid="{00000000-0005-0000-0000-00009C3B0000}"/>
    <cellStyle name="RowTitles-Col2 3 3 3 2 2" xfId="15242" xr:uid="{00000000-0005-0000-0000-00009D3B0000}"/>
    <cellStyle name="RowTitles-Col2 3 3 3 2 2 2" xfId="15243" xr:uid="{00000000-0005-0000-0000-00009E3B0000}"/>
    <cellStyle name="RowTitles-Col2 3 3 3 2 2_Tertiary Salaries Survey" xfId="15244" xr:uid="{00000000-0005-0000-0000-00009F3B0000}"/>
    <cellStyle name="RowTitles-Col2 3 3 3 2 3" xfId="15245" xr:uid="{00000000-0005-0000-0000-0000A03B0000}"/>
    <cellStyle name="RowTitles-Col2 3 3 3 2_Tertiary Salaries Survey" xfId="15246" xr:uid="{00000000-0005-0000-0000-0000A13B0000}"/>
    <cellStyle name="RowTitles-Col2 3 3 3 3" xfId="15247" xr:uid="{00000000-0005-0000-0000-0000A23B0000}"/>
    <cellStyle name="RowTitles-Col2 3 3 3 3 2" xfId="15248" xr:uid="{00000000-0005-0000-0000-0000A33B0000}"/>
    <cellStyle name="RowTitles-Col2 3 3 3 3 2 2" xfId="15249" xr:uid="{00000000-0005-0000-0000-0000A43B0000}"/>
    <cellStyle name="RowTitles-Col2 3 3 3 3 2_Tertiary Salaries Survey" xfId="15250" xr:uid="{00000000-0005-0000-0000-0000A53B0000}"/>
    <cellStyle name="RowTitles-Col2 3 3 3 3 3" xfId="15251" xr:uid="{00000000-0005-0000-0000-0000A63B0000}"/>
    <cellStyle name="RowTitles-Col2 3 3 3 3_Tertiary Salaries Survey" xfId="15252" xr:uid="{00000000-0005-0000-0000-0000A73B0000}"/>
    <cellStyle name="RowTitles-Col2 3 3 3 4" xfId="15253" xr:uid="{00000000-0005-0000-0000-0000A83B0000}"/>
    <cellStyle name="RowTitles-Col2 3 3 3_Tertiary Salaries Survey" xfId="15254" xr:uid="{00000000-0005-0000-0000-0000A93B0000}"/>
    <cellStyle name="RowTitles-Col2 3 3 4" xfId="15255" xr:uid="{00000000-0005-0000-0000-0000AA3B0000}"/>
    <cellStyle name="RowTitles-Col2 3 3 4 2" xfId="15256" xr:uid="{00000000-0005-0000-0000-0000AB3B0000}"/>
    <cellStyle name="RowTitles-Col2 3 3 4 2 2" xfId="15257" xr:uid="{00000000-0005-0000-0000-0000AC3B0000}"/>
    <cellStyle name="RowTitles-Col2 3 3 4 2 2 2" xfId="15258" xr:uid="{00000000-0005-0000-0000-0000AD3B0000}"/>
    <cellStyle name="RowTitles-Col2 3 3 4 2 2_Tertiary Salaries Survey" xfId="15259" xr:uid="{00000000-0005-0000-0000-0000AE3B0000}"/>
    <cellStyle name="RowTitles-Col2 3 3 4 2 3" xfId="15260" xr:uid="{00000000-0005-0000-0000-0000AF3B0000}"/>
    <cellStyle name="RowTitles-Col2 3 3 4 2_Tertiary Salaries Survey" xfId="15261" xr:uid="{00000000-0005-0000-0000-0000B03B0000}"/>
    <cellStyle name="RowTitles-Col2 3 3 4 3" xfId="15262" xr:uid="{00000000-0005-0000-0000-0000B13B0000}"/>
    <cellStyle name="RowTitles-Col2 3 3 4 3 2" xfId="15263" xr:uid="{00000000-0005-0000-0000-0000B23B0000}"/>
    <cellStyle name="RowTitles-Col2 3 3 4 3 2 2" xfId="15264" xr:uid="{00000000-0005-0000-0000-0000B33B0000}"/>
    <cellStyle name="RowTitles-Col2 3 3 4 3 2_Tertiary Salaries Survey" xfId="15265" xr:uid="{00000000-0005-0000-0000-0000B43B0000}"/>
    <cellStyle name="RowTitles-Col2 3 3 4 3 3" xfId="15266" xr:uid="{00000000-0005-0000-0000-0000B53B0000}"/>
    <cellStyle name="RowTitles-Col2 3 3 4 3_Tertiary Salaries Survey" xfId="15267" xr:uid="{00000000-0005-0000-0000-0000B63B0000}"/>
    <cellStyle name="RowTitles-Col2 3 3 4 4" xfId="15268" xr:uid="{00000000-0005-0000-0000-0000B73B0000}"/>
    <cellStyle name="RowTitles-Col2 3 3 4 4 2" xfId="15269" xr:uid="{00000000-0005-0000-0000-0000B83B0000}"/>
    <cellStyle name="RowTitles-Col2 3 3 4 4_Tertiary Salaries Survey" xfId="15270" xr:uid="{00000000-0005-0000-0000-0000B93B0000}"/>
    <cellStyle name="RowTitles-Col2 3 3 4 5" xfId="15271" xr:uid="{00000000-0005-0000-0000-0000BA3B0000}"/>
    <cellStyle name="RowTitles-Col2 3 3 4_Tertiary Salaries Survey" xfId="15272" xr:uid="{00000000-0005-0000-0000-0000BB3B0000}"/>
    <cellStyle name="RowTitles-Col2 3 3 5" xfId="15273" xr:uid="{00000000-0005-0000-0000-0000BC3B0000}"/>
    <cellStyle name="RowTitles-Col2 3 3 5 2" xfId="15274" xr:uid="{00000000-0005-0000-0000-0000BD3B0000}"/>
    <cellStyle name="RowTitles-Col2 3 3 5 2 2" xfId="15275" xr:uid="{00000000-0005-0000-0000-0000BE3B0000}"/>
    <cellStyle name="RowTitles-Col2 3 3 5 2 2 2" xfId="15276" xr:uid="{00000000-0005-0000-0000-0000BF3B0000}"/>
    <cellStyle name="RowTitles-Col2 3 3 5 2 2_Tertiary Salaries Survey" xfId="15277" xr:uid="{00000000-0005-0000-0000-0000C03B0000}"/>
    <cellStyle name="RowTitles-Col2 3 3 5 2 3" xfId="15278" xr:uid="{00000000-0005-0000-0000-0000C13B0000}"/>
    <cellStyle name="RowTitles-Col2 3 3 5 2_Tertiary Salaries Survey" xfId="15279" xr:uid="{00000000-0005-0000-0000-0000C23B0000}"/>
    <cellStyle name="RowTitles-Col2 3 3 5 3" xfId="15280" xr:uid="{00000000-0005-0000-0000-0000C33B0000}"/>
    <cellStyle name="RowTitles-Col2 3 3 5 3 2" xfId="15281" xr:uid="{00000000-0005-0000-0000-0000C43B0000}"/>
    <cellStyle name="RowTitles-Col2 3 3 5 3 2 2" xfId="15282" xr:uid="{00000000-0005-0000-0000-0000C53B0000}"/>
    <cellStyle name="RowTitles-Col2 3 3 5 3 2_Tertiary Salaries Survey" xfId="15283" xr:uid="{00000000-0005-0000-0000-0000C63B0000}"/>
    <cellStyle name="RowTitles-Col2 3 3 5 3 3" xfId="15284" xr:uid="{00000000-0005-0000-0000-0000C73B0000}"/>
    <cellStyle name="RowTitles-Col2 3 3 5 3_Tertiary Salaries Survey" xfId="15285" xr:uid="{00000000-0005-0000-0000-0000C83B0000}"/>
    <cellStyle name="RowTitles-Col2 3 3 5 4" xfId="15286" xr:uid="{00000000-0005-0000-0000-0000C93B0000}"/>
    <cellStyle name="RowTitles-Col2 3 3 5 4 2" xfId="15287" xr:uid="{00000000-0005-0000-0000-0000CA3B0000}"/>
    <cellStyle name="RowTitles-Col2 3 3 5 4_Tertiary Salaries Survey" xfId="15288" xr:uid="{00000000-0005-0000-0000-0000CB3B0000}"/>
    <cellStyle name="RowTitles-Col2 3 3 5 5" xfId="15289" xr:uid="{00000000-0005-0000-0000-0000CC3B0000}"/>
    <cellStyle name="RowTitles-Col2 3 3 5_Tertiary Salaries Survey" xfId="15290" xr:uid="{00000000-0005-0000-0000-0000CD3B0000}"/>
    <cellStyle name="RowTitles-Col2 3 3 6" xfId="15291" xr:uid="{00000000-0005-0000-0000-0000CE3B0000}"/>
    <cellStyle name="RowTitles-Col2 3 3 6 2" xfId="15292" xr:uid="{00000000-0005-0000-0000-0000CF3B0000}"/>
    <cellStyle name="RowTitles-Col2 3 3 6 2 2" xfId="15293" xr:uid="{00000000-0005-0000-0000-0000D03B0000}"/>
    <cellStyle name="RowTitles-Col2 3 3 6 2 2 2" xfId="15294" xr:uid="{00000000-0005-0000-0000-0000D13B0000}"/>
    <cellStyle name="RowTitles-Col2 3 3 6 2 2_Tertiary Salaries Survey" xfId="15295" xr:uid="{00000000-0005-0000-0000-0000D23B0000}"/>
    <cellStyle name="RowTitles-Col2 3 3 6 2 3" xfId="15296" xr:uid="{00000000-0005-0000-0000-0000D33B0000}"/>
    <cellStyle name="RowTitles-Col2 3 3 6 2_Tertiary Salaries Survey" xfId="15297" xr:uid="{00000000-0005-0000-0000-0000D43B0000}"/>
    <cellStyle name="RowTitles-Col2 3 3 6 3" xfId="15298" xr:uid="{00000000-0005-0000-0000-0000D53B0000}"/>
    <cellStyle name="RowTitles-Col2 3 3 6 3 2" xfId="15299" xr:uid="{00000000-0005-0000-0000-0000D63B0000}"/>
    <cellStyle name="RowTitles-Col2 3 3 6 3 2 2" xfId="15300" xr:uid="{00000000-0005-0000-0000-0000D73B0000}"/>
    <cellStyle name="RowTitles-Col2 3 3 6 3 2_Tertiary Salaries Survey" xfId="15301" xr:uid="{00000000-0005-0000-0000-0000D83B0000}"/>
    <cellStyle name="RowTitles-Col2 3 3 6 3 3" xfId="15302" xr:uid="{00000000-0005-0000-0000-0000D93B0000}"/>
    <cellStyle name="RowTitles-Col2 3 3 6 3_Tertiary Salaries Survey" xfId="15303" xr:uid="{00000000-0005-0000-0000-0000DA3B0000}"/>
    <cellStyle name="RowTitles-Col2 3 3 6 4" xfId="15304" xr:uid="{00000000-0005-0000-0000-0000DB3B0000}"/>
    <cellStyle name="RowTitles-Col2 3 3 6 4 2" xfId="15305" xr:uid="{00000000-0005-0000-0000-0000DC3B0000}"/>
    <cellStyle name="RowTitles-Col2 3 3 6 4_Tertiary Salaries Survey" xfId="15306" xr:uid="{00000000-0005-0000-0000-0000DD3B0000}"/>
    <cellStyle name="RowTitles-Col2 3 3 6 5" xfId="15307" xr:uid="{00000000-0005-0000-0000-0000DE3B0000}"/>
    <cellStyle name="RowTitles-Col2 3 3 6_Tertiary Salaries Survey" xfId="15308" xr:uid="{00000000-0005-0000-0000-0000DF3B0000}"/>
    <cellStyle name="RowTitles-Col2 3 3 7" xfId="15309" xr:uid="{00000000-0005-0000-0000-0000E03B0000}"/>
    <cellStyle name="RowTitles-Col2 3 3 7 2" xfId="15310" xr:uid="{00000000-0005-0000-0000-0000E13B0000}"/>
    <cellStyle name="RowTitles-Col2 3 3 7 2 2" xfId="15311" xr:uid="{00000000-0005-0000-0000-0000E23B0000}"/>
    <cellStyle name="RowTitles-Col2 3 3 7 2_Tertiary Salaries Survey" xfId="15312" xr:uid="{00000000-0005-0000-0000-0000E33B0000}"/>
    <cellStyle name="RowTitles-Col2 3 3 7 3" xfId="15313" xr:uid="{00000000-0005-0000-0000-0000E43B0000}"/>
    <cellStyle name="RowTitles-Col2 3 3 7_Tertiary Salaries Survey" xfId="15314" xr:uid="{00000000-0005-0000-0000-0000E53B0000}"/>
    <cellStyle name="RowTitles-Col2 3 3 8" xfId="15315" xr:uid="{00000000-0005-0000-0000-0000E63B0000}"/>
    <cellStyle name="RowTitles-Col2 3 3 8 2" xfId="15316" xr:uid="{00000000-0005-0000-0000-0000E73B0000}"/>
    <cellStyle name="RowTitles-Col2 3 3 8 2 2" xfId="15317" xr:uid="{00000000-0005-0000-0000-0000E83B0000}"/>
    <cellStyle name="RowTitles-Col2 3 3 8 2_Tertiary Salaries Survey" xfId="15318" xr:uid="{00000000-0005-0000-0000-0000E93B0000}"/>
    <cellStyle name="RowTitles-Col2 3 3 8 3" xfId="15319" xr:uid="{00000000-0005-0000-0000-0000EA3B0000}"/>
    <cellStyle name="RowTitles-Col2 3 3 8_Tertiary Salaries Survey" xfId="15320" xr:uid="{00000000-0005-0000-0000-0000EB3B0000}"/>
    <cellStyle name="RowTitles-Col2 3 3_STUD aligned by INSTIT" xfId="15321" xr:uid="{00000000-0005-0000-0000-0000EC3B0000}"/>
    <cellStyle name="RowTitles-Col2 3 4" xfId="15322" xr:uid="{00000000-0005-0000-0000-0000ED3B0000}"/>
    <cellStyle name="RowTitles-Col2 3 4 2" xfId="15323" xr:uid="{00000000-0005-0000-0000-0000EE3B0000}"/>
    <cellStyle name="RowTitles-Col2 3 4 2 2" xfId="15324" xr:uid="{00000000-0005-0000-0000-0000EF3B0000}"/>
    <cellStyle name="RowTitles-Col2 3 4 2 2 2" xfId="15325" xr:uid="{00000000-0005-0000-0000-0000F03B0000}"/>
    <cellStyle name="RowTitles-Col2 3 4 2 2 2 2" xfId="15326" xr:uid="{00000000-0005-0000-0000-0000F13B0000}"/>
    <cellStyle name="RowTitles-Col2 3 4 2 2 2_Tertiary Salaries Survey" xfId="15327" xr:uid="{00000000-0005-0000-0000-0000F23B0000}"/>
    <cellStyle name="RowTitles-Col2 3 4 2 2 3" xfId="15328" xr:uid="{00000000-0005-0000-0000-0000F33B0000}"/>
    <cellStyle name="RowTitles-Col2 3 4 2 2_Tertiary Salaries Survey" xfId="15329" xr:uid="{00000000-0005-0000-0000-0000F43B0000}"/>
    <cellStyle name="RowTitles-Col2 3 4 2 3" xfId="15330" xr:uid="{00000000-0005-0000-0000-0000F53B0000}"/>
    <cellStyle name="RowTitles-Col2 3 4 2 3 2" xfId="15331" xr:uid="{00000000-0005-0000-0000-0000F63B0000}"/>
    <cellStyle name="RowTitles-Col2 3 4 2 3 2 2" xfId="15332" xr:uid="{00000000-0005-0000-0000-0000F73B0000}"/>
    <cellStyle name="RowTitles-Col2 3 4 2 3 2_Tertiary Salaries Survey" xfId="15333" xr:uid="{00000000-0005-0000-0000-0000F83B0000}"/>
    <cellStyle name="RowTitles-Col2 3 4 2 3 3" xfId="15334" xr:uid="{00000000-0005-0000-0000-0000F93B0000}"/>
    <cellStyle name="RowTitles-Col2 3 4 2 3_Tertiary Salaries Survey" xfId="15335" xr:uid="{00000000-0005-0000-0000-0000FA3B0000}"/>
    <cellStyle name="RowTitles-Col2 3 4 2 4" xfId="15336" xr:uid="{00000000-0005-0000-0000-0000FB3B0000}"/>
    <cellStyle name="RowTitles-Col2 3 4 2 5" xfId="15337" xr:uid="{00000000-0005-0000-0000-0000FC3B0000}"/>
    <cellStyle name="RowTitles-Col2 3 4 2 5 2" xfId="15338" xr:uid="{00000000-0005-0000-0000-0000FD3B0000}"/>
    <cellStyle name="RowTitles-Col2 3 4 2 5_Tertiary Salaries Survey" xfId="15339" xr:uid="{00000000-0005-0000-0000-0000FE3B0000}"/>
    <cellStyle name="RowTitles-Col2 3 4 2_Tertiary Salaries Survey" xfId="15340" xr:uid="{00000000-0005-0000-0000-0000FF3B0000}"/>
    <cellStyle name="RowTitles-Col2 3 4 3" xfId="15341" xr:uid="{00000000-0005-0000-0000-0000003C0000}"/>
    <cellStyle name="RowTitles-Col2 3 4 3 2" xfId="15342" xr:uid="{00000000-0005-0000-0000-0000013C0000}"/>
    <cellStyle name="RowTitles-Col2 3 4 3 2 2" xfId="15343" xr:uid="{00000000-0005-0000-0000-0000023C0000}"/>
    <cellStyle name="RowTitles-Col2 3 4 3 2 2 2" xfId="15344" xr:uid="{00000000-0005-0000-0000-0000033C0000}"/>
    <cellStyle name="RowTitles-Col2 3 4 3 2 2_Tertiary Salaries Survey" xfId="15345" xr:uid="{00000000-0005-0000-0000-0000043C0000}"/>
    <cellStyle name="RowTitles-Col2 3 4 3 2 3" xfId="15346" xr:uid="{00000000-0005-0000-0000-0000053C0000}"/>
    <cellStyle name="RowTitles-Col2 3 4 3 2_Tertiary Salaries Survey" xfId="15347" xr:uid="{00000000-0005-0000-0000-0000063C0000}"/>
    <cellStyle name="RowTitles-Col2 3 4 3 3" xfId="15348" xr:uid="{00000000-0005-0000-0000-0000073C0000}"/>
    <cellStyle name="RowTitles-Col2 3 4 3 3 2" xfId="15349" xr:uid="{00000000-0005-0000-0000-0000083C0000}"/>
    <cellStyle name="RowTitles-Col2 3 4 3 3 2 2" xfId="15350" xr:uid="{00000000-0005-0000-0000-0000093C0000}"/>
    <cellStyle name="RowTitles-Col2 3 4 3 3 2_Tertiary Salaries Survey" xfId="15351" xr:uid="{00000000-0005-0000-0000-00000A3C0000}"/>
    <cellStyle name="RowTitles-Col2 3 4 3 3 3" xfId="15352" xr:uid="{00000000-0005-0000-0000-00000B3C0000}"/>
    <cellStyle name="RowTitles-Col2 3 4 3 3_Tertiary Salaries Survey" xfId="15353" xr:uid="{00000000-0005-0000-0000-00000C3C0000}"/>
    <cellStyle name="RowTitles-Col2 3 4 3 4" xfId="15354" xr:uid="{00000000-0005-0000-0000-00000D3C0000}"/>
    <cellStyle name="RowTitles-Col2 3 4 3 5" xfId="15355" xr:uid="{00000000-0005-0000-0000-00000E3C0000}"/>
    <cellStyle name="RowTitles-Col2 3 4 3_Tertiary Salaries Survey" xfId="15356" xr:uid="{00000000-0005-0000-0000-00000F3C0000}"/>
    <cellStyle name="RowTitles-Col2 3 4 4" xfId="15357" xr:uid="{00000000-0005-0000-0000-0000103C0000}"/>
    <cellStyle name="RowTitles-Col2 3 4 4 2" xfId="15358" xr:uid="{00000000-0005-0000-0000-0000113C0000}"/>
    <cellStyle name="RowTitles-Col2 3 4 4 2 2" xfId="15359" xr:uid="{00000000-0005-0000-0000-0000123C0000}"/>
    <cellStyle name="RowTitles-Col2 3 4 4 2 2 2" xfId="15360" xr:uid="{00000000-0005-0000-0000-0000133C0000}"/>
    <cellStyle name="RowTitles-Col2 3 4 4 2 2_Tertiary Salaries Survey" xfId="15361" xr:uid="{00000000-0005-0000-0000-0000143C0000}"/>
    <cellStyle name="RowTitles-Col2 3 4 4 2 3" xfId="15362" xr:uid="{00000000-0005-0000-0000-0000153C0000}"/>
    <cellStyle name="RowTitles-Col2 3 4 4 2_Tertiary Salaries Survey" xfId="15363" xr:uid="{00000000-0005-0000-0000-0000163C0000}"/>
    <cellStyle name="RowTitles-Col2 3 4 4 3" xfId="15364" xr:uid="{00000000-0005-0000-0000-0000173C0000}"/>
    <cellStyle name="RowTitles-Col2 3 4 4 3 2" xfId="15365" xr:uid="{00000000-0005-0000-0000-0000183C0000}"/>
    <cellStyle name="RowTitles-Col2 3 4 4 3 2 2" xfId="15366" xr:uid="{00000000-0005-0000-0000-0000193C0000}"/>
    <cellStyle name="RowTitles-Col2 3 4 4 3 2_Tertiary Salaries Survey" xfId="15367" xr:uid="{00000000-0005-0000-0000-00001A3C0000}"/>
    <cellStyle name="RowTitles-Col2 3 4 4 3 3" xfId="15368" xr:uid="{00000000-0005-0000-0000-00001B3C0000}"/>
    <cellStyle name="RowTitles-Col2 3 4 4 3_Tertiary Salaries Survey" xfId="15369" xr:uid="{00000000-0005-0000-0000-00001C3C0000}"/>
    <cellStyle name="RowTitles-Col2 3 4 4 4" xfId="15370" xr:uid="{00000000-0005-0000-0000-00001D3C0000}"/>
    <cellStyle name="RowTitles-Col2 3 4 4 5" xfId="15371" xr:uid="{00000000-0005-0000-0000-00001E3C0000}"/>
    <cellStyle name="RowTitles-Col2 3 4 4 5 2" xfId="15372" xr:uid="{00000000-0005-0000-0000-00001F3C0000}"/>
    <cellStyle name="RowTitles-Col2 3 4 4 5_Tertiary Salaries Survey" xfId="15373" xr:uid="{00000000-0005-0000-0000-0000203C0000}"/>
    <cellStyle name="RowTitles-Col2 3 4 4 6" xfId="15374" xr:uid="{00000000-0005-0000-0000-0000213C0000}"/>
    <cellStyle name="RowTitles-Col2 3 4 4_Tertiary Salaries Survey" xfId="15375" xr:uid="{00000000-0005-0000-0000-0000223C0000}"/>
    <cellStyle name="RowTitles-Col2 3 4 5" xfId="15376" xr:uid="{00000000-0005-0000-0000-0000233C0000}"/>
    <cellStyle name="RowTitles-Col2 3 4 5 2" xfId="15377" xr:uid="{00000000-0005-0000-0000-0000243C0000}"/>
    <cellStyle name="RowTitles-Col2 3 4 5 2 2" xfId="15378" xr:uid="{00000000-0005-0000-0000-0000253C0000}"/>
    <cellStyle name="RowTitles-Col2 3 4 5 2 2 2" xfId="15379" xr:uid="{00000000-0005-0000-0000-0000263C0000}"/>
    <cellStyle name="RowTitles-Col2 3 4 5 2 2_Tertiary Salaries Survey" xfId="15380" xr:uid="{00000000-0005-0000-0000-0000273C0000}"/>
    <cellStyle name="RowTitles-Col2 3 4 5 2 3" xfId="15381" xr:uid="{00000000-0005-0000-0000-0000283C0000}"/>
    <cellStyle name="RowTitles-Col2 3 4 5 2_Tertiary Salaries Survey" xfId="15382" xr:uid="{00000000-0005-0000-0000-0000293C0000}"/>
    <cellStyle name="RowTitles-Col2 3 4 5 3" xfId="15383" xr:uid="{00000000-0005-0000-0000-00002A3C0000}"/>
    <cellStyle name="RowTitles-Col2 3 4 5 3 2" xfId="15384" xr:uid="{00000000-0005-0000-0000-00002B3C0000}"/>
    <cellStyle name="RowTitles-Col2 3 4 5 3 2 2" xfId="15385" xr:uid="{00000000-0005-0000-0000-00002C3C0000}"/>
    <cellStyle name="RowTitles-Col2 3 4 5 3 2_Tertiary Salaries Survey" xfId="15386" xr:uid="{00000000-0005-0000-0000-00002D3C0000}"/>
    <cellStyle name="RowTitles-Col2 3 4 5 3 3" xfId="15387" xr:uid="{00000000-0005-0000-0000-00002E3C0000}"/>
    <cellStyle name="RowTitles-Col2 3 4 5 3_Tertiary Salaries Survey" xfId="15388" xr:uid="{00000000-0005-0000-0000-00002F3C0000}"/>
    <cellStyle name="RowTitles-Col2 3 4 5 4" xfId="15389" xr:uid="{00000000-0005-0000-0000-0000303C0000}"/>
    <cellStyle name="RowTitles-Col2 3 4 5 4 2" xfId="15390" xr:uid="{00000000-0005-0000-0000-0000313C0000}"/>
    <cellStyle name="RowTitles-Col2 3 4 5 4_Tertiary Salaries Survey" xfId="15391" xr:uid="{00000000-0005-0000-0000-0000323C0000}"/>
    <cellStyle name="RowTitles-Col2 3 4 5 5" xfId="15392" xr:uid="{00000000-0005-0000-0000-0000333C0000}"/>
    <cellStyle name="RowTitles-Col2 3 4 5_Tertiary Salaries Survey" xfId="15393" xr:uid="{00000000-0005-0000-0000-0000343C0000}"/>
    <cellStyle name="RowTitles-Col2 3 4 6" xfId="15394" xr:uid="{00000000-0005-0000-0000-0000353C0000}"/>
    <cellStyle name="RowTitles-Col2 3 4 6 2" xfId="15395" xr:uid="{00000000-0005-0000-0000-0000363C0000}"/>
    <cellStyle name="RowTitles-Col2 3 4 6 2 2" xfId="15396" xr:uid="{00000000-0005-0000-0000-0000373C0000}"/>
    <cellStyle name="RowTitles-Col2 3 4 6 2 2 2" xfId="15397" xr:uid="{00000000-0005-0000-0000-0000383C0000}"/>
    <cellStyle name="RowTitles-Col2 3 4 6 2 2_Tertiary Salaries Survey" xfId="15398" xr:uid="{00000000-0005-0000-0000-0000393C0000}"/>
    <cellStyle name="RowTitles-Col2 3 4 6 2 3" xfId="15399" xr:uid="{00000000-0005-0000-0000-00003A3C0000}"/>
    <cellStyle name="RowTitles-Col2 3 4 6 2_Tertiary Salaries Survey" xfId="15400" xr:uid="{00000000-0005-0000-0000-00003B3C0000}"/>
    <cellStyle name="RowTitles-Col2 3 4 6 3" xfId="15401" xr:uid="{00000000-0005-0000-0000-00003C3C0000}"/>
    <cellStyle name="RowTitles-Col2 3 4 6 3 2" xfId="15402" xr:uid="{00000000-0005-0000-0000-00003D3C0000}"/>
    <cellStyle name="RowTitles-Col2 3 4 6 3 2 2" xfId="15403" xr:uid="{00000000-0005-0000-0000-00003E3C0000}"/>
    <cellStyle name="RowTitles-Col2 3 4 6 3 2_Tertiary Salaries Survey" xfId="15404" xr:uid="{00000000-0005-0000-0000-00003F3C0000}"/>
    <cellStyle name="RowTitles-Col2 3 4 6 3 3" xfId="15405" xr:uid="{00000000-0005-0000-0000-0000403C0000}"/>
    <cellStyle name="RowTitles-Col2 3 4 6 3_Tertiary Salaries Survey" xfId="15406" xr:uid="{00000000-0005-0000-0000-0000413C0000}"/>
    <cellStyle name="RowTitles-Col2 3 4 6 4" xfId="15407" xr:uid="{00000000-0005-0000-0000-0000423C0000}"/>
    <cellStyle name="RowTitles-Col2 3 4 6 4 2" xfId="15408" xr:uid="{00000000-0005-0000-0000-0000433C0000}"/>
    <cellStyle name="RowTitles-Col2 3 4 6 4_Tertiary Salaries Survey" xfId="15409" xr:uid="{00000000-0005-0000-0000-0000443C0000}"/>
    <cellStyle name="RowTitles-Col2 3 4 6 5" xfId="15410" xr:uid="{00000000-0005-0000-0000-0000453C0000}"/>
    <cellStyle name="RowTitles-Col2 3 4 6_Tertiary Salaries Survey" xfId="15411" xr:uid="{00000000-0005-0000-0000-0000463C0000}"/>
    <cellStyle name="RowTitles-Col2 3 4 7" xfId="15412" xr:uid="{00000000-0005-0000-0000-0000473C0000}"/>
    <cellStyle name="RowTitles-Col2 3 4 7 2" xfId="15413" xr:uid="{00000000-0005-0000-0000-0000483C0000}"/>
    <cellStyle name="RowTitles-Col2 3 4 7 2 2" xfId="15414" xr:uid="{00000000-0005-0000-0000-0000493C0000}"/>
    <cellStyle name="RowTitles-Col2 3 4 7 2_Tertiary Salaries Survey" xfId="15415" xr:uid="{00000000-0005-0000-0000-00004A3C0000}"/>
    <cellStyle name="RowTitles-Col2 3 4 7 3" xfId="15416" xr:uid="{00000000-0005-0000-0000-00004B3C0000}"/>
    <cellStyle name="RowTitles-Col2 3 4 7_Tertiary Salaries Survey" xfId="15417" xr:uid="{00000000-0005-0000-0000-00004C3C0000}"/>
    <cellStyle name="RowTitles-Col2 3 4 8" xfId="15418" xr:uid="{00000000-0005-0000-0000-00004D3C0000}"/>
    <cellStyle name="RowTitles-Col2 3 4_STUD aligned by INSTIT" xfId="15419" xr:uid="{00000000-0005-0000-0000-00004E3C0000}"/>
    <cellStyle name="RowTitles-Col2 3 5" xfId="15420" xr:uid="{00000000-0005-0000-0000-00004F3C0000}"/>
    <cellStyle name="RowTitles-Col2 3 5 2" xfId="15421" xr:uid="{00000000-0005-0000-0000-0000503C0000}"/>
    <cellStyle name="RowTitles-Col2 3 5 2 2" xfId="15422" xr:uid="{00000000-0005-0000-0000-0000513C0000}"/>
    <cellStyle name="RowTitles-Col2 3 5 2 2 2" xfId="15423" xr:uid="{00000000-0005-0000-0000-0000523C0000}"/>
    <cellStyle name="RowTitles-Col2 3 5 2 2_Tertiary Salaries Survey" xfId="15424" xr:uid="{00000000-0005-0000-0000-0000533C0000}"/>
    <cellStyle name="RowTitles-Col2 3 5 2 3" xfId="15425" xr:uid="{00000000-0005-0000-0000-0000543C0000}"/>
    <cellStyle name="RowTitles-Col2 3 5 2_Tertiary Salaries Survey" xfId="15426" xr:uid="{00000000-0005-0000-0000-0000553C0000}"/>
    <cellStyle name="RowTitles-Col2 3 5 3" xfId="15427" xr:uid="{00000000-0005-0000-0000-0000563C0000}"/>
    <cellStyle name="RowTitles-Col2 3 5 3 2" xfId="15428" xr:uid="{00000000-0005-0000-0000-0000573C0000}"/>
    <cellStyle name="RowTitles-Col2 3 5 3 2 2" xfId="15429" xr:uid="{00000000-0005-0000-0000-0000583C0000}"/>
    <cellStyle name="RowTitles-Col2 3 5 3 2_Tertiary Salaries Survey" xfId="15430" xr:uid="{00000000-0005-0000-0000-0000593C0000}"/>
    <cellStyle name="RowTitles-Col2 3 5 3 3" xfId="15431" xr:uid="{00000000-0005-0000-0000-00005A3C0000}"/>
    <cellStyle name="RowTitles-Col2 3 5 3_Tertiary Salaries Survey" xfId="15432" xr:uid="{00000000-0005-0000-0000-00005B3C0000}"/>
    <cellStyle name="RowTitles-Col2 3 5 4" xfId="15433" xr:uid="{00000000-0005-0000-0000-00005C3C0000}"/>
    <cellStyle name="RowTitles-Col2 3 5 5" xfId="15434" xr:uid="{00000000-0005-0000-0000-00005D3C0000}"/>
    <cellStyle name="RowTitles-Col2 3 5 5 2" xfId="15435" xr:uid="{00000000-0005-0000-0000-00005E3C0000}"/>
    <cellStyle name="RowTitles-Col2 3 5 5_Tertiary Salaries Survey" xfId="15436" xr:uid="{00000000-0005-0000-0000-00005F3C0000}"/>
    <cellStyle name="RowTitles-Col2 3 5_Tertiary Salaries Survey" xfId="15437" xr:uid="{00000000-0005-0000-0000-0000603C0000}"/>
    <cellStyle name="RowTitles-Col2 3 6" xfId="15438" xr:uid="{00000000-0005-0000-0000-0000613C0000}"/>
    <cellStyle name="RowTitles-Col2 3 6 2" xfId="15439" xr:uid="{00000000-0005-0000-0000-0000623C0000}"/>
    <cellStyle name="RowTitles-Col2 3 6 2 2" xfId="15440" xr:uid="{00000000-0005-0000-0000-0000633C0000}"/>
    <cellStyle name="RowTitles-Col2 3 6 2 2 2" xfId="15441" xr:uid="{00000000-0005-0000-0000-0000643C0000}"/>
    <cellStyle name="RowTitles-Col2 3 6 2 2_Tertiary Salaries Survey" xfId="15442" xr:uid="{00000000-0005-0000-0000-0000653C0000}"/>
    <cellStyle name="RowTitles-Col2 3 6 2 3" xfId="15443" xr:uid="{00000000-0005-0000-0000-0000663C0000}"/>
    <cellStyle name="RowTitles-Col2 3 6 2_Tertiary Salaries Survey" xfId="15444" xr:uid="{00000000-0005-0000-0000-0000673C0000}"/>
    <cellStyle name="RowTitles-Col2 3 6 3" xfId="15445" xr:uid="{00000000-0005-0000-0000-0000683C0000}"/>
    <cellStyle name="RowTitles-Col2 3 6 3 2" xfId="15446" xr:uid="{00000000-0005-0000-0000-0000693C0000}"/>
    <cellStyle name="RowTitles-Col2 3 6 3 2 2" xfId="15447" xr:uid="{00000000-0005-0000-0000-00006A3C0000}"/>
    <cellStyle name="RowTitles-Col2 3 6 3 2_Tertiary Salaries Survey" xfId="15448" xr:uid="{00000000-0005-0000-0000-00006B3C0000}"/>
    <cellStyle name="RowTitles-Col2 3 6 3 3" xfId="15449" xr:uid="{00000000-0005-0000-0000-00006C3C0000}"/>
    <cellStyle name="RowTitles-Col2 3 6 3_Tertiary Salaries Survey" xfId="15450" xr:uid="{00000000-0005-0000-0000-00006D3C0000}"/>
    <cellStyle name="RowTitles-Col2 3 6 4" xfId="15451" xr:uid="{00000000-0005-0000-0000-00006E3C0000}"/>
    <cellStyle name="RowTitles-Col2 3 6 5" xfId="15452" xr:uid="{00000000-0005-0000-0000-00006F3C0000}"/>
    <cellStyle name="RowTitles-Col2 3 6_Tertiary Salaries Survey" xfId="15453" xr:uid="{00000000-0005-0000-0000-0000703C0000}"/>
    <cellStyle name="RowTitles-Col2 3 7" xfId="15454" xr:uid="{00000000-0005-0000-0000-0000713C0000}"/>
    <cellStyle name="RowTitles-Col2 3 7 2" xfId="15455" xr:uid="{00000000-0005-0000-0000-0000723C0000}"/>
    <cellStyle name="RowTitles-Col2 3 7 2 2" xfId="15456" xr:uid="{00000000-0005-0000-0000-0000733C0000}"/>
    <cellStyle name="RowTitles-Col2 3 7 2 2 2" xfId="15457" xr:uid="{00000000-0005-0000-0000-0000743C0000}"/>
    <cellStyle name="RowTitles-Col2 3 7 2 2_Tertiary Salaries Survey" xfId="15458" xr:uid="{00000000-0005-0000-0000-0000753C0000}"/>
    <cellStyle name="RowTitles-Col2 3 7 2 3" xfId="15459" xr:uid="{00000000-0005-0000-0000-0000763C0000}"/>
    <cellStyle name="RowTitles-Col2 3 7 2_Tertiary Salaries Survey" xfId="15460" xr:uid="{00000000-0005-0000-0000-0000773C0000}"/>
    <cellStyle name="RowTitles-Col2 3 7 3" xfId="15461" xr:uid="{00000000-0005-0000-0000-0000783C0000}"/>
    <cellStyle name="RowTitles-Col2 3 7 3 2" xfId="15462" xr:uid="{00000000-0005-0000-0000-0000793C0000}"/>
    <cellStyle name="RowTitles-Col2 3 7 3 2 2" xfId="15463" xr:uid="{00000000-0005-0000-0000-00007A3C0000}"/>
    <cellStyle name="RowTitles-Col2 3 7 3 2_Tertiary Salaries Survey" xfId="15464" xr:uid="{00000000-0005-0000-0000-00007B3C0000}"/>
    <cellStyle name="RowTitles-Col2 3 7 3 3" xfId="15465" xr:uid="{00000000-0005-0000-0000-00007C3C0000}"/>
    <cellStyle name="RowTitles-Col2 3 7 3_Tertiary Salaries Survey" xfId="15466" xr:uid="{00000000-0005-0000-0000-00007D3C0000}"/>
    <cellStyle name="RowTitles-Col2 3 7 4" xfId="15467" xr:uid="{00000000-0005-0000-0000-00007E3C0000}"/>
    <cellStyle name="RowTitles-Col2 3 7 5" xfId="15468" xr:uid="{00000000-0005-0000-0000-00007F3C0000}"/>
    <cellStyle name="RowTitles-Col2 3 7 5 2" xfId="15469" xr:uid="{00000000-0005-0000-0000-0000803C0000}"/>
    <cellStyle name="RowTitles-Col2 3 7 5_Tertiary Salaries Survey" xfId="15470" xr:uid="{00000000-0005-0000-0000-0000813C0000}"/>
    <cellStyle name="RowTitles-Col2 3 7 6" xfId="15471" xr:uid="{00000000-0005-0000-0000-0000823C0000}"/>
    <cellStyle name="RowTitles-Col2 3 7_Tertiary Salaries Survey" xfId="15472" xr:uid="{00000000-0005-0000-0000-0000833C0000}"/>
    <cellStyle name="RowTitles-Col2 3 8" xfId="15473" xr:uid="{00000000-0005-0000-0000-0000843C0000}"/>
    <cellStyle name="RowTitles-Col2 3 8 2" xfId="15474" xr:uid="{00000000-0005-0000-0000-0000853C0000}"/>
    <cellStyle name="RowTitles-Col2 3 8 2 2" xfId="15475" xr:uid="{00000000-0005-0000-0000-0000863C0000}"/>
    <cellStyle name="RowTitles-Col2 3 8 2 2 2" xfId="15476" xr:uid="{00000000-0005-0000-0000-0000873C0000}"/>
    <cellStyle name="RowTitles-Col2 3 8 2 2_Tertiary Salaries Survey" xfId="15477" xr:uid="{00000000-0005-0000-0000-0000883C0000}"/>
    <cellStyle name="RowTitles-Col2 3 8 2 3" xfId="15478" xr:uid="{00000000-0005-0000-0000-0000893C0000}"/>
    <cellStyle name="RowTitles-Col2 3 8 2_Tertiary Salaries Survey" xfId="15479" xr:uid="{00000000-0005-0000-0000-00008A3C0000}"/>
    <cellStyle name="RowTitles-Col2 3 8 3" xfId="15480" xr:uid="{00000000-0005-0000-0000-00008B3C0000}"/>
    <cellStyle name="RowTitles-Col2 3 8 3 2" xfId="15481" xr:uid="{00000000-0005-0000-0000-00008C3C0000}"/>
    <cellStyle name="RowTitles-Col2 3 8 3 2 2" xfId="15482" xr:uid="{00000000-0005-0000-0000-00008D3C0000}"/>
    <cellStyle name="RowTitles-Col2 3 8 3 2_Tertiary Salaries Survey" xfId="15483" xr:uid="{00000000-0005-0000-0000-00008E3C0000}"/>
    <cellStyle name="RowTitles-Col2 3 8 3 3" xfId="15484" xr:uid="{00000000-0005-0000-0000-00008F3C0000}"/>
    <cellStyle name="RowTitles-Col2 3 8 3_Tertiary Salaries Survey" xfId="15485" xr:uid="{00000000-0005-0000-0000-0000903C0000}"/>
    <cellStyle name="RowTitles-Col2 3 8 4" xfId="15486" xr:uid="{00000000-0005-0000-0000-0000913C0000}"/>
    <cellStyle name="RowTitles-Col2 3 8 4 2" xfId="15487" xr:uid="{00000000-0005-0000-0000-0000923C0000}"/>
    <cellStyle name="RowTitles-Col2 3 8 4_Tertiary Salaries Survey" xfId="15488" xr:uid="{00000000-0005-0000-0000-0000933C0000}"/>
    <cellStyle name="RowTitles-Col2 3 8 5" xfId="15489" xr:uid="{00000000-0005-0000-0000-0000943C0000}"/>
    <cellStyle name="RowTitles-Col2 3 8_Tertiary Salaries Survey" xfId="15490" xr:uid="{00000000-0005-0000-0000-0000953C0000}"/>
    <cellStyle name="RowTitles-Col2 3 9" xfId="15491" xr:uid="{00000000-0005-0000-0000-0000963C0000}"/>
    <cellStyle name="RowTitles-Col2 3 9 2" xfId="15492" xr:uid="{00000000-0005-0000-0000-0000973C0000}"/>
    <cellStyle name="RowTitles-Col2 3 9 2 2" xfId="15493" xr:uid="{00000000-0005-0000-0000-0000983C0000}"/>
    <cellStyle name="RowTitles-Col2 3 9 2 2 2" xfId="15494" xr:uid="{00000000-0005-0000-0000-0000993C0000}"/>
    <cellStyle name="RowTitles-Col2 3 9 2 2_Tertiary Salaries Survey" xfId="15495" xr:uid="{00000000-0005-0000-0000-00009A3C0000}"/>
    <cellStyle name="RowTitles-Col2 3 9 2 3" xfId="15496" xr:uid="{00000000-0005-0000-0000-00009B3C0000}"/>
    <cellStyle name="RowTitles-Col2 3 9 2_Tertiary Salaries Survey" xfId="15497" xr:uid="{00000000-0005-0000-0000-00009C3C0000}"/>
    <cellStyle name="RowTitles-Col2 3 9 3" xfId="15498" xr:uid="{00000000-0005-0000-0000-00009D3C0000}"/>
    <cellStyle name="RowTitles-Col2 3 9 3 2" xfId="15499" xr:uid="{00000000-0005-0000-0000-00009E3C0000}"/>
    <cellStyle name="RowTitles-Col2 3 9 3 2 2" xfId="15500" xr:uid="{00000000-0005-0000-0000-00009F3C0000}"/>
    <cellStyle name="RowTitles-Col2 3 9 3 2_Tertiary Salaries Survey" xfId="15501" xr:uid="{00000000-0005-0000-0000-0000A03C0000}"/>
    <cellStyle name="RowTitles-Col2 3 9 3 3" xfId="15502" xr:uid="{00000000-0005-0000-0000-0000A13C0000}"/>
    <cellStyle name="RowTitles-Col2 3 9 3_Tertiary Salaries Survey" xfId="15503" xr:uid="{00000000-0005-0000-0000-0000A23C0000}"/>
    <cellStyle name="RowTitles-Col2 3 9 4" xfId="15504" xr:uid="{00000000-0005-0000-0000-0000A33C0000}"/>
    <cellStyle name="RowTitles-Col2 3 9 4 2" xfId="15505" xr:uid="{00000000-0005-0000-0000-0000A43C0000}"/>
    <cellStyle name="RowTitles-Col2 3 9 4_Tertiary Salaries Survey" xfId="15506" xr:uid="{00000000-0005-0000-0000-0000A53C0000}"/>
    <cellStyle name="RowTitles-Col2 3 9 5" xfId="15507" xr:uid="{00000000-0005-0000-0000-0000A63C0000}"/>
    <cellStyle name="RowTitles-Col2 3 9_Tertiary Salaries Survey" xfId="15508" xr:uid="{00000000-0005-0000-0000-0000A73C0000}"/>
    <cellStyle name="RowTitles-Col2 3_STUD aligned by INSTIT" xfId="15509" xr:uid="{00000000-0005-0000-0000-0000A83C0000}"/>
    <cellStyle name="RowTitles-Col2 4" xfId="15510" xr:uid="{00000000-0005-0000-0000-0000A93C0000}"/>
    <cellStyle name="RowTitles-Col2 4 2" xfId="15511" xr:uid="{00000000-0005-0000-0000-0000AA3C0000}"/>
    <cellStyle name="RowTitles-Col2 4 2 2" xfId="15512" xr:uid="{00000000-0005-0000-0000-0000AB3C0000}"/>
    <cellStyle name="RowTitles-Col2 4 2 2 2" xfId="15513" xr:uid="{00000000-0005-0000-0000-0000AC3C0000}"/>
    <cellStyle name="RowTitles-Col2 4 2 2 2 2" xfId="15514" xr:uid="{00000000-0005-0000-0000-0000AD3C0000}"/>
    <cellStyle name="RowTitles-Col2 4 2 2 2_Tertiary Salaries Survey" xfId="15515" xr:uid="{00000000-0005-0000-0000-0000AE3C0000}"/>
    <cellStyle name="RowTitles-Col2 4 2 2 3" xfId="15516" xr:uid="{00000000-0005-0000-0000-0000AF3C0000}"/>
    <cellStyle name="RowTitles-Col2 4 2 2_Tertiary Salaries Survey" xfId="15517" xr:uid="{00000000-0005-0000-0000-0000B03C0000}"/>
    <cellStyle name="RowTitles-Col2 4 2 3" xfId="15518" xr:uid="{00000000-0005-0000-0000-0000B13C0000}"/>
    <cellStyle name="RowTitles-Col2 4 2 3 2" xfId="15519" xr:uid="{00000000-0005-0000-0000-0000B23C0000}"/>
    <cellStyle name="RowTitles-Col2 4 2 3 2 2" xfId="15520" xr:uid="{00000000-0005-0000-0000-0000B33C0000}"/>
    <cellStyle name="RowTitles-Col2 4 2 3 2_Tertiary Salaries Survey" xfId="15521" xr:uid="{00000000-0005-0000-0000-0000B43C0000}"/>
    <cellStyle name="RowTitles-Col2 4 2 3 3" xfId="15522" xr:uid="{00000000-0005-0000-0000-0000B53C0000}"/>
    <cellStyle name="RowTitles-Col2 4 2 3_Tertiary Salaries Survey" xfId="15523" xr:uid="{00000000-0005-0000-0000-0000B63C0000}"/>
    <cellStyle name="RowTitles-Col2 4 2 4" xfId="15524" xr:uid="{00000000-0005-0000-0000-0000B73C0000}"/>
    <cellStyle name="RowTitles-Col2 4 2_Tertiary Salaries Survey" xfId="15525" xr:uid="{00000000-0005-0000-0000-0000B83C0000}"/>
    <cellStyle name="RowTitles-Col2 4 3" xfId="15526" xr:uid="{00000000-0005-0000-0000-0000B93C0000}"/>
    <cellStyle name="RowTitles-Col2 4 3 2" xfId="15527" xr:uid="{00000000-0005-0000-0000-0000BA3C0000}"/>
    <cellStyle name="RowTitles-Col2 4 3 2 2" xfId="15528" xr:uid="{00000000-0005-0000-0000-0000BB3C0000}"/>
    <cellStyle name="RowTitles-Col2 4 3 2 2 2" xfId="15529" xr:uid="{00000000-0005-0000-0000-0000BC3C0000}"/>
    <cellStyle name="RowTitles-Col2 4 3 2 2_Tertiary Salaries Survey" xfId="15530" xr:uid="{00000000-0005-0000-0000-0000BD3C0000}"/>
    <cellStyle name="RowTitles-Col2 4 3 2 3" xfId="15531" xr:uid="{00000000-0005-0000-0000-0000BE3C0000}"/>
    <cellStyle name="RowTitles-Col2 4 3 2_Tertiary Salaries Survey" xfId="15532" xr:uid="{00000000-0005-0000-0000-0000BF3C0000}"/>
    <cellStyle name="RowTitles-Col2 4 3 3" xfId="15533" xr:uid="{00000000-0005-0000-0000-0000C03C0000}"/>
    <cellStyle name="RowTitles-Col2 4 3 3 2" xfId="15534" xr:uid="{00000000-0005-0000-0000-0000C13C0000}"/>
    <cellStyle name="RowTitles-Col2 4 3 3 2 2" xfId="15535" xr:uid="{00000000-0005-0000-0000-0000C23C0000}"/>
    <cellStyle name="RowTitles-Col2 4 3 3 2_Tertiary Salaries Survey" xfId="15536" xr:uid="{00000000-0005-0000-0000-0000C33C0000}"/>
    <cellStyle name="RowTitles-Col2 4 3 3 3" xfId="15537" xr:uid="{00000000-0005-0000-0000-0000C43C0000}"/>
    <cellStyle name="RowTitles-Col2 4 3 3_Tertiary Salaries Survey" xfId="15538" xr:uid="{00000000-0005-0000-0000-0000C53C0000}"/>
    <cellStyle name="RowTitles-Col2 4 3 4" xfId="15539" xr:uid="{00000000-0005-0000-0000-0000C63C0000}"/>
    <cellStyle name="RowTitles-Col2 4 3 5" xfId="15540" xr:uid="{00000000-0005-0000-0000-0000C73C0000}"/>
    <cellStyle name="RowTitles-Col2 4 3 5 2" xfId="15541" xr:uid="{00000000-0005-0000-0000-0000C83C0000}"/>
    <cellStyle name="RowTitles-Col2 4 3 5_Tertiary Salaries Survey" xfId="15542" xr:uid="{00000000-0005-0000-0000-0000C93C0000}"/>
    <cellStyle name="RowTitles-Col2 4 3 6" xfId="15543" xr:uid="{00000000-0005-0000-0000-0000CA3C0000}"/>
    <cellStyle name="RowTitles-Col2 4 3_Tertiary Salaries Survey" xfId="15544" xr:uid="{00000000-0005-0000-0000-0000CB3C0000}"/>
    <cellStyle name="RowTitles-Col2 4 4" xfId="15545" xr:uid="{00000000-0005-0000-0000-0000CC3C0000}"/>
    <cellStyle name="RowTitles-Col2 4 4 2" xfId="15546" xr:uid="{00000000-0005-0000-0000-0000CD3C0000}"/>
    <cellStyle name="RowTitles-Col2 4 4 2 2" xfId="15547" xr:uid="{00000000-0005-0000-0000-0000CE3C0000}"/>
    <cellStyle name="RowTitles-Col2 4 4 2 2 2" xfId="15548" xr:uid="{00000000-0005-0000-0000-0000CF3C0000}"/>
    <cellStyle name="RowTitles-Col2 4 4 2 2_Tertiary Salaries Survey" xfId="15549" xr:uid="{00000000-0005-0000-0000-0000D03C0000}"/>
    <cellStyle name="RowTitles-Col2 4 4 2 3" xfId="15550" xr:uid="{00000000-0005-0000-0000-0000D13C0000}"/>
    <cellStyle name="RowTitles-Col2 4 4 2_Tertiary Salaries Survey" xfId="15551" xr:uid="{00000000-0005-0000-0000-0000D23C0000}"/>
    <cellStyle name="RowTitles-Col2 4 4 3" xfId="15552" xr:uid="{00000000-0005-0000-0000-0000D33C0000}"/>
    <cellStyle name="RowTitles-Col2 4 4 3 2" xfId="15553" xr:uid="{00000000-0005-0000-0000-0000D43C0000}"/>
    <cellStyle name="RowTitles-Col2 4 4 3 2 2" xfId="15554" xr:uid="{00000000-0005-0000-0000-0000D53C0000}"/>
    <cellStyle name="RowTitles-Col2 4 4 3 2_Tertiary Salaries Survey" xfId="15555" xr:uid="{00000000-0005-0000-0000-0000D63C0000}"/>
    <cellStyle name="RowTitles-Col2 4 4 3 3" xfId="15556" xr:uid="{00000000-0005-0000-0000-0000D73C0000}"/>
    <cellStyle name="RowTitles-Col2 4 4 3_Tertiary Salaries Survey" xfId="15557" xr:uid="{00000000-0005-0000-0000-0000D83C0000}"/>
    <cellStyle name="RowTitles-Col2 4 4 4" xfId="15558" xr:uid="{00000000-0005-0000-0000-0000D93C0000}"/>
    <cellStyle name="RowTitles-Col2 4 4 4 2" xfId="15559" xr:uid="{00000000-0005-0000-0000-0000DA3C0000}"/>
    <cellStyle name="RowTitles-Col2 4 4 4_Tertiary Salaries Survey" xfId="15560" xr:uid="{00000000-0005-0000-0000-0000DB3C0000}"/>
    <cellStyle name="RowTitles-Col2 4 4 5" xfId="15561" xr:uid="{00000000-0005-0000-0000-0000DC3C0000}"/>
    <cellStyle name="RowTitles-Col2 4 4_Tertiary Salaries Survey" xfId="15562" xr:uid="{00000000-0005-0000-0000-0000DD3C0000}"/>
    <cellStyle name="RowTitles-Col2 4 5" xfId="15563" xr:uid="{00000000-0005-0000-0000-0000DE3C0000}"/>
    <cellStyle name="RowTitles-Col2 4 5 2" xfId="15564" xr:uid="{00000000-0005-0000-0000-0000DF3C0000}"/>
    <cellStyle name="RowTitles-Col2 4 5 2 2" xfId="15565" xr:uid="{00000000-0005-0000-0000-0000E03C0000}"/>
    <cellStyle name="RowTitles-Col2 4 5 2 2 2" xfId="15566" xr:uid="{00000000-0005-0000-0000-0000E13C0000}"/>
    <cellStyle name="RowTitles-Col2 4 5 2 2_Tertiary Salaries Survey" xfId="15567" xr:uid="{00000000-0005-0000-0000-0000E23C0000}"/>
    <cellStyle name="RowTitles-Col2 4 5 2 3" xfId="15568" xr:uid="{00000000-0005-0000-0000-0000E33C0000}"/>
    <cellStyle name="RowTitles-Col2 4 5 2_Tertiary Salaries Survey" xfId="15569" xr:uid="{00000000-0005-0000-0000-0000E43C0000}"/>
    <cellStyle name="RowTitles-Col2 4 5 3" xfId="15570" xr:uid="{00000000-0005-0000-0000-0000E53C0000}"/>
    <cellStyle name="RowTitles-Col2 4 5 3 2" xfId="15571" xr:uid="{00000000-0005-0000-0000-0000E63C0000}"/>
    <cellStyle name="RowTitles-Col2 4 5 3 2 2" xfId="15572" xr:uid="{00000000-0005-0000-0000-0000E73C0000}"/>
    <cellStyle name="RowTitles-Col2 4 5 3 2_Tertiary Salaries Survey" xfId="15573" xr:uid="{00000000-0005-0000-0000-0000E83C0000}"/>
    <cellStyle name="RowTitles-Col2 4 5 3 3" xfId="15574" xr:uid="{00000000-0005-0000-0000-0000E93C0000}"/>
    <cellStyle name="RowTitles-Col2 4 5 3_Tertiary Salaries Survey" xfId="15575" xr:uid="{00000000-0005-0000-0000-0000EA3C0000}"/>
    <cellStyle name="RowTitles-Col2 4 5 4" xfId="15576" xr:uid="{00000000-0005-0000-0000-0000EB3C0000}"/>
    <cellStyle name="RowTitles-Col2 4 5 4 2" xfId="15577" xr:uid="{00000000-0005-0000-0000-0000EC3C0000}"/>
    <cellStyle name="RowTitles-Col2 4 5 4_Tertiary Salaries Survey" xfId="15578" xr:uid="{00000000-0005-0000-0000-0000ED3C0000}"/>
    <cellStyle name="RowTitles-Col2 4 5 5" xfId="15579" xr:uid="{00000000-0005-0000-0000-0000EE3C0000}"/>
    <cellStyle name="RowTitles-Col2 4 5_Tertiary Salaries Survey" xfId="15580" xr:uid="{00000000-0005-0000-0000-0000EF3C0000}"/>
    <cellStyle name="RowTitles-Col2 4 6" xfId="15581" xr:uid="{00000000-0005-0000-0000-0000F03C0000}"/>
    <cellStyle name="RowTitles-Col2 4 6 2" xfId="15582" xr:uid="{00000000-0005-0000-0000-0000F13C0000}"/>
    <cellStyle name="RowTitles-Col2 4 6 2 2" xfId="15583" xr:uid="{00000000-0005-0000-0000-0000F23C0000}"/>
    <cellStyle name="RowTitles-Col2 4 6 2 2 2" xfId="15584" xr:uid="{00000000-0005-0000-0000-0000F33C0000}"/>
    <cellStyle name="RowTitles-Col2 4 6 2 2_Tertiary Salaries Survey" xfId="15585" xr:uid="{00000000-0005-0000-0000-0000F43C0000}"/>
    <cellStyle name="RowTitles-Col2 4 6 2 3" xfId="15586" xr:uid="{00000000-0005-0000-0000-0000F53C0000}"/>
    <cellStyle name="RowTitles-Col2 4 6 2_Tertiary Salaries Survey" xfId="15587" xr:uid="{00000000-0005-0000-0000-0000F63C0000}"/>
    <cellStyle name="RowTitles-Col2 4 6 3" xfId="15588" xr:uid="{00000000-0005-0000-0000-0000F73C0000}"/>
    <cellStyle name="RowTitles-Col2 4 6 3 2" xfId="15589" xr:uid="{00000000-0005-0000-0000-0000F83C0000}"/>
    <cellStyle name="RowTitles-Col2 4 6 3 2 2" xfId="15590" xr:uid="{00000000-0005-0000-0000-0000F93C0000}"/>
    <cellStyle name="RowTitles-Col2 4 6 3 2_Tertiary Salaries Survey" xfId="15591" xr:uid="{00000000-0005-0000-0000-0000FA3C0000}"/>
    <cellStyle name="RowTitles-Col2 4 6 3 3" xfId="15592" xr:uid="{00000000-0005-0000-0000-0000FB3C0000}"/>
    <cellStyle name="RowTitles-Col2 4 6 3_Tertiary Salaries Survey" xfId="15593" xr:uid="{00000000-0005-0000-0000-0000FC3C0000}"/>
    <cellStyle name="RowTitles-Col2 4 6 4" xfId="15594" xr:uid="{00000000-0005-0000-0000-0000FD3C0000}"/>
    <cellStyle name="RowTitles-Col2 4 6 4 2" xfId="15595" xr:uid="{00000000-0005-0000-0000-0000FE3C0000}"/>
    <cellStyle name="RowTitles-Col2 4 6 4_Tertiary Salaries Survey" xfId="15596" xr:uid="{00000000-0005-0000-0000-0000FF3C0000}"/>
    <cellStyle name="RowTitles-Col2 4 6 5" xfId="15597" xr:uid="{00000000-0005-0000-0000-0000003D0000}"/>
    <cellStyle name="RowTitles-Col2 4 6_Tertiary Salaries Survey" xfId="15598" xr:uid="{00000000-0005-0000-0000-0000013D0000}"/>
    <cellStyle name="RowTitles-Col2 4 7" xfId="15599" xr:uid="{00000000-0005-0000-0000-0000023D0000}"/>
    <cellStyle name="RowTitles-Col2 4 7 2" xfId="15600" xr:uid="{00000000-0005-0000-0000-0000033D0000}"/>
    <cellStyle name="RowTitles-Col2 4 7 2 2" xfId="15601" xr:uid="{00000000-0005-0000-0000-0000043D0000}"/>
    <cellStyle name="RowTitles-Col2 4 7 2_Tertiary Salaries Survey" xfId="15602" xr:uid="{00000000-0005-0000-0000-0000053D0000}"/>
    <cellStyle name="RowTitles-Col2 4 7 3" xfId="15603" xr:uid="{00000000-0005-0000-0000-0000063D0000}"/>
    <cellStyle name="RowTitles-Col2 4 7_Tertiary Salaries Survey" xfId="15604" xr:uid="{00000000-0005-0000-0000-0000073D0000}"/>
    <cellStyle name="RowTitles-Col2 4 8" xfId="15605" xr:uid="{00000000-0005-0000-0000-0000083D0000}"/>
    <cellStyle name="RowTitles-Col2 4_STUD aligned by INSTIT" xfId="15606" xr:uid="{00000000-0005-0000-0000-0000093D0000}"/>
    <cellStyle name="RowTitles-Col2 5" xfId="15607" xr:uid="{00000000-0005-0000-0000-00000A3D0000}"/>
    <cellStyle name="RowTitles-Col2 5 2" xfId="15608" xr:uid="{00000000-0005-0000-0000-00000B3D0000}"/>
    <cellStyle name="RowTitles-Col2 5 2 2" xfId="15609" xr:uid="{00000000-0005-0000-0000-00000C3D0000}"/>
    <cellStyle name="RowTitles-Col2 5 2 2 2" xfId="15610" xr:uid="{00000000-0005-0000-0000-00000D3D0000}"/>
    <cellStyle name="RowTitles-Col2 5 2 2 2 2" xfId="15611" xr:uid="{00000000-0005-0000-0000-00000E3D0000}"/>
    <cellStyle name="RowTitles-Col2 5 2 2 2_Tertiary Salaries Survey" xfId="15612" xr:uid="{00000000-0005-0000-0000-00000F3D0000}"/>
    <cellStyle name="RowTitles-Col2 5 2 2 3" xfId="15613" xr:uid="{00000000-0005-0000-0000-0000103D0000}"/>
    <cellStyle name="RowTitles-Col2 5 2 2_Tertiary Salaries Survey" xfId="15614" xr:uid="{00000000-0005-0000-0000-0000113D0000}"/>
    <cellStyle name="RowTitles-Col2 5 2 3" xfId="15615" xr:uid="{00000000-0005-0000-0000-0000123D0000}"/>
    <cellStyle name="RowTitles-Col2 5 2 3 2" xfId="15616" xr:uid="{00000000-0005-0000-0000-0000133D0000}"/>
    <cellStyle name="RowTitles-Col2 5 2 3 2 2" xfId="15617" xr:uid="{00000000-0005-0000-0000-0000143D0000}"/>
    <cellStyle name="RowTitles-Col2 5 2 3 2_Tertiary Salaries Survey" xfId="15618" xr:uid="{00000000-0005-0000-0000-0000153D0000}"/>
    <cellStyle name="RowTitles-Col2 5 2 3 3" xfId="15619" xr:uid="{00000000-0005-0000-0000-0000163D0000}"/>
    <cellStyle name="RowTitles-Col2 5 2 3_Tertiary Salaries Survey" xfId="15620" xr:uid="{00000000-0005-0000-0000-0000173D0000}"/>
    <cellStyle name="RowTitles-Col2 5 2 4" xfId="15621" xr:uid="{00000000-0005-0000-0000-0000183D0000}"/>
    <cellStyle name="RowTitles-Col2 5 2 5" xfId="15622" xr:uid="{00000000-0005-0000-0000-0000193D0000}"/>
    <cellStyle name="RowTitles-Col2 5 2 5 2" xfId="15623" xr:uid="{00000000-0005-0000-0000-00001A3D0000}"/>
    <cellStyle name="RowTitles-Col2 5 2 5_Tertiary Salaries Survey" xfId="15624" xr:uid="{00000000-0005-0000-0000-00001B3D0000}"/>
    <cellStyle name="RowTitles-Col2 5 2 6" xfId="15625" xr:uid="{00000000-0005-0000-0000-00001C3D0000}"/>
    <cellStyle name="RowTitles-Col2 5 2_Tertiary Salaries Survey" xfId="15626" xr:uid="{00000000-0005-0000-0000-00001D3D0000}"/>
    <cellStyle name="RowTitles-Col2 5 3" xfId="15627" xr:uid="{00000000-0005-0000-0000-00001E3D0000}"/>
    <cellStyle name="RowTitles-Col2 5 3 2" xfId="15628" xr:uid="{00000000-0005-0000-0000-00001F3D0000}"/>
    <cellStyle name="RowTitles-Col2 5 3 2 2" xfId="15629" xr:uid="{00000000-0005-0000-0000-0000203D0000}"/>
    <cellStyle name="RowTitles-Col2 5 3 2 2 2" xfId="15630" xr:uid="{00000000-0005-0000-0000-0000213D0000}"/>
    <cellStyle name="RowTitles-Col2 5 3 2 2_Tertiary Salaries Survey" xfId="15631" xr:uid="{00000000-0005-0000-0000-0000223D0000}"/>
    <cellStyle name="RowTitles-Col2 5 3 2 3" xfId="15632" xr:uid="{00000000-0005-0000-0000-0000233D0000}"/>
    <cellStyle name="RowTitles-Col2 5 3 2_Tertiary Salaries Survey" xfId="15633" xr:uid="{00000000-0005-0000-0000-0000243D0000}"/>
    <cellStyle name="RowTitles-Col2 5 3 3" xfId="15634" xr:uid="{00000000-0005-0000-0000-0000253D0000}"/>
    <cellStyle name="RowTitles-Col2 5 3 3 2" xfId="15635" xr:uid="{00000000-0005-0000-0000-0000263D0000}"/>
    <cellStyle name="RowTitles-Col2 5 3 3 2 2" xfId="15636" xr:uid="{00000000-0005-0000-0000-0000273D0000}"/>
    <cellStyle name="RowTitles-Col2 5 3 3 2_Tertiary Salaries Survey" xfId="15637" xr:uid="{00000000-0005-0000-0000-0000283D0000}"/>
    <cellStyle name="RowTitles-Col2 5 3 3 3" xfId="15638" xr:uid="{00000000-0005-0000-0000-0000293D0000}"/>
    <cellStyle name="RowTitles-Col2 5 3 3_Tertiary Salaries Survey" xfId="15639" xr:uid="{00000000-0005-0000-0000-00002A3D0000}"/>
    <cellStyle name="RowTitles-Col2 5 3 4" xfId="15640" xr:uid="{00000000-0005-0000-0000-00002B3D0000}"/>
    <cellStyle name="RowTitles-Col2 5 3_Tertiary Salaries Survey" xfId="15641" xr:uid="{00000000-0005-0000-0000-00002C3D0000}"/>
    <cellStyle name="RowTitles-Col2 5 4" xfId="15642" xr:uid="{00000000-0005-0000-0000-00002D3D0000}"/>
    <cellStyle name="RowTitles-Col2 5 4 2" xfId="15643" xr:uid="{00000000-0005-0000-0000-00002E3D0000}"/>
    <cellStyle name="RowTitles-Col2 5 4 2 2" xfId="15644" xr:uid="{00000000-0005-0000-0000-00002F3D0000}"/>
    <cellStyle name="RowTitles-Col2 5 4 2 2 2" xfId="15645" xr:uid="{00000000-0005-0000-0000-0000303D0000}"/>
    <cellStyle name="RowTitles-Col2 5 4 2 2_Tertiary Salaries Survey" xfId="15646" xr:uid="{00000000-0005-0000-0000-0000313D0000}"/>
    <cellStyle name="RowTitles-Col2 5 4 2 3" xfId="15647" xr:uid="{00000000-0005-0000-0000-0000323D0000}"/>
    <cellStyle name="RowTitles-Col2 5 4 2_Tertiary Salaries Survey" xfId="15648" xr:uid="{00000000-0005-0000-0000-0000333D0000}"/>
    <cellStyle name="RowTitles-Col2 5 4 3" xfId="15649" xr:uid="{00000000-0005-0000-0000-0000343D0000}"/>
    <cellStyle name="RowTitles-Col2 5 4 3 2" xfId="15650" xr:uid="{00000000-0005-0000-0000-0000353D0000}"/>
    <cellStyle name="RowTitles-Col2 5 4 3 2 2" xfId="15651" xr:uid="{00000000-0005-0000-0000-0000363D0000}"/>
    <cellStyle name="RowTitles-Col2 5 4 3 2_Tertiary Salaries Survey" xfId="15652" xr:uid="{00000000-0005-0000-0000-0000373D0000}"/>
    <cellStyle name="RowTitles-Col2 5 4 3 3" xfId="15653" xr:uid="{00000000-0005-0000-0000-0000383D0000}"/>
    <cellStyle name="RowTitles-Col2 5 4 3_Tertiary Salaries Survey" xfId="15654" xr:uid="{00000000-0005-0000-0000-0000393D0000}"/>
    <cellStyle name="RowTitles-Col2 5 4 4" xfId="15655" xr:uid="{00000000-0005-0000-0000-00003A3D0000}"/>
    <cellStyle name="RowTitles-Col2 5 4 4 2" xfId="15656" xr:uid="{00000000-0005-0000-0000-00003B3D0000}"/>
    <cellStyle name="RowTitles-Col2 5 4 4_Tertiary Salaries Survey" xfId="15657" xr:uid="{00000000-0005-0000-0000-00003C3D0000}"/>
    <cellStyle name="RowTitles-Col2 5 4 5" xfId="15658" xr:uid="{00000000-0005-0000-0000-00003D3D0000}"/>
    <cellStyle name="RowTitles-Col2 5 4_Tertiary Salaries Survey" xfId="15659" xr:uid="{00000000-0005-0000-0000-00003E3D0000}"/>
    <cellStyle name="RowTitles-Col2 5 5" xfId="15660" xr:uid="{00000000-0005-0000-0000-00003F3D0000}"/>
    <cellStyle name="RowTitles-Col2 5 5 2" xfId="15661" xr:uid="{00000000-0005-0000-0000-0000403D0000}"/>
    <cellStyle name="RowTitles-Col2 5 5 2 2" xfId="15662" xr:uid="{00000000-0005-0000-0000-0000413D0000}"/>
    <cellStyle name="RowTitles-Col2 5 5 2 2 2" xfId="15663" xr:uid="{00000000-0005-0000-0000-0000423D0000}"/>
    <cellStyle name="RowTitles-Col2 5 5 2 2_Tertiary Salaries Survey" xfId="15664" xr:uid="{00000000-0005-0000-0000-0000433D0000}"/>
    <cellStyle name="RowTitles-Col2 5 5 2 3" xfId="15665" xr:uid="{00000000-0005-0000-0000-0000443D0000}"/>
    <cellStyle name="RowTitles-Col2 5 5 2_Tertiary Salaries Survey" xfId="15666" xr:uid="{00000000-0005-0000-0000-0000453D0000}"/>
    <cellStyle name="RowTitles-Col2 5 5 3" xfId="15667" xr:uid="{00000000-0005-0000-0000-0000463D0000}"/>
    <cellStyle name="RowTitles-Col2 5 5 3 2" xfId="15668" xr:uid="{00000000-0005-0000-0000-0000473D0000}"/>
    <cellStyle name="RowTitles-Col2 5 5 3 2 2" xfId="15669" xr:uid="{00000000-0005-0000-0000-0000483D0000}"/>
    <cellStyle name="RowTitles-Col2 5 5 3 2_Tertiary Salaries Survey" xfId="15670" xr:uid="{00000000-0005-0000-0000-0000493D0000}"/>
    <cellStyle name="RowTitles-Col2 5 5 3 3" xfId="15671" xr:uid="{00000000-0005-0000-0000-00004A3D0000}"/>
    <cellStyle name="RowTitles-Col2 5 5 3_Tertiary Salaries Survey" xfId="15672" xr:uid="{00000000-0005-0000-0000-00004B3D0000}"/>
    <cellStyle name="RowTitles-Col2 5 5 4" xfId="15673" xr:uid="{00000000-0005-0000-0000-00004C3D0000}"/>
    <cellStyle name="RowTitles-Col2 5 5 4 2" xfId="15674" xr:uid="{00000000-0005-0000-0000-00004D3D0000}"/>
    <cellStyle name="RowTitles-Col2 5 5 4_Tertiary Salaries Survey" xfId="15675" xr:uid="{00000000-0005-0000-0000-00004E3D0000}"/>
    <cellStyle name="RowTitles-Col2 5 5 5" xfId="15676" xr:uid="{00000000-0005-0000-0000-00004F3D0000}"/>
    <cellStyle name="RowTitles-Col2 5 5_Tertiary Salaries Survey" xfId="15677" xr:uid="{00000000-0005-0000-0000-0000503D0000}"/>
    <cellStyle name="RowTitles-Col2 5 6" xfId="15678" xr:uid="{00000000-0005-0000-0000-0000513D0000}"/>
    <cellStyle name="RowTitles-Col2 5 6 2" xfId="15679" xr:uid="{00000000-0005-0000-0000-0000523D0000}"/>
    <cellStyle name="RowTitles-Col2 5 6 2 2" xfId="15680" xr:uid="{00000000-0005-0000-0000-0000533D0000}"/>
    <cellStyle name="RowTitles-Col2 5 6 2 2 2" xfId="15681" xr:uid="{00000000-0005-0000-0000-0000543D0000}"/>
    <cellStyle name="RowTitles-Col2 5 6 2 2_Tertiary Salaries Survey" xfId="15682" xr:uid="{00000000-0005-0000-0000-0000553D0000}"/>
    <cellStyle name="RowTitles-Col2 5 6 2 3" xfId="15683" xr:uid="{00000000-0005-0000-0000-0000563D0000}"/>
    <cellStyle name="RowTitles-Col2 5 6 2_Tertiary Salaries Survey" xfId="15684" xr:uid="{00000000-0005-0000-0000-0000573D0000}"/>
    <cellStyle name="RowTitles-Col2 5 6 3" xfId="15685" xr:uid="{00000000-0005-0000-0000-0000583D0000}"/>
    <cellStyle name="RowTitles-Col2 5 6 3 2" xfId="15686" xr:uid="{00000000-0005-0000-0000-0000593D0000}"/>
    <cellStyle name="RowTitles-Col2 5 6 3 2 2" xfId="15687" xr:uid="{00000000-0005-0000-0000-00005A3D0000}"/>
    <cellStyle name="RowTitles-Col2 5 6 3 2_Tertiary Salaries Survey" xfId="15688" xr:uid="{00000000-0005-0000-0000-00005B3D0000}"/>
    <cellStyle name="RowTitles-Col2 5 6 3 3" xfId="15689" xr:uid="{00000000-0005-0000-0000-00005C3D0000}"/>
    <cellStyle name="RowTitles-Col2 5 6 3_Tertiary Salaries Survey" xfId="15690" xr:uid="{00000000-0005-0000-0000-00005D3D0000}"/>
    <cellStyle name="RowTitles-Col2 5 6 4" xfId="15691" xr:uid="{00000000-0005-0000-0000-00005E3D0000}"/>
    <cellStyle name="RowTitles-Col2 5 6 4 2" xfId="15692" xr:uid="{00000000-0005-0000-0000-00005F3D0000}"/>
    <cellStyle name="RowTitles-Col2 5 6 4_Tertiary Salaries Survey" xfId="15693" xr:uid="{00000000-0005-0000-0000-0000603D0000}"/>
    <cellStyle name="RowTitles-Col2 5 6 5" xfId="15694" xr:uid="{00000000-0005-0000-0000-0000613D0000}"/>
    <cellStyle name="RowTitles-Col2 5 6_Tertiary Salaries Survey" xfId="15695" xr:uid="{00000000-0005-0000-0000-0000623D0000}"/>
    <cellStyle name="RowTitles-Col2 5 7" xfId="15696" xr:uid="{00000000-0005-0000-0000-0000633D0000}"/>
    <cellStyle name="RowTitles-Col2 5 7 2" xfId="15697" xr:uid="{00000000-0005-0000-0000-0000643D0000}"/>
    <cellStyle name="RowTitles-Col2 5 7 2 2" xfId="15698" xr:uid="{00000000-0005-0000-0000-0000653D0000}"/>
    <cellStyle name="RowTitles-Col2 5 7 2_Tertiary Salaries Survey" xfId="15699" xr:uid="{00000000-0005-0000-0000-0000663D0000}"/>
    <cellStyle name="RowTitles-Col2 5 7 3" xfId="15700" xr:uid="{00000000-0005-0000-0000-0000673D0000}"/>
    <cellStyle name="RowTitles-Col2 5 7_Tertiary Salaries Survey" xfId="15701" xr:uid="{00000000-0005-0000-0000-0000683D0000}"/>
    <cellStyle name="RowTitles-Col2 5 8" xfId="15702" xr:uid="{00000000-0005-0000-0000-0000693D0000}"/>
    <cellStyle name="RowTitles-Col2 5 8 2" xfId="15703" xr:uid="{00000000-0005-0000-0000-00006A3D0000}"/>
    <cellStyle name="RowTitles-Col2 5 8 2 2" xfId="15704" xr:uid="{00000000-0005-0000-0000-00006B3D0000}"/>
    <cellStyle name="RowTitles-Col2 5 8 2_Tertiary Salaries Survey" xfId="15705" xr:uid="{00000000-0005-0000-0000-00006C3D0000}"/>
    <cellStyle name="RowTitles-Col2 5 8 3" xfId="15706" xr:uid="{00000000-0005-0000-0000-00006D3D0000}"/>
    <cellStyle name="RowTitles-Col2 5 8_Tertiary Salaries Survey" xfId="15707" xr:uid="{00000000-0005-0000-0000-00006E3D0000}"/>
    <cellStyle name="RowTitles-Col2 5_STUD aligned by INSTIT" xfId="15708" xr:uid="{00000000-0005-0000-0000-00006F3D0000}"/>
    <cellStyle name="RowTitles-Col2 6" xfId="15709" xr:uid="{00000000-0005-0000-0000-0000703D0000}"/>
    <cellStyle name="RowTitles-Col2 6 2" xfId="15710" xr:uid="{00000000-0005-0000-0000-0000713D0000}"/>
    <cellStyle name="RowTitles-Col2 6 2 2" xfId="15711" xr:uid="{00000000-0005-0000-0000-0000723D0000}"/>
    <cellStyle name="RowTitles-Col2 6 2 2 2" xfId="15712" xr:uid="{00000000-0005-0000-0000-0000733D0000}"/>
    <cellStyle name="RowTitles-Col2 6 2 2 2 2" xfId="15713" xr:uid="{00000000-0005-0000-0000-0000743D0000}"/>
    <cellStyle name="RowTitles-Col2 6 2 2 2_Tertiary Salaries Survey" xfId="15714" xr:uid="{00000000-0005-0000-0000-0000753D0000}"/>
    <cellStyle name="RowTitles-Col2 6 2 2 3" xfId="15715" xr:uid="{00000000-0005-0000-0000-0000763D0000}"/>
    <cellStyle name="RowTitles-Col2 6 2 2_Tertiary Salaries Survey" xfId="15716" xr:uid="{00000000-0005-0000-0000-0000773D0000}"/>
    <cellStyle name="RowTitles-Col2 6 2 3" xfId="15717" xr:uid="{00000000-0005-0000-0000-0000783D0000}"/>
    <cellStyle name="RowTitles-Col2 6 2 3 2" xfId="15718" xr:uid="{00000000-0005-0000-0000-0000793D0000}"/>
    <cellStyle name="RowTitles-Col2 6 2 3 2 2" xfId="15719" xr:uid="{00000000-0005-0000-0000-00007A3D0000}"/>
    <cellStyle name="RowTitles-Col2 6 2 3 2_Tertiary Salaries Survey" xfId="15720" xr:uid="{00000000-0005-0000-0000-00007B3D0000}"/>
    <cellStyle name="RowTitles-Col2 6 2 3 3" xfId="15721" xr:uid="{00000000-0005-0000-0000-00007C3D0000}"/>
    <cellStyle name="RowTitles-Col2 6 2 3_Tertiary Salaries Survey" xfId="15722" xr:uid="{00000000-0005-0000-0000-00007D3D0000}"/>
    <cellStyle name="RowTitles-Col2 6 2 4" xfId="15723" xr:uid="{00000000-0005-0000-0000-00007E3D0000}"/>
    <cellStyle name="RowTitles-Col2 6 2 5" xfId="15724" xr:uid="{00000000-0005-0000-0000-00007F3D0000}"/>
    <cellStyle name="RowTitles-Col2 6 2_Tertiary Salaries Survey" xfId="15725" xr:uid="{00000000-0005-0000-0000-0000803D0000}"/>
    <cellStyle name="RowTitles-Col2 6 3" xfId="15726" xr:uid="{00000000-0005-0000-0000-0000813D0000}"/>
    <cellStyle name="RowTitles-Col2 6 3 2" xfId="15727" xr:uid="{00000000-0005-0000-0000-0000823D0000}"/>
    <cellStyle name="RowTitles-Col2 6 3 2 2" xfId="15728" xr:uid="{00000000-0005-0000-0000-0000833D0000}"/>
    <cellStyle name="RowTitles-Col2 6 3 2 2 2" xfId="15729" xr:uid="{00000000-0005-0000-0000-0000843D0000}"/>
    <cellStyle name="RowTitles-Col2 6 3 2 2_Tertiary Salaries Survey" xfId="15730" xr:uid="{00000000-0005-0000-0000-0000853D0000}"/>
    <cellStyle name="RowTitles-Col2 6 3 2 3" xfId="15731" xr:uid="{00000000-0005-0000-0000-0000863D0000}"/>
    <cellStyle name="RowTitles-Col2 6 3 2_Tertiary Salaries Survey" xfId="15732" xr:uid="{00000000-0005-0000-0000-0000873D0000}"/>
    <cellStyle name="RowTitles-Col2 6 3 3" xfId="15733" xr:uid="{00000000-0005-0000-0000-0000883D0000}"/>
    <cellStyle name="RowTitles-Col2 6 3 3 2" xfId="15734" xr:uid="{00000000-0005-0000-0000-0000893D0000}"/>
    <cellStyle name="RowTitles-Col2 6 3 3 2 2" xfId="15735" xr:uid="{00000000-0005-0000-0000-00008A3D0000}"/>
    <cellStyle name="RowTitles-Col2 6 3 3 2_Tertiary Salaries Survey" xfId="15736" xr:uid="{00000000-0005-0000-0000-00008B3D0000}"/>
    <cellStyle name="RowTitles-Col2 6 3 3 3" xfId="15737" xr:uid="{00000000-0005-0000-0000-00008C3D0000}"/>
    <cellStyle name="RowTitles-Col2 6 3 3_Tertiary Salaries Survey" xfId="15738" xr:uid="{00000000-0005-0000-0000-00008D3D0000}"/>
    <cellStyle name="RowTitles-Col2 6 3 4" xfId="15739" xr:uid="{00000000-0005-0000-0000-00008E3D0000}"/>
    <cellStyle name="RowTitles-Col2 6 3 4 2" xfId="15740" xr:uid="{00000000-0005-0000-0000-00008F3D0000}"/>
    <cellStyle name="RowTitles-Col2 6 3 4_Tertiary Salaries Survey" xfId="15741" xr:uid="{00000000-0005-0000-0000-0000903D0000}"/>
    <cellStyle name="RowTitles-Col2 6 3_Tertiary Salaries Survey" xfId="15742" xr:uid="{00000000-0005-0000-0000-0000913D0000}"/>
    <cellStyle name="RowTitles-Col2 6 4" xfId="15743" xr:uid="{00000000-0005-0000-0000-0000923D0000}"/>
    <cellStyle name="RowTitles-Col2 6 4 2" xfId="15744" xr:uid="{00000000-0005-0000-0000-0000933D0000}"/>
    <cellStyle name="RowTitles-Col2 6 4 2 2" xfId="15745" xr:uid="{00000000-0005-0000-0000-0000943D0000}"/>
    <cellStyle name="RowTitles-Col2 6 4 2 2 2" xfId="15746" xr:uid="{00000000-0005-0000-0000-0000953D0000}"/>
    <cellStyle name="RowTitles-Col2 6 4 2 2_Tertiary Salaries Survey" xfId="15747" xr:uid="{00000000-0005-0000-0000-0000963D0000}"/>
    <cellStyle name="RowTitles-Col2 6 4 2 3" xfId="15748" xr:uid="{00000000-0005-0000-0000-0000973D0000}"/>
    <cellStyle name="RowTitles-Col2 6 4 2_Tertiary Salaries Survey" xfId="15749" xr:uid="{00000000-0005-0000-0000-0000983D0000}"/>
    <cellStyle name="RowTitles-Col2 6 4 3" xfId="15750" xr:uid="{00000000-0005-0000-0000-0000993D0000}"/>
    <cellStyle name="RowTitles-Col2 6 4 3 2" xfId="15751" xr:uid="{00000000-0005-0000-0000-00009A3D0000}"/>
    <cellStyle name="RowTitles-Col2 6 4 3 2 2" xfId="15752" xr:uid="{00000000-0005-0000-0000-00009B3D0000}"/>
    <cellStyle name="RowTitles-Col2 6 4 3 2_Tertiary Salaries Survey" xfId="15753" xr:uid="{00000000-0005-0000-0000-00009C3D0000}"/>
    <cellStyle name="RowTitles-Col2 6 4 3 3" xfId="15754" xr:uid="{00000000-0005-0000-0000-00009D3D0000}"/>
    <cellStyle name="RowTitles-Col2 6 4 3_Tertiary Salaries Survey" xfId="15755" xr:uid="{00000000-0005-0000-0000-00009E3D0000}"/>
    <cellStyle name="RowTitles-Col2 6 4 4" xfId="15756" xr:uid="{00000000-0005-0000-0000-00009F3D0000}"/>
    <cellStyle name="RowTitles-Col2 6 4 4 2" xfId="15757" xr:uid="{00000000-0005-0000-0000-0000A03D0000}"/>
    <cellStyle name="RowTitles-Col2 6 4 4_Tertiary Salaries Survey" xfId="15758" xr:uid="{00000000-0005-0000-0000-0000A13D0000}"/>
    <cellStyle name="RowTitles-Col2 6 4 5" xfId="15759" xr:uid="{00000000-0005-0000-0000-0000A23D0000}"/>
    <cellStyle name="RowTitles-Col2 6 4_Tertiary Salaries Survey" xfId="15760" xr:uid="{00000000-0005-0000-0000-0000A33D0000}"/>
    <cellStyle name="RowTitles-Col2 6 5" xfId="15761" xr:uid="{00000000-0005-0000-0000-0000A43D0000}"/>
    <cellStyle name="RowTitles-Col2 6 5 2" xfId="15762" xr:uid="{00000000-0005-0000-0000-0000A53D0000}"/>
    <cellStyle name="RowTitles-Col2 6 5 2 2" xfId="15763" xr:uid="{00000000-0005-0000-0000-0000A63D0000}"/>
    <cellStyle name="RowTitles-Col2 6 5 2 2 2" xfId="15764" xr:uid="{00000000-0005-0000-0000-0000A73D0000}"/>
    <cellStyle name="RowTitles-Col2 6 5 2 2_Tertiary Salaries Survey" xfId="15765" xr:uid="{00000000-0005-0000-0000-0000A83D0000}"/>
    <cellStyle name="RowTitles-Col2 6 5 2 3" xfId="15766" xr:uid="{00000000-0005-0000-0000-0000A93D0000}"/>
    <cellStyle name="RowTitles-Col2 6 5 2_Tertiary Salaries Survey" xfId="15767" xr:uid="{00000000-0005-0000-0000-0000AA3D0000}"/>
    <cellStyle name="RowTitles-Col2 6 5 3" xfId="15768" xr:uid="{00000000-0005-0000-0000-0000AB3D0000}"/>
    <cellStyle name="RowTitles-Col2 6 5 3 2" xfId="15769" xr:uid="{00000000-0005-0000-0000-0000AC3D0000}"/>
    <cellStyle name="RowTitles-Col2 6 5 3 2 2" xfId="15770" xr:uid="{00000000-0005-0000-0000-0000AD3D0000}"/>
    <cellStyle name="RowTitles-Col2 6 5 3 2_Tertiary Salaries Survey" xfId="15771" xr:uid="{00000000-0005-0000-0000-0000AE3D0000}"/>
    <cellStyle name="RowTitles-Col2 6 5 3 3" xfId="15772" xr:uid="{00000000-0005-0000-0000-0000AF3D0000}"/>
    <cellStyle name="RowTitles-Col2 6 5 3_Tertiary Salaries Survey" xfId="15773" xr:uid="{00000000-0005-0000-0000-0000B03D0000}"/>
    <cellStyle name="RowTitles-Col2 6 5 4" xfId="15774" xr:uid="{00000000-0005-0000-0000-0000B13D0000}"/>
    <cellStyle name="RowTitles-Col2 6 5 4 2" xfId="15775" xr:uid="{00000000-0005-0000-0000-0000B23D0000}"/>
    <cellStyle name="RowTitles-Col2 6 5 4_Tertiary Salaries Survey" xfId="15776" xr:uid="{00000000-0005-0000-0000-0000B33D0000}"/>
    <cellStyle name="RowTitles-Col2 6 5 5" xfId="15777" xr:uid="{00000000-0005-0000-0000-0000B43D0000}"/>
    <cellStyle name="RowTitles-Col2 6 5_Tertiary Salaries Survey" xfId="15778" xr:uid="{00000000-0005-0000-0000-0000B53D0000}"/>
    <cellStyle name="RowTitles-Col2 6 6" xfId="15779" xr:uid="{00000000-0005-0000-0000-0000B63D0000}"/>
    <cellStyle name="RowTitles-Col2 6 6 2" xfId="15780" xr:uid="{00000000-0005-0000-0000-0000B73D0000}"/>
    <cellStyle name="RowTitles-Col2 6 6 2 2" xfId="15781" xr:uid="{00000000-0005-0000-0000-0000B83D0000}"/>
    <cellStyle name="RowTitles-Col2 6 6 2 2 2" xfId="15782" xr:uid="{00000000-0005-0000-0000-0000B93D0000}"/>
    <cellStyle name="RowTitles-Col2 6 6 2 2_Tertiary Salaries Survey" xfId="15783" xr:uid="{00000000-0005-0000-0000-0000BA3D0000}"/>
    <cellStyle name="RowTitles-Col2 6 6 2 3" xfId="15784" xr:uid="{00000000-0005-0000-0000-0000BB3D0000}"/>
    <cellStyle name="RowTitles-Col2 6 6 2_Tertiary Salaries Survey" xfId="15785" xr:uid="{00000000-0005-0000-0000-0000BC3D0000}"/>
    <cellStyle name="RowTitles-Col2 6 6 3" xfId="15786" xr:uid="{00000000-0005-0000-0000-0000BD3D0000}"/>
    <cellStyle name="RowTitles-Col2 6 6 3 2" xfId="15787" xr:uid="{00000000-0005-0000-0000-0000BE3D0000}"/>
    <cellStyle name="RowTitles-Col2 6 6 3 2 2" xfId="15788" xr:uid="{00000000-0005-0000-0000-0000BF3D0000}"/>
    <cellStyle name="RowTitles-Col2 6 6 3 2_Tertiary Salaries Survey" xfId="15789" xr:uid="{00000000-0005-0000-0000-0000C03D0000}"/>
    <cellStyle name="RowTitles-Col2 6 6 3 3" xfId="15790" xr:uid="{00000000-0005-0000-0000-0000C13D0000}"/>
    <cellStyle name="RowTitles-Col2 6 6 3_Tertiary Salaries Survey" xfId="15791" xr:uid="{00000000-0005-0000-0000-0000C23D0000}"/>
    <cellStyle name="RowTitles-Col2 6 6 4" xfId="15792" xr:uid="{00000000-0005-0000-0000-0000C33D0000}"/>
    <cellStyle name="RowTitles-Col2 6 6 4 2" xfId="15793" xr:uid="{00000000-0005-0000-0000-0000C43D0000}"/>
    <cellStyle name="RowTitles-Col2 6 6 4_Tertiary Salaries Survey" xfId="15794" xr:uid="{00000000-0005-0000-0000-0000C53D0000}"/>
    <cellStyle name="RowTitles-Col2 6 6 5" xfId="15795" xr:uid="{00000000-0005-0000-0000-0000C63D0000}"/>
    <cellStyle name="RowTitles-Col2 6 6_Tertiary Salaries Survey" xfId="15796" xr:uid="{00000000-0005-0000-0000-0000C73D0000}"/>
    <cellStyle name="RowTitles-Col2 6 7" xfId="15797" xr:uid="{00000000-0005-0000-0000-0000C83D0000}"/>
    <cellStyle name="RowTitles-Col2 6 7 2" xfId="15798" xr:uid="{00000000-0005-0000-0000-0000C93D0000}"/>
    <cellStyle name="RowTitles-Col2 6 7 2 2" xfId="15799" xr:uid="{00000000-0005-0000-0000-0000CA3D0000}"/>
    <cellStyle name="RowTitles-Col2 6 7 2_Tertiary Salaries Survey" xfId="15800" xr:uid="{00000000-0005-0000-0000-0000CB3D0000}"/>
    <cellStyle name="RowTitles-Col2 6 7 3" xfId="15801" xr:uid="{00000000-0005-0000-0000-0000CC3D0000}"/>
    <cellStyle name="RowTitles-Col2 6 7_Tertiary Salaries Survey" xfId="15802" xr:uid="{00000000-0005-0000-0000-0000CD3D0000}"/>
    <cellStyle name="RowTitles-Col2 6 8" xfId="15803" xr:uid="{00000000-0005-0000-0000-0000CE3D0000}"/>
    <cellStyle name="RowTitles-Col2 6 8 2" xfId="15804" xr:uid="{00000000-0005-0000-0000-0000CF3D0000}"/>
    <cellStyle name="RowTitles-Col2 6 8 2 2" xfId="15805" xr:uid="{00000000-0005-0000-0000-0000D03D0000}"/>
    <cellStyle name="RowTitles-Col2 6 8 2_Tertiary Salaries Survey" xfId="15806" xr:uid="{00000000-0005-0000-0000-0000D13D0000}"/>
    <cellStyle name="RowTitles-Col2 6 8 3" xfId="15807" xr:uid="{00000000-0005-0000-0000-0000D23D0000}"/>
    <cellStyle name="RowTitles-Col2 6 8_Tertiary Salaries Survey" xfId="15808" xr:uid="{00000000-0005-0000-0000-0000D33D0000}"/>
    <cellStyle name="RowTitles-Col2 6_STUD aligned by INSTIT" xfId="15809" xr:uid="{00000000-0005-0000-0000-0000D43D0000}"/>
    <cellStyle name="RowTitles-Col2 7" xfId="15810" xr:uid="{00000000-0005-0000-0000-0000D53D0000}"/>
    <cellStyle name="RowTitles-Col2 7 2" xfId="15811" xr:uid="{00000000-0005-0000-0000-0000D63D0000}"/>
    <cellStyle name="RowTitles-Col2 7 2 2" xfId="15812" xr:uid="{00000000-0005-0000-0000-0000D73D0000}"/>
    <cellStyle name="RowTitles-Col2 7 2 2 2" xfId="15813" xr:uid="{00000000-0005-0000-0000-0000D83D0000}"/>
    <cellStyle name="RowTitles-Col2 7 2 2_Tertiary Salaries Survey" xfId="15814" xr:uid="{00000000-0005-0000-0000-0000D93D0000}"/>
    <cellStyle name="RowTitles-Col2 7 2 3" xfId="15815" xr:uid="{00000000-0005-0000-0000-0000DA3D0000}"/>
    <cellStyle name="RowTitles-Col2 7 2_Tertiary Salaries Survey" xfId="15816" xr:uid="{00000000-0005-0000-0000-0000DB3D0000}"/>
    <cellStyle name="RowTitles-Col2 7 3" xfId="15817" xr:uid="{00000000-0005-0000-0000-0000DC3D0000}"/>
    <cellStyle name="RowTitles-Col2 7 3 2" xfId="15818" xr:uid="{00000000-0005-0000-0000-0000DD3D0000}"/>
    <cellStyle name="RowTitles-Col2 7 3 2 2" xfId="15819" xr:uid="{00000000-0005-0000-0000-0000DE3D0000}"/>
    <cellStyle name="RowTitles-Col2 7 3 2_Tertiary Salaries Survey" xfId="15820" xr:uid="{00000000-0005-0000-0000-0000DF3D0000}"/>
    <cellStyle name="RowTitles-Col2 7 3 3" xfId="15821" xr:uid="{00000000-0005-0000-0000-0000E03D0000}"/>
    <cellStyle name="RowTitles-Col2 7 3_Tertiary Salaries Survey" xfId="15822" xr:uid="{00000000-0005-0000-0000-0000E13D0000}"/>
    <cellStyle name="RowTitles-Col2 7 4" xfId="15823" xr:uid="{00000000-0005-0000-0000-0000E23D0000}"/>
    <cellStyle name="RowTitles-Col2 7 5" xfId="15824" xr:uid="{00000000-0005-0000-0000-0000E33D0000}"/>
    <cellStyle name="RowTitles-Col2 7 5 2" xfId="15825" xr:uid="{00000000-0005-0000-0000-0000E43D0000}"/>
    <cellStyle name="RowTitles-Col2 7 5_Tertiary Salaries Survey" xfId="15826" xr:uid="{00000000-0005-0000-0000-0000E53D0000}"/>
    <cellStyle name="RowTitles-Col2 7_Tertiary Salaries Survey" xfId="15827" xr:uid="{00000000-0005-0000-0000-0000E63D0000}"/>
    <cellStyle name="RowTitles-Col2 8" xfId="15828" xr:uid="{00000000-0005-0000-0000-0000E73D0000}"/>
    <cellStyle name="RowTitles-Col2 8 2" xfId="15829" xr:uid="{00000000-0005-0000-0000-0000E83D0000}"/>
    <cellStyle name="RowTitles-Col2 8 2 2" xfId="15830" xr:uid="{00000000-0005-0000-0000-0000E93D0000}"/>
    <cellStyle name="RowTitles-Col2 8 2 2 2" xfId="15831" xr:uid="{00000000-0005-0000-0000-0000EA3D0000}"/>
    <cellStyle name="RowTitles-Col2 8 2 2_Tertiary Salaries Survey" xfId="15832" xr:uid="{00000000-0005-0000-0000-0000EB3D0000}"/>
    <cellStyle name="RowTitles-Col2 8 2 3" xfId="15833" xr:uid="{00000000-0005-0000-0000-0000EC3D0000}"/>
    <cellStyle name="RowTitles-Col2 8 2_Tertiary Salaries Survey" xfId="15834" xr:uid="{00000000-0005-0000-0000-0000ED3D0000}"/>
    <cellStyle name="RowTitles-Col2 8 3" xfId="15835" xr:uid="{00000000-0005-0000-0000-0000EE3D0000}"/>
    <cellStyle name="RowTitles-Col2 8 3 2" xfId="15836" xr:uid="{00000000-0005-0000-0000-0000EF3D0000}"/>
    <cellStyle name="RowTitles-Col2 8 3 2 2" xfId="15837" xr:uid="{00000000-0005-0000-0000-0000F03D0000}"/>
    <cellStyle name="RowTitles-Col2 8 3 2_Tertiary Salaries Survey" xfId="15838" xr:uid="{00000000-0005-0000-0000-0000F13D0000}"/>
    <cellStyle name="RowTitles-Col2 8 3 3" xfId="15839" xr:uid="{00000000-0005-0000-0000-0000F23D0000}"/>
    <cellStyle name="RowTitles-Col2 8 3_Tertiary Salaries Survey" xfId="15840" xr:uid="{00000000-0005-0000-0000-0000F33D0000}"/>
    <cellStyle name="RowTitles-Col2 8 4" xfId="15841" xr:uid="{00000000-0005-0000-0000-0000F43D0000}"/>
    <cellStyle name="RowTitles-Col2 8 5" xfId="15842" xr:uid="{00000000-0005-0000-0000-0000F53D0000}"/>
    <cellStyle name="RowTitles-Col2 8_Tertiary Salaries Survey" xfId="15843" xr:uid="{00000000-0005-0000-0000-0000F63D0000}"/>
    <cellStyle name="RowTitles-Col2 9" xfId="15844" xr:uid="{00000000-0005-0000-0000-0000F73D0000}"/>
    <cellStyle name="RowTitles-Col2 9 2" xfId="15845" xr:uid="{00000000-0005-0000-0000-0000F83D0000}"/>
    <cellStyle name="RowTitles-Col2 9 2 2" xfId="15846" xr:uid="{00000000-0005-0000-0000-0000F93D0000}"/>
    <cellStyle name="RowTitles-Col2 9 2 2 2" xfId="15847" xr:uid="{00000000-0005-0000-0000-0000FA3D0000}"/>
    <cellStyle name="RowTitles-Col2 9 2 2_Tertiary Salaries Survey" xfId="15848" xr:uid="{00000000-0005-0000-0000-0000FB3D0000}"/>
    <cellStyle name="RowTitles-Col2 9 2 3" xfId="15849" xr:uid="{00000000-0005-0000-0000-0000FC3D0000}"/>
    <cellStyle name="RowTitles-Col2 9 2_Tertiary Salaries Survey" xfId="15850" xr:uid="{00000000-0005-0000-0000-0000FD3D0000}"/>
    <cellStyle name="RowTitles-Col2 9 3" xfId="15851" xr:uid="{00000000-0005-0000-0000-0000FE3D0000}"/>
    <cellStyle name="RowTitles-Col2 9 3 2" xfId="15852" xr:uid="{00000000-0005-0000-0000-0000FF3D0000}"/>
    <cellStyle name="RowTitles-Col2 9 3 2 2" xfId="15853" xr:uid="{00000000-0005-0000-0000-0000003E0000}"/>
    <cellStyle name="RowTitles-Col2 9 3 2_Tertiary Salaries Survey" xfId="15854" xr:uid="{00000000-0005-0000-0000-0000013E0000}"/>
    <cellStyle name="RowTitles-Col2 9 3 3" xfId="15855" xr:uid="{00000000-0005-0000-0000-0000023E0000}"/>
    <cellStyle name="RowTitles-Col2 9 3_Tertiary Salaries Survey" xfId="15856" xr:uid="{00000000-0005-0000-0000-0000033E0000}"/>
    <cellStyle name="RowTitles-Col2 9 4" xfId="15857" xr:uid="{00000000-0005-0000-0000-0000043E0000}"/>
    <cellStyle name="RowTitles-Col2 9 5" xfId="15858" xr:uid="{00000000-0005-0000-0000-0000053E0000}"/>
    <cellStyle name="RowTitles-Col2 9 5 2" xfId="15859" xr:uid="{00000000-0005-0000-0000-0000063E0000}"/>
    <cellStyle name="RowTitles-Col2 9 5_Tertiary Salaries Survey" xfId="15860" xr:uid="{00000000-0005-0000-0000-0000073E0000}"/>
    <cellStyle name="RowTitles-Col2 9 6" xfId="15861" xr:uid="{00000000-0005-0000-0000-0000083E0000}"/>
    <cellStyle name="RowTitles-Col2 9_Tertiary Salaries Survey" xfId="15862" xr:uid="{00000000-0005-0000-0000-0000093E0000}"/>
    <cellStyle name="RowTitles-Col2_STUD aligned by INSTIT" xfId="15863" xr:uid="{00000000-0005-0000-0000-00000A3E0000}"/>
    <cellStyle name="RowTitles-Detail" xfId="15864" xr:uid="{00000000-0005-0000-0000-00000B3E0000}"/>
    <cellStyle name="RowTitles-Detail 10" xfId="15865" xr:uid="{00000000-0005-0000-0000-00000C3E0000}"/>
    <cellStyle name="RowTitles-Detail 10 2" xfId="15866" xr:uid="{00000000-0005-0000-0000-00000D3E0000}"/>
    <cellStyle name="RowTitles-Detail 10 2 2" xfId="15867" xr:uid="{00000000-0005-0000-0000-00000E3E0000}"/>
    <cellStyle name="RowTitles-Detail 10 2 2 2" xfId="15868" xr:uid="{00000000-0005-0000-0000-00000F3E0000}"/>
    <cellStyle name="RowTitles-Detail 10 2 2_Tertiary Salaries Survey" xfId="15869" xr:uid="{00000000-0005-0000-0000-0000103E0000}"/>
    <cellStyle name="RowTitles-Detail 10 2 3" xfId="15870" xr:uid="{00000000-0005-0000-0000-0000113E0000}"/>
    <cellStyle name="RowTitles-Detail 10 2_Tertiary Salaries Survey" xfId="15871" xr:uid="{00000000-0005-0000-0000-0000123E0000}"/>
    <cellStyle name="RowTitles-Detail 10 3" xfId="15872" xr:uid="{00000000-0005-0000-0000-0000133E0000}"/>
    <cellStyle name="RowTitles-Detail 10 3 2" xfId="15873" xr:uid="{00000000-0005-0000-0000-0000143E0000}"/>
    <cellStyle name="RowTitles-Detail 10 3 2 2" xfId="15874" xr:uid="{00000000-0005-0000-0000-0000153E0000}"/>
    <cellStyle name="RowTitles-Detail 10 3 2_Tertiary Salaries Survey" xfId="15875" xr:uid="{00000000-0005-0000-0000-0000163E0000}"/>
    <cellStyle name="RowTitles-Detail 10 3 3" xfId="15876" xr:uid="{00000000-0005-0000-0000-0000173E0000}"/>
    <cellStyle name="RowTitles-Detail 10 3_Tertiary Salaries Survey" xfId="15877" xr:uid="{00000000-0005-0000-0000-0000183E0000}"/>
    <cellStyle name="RowTitles-Detail 10 4" xfId="15878" xr:uid="{00000000-0005-0000-0000-0000193E0000}"/>
    <cellStyle name="RowTitles-Detail 10 4 2" xfId="15879" xr:uid="{00000000-0005-0000-0000-00001A3E0000}"/>
    <cellStyle name="RowTitles-Detail 10 4_Tertiary Salaries Survey" xfId="15880" xr:uid="{00000000-0005-0000-0000-00001B3E0000}"/>
    <cellStyle name="RowTitles-Detail 10 5" xfId="15881" xr:uid="{00000000-0005-0000-0000-00001C3E0000}"/>
    <cellStyle name="RowTitles-Detail 10_Tertiary Salaries Survey" xfId="15882" xr:uid="{00000000-0005-0000-0000-00001D3E0000}"/>
    <cellStyle name="RowTitles-Detail 11" xfId="15883" xr:uid="{00000000-0005-0000-0000-00001E3E0000}"/>
    <cellStyle name="RowTitles-Detail 11 2" xfId="15884" xr:uid="{00000000-0005-0000-0000-00001F3E0000}"/>
    <cellStyle name="RowTitles-Detail 11 2 2" xfId="15885" xr:uid="{00000000-0005-0000-0000-0000203E0000}"/>
    <cellStyle name="RowTitles-Detail 11 2 2 2" xfId="15886" xr:uid="{00000000-0005-0000-0000-0000213E0000}"/>
    <cellStyle name="RowTitles-Detail 11 2 2_Tertiary Salaries Survey" xfId="15887" xr:uid="{00000000-0005-0000-0000-0000223E0000}"/>
    <cellStyle name="RowTitles-Detail 11 2 3" xfId="15888" xr:uid="{00000000-0005-0000-0000-0000233E0000}"/>
    <cellStyle name="RowTitles-Detail 11 2_Tertiary Salaries Survey" xfId="15889" xr:uid="{00000000-0005-0000-0000-0000243E0000}"/>
    <cellStyle name="RowTitles-Detail 11 3" xfId="15890" xr:uid="{00000000-0005-0000-0000-0000253E0000}"/>
    <cellStyle name="RowTitles-Detail 11 3 2" xfId="15891" xr:uid="{00000000-0005-0000-0000-0000263E0000}"/>
    <cellStyle name="RowTitles-Detail 11 3 2 2" xfId="15892" xr:uid="{00000000-0005-0000-0000-0000273E0000}"/>
    <cellStyle name="RowTitles-Detail 11 3 2_Tertiary Salaries Survey" xfId="15893" xr:uid="{00000000-0005-0000-0000-0000283E0000}"/>
    <cellStyle name="RowTitles-Detail 11 3 3" xfId="15894" xr:uid="{00000000-0005-0000-0000-0000293E0000}"/>
    <cellStyle name="RowTitles-Detail 11 3_Tertiary Salaries Survey" xfId="15895" xr:uid="{00000000-0005-0000-0000-00002A3E0000}"/>
    <cellStyle name="RowTitles-Detail 11 4" xfId="15896" xr:uid="{00000000-0005-0000-0000-00002B3E0000}"/>
    <cellStyle name="RowTitles-Detail 11 4 2" xfId="15897" xr:uid="{00000000-0005-0000-0000-00002C3E0000}"/>
    <cellStyle name="RowTitles-Detail 11 4_Tertiary Salaries Survey" xfId="15898" xr:uid="{00000000-0005-0000-0000-00002D3E0000}"/>
    <cellStyle name="RowTitles-Detail 11 5" xfId="15899" xr:uid="{00000000-0005-0000-0000-00002E3E0000}"/>
    <cellStyle name="RowTitles-Detail 11_Tertiary Salaries Survey" xfId="15900" xr:uid="{00000000-0005-0000-0000-00002F3E0000}"/>
    <cellStyle name="RowTitles-Detail 12" xfId="15901" xr:uid="{00000000-0005-0000-0000-0000303E0000}"/>
    <cellStyle name="RowTitles-Detail 12 2" xfId="15902" xr:uid="{00000000-0005-0000-0000-0000313E0000}"/>
    <cellStyle name="RowTitles-Detail 12 2 2" xfId="15903" xr:uid="{00000000-0005-0000-0000-0000323E0000}"/>
    <cellStyle name="RowTitles-Detail 12 2 2 2" xfId="15904" xr:uid="{00000000-0005-0000-0000-0000333E0000}"/>
    <cellStyle name="RowTitles-Detail 12 2 2_Tertiary Salaries Survey" xfId="15905" xr:uid="{00000000-0005-0000-0000-0000343E0000}"/>
    <cellStyle name="RowTitles-Detail 12 2 3" xfId="15906" xr:uid="{00000000-0005-0000-0000-0000353E0000}"/>
    <cellStyle name="RowTitles-Detail 12 2_Tertiary Salaries Survey" xfId="15907" xr:uid="{00000000-0005-0000-0000-0000363E0000}"/>
    <cellStyle name="RowTitles-Detail 12 3" xfId="15908" xr:uid="{00000000-0005-0000-0000-0000373E0000}"/>
    <cellStyle name="RowTitles-Detail 12 3 2" xfId="15909" xr:uid="{00000000-0005-0000-0000-0000383E0000}"/>
    <cellStyle name="RowTitles-Detail 12 3 2 2" xfId="15910" xr:uid="{00000000-0005-0000-0000-0000393E0000}"/>
    <cellStyle name="RowTitles-Detail 12 3 2_Tertiary Salaries Survey" xfId="15911" xr:uid="{00000000-0005-0000-0000-00003A3E0000}"/>
    <cellStyle name="RowTitles-Detail 12 3 3" xfId="15912" xr:uid="{00000000-0005-0000-0000-00003B3E0000}"/>
    <cellStyle name="RowTitles-Detail 12 3_Tertiary Salaries Survey" xfId="15913" xr:uid="{00000000-0005-0000-0000-00003C3E0000}"/>
    <cellStyle name="RowTitles-Detail 12 4" xfId="15914" xr:uid="{00000000-0005-0000-0000-00003D3E0000}"/>
    <cellStyle name="RowTitles-Detail 12 4 2" xfId="15915" xr:uid="{00000000-0005-0000-0000-00003E3E0000}"/>
    <cellStyle name="RowTitles-Detail 12 4_Tertiary Salaries Survey" xfId="15916" xr:uid="{00000000-0005-0000-0000-00003F3E0000}"/>
    <cellStyle name="RowTitles-Detail 12 5" xfId="15917" xr:uid="{00000000-0005-0000-0000-0000403E0000}"/>
    <cellStyle name="RowTitles-Detail 12_Tertiary Salaries Survey" xfId="15918" xr:uid="{00000000-0005-0000-0000-0000413E0000}"/>
    <cellStyle name="RowTitles-Detail 13" xfId="15919" xr:uid="{00000000-0005-0000-0000-0000423E0000}"/>
    <cellStyle name="RowTitles-Detail 13 2" xfId="15920" xr:uid="{00000000-0005-0000-0000-0000433E0000}"/>
    <cellStyle name="RowTitles-Detail 13 2 2" xfId="15921" xr:uid="{00000000-0005-0000-0000-0000443E0000}"/>
    <cellStyle name="RowTitles-Detail 13 2_Tertiary Salaries Survey" xfId="15922" xr:uid="{00000000-0005-0000-0000-0000453E0000}"/>
    <cellStyle name="RowTitles-Detail 13 3" xfId="15923" xr:uid="{00000000-0005-0000-0000-0000463E0000}"/>
    <cellStyle name="RowTitles-Detail 13_Tertiary Salaries Survey" xfId="15924" xr:uid="{00000000-0005-0000-0000-0000473E0000}"/>
    <cellStyle name="RowTitles-Detail 14" xfId="15925" xr:uid="{00000000-0005-0000-0000-0000483E0000}"/>
    <cellStyle name="RowTitles-Detail 15" xfId="15926" xr:uid="{00000000-0005-0000-0000-0000493E0000}"/>
    <cellStyle name="RowTitles-Detail 16" xfId="15927" xr:uid="{00000000-0005-0000-0000-00004A3E0000}"/>
    <cellStyle name="RowTitles-Detail 17" xfId="15928" xr:uid="{00000000-0005-0000-0000-00004B3E0000}"/>
    <cellStyle name="RowTitles-Detail 2" xfId="15929" xr:uid="{00000000-0005-0000-0000-00004C3E0000}"/>
    <cellStyle name="RowTitles-Detail 2 10" xfId="15930" xr:uid="{00000000-0005-0000-0000-00004D3E0000}"/>
    <cellStyle name="RowTitles-Detail 2 10 2" xfId="15931" xr:uid="{00000000-0005-0000-0000-00004E3E0000}"/>
    <cellStyle name="RowTitles-Detail 2 10 2 2" xfId="15932" xr:uid="{00000000-0005-0000-0000-00004F3E0000}"/>
    <cellStyle name="RowTitles-Detail 2 10 2 2 2" xfId="15933" xr:uid="{00000000-0005-0000-0000-0000503E0000}"/>
    <cellStyle name="RowTitles-Detail 2 10 2 2_Tertiary Salaries Survey" xfId="15934" xr:uid="{00000000-0005-0000-0000-0000513E0000}"/>
    <cellStyle name="RowTitles-Detail 2 10 2 3" xfId="15935" xr:uid="{00000000-0005-0000-0000-0000523E0000}"/>
    <cellStyle name="RowTitles-Detail 2 10 2_Tertiary Salaries Survey" xfId="15936" xr:uid="{00000000-0005-0000-0000-0000533E0000}"/>
    <cellStyle name="RowTitles-Detail 2 10 3" xfId="15937" xr:uid="{00000000-0005-0000-0000-0000543E0000}"/>
    <cellStyle name="RowTitles-Detail 2 10 3 2" xfId="15938" xr:uid="{00000000-0005-0000-0000-0000553E0000}"/>
    <cellStyle name="RowTitles-Detail 2 10 3 2 2" xfId="15939" xr:uid="{00000000-0005-0000-0000-0000563E0000}"/>
    <cellStyle name="RowTitles-Detail 2 10 3 2_Tertiary Salaries Survey" xfId="15940" xr:uid="{00000000-0005-0000-0000-0000573E0000}"/>
    <cellStyle name="RowTitles-Detail 2 10 3 3" xfId="15941" xr:uid="{00000000-0005-0000-0000-0000583E0000}"/>
    <cellStyle name="RowTitles-Detail 2 10 3_Tertiary Salaries Survey" xfId="15942" xr:uid="{00000000-0005-0000-0000-0000593E0000}"/>
    <cellStyle name="RowTitles-Detail 2 10 4" xfId="15943" xr:uid="{00000000-0005-0000-0000-00005A3E0000}"/>
    <cellStyle name="RowTitles-Detail 2 10 5" xfId="15944" xr:uid="{00000000-0005-0000-0000-00005B3E0000}"/>
    <cellStyle name="RowTitles-Detail 2 10 5 2" xfId="15945" xr:uid="{00000000-0005-0000-0000-00005C3E0000}"/>
    <cellStyle name="RowTitles-Detail 2 10 5_Tertiary Salaries Survey" xfId="15946" xr:uid="{00000000-0005-0000-0000-00005D3E0000}"/>
    <cellStyle name="RowTitles-Detail 2 10 6" xfId="15947" xr:uid="{00000000-0005-0000-0000-00005E3E0000}"/>
    <cellStyle name="RowTitles-Detail 2 10_Tertiary Salaries Survey" xfId="15948" xr:uid="{00000000-0005-0000-0000-00005F3E0000}"/>
    <cellStyle name="RowTitles-Detail 2 11" xfId="15949" xr:uid="{00000000-0005-0000-0000-0000603E0000}"/>
    <cellStyle name="RowTitles-Detail 2 11 2" xfId="15950" xr:uid="{00000000-0005-0000-0000-0000613E0000}"/>
    <cellStyle name="RowTitles-Detail 2 11 2 2" xfId="15951" xr:uid="{00000000-0005-0000-0000-0000623E0000}"/>
    <cellStyle name="RowTitles-Detail 2 11 2 2 2" xfId="15952" xr:uid="{00000000-0005-0000-0000-0000633E0000}"/>
    <cellStyle name="RowTitles-Detail 2 11 2 2_Tertiary Salaries Survey" xfId="15953" xr:uid="{00000000-0005-0000-0000-0000643E0000}"/>
    <cellStyle name="RowTitles-Detail 2 11 2 3" xfId="15954" xr:uid="{00000000-0005-0000-0000-0000653E0000}"/>
    <cellStyle name="RowTitles-Detail 2 11 2_Tertiary Salaries Survey" xfId="15955" xr:uid="{00000000-0005-0000-0000-0000663E0000}"/>
    <cellStyle name="RowTitles-Detail 2 11 3" xfId="15956" xr:uid="{00000000-0005-0000-0000-0000673E0000}"/>
    <cellStyle name="RowTitles-Detail 2 11 3 2" xfId="15957" xr:uid="{00000000-0005-0000-0000-0000683E0000}"/>
    <cellStyle name="RowTitles-Detail 2 11 3 2 2" xfId="15958" xr:uid="{00000000-0005-0000-0000-0000693E0000}"/>
    <cellStyle name="RowTitles-Detail 2 11 3 2_Tertiary Salaries Survey" xfId="15959" xr:uid="{00000000-0005-0000-0000-00006A3E0000}"/>
    <cellStyle name="RowTitles-Detail 2 11 3 3" xfId="15960" xr:uid="{00000000-0005-0000-0000-00006B3E0000}"/>
    <cellStyle name="RowTitles-Detail 2 11 3_Tertiary Salaries Survey" xfId="15961" xr:uid="{00000000-0005-0000-0000-00006C3E0000}"/>
    <cellStyle name="RowTitles-Detail 2 11 4" xfId="15962" xr:uid="{00000000-0005-0000-0000-00006D3E0000}"/>
    <cellStyle name="RowTitles-Detail 2 11 4 2" xfId="15963" xr:uid="{00000000-0005-0000-0000-00006E3E0000}"/>
    <cellStyle name="RowTitles-Detail 2 11 4_Tertiary Salaries Survey" xfId="15964" xr:uid="{00000000-0005-0000-0000-00006F3E0000}"/>
    <cellStyle name="RowTitles-Detail 2 11 5" xfId="15965" xr:uid="{00000000-0005-0000-0000-0000703E0000}"/>
    <cellStyle name="RowTitles-Detail 2 11_Tertiary Salaries Survey" xfId="15966" xr:uid="{00000000-0005-0000-0000-0000713E0000}"/>
    <cellStyle name="RowTitles-Detail 2 12" xfId="15967" xr:uid="{00000000-0005-0000-0000-0000723E0000}"/>
    <cellStyle name="RowTitles-Detail 2 12 2" xfId="15968" xr:uid="{00000000-0005-0000-0000-0000733E0000}"/>
    <cellStyle name="RowTitles-Detail 2 12 2 2" xfId="15969" xr:uid="{00000000-0005-0000-0000-0000743E0000}"/>
    <cellStyle name="RowTitles-Detail 2 12 2 2 2" xfId="15970" xr:uid="{00000000-0005-0000-0000-0000753E0000}"/>
    <cellStyle name="RowTitles-Detail 2 12 2 2_Tertiary Salaries Survey" xfId="15971" xr:uid="{00000000-0005-0000-0000-0000763E0000}"/>
    <cellStyle name="RowTitles-Detail 2 12 2 3" xfId="15972" xr:uid="{00000000-0005-0000-0000-0000773E0000}"/>
    <cellStyle name="RowTitles-Detail 2 12 2_Tertiary Salaries Survey" xfId="15973" xr:uid="{00000000-0005-0000-0000-0000783E0000}"/>
    <cellStyle name="RowTitles-Detail 2 12 3" xfId="15974" xr:uid="{00000000-0005-0000-0000-0000793E0000}"/>
    <cellStyle name="RowTitles-Detail 2 12 3 2" xfId="15975" xr:uid="{00000000-0005-0000-0000-00007A3E0000}"/>
    <cellStyle name="RowTitles-Detail 2 12 3 2 2" xfId="15976" xr:uid="{00000000-0005-0000-0000-00007B3E0000}"/>
    <cellStyle name="RowTitles-Detail 2 12 3 2_Tertiary Salaries Survey" xfId="15977" xr:uid="{00000000-0005-0000-0000-00007C3E0000}"/>
    <cellStyle name="RowTitles-Detail 2 12 3 3" xfId="15978" xr:uid="{00000000-0005-0000-0000-00007D3E0000}"/>
    <cellStyle name="RowTitles-Detail 2 12 3_Tertiary Salaries Survey" xfId="15979" xr:uid="{00000000-0005-0000-0000-00007E3E0000}"/>
    <cellStyle name="RowTitles-Detail 2 12 4" xfId="15980" xr:uid="{00000000-0005-0000-0000-00007F3E0000}"/>
    <cellStyle name="RowTitles-Detail 2 12 4 2" xfId="15981" xr:uid="{00000000-0005-0000-0000-0000803E0000}"/>
    <cellStyle name="RowTitles-Detail 2 12 4_Tertiary Salaries Survey" xfId="15982" xr:uid="{00000000-0005-0000-0000-0000813E0000}"/>
    <cellStyle name="RowTitles-Detail 2 12 5" xfId="15983" xr:uid="{00000000-0005-0000-0000-0000823E0000}"/>
    <cellStyle name="RowTitles-Detail 2 12_Tertiary Salaries Survey" xfId="15984" xr:uid="{00000000-0005-0000-0000-0000833E0000}"/>
    <cellStyle name="RowTitles-Detail 2 13" xfId="15985" xr:uid="{00000000-0005-0000-0000-0000843E0000}"/>
    <cellStyle name="RowTitles-Detail 2 13 2" xfId="15986" xr:uid="{00000000-0005-0000-0000-0000853E0000}"/>
    <cellStyle name="RowTitles-Detail 2 13 2 2" xfId="15987" xr:uid="{00000000-0005-0000-0000-0000863E0000}"/>
    <cellStyle name="RowTitles-Detail 2 13 2_Tertiary Salaries Survey" xfId="15988" xr:uid="{00000000-0005-0000-0000-0000873E0000}"/>
    <cellStyle name="RowTitles-Detail 2 13 3" xfId="15989" xr:uid="{00000000-0005-0000-0000-0000883E0000}"/>
    <cellStyle name="RowTitles-Detail 2 13_Tertiary Salaries Survey" xfId="15990" xr:uid="{00000000-0005-0000-0000-0000893E0000}"/>
    <cellStyle name="RowTitles-Detail 2 14" xfId="15991" xr:uid="{00000000-0005-0000-0000-00008A3E0000}"/>
    <cellStyle name="RowTitles-Detail 2 15" xfId="15992" xr:uid="{00000000-0005-0000-0000-00008B3E0000}"/>
    <cellStyle name="RowTitles-Detail 2 16" xfId="15993" xr:uid="{00000000-0005-0000-0000-00008C3E0000}"/>
    <cellStyle name="RowTitles-Detail 2 2" xfId="15994" xr:uid="{00000000-0005-0000-0000-00008D3E0000}"/>
    <cellStyle name="RowTitles-Detail 2 2 10" xfId="15995" xr:uid="{00000000-0005-0000-0000-00008E3E0000}"/>
    <cellStyle name="RowTitles-Detail 2 2 10 2" xfId="15996" xr:uid="{00000000-0005-0000-0000-00008F3E0000}"/>
    <cellStyle name="RowTitles-Detail 2 2 10 2 2" xfId="15997" xr:uid="{00000000-0005-0000-0000-0000903E0000}"/>
    <cellStyle name="RowTitles-Detail 2 2 10 2 2 2" xfId="15998" xr:uid="{00000000-0005-0000-0000-0000913E0000}"/>
    <cellStyle name="RowTitles-Detail 2 2 10 2 2_Tertiary Salaries Survey" xfId="15999" xr:uid="{00000000-0005-0000-0000-0000923E0000}"/>
    <cellStyle name="RowTitles-Detail 2 2 10 2 3" xfId="16000" xr:uid="{00000000-0005-0000-0000-0000933E0000}"/>
    <cellStyle name="RowTitles-Detail 2 2 10 2_Tertiary Salaries Survey" xfId="16001" xr:uid="{00000000-0005-0000-0000-0000943E0000}"/>
    <cellStyle name="RowTitles-Detail 2 2 10 3" xfId="16002" xr:uid="{00000000-0005-0000-0000-0000953E0000}"/>
    <cellStyle name="RowTitles-Detail 2 2 10 3 2" xfId="16003" xr:uid="{00000000-0005-0000-0000-0000963E0000}"/>
    <cellStyle name="RowTitles-Detail 2 2 10 3 2 2" xfId="16004" xr:uid="{00000000-0005-0000-0000-0000973E0000}"/>
    <cellStyle name="RowTitles-Detail 2 2 10 3 2_Tertiary Salaries Survey" xfId="16005" xr:uid="{00000000-0005-0000-0000-0000983E0000}"/>
    <cellStyle name="RowTitles-Detail 2 2 10 3 3" xfId="16006" xr:uid="{00000000-0005-0000-0000-0000993E0000}"/>
    <cellStyle name="RowTitles-Detail 2 2 10 3_Tertiary Salaries Survey" xfId="16007" xr:uid="{00000000-0005-0000-0000-00009A3E0000}"/>
    <cellStyle name="RowTitles-Detail 2 2 10 4" xfId="16008" xr:uid="{00000000-0005-0000-0000-00009B3E0000}"/>
    <cellStyle name="RowTitles-Detail 2 2 10 4 2" xfId="16009" xr:uid="{00000000-0005-0000-0000-00009C3E0000}"/>
    <cellStyle name="RowTitles-Detail 2 2 10 4_Tertiary Salaries Survey" xfId="16010" xr:uid="{00000000-0005-0000-0000-00009D3E0000}"/>
    <cellStyle name="RowTitles-Detail 2 2 10 5" xfId="16011" xr:uid="{00000000-0005-0000-0000-00009E3E0000}"/>
    <cellStyle name="RowTitles-Detail 2 2 10_Tertiary Salaries Survey" xfId="16012" xr:uid="{00000000-0005-0000-0000-00009F3E0000}"/>
    <cellStyle name="RowTitles-Detail 2 2 11" xfId="16013" xr:uid="{00000000-0005-0000-0000-0000A03E0000}"/>
    <cellStyle name="RowTitles-Detail 2 2 11 2" xfId="16014" xr:uid="{00000000-0005-0000-0000-0000A13E0000}"/>
    <cellStyle name="RowTitles-Detail 2 2 11 2 2" xfId="16015" xr:uid="{00000000-0005-0000-0000-0000A23E0000}"/>
    <cellStyle name="RowTitles-Detail 2 2 11 2 2 2" xfId="16016" xr:uid="{00000000-0005-0000-0000-0000A33E0000}"/>
    <cellStyle name="RowTitles-Detail 2 2 11 2 2_Tertiary Salaries Survey" xfId="16017" xr:uid="{00000000-0005-0000-0000-0000A43E0000}"/>
    <cellStyle name="RowTitles-Detail 2 2 11 2 3" xfId="16018" xr:uid="{00000000-0005-0000-0000-0000A53E0000}"/>
    <cellStyle name="RowTitles-Detail 2 2 11 2_Tertiary Salaries Survey" xfId="16019" xr:uid="{00000000-0005-0000-0000-0000A63E0000}"/>
    <cellStyle name="RowTitles-Detail 2 2 11 3" xfId="16020" xr:uid="{00000000-0005-0000-0000-0000A73E0000}"/>
    <cellStyle name="RowTitles-Detail 2 2 11 3 2" xfId="16021" xr:uid="{00000000-0005-0000-0000-0000A83E0000}"/>
    <cellStyle name="RowTitles-Detail 2 2 11 3 2 2" xfId="16022" xr:uid="{00000000-0005-0000-0000-0000A93E0000}"/>
    <cellStyle name="RowTitles-Detail 2 2 11 3 2_Tertiary Salaries Survey" xfId="16023" xr:uid="{00000000-0005-0000-0000-0000AA3E0000}"/>
    <cellStyle name="RowTitles-Detail 2 2 11 3 3" xfId="16024" xr:uid="{00000000-0005-0000-0000-0000AB3E0000}"/>
    <cellStyle name="RowTitles-Detail 2 2 11 3_Tertiary Salaries Survey" xfId="16025" xr:uid="{00000000-0005-0000-0000-0000AC3E0000}"/>
    <cellStyle name="RowTitles-Detail 2 2 11 4" xfId="16026" xr:uid="{00000000-0005-0000-0000-0000AD3E0000}"/>
    <cellStyle name="RowTitles-Detail 2 2 11 4 2" xfId="16027" xr:uid="{00000000-0005-0000-0000-0000AE3E0000}"/>
    <cellStyle name="RowTitles-Detail 2 2 11 4_Tertiary Salaries Survey" xfId="16028" xr:uid="{00000000-0005-0000-0000-0000AF3E0000}"/>
    <cellStyle name="RowTitles-Detail 2 2 11 5" xfId="16029" xr:uid="{00000000-0005-0000-0000-0000B03E0000}"/>
    <cellStyle name="RowTitles-Detail 2 2 11_Tertiary Salaries Survey" xfId="16030" xr:uid="{00000000-0005-0000-0000-0000B13E0000}"/>
    <cellStyle name="RowTitles-Detail 2 2 12" xfId="16031" xr:uid="{00000000-0005-0000-0000-0000B23E0000}"/>
    <cellStyle name="RowTitles-Detail 2 2 12 2" xfId="16032" xr:uid="{00000000-0005-0000-0000-0000B33E0000}"/>
    <cellStyle name="RowTitles-Detail 2 2 12 2 2" xfId="16033" xr:uid="{00000000-0005-0000-0000-0000B43E0000}"/>
    <cellStyle name="RowTitles-Detail 2 2 12 2_Tertiary Salaries Survey" xfId="16034" xr:uid="{00000000-0005-0000-0000-0000B53E0000}"/>
    <cellStyle name="RowTitles-Detail 2 2 12 3" xfId="16035" xr:uid="{00000000-0005-0000-0000-0000B63E0000}"/>
    <cellStyle name="RowTitles-Detail 2 2 12_Tertiary Salaries Survey" xfId="16036" xr:uid="{00000000-0005-0000-0000-0000B73E0000}"/>
    <cellStyle name="RowTitles-Detail 2 2 13" xfId="16037" xr:uid="{00000000-0005-0000-0000-0000B83E0000}"/>
    <cellStyle name="RowTitles-Detail 2 2 14" xfId="16038" xr:uid="{00000000-0005-0000-0000-0000B93E0000}"/>
    <cellStyle name="RowTitles-Detail 2 2 15" xfId="16039" xr:uid="{00000000-0005-0000-0000-0000BA3E0000}"/>
    <cellStyle name="RowTitles-Detail 2 2 2" xfId="16040" xr:uid="{00000000-0005-0000-0000-0000BB3E0000}"/>
    <cellStyle name="RowTitles-Detail 2 2 2 10" xfId="16041" xr:uid="{00000000-0005-0000-0000-0000BC3E0000}"/>
    <cellStyle name="RowTitles-Detail 2 2 2 10 2" xfId="16042" xr:uid="{00000000-0005-0000-0000-0000BD3E0000}"/>
    <cellStyle name="RowTitles-Detail 2 2 2 10 2 2" xfId="16043" xr:uid="{00000000-0005-0000-0000-0000BE3E0000}"/>
    <cellStyle name="RowTitles-Detail 2 2 2 10 2 2 2" xfId="16044" xr:uid="{00000000-0005-0000-0000-0000BF3E0000}"/>
    <cellStyle name="RowTitles-Detail 2 2 2 10 2 2_Tertiary Salaries Survey" xfId="16045" xr:uid="{00000000-0005-0000-0000-0000C03E0000}"/>
    <cellStyle name="RowTitles-Detail 2 2 2 10 2 3" xfId="16046" xr:uid="{00000000-0005-0000-0000-0000C13E0000}"/>
    <cellStyle name="RowTitles-Detail 2 2 2 10 2_Tertiary Salaries Survey" xfId="16047" xr:uid="{00000000-0005-0000-0000-0000C23E0000}"/>
    <cellStyle name="RowTitles-Detail 2 2 2 10 3" xfId="16048" xr:uid="{00000000-0005-0000-0000-0000C33E0000}"/>
    <cellStyle name="RowTitles-Detail 2 2 2 10 3 2" xfId="16049" xr:uid="{00000000-0005-0000-0000-0000C43E0000}"/>
    <cellStyle name="RowTitles-Detail 2 2 2 10 3 2 2" xfId="16050" xr:uid="{00000000-0005-0000-0000-0000C53E0000}"/>
    <cellStyle name="RowTitles-Detail 2 2 2 10 3 2_Tertiary Salaries Survey" xfId="16051" xr:uid="{00000000-0005-0000-0000-0000C63E0000}"/>
    <cellStyle name="RowTitles-Detail 2 2 2 10 3 3" xfId="16052" xr:uid="{00000000-0005-0000-0000-0000C73E0000}"/>
    <cellStyle name="RowTitles-Detail 2 2 2 10 3_Tertiary Salaries Survey" xfId="16053" xr:uid="{00000000-0005-0000-0000-0000C83E0000}"/>
    <cellStyle name="RowTitles-Detail 2 2 2 10 4" xfId="16054" xr:uid="{00000000-0005-0000-0000-0000C93E0000}"/>
    <cellStyle name="RowTitles-Detail 2 2 2 10 4 2" xfId="16055" xr:uid="{00000000-0005-0000-0000-0000CA3E0000}"/>
    <cellStyle name="RowTitles-Detail 2 2 2 10 4_Tertiary Salaries Survey" xfId="16056" xr:uid="{00000000-0005-0000-0000-0000CB3E0000}"/>
    <cellStyle name="RowTitles-Detail 2 2 2 10 5" xfId="16057" xr:uid="{00000000-0005-0000-0000-0000CC3E0000}"/>
    <cellStyle name="RowTitles-Detail 2 2 2 10_Tertiary Salaries Survey" xfId="16058" xr:uid="{00000000-0005-0000-0000-0000CD3E0000}"/>
    <cellStyle name="RowTitles-Detail 2 2 2 11" xfId="16059" xr:uid="{00000000-0005-0000-0000-0000CE3E0000}"/>
    <cellStyle name="RowTitles-Detail 2 2 2 11 2" xfId="16060" xr:uid="{00000000-0005-0000-0000-0000CF3E0000}"/>
    <cellStyle name="RowTitles-Detail 2 2 2 11 2 2" xfId="16061" xr:uid="{00000000-0005-0000-0000-0000D03E0000}"/>
    <cellStyle name="RowTitles-Detail 2 2 2 11 2_Tertiary Salaries Survey" xfId="16062" xr:uid="{00000000-0005-0000-0000-0000D13E0000}"/>
    <cellStyle name="RowTitles-Detail 2 2 2 11 3" xfId="16063" xr:uid="{00000000-0005-0000-0000-0000D23E0000}"/>
    <cellStyle name="RowTitles-Detail 2 2 2 11_Tertiary Salaries Survey" xfId="16064" xr:uid="{00000000-0005-0000-0000-0000D33E0000}"/>
    <cellStyle name="RowTitles-Detail 2 2 2 12" xfId="16065" xr:uid="{00000000-0005-0000-0000-0000D43E0000}"/>
    <cellStyle name="RowTitles-Detail 2 2 2 13" xfId="16066" xr:uid="{00000000-0005-0000-0000-0000D53E0000}"/>
    <cellStyle name="RowTitles-Detail 2 2 2 2" xfId="16067" xr:uid="{00000000-0005-0000-0000-0000D63E0000}"/>
    <cellStyle name="RowTitles-Detail 2 2 2 2 10" xfId="16068" xr:uid="{00000000-0005-0000-0000-0000D73E0000}"/>
    <cellStyle name="RowTitles-Detail 2 2 2 2 10 2" xfId="16069" xr:uid="{00000000-0005-0000-0000-0000D83E0000}"/>
    <cellStyle name="RowTitles-Detail 2 2 2 2 10 2 2" xfId="16070" xr:uid="{00000000-0005-0000-0000-0000D93E0000}"/>
    <cellStyle name="RowTitles-Detail 2 2 2 2 10 2_Tertiary Salaries Survey" xfId="16071" xr:uid="{00000000-0005-0000-0000-0000DA3E0000}"/>
    <cellStyle name="RowTitles-Detail 2 2 2 2 10 3" xfId="16072" xr:uid="{00000000-0005-0000-0000-0000DB3E0000}"/>
    <cellStyle name="RowTitles-Detail 2 2 2 2 10_Tertiary Salaries Survey" xfId="16073" xr:uid="{00000000-0005-0000-0000-0000DC3E0000}"/>
    <cellStyle name="RowTitles-Detail 2 2 2 2 11" xfId="16074" xr:uid="{00000000-0005-0000-0000-0000DD3E0000}"/>
    <cellStyle name="RowTitles-Detail 2 2 2 2 12" xfId="16075" xr:uid="{00000000-0005-0000-0000-0000DE3E0000}"/>
    <cellStyle name="RowTitles-Detail 2 2 2 2 2" xfId="16076" xr:uid="{00000000-0005-0000-0000-0000DF3E0000}"/>
    <cellStyle name="RowTitles-Detail 2 2 2 2 2 2" xfId="16077" xr:uid="{00000000-0005-0000-0000-0000E03E0000}"/>
    <cellStyle name="RowTitles-Detail 2 2 2 2 2 2 2" xfId="16078" xr:uid="{00000000-0005-0000-0000-0000E13E0000}"/>
    <cellStyle name="RowTitles-Detail 2 2 2 2 2 2 2 2" xfId="16079" xr:uid="{00000000-0005-0000-0000-0000E23E0000}"/>
    <cellStyle name="RowTitles-Detail 2 2 2 2 2 2 2 2 2" xfId="16080" xr:uid="{00000000-0005-0000-0000-0000E33E0000}"/>
    <cellStyle name="RowTitles-Detail 2 2 2 2 2 2 2 2_Tertiary Salaries Survey" xfId="16081" xr:uid="{00000000-0005-0000-0000-0000E43E0000}"/>
    <cellStyle name="RowTitles-Detail 2 2 2 2 2 2 2 3" xfId="16082" xr:uid="{00000000-0005-0000-0000-0000E53E0000}"/>
    <cellStyle name="RowTitles-Detail 2 2 2 2 2 2 2_Tertiary Salaries Survey" xfId="16083" xr:uid="{00000000-0005-0000-0000-0000E63E0000}"/>
    <cellStyle name="RowTitles-Detail 2 2 2 2 2 2 3" xfId="16084" xr:uid="{00000000-0005-0000-0000-0000E73E0000}"/>
    <cellStyle name="RowTitles-Detail 2 2 2 2 2 2 3 2" xfId="16085" xr:uid="{00000000-0005-0000-0000-0000E83E0000}"/>
    <cellStyle name="RowTitles-Detail 2 2 2 2 2 2 3 2 2" xfId="16086" xr:uid="{00000000-0005-0000-0000-0000E93E0000}"/>
    <cellStyle name="RowTitles-Detail 2 2 2 2 2 2 3 2_Tertiary Salaries Survey" xfId="16087" xr:uid="{00000000-0005-0000-0000-0000EA3E0000}"/>
    <cellStyle name="RowTitles-Detail 2 2 2 2 2 2 3 3" xfId="16088" xr:uid="{00000000-0005-0000-0000-0000EB3E0000}"/>
    <cellStyle name="RowTitles-Detail 2 2 2 2 2 2 3_Tertiary Salaries Survey" xfId="16089" xr:uid="{00000000-0005-0000-0000-0000EC3E0000}"/>
    <cellStyle name="RowTitles-Detail 2 2 2 2 2 2 4" xfId="16090" xr:uid="{00000000-0005-0000-0000-0000ED3E0000}"/>
    <cellStyle name="RowTitles-Detail 2 2 2 2 2 2 5" xfId="16091" xr:uid="{00000000-0005-0000-0000-0000EE3E0000}"/>
    <cellStyle name="RowTitles-Detail 2 2 2 2 2 2_Tertiary Salaries Survey" xfId="16092" xr:uid="{00000000-0005-0000-0000-0000EF3E0000}"/>
    <cellStyle name="RowTitles-Detail 2 2 2 2 2 3" xfId="16093" xr:uid="{00000000-0005-0000-0000-0000F03E0000}"/>
    <cellStyle name="RowTitles-Detail 2 2 2 2 2 3 2" xfId="16094" xr:uid="{00000000-0005-0000-0000-0000F13E0000}"/>
    <cellStyle name="RowTitles-Detail 2 2 2 2 2 3 2 2" xfId="16095" xr:uid="{00000000-0005-0000-0000-0000F23E0000}"/>
    <cellStyle name="RowTitles-Detail 2 2 2 2 2 3 2 2 2" xfId="16096" xr:uid="{00000000-0005-0000-0000-0000F33E0000}"/>
    <cellStyle name="RowTitles-Detail 2 2 2 2 2 3 2 2_Tertiary Salaries Survey" xfId="16097" xr:uid="{00000000-0005-0000-0000-0000F43E0000}"/>
    <cellStyle name="RowTitles-Detail 2 2 2 2 2 3 2 3" xfId="16098" xr:uid="{00000000-0005-0000-0000-0000F53E0000}"/>
    <cellStyle name="RowTitles-Detail 2 2 2 2 2 3 2_Tertiary Salaries Survey" xfId="16099" xr:uid="{00000000-0005-0000-0000-0000F63E0000}"/>
    <cellStyle name="RowTitles-Detail 2 2 2 2 2 3 3" xfId="16100" xr:uid="{00000000-0005-0000-0000-0000F73E0000}"/>
    <cellStyle name="RowTitles-Detail 2 2 2 2 2 3 3 2" xfId="16101" xr:uid="{00000000-0005-0000-0000-0000F83E0000}"/>
    <cellStyle name="RowTitles-Detail 2 2 2 2 2 3 3 2 2" xfId="16102" xr:uid="{00000000-0005-0000-0000-0000F93E0000}"/>
    <cellStyle name="RowTitles-Detail 2 2 2 2 2 3 3 2_Tertiary Salaries Survey" xfId="16103" xr:uid="{00000000-0005-0000-0000-0000FA3E0000}"/>
    <cellStyle name="RowTitles-Detail 2 2 2 2 2 3 3 3" xfId="16104" xr:uid="{00000000-0005-0000-0000-0000FB3E0000}"/>
    <cellStyle name="RowTitles-Detail 2 2 2 2 2 3 3_Tertiary Salaries Survey" xfId="16105" xr:uid="{00000000-0005-0000-0000-0000FC3E0000}"/>
    <cellStyle name="RowTitles-Detail 2 2 2 2 2 3 4" xfId="16106" xr:uid="{00000000-0005-0000-0000-0000FD3E0000}"/>
    <cellStyle name="RowTitles-Detail 2 2 2 2 2 3 5" xfId="16107" xr:uid="{00000000-0005-0000-0000-0000FE3E0000}"/>
    <cellStyle name="RowTitles-Detail 2 2 2 2 2 3 5 2" xfId="16108" xr:uid="{00000000-0005-0000-0000-0000FF3E0000}"/>
    <cellStyle name="RowTitles-Detail 2 2 2 2 2 3 5_Tertiary Salaries Survey" xfId="16109" xr:uid="{00000000-0005-0000-0000-0000003F0000}"/>
    <cellStyle name="RowTitles-Detail 2 2 2 2 2 3 6" xfId="16110" xr:uid="{00000000-0005-0000-0000-0000013F0000}"/>
    <cellStyle name="RowTitles-Detail 2 2 2 2 2 3_Tertiary Salaries Survey" xfId="16111" xr:uid="{00000000-0005-0000-0000-0000023F0000}"/>
    <cellStyle name="RowTitles-Detail 2 2 2 2 2 4" xfId="16112" xr:uid="{00000000-0005-0000-0000-0000033F0000}"/>
    <cellStyle name="RowTitles-Detail 2 2 2 2 2 4 2" xfId="16113" xr:uid="{00000000-0005-0000-0000-0000043F0000}"/>
    <cellStyle name="RowTitles-Detail 2 2 2 2 2 4 2 2" xfId="16114" xr:uid="{00000000-0005-0000-0000-0000053F0000}"/>
    <cellStyle name="RowTitles-Detail 2 2 2 2 2 4 2 2 2" xfId="16115" xr:uid="{00000000-0005-0000-0000-0000063F0000}"/>
    <cellStyle name="RowTitles-Detail 2 2 2 2 2 4 2 2_Tertiary Salaries Survey" xfId="16116" xr:uid="{00000000-0005-0000-0000-0000073F0000}"/>
    <cellStyle name="RowTitles-Detail 2 2 2 2 2 4 2 3" xfId="16117" xr:uid="{00000000-0005-0000-0000-0000083F0000}"/>
    <cellStyle name="RowTitles-Detail 2 2 2 2 2 4 2_Tertiary Salaries Survey" xfId="16118" xr:uid="{00000000-0005-0000-0000-0000093F0000}"/>
    <cellStyle name="RowTitles-Detail 2 2 2 2 2 4 3" xfId="16119" xr:uid="{00000000-0005-0000-0000-00000A3F0000}"/>
    <cellStyle name="RowTitles-Detail 2 2 2 2 2 4 3 2" xfId="16120" xr:uid="{00000000-0005-0000-0000-00000B3F0000}"/>
    <cellStyle name="RowTitles-Detail 2 2 2 2 2 4 3 2 2" xfId="16121" xr:uid="{00000000-0005-0000-0000-00000C3F0000}"/>
    <cellStyle name="RowTitles-Detail 2 2 2 2 2 4 3 2_Tertiary Salaries Survey" xfId="16122" xr:uid="{00000000-0005-0000-0000-00000D3F0000}"/>
    <cellStyle name="RowTitles-Detail 2 2 2 2 2 4 3 3" xfId="16123" xr:uid="{00000000-0005-0000-0000-00000E3F0000}"/>
    <cellStyle name="RowTitles-Detail 2 2 2 2 2 4 3_Tertiary Salaries Survey" xfId="16124" xr:uid="{00000000-0005-0000-0000-00000F3F0000}"/>
    <cellStyle name="RowTitles-Detail 2 2 2 2 2 4 4" xfId="16125" xr:uid="{00000000-0005-0000-0000-0000103F0000}"/>
    <cellStyle name="RowTitles-Detail 2 2 2 2 2 4 4 2" xfId="16126" xr:uid="{00000000-0005-0000-0000-0000113F0000}"/>
    <cellStyle name="RowTitles-Detail 2 2 2 2 2 4 4_Tertiary Salaries Survey" xfId="16127" xr:uid="{00000000-0005-0000-0000-0000123F0000}"/>
    <cellStyle name="RowTitles-Detail 2 2 2 2 2 4 5" xfId="16128" xr:uid="{00000000-0005-0000-0000-0000133F0000}"/>
    <cellStyle name="RowTitles-Detail 2 2 2 2 2 4_Tertiary Salaries Survey" xfId="16129" xr:uid="{00000000-0005-0000-0000-0000143F0000}"/>
    <cellStyle name="RowTitles-Detail 2 2 2 2 2 5" xfId="16130" xr:uid="{00000000-0005-0000-0000-0000153F0000}"/>
    <cellStyle name="RowTitles-Detail 2 2 2 2 2 5 2" xfId="16131" xr:uid="{00000000-0005-0000-0000-0000163F0000}"/>
    <cellStyle name="RowTitles-Detail 2 2 2 2 2 5 2 2" xfId="16132" xr:uid="{00000000-0005-0000-0000-0000173F0000}"/>
    <cellStyle name="RowTitles-Detail 2 2 2 2 2 5 2 2 2" xfId="16133" xr:uid="{00000000-0005-0000-0000-0000183F0000}"/>
    <cellStyle name="RowTitles-Detail 2 2 2 2 2 5 2 2_Tertiary Salaries Survey" xfId="16134" xr:uid="{00000000-0005-0000-0000-0000193F0000}"/>
    <cellStyle name="RowTitles-Detail 2 2 2 2 2 5 2 3" xfId="16135" xr:uid="{00000000-0005-0000-0000-00001A3F0000}"/>
    <cellStyle name="RowTitles-Detail 2 2 2 2 2 5 2_Tertiary Salaries Survey" xfId="16136" xr:uid="{00000000-0005-0000-0000-00001B3F0000}"/>
    <cellStyle name="RowTitles-Detail 2 2 2 2 2 5 3" xfId="16137" xr:uid="{00000000-0005-0000-0000-00001C3F0000}"/>
    <cellStyle name="RowTitles-Detail 2 2 2 2 2 5 3 2" xfId="16138" xr:uid="{00000000-0005-0000-0000-00001D3F0000}"/>
    <cellStyle name="RowTitles-Detail 2 2 2 2 2 5 3 2 2" xfId="16139" xr:uid="{00000000-0005-0000-0000-00001E3F0000}"/>
    <cellStyle name="RowTitles-Detail 2 2 2 2 2 5 3 2_Tertiary Salaries Survey" xfId="16140" xr:uid="{00000000-0005-0000-0000-00001F3F0000}"/>
    <cellStyle name="RowTitles-Detail 2 2 2 2 2 5 3 3" xfId="16141" xr:uid="{00000000-0005-0000-0000-0000203F0000}"/>
    <cellStyle name="RowTitles-Detail 2 2 2 2 2 5 3_Tertiary Salaries Survey" xfId="16142" xr:uid="{00000000-0005-0000-0000-0000213F0000}"/>
    <cellStyle name="RowTitles-Detail 2 2 2 2 2 5 4" xfId="16143" xr:uid="{00000000-0005-0000-0000-0000223F0000}"/>
    <cellStyle name="RowTitles-Detail 2 2 2 2 2 5 4 2" xfId="16144" xr:uid="{00000000-0005-0000-0000-0000233F0000}"/>
    <cellStyle name="RowTitles-Detail 2 2 2 2 2 5 4_Tertiary Salaries Survey" xfId="16145" xr:uid="{00000000-0005-0000-0000-0000243F0000}"/>
    <cellStyle name="RowTitles-Detail 2 2 2 2 2 5 5" xfId="16146" xr:uid="{00000000-0005-0000-0000-0000253F0000}"/>
    <cellStyle name="RowTitles-Detail 2 2 2 2 2 5_Tertiary Salaries Survey" xfId="16147" xr:uid="{00000000-0005-0000-0000-0000263F0000}"/>
    <cellStyle name="RowTitles-Detail 2 2 2 2 2 6" xfId="16148" xr:uid="{00000000-0005-0000-0000-0000273F0000}"/>
    <cellStyle name="RowTitles-Detail 2 2 2 2 2 6 2" xfId="16149" xr:uid="{00000000-0005-0000-0000-0000283F0000}"/>
    <cellStyle name="RowTitles-Detail 2 2 2 2 2 6 2 2" xfId="16150" xr:uid="{00000000-0005-0000-0000-0000293F0000}"/>
    <cellStyle name="RowTitles-Detail 2 2 2 2 2 6 2 2 2" xfId="16151" xr:uid="{00000000-0005-0000-0000-00002A3F0000}"/>
    <cellStyle name="RowTitles-Detail 2 2 2 2 2 6 2 2_Tertiary Salaries Survey" xfId="16152" xr:uid="{00000000-0005-0000-0000-00002B3F0000}"/>
    <cellStyle name="RowTitles-Detail 2 2 2 2 2 6 2 3" xfId="16153" xr:uid="{00000000-0005-0000-0000-00002C3F0000}"/>
    <cellStyle name="RowTitles-Detail 2 2 2 2 2 6 2_Tertiary Salaries Survey" xfId="16154" xr:uid="{00000000-0005-0000-0000-00002D3F0000}"/>
    <cellStyle name="RowTitles-Detail 2 2 2 2 2 6 3" xfId="16155" xr:uid="{00000000-0005-0000-0000-00002E3F0000}"/>
    <cellStyle name="RowTitles-Detail 2 2 2 2 2 6 3 2" xfId="16156" xr:uid="{00000000-0005-0000-0000-00002F3F0000}"/>
    <cellStyle name="RowTitles-Detail 2 2 2 2 2 6 3 2 2" xfId="16157" xr:uid="{00000000-0005-0000-0000-0000303F0000}"/>
    <cellStyle name="RowTitles-Detail 2 2 2 2 2 6 3 2_Tertiary Salaries Survey" xfId="16158" xr:uid="{00000000-0005-0000-0000-0000313F0000}"/>
    <cellStyle name="RowTitles-Detail 2 2 2 2 2 6 3 3" xfId="16159" xr:uid="{00000000-0005-0000-0000-0000323F0000}"/>
    <cellStyle name="RowTitles-Detail 2 2 2 2 2 6 3_Tertiary Salaries Survey" xfId="16160" xr:uid="{00000000-0005-0000-0000-0000333F0000}"/>
    <cellStyle name="RowTitles-Detail 2 2 2 2 2 6 4" xfId="16161" xr:uid="{00000000-0005-0000-0000-0000343F0000}"/>
    <cellStyle name="RowTitles-Detail 2 2 2 2 2 6 4 2" xfId="16162" xr:uid="{00000000-0005-0000-0000-0000353F0000}"/>
    <cellStyle name="RowTitles-Detail 2 2 2 2 2 6 4_Tertiary Salaries Survey" xfId="16163" xr:uid="{00000000-0005-0000-0000-0000363F0000}"/>
    <cellStyle name="RowTitles-Detail 2 2 2 2 2 6 5" xfId="16164" xr:uid="{00000000-0005-0000-0000-0000373F0000}"/>
    <cellStyle name="RowTitles-Detail 2 2 2 2 2 6_Tertiary Salaries Survey" xfId="16165" xr:uid="{00000000-0005-0000-0000-0000383F0000}"/>
    <cellStyle name="RowTitles-Detail 2 2 2 2 2 7" xfId="16166" xr:uid="{00000000-0005-0000-0000-0000393F0000}"/>
    <cellStyle name="RowTitles-Detail 2 2 2 2 2 7 2" xfId="16167" xr:uid="{00000000-0005-0000-0000-00003A3F0000}"/>
    <cellStyle name="RowTitles-Detail 2 2 2 2 2 7 2 2" xfId="16168" xr:uid="{00000000-0005-0000-0000-00003B3F0000}"/>
    <cellStyle name="RowTitles-Detail 2 2 2 2 2 7 2_Tertiary Salaries Survey" xfId="16169" xr:uid="{00000000-0005-0000-0000-00003C3F0000}"/>
    <cellStyle name="RowTitles-Detail 2 2 2 2 2 7 3" xfId="16170" xr:uid="{00000000-0005-0000-0000-00003D3F0000}"/>
    <cellStyle name="RowTitles-Detail 2 2 2 2 2 7_Tertiary Salaries Survey" xfId="16171" xr:uid="{00000000-0005-0000-0000-00003E3F0000}"/>
    <cellStyle name="RowTitles-Detail 2 2 2 2 2 8" xfId="16172" xr:uid="{00000000-0005-0000-0000-00003F3F0000}"/>
    <cellStyle name="RowTitles-Detail 2 2 2 2 2 9" xfId="16173" xr:uid="{00000000-0005-0000-0000-0000403F0000}"/>
    <cellStyle name="RowTitles-Detail 2 2 2 2 2_STUD aligned by INSTIT" xfId="16174" xr:uid="{00000000-0005-0000-0000-0000413F0000}"/>
    <cellStyle name="RowTitles-Detail 2 2 2 2 3" xfId="16175" xr:uid="{00000000-0005-0000-0000-0000423F0000}"/>
    <cellStyle name="RowTitles-Detail 2 2 2 2 3 2" xfId="16176" xr:uid="{00000000-0005-0000-0000-0000433F0000}"/>
    <cellStyle name="RowTitles-Detail 2 2 2 2 3 2 2" xfId="16177" xr:uid="{00000000-0005-0000-0000-0000443F0000}"/>
    <cellStyle name="RowTitles-Detail 2 2 2 2 3 2 2 2" xfId="16178" xr:uid="{00000000-0005-0000-0000-0000453F0000}"/>
    <cellStyle name="RowTitles-Detail 2 2 2 2 3 2 2 2 2" xfId="16179" xr:uid="{00000000-0005-0000-0000-0000463F0000}"/>
    <cellStyle name="RowTitles-Detail 2 2 2 2 3 2 2 2_Tertiary Salaries Survey" xfId="16180" xr:uid="{00000000-0005-0000-0000-0000473F0000}"/>
    <cellStyle name="RowTitles-Detail 2 2 2 2 3 2 2 3" xfId="16181" xr:uid="{00000000-0005-0000-0000-0000483F0000}"/>
    <cellStyle name="RowTitles-Detail 2 2 2 2 3 2 2_Tertiary Salaries Survey" xfId="16182" xr:uid="{00000000-0005-0000-0000-0000493F0000}"/>
    <cellStyle name="RowTitles-Detail 2 2 2 2 3 2 3" xfId="16183" xr:uid="{00000000-0005-0000-0000-00004A3F0000}"/>
    <cellStyle name="RowTitles-Detail 2 2 2 2 3 2 3 2" xfId="16184" xr:uid="{00000000-0005-0000-0000-00004B3F0000}"/>
    <cellStyle name="RowTitles-Detail 2 2 2 2 3 2 3 2 2" xfId="16185" xr:uid="{00000000-0005-0000-0000-00004C3F0000}"/>
    <cellStyle name="RowTitles-Detail 2 2 2 2 3 2 3 2_Tertiary Salaries Survey" xfId="16186" xr:uid="{00000000-0005-0000-0000-00004D3F0000}"/>
    <cellStyle name="RowTitles-Detail 2 2 2 2 3 2 3 3" xfId="16187" xr:uid="{00000000-0005-0000-0000-00004E3F0000}"/>
    <cellStyle name="RowTitles-Detail 2 2 2 2 3 2 3_Tertiary Salaries Survey" xfId="16188" xr:uid="{00000000-0005-0000-0000-00004F3F0000}"/>
    <cellStyle name="RowTitles-Detail 2 2 2 2 3 2 4" xfId="16189" xr:uid="{00000000-0005-0000-0000-0000503F0000}"/>
    <cellStyle name="RowTitles-Detail 2 2 2 2 3 2 5" xfId="16190" xr:uid="{00000000-0005-0000-0000-0000513F0000}"/>
    <cellStyle name="RowTitles-Detail 2 2 2 2 3 2 5 2" xfId="16191" xr:uid="{00000000-0005-0000-0000-0000523F0000}"/>
    <cellStyle name="RowTitles-Detail 2 2 2 2 3 2 5_Tertiary Salaries Survey" xfId="16192" xr:uid="{00000000-0005-0000-0000-0000533F0000}"/>
    <cellStyle name="RowTitles-Detail 2 2 2 2 3 2 6" xfId="16193" xr:uid="{00000000-0005-0000-0000-0000543F0000}"/>
    <cellStyle name="RowTitles-Detail 2 2 2 2 3 2_Tertiary Salaries Survey" xfId="16194" xr:uid="{00000000-0005-0000-0000-0000553F0000}"/>
    <cellStyle name="RowTitles-Detail 2 2 2 2 3 3" xfId="16195" xr:uid="{00000000-0005-0000-0000-0000563F0000}"/>
    <cellStyle name="RowTitles-Detail 2 2 2 2 3 3 2" xfId="16196" xr:uid="{00000000-0005-0000-0000-0000573F0000}"/>
    <cellStyle name="RowTitles-Detail 2 2 2 2 3 3 2 2" xfId="16197" xr:uid="{00000000-0005-0000-0000-0000583F0000}"/>
    <cellStyle name="RowTitles-Detail 2 2 2 2 3 3 2 2 2" xfId="16198" xr:uid="{00000000-0005-0000-0000-0000593F0000}"/>
    <cellStyle name="RowTitles-Detail 2 2 2 2 3 3 2 2_Tertiary Salaries Survey" xfId="16199" xr:uid="{00000000-0005-0000-0000-00005A3F0000}"/>
    <cellStyle name="RowTitles-Detail 2 2 2 2 3 3 2 3" xfId="16200" xr:uid="{00000000-0005-0000-0000-00005B3F0000}"/>
    <cellStyle name="RowTitles-Detail 2 2 2 2 3 3 2_Tertiary Salaries Survey" xfId="16201" xr:uid="{00000000-0005-0000-0000-00005C3F0000}"/>
    <cellStyle name="RowTitles-Detail 2 2 2 2 3 3 3" xfId="16202" xr:uid="{00000000-0005-0000-0000-00005D3F0000}"/>
    <cellStyle name="RowTitles-Detail 2 2 2 2 3 3 3 2" xfId="16203" xr:uid="{00000000-0005-0000-0000-00005E3F0000}"/>
    <cellStyle name="RowTitles-Detail 2 2 2 2 3 3 3 2 2" xfId="16204" xr:uid="{00000000-0005-0000-0000-00005F3F0000}"/>
    <cellStyle name="RowTitles-Detail 2 2 2 2 3 3 3 2_Tertiary Salaries Survey" xfId="16205" xr:uid="{00000000-0005-0000-0000-0000603F0000}"/>
    <cellStyle name="RowTitles-Detail 2 2 2 2 3 3 3 3" xfId="16206" xr:uid="{00000000-0005-0000-0000-0000613F0000}"/>
    <cellStyle name="RowTitles-Detail 2 2 2 2 3 3 3_Tertiary Salaries Survey" xfId="16207" xr:uid="{00000000-0005-0000-0000-0000623F0000}"/>
    <cellStyle name="RowTitles-Detail 2 2 2 2 3 3 4" xfId="16208" xr:uid="{00000000-0005-0000-0000-0000633F0000}"/>
    <cellStyle name="RowTitles-Detail 2 2 2 2 3 3 5" xfId="16209" xr:uid="{00000000-0005-0000-0000-0000643F0000}"/>
    <cellStyle name="RowTitles-Detail 2 2 2 2 3 3_Tertiary Salaries Survey" xfId="16210" xr:uid="{00000000-0005-0000-0000-0000653F0000}"/>
    <cellStyle name="RowTitles-Detail 2 2 2 2 3 4" xfId="16211" xr:uid="{00000000-0005-0000-0000-0000663F0000}"/>
    <cellStyle name="RowTitles-Detail 2 2 2 2 3 4 2" xfId="16212" xr:uid="{00000000-0005-0000-0000-0000673F0000}"/>
    <cellStyle name="RowTitles-Detail 2 2 2 2 3 4 2 2" xfId="16213" xr:uid="{00000000-0005-0000-0000-0000683F0000}"/>
    <cellStyle name="RowTitles-Detail 2 2 2 2 3 4 2 2 2" xfId="16214" xr:uid="{00000000-0005-0000-0000-0000693F0000}"/>
    <cellStyle name="RowTitles-Detail 2 2 2 2 3 4 2 2_Tertiary Salaries Survey" xfId="16215" xr:uid="{00000000-0005-0000-0000-00006A3F0000}"/>
    <cellStyle name="RowTitles-Detail 2 2 2 2 3 4 2 3" xfId="16216" xr:uid="{00000000-0005-0000-0000-00006B3F0000}"/>
    <cellStyle name="RowTitles-Detail 2 2 2 2 3 4 2_Tertiary Salaries Survey" xfId="16217" xr:uid="{00000000-0005-0000-0000-00006C3F0000}"/>
    <cellStyle name="RowTitles-Detail 2 2 2 2 3 4 3" xfId="16218" xr:uid="{00000000-0005-0000-0000-00006D3F0000}"/>
    <cellStyle name="RowTitles-Detail 2 2 2 2 3 4 3 2" xfId="16219" xr:uid="{00000000-0005-0000-0000-00006E3F0000}"/>
    <cellStyle name="RowTitles-Detail 2 2 2 2 3 4 3 2 2" xfId="16220" xr:uid="{00000000-0005-0000-0000-00006F3F0000}"/>
    <cellStyle name="RowTitles-Detail 2 2 2 2 3 4 3 2_Tertiary Salaries Survey" xfId="16221" xr:uid="{00000000-0005-0000-0000-0000703F0000}"/>
    <cellStyle name="RowTitles-Detail 2 2 2 2 3 4 3 3" xfId="16222" xr:uid="{00000000-0005-0000-0000-0000713F0000}"/>
    <cellStyle name="RowTitles-Detail 2 2 2 2 3 4 3_Tertiary Salaries Survey" xfId="16223" xr:uid="{00000000-0005-0000-0000-0000723F0000}"/>
    <cellStyle name="RowTitles-Detail 2 2 2 2 3 4 4" xfId="16224" xr:uid="{00000000-0005-0000-0000-0000733F0000}"/>
    <cellStyle name="RowTitles-Detail 2 2 2 2 3 4 4 2" xfId="16225" xr:uid="{00000000-0005-0000-0000-0000743F0000}"/>
    <cellStyle name="RowTitles-Detail 2 2 2 2 3 4 4_Tertiary Salaries Survey" xfId="16226" xr:uid="{00000000-0005-0000-0000-0000753F0000}"/>
    <cellStyle name="RowTitles-Detail 2 2 2 2 3 4 5" xfId="16227" xr:uid="{00000000-0005-0000-0000-0000763F0000}"/>
    <cellStyle name="RowTitles-Detail 2 2 2 2 3 4_Tertiary Salaries Survey" xfId="16228" xr:uid="{00000000-0005-0000-0000-0000773F0000}"/>
    <cellStyle name="RowTitles-Detail 2 2 2 2 3 5" xfId="16229" xr:uid="{00000000-0005-0000-0000-0000783F0000}"/>
    <cellStyle name="RowTitles-Detail 2 2 2 2 3 5 2" xfId="16230" xr:uid="{00000000-0005-0000-0000-0000793F0000}"/>
    <cellStyle name="RowTitles-Detail 2 2 2 2 3 5 2 2" xfId="16231" xr:uid="{00000000-0005-0000-0000-00007A3F0000}"/>
    <cellStyle name="RowTitles-Detail 2 2 2 2 3 5 2 2 2" xfId="16232" xr:uid="{00000000-0005-0000-0000-00007B3F0000}"/>
    <cellStyle name="RowTitles-Detail 2 2 2 2 3 5 2 2_Tertiary Salaries Survey" xfId="16233" xr:uid="{00000000-0005-0000-0000-00007C3F0000}"/>
    <cellStyle name="RowTitles-Detail 2 2 2 2 3 5 2 3" xfId="16234" xr:uid="{00000000-0005-0000-0000-00007D3F0000}"/>
    <cellStyle name="RowTitles-Detail 2 2 2 2 3 5 2_Tertiary Salaries Survey" xfId="16235" xr:uid="{00000000-0005-0000-0000-00007E3F0000}"/>
    <cellStyle name="RowTitles-Detail 2 2 2 2 3 5 3" xfId="16236" xr:uid="{00000000-0005-0000-0000-00007F3F0000}"/>
    <cellStyle name="RowTitles-Detail 2 2 2 2 3 5 3 2" xfId="16237" xr:uid="{00000000-0005-0000-0000-0000803F0000}"/>
    <cellStyle name="RowTitles-Detail 2 2 2 2 3 5 3 2 2" xfId="16238" xr:uid="{00000000-0005-0000-0000-0000813F0000}"/>
    <cellStyle name="RowTitles-Detail 2 2 2 2 3 5 3 2_Tertiary Salaries Survey" xfId="16239" xr:uid="{00000000-0005-0000-0000-0000823F0000}"/>
    <cellStyle name="RowTitles-Detail 2 2 2 2 3 5 3 3" xfId="16240" xr:uid="{00000000-0005-0000-0000-0000833F0000}"/>
    <cellStyle name="RowTitles-Detail 2 2 2 2 3 5 3_Tertiary Salaries Survey" xfId="16241" xr:uid="{00000000-0005-0000-0000-0000843F0000}"/>
    <cellStyle name="RowTitles-Detail 2 2 2 2 3 5 4" xfId="16242" xr:uid="{00000000-0005-0000-0000-0000853F0000}"/>
    <cellStyle name="RowTitles-Detail 2 2 2 2 3 5 4 2" xfId="16243" xr:uid="{00000000-0005-0000-0000-0000863F0000}"/>
    <cellStyle name="RowTitles-Detail 2 2 2 2 3 5 4_Tertiary Salaries Survey" xfId="16244" xr:uid="{00000000-0005-0000-0000-0000873F0000}"/>
    <cellStyle name="RowTitles-Detail 2 2 2 2 3 5 5" xfId="16245" xr:uid="{00000000-0005-0000-0000-0000883F0000}"/>
    <cellStyle name="RowTitles-Detail 2 2 2 2 3 5_Tertiary Salaries Survey" xfId="16246" xr:uid="{00000000-0005-0000-0000-0000893F0000}"/>
    <cellStyle name="RowTitles-Detail 2 2 2 2 3 6" xfId="16247" xr:uid="{00000000-0005-0000-0000-00008A3F0000}"/>
    <cellStyle name="RowTitles-Detail 2 2 2 2 3 6 2" xfId="16248" xr:uid="{00000000-0005-0000-0000-00008B3F0000}"/>
    <cellStyle name="RowTitles-Detail 2 2 2 2 3 6 2 2" xfId="16249" xr:uid="{00000000-0005-0000-0000-00008C3F0000}"/>
    <cellStyle name="RowTitles-Detail 2 2 2 2 3 6 2 2 2" xfId="16250" xr:uid="{00000000-0005-0000-0000-00008D3F0000}"/>
    <cellStyle name="RowTitles-Detail 2 2 2 2 3 6 2 2_Tertiary Salaries Survey" xfId="16251" xr:uid="{00000000-0005-0000-0000-00008E3F0000}"/>
    <cellStyle name="RowTitles-Detail 2 2 2 2 3 6 2 3" xfId="16252" xr:uid="{00000000-0005-0000-0000-00008F3F0000}"/>
    <cellStyle name="RowTitles-Detail 2 2 2 2 3 6 2_Tertiary Salaries Survey" xfId="16253" xr:uid="{00000000-0005-0000-0000-0000903F0000}"/>
    <cellStyle name="RowTitles-Detail 2 2 2 2 3 6 3" xfId="16254" xr:uid="{00000000-0005-0000-0000-0000913F0000}"/>
    <cellStyle name="RowTitles-Detail 2 2 2 2 3 6 3 2" xfId="16255" xr:uid="{00000000-0005-0000-0000-0000923F0000}"/>
    <cellStyle name="RowTitles-Detail 2 2 2 2 3 6 3 2 2" xfId="16256" xr:uid="{00000000-0005-0000-0000-0000933F0000}"/>
    <cellStyle name="RowTitles-Detail 2 2 2 2 3 6 3 2_Tertiary Salaries Survey" xfId="16257" xr:uid="{00000000-0005-0000-0000-0000943F0000}"/>
    <cellStyle name="RowTitles-Detail 2 2 2 2 3 6 3 3" xfId="16258" xr:uid="{00000000-0005-0000-0000-0000953F0000}"/>
    <cellStyle name="RowTitles-Detail 2 2 2 2 3 6 3_Tertiary Salaries Survey" xfId="16259" xr:uid="{00000000-0005-0000-0000-0000963F0000}"/>
    <cellStyle name="RowTitles-Detail 2 2 2 2 3 6 4" xfId="16260" xr:uid="{00000000-0005-0000-0000-0000973F0000}"/>
    <cellStyle name="RowTitles-Detail 2 2 2 2 3 6 4 2" xfId="16261" xr:uid="{00000000-0005-0000-0000-0000983F0000}"/>
    <cellStyle name="RowTitles-Detail 2 2 2 2 3 6 4_Tertiary Salaries Survey" xfId="16262" xr:uid="{00000000-0005-0000-0000-0000993F0000}"/>
    <cellStyle name="RowTitles-Detail 2 2 2 2 3 6 5" xfId="16263" xr:uid="{00000000-0005-0000-0000-00009A3F0000}"/>
    <cellStyle name="RowTitles-Detail 2 2 2 2 3 6_Tertiary Salaries Survey" xfId="16264" xr:uid="{00000000-0005-0000-0000-00009B3F0000}"/>
    <cellStyle name="RowTitles-Detail 2 2 2 2 3 7" xfId="16265" xr:uid="{00000000-0005-0000-0000-00009C3F0000}"/>
    <cellStyle name="RowTitles-Detail 2 2 2 2 3 7 2" xfId="16266" xr:uid="{00000000-0005-0000-0000-00009D3F0000}"/>
    <cellStyle name="RowTitles-Detail 2 2 2 2 3 7 2 2" xfId="16267" xr:uid="{00000000-0005-0000-0000-00009E3F0000}"/>
    <cellStyle name="RowTitles-Detail 2 2 2 2 3 7 2_Tertiary Salaries Survey" xfId="16268" xr:uid="{00000000-0005-0000-0000-00009F3F0000}"/>
    <cellStyle name="RowTitles-Detail 2 2 2 2 3 7 3" xfId="16269" xr:uid="{00000000-0005-0000-0000-0000A03F0000}"/>
    <cellStyle name="RowTitles-Detail 2 2 2 2 3 7_Tertiary Salaries Survey" xfId="16270" xr:uid="{00000000-0005-0000-0000-0000A13F0000}"/>
    <cellStyle name="RowTitles-Detail 2 2 2 2 3 8" xfId="16271" xr:uid="{00000000-0005-0000-0000-0000A23F0000}"/>
    <cellStyle name="RowTitles-Detail 2 2 2 2 3 8 2" xfId="16272" xr:uid="{00000000-0005-0000-0000-0000A33F0000}"/>
    <cellStyle name="RowTitles-Detail 2 2 2 2 3 8 2 2" xfId="16273" xr:uid="{00000000-0005-0000-0000-0000A43F0000}"/>
    <cellStyle name="RowTitles-Detail 2 2 2 2 3 8 2_Tertiary Salaries Survey" xfId="16274" xr:uid="{00000000-0005-0000-0000-0000A53F0000}"/>
    <cellStyle name="RowTitles-Detail 2 2 2 2 3 8 3" xfId="16275" xr:uid="{00000000-0005-0000-0000-0000A63F0000}"/>
    <cellStyle name="RowTitles-Detail 2 2 2 2 3 8_Tertiary Salaries Survey" xfId="16276" xr:uid="{00000000-0005-0000-0000-0000A73F0000}"/>
    <cellStyle name="RowTitles-Detail 2 2 2 2 3 9" xfId="16277" xr:uid="{00000000-0005-0000-0000-0000A83F0000}"/>
    <cellStyle name="RowTitles-Detail 2 2 2 2 3_STUD aligned by INSTIT" xfId="16278" xr:uid="{00000000-0005-0000-0000-0000A93F0000}"/>
    <cellStyle name="RowTitles-Detail 2 2 2 2 4" xfId="16279" xr:uid="{00000000-0005-0000-0000-0000AA3F0000}"/>
    <cellStyle name="RowTitles-Detail 2 2 2 2 4 2" xfId="16280" xr:uid="{00000000-0005-0000-0000-0000AB3F0000}"/>
    <cellStyle name="RowTitles-Detail 2 2 2 2 4 2 2" xfId="16281" xr:uid="{00000000-0005-0000-0000-0000AC3F0000}"/>
    <cellStyle name="RowTitles-Detail 2 2 2 2 4 2 2 2" xfId="16282" xr:uid="{00000000-0005-0000-0000-0000AD3F0000}"/>
    <cellStyle name="RowTitles-Detail 2 2 2 2 4 2 2 2 2" xfId="16283" xr:uid="{00000000-0005-0000-0000-0000AE3F0000}"/>
    <cellStyle name="RowTitles-Detail 2 2 2 2 4 2 2 2_Tertiary Salaries Survey" xfId="16284" xr:uid="{00000000-0005-0000-0000-0000AF3F0000}"/>
    <cellStyle name="RowTitles-Detail 2 2 2 2 4 2 2 3" xfId="16285" xr:uid="{00000000-0005-0000-0000-0000B03F0000}"/>
    <cellStyle name="RowTitles-Detail 2 2 2 2 4 2 2_Tertiary Salaries Survey" xfId="16286" xr:uid="{00000000-0005-0000-0000-0000B13F0000}"/>
    <cellStyle name="RowTitles-Detail 2 2 2 2 4 2 3" xfId="16287" xr:uid="{00000000-0005-0000-0000-0000B23F0000}"/>
    <cellStyle name="RowTitles-Detail 2 2 2 2 4 2 3 2" xfId="16288" xr:uid="{00000000-0005-0000-0000-0000B33F0000}"/>
    <cellStyle name="RowTitles-Detail 2 2 2 2 4 2 3 2 2" xfId="16289" xr:uid="{00000000-0005-0000-0000-0000B43F0000}"/>
    <cellStyle name="RowTitles-Detail 2 2 2 2 4 2 3 2_Tertiary Salaries Survey" xfId="16290" xr:uid="{00000000-0005-0000-0000-0000B53F0000}"/>
    <cellStyle name="RowTitles-Detail 2 2 2 2 4 2 3 3" xfId="16291" xr:uid="{00000000-0005-0000-0000-0000B63F0000}"/>
    <cellStyle name="RowTitles-Detail 2 2 2 2 4 2 3_Tertiary Salaries Survey" xfId="16292" xr:uid="{00000000-0005-0000-0000-0000B73F0000}"/>
    <cellStyle name="RowTitles-Detail 2 2 2 2 4 2 4" xfId="16293" xr:uid="{00000000-0005-0000-0000-0000B83F0000}"/>
    <cellStyle name="RowTitles-Detail 2 2 2 2 4 2 5" xfId="16294" xr:uid="{00000000-0005-0000-0000-0000B93F0000}"/>
    <cellStyle name="RowTitles-Detail 2 2 2 2 4 2 5 2" xfId="16295" xr:uid="{00000000-0005-0000-0000-0000BA3F0000}"/>
    <cellStyle name="RowTitles-Detail 2 2 2 2 4 2 5_Tertiary Salaries Survey" xfId="16296" xr:uid="{00000000-0005-0000-0000-0000BB3F0000}"/>
    <cellStyle name="RowTitles-Detail 2 2 2 2 4 2 6" xfId="16297" xr:uid="{00000000-0005-0000-0000-0000BC3F0000}"/>
    <cellStyle name="RowTitles-Detail 2 2 2 2 4 2_Tertiary Salaries Survey" xfId="16298" xr:uid="{00000000-0005-0000-0000-0000BD3F0000}"/>
    <cellStyle name="RowTitles-Detail 2 2 2 2 4 3" xfId="16299" xr:uid="{00000000-0005-0000-0000-0000BE3F0000}"/>
    <cellStyle name="RowTitles-Detail 2 2 2 2 4 3 2" xfId="16300" xr:uid="{00000000-0005-0000-0000-0000BF3F0000}"/>
    <cellStyle name="RowTitles-Detail 2 2 2 2 4 3 2 2" xfId="16301" xr:uid="{00000000-0005-0000-0000-0000C03F0000}"/>
    <cellStyle name="RowTitles-Detail 2 2 2 2 4 3 2 2 2" xfId="16302" xr:uid="{00000000-0005-0000-0000-0000C13F0000}"/>
    <cellStyle name="RowTitles-Detail 2 2 2 2 4 3 2 2_Tertiary Salaries Survey" xfId="16303" xr:uid="{00000000-0005-0000-0000-0000C23F0000}"/>
    <cellStyle name="RowTitles-Detail 2 2 2 2 4 3 2 3" xfId="16304" xr:uid="{00000000-0005-0000-0000-0000C33F0000}"/>
    <cellStyle name="RowTitles-Detail 2 2 2 2 4 3 2_Tertiary Salaries Survey" xfId="16305" xr:uid="{00000000-0005-0000-0000-0000C43F0000}"/>
    <cellStyle name="RowTitles-Detail 2 2 2 2 4 3 3" xfId="16306" xr:uid="{00000000-0005-0000-0000-0000C53F0000}"/>
    <cellStyle name="RowTitles-Detail 2 2 2 2 4 3 3 2" xfId="16307" xr:uid="{00000000-0005-0000-0000-0000C63F0000}"/>
    <cellStyle name="RowTitles-Detail 2 2 2 2 4 3 3 2 2" xfId="16308" xr:uid="{00000000-0005-0000-0000-0000C73F0000}"/>
    <cellStyle name="RowTitles-Detail 2 2 2 2 4 3 3 2_Tertiary Salaries Survey" xfId="16309" xr:uid="{00000000-0005-0000-0000-0000C83F0000}"/>
    <cellStyle name="RowTitles-Detail 2 2 2 2 4 3 3 3" xfId="16310" xr:uid="{00000000-0005-0000-0000-0000C93F0000}"/>
    <cellStyle name="RowTitles-Detail 2 2 2 2 4 3 3_Tertiary Salaries Survey" xfId="16311" xr:uid="{00000000-0005-0000-0000-0000CA3F0000}"/>
    <cellStyle name="RowTitles-Detail 2 2 2 2 4 3 4" xfId="16312" xr:uid="{00000000-0005-0000-0000-0000CB3F0000}"/>
    <cellStyle name="RowTitles-Detail 2 2 2 2 4 3 5" xfId="16313" xr:uid="{00000000-0005-0000-0000-0000CC3F0000}"/>
    <cellStyle name="RowTitles-Detail 2 2 2 2 4 3_Tertiary Salaries Survey" xfId="16314" xr:uid="{00000000-0005-0000-0000-0000CD3F0000}"/>
    <cellStyle name="RowTitles-Detail 2 2 2 2 4 4" xfId="16315" xr:uid="{00000000-0005-0000-0000-0000CE3F0000}"/>
    <cellStyle name="RowTitles-Detail 2 2 2 2 4 4 2" xfId="16316" xr:uid="{00000000-0005-0000-0000-0000CF3F0000}"/>
    <cellStyle name="RowTitles-Detail 2 2 2 2 4 4 2 2" xfId="16317" xr:uid="{00000000-0005-0000-0000-0000D03F0000}"/>
    <cellStyle name="RowTitles-Detail 2 2 2 2 4 4 2 2 2" xfId="16318" xr:uid="{00000000-0005-0000-0000-0000D13F0000}"/>
    <cellStyle name="RowTitles-Detail 2 2 2 2 4 4 2 2_Tertiary Salaries Survey" xfId="16319" xr:uid="{00000000-0005-0000-0000-0000D23F0000}"/>
    <cellStyle name="RowTitles-Detail 2 2 2 2 4 4 2 3" xfId="16320" xr:uid="{00000000-0005-0000-0000-0000D33F0000}"/>
    <cellStyle name="RowTitles-Detail 2 2 2 2 4 4 2_Tertiary Salaries Survey" xfId="16321" xr:uid="{00000000-0005-0000-0000-0000D43F0000}"/>
    <cellStyle name="RowTitles-Detail 2 2 2 2 4 4 3" xfId="16322" xr:uid="{00000000-0005-0000-0000-0000D53F0000}"/>
    <cellStyle name="RowTitles-Detail 2 2 2 2 4 4 3 2" xfId="16323" xr:uid="{00000000-0005-0000-0000-0000D63F0000}"/>
    <cellStyle name="RowTitles-Detail 2 2 2 2 4 4 3 2 2" xfId="16324" xr:uid="{00000000-0005-0000-0000-0000D73F0000}"/>
    <cellStyle name="RowTitles-Detail 2 2 2 2 4 4 3 2_Tertiary Salaries Survey" xfId="16325" xr:uid="{00000000-0005-0000-0000-0000D83F0000}"/>
    <cellStyle name="RowTitles-Detail 2 2 2 2 4 4 3 3" xfId="16326" xr:uid="{00000000-0005-0000-0000-0000D93F0000}"/>
    <cellStyle name="RowTitles-Detail 2 2 2 2 4 4 3_Tertiary Salaries Survey" xfId="16327" xr:uid="{00000000-0005-0000-0000-0000DA3F0000}"/>
    <cellStyle name="RowTitles-Detail 2 2 2 2 4 4 4" xfId="16328" xr:uid="{00000000-0005-0000-0000-0000DB3F0000}"/>
    <cellStyle name="RowTitles-Detail 2 2 2 2 4 4 5" xfId="16329" xr:uid="{00000000-0005-0000-0000-0000DC3F0000}"/>
    <cellStyle name="RowTitles-Detail 2 2 2 2 4 4 5 2" xfId="16330" xr:uid="{00000000-0005-0000-0000-0000DD3F0000}"/>
    <cellStyle name="RowTitles-Detail 2 2 2 2 4 4 5_Tertiary Salaries Survey" xfId="16331" xr:uid="{00000000-0005-0000-0000-0000DE3F0000}"/>
    <cellStyle name="RowTitles-Detail 2 2 2 2 4 4 6" xfId="16332" xr:uid="{00000000-0005-0000-0000-0000DF3F0000}"/>
    <cellStyle name="RowTitles-Detail 2 2 2 2 4 4_Tertiary Salaries Survey" xfId="16333" xr:uid="{00000000-0005-0000-0000-0000E03F0000}"/>
    <cellStyle name="RowTitles-Detail 2 2 2 2 4 5" xfId="16334" xr:uid="{00000000-0005-0000-0000-0000E13F0000}"/>
    <cellStyle name="RowTitles-Detail 2 2 2 2 4 5 2" xfId="16335" xr:uid="{00000000-0005-0000-0000-0000E23F0000}"/>
    <cellStyle name="RowTitles-Detail 2 2 2 2 4 5 2 2" xfId="16336" xr:uid="{00000000-0005-0000-0000-0000E33F0000}"/>
    <cellStyle name="RowTitles-Detail 2 2 2 2 4 5 2 2 2" xfId="16337" xr:uid="{00000000-0005-0000-0000-0000E43F0000}"/>
    <cellStyle name="RowTitles-Detail 2 2 2 2 4 5 2 2_Tertiary Salaries Survey" xfId="16338" xr:uid="{00000000-0005-0000-0000-0000E53F0000}"/>
    <cellStyle name="RowTitles-Detail 2 2 2 2 4 5 2 3" xfId="16339" xr:uid="{00000000-0005-0000-0000-0000E63F0000}"/>
    <cellStyle name="RowTitles-Detail 2 2 2 2 4 5 2_Tertiary Salaries Survey" xfId="16340" xr:uid="{00000000-0005-0000-0000-0000E73F0000}"/>
    <cellStyle name="RowTitles-Detail 2 2 2 2 4 5 3" xfId="16341" xr:uid="{00000000-0005-0000-0000-0000E83F0000}"/>
    <cellStyle name="RowTitles-Detail 2 2 2 2 4 5 3 2" xfId="16342" xr:uid="{00000000-0005-0000-0000-0000E93F0000}"/>
    <cellStyle name="RowTitles-Detail 2 2 2 2 4 5 3 2 2" xfId="16343" xr:uid="{00000000-0005-0000-0000-0000EA3F0000}"/>
    <cellStyle name="RowTitles-Detail 2 2 2 2 4 5 3 2_Tertiary Salaries Survey" xfId="16344" xr:uid="{00000000-0005-0000-0000-0000EB3F0000}"/>
    <cellStyle name="RowTitles-Detail 2 2 2 2 4 5 3 3" xfId="16345" xr:uid="{00000000-0005-0000-0000-0000EC3F0000}"/>
    <cellStyle name="RowTitles-Detail 2 2 2 2 4 5 3_Tertiary Salaries Survey" xfId="16346" xr:uid="{00000000-0005-0000-0000-0000ED3F0000}"/>
    <cellStyle name="RowTitles-Detail 2 2 2 2 4 5 4" xfId="16347" xr:uid="{00000000-0005-0000-0000-0000EE3F0000}"/>
    <cellStyle name="RowTitles-Detail 2 2 2 2 4 5 4 2" xfId="16348" xr:uid="{00000000-0005-0000-0000-0000EF3F0000}"/>
    <cellStyle name="RowTitles-Detail 2 2 2 2 4 5 4_Tertiary Salaries Survey" xfId="16349" xr:uid="{00000000-0005-0000-0000-0000F03F0000}"/>
    <cellStyle name="RowTitles-Detail 2 2 2 2 4 5 5" xfId="16350" xr:uid="{00000000-0005-0000-0000-0000F13F0000}"/>
    <cellStyle name="RowTitles-Detail 2 2 2 2 4 5_Tertiary Salaries Survey" xfId="16351" xr:uid="{00000000-0005-0000-0000-0000F23F0000}"/>
    <cellStyle name="RowTitles-Detail 2 2 2 2 4 6" xfId="16352" xr:uid="{00000000-0005-0000-0000-0000F33F0000}"/>
    <cellStyle name="RowTitles-Detail 2 2 2 2 4 6 2" xfId="16353" xr:uid="{00000000-0005-0000-0000-0000F43F0000}"/>
    <cellStyle name="RowTitles-Detail 2 2 2 2 4 6 2 2" xfId="16354" xr:uid="{00000000-0005-0000-0000-0000F53F0000}"/>
    <cellStyle name="RowTitles-Detail 2 2 2 2 4 6 2 2 2" xfId="16355" xr:uid="{00000000-0005-0000-0000-0000F63F0000}"/>
    <cellStyle name="RowTitles-Detail 2 2 2 2 4 6 2 2_Tertiary Salaries Survey" xfId="16356" xr:uid="{00000000-0005-0000-0000-0000F73F0000}"/>
    <cellStyle name="RowTitles-Detail 2 2 2 2 4 6 2 3" xfId="16357" xr:uid="{00000000-0005-0000-0000-0000F83F0000}"/>
    <cellStyle name="RowTitles-Detail 2 2 2 2 4 6 2_Tertiary Salaries Survey" xfId="16358" xr:uid="{00000000-0005-0000-0000-0000F93F0000}"/>
    <cellStyle name="RowTitles-Detail 2 2 2 2 4 6 3" xfId="16359" xr:uid="{00000000-0005-0000-0000-0000FA3F0000}"/>
    <cellStyle name="RowTitles-Detail 2 2 2 2 4 6 3 2" xfId="16360" xr:uid="{00000000-0005-0000-0000-0000FB3F0000}"/>
    <cellStyle name="RowTitles-Detail 2 2 2 2 4 6 3 2 2" xfId="16361" xr:uid="{00000000-0005-0000-0000-0000FC3F0000}"/>
    <cellStyle name="RowTitles-Detail 2 2 2 2 4 6 3 2_Tertiary Salaries Survey" xfId="16362" xr:uid="{00000000-0005-0000-0000-0000FD3F0000}"/>
    <cellStyle name="RowTitles-Detail 2 2 2 2 4 6 3 3" xfId="16363" xr:uid="{00000000-0005-0000-0000-0000FE3F0000}"/>
    <cellStyle name="RowTitles-Detail 2 2 2 2 4 6 3_Tertiary Salaries Survey" xfId="16364" xr:uid="{00000000-0005-0000-0000-0000FF3F0000}"/>
    <cellStyle name="RowTitles-Detail 2 2 2 2 4 6 4" xfId="16365" xr:uid="{00000000-0005-0000-0000-000000400000}"/>
    <cellStyle name="RowTitles-Detail 2 2 2 2 4 6 4 2" xfId="16366" xr:uid="{00000000-0005-0000-0000-000001400000}"/>
    <cellStyle name="RowTitles-Detail 2 2 2 2 4 6 4_Tertiary Salaries Survey" xfId="16367" xr:uid="{00000000-0005-0000-0000-000002400000}"/>
    <cellStyle name="RowTitles-Detail 2 2 2 2 4 6 5" xfId="16368" xr:uid="{00000000-0005-0000-0000-000003400000}"/>
    <cellStyle name="RowTitles-Detail 2 2 2 2 4 6_Tertiary Salaries Survey" xfId="16369" xr:uid="{00000000-0005-0000-0000-000004400000}"/>
    <cellStyle name="RowTitles-Detail 2 2 2 2 4 7" xfId="16370" xr:uid="{00000000-0005-0000-0000-000005400000}"/>
    <cellStyle name="RowTitles-Detail 2 2 2 2 4 7 2" xfId="16371" xr:uid="{00000000-0005-0000-0000-000006400000}"/>
    <cellStyle name="RowTitles-Detail 2 2 2 2 4 7 2 2" xfId="16372" xr:uid="{00000000-0005-0000-0000-000007400000}"/>
    <cellStyle name="RowTitles-Detail 2 2 2 2 4 7 2_Tertiary Salaries Survey" xfId="16373" xr:uid="{00000000-0005-0000-0000-000008400000}"/>
    <cellStyle name="RowTitles-Detail 2 2 2 2 4 7 3" xfId="16374" xr:uid="{00000000-0005-0000-0000-000009400000}"/>
    <cellStyle name="RowTitles-Detail 2 2 2 2 4 7_Tertiary Salaries Survey" xfId="16375" xr:uid="{00000000-0005-0000-0000-00000A400000}"/>
    <cellStyle name="RowTitles-Detail 2 2 2 2 4 8" xfId="16376" xr:uid="{00000000-0005-0000-0000-00000B400000}"/>
    <cellStyle name="RowTitles-Detail 2 2 2 2 4 9" xfId="16377" xr:uid="{00000000-0005-0000-0000-00000C400000}"/>
    <cellStyle name="RowTitles-Detail 2 2 2 2 4_STUD aligned by INSTIT" xfId="16378" xr:uid="{00000000-0005-0000-0000-00000D400000}"/>
    <cellStyle name="RowTitles-Detail 2 2 2 2 5" xfId="16379" xr:uid="{00000000-0005-0000-0000-00000E400000}"/>
    <cellStyle name="RowTitles-Detail 2 2 2 2 5 2" xfId="16380" xr:uid="{00000000-0005-0000-0000-00000F400000}"/>
    <cellStyle name="RowTitles-Detail 2 2 2 2 5 2 2" xfId="16381" xr:uid="{00000000-0005-0000-0000-000010400000}"/>
    <cellStyle name="RowTitles-Detail 2 2 2 2 5 2 2 2" xfId="16382" xr:uid="{00000000-0005-0000-0000-000011400000}"/>
    <cellStyle name="RowTitles-Detail 2 2 2 2 5 2 2_Tertiary Salaries Survey" xfId="16383" xr:uid="{00000000-0005-0000-0000-000012400000}"/>
    <cellStyle name="RowTitles-Detail 2 2 2 2 5 2 3" xfId="16384" xr:uid="{00000000-0005-0000-0000-000013400000}"/>
    <cellStyle name="RowTitles-Detail 2 2 2 2 5 2_Tertiary Salaries Survey" xfId="16385" xr:uid="{00000000-0005-0000-0000-000014400000}"/>
    <cellStyle name="RowTitles-Detail 2 2 2 2 5 3" xfId="16386" xr:uid="{00000000-0005-0000-0000-000015400000}"/>
    <cellStyle name="RowTitles-Detail 2 2 2 2 5 3 2" xfId="16387" xr:uid="{00000000-0005-0000-0000-000016400000}"/>
    <cellStyle name="RowTitles-Detail 2 2 2 2 5 3 2 2" xfId="16388" xr:uid="{00000000-0005-0000-0000-000017400000}"/>
    <cellStyle name="RowTitles-Detail 2 2 2 2 5 3 2_Tertiary Salaries Survey" xfId="16389" xr:uid="{00000000-0005-0000-0000-000018400000}"/>
    <cellStyle name="RowTitles-Detail 2 2 2 2 5 3 3" xfId="16390" xr:uid="{00000000-0005-0000-0000-000019400000}"/>
    <cellStyle name="RowTitles-Detail 2 2 2 2 5 3_Tertiary Salaries Survey" xfId="16391" xr:uid="{00000000-0005-0000-0000-00001A400000}"/>
    <cellStyle name="RowTitles-Detail 2 2 2 2 5 4" xfId="16392" xr:uid="{00000000-0005-0000-0000-00001B400000}"/>
    <cellStyle name="RowTitles-Detail 2 2 2 2 5 5" xfId="16393" xr:uid="{00000000-0005-0000-0000-00001C400000}"/>
    <cellStyle name="RowTitles-Detail 2 2 2 2 5 5 2" xfId="16394" xr:uid="{00000000-0005-0000-0000-00001D400000}"/>
    <cellStyle name="RowTitles-Detail 2 2 2 2 5 5_Tertiary Salaries Survey" xfId="16395" xr:uid="{00000000-0005-0000-0000-00001E400000}"/>
    <cellStyle name="RowTitles-Detail 2 2 2 2 5 6" xfId="16396" xr:uid="{00000000-0005-0000-0000-00001F400000}"/>
    <cellStyle name="RowTitles-Detail 2 2 2 2 5_Tertiary Salaries Survey" xfId="16397" xr:uid="{00000000-0005-0000-0000-000020400000}"/>
    <cellStyle name="RowTitles-Detail 2 2 2 2 6" xfId="16398" xr:uid="{00000000-0005-0000-0000-000021400000}"/>
    <cellStyle name="RowTitles-Detail 2 2 2 2 6 2" xfId="16399" xr:uid="{00000000-0005-0000-0000-000022400000}"/>
    <cellStyle name="RowTitles-Detail 2 2 2 2 6 2 2" xfId="16400" xr:uid="{00000000-0005-0000-0000-000023400000}"/>
    <cellStyle name="RowTitles-Detail 2 2 2 2 6 2 2 2" xfId="16401" xr:uid="{00000000-0005-0000-0000-000024400000}"/>
    <cellStyle name="RowTitles-Detail 2 2 2 2 6 2 2_Tertiary Salaries Survey" xfId="16402" xr:uid="{00000000-0005-0000-0000-000025400000}"/>
    <cellStyle name="RowTitles-Detail 2 2 2 2 6 2 3" xfId="16403" xr:uid="{00000000-0005-0000-0000-000026400000}"/>
    <cellStyle name="RowTitles-Detail 2 2 2 2 6 2_Tertiary Salaries Survey" xfId="16404" xr:uid="{00000000-0005-0000-0000-000027400000}"/>
    <cellStyle name="RowTitles-Detail 2 2 2 2 6 3" xfId="16405" xr:uid="{00000000-0005-0000-0000-000028400000}"/>
    <cellStyle name="RowTitles-Detail 2 2 2 2 6 3 2" xfId="16406" xr:uid="{00000000-0005-0000-0000-000029400000}"/>
    <cellStyle name="RowTitles-Detail 2 2 2 2 6 3 2 2" xfId="16407" xr:uid="{00000000-0005-0000-0000-00002A400000}"/>
    <cellStyle name="RowTitles-Detail 2 2 2 2 6 3 2_Tertiary Salaries Survey" xfId="16408" xr:uid="{00000000-0005-0000-0000-00002B400000}"/>
    <cellStyle name="RowTitles-Detail 2 2 2 2 6 3 3" xfId="16409" xr:uid="{00000000-0005-0000-0000-00002C400000}"/>
    <cellStyle name="RowTitles-Detail 2 2 2 2 6 3_Tertiary Salaries Survey" xfId="16410" xr:uid="{00000000-0005-0000-0000-00002D400000}"/>
    <cellStyle name="RowTitles-Detail 2 2 2 2 6 4" xfId="16411" xr:uid="{00000000-0005-0000-0000-00002E400000}"/>
    <cellStyle name="RowTitles-Detail 2 2 2 2 6 5" xfId="16412" xr:uid="{00000000-0005-0000-0000-00002F400000}"/>
    <cellStyle name="RowTitles-Detail 2 2 2 2 6_Tertiary Salaries Survey" xfId="16413" xr:uid="{00000000-0005-0000-0000-000030400000}"/>
    <cellStyle name="RowTitles-Detail 2 2 2 2 7" xfId="16414" xr:uid="{00000000-0005-0000-0000-000031400000}"/>
    <cellStyle name="RowTitles-Detail 2 2 2 2 7 2" xfId="16415" xr:uid="{00000000-0005-0000-0000-000032400000}"/>
    <cellStyle name="RowTitles-Detail 2 2 2 2 7 2 2" xfId="16416" xr:uid="{00000000-0005-0000-0000-000033400000}"/>
    <cellStyle name="RowTitles-Detail 2 2 2 2 7 2 2 2" xfId="16417" xr:uid="{00000000-0005-0000-0000-000034400000}"/>
    <cellStyle name="RowTitles-Detail 2 2 2 2 7 2 2_Tertiary Salaries Survey" xfId="16418" xr:uid="{00000000-0005-0000-0000-000035400000}"/>
    <cellStyle name="RowTitles-Detail 2 2 2 2 7 2 3" xfId="16419" xr:uid="{00000000-0005-0000-0000-000036400000}"/>
    <cellStyle name="RowTitles-Detail 2 2 2 2 7 2_Tertiary Salaries Survey" xfId="16420" xr:uid="{00000000-0005-0000-0000-000037400000}"/>
    <cellStyle name="RowTitles-Detail 2 2 2 2 7 3" xfId="16421" xr:uid="{00000000-0005-0000-0000-000038400000}"/>
    <cellStyle name="RowTitles-Detail 2 2 2 2 7 3 2" xfId="16422" xr:uid="{00000000-0005-0000-0000-000039400000}"/>
    <cellStyle name="RowTitles-Detail 2 2 2 2 7 3 2 2" xfId="16423" xr:uid="{00000000-0005-0000-0000-00003A400000}"/>
    <cellStyle name="RowTitles-Detail 2 2 2 2 7 3 2_Tertiary Salaries Survey" xfId="16424" xr:uid="{00000000-0005-0000-0000-00003B400000}"/>
    <cellStyle name="RowTitles-Detail 2 2 2 2 7 3 3" xfId="16425" xr:uid="{00000000-0005-0000-0000-00003C400000}"/>
    <cellStyle name="RowTitles-Detail 2 2 2 2 7 3_Tertiary Salaries Survey" xfId="16426" xr:uid="{00000000-0005-0000-0000-00003D400000}"/>
    <cellStyle name="RowTitles-Detail 2 2 2 2 7 4" xfId="16427" xr:uid="{00000000-0005-0000-0000-00003E400000}"/>
    <cellStyle name="RowTitles-Detail 2 2 2 2 7 5" xfId="16428" xr:uid="{00000000-0005-0000-0000-00003F400000}"/>
    <cellStyle name="RowTitles-Detail 2 2 2 2 7 5 2" xfId="16429" xr:uid="{00000000-0005-0000-0000-000040400000}"/>
    <cellStyle name="RowTitles-Detail 2 2 2 2 7 5_Tertiary Salaries Survey" xfId="16430" xr:uid="{00000000-0005-0000-0000-000041400000}"/>
    <cellStyle name="RowTitles-Detail 2 2 2 2 7 6" xfId="16431" xr:uid="{00000000-0005-0000-0000-000042400000}"/>
    <cellStyle name="RowTitles-Detail 2 2 2 2 7_Tertiary Salaries Survey" xfId="16432" xr:uid="{00000000-0005-0000-0000-000043400000}"/>
    <cellStyle name="RowTitles-Detail 2 2 2 2 8" xfId="16433" xr:uid="{00000000-0005-0000-0000-000044400000}"/>
    <cellStyle name="RowTitles-Detail 2 2 2 2 8 2" xfId="16434" xr:uid="{00000000-0005-0000-0000-000045400000}"/>
    <cellStyle name="RowTitles-Detail 2 2 2 2 8 2 2" xfId="16435" xr:uid="{00000000-0005-0000-0000-000046400000}"/>
    <cellStyle name="RowTitles-Detail 2 2 2 2 8 2 2 2" xfId="16436" xr:uid="{00000000-0005-0000-0000-000047400000}"/>
    <cellStyle name="RowTitles-Detail 2 2 2 2 8 2 2_Tertiary Salaries Survey" xfId="16437" xr:uid="{00000000-0005-0000-0000-000048400000}"/>
    <cellStyle name="RowTitles-Detail 2 2 2 2 8 2 3" xfId="16438" xr:uid="{00000000-0005-0000-0000-000049400000}"/>
    <cellStyle name="RowTitles-Detail 2 2 2 2 8 2_Tertiary Salaries Survey" xfId="16439" xr:uid="{00000000-0005-0000-0000-00004A400000}"/>
    <cellStyle name="RowTitles-Detail 2 2 2 2 8 3" xfId="16440" xr:uid="{00000000-0005-0000-0000-00004B400000}"/>
    <cellStyle name="RowTitles-Detail 2 2 2 2 8 3 2" xfId="16441" xr:uid="{00000000-0005-0000-0000-00004C400000}"/>
    <cellStyle name="RowTitles-Detail 2 2 2 2 8 3 2 2" xfId="16442" xr:uid="{00000000-0005-0000-0000-00004D400000}"/>
    <cellStyle name="RowTitles-Detail 2 2 2 2 8 3 2_Tertiary Salaries Survey" xfId="16443" xr:uid="{00000000-0005-0000-0000-00004E400000}"/>
    <cellStyle name="RowTitles-Detail 2 2 2 2 8 3 3" xfId="16444" xr:uid="{00000000-0005-0000-0000-00004F400000}"/>
    <cellStyle name="RowTitles-Detail 2 2 2 2 8 3_Tertiary Salaries Survey" xfId="16445" xr:uid="{00000000-0005-0000-0000-000050400000}"/>
    <cellStyle name="RowTitles-Detail 2 2 2 2 8 4" xfId="16446" xr:uid="{00000000-0005-0000-0000-000051400000}"/>
    <cellStyle name="RowTitles-Detail 2 2 2 2 8 4 2" xfId="16447" xr:uid="{00000000-0005-0000-0000-000052400000}"/>
    <cellStyle name="RowTitles-Detail 2 2 2 2 8 4_Tertiary Salaries Survey" xfId="16448" xr:uid="{00000000-0005-0000-0000-000053400000}"/>
    <cellStyle name="RowTitles-Detail 2 2 2 2 8 5" xfId="16449" xr:uid="{00000000-0005-0000-0000-000054400000}"/>
    <cellStyle name="RowTitles-Detail 2 2 2 2 8_Tertiary Salaries Survey" xfId="16450" xr:uid="{00000000-0005-0000-0000-000055400000}"/>
    <cellStyle name="RowTitles-Detail 2 2 2 2 9" xfId="16451" xr:uid="{00000000-0005-0000-0000-000056400000}"/>
    <cellStyle name="RowTitles-Detail 2 2 2 2 9 2" xfId="16452" xr:uid="{00000000-0005-0000-0000-000057400000}"/>
    <cellStyle name="RowTitles-Detail 2 2 2 2 9 2 2" xfId="16453" xr:uid="{00000000-0005-0000-0000-000058400000}"/>
    <cellStyle name="RowTitles-Detail 2 2 2 2 9 2 2 2" xfId="16454" xr:uid="{00000000-0005-0000-0000-000059400000}"/>
    <cellStyle name="RowTitles-Detail 2 2 2 2 9 2 2_Tertiary Salaries Survey" xfId="16455" xr:uid="{00000000-0005-0000-0000-00005A400000}"/>
    <cellStyle name="RowTitles-Detail 2 2 2 2 9 2 3" xfId="16456" xr:uid="{00000000-0005-0000-0000-00005B400000}"/>
    <cellStyle name="RowTitles-Detail 2 2 2 2 9 2_Tertiary Salaries Survey" xfId="16457" xr:uid="{00000000-0005-0000-0000-00005C400000}"/>
    <cellStyle name="RowTitles-Detail 2 2 2 2 9 3" xfId="16458" xr:uid="{00000000-0005-0000-0000-00005D400000}"/>
    <cellStyle name="RowTitles-Detail 2 2 2 2 9 3 2" xfId="16459" xr:uid="{00000000-0005-0000-0000-00005E400000}"/>
    <cellStyle name="RowTitles-Detail 2 2 2 2 9 3 2 2" xfId="16460" xr:uid="{00000000-0005-0000-0000-00005F400000}"/>
    <cellStyle name="RowTitles-Detail 2 2 2 2 9 3 2_Tertiary Salaries Survey" xfId="16461" xr:uid="{00000000-0005-0000-0000-000060400000}"/>
    <cellStyle name="RowTitles-Detail 2 2 2 2 9 3 3" xfId="16462" xr:uid="{00000000-0005-0000-0000-000061400000}"/>
    <cellStyle name="RowTitles-Detail 2 2 2 2 9 3_Tertiary Salaries Survey" xfId="16463" xr:uid="{00000000-0005-0000-0000-000062400000}"/>
    <cellStyle name="RowTitles-Detail 2 2 2 2 9 4" xfId="16464" xr:uid="{00000000-0005-0000-0000-000063400000}"/>
    <cellStyle name="RowTitles-Detail 2 2 2 2 9 4 2" xfId="16465" xr:uid="{00000000-0005-0000-0000-000064400000}"/>
    <cellStyle name="RowTitles-Detail 2 2 2 2 9 4_Tertiary Salaries Survey" xfId="16466" xr:uid="{00000000-0005-0000-0000-000065400000}"/>
    <cellStyle name="RowTitles-Detail 2 2 2 2 9 5" xfId="16467" xr:uid="{00000000-0005-0000-0000-000066400000}"/>
    <cellStyle name="RowTitles-Detail 2 2 2 2 9_Tertiary Salaries Survey" xfId="16468" xr:uid="{00000000-0005-0000-0000-000067400000}"/>
    <cellStyle name="RowTitles-Detail 2 2 2 2_STUD aligned by INSTIT" xfId="16469" xr:uid="{00000000-0005-0000-0000-000068400000}"/>
    <cellStyle name="RowTitles-Detail 2 2 2 3" xfId="16470" xr:uid="{00000000-0005-0000-0000-000069400000}"/>
    <cellStyle name="RowTitles-Detail 2 2 2 3 2" xfId="16471" xr:uid="{00000000-0005-0000-0000-00006A400000}"/>
    <cellStyle name="RowTitles-Detail 2 2 2 3 2 2" xfId="16472" xr:uid="{00000000-0005-0000-0000-00006B400000}"/>
    <cellStyle name="RowTitles-Detail 2 2 2 3 2 2 2" xfId="16473" xr:uid="{00000000-0005-0000-0000-00006C400000}"/>
    <cellStyle name="RowTitles-Detail 2 2 2 3 2 2 2 2" xfId="16474" xr:uid="{00000000-0005-0000-0000-00006D400000}"/>
    <cellStyle name="RowTitles-Detail 2 2 2 3 2 2 2_Tertiary Salaries Survey" xfId="16475" xr:uid="{00000000-0005-0000-0000-00006E400000}"/>
    <cellStyle name="RowTitles-Detail 2 2 2 3 2 2 3" xfId="16476" xr:uid="{00000000-0005-0000-0000-00006F400000}"/>
    <cellStyle name="RowTitles-Detail 2 2 2 3 2 2_Tertiary Salaries Survey" xfId="16477" xr:uid="{00000000-0005-0000-0000-000070400000}"/>
    <cellStyle name="RowTitles-Detail 2 2 2 3 2 3" xfId="16478" xr:uid="{00000000-0005-0000-0000-000071400000}"/>
    <cellStyle name="RowTitles-Detail 2 2 2 3 2 3 2" xfId="16479" xr:uid="{00000000-0005-0000-0000-000072400000}"/>
    <cellStyle name="RowTitles-Detail 2 2 2 3 2 3 2 2" xfId="16480" xr:uid="{00000000-0005-0000-0000-000073400000}"/>
    <cellStyle name="RowTitles-Detail 2 2 2 3 2 3 2_Tertiary Salaries Survey" xfId="16481" xr:uid="{00000000-0005-0000-0000-000074400000}"/>
    <cellStyle name="RowTitles-Detail 2 2 2 3 2 3 3" xfId="16482" xr:uid="{00000000-0005-0000-0000-000075400000}"/>
    <cellStyle name="RowTitles-Detail 2 2 2 3 2 3_Tertiary Salaries Survey" xfId="16483" xr:uid="{00000000-0005-0000-0000-000076400000}"/>
    <cellStyle name="RowTitles-Detail 2 2 2 3 2 4" xfId="16484" xr:uid="{00000000-0005-0000-0000-000077400000}"/>
    <cellStyle name="RowTitles-Detail 2 2 2 3 2 5" xfId="16485" xr:uid="{00000000-0005-0000-0000-000078400000}"/>
    <cellStyle name="RowTitles-Detail 2 2 2 3 2_Tertiary Salaries Survey" xfId="16486" xr:uid="{00000000-0005-0000-0000-000079400000}"/>
    <cellStyle name="RowTitles-Detail 2 2 2 3 3" xfId="16487" xr:uid="{00000000-0005-0000-0000-00007A400000}"/>
    <cellStyle name="RowTitles-Detail 2 2 2 3 3 2" xfId="16488" xr:uid="{00000000-0005-0000-0000-00007B400000}"/>
    <cellStyle name="RowTitles-Detail 2 2 2 3 3 2 2" xfId="16489" xr:uid="{00000000-0005-0000-0000-00007C400000}"/>
    <cellStyle name="RowTitles-Detail 2 2 2 3 3 2 2 2" xfId="16490" xr:uid="{00000000-0005-0000-0000-00007D400000}"/>
    <cellStyle name="RowTitles-Detail 2 2 2 3 3 2 2_Tertiary Salaries Survey" xfId="16491" xr:uid="{00000000-0005-0000-0000-00007E400000}"/>
    <cellStyle name="RowTitles-Detail 2 2 2 3 3 2 3" xfId="16492" xr:uid="{00000000-0005-0000-0000-00007F400000}"/>
    <cellStyle name="RowTitles-Detail 2 2 2 3 3 2_Tertiary Salaries Survey" xfId="16493" xr:uid="{00000000-0005-0000-0000-000080400000}"/>
    <cellStyle name="RowTitles-Detail 2 2 2 3 3 3" xfId="16494" xr:uid="{00000000-0005-0000-0000-000081400000}"/>
    <cellStyle name="RowTitles-Detail 2 2 2 3 3 3 2" xfId="16495" xr:uid="{00000000-0005-0000-0000-000082400000}"/>
    <cellStyle name="RowTitles-Detail 2 2 2 3 3 3 2 2" xfId="16496" xr:uid="{00000000-0005-0000-0000-000083400000}"/>
    <cellStyle name="RowTitles-Detail 2 2 2 3 3 3 2_Tertiary Salaries Survey" xfId="16497" xr:uid="{00000000-0005-0000-0000-000084400000}"/>
    <cellStyle name="RowTitles-Detail 2 2 2 3 3 3 3" xfId="16498" xr:uid="{00000000-0005-0000-0000-000085400000}"/>
    <cellStyle name="RowTitles-Detail 2 2 2 3 3 3_Tertiary Salaries Survey" xfId="16499" xr:uid="{00000000-0005-0000-0000-000086400000}"/>
    <cellStyle name="RowTitles-Detail 2 2 2 3 3 4" xfId="16500" xr:uid="{00000000-0005-0000-0000-000087400000}"/>
    <cellStyle name="RowTitles-Detail 2 2 2 3 3 5" xfId="16501" xr:uid="{00000000-0005-0000-0000-000088400000}"/>
    <cellStyle name="RowTitles-Detail 2 2 2 3 3 5 2" xfId="16502" xr:uid="{00000000-0005-0000-0000-000089400000}"/>
    <cellStyle name="RowTitles-Detail 2 2 2 3 3 5_Tertiary Salaries Survey" xfId="16503" xr:uid="{00000000-0005-0000-0000-00008A400000}"/>
    <cellStyle name="RowTitles-Detail 2 2 2 3 3 6" xfId="16504" xr:uid="{00000000-0005-0000-0000-00008B400000}"/>
    <cellStyle name="RowTitles-Detail 2 2 2 3 3_Tertiary Salaries Survey" xfId="16505" xr:uid="{00000000-0005-0000-0000-00008C400000}"/>
    <cellStyle name="RowTitles-Detail 2 2 2 3 4" xfId="16506" xr:uid="{00000000-0005-0000-0000-00008D400000}"/>
    <cellStyle name="RowTitles-Detail 2 2 2 3 4 2" xfId="16507" xr:uid="{00000000-0005-0000-0000-00008E400000}"/>
    <cellStyle name="RowTitles-Detail 2 2 2 3 4 2 2" xfId="16508" xr:uid="{00000000-0005-0000-0000-00008F400000}"/>
    <cellStyle name="RowTitles-Detail 2 2 2 3 4 2 2 2" xfId="16509" xr:uid="{00000000-0005-0000-0000-000090400000}"/>
    <cellStyle name="RowTitles-Detail 2 2 2 3 4 2 2_Tertiary Salaries Survey" xfId="16510" xr:uid="{00000000-0005-0000-0000-000091400000}"/>
    <cellStyle name="RowTitles-Detail 2 2 2 3 4 2 3" xfId="16511" xr:uid="{00000000-0005-0000-0000-000092400000}"/>
    <cellStyle name="RowTitles-Detail 2 2 2 3 4 2_Tertiary Salaries Survey" xfId="16512" xr:uid="{00000000-0005-0000-0000-000093400000}"/>
    <cellStyle name="RowTitles-Detail 2 2 2 3 4 3" xfId="16513" xr:uid="{00000000-0005-0000-0000-000094400000}"/>
    <cellStyle name="RowTitles-Detail 2 2 2 3 4 3 2" xfId="16514" xr:uid="{00000000-0005-0000-0000-000095400000}"/>
    <cellStyle name="RowTitles-Detail 2 2 2 3 4 3 2 2" xfId="16515" xr:uid="{00000000-0005-0000-0000-000096400000}"/>
    <cellStyle name="RowTitles-Detail 2 2 2 3 4 3 2_Tertiary Salaries Survey" xfId="16516" xr:uid="{00000000-0005-0000-0000-000097400000}"/>
    <cellStyle name="RowTitles-Detail 2 2 2 3 4 3 3" xfId="16517" xr:uid="{00000000-0005-0000-0000-000098400000}"/>
    <cellStyle name="RowTitles-Detail 2 2 2 3 4 3_Tertiary Salaries Survey" xfId="16518" xr:uid="{00000000-0005-0000-0000-000099400000}"/>
    <cellStyle name="RowTitles-Detail 2 2 2 3 4 4" xfId="16519" xr:uid="{00000000-0005-0000-0000-00009A400000}"/>
    <cellStyle name="RowTitles-Detail 2 2 2 3 4 4 2" xfId="16520" xr:uid="{00000000-0005-0000-0000-00009B400000}"/>
    <cellStyle name="RowTitles-Detail 2 2 2 3 4 4_Tertiary Salaries Survey" xfId="16521" xr:uid="{00000000-0005-0000-0000-00009C400000}"/>
    <cellStyle name="RowTitles-Detail 2 2 2 3 4 5" xfId="16522" xr:uid="{00000000-0005-0000-0000-00009D400000}"/>
    <cellStyle name="RowTitles-Detail 2 2 2 3 4_Tertiary Salaries Survey" xfId="16523" xr:uid="{00000000-0005-0000-0000-00009E400000}"/>
    <cellStyle name="RowTitles-Detail 2 2 2 3 5" xfId="16524" xr:uid="{00000000-0005-0000-0000-00009F400000}"/>
    <cellStyle name="RowTitles-Detail 2 2 2 3 5 2" xfId="16525" xr:uid="{00000000-0005-0000-0000-0000A0400000}"/>
    <cellStyle name="RowTitles-Detail 2 2 2 3 5 2 2" xfId="16526" xr:uid="{00000000-0005-0000-0000-0000A1400000}"/>
    <cellStyle name="RowTitles-Detail 2 2 2 3 5 2 2 2" xfId="16527" xr:uid="{00000000-0005-0000-0000-0000A2400000}"/>
    <cellStyle name="RowTitles-Detail 2 2 2 3 5 2 2_Tertiary Salaries Survey" xfId="16528" xr:uid="{00000000-0005-0000-0000-0000A3400000}"/>
    <cellStyle name="RowTitles-Detail 2 2 2 3 5 2 3" xfId="16529" xr:uid="{00000000-0005-0000-0000-0000A4400000}"/>
    <cellStyle name="RowTitles-Detail 2 2 2 3 5 2_Tertiary Salaries Survey" xfId="16530" xr:uid="{00000000-0005-0000-0000-0000A5400000}"/>
    <cellStyle name="RowTitles-Detail 2 2 2 3 5 3" xfId="16531" xr:uid="{00000000-0005-0000-0000-0000A6400000}"/>
    <cellStyle name="RowTitles-Detail 2 2 2 3 5 3 2" xfId="16532" xr:uid="{00000000-0005-0000-0000-0000A7400000}"/>
    <cellStyle name="RowTitles-Detail 2 2 2 3 5 3 2 2" xfId="16533" xr:uid="{00000000-0005-0000-0000-0000A8400000}"/>
    <cellStyle name="RowTitles-Detail 2 2 2 3 5 3 2_Tertiary Salaries Survey" xfId="16534" xr:uid="{00000000-0005-0000-0000-0000A9400000}"/>
    <cellStyle name="RowTitles-Detail 2 2 2 3 5 3 3" xfId="16535" xr:uid="{00000000-0005-0000-0000-0000AA400000}"/>
    <cellStyle name="RowTitles-Detail 2 2 2 3 5 3_Tertiary Salaries Survey" xfId="16536" xr:uid="{00000000-0005-0000-0000-0000AB400000}"/>
    <cellStyle name="RowTitles-Detail 2 2 2 3 5 4" xfId="16537" xr:uid="{00000000-0005-0000-0000-0000AC400000}"/>
    <cellStyle name="RowTitles-Detail 2 2 2 3 5 4 2" xfId="16538" xr:uid="{00000000-0005-0000-0000-0000AD400000}"/>
    <cellStyle name="RowTitles-Detail 2 2 2 3 5 4_Tertiary Salaries Survey" xfId="16539" xr:uid="{00000000-0005-0000-0000-0000AE400000}"/>
    <cellStyle name="RowTitles-Detail 2 2 2 3 5 5" xfId="16540" xr:uid="{00000000-0005-0000-0000-0000AF400000}"/>
    <cellStyle name="RowTitles-Detail 2 2 2 3 5_Tertiary Salaries Survey" xfId="16541" xr:uid="{00000000-0005-0000-0000-0000B0400000}"/>
    <cellStyle name="RowTitles-Detail 2 2 2 3 6" xfId="16542" xr:uid="{00000000-0005-0000-0000-0000B1400000}"/>
    <cellStyle name="RowTitles-Detail 2 2 2 3 6 2" xfId="16543" xr:uid="{00000000-0005-0000-0000-0000B2400000}"/>
    <cellStyle name="RowTitles-Detail 2 2 2 3 6 2 2" xfId="16544" xr:uid="{00000000-0005-0000-0000-0000B3400000}"/>
    <cellStyle name="RowTitles-Detail 2 2 2 3 6 2 2 2" xfId="16545" xr:uid="{00000000-0005-0000-0000-0000B4400000}"/>
    <cellStyle name="RowTitles-Detail 2 2 2 3 6 2 2_Tertiary Salaries Survey" xfId="16546" xr:uid="{00000000-0005-0000-0000-0000B5400000}"/>
    <cellStyle name="RowTitles-Detail 2 2 2 3 6 2 3" xfId="16547" xr:uid="{00000000-0005-0000-0000-0000B6400000}"/>
    <cellStyle name="RowTitles-Detail 2 2 2 3 6 2_Tertiary Salaries Survey" xfId="16548" xr:uid="{00000000-0005-0000-0000-0000B7400000}"/>
    <cellStyle name="RowTitles-Detail 2 2 2 3 6 3" xfId="16549" xr:uid="{00000000-0005-0000-0000-0000B8400000}"/>
    <cellStyle name="RowTitles-Detail 2 2 2 3 6 3 2" xfId="16550" xr:uid="{00000000-0005-0000-0000-0000B9400000}"/>
    <cellStyle name="RowTitles-Detail 2 2 2 3 6 3 2 2" xfId="16551" xr:uid="{00000000-0005-0000-0000-0000BA400000}"/>
    <cellStyle name="RowTitles-Detail 2 2 2 3 6 3 2_Tertiary Salaries Survey" xfId="16552" xr:uid="{00000000-0005-0000-0000-0000BB400000}"/>
    <cellStyle name="RowTitles-Detail 2 2 2 3 6 3 3" xfId="16553" xr:uid="{00000000-0005-0000-0000-0000BC400000}"/>
    <cellStyle name="RowTitles-Detail 2 2 2 3 6 3_Tertiary Salaries Survey" xfId="16554" xr:uid="{00000000-0005-0000-0000-0000BD400000}"/>
    <cellStyle name="RowTitles-Detail 2 2 2 3 6 4" xfId="16555" xr:uid="{00000000-0005-0000-0000-0000BE400000}"/>
    <cellStyle name="RowTitles-Detail 2 2 2 3 6 4 2" xfId="16556" xr:uid="{00000000-0005-0000-0000-0000BF400000}"/>
    <cellStyle name="RowTitles-Detail 2 2 2 3 6 4_Tertiary Salaries Survey" xfId="16557" xr:uid="{00000000-0005-0000-0000-0000C0400000}"/>
    <cellStyle name="RowTitles-Detail 2 2 2 3 6 5" xfId="16558" xr:uid="{00000000-0005-0000-0000-0000C1400000}"/>
    <cellStyle name="RowTitles-Detail 2 2 2 3 6_Tertiary Salaries Survey" xfId="16559" xr:uid="{00000000-0005-0000-0000-0000C2400000}"/>
    <cellStyle name="RowTitles-Detail 2 2 2 3 7" xfId="16560" xr:uid="{00000000-0005-0000-0000-0000C3400000}"/>
    <cellStyle name="RowTitles-Detail 2 2 2 3 7 2" xfId="16561" xr:uid="{00000000-0005-0000-0000-0000C4400000}"/>
    <cellStyle name="RowTitles-Detail 2 2 2 3 7 2 2" xfId="16562" xr:uid="{00000000-0005-0000-0000-0000C5400000}"/>
    <cellStyle name="RowTitles-Detail 2 2 2 3 7 2_Tertiary Salaries Survey" xfId="16563" xr:uid="{00000000-0005-0000-0000-0000C6400000}"/>
    <cellStyle name="RowTitles-Detail 2 2 2 3 7 3" xfId="16564" xr:uid="{00000000-0005-0000-0000-0000C7400000}"/>
    <cellStyle name="RowTitles-Detail 2 2 2 3 7_Tertiary Salaries Survey" xfId="16565" xr:uid="{00000000-0005-0000-0000-0000C8400000}"/>
    <cellStyle name="RowTitles-Detail 2 2 2 3 8" xfId="16566" xr:uid="{00000000-0005-0000-0000-0000C9400000}"/>
    <cellStyle name="RowTitles-Detail 2 2 2 3 9" xfId="16567" xr:uid="{00000000-0005-0000-0000-0000CA400000}"/>
    <cellStyle name="RowTitles-Detail 2 2 2 3_STUD aligned by INSTIT" xfId="16568" xr:uid="{00000000-0005-0000-0000-0000CB400000}"/>
    <cellStyle name="RowTitles-Detail 2 2 2 4" xfId="16569" xr:uid="{00000000-0005-0000-0000-0000CC400000}"/>
    <cellStyle name="RowTitles-Detail 2 2 2 4 2" xfId="16570" xr:uid="{00000000-0005-0000-0000-0000CD400000}"/>
    <cellStyle name="RowTitles-Detail 2 2 2 4 2 2" xfId="16571" xr:uid="{00000000-0005-0000-0000-0000CE400000}"/>
    <cellStyle name="RowTitles-Detail 2 2 2 4 2 2 2" xfId="16572" xr:uid="{00000000-0005-0000-0000-0000CF400000}"/>
    <cellStyle name="RowTitles-Detail 2 2 2 4 2 2 2 2" xfId="16573" xr:uid="{00000000-0005-0000-0000-0000D0400000}"/>
    <cellStyle name="RowTitles-Detail 2 2 2 4 2 2 2_Tertiary Salaries Survey" xfId="16574" xr:uid="{00000000-0005-0000-0000-0000D1400000}"/>
    <cellStyle name="RowTitles-Detail 2 2 2 4 2 2 3" xfId="16575" xr:uid="{00000000-0005-0000-0000-0000D2400000}"/>
    <cellStyle name="RowTitles-Detail 2 2 2 4 2 2_Tertiary Salaries Survey" xfId="16576" xr:uid="{00000000-0005-0000-0000-0000D3400000}"/>
    <cellStyle name="RowTitles-Detail 2 2 2 4 2 3" xfId="16577" xr:uid="{00000000-0005-0000-0000-0000D4400000}"/>
    <cellStyle name="RowTitles-Detail 2 2 2 4 2 3 2" xfId="16578" xr:uid="{00000000-0005-0000-0000-0000D5400000}"/>
    <cellStyle name="RowTitles-Detail 2 2 2 4 2 3 2 2" xfId="16579" xr:uid="{00000000-0005-0000-0000-0000D6400000}"/>
    <cellStyle name="RowTitles-Detail 2 2 2 4 2 3 2_Tertiary Salaries Survey" xfId="16580" xr:uid="{00000000-0005-0000-0000-0000D7400000}"/>
    <cellStyle name="RowTitles-Detail 2 2 2 4 2 3 3" xfId="16581" xr:uid="{00000000-0005-0000-0000-0000D8400000}"/>
    <cellStyle name="RowTitles-Detail 2 2 2 4 2 3_Tertiary Salaries Survey" xfId="16582" xr:uid="{00000000-0005-0000-0000-0000D9400000}"/>
    <cellStyle name="RowTitles-Detail 2 2 2 4 2 4" xfId="16583" xr:uid="{00000000-0005-0000-0000-0000DA400000}"/>
    <cellStyle name="RowTitles-Detail 2 2 2 4 2 5" xfId="16584" xr:uid="{00000000-0005-0000-0000-0000DB400000}"/>
    <cellStyle name="RowTitles-Detail 2 2 2 4 2 5 2" xfId="16585" xr:uid="{00000000-0005-0000-0000-0000DC400000}"/>
    <cellStyle name="RowTitles-Detail 2 2 2 4 2 5_Tertiary Salaries Survey" xfId="16586" xr:uid="{00000000-0005-0000-0000-0000DD400000}"/>
    <cellStyle name="RowTitles-Detail 2 2 2 4 2 6" xfId="16587" xr:uid="{00000000-0005-0000-0000-0000DE400000}"/>
    <cellStyle name="RowTitles-Detail 2 2 2 4 2_Tertiary Salaries Survey" xfId="16588" xr:uid="{00000000-0005-0000-0000-0000DF400000}"/>
    <cellStyle name="RowTitles-Detail 2 2 2 4 3" xfId="16589" xr:uid="{00000000-0005-0000-0000-0000E0400000}"/>
    <cellStyle name="RowTitles-Detail 2 2 2 4 3 2" xfId="16590" xr:uid="{00000000-0005-0000-0000-0000E1400000}"/>
    <cellStyle name="RowTitles-Detail 2 2 2 4 3 2 2" xfId="16591" xr:uid="{00000000-0005-0000-0000-0000E2400000}"/>
    <cellStyle name="RowTitles-Detail 2 2 2 4 3 2 2 2" xfId="16592" xr:uid="{00000000-0005-0000-0000-0000E3400000}"/>
    <cellStyle name="RowTitles-Detail 2 2 2 4 3 2 2_Tertiary Salaries Survey" xfId="16593" xr:uid="{00000000-0005-0000-0000-0000E4400000}"/>
    <cellStyle name="RowTitles-Detail 2 2 2 4 3 2 3" xfId="16594" xr:uid="{00000000-0005-0000-0000-0000E5400000}"/>
    <cellStyle name="RowTitles-Detail 2 2 2 4 3 2_Tertiary Salaries Survey" xfId="16595" xr:uid="{00000000-0005-0000-0000-0000E6400000}"/>
    <cellStyle name="RowTitles-Detail 2 2 2 4 3 3" xfId="16596" xr:uid="{00000000-0005-0000-0000-0000E7400000}"/>
    <cellStyle name="RowTitles-Detail 2 2 2 4 3 3 2" xfId="16597" xr:uid="{00000000-0005-0000-0000-0000E8400000}"/>
    <cellStyle name="RowTitles-Detail 2 2 2 4 3 3 2 2" xfId="16598" xr:uid="{00000000-0005-0000-0000-0000E9400000}"/>
    <cellStyle name="RowTitles-Detail 2 2 2 4 3 3 2_Tertiary Salaries Survey" xfId="16599" xr:uid="{00000000-0005-0000-0000-0000EA400000}"/>
    <cellStyle name="RowTitles-Detail 2 2 2 4 3 3 3" xfId="16600" xr:uid="{00000000-0005-0000-0000-0000EB400000}"/>
    <cellStyle name="RowTitles-Detail 2 2 2 4 3 3_Tertiary Salaries Survey" xfId="16601" xr:uid="{00000000-0005-0000-0000-0000EC400000}"/>
    <cellStyle name="RowTitles-Detail 2 2 2 4 3 4" xfId="16602" xr:uid="{00000000-0005-0000-0000-0000ED400000}"/>
    <cellStyle name="RowTitles-Detail 2 2 2 4 3 5" xfId="16603" xr:uid="{00000000-0005-0000-0000-0000EE400000}"/>
    <cellStyle name="RowTitles-Detail 2 2 2 4 3_Tertiary Salaries Survey" xfId="16604" xr:uid="{00000000-0005-0000-0000-0000EF400000}"/>
    <cellStyle name="RowTitles-Detail 2 2 2 4 4" xfId="16605" xr:uid="{00000000-0005-0000-0000-0000F0400000}"/>
    <cellStyle name="RowTitles-Detail 2 2 2 4 4 2" xfId="16606" xr:uid="{00000000-0005-0000-0000-0000F1400000}"/>
    <cellStyle name="RowTitles-Detail 2 2 2 4 4 2 2" xfId="16607" xr:uid="{00000000-0005-0000-0000-0000F2400000}"/>
    <cellStyle name="RowTitles-Detail 2 2 2 4 4 2 2 2" xfId="16608" xr:uid="{00000000-0005-0000-0000-0000F3400000}"/>
    <cellStyle name="RowTitles-Detail 2 2 2 4 4 2 2_Tertiary Salaries Survey" xfId="16609" xr:uid="{00000000-0005-0000-0000-0000F4400000}"/>
    <cellStyle name="RowTitles-Detail 2 2 2 4 4 2 3" xfId="16610" xr:uid="{00000000-0005-0000-0000-0000F5400000}"/>
    <cellStyle name="RowTitles-Detail 2 2 2 4 4 2_Tertiary Salaries Survey" xfId="16611" xr:uid="{00000000-0005-0000-0000-0000F6400000}"/>
    <cellStyle name="RowTitles-Detail 2 2 2 4 4 3" xfId="16612" xr:uid="{00000000-0005-0000-0000-0000F7400000}"/>
    <cellStyle name="RowTitles-Detail 2 2 2 4 4 3 2" xfId="16613" xr:uid="{00000000-0005-0000-0000-0000F8400000}"/>
    <cellStyle name="RowTitles-Detail 2 2 2 4 4 3 2 2" xfId="16614" xr:uid="{00000000-0005-0000-0000-0000F9400000}"/>
    <cellStyle name="RowTitles-Detail 2 2 2 4 4 3 2_Tertiary Salaries Survey" xfId="16615" xr:uid="{00000000-0005-0000-0000-0000FA400000}"/>
    <cellStyle name="RowTitles-Detail 2 2 2 4 4 3 3" xfId="16616" xr:uid="{00000000-0005-0000-0000-0000FB400000}"/>
    <cellStyle name="RowTitles-Detail 2 2 2 4 4 3_Tertiary Salaries Survey" xfId="16617" xr:uid="{00000000-0005-0000-0000-0000FC400000}"/>
    <cellStyle name="RowTitles-Detail 2 2 2 4 4 4" xfId="16618" xr:uid="{00000000-0005-0000-0000-0000FD400000}"/>
    <cellStyle name="RowTitles-Detail 2 2 2 4 4 4 2" xfId="16619" xr:uid="{00000000-0005-0000-0000-0000FE400000}"/>
    <cellStyle name="RowTitles-Detail 2 2 2 4 4 4_Tertiary Salaries Survey" xfId="16620" xr:uid="{00000000-0005-0000-0000-0000FF400000}"/>
    <cellStyle name="RowTitles-Detail 2 2 2 4 4 5" xfId="16621" xr:uid="{00000000-0005-0000-0000-000000410000}"/>
    <cellStyle name="RowTitles-Detail 2 2 2 4 4_Tertiary Salaries Survey" xfId="16622" xr:uid="{00000000-0005-0000-0000-000001410000}"/>
    <cellStyle name="RowTitles-Detail 2 2 2 4 5" xfId="16623" xr:uid="{00000000-0005-0000-0000-000002410000}"/>
    <cellStyle name="RowTitles-Detail 2 2 2 4 5 2" xfId="16624" xr:uid="{00000000-0005-0000-0000-000003410000}"/>
    <cellStyle name="RowTitles-Detail 2 2 2 4 5 2 2" xfId="16625" xr:uid="{00000000-0005-0000-0000-000004410000}"/>
    <cellStyle name="RowTitles-Detail 2 2 2 4 5 2 2 2" xfId="16626" xr:uid="{00000000-0005-0000-0000-000005410000}"/>
    <cellStyle name="RowTitles-Detail 2 2 2 4 5 2 2_Tertiary Salaries Survey" xfId="16627" xr:uid="{00000000-0005-0000-0000-000006410000}"/>
    <cellStyle name="RowTitles-Detail 2 2 2 4 5 2 3" xfId="16628" xr:uid="{00000000-0005-0000-0000-000007410000}"/>
    <cellStyle name="RowTitles-Detail 2 2 2 4 5 2_Tertiary Salaries Survey" xfId="16629" xr:uid="{00000000-0005-0000-0000-000008410000}"/>
    <cellStyle name="RowTitles-Detail 2 2 2 4 5 3" xfId="16630" xr:uid="{00000000-0005-0000-0000-000009410000}"/>
    <cellStyle name="RowTitles-Detail 2 2 2 4 5 3 2" xfId="16631" xr:uid="{00000000-0005-0000-0000-00000A410000}"/>
    <cellStyle name="RowTitles-Detail 2 2 2 4 5 3 2 2" xfId="16632" xr:uid="{00000000-0005-0000-0000-00000B410000}"/>
    <cellStyle name="RowTitles-Detail 2 2 2 4 5 3 2_Tertiary Salaries Survey" xfId="16633" xr:uid="{00000000-0005-0000-0000-00000C410000}"/>
    <cellStyle name="RowTitles-Detail 2 2 2 4 5 3 3" xfId="16634" xr:uid="{00000000-0005-0000-0000-00000D410000}"/>
    <cellStyle name="RowTitles-Detail 2 2 2 4 5 3_Tertiary Salaries Survey" xfId="16635" xr:uid="{00000000-0005-0000-0000-00000E410000}"/>
    <cellStyle name="RowTitles-Detail 2 2 2 4 5 4" xfId="16636" xr:uid="{00000000-0005-0000-0000-00000F410000}"/>
    <cellStyle name="RowTitles-Detail 2 2 2 4 5 4 2" xfId="16637" xr:uid="{00000000-0005-0000-0000-000010410000}"/>
    <cellStyle name="RowTitles-Detail 2 2 2 4 5 4_Tertiary Salaries Survey" xfId="16638" xr:uid="{00000000-0005-0000-0000-000011410000}"/>
    <cellStyle name="RowTitles-Detail 2 2 2 4 5 5" xfId="16639" xr:uid="{00000000-0005-0000-0000-000012410000}"/>
    <cellStyle name="RowTitles-Detail 2 2 2 4 5_Tertiary Salaries Survey" xfId="16640" xr:uid="{00000000-0005-0000-0000-000013410000}"/>
    <cellStyle name="RowTitles-Detail 2 2 2 4 6" xfId="16641" xr:uid="{00000000-0005-0000-0000-000014410000}"/>
    <cellStyle name="RowTitles-Detail 2 2 2 4 6 2" xfId="16642" xr:uid="{00000000-0005-0000-0000-000015410000}"/>
    <cellStyle name="RowTitles-Detail 2 2 2 4 6 2 2" xfId="16643" xr:uid="{00000000-0005-0000-0000-000016410000}"/>
    <cellStyle name="RowTitles-Detail 2 2 2 4 6 2 2 2" xfId="16644" xr:uid="{00000000-0005-0000-0000-000017410000}"/>
    <cellStyle name="RowTitles-Detail 2 2 2 4 6 2 2_Tertiary Salaries Survey" xfId="16645" xr:uid="{00000000-0005-0000-0000-000018410000}"/>
    <cellStyle name="RowTitles-Detail 2 2 2 4 6 2 3" xfId="16646" xr:uid="{00000000-0005-0000-0000-000019410000}"/>
    <cellStyle name="RowTitles-Detail 2 2 2 4 6 2_Tertiary Salaries Survey" xfId="16647" xr:uid="{00000000-0005-0000-0000-00001A410000}"/>
    <cellStyle name="RowTitles-Detail 2 2 2 4 6 3" xfId="16648" xr:uid="{00000000-0005-0000-0000-00001B410000}"/>
    <cellStyle name="RowTitles-Detail 2 2 2 4 6 3 2" xfId="16649" xr:uid="{00000000-0005-0000-0000-00001C410000}"/>
    <cellStyle name="RowTitles-Detail 2 2 2 4 6 3 2 2" xfId="16650" xr:uid="{00000000-0005-0000-0000-00001D410000}"/>
    <cellStyle name="RowTitles-Detail 2 2 2 4 6 3 2_Tertiary Salaries Survey" xfId="16651" xr:uid="{00000000-0005-0000-0000-00001E410000}"/>
    <cellStyle name="RowTitles-Detail 2 2 2 4 6 3 3" xfId="16652" xr:uid="{00000000-0005-0000-0000-00001F410000}"/>
    <cellStyle name="RowTitles-Detail 2 2 2 4 6 3_Tertiary Salaries Survey" xfId="16653" xr:uid="{00000000-0005-0000-0000-000020410000}"/>
    <cellStyle name="RowTitles-Detail 2 2 2 4 6 4" xfId="16654" xr:uid="{00000000-0005-0000-0000-000021410000}"/>
    <cellStyle name="RowTitles-Detail 2 2 2 4 6 4 2" xfId="16655" xr:uid="{00000000-0005-0000-0000-000022410000}"/>
    <cellStyle name="RowTitles-Detail 2 2 2 4 6 4_Tertiary Salaries Survey" xfId="16656" xr:uid="{00000000-0005-0000-0000-000023410000}"/>
    <cellStyle name="RowTitles-Detail 2 2 2 4 6 5" xfId="16657" xr:uid="{00000000-0005-0000-0000-000024410000}"/>
    <cellStyle name="RowTitles-Detail 2 2 2 4 6_Tertiary Salaries Survey" xfId="16658" xr:uid="{00000000-0005-0000-0000-000025410000}"/>
    <cellStyle name="RowTitles-Detail 2 2 2 4 7" xfId="16659" xr:uid="{00000000-0005-0000-0000-000026410000}"/>
    <cellStyle name="RowTitles-Detail 2 2 2 4 7 2" xfId="16660" xr:uid="{00000000-0005-0000-0000-000027410000}"/>
    <cellStyle name="RowTitles-Detail 2 2 2 4 7 2 2" xfId="16661" xr:uid="{00000000-0005-0000-0000-000028410000}"/>
    <cellStyle name="RowTitles-Detail 2 2 2 4 7 2_Tertiary Salaries Survey" xfId="16662" xr:uid="{00000000-0005-0000-0000-000029410000}"/>
    <cellStyle name="RowTitles-Detail 2 2 2 4 7 3" xfId="16663" xr:uid="{00000000-0005-0000-0000-00002A410000}"/>
    <cellStyle name="RowTitles-Detail 2 2 2 4 7_Tertiary Salaries Survey" xfId="16664" xr:uid="{00000000-0005-0000-0000-00002B410000}"/>
    <cellStyle name="RowTitles-Detail 2 2 2 4 8" xfId="16665" xr:uid="{00000000-0005-0000-0000-00002C410000}"/>
    <cellStyle name="RowTitles-Detail 2 2 2 4 8 2" xfId="16666" xr:uid="{00000000-0005-0000-0000-00002D410000}"/>
    <cellStyle name="RowTitles-Detail 2 2 2 4 8 2 2" xfId="16667" xr:uid="{00000000-0005-0000-0000-00002E410000}"/>
    <cellStyle name="RowTitles-Detail 2 2 2 4 8 2_Tertiary Salaries Survey" xfId="16668" xr:uid="{00000000-0005-0000-0000-00002F410000}"/>
    <cellStyle name="RowTitles-Detail 2 2 2 4 8 3" xfId="16669" xr:uid="{00000000-0005-0000-0000-000030410000}"/>
    <cellStyle name="RowTitles-Detail 2 2 2 4 8_Tertiary Salaries Survey" xfId="16670" xr:uid="{00000000-0005-0000-0000-000031410000}"/>
    <cellStyle name="RowTitles-Detail 2 2 2 4 9" xfId="16671" xr:uid="{00000000-0005-0000-0000-000032410000}"/>
    <cellStyle name="RowTitles-Detail 2 2 2 4_STUD aligned by INSTIT" xfId="16672" xr:uid="{00000000-0005-0000-0000-000033410000}"/>
    <cellStyle name="RowTitles-Detail 2 2 2 5" xfId="16673" xr:uid="{00000000-0005-0000-0000-000034410000}"/>
    <cellStyle name="RowTitles-Detail 2 2 2 5 2" xfId="16674" xr:uid="{00000000-0005-0000-0000-000035410000}"/>
    <cellStyle name="RowTitles-Detail 2 2 2 5 2 2" xfId="16675" xr:uid="{00000000-0005-0000-0000-000036410000}"/>
    <cellStyle name="RowTitles-Detail 2 2 2 5 2 2 2" xfId="16676" xr:uid="{00000000-0005-0000-0000-000037410000}"/>
    <cellStyle name="RowTitles-Detail 2 2 2 5 2 2 2 2" xfId="16677" xr:uid="{00000000-0005-0000-0000-000038410000}"/>
    <cellStyle name="RowTitles-Detail 2 2 2 5 2 2 2_Tertiary Salaries Survey" xfId="16678" xr:uid="{00000000-0005-0000-0000-000039410000}"/>
    <cellStyle name="RowTitles-Detail 2 2 2 5 2 2 3" xfId="16679" xr:uid="{00000000-0005-0000-0000-00003A410000}"/>
    <cellStyle name="RowTitles-Detail 2 2 2 5 2 2_Tertiary Salaries Survey" xfId="16680" xr:uid="{00000000-0005-0000-0000-00003B410000}"/>
    <cellStyle name="RowTitles-Detail 2 2 2 5 2 3" xfId="16681" xr:uid="{00000000-0005-0000-0000-00003C410000}"/>
    <cellStyle name="RowTitles-Detail 2 2 2 5 2 3 2" xfId="16682" xr:uid="{00000000-0005-0000-0000-00003D410000}"/>
    <cellStyle name="RowTitles-Detail 2 2 2 5 2 3 2 2" xfId="16683" xr:uid="{00000000-0005-0000-0000-00003E410000}"/>
    <cellStyle name="RowTitles-Detail 2 2 2 5 2 3 2_Tertiary Salaries Survey" xfId="16684" xr:uid="{00000000-0005-0000-0000-00003F410000}"/>
    <cellStyle name="RowTitles-Detail 2 2 2 5 2 3 3" xfId="16685" xr:uid="{00000000-0005-0000-0000-000040410000}"/>
    <cellStyle name="RowTitles-Detail 2 2 2 5 2 3_Tertiary Salaries Survey" xfId="16686" xr:uid="{00000000-0005-0000-0000-000041410000}"/>
    <cellStyle name="RowTitles-Detail 2 2 2 5 2 4" xfId="16687" xr:uid="{00000000-0005-0000-0000-000042410000}"/>
    <cellStyle name="RowTitles-Detail 2 2 2 5 2 5" xfId="16688" xr:uid="{00000000-0005-0000-0000-000043410000}"/>
    <cellStyle name="RowTitles-Detail 2 2 2 5 2 5 2" xfId="16689" xr:uid="{00000000-0005-0000-0000-000044410000}"/>
    <cellStyle name="RowTitles-Detail 2 2 2 5 2 5_Tertiary Salaries Survey" xfId="16690" xr:uid="{00000000-0005-0000-0000-000045410000}"/>
    <cellStyle name="RowTitles-Detail 2 2 2 5 2 6" xfId="16691" xr:uid="{00000000-0005-0000-0000-000046410000}"/>
    <cellStyle name="RowTitles-Detail 2 2 2 5 2_Tertiary Salaries Survey" xfId="16692" xr:uid="{00000000-0005-0000-0000-000047410000}"/>
    <cellStyle name="RowTitles-Detail 2 2 2 5 3" xfId="16693" xr:uid="{00000000-0005-0000-0000-000048410000}"/>
    <cellStyle name="RowTitles-Detail 2 2 2 5 3 2" xfId="16694" xr:uid="{00000000-0005-0000-0000-000049410000}"/>
    <cellStyle name="RowTitles-Detail 2 2 2 5 3 2 2" xfId="16695" xr:uid="{00000000-0005-0000-0000-00004A410000}"/>
    <cellStyle name="RowTitles-Detail 2 2 2 5 3 2 2 2" xfId="16696" xr:uid="{00000000-0005-0000-0000-00004B410000}"/>
    <cellStyle name="RowTitles-Detail 2 2 2 5 3 2 2_Tertiary Salaries Survey" xfId="16697" xr:uid="{00000000-0005-0000-0000-00004C410000}"/>
    <cellStyle name="RowTitles-Detail 2 2 2 5 3 2 3" xfId="16698" xr:uid="{00000000-0005-0000-0000-00004D410000}"/>
    <cellStyle name="RowTitles-Detail 2 2 2 5 3 2_Tertiary Salaries Survey" xfId="16699" xr:uid="{00000000-0005-0000-0000-00004E410000}"/>
    <cellStyle name="RowTitles-Detail 2 2 2 5 3 3" xfId="16700" xr:uid="{00000000-0005-0000-0000-00004F410000}"/>
    <cellStyle name="RowTitles-Detail 2 2 2 5 3 3 2" xfId="16701" xr:uid="{00000000-0005-0000-0000-000050410000}"/>
    <cellStyle name="RowTitles-Detail 2 2 2 5 3 3 2 2" xfId="16702" xr:uid="{00000000-0005-0000-0000-000051410000}"/>
    <cellStyle name="RowTitles-Detail 2 2 2 5 3 3 2_Tertiary Salaries Survey" xfId="16703" xr:uid="{00000000-0005-0000-0000-000052410000}"/>
    <cellStyle name="RowTitles-Detail 2 2 2 5 3 3 3" xfId="16704" xr:uid="{00000000-0005-0000-0000-000053410000}"/>
    <cellStyle name="RowTitles-Detail 2 2 2 5 3 3_Tertiary Salaries Survey" xfId="16705" xr:uid="{00000000-0005-0000-0000-000054410000}"/>
    <cellStyle name="RowTitles-Detail 2 2 2 5 3 4" xfId="16706" xr:uid="{00000000-0005-0000-0000-000055410000}"/>
    <cellStyle name="RowTitles-Detail 2 2 2 5 3 5" xfId="16707" xr:uid="{00000000-0005-0000-0000-000056410000}"/>
    <cellStyle name="RowTitles-Detail 2 2 2 5 3_Tertiary Salaries Survey" xfId="16708" xr:uid="{00000000-0005-0000-0000-000057410000}"/>
    <cellStyle name="RowTitles-Detail 2 2 2 5 4" xfId="16709" xr:uid="{00000000-0005-0000-0000-000058410000}"/>
    <cellStyle name="RowTitles-Detail 2 2 2 5 4 2" xfId="16710" xr:uid="{00000000-0005-0000-0000-000059410000}"/>
    <cellStyle name="RowTitles-Detail 2 2 2 5 4 2 2" xfId="16711" xr:uid="{00000000-0005-0000-0000-00005A410000}"/>
    <cellStyle name="RowTitles-Detail 2 2 2 5 4 2 2 2" xfId="16712" xr:uid="{00000000-0005-0000-0000-00005B410000}"/>
    <cellStyle name="RowTitles-Detail 2 2 2 5 4 2 2_Tertiary Salaries Survey" xfId="16713" xr:uid="{00000000-0005-0000-0000-00005C410000}"/>
    <cellStyle name="RowTitles-Detail 2 2 2 5 4 2 3" xfId="16714" xr:uid="{00000000-0005-0000-0000-00005D410000}"/>
    <cellStyle name="RowTitles-Detail 2 2 2 5 4 2_Tertiary Salaries Survey" xfId="16715" xr:uid="{00000000-0005-0000-0000-00005E410000}"/>
    <cellStyle name="RowTitles-Detail 2 2 2 5 4 3" xfId="16716" xr:uid="{00000000-0005-0000-0000-00005F410000}"/>
    <cellStyle name="RowTitles-Detail 2 2 2 5 4 3 2" xfId="16717" xr:uid="{00000000-0005-0000-0000-000060410000}"/>
    <cellStyle name="RowTitles-Detail 2 2 2 5 4 3 2 2" xfId="16718" xr:uid="{00000000-0005-0000-0000-000061410000}"/>
    <cellStyle name="RowTitles-Detail 2 2 2 5 4 3 2_Tertiary Salaries Survey" xfId="16719" xr:uid="{00000000-0005-0000-0000-000062410000}"/>
    <cellStyle name="RowTitles-Detail 2 2 2 5 4 3 3" xfId="16720" xr:uid="{00000000-0005-0000-0000-000063410000}"/>
    <cellStyle name="RowTitles-Detail 2 2 2 5 4 3_Tertiary Salaries Survey" xfId="16721" xr:uid="{00000000-0005-0000-0000-000064410000}"/>
    <cellStyle name="RowTitles-Detail 2 2 2 5 4 4" xfId="16722" xr:uid="{00000000-0005-0000-0000-000065410000}"/>
    <cellStyle name="RowTitles-Detail 2 2 2 5 4 5" xfId="16723" xr:uid="{00000000-0005-0000-0000-000066410000}"/>
    <cellStyle name="RowTitles-Detail 2 2 2 5 4 5 2" xfId="16724" xr:uid="{00000000-0005-0000-0000-000067410000}"/>
    <cellStyle name="RowTitles-Detail 2 2 2 5 4 5_Tertiary Salaries Survey" xfId="16725" xr:uid="{00000000-0005-0000-0000-000068410000}"/>
    <cellStyle name="RowTitles-Detail 2 2 2 5 4 6" xfId="16726" xr:uid="{00000000-0005-0000-0000-000069410000}"/>
    <cellStyle name="RowTitles-Detail 2 2 2 5 4_Tertiary Salaries Survey" xfId="16727" xr:uid="{00000000-0005-0000-0000-00006A410000}"/>
    <cellStyle name="RowTitles-Detail 2 2 2 5 5" xfId="16728" xr:uid="{00000000-0005-0000-0000-00006B410000}"/>
    <cellStyle name="RowTitles-Detail 2 2 2 5 5 2" xfId="16729" xr:uid="{00000000-0005-0000-0000-00006C410000}"/>
    <cellStyle name="RowTitles-Detail 2 2 2 5 5 2 2" xfId="16730" xr:uid="{00000000-0005-0000-0000-00006D410000}"/>
    <cellStyle name="RowTitles-Detail 2 2 2 5 5 2 2 2" xfId="16731" xr:uid="{00000000-0005-0000-0000-00006E410000}"/>
    <cellStyle name="RowTitles-Detail 2 2 2 5 5 2 2_Tertiary Salaries Survey" xfId="16732" xr:uid="{00000000-0005-0000-0000-00006F410000}"/>
    <cellStyle name="RowTitles-Detail 2 2 2 5 5 2 3" xfId="16733" xr:uid="{00000000-0005-0000-0000-000070410000}"/>
    <cellStyle name="RowTitles-Detail 2 2 2 5 5 2_Tertiary Salaries Survey" xfId="16734" xr:uid="{00000000-0005-0000-0000-000071410000}"/>
    <cellStyle name="RowTitles-Detail 2 2 2 5 5 3" xfId="16735" xr:uid="{00000000-0005-0000-0000-000072410000}"/>
    <cellStyle name="RowTitles-Detail 2 2 2 5 5 3 2" xfId="16736" xr:uid="{00000000-0005-0000-0000-000073410000}"/>
    <cellStyle name="RowTitles-Detail 2 2 2 5 5 3 2 2" xfId="16737" xr:uid="{00000000-0005-0000-0000-000074410000}"/>
    <cellStyle name="RowTitles-Detail 2 2 2 5 5 3 2_Tertiary Salaries Survey" xfId="16738" xr:uid="{00000000-0005-0000-0000-000075410000}"/>
    <cellStyle name="RowTitles-Detail 2 2 2 5 5 3 3" xfId="16739" xr:uid="{00000000-0005-0000-0000-000076410000}"/>
    <cellStyle name="RowTitles-Detail 2 2 2 5 5 3_Tertiary Salaries Survey" xfId="16740" xr:uid="{00000000-0005-0000-0000-000077410000}"/>
    <cellStyle name="RowTitles-Detail 2 2 2 5 5 4" xfId="16741" xr:uid="{00000000-0005-0000-0000-000078410000}"/>
    <cellStyle name="RowTitles-Detail 2 2 2 5 5 4 2" xfId="16742" xr:uid="{00000000-0005-0000-0000-000079410000}"/>
    <cellStyle name="RowTitles-Detail 2 2 2 5 5 4_Tertiary Salaries Survey" xfId="16743" xr:uid="{00000000-0005-0000-0000-00007A410000}"/>
    <cellStyle name="RowTitles-Detail 2 2 2 5 5 5" xfId="16744" xr:uid="{00000000-0005-0000-0000-00007B410000}"/>
    <cellStyle name="RowTitles-Detail 2 2 2 5 5_Tertiary Salaries Survey" xfId="16745" xr:uid="{00000000-0005-0000-0000-00007C410000}"/>
    <cellStyle name="RowTitles-Detail 2 2 2 5 6" xfId="16746" xr:uid="{00000000-0005-0000-0000-00007D410000}"/>
    <cellStyle name="RowTitles-Detail 2 2 2 5 6 2" xfId="16747" xr:uid="{00000000-0005-0000-0000-00007E410000}"/>
    <cellStyle name="RowTitles-Detail 2 2 2 5 6 2 2" xfId="16748" xr:uid="{00000000-0005-0000-0000-00007F410000}"/>
    <cellStyle name="RowTitles-Detail 2 2 2 5 6 2 2 2" xfId="16749" xr:uid="{00000000-0005-0000-0000-000080410000}"/>
    <cellStyle name="RowTitles-Detail 2 2 2 5 6 2 2_Tertiary Salaries Survey" xfId="16750" xr:uid="{00000000-0005-0000-0000-000081410000}"/>
    <cellStyle name="RowTitles-Detail 2 2 2 5 6 2 3" xfId="16751" xr:uid="{00000000-0005-0000-0000-000082410000}"/>
    <cellStyle name="RowTitles-Detail 2 2 2 5 6 2_Tertiary Salaries Survey" xfId="16752" xr:uid="{00000000-0005-0000-0000-000083410000}"/>
    <cellStyle name="RowTitles-Detail 2 2 2 5 6 3" xfId="16753" xr:uid="{00000000-0005-0000-0000-000084410000}"/>
    <cellStyle name="RowTitles-Detail 2 2 2 5 6 3 2" xfId="16754" xr:uid="{00000000-0005-0000-0000-000085410000}"/>
    <cellStyle name="RowTitles-Detail 2 2 2 5 6 3 2 2" xfId="16755" xr:uid="{00000000-0005-0000-0000-000086410000}"/>
    <cellStyle name="RowTitles-Detail 2 2 2 5 6 3 2_Tertiary Salaries Survey" xfId="16756" xr:uid="{00000000-0005-0000-0000-000087410000}"/>
    <cellStyle name="RowTitles-Detail 2 2 2 5 6 3 3" xfId="16757" xr:uid="{00000000-0005-0000-0000-000088410000}"/>
    <cellStyle name="RowTitles-Detail 2 2 2 5 6 3_Tertiary Salaries Survey" xfId="16758" xr:uid="{00000000-0005-0000-0000-000089410000}"/>
    <cellStyle name="RowTitles-Detail 2 2 2 5 6 4" xfId="16759" xr:uid="{00000000-0005-0000-0000-00008A410000}"/>
    <cellStyle name="RowTitles-Detail 2 2 2 5 6 4 2" xfId="16760" xr:uid="{00000000-0005-0000-0000-00008B410000}"/>
    <cellStyle name="RowTitles-Detail 2 2 2 5 6 4_Tertiary Salaries Survey" xfId="16761" xr:uid="{00000000-0005-0000-0000-00008C410000}"/>
    <cellStyle name="RowTitles-Detail 2 2 2 5 6 5" xfId="16762" xr:uid="{00000000-0005-0000-0000-00008D410000}"/>
    <cellStyle name="RowTitles-Detail 2 2 2 5 6_Tertiary Salaries Survey" xfId="16763" xr:uid="{00000000-0005-0000-0000-00008E410000}"/>
    <cellStyle name="RowTitles-Detail 2 2 2 5 7" xfId="16764" xr:uid="{00000000-0005-0000-0000-00008F410000}"/>
    <cellStyle name="RowTitles-Detail 2 2 2 5 7 2" xfId="16765" xr:uid="{00000000-0005-0000-0000-000090410000}"/>
    <cellStyle name="RowTitles-Detail 2 2 2 5 7 2 2" xfId="16766" xr:uid="{00000000-0005-0000-0000-000091410000}"/>
    <cellStyle name="RowTitles-Detail 2 2 2 5 7 2_Tertiary Salaries Survey" xfId="16767" xr:uid="{00000000-0005-0000-0000-000092410000}"/>
    <cellStyle name="RowTitles-Detail 2 2 2 5 7 3" xfId="16768" xr:uid="{00000000-0005-0000-0000-000093410000}"/>
    <cellStyle name="RowTitles-Detail 2 2 2 5 7_Tertiary Salaries Survey" xfId="16769" xr:uid="{00000000-0005-0000-0000-000094410000}"/>
    <cellStyle name="RowTitles-Detail 2 2 2 5 8" xfId="16770" xr:uid="{00000000-0005-0000-0000-000095410000}"/>
    <cellStyle name="RowTitles-Detail 2 2 2 5 9" xfId="16771" xr:uid="{00000000-0005-0000-0000-000096410000}"/>
    <cellStyle name="RowTitles-Detail 2 2 2 5_STUD aligned by INSTIT" xfId="16772" xr:uid="{00000000-0005-0000-0000-000097410000}"/>
    <cellStyle name="RowTitles-Detail 2 2 2 6" xfId="16773" xr:uid="{00000000-0005-0000-0000-000098410000}"/>
    <cellStyle name="RowTitles-Detail 2 2 2 6 2" xfId="16774" xr:uid="{00000000-0005-0000-0000-000099410000}"/>
    <cellStyle name="RowTitles-Detail 2 2 2 6 2 2" xfId="16775" xr:uid="{00000000-0005-0000-0000-00009A410000}"/>
    <cellStyle name="RowTitles-Detail 2 2 2 6 2 2 2" xfId="16776" xr:uid="{00000000-0005-0000-0000-00009B410000}"/>
    <cellStyle name="RowTitles-Detail 2 2 2 6 2 2_Tertiary Salaries Survey" xfId="16777" xr:uid="{00000000-0005-0000-0000-00009C410000}"/>
    <cellStyle name="RowTitles-Detail 2 2 2 6 2 3" xfId="16778" xr:uid="{00000000-0005-0000-0000-00009D410000}"/>
    <cellStyle name="RowTitles-Detail 2 2 2 6 2_Tertiary Salaries Survey" xfId="16779" xr:uid="{00000000-0005-0000-0000-00009E410000}"/>
    <cellStyle name="RowTitles-Detail 2 2 2 6 3" xfId="16780" xr:uid="{00000000-0005-0000-0000-00009F410000}"/>
    <cellStyle name="RowTitles-Detail 2 2 2 6 3 2" xfId="16781" xr:uid="{00000000-0005-0000-0000-0000A0410000}"/>
    <cellStyle name="RowTitles-Detail 2 2 2 6 3 2 2" xfId="16782" xr:uid="{00000000-0005-0000-0000-0000A1410000}"/>
    <cellStyle name="RowTitles-Detail 2 2 2 6 3 2_Tertiary Salaries Survey" xfId="16783" xr:uid="{00000000-0005-0000-0000-0000A2410000}"/>
    <cellStyle name="RowTitles-Detail 2 2 2 6 3 3" xfId="16784" xr:uid="{00000000-0005-0000-0000-0000A3410000}"/>
    <cellStyle name="RowTitles-Detail 2 2 2 6 3_Tertiary Salaries Survey" xfId="16785" xr:uid="{00000000-0005-0000-0000-0000A4410000}"/>
    <cellStyle name="RowTitles-Detail 2 2 2 6 4" xfId="16786" xr:uid="{00000000-0005-0000-0000-0000A5410000}"/>
    <cellStyle name="RowTitles-Detail 2 2 2 6 5" xfId="16787" xr:uid="{00000000-0005-0000-0000-0000A6410000}"/>
    <cellStyle name="RowTitles-Detail 2 2 2 6 5 2" xfId="16788" xr:uid="{00000000-0005-0000-0000-0000A7410000}"/>
    <cellStyle name="RowTitles-Detail 2 2 2 6 5_Tertiary Salaries Survey" xfId="16789" xr:uid="{00000000-0005-0000-0000-0000A8410000}"/>
    <cellStyle name="RowTitles-Detail 2 2 2 6 6" xfId="16790" xr:uid="{00000000-0005-0000-0000-0000A9410000}"/>
    <cellStyle name="RowTitles-Detail 2 2 2 6_Tertiary Salaries Survey" xfId="16791" xr:uid="{00000000-0005-0000-0000-0000AA410000}"/>
    <cellStyle name="RowTitles-Detail 2 2 2 7" xfId="16792" xr:uid="{00000000-0005-0000-0000-0000AB410000}"/>
    <cellStyle name="RowTitles-Detail 2 2 2 7 2" xfId="16793" xr:uid="{00000000-0005-0000-0000-0000AC410000}"/>
    <cellStyle name="RowTitles-Detail 2 2 2 7 2 2" xfId="16794" xr:uid="{00000000-0005-0000-0000-0000AD410000}"/>
    <cellStyle name="RowTitles-Detail 2 2 2 7 2 2 2" xfId="16795" xr:uid="{00000000-0005-0000-0000-0000AE410000}"/>
    <cellStyle name="RowTitles-Detail 2 2 2 7 2 2_Tertiary Salaries Survey" xfId="16796" xr:uid="{00000000-0005-0000-0000-0000AF410000}"/>
    <cellStyle name="RowTitles-Detail 2 2 2 7 2 3" xfId="16797" xr:uid="{00000000-0005-0000-0000-0000B0410000}"/>
    <cellStyle name="RowTitles-Detail 2 2 2 7 2_Tertiary Salaries Survey" xfId="16798" xr:uid="{00000000-0005-0000-0000-0000B1410000}"/>
    <cellStyle name="RowTitles-Detail 2 2 2 7 3" xfId="16799" xr:uid="{00000000-0005-0000-0000-0000B2410000}"/>
    <cellStyle name="RowTitles-Detail 2 2 2 7 3 2" xfId="16800" xr:uid="{00000000-0005-0000-0000-0000B3410000}"/>
    <cellStyle name="RowTitles-Detail 2 2 2 7 3 2 2" xfId="16801" xr:uid="{00000000-0005-0000-0000-0000B4410000}"/>
    <cellStyle name="RowTitles-Detail 2 2 2 7 3 2_Tertiary Salaries Survey" xfId="16802" xr:uid="{00000000-0005-0000-0000-0000B5410000}"/>
    <cellStyle name="RowTitles-Detail 2 2 2 7 3 3" xfId="16803" xr:uid="{00000000-0005-0000-0000-0000B6410000}"/>
    <cellStyle name="RowTitles-Detail 2 2 2 7 3_Tertiary Salaries Survey" xfId="16804" xr:uid="{00000000-0005-0000-0000-0000B7410000}"/>
    <cellStyle name="RowTitles-Detail 2 2 2 7 4" xfId="16805" xr:uid="{00000000-0005-0000-0000-0000B8410000}"/>
    <cellStyle name="RowTitles-Detail 2 2 2 7 5" xfId="16806" xr:uid="{00000000-0005-0000-0000-0000B9410000}"/>
    <cellStyle name="RowTitles-Detail 2 2 2 7_Tertiary Salaries Survey" xfId="16807" xr:uid="{00000000-0005-0000-0000-0000BA410000}"/>
    <cellStyle name="RowTitles-Detail 2 2 2 8" xfId="16808" xr:uid="{00000000-0005-0000-0000-0000BB410000}"/>
    <cellStyle name="RowTitles-Detail 2 2 2 8 2" xfId="16809" xr:uid="{00000000-0005-0000-0000-0000BC410000}"/>
    <cellStyle name="RowTitles-Detail 2 2 2 8 2 2" xfId="16810" xr:uid="{00000000-0005-0000-0000-0000BD410000}"/>
    <cellStyle name="RowTitles-Detail 2 2 2 8 2 2 2" xfId="16811" xr:uid="{00000000-0005-0000-0000-0000BE410000}"/>
    <cellStyle name="RowTitles-Detail 2 2 2 8 2 2_Tertiary Salaries Survey" xfId="16812" xr:uid="{00000000-0005-0000-0000-0000BF410000}"/>
    <cellStyle name="RowTitles-Detail 2 2 2 8 2 3" xfId="16813" xr:uid="{00000000-0005-0000-0000-0000C0410000}"/>
    <cellStyle name="RowTitles-Detail 2 2 2 8 2_Tertiary Salaries Survey" xfId="16814" xr:uid="{00000000-0005-0000-0000-0000C1410000}"/>
    <cellStyle name="RowTitles-Detail 2 2 2 8 3" xfId="16815" xr:uid="{00000000-0005-0000-0000-0000C2410000}"/>
    <cellStyle name="RowTitles-Detail 2 2 2 8 3 2" xfId="16816" xr:uid="{00000000-0005-0000-0000-0000C3410000}"/>
    <cellStyle name="RowTitles-Detail 2 2 2 8 3 2 2" xfId="16817" xr:uid="{00000000-0005-0000-0000-0000C4410000}"/>
    <cellStyle name="RowTitles-Detail 2 2 2 8 3 2_Tertiary Salaries Survey" xfId="16818" xr:uid="{00000000-0005-0000-0000-0000C5410000}"/>
    <cellStyle name="RowTitles-Detail 2 2 2 8 3 3" xfId="16819" xr:uid="{00000000-0005-0000-0000-0000C6410000}"/>
    <cellStyle name="RowTitles-Detail 2 2 2 8 3_Tertiary Salaries Survey" xfId="16820" xr:uid="{00000000-0005-0000-0000-0000C7410000}"/>
    <cellStyle name="RowTitles-Detail 2 2 2 8 4" xfId="16821" xr:uid="{00000000-0005-0000-0000-0000C8410000}"/>
    <cellStyle name="RowTitles-Detail 2 2 2 8 5" xfId="16822" xr:uid="{00000000-0005-0000-0000-0000C9410000}"/>
    <cellStyle name="RowTitles-Detail 2 2 2 8 5 2" xfId="16823" xr:uid="{00000000-0005-0000-0000-0000CA410000}"/>
    <cellStyle name="RowTitles-Detail 2 2 2 8 5_Tertiary Salaries Survey" xfId="16824" xr:uid="{00000000-0005-0000-0000-0000CB410000}"/>
    <cellStyle name="RowTitles-Detail 2 2 2 8 6" xfId="16825" xr:uid="{00000000-0005-0000-0000-0000CC410000}"/>
    <cellStyle name="RowTitles-Detail 2 2 2 8_Tertiary Salaries Survey" xfId="16826" xr:uid="{00000000-0005-0000-0000-0000CD410000}"/>
    <cellStyle name="RowTitles-Detail 2 2 2 9" xfId="16827" xr:uid="{00000000-0005-0000-0000-0000CE410000}"/>
    <cellStyle name="RowTitles-Detail 2 2 2 9 2" xfId="16828" xr:uid="{00000000-0005-0000-0000-0000CF410000}"/>
    <cellStyle name="RowTitles-Detail 2 2 2 9 2 2" xfId="16829" xr:uid="{00000000-0005-0000-0000-0000D0410000}"/>
    <cellStyle name="RowTitles-Detail 2 2 2 9 2 2 2" xfId="16830" xr:uid="{00000000-0005-0000-0000-0000D1410000}"/>
    <cellStyle name="RowTitles-Detail 2 2 2 9 2 2_Tertiary Salaries Survey" xfId="16831" xr:uid="{00000000-0005-0000-0000-0000D2410000}"/>
    <cellStyle name="RowTitles-Detail 2 2 2 9 2 3" xfId="16832" xr:uid="{00000000-0005-0000-0000-0000D3410000}"/>
    <cellStyle name="RowTitles-Detail 2 2 2 9 2_Tertiary Salaries Survey" xfId="16833" xr:uid="{00000000-0005-0000-0000-0000D4410000}"/>
    <cellStyle name="RowTitles-Detail 2 2 2 9 3" xfId="16834" xr:uid="{00000000-0005-0000-0000-0000D5410000}"/>
    <cellStyle name="RowTitles-Detail 2 2 2 9 3 2" xfId="16835" xr:uid="{00000000-0005-0000-0000-0000D6410000}"/>
    <cellStyle name="RowTitles-Detail 2 2 2 9 3 2 2" xfId="16836" xr:uid="{00000000-0005-0000-0000-0000D7410000}"/>
    <cellStyle name="RowTitles-Detail 2 2 2 9 3 2_Tertiary Salaries Survey" xfId="16837" xr:uid="{00000000-0005-0000-0000-0000D8410000}"/>
    <cellStyle name="RowTitles-Detail 2 2 2 9 3 3" xfId="16838" xr:uid="{00000000-0005-0000-0000-0000D9410000}"/>
    <cellStyle name="RowTitles-Detail 2 2 2 9 3_Tertiary Salaries Survey" xfId="16839" xr:uid="{00000000-0005-0000-0000-0000DA410000}"/>
    <cellStyle name="RowTitles-Detail 2 2 2 9 4" xfId="16840" xr:uid="{00000000-0005-0000-0000-0000DB410000}"/>
    <cellStyle name="RowTitles-Detail 2 2 2 9 4 2" xfId="16841" xr:uid="{00000000-0005-0000-0000-0000DC410000}"/>
    <cellStyle name="RowTitles-Detail 2 2 2 9 4_Tertiary Salaries Survey" xfId="16842" xr:uid="{00000000-0005-0000-0000-0000DD410000}"/>
    <cellStyle name="RowTitles-Detail 2 2 2 9 5" xfId="16843" xr:uid="{00000000-0005-0000-0000-0000DE410000}"/>
    <cellStyle name="RowTitles-Detail 2 2 2 9_Tertiary Salaries Survey" xfId="16844" xr:uid="{00000000-0005-0000-0000-0000DF410000}"/>
    <cellStyle name="RowTitles-Detail 2 2 2_STUD aligned by INSTIT" xfId="16845" xr:uid="{00000000-0005-0000-0000-0000E0410000}"/>
    <cellStyle name="RowTitles-Detail 2 2 3" xfId="16846" xr:uid="{00000000-0005-0000-0000-0000E1410000}"/>
    <cellStyle name="RowTitles-Detail 2 2 3 10" xfId="16847" xr:uid="{00000000-0005-0000-0000-0000E2410000}"/>
    <cellStyle name="RowTitles-Detail 2 2 3 10 2" xfId="16848" xr:uid="{00000000-0005-0000-0000-0000E3410000}"/>
    <cellStyle name="RowTitles-Detail 2 2 3 10 2 2" xfId="16849" xr:uid="{00000000-0005-0000-0000-0000E4410000}"/>
    <cellStyle name="RowTitles-Detail 2 2 3 10 2_Tertiary Salaries Survey" xfId="16850" xr:uid="{00000000-0005-0000-0000-0000E5410000}"/>
    <cellStyle name="RowTitles-Detail 2 2 3 10 3" xfId="16851" xr:uid="{00000000-0005-0000-0000-0000E6410000}"/>
    <cellStyle name="RowTitles-Detail 2 2 3 10_Tertiary Salaries Survey" xfId="16852" xr:uid="{00000000-0005-0000-0000-0000E7410000}"/>
    <cellStyle name="RowTitles-Detail 2 2 3 11" xfId="16853" xr:uid="{00000000-0005-0000-0000-0000E8410000}"/>
    <cellStyle name="RowTitles-Detail 2 2 3 12" xfId="16854" xr:uid="{00000000-0005-0000-0000-0000E9410000}"/>
    <cellStyle name="RowTitles-Detail 2 2 3 2" xfId="16855" xr:uid="{00000000-0005-0000-0000-0000EA410000}"/>
    <cellStyle name="RowTitles-Detail 2 2 3 2 2" xfId="16856" xr:uid="{00000000-0005-0000-0000-0000EB410000}"/>
    <cellStyle name="RowTitles-Detail 2 2 3 2 2 2" xfId="16857" xr:uid="{00000000-0005-0000-0000-0000EC410000}"/>
    <cellStyle name="RowTitles-Detail 2 2 3 2 2 2 2" xfId="16858" xr:uid="{00000000-0005-0000-0000-0000ED410000}"/>
    <cellStyle name="RowTitles-Detail 2 2 3 2 2 2 2 2" xfId="16859" xr:uid="{00000000-0005-0000-0000-0000EE410000}"/>
    <cellStyle name="RowTitles-Detail 2 2 3 2 2 2 2_Tertiary Salaries Survey" xfId="16860" xr:uid="{00000000-0005-0000-0000-0000EF410000}"/>
    <cellStyle name="RowTitles-Detail 2 2 3 2 2 2 3" xfId="16861" xr:uid="{00000000-0005-0000-0000-0000F0410000}"/>
    <cellStyle name="RowTitles-Detail 2 2 3 2 2 2_Tertiary Salaries Survey" xfId="16862" xr:uid="{00000000-0005-0000-0000-0000F1410000}"/>
    <cellStyle name="RowTitles-Detail 2 2 3 2 2 3" xfId="16863" xr:uid="{00000000-0005-0000-0000-0000F2410000}"/>
    <cellStyle name="RowTitles-Detail 2 2 3 2 2 3 2" xfId="16864" xr:uid="{00000000-0005-0000-0000-0000F3410000}"/>
    <cellStyle name="RowTitles-Detail 2 2 3 2 2 3 2 2" xfId="16865" xr:uid="{00000000-0005-0000-0000-0000F4410000}"/>
    <cellStyle name="RowTitles-Detail 2 2 3 2 2 3 2_Tertiary Salaries Survey" xfId="16866" xr:uid="{00000000-0005-0000-0000-0000F5410000}"/>
    <cellStyle name="RowTitles-Detail 2 2 3 2 2 3 3" xfId="16867" xr:uid="{00000000-0005-0000-0000-0000F6410000}"/>
    <cellStyle name="RowTitles-Detail 2 2 3 2 2 3_Tertiary Salaries Survey" xfId="16868" xr:uid="{00000000-0005-0000-0000-0000F7410000}"/>
    <cellStyle name="RowTitles-Detail 2 2 3 2 2 4" xfId="16869" xr:uid="{00000000-0005-0000-0000-0000F8410000}"/>
    <cellStyle name="RowTitles-Detail 2 2 3 2 2 5" xfId="16870" xr:uid="{00000000-0005-0000-0000-0000F9410000}"/>
    <cellStyle name="RowTitles-Detail 2 2 3 2 2_Tertiary Salaries Survey" xfId="16871" xr:uid="{00000000-0005-0000-0000-0000FA410000}"/>
    <cellStyle name="RowTitles-Detail 2 2 3 2 3" xfId="16872" xr:uid="{00000000-0005-0000-0000-0000FB410000}"/>
    <cellStyle name="RowTitles-Detail 2 2 3 2 3 2" xfId="16873" xr:uid="{00000000-0005-0000-0000-0000FC410000}"/>
    <cellStyle name="RowTitles-Detail 2 2 3 2 3 2 2" xfId="16874" xr:uid="{00000000-0005-0000-0000-0000FD410000}"/>
    <cellStyle name="RowTitles-Detail 2 2 3 2 3 2 2 2" xfId="16875" xr:uid="{00000000-0005-0000-0000-0000FE410000}"/>
    <cellStyle name="RowTitles-Detail 2 2 3 2 3 2 2_Tertiary Salaries Survey" xfId="16876" xr:uid="{00000000-0005-0000-0000-0000FF410000}"/>
    <cellStyle name="RowTitles-Detail 2 2 3 2 3 2 3" xfId="16877" xr:uid="{00000000-0005-0000-0000-000000420000}"/>
    <cellStyle name="RowTitles-Detail 2 2 3 2 3 2_Tertiary Salaries Survey" xfId="16878" xr:uid="{00000000-0005-0000-0000-000001420000}"/>
    <cellStyle name="RowTitles-Detail 2 2 3 2 3 3" xfId="16879" xr:uid="{00000000-0005-0000-0000-000002420000}"/>
    <cellStyle name="RowTitles-Detail 2 2 3 2 3 3 2" xfId="16880" xr:uid="{00000000-0005-0000-0000-000003420000}"/>
    <cellStyle name="RowTitles-Detail 2 2 3 2 3 3 2 2" xfId="16881" xr:uid="{00000000-0005-0000-0000-000004420000}"/>
    <cellStyle name="RowTitles-Detail 2 2 3 2 3 3 2_Tertiary Salaries Survey" xfId="16882" xr:uid="{00000000-0005-0000-0000-000005420000}"/>
    <cellStyle name="RowTitles-Detail 2 2 3 2 3 3 3" xfId="16883" xr:uid="{00000000-0005-0000-0000-000006420000}"/>
    <cellStyle name="RowTitles-Detail 2 2 3 2 3 3_Tertiary Salaries Survey" xfId="16884" xr:uid="{00000000-0005-0000-0000-000007420000}"/>
    <cellStyle name="RowTitles-Detail 2 2 3 2 3 4" xfId="16885" xr:uid="{00000000-0005-0000-0000-000008420000}"/>
    <cellStyle name="RowTitles-Detail 2 2 3 2 3 5" xfId="16886" xr:uid="{00000000-0005-0000-0000-000009420000}"/>
    <cellStyle name="RowTitles-Detail 2 2 3 2 3 5 2" xfId="16887" xr:uid="{00000000-0005-0000-0000-00000A420000}"/>
    <cellStyle name="RowTitles-Detail 2 2 3 2 3 5_Tertiary Salaries Survey" xfId="16888" xr:uid="{00000000-0005-0000-0000-00000B420000}"/>
    <cellStyle name="RowTitles-Detail 2 2 3 2 3 6" xfId="16889" xr:uid="{00000000-0005-0000-0000-00000C420000}"/>
    <cellStyle name="RowTitles-Detail 2 2 3 2 3_Tertiary Salaries Survey" xfId="16890" xr:uid="{00000000-0005-0000-0000-00000D420000}"/>
    <cellStyle name="RowTitles-Detail 2 2 3 2 4" xfId="16891" xr:uid="{00000000-0005-0000-0000-00000E420000}"/>
    <cellStyle name="RowTitles-Detail 2 2 3 2 4 2" xfId="16892" xr:uid="{00000000-0005-0000-0000-00000F420000}"/>
    <cellStyle name="RowTitles-Detail 2 2 3 2 4 2 2" xfId="16893" xr:uid="{00000000-0005-0000-0000-000010420000}"/>
    <cellStyle name="RowTitles-Detail 2 2 3 2 4 2 2 2" xfId="16894" xr:uid="{00000000-0005-0000-0000-000011420000}"/>
    <cellStyle name="RowTitles-Detail 2 2 3 2 4 2 2_Tertiary Salaries Survey" xfId="16895" xr:uid="{00000000-0005-0000-0000-000012420000}"/>
    <cellStyle name="RowTitles-Detail 2 2 3 2 4 2 3" xfId="16896" xr:uid="{00000000-0005-0000-0000-000013420000}"/>
    <cellStyle name="RowTitles-Detail 2 2 3 2 4 2_Tertiary Salaries Survey" xfId="16897" xr:uid="{00000000-0005-0000-0000-000014420000}"/>
    <cellStyle name="RowTitles-Detail 2 2 3 2 4 3" xfId="16898" xr:uid="{00000000-0005-0000-0000-000015420000}"/>
    <cellStyle name="RowTitles-Detail 2 2 3 2 4 3 2" xfId="16899" xr:uid="{00000000-0005-0000-0000-000016420000}"/>
    <cellStyle name="RowTitles-Detail 2 2 3 2 4 3 2 2" xfId="16900" xr:uid="{00000000-0005-0000-0000-000017420000}"/>
    <cellStyle name="RowTitles-Detail 2 2 3 2 4 3 2_Tertiary Salaries Survey" xfId="16901" xr:uid="{00000000-0005-0000-0000-000018420000}"/>
    <cellStyle name="RowTitles-Detail 2 2 3 2 4 3 3" xfId="16902" xr:uid="{00000000-0005-0000-0000-000019420000}"/>
    <cellStyle name="RowTitles-Detail 2 2 3 2 4 3_Tertiary Salaries Survey" xfId="16903" xr:uid="{00000000-0005-0000-0000-00001A420000}"/>
    <cellStyle name="RowTitles-Detail 2 2 3 2 4 4" xfId="16904" xr:uid="{00000000-0005-0000-0000-00001B420000}"/>
    <cellStyle name="RowTitles-Detail 2 2 3 2 4 4 2" xfId="16905" xr:uid="{00000000-0005-0000-0000-00001C420000}"/>
    <cellStyle name="RowTitles-Detail 2 2 3 2 4 4_Tertiary Salaries Survey" xfId="16906" xr:uid="{00000000-0005-0000-0000-00001D420000}"/>
    <cellStyle name="RowTitles-Detail 2 2 3 2 4 5" xfId="16907" xr:uid="{00000000-0005-0000-0000-00001E420000}"/>
    <cellStyle name="RowTitles-Detail 2 2 3 2 4_Tertiary Salaries Survey" xfId="16908" xr:uid="{00000000-0005-0000-0000-00001F420000}"/>
    <cellStyle name="RowTitles-Detail 2 2 3 2 5" xfId="16909" xr:uid="{00000000-0005-0000-0000-000020420000}"/>
    <cellStyle name="RowTitles-Detail 2 2 3 2 5 2" xfId="16910" xr:uid="{00000000-0005-0000-0000-000021420000}"/>
    <cellStyle name="RowTitles-Detail 2 2 3 2 5 2 2" xfId="16911" xr:uid="{00000000-0005-0000-0000-000022420000}"/>
    <cellStyle name="RowTitles-Detail 2 2 3 2 5 2 2 2" xfId="16912" xr:uid="{00000000-0005-0000-0000-000023420000}"/>
    <cellStyle name="RowTitles-Detail 2 2 3 2 5 2 2_Tertiary Salaries Survey" xfId="16913" xr:uid="{00000000-0005-0000-0000-000024420000}"/>
    <cellStyle name="RowTitles-Detail 2 2 3 2 5 2 3" xfId="16914" xr:uid="{00000000-0005-0000-0000-000025420000}"/>
    <cellStyle name="RowTitles-Detail 2 2 3 2 5 2_Tertiary Salaries Survey" xfId="16915" xr:uid="{00000000-0005-0000-0000-000026420000}"/>
    <cellStyle name="RowTitles-Detail 2 2 3 2 5 3" xfId="16916" xr:uid="{00000000-0005-0000-0000-000027420000}"/>
    <cellStyle name="RowTitles-Detail 2 2 3 2 5 3 2" xfId="16917" xr:uid="{00000000-0005-0000-0000-000028420000}"/>
    <cellStyle name="RowTitles-Detail 2 2 3 2 5 3 2 2" xfId="16918" xr:uid="{00000000-0005-0000-0000-000029420000}"/>
    <cellStyle name="RowTitles-Detail 2 2 3 2 5 3 2_Tertiary Salaries Survey" xfId="16919" xr:uid="{00000000-0005-0000-0000-00002A420000}"/>
    <cellStyle name="RowTitles-Detail 2 2 3 2 5 3 3" xfId="16920" xr:uid="{00000000-0005-0000-0000-00002B420000}"/>
    <cellStyle name="RowTitles-Detail 2 2 3 2 5 3_Tertiary Salaries Survey" xfId="16921" xr:uid="{00000000-0005-0000-0000-00002C420000}"/>
    <cellStyle name="RowTitles-Detail 2 2 3 2 5 4" xfId="16922" xr:uid="{00000000-0005-0000-0000-00002D420000}"/>
    <cellStyle name="RowTitles-Detail 2 2 3 2 5 4 2" xfId="16923" xr:uid="{00000000-0005-0000-0000-00002E420000}"/>
    <cellStyle name="RowTitles-Detail 2 2 3 2 5 4_Tertiary Salaries Survey" xfId="16924" xr:uid="{00000000-0005-0000-0000-00002F420000}"/>
    <cellStyle name="RowTitles-Detail 2 2 3 2 5 5" xfId="16925" xr:uid="{00000000-0005-0000-0000-000030420000}"/>
    <cellStyle name="RowTitles-Detail 2 2 3 2 5_Tertiary Salaries Survey" xfId="16926" xr:uid="{00000000-0005-0000-0000-000031420000}"/>
    <cellStyle name="RowTitles-Detail 2 2 3 2 6" xfId="16927" xr:uid="{00000000-0005-0000-0000-000032420000}"/>
    <cellStyle name="RowTitles-Detail 2 2 3 2 6 2" xfId="16928" xr:uid="{00000000-0005-0000-0000-000033420000}"/>
    <cellStyle name="RowTitles-Detail 2 2 3 2 6 2 2" xfId="16929" xr:uid="{00000000-0005-0000-0000-000034420000}"/>
    <cellStyle name="RowTitles-Detail 2 2 3 2 6 2 2 2" xfId="16930" xr:uid="{00000000-0005-0000-0000-000035420000}"/>
    <cellStyle name="RowTitles-Detail 2 2 3 2 6 2 2_Tertiary Salaries Survey" xfId="16931" xr:uid="{00000000-0005-0000-0000-000036420000}"/>
    <cellStyle name="RowTitles-Detail 2 2 3 2 6 2 3" xfId="16932" xr:uid="{00000000-0005-0000-0000-000037420000}"/>
    <cellStyle name="RowTitles-Detail 2 2 3 2 6 2_Tertiary Salaries Survey" xfId="16933" xr:uid="{00000000-0005-0000-0000-000038420000}"/>
    <cellStyle name="RowTitles-Detail 2 2 3 2 6 3" xfId="16934" xr:uid="{00000000-0005-0000-0000-000039420000}"/>
    <cellStyle name="RowTitles-Detail 2 2 3 2 6 3 2" xfId="16935" xr:uid="{00000000-0005-0000-0000-00003A420000}"/>
    <cellStyle name="RowTitles-Detail 2 2 3 2 6 3 2 2" xfId="16936" xr:uid="{00000000-0005-0000-0000-00003B420000}"/>
    <cellStyle name="RowTitles-Detail 2 2 3 2 6 3 2_Tertiary Salaries Survey" xfId="16937" xr:uid="{00000000-0005-0000-0000-00003C420000}"/>
    <cellStyle name="RowTitles-Detail 2 2 3 2 6 3 3" xfId="16938" xr:uid="{00000000-0005-0000-0000-00003D420000}"/>
    <cellStyle name="RowTitles-Detail 2 2 3 2 6 3_Tertiary Salaries Survey" xfId="16939" xr:uid="{00000000-0005-0000-0000-00003E420000}"/>
    <cellStyle name="RowTitles-Detail 2 2 3 2 6 4" xfId="16940" xr:uid="{00000000-0005-0000-0000-00003F420000}"/>
    <cellStyle name="RowTitles-Detail 2 2 3 2 6 4 2" xfId="16941" xr:uid="{00000000-0005-0000-0000-000040420000}"/>
    <cellStyle name="RowTitles-Detail 2 2 3 2 6 4_Tertiary Salaries Survey" xfId="16942" xr:uid="{00000000-0005-0000-0000-000041420000}"/>
    <cellStyle name="RowTitles-Detail 2 2 3 2 6 5" xfId="16943" xr:uid="{00000000-0005-0000-0000-000042420000}"/>
    <cellStyle name="RowTitles-Detail 2 2 3 2 6_Tertiary Salaries Survey" xfId="16944" xr:uid="{00000000-0005-0000-0000-000043420000}"/>
    <cellStyle name="RowTitles-Detail 2 2 3 2 7" xfId="16945" xr:uid="{00000000-0005-0000-0000-000044420000}"/>
    <cellStyle name="RowTitles-Detail 2 2 3 2 7 2" xfId="16946" xr:uid="{00000000-0005-0000-0000-000045420000}"/>
    <cellStyle name="RowTitles-Detail 2 2 3 2 7 2 2" xfId="16947" xr:uid="{00000000-0005-0000-0000-000046420000}"/>
    <cellStyle name="RowTitles-Detail 2 2 3 2 7 2_Tertiary Salaries Survey" xfId="16948" xr:uid="{00000000-0005-0000-0000-000047420000}"/>
    <cellStyle name="RowTitles-Detail 2 2 3 2 7 3" xfId="16949" xr:uid="{00000000-0005-0000-0000-000048420000}"/>
    <cellStyle name="RowTitles-Detail 2 2 3 2 7_Tertiary Salaries Survey" xfId="16950" xr:uid="{00000000-0005-0000-0000-000049420000}"/>
    <cellStyle name="RowTitles-Detail 2 2 3 2 8" xfId="16951" xr:uid="{00000000-0005-0000-0000-00004A420000}"/>
    <cellStyle name="RowTitles-Detail 2 2 3 2 9" xfId="16952" xr:uid="{00000000-0005-0000-0000-00004B420000}"/>
    <cellStyle name="RowTitles-Detail 2 2 3 2_STUD aligned by INSTIT" xfId="16953" xr:uid="{00000000-0005-0000-0000-00004C420000}"/>
    <cellStyle name="RowTitles-Detail 2 2 3 3" xfId="16954" xr:uid="{00000000-0005-0000-0000-00004D420000}"/>
    <cellStyle name="RowTitles-Detail 2 2 3 3 2" xfId="16955" xr:uid="{00000000-0005-0000-0000-00004E420000}"/>
    <cellStyle name="RowTitles-Detail 2 2 3 3 2 2" xfId="16956" xr:uid="{00000000-0005-0000-0000-00004F420000}"/>
    <cellStyle name="RowTitles-Detail 2 2 3 3 2 2 2" xfId="16957" xr:uid="{00000000-0005-0000-0000-000050420000}"/>
    <cellStyle name="RowTitles-Detail 2 2 3 3 2 2 2 2" xfId="16958" xr:uid="{00000000-0005-0000-0000-000051420000}"/>
    <cellStyle name="RowTitles-Detail 2 2 3 3 2 2 2_Tertiary Salaries Survey" xfId="16959" xr:uid="{00000000-0005-0000-0000-000052420000}"/>
    <cellStyle name="RowTitles-Detail 2 2 3 3 2 2 3" xfId="16960" xr:uid="{00000000-0005-0000-0000-000053420000}"/>
    <cellStyle name="RowTitles-Detail 2 2 3 3 2 2_Tertiary Salaries Survey" xfId="16961" xr:uid="{00000000-0005-0000-0000-000054420000}"/>
    <cellStyle name="RowTitles-Detail 2 2 3 3 2 3" xfId="16962" xr:uid="{00000000-0005-0000-0000-000055420000}"/>
    <cellStyle name="RowTitles-Detail 2 2 3 3 2 3 2" xfId="16963" xr:uid="{00000000-0005-0000-0000-000056420000}"/>
    <cellStyle name="RowTitles-Detail 2 2 3 3 2 3 2 2" xfId="16964" xr:uid="{00000000-0005-0000-0000-000057420000}"/>
    <cellStyle name="RowTitles-Detail 2 2 3 3 2 3 2_Tertiary Salaries Survey" xfId="16965" xr:uid="{00000000-0005-0000-0000-000058420000}"/>
    <cellStyle name="RowTitles-Detail 2 2 3 3 2 3 3" xfId="16966" xr:uid="{00000000-0005-0000-0000-000059420000}"/>
    <cellStyle name="RowTitles-Detail 2 2 3 3 2 3_Tertiary Salaries Survey" xfId="16967" xr:uid="{00000000-0005-0000-0000-00005A420000}"/>
    <cellStyle name="RowTitles-Detail 2 2 3 3 2 4" xfId="16968" xr:uid="{00000000-0005-0000-0000-00005B420000}"/>
    <cellStyle name="RowTitles-Detail 2 2 3 3 2 5" xfId="16969" xr:uid="{00000000-0005-0000-0000-00005C420000}"/>
    <cellStyle name="RowTitles-Detail 2 2 3 3 2 5 2" xfId="16970" xr:uid="{00000000-0005-0000-0000-00005D420000}"/>
    <cellStyle name="RowTitles-Detail 2 2 3 3 2 5_Tertiary Salaries Survey" xfId="16971" xr:uid="{00000000-0005-0000-0000-00005E420000}"/>
    <cellStyle name="RowTitles-Detail 2 2 3 3 2 6" xfId="16972" xr:uid="{00000000-0005-0000-0000-00005F420000}"/>
    <cellStyle name="RowTitles-Detail 2 2 3 3 2_Tertiary Salaries Survey" xfId="16973" xr:uid="{00000000-0005-0000-0000-000060420000}"/>
    <cellStyle name="RowTitles-Detail 2 2 3 3 3" xfId="16974" xr:uid="{00000000-0005-0000-0000-000061420000}"/>
    <cellStyle name="RowTitles-Detail 2 2 3 3 3 2" xfId="16975" xr:uid="{00000000-0005-0000-0000-000062420000}"/>
    <cellStyle name="RowTitles-Detail 2 2 3 3 3 2 2" xfId="16976" xr:uid="{00000000-0005-0000-0000-000063420000}"/>
    <cellStyle name="RowTitles-Detail 2 2 3 3 3 2 2 2" xfId="16977" xr:uid="{00000000-0005-0000-0000-000064420000}"/>
    <cellStyle name="RowTitles-Detail 2 2 3 3 3 2 2_Tertiary Salaries Survey" xfId="16978" xr:uid="{00000000-0005-0000-0000-000065420000}"/>
    <cellStyle name="RowTitles-Detail 2 2 3 3 3 2 3" xfId="16979" xr:uid="{00000000-0005-0000-0000-000066420000}"/>
    <cellStyle name="RowTitles-Detail 2 2 3 3 3 2_Tertiary Salaries Survey" xfId="16980" xr:uid="{00000000-0005-0000-0000-000067420000}"/>
    <cellStyle name="RowTitles-Detail 2 2 3 3 3 3" xfId="16981" xr:uid="{00000000-0005-0000-0000-000068420000}"/>
    <cellStyle name="RowTitles-Detail 2 2 3 3 3 3 2" xfId="16982" xr:uid="{00000000-0005-0000-0000-000069420000}"/>
    <cellStyle name="RowTitles-Detail 2 2 3 3 3 3 2 2" xfId="16983" xr:uid="{00000000-0005-0000-0000-00006A420000}"/>
    <cellStyle name="RowTitles-Detail 2 2 3 3 3 3 2_Tertiary Salaries Survey" xfId="16984" xr:uid="{00000000-0005-0000-0000-00006B420000}"/>
    <cellStyle name="RowTitles-Detail 2 2 3 3 3 3 3" xfId="16985" xr:uid="{00000000-0005-0000-0000-00006C420000}"/>
    <cellStyle name="RowTitles-Detail 2 2 3 3 3 3_Tertiary Salaries Survey" xfId="16986" xr:uid="{00000000-0005-0000-0000-00006D420000}"/>
    <cellStyle name="RowTitles-Detail 2 2 3 3 3 4" xfId="16987" xr:uid="{00000000-0005-0000-0000-00006E420000}"/>
    <cellStyle name="RowTitles-Detail 2 2 3 3 3 5" xfId="16988" xr:uid="{00000000-0005-0000-0000-00006F420000}"/>
    <cellStyle name="RowTitles-Detail 2 2 3 3 3_Tertiary Salaries Survey" xfId="16989" xr:uid="{00000000-0005-0000-0000-000070420000}"/>
    <cellStyle name="RowTitles-Detail 2 2 3 3 4" xfId="16990" xr:uid="{00000000-0005-0000-0000-000071420000}"/>
    <cellStyle name="RowTitles-Detail 2 2 3 3 4 2" xfId="16991" xr:uid="{00000000-0005-0000-0000-000072420000}"/>
    <cellStyle name="RowTitles-Detail 2 2 3 3 4 2 2" xfId="16992" xr:uid="{00000000-0005-0000-0000-000073420000}"/>
    <cellStyle name="RowTitles-Detail 2 2 3 3 4 2 2 2" xfId="16993" xr:uid="{00000000-0005-0000-0000-000074420000}"/>
    <cellStyle name="RowTitles-Detail 2 2 3 3 4 2 2_Tertiary Salaries Survey" xfId="16994" xr:uid="{00000000-0005-0000-0000-000075420000}"/>
    <cellStyle name="RowTitles-Detail 2 2 3 3 4 2 3" xfId="16995" xr:uid="{00000000-0005-0000-0000-000076420000}"/>
    <cellStyle name="RowTitles-Detail 2 2 3 3 4 2_Tertiary Salaries Survey" xfId="16996" xr:uid="{00000000-0005-0000-0000-000077420000}"/>
    <cellStyle name="RowTitles-Detail 2 2 3 3 4 3" xfId="16997" xr:uid="{00000000-0005-0000-0000-000078420000}"/>
    <cellStyle name="RowTitles-Detail 2 2 3 3 4 3 2" xfId="16998" xr:uid="{00000000-0005-0000-0000-000079420000}"/>
    <cellStyle name="RowTitles-Detail 2 2 3 3 4 3 2 2" xfId="16999" xr:uid="{00000000-0005-0000-0000-00007A420000}"/>
    <cellStyle name="RowTitles-Detail 2 2 3 3 4 3 2_Tertiary Salaries Survey" xfId="17000" xr:uid="{00000000-0005-0000-0000-00007B420000}"/>
    <cellStyle name="RowTitles-Detail 2 2 3 3 4 3 3" xfId="17001" xr:uid="{00000000-0005-0000-0000-00007C420000}"/>
    <cellStyle name="RowTitles-Detail 2 2 3 3 4 3_Tertiary Salaries Survey" xfId="17002" xr:uid="{00000000-0005-0000-0000-00007D420000}"/>
    <cellStyle name="RowTitles-Detail 2 2 3 3 4 4" xfId="17003" xr:uid="{00000000-0005-0000-0000-00007E420000}"/>
    <cellStyle name="RowTitles-Detail 2 2 3 3 4 4 2" xfId="17004" xr:uid="{00000000-0005-0000-0000-00007F420000}"/>
    <cellStyle name="RowTitles-Detail 2 2 3 3 4 4_Tertiary Salaries Survey" xfId="17005" xr:uid="{00000000-0005-0000-0000-000080420000}"/>
    <cellStyle name="RowTitles-Detail 2 2 3 3 4 5" xfId="17006" xr:uid="{00000000-0005-0000-0000-000081420000}"/>
    <cellStyle name="RowTitles-Detail 2 2 3 3 4_Tertiary Salaries Survey" xfId="17007" xr:uid="{00000000-0005-0000-0000-000082420000}"/>
    <cellStyle name="RowTitles-Detail 2 2 3 3 5" xfId="17008" xr:uid="{00000000-0005-0000-0000-000083420000}"/>
    <cellStyle name="RowTitles-Detail 2 2 3 3 5 2" xfId="17009" xr:uid="{00000000-0005-0000-0000-000084420000}"/>
    <cellStyle name="RowTitles-Detail 2 2 3 3 5 2 2" xfId="17010" xr:uid="{00000000-0005-0000-0000-000085420000}"/>
    <cellStyle name="RowTitles-Detail 2 2 3 3 5 2 2 2" xfId="17011" xr:uid="{00000000-0005-0000-0000-000086420000}"/>
    <cellStyle name="RowTitles-Detail 2 2 3 3 5 2 2_Tertiary Salaries Survey" xfId="17012" xr:uid="{00000000-0005-0000-0000-000087420000}"/>
    <cellStyle name="RowTitles-Detail 2 2 3 3 5 2 3" xfId="17013" xr:uid="{00000000-0005-0000-0000-000088420000}"/>
    <cellStyle name="RowTitles-Detail 2 2 3 3 5 2_Tertiary Salaries Survey" xfId="17014" xr:uid="{00000000-0005-0000-0000-000089420000}"/>
    <cellStyle name="RowTitles-Detail 2 2 3 3 5 3" xfId="17015" xr:uid="{00000000-0005-0000-0000-00008A420000}"/>
    <cellStyle name="RowTitles-Detail 2 2 3 3 5 3 2" xfId="17016" xr:uid="{00000000-0005-0000-0000-00008B420000}"/>
    <cellStyle name="RowTitles-Detail 2 2 3 3 5 3 2 2" xfId="17017" xr:uid="{00000000-0005-0000-0000-00008C420000}"/>
    <cellStyle name="RowTitles-Detail 2 2 3 3 5 3 2_Tertiary Salaries Survey" xfId="17018" xr:uid="{00000000-0005-0000-0000-00008D420000}"/>
    <cellStyle name="RowTitles-Detail 2 2 3 3 5 3 3" xfId="17019" xr:uid="{00000000-0005-0000-0000-00008E420000}"/>
    <cellStyle name="RowTitles-Detail 2 2 3 3 5 3_Tertiary Salaries Survey" xfId="17020" xr:uid="{00000000-0005-0000-0000-00008F420000}"/>
    <cellStyle name="RowTitles-Detail 2 2 3 3 5 4" xfId="17021" xr:uid="{00000000-0005-0000-0000-000090420000}"/>
    <cellStyle name="RowTitles-Detail 2 2 3 3 5 4 2" xfId="17022" xr:uid="{00000000-0005-0000-0000-000091420000}"/>
    <cellStyle name="RowTitles-Detail 2 2 3 3 5 4_Tertiary Salaries Survey" xfId="17023" xr:uid="{00000000-0005-0000-0000-000092420000}"/>
    <cellStyle name="RowTitles-Detail 2 2 3 3 5 5" xfId="17024" xr:uid="{00000000-0005-0000-0000-000093420000}"/>
    <cellStyle name="RowTitles-Detail 2 2 3 3 5_Tertiary Salaries Survey" xfId="17025" xr:uid="{00000000-0005-0000-0000-000094420000}"/>
    <cellStyle name="RowTitles-Detail 2 2 3 3 6" xfId="17026" xr:uid="{00000000-0005-0000-0000-000095420000}"/>
    <cellStyle name="RowTitles-Detail 2 2 3 3 6 2" xfId="17027" xr:uid="{00000000-0005-0000-0000-000096420000}"/>
    <cellStyle name="RowTitles-Detail 2 2 3 3 6 2 2" xfId="17028" xr:uid="{00000000-0005-0000-0000-000097420000}"/>
    <cellStyle name="RowTitles-Detail 2 2 3 3 6 2 2 2" xfId="17029" xr:uid="{00000000-0005-0000-0000-000098420000}"/>
    <cellStyle name="RowTitles-Detail 2 2 3 3 6 2 2_Tertiary Salaries Survey" xfId="17030" xr:uid="{00000000-0005-0000-0000-000099420000}"/>
    <cellStyle name="RowTitles-Detail 2 2 3 3 6 2 3" xfId="17031" xr:uid="{00000000-0005-0000-0000-00009A420000}"/>
    <cellStyle name="RowTitles-Detail 2 2 3 3 6 2_Tertiary Salaries Survey" xfId="17032" xr:uid="{00000000-0005-0000-0000-00009B420000}"/>
    <cellStyle name="RowTitles-Detail 2 2 3 3 6 3" xfId="17033" xr:uid="{00000000-0005-0000-0000-00009C420000}"/>
    <cellStyle name="RowTitles-Detail 2 2 3 3 6 3 2" xfId="17034" xr:uid="{00000000-0005-0000-0000-00009D420000}"/>
    <cellStyle name="RowTitles-Detail 2 2 3 3 6 3 2 2" xfId="17035" xr:uid="{00000000-0005-0000-0000-00009E420000}"/>
    <cellStyle name="RowTitles-Detail 2 2 3 3 6 3 2_Tertiary Salaries Survey" xfId="17036" xr:uid="{00000000-0005-0000-0000-00009F420000}"/>
    <cellStyle name="RowTitles-Detail 2 2 3 3 6 3 3" xfId="17037" xr:uid="{00000000-0005-0000-0000-0000A0420000}"/>
    <cellStyle name="RowTitles-Detail 2 2 3 3 6 3_Tertiary Salaries Survey" xfId="17038" xr:uid="{00000000-0005-0000-0000-0000A1420000}"/>
    <cellStyle name="RowTitles-Detail 2 2 3 3 6 4" xfId="17039" xr:uid="{00000000-0005-0000-0000-0000A2420000}"/>
    <cellStyle name="RowTitles-Detail 2 2 3 3 6 4 2" xfId="17040" xr:uid="{00000000-0005-0000-0000-0000A3420000}"/>
    <cellStyle name="RowTitles-Detail 2 2 3 3 6 4_Tertiary Salaries Survey" xfId="17041" xr:uid="{00000000-0005-0000-0000-0000A4420000}"/>
    <cellStyle name="RowTitles-Detail 2 2 3 3 6 5" xfId="17042" xr:uid="{00000000-0005-0000-0000-0000A5420000}"/>
    <cellStyle name="RowTitles-Detail 2 2 3 3 6_Tertiary Salaries Survey" xfId="17043" xr:uid="{00000000-0005-0000-0000-0000A6420000}"/>
    <cellStyle name="RowTitles-Detail 2 2 3 3 7" xfId="17044" xr:uid="{00000000-0005-0000-0000-0000A7420000}"/>
    <cellStyle name="RowTitles-Detail 2 2 3 3 7 2" xfId="17045" xr:uid="{00000000-0005-0000-0000-0000A8420000}"/>
    <cellStyle name="RowTitles-Detail 2 2 3 3 7 2 2" xfId="17046" xr:uid="{00000000-0005-0000-0000-0000A9420000}"/>
    <cellStyle name="RowTitles-Detail 2 2 3 3 7 2_Tertiary Salaries Survey" xfId="17047" xr:uid="{00000000-0005-0000-0000-0000AA420000}"/>
    <cellStyle name="RowTitles-Detail 2 2 3 3 7 3" xfId="17048" xr:uid="{00000000-0005-0000-0000-0000AB420000}"/>
    <cellStyle name="RowTitles-Detail 2 2 3 3 7_Tertiary Salaries Survey" xfId="17049" xr:uid="{00000000-0005-0000-0000-0000AC420000}"/>
    <cellStyle name="RowTitles-Detail 2 2 3 3 8" xfId="17050" xr:uid="{00000000-0005-0000-0000-0000AD420000}"/>
    <cellStyle name="RowTitles-Detail 2 2 3 3 8 2" xfId="17051" xr:uid="{00000000-0005-0000-0000-0000AE420000}"/>
    <cellStyle name="RowTitles-Detail 2 2 3 3 8 2 2" xfId="17052" xr:uid="{00000000-0005-0000-0000-0000AF420000}"/>
    <cellStyle name="RowTitles-Detail 2 2 3 3 8 2_Tertiary Salaries Survey" xfId="17053" xr:uid="{00000000-0005-0000-0000-0000B0420000}"/>
    <cellStyle name="RowTitles-Detail 2 2 3 3 8 3" xfId="17054" xr:uid="{00000000-0005-0000-0000-0000B1420000}"/>
    <cellStyle name="RowTitles-Detail 2 2 3 3 8_Tertiary Salaries Survey" xfId="17055" xr:uid="{00000000-0005-0000-0000-0000B2420000}"/>
    <cellStyle name="RowTitles-Detail 2 2 3 3 9" xfId="17056" xr:uid="{00000000-0005-0000-0000-0000B3420000}"/>
    <cellStyle name="RowTitles-Detail 2 2 3 3_STUD aligned by INSTIT" xfId="17057" xr:uid="{00000000-0005-0000-0000-0000B4420000}"/>
    <cellStyle name="RowTitles-Detail 2 2 3 4" xfId="17058" xr:uid="{00000000-0005-0000-0000-0000B5420000}"/>
    <cellStyle name="RowTitles-Detail 2 2 3 4 2" xfId="17059" xr:uid="{00000000-0005-0000-0000-0000B6420000}"/>
    <cellStyle name="RowTitles-Detail 2 2 3 4 2 2" xfId="17060" xr:uid="{00000000-0005-0000-0000-0000B7420000}"/>
    <cellStyle name="RowTitles-Detail 2 2 3 4 2 2 2" xfId="17061" xr:uid="{00000000-0005-0000-0000-0000B8420000}"/>
    <cellStyle name="RowTitles-Detail 2 2 3 4 2 2 2 2" xfId="17062" xr:uid="{00000000-0005-0000-0000-0000B9420000}"/>
    <cellStyle name="RowTitles-Detail 2 2 3 4 2 2 2_Tertiary Salaries Survey" xfId="17063" xr:uid="{00000000-0005-0000-0000-0000BA420000}"/>
    <cellStyle name="RowTitles-Detail 2 2 3 4 2 2 3" xfId="17064" xr:uid="{00000000-0005-0000-0000-0000BB420000}"/>
    <cellStyle name="RowTitles-Detail 2 2 3 4 2 2_Tertiary Salaries Survey" xfId="17065" xr:uid="{00000000-0005-0000-0000-0000BC420000}"/>
    <cellStyle name="RowTitles-Detail 2 2 3 4 2 3" xfId="17066" xr:uid="{00000000-0005-0000-0000-0000BD420000}"/>
    <cellStyle name="RowTitles-Detail 2 2 3 4 2 3 2" xfId="17067" xr:uid="{00000000-0005-0000-0000-0000BE420000}"/>
    <cellStyle name="RowTitles-Detail 2 2 3 4 2 3 2 2" xfId="17068" xr:uid="{00000000-0005-0000-0000-0000BF420000}"/>
    <cellStyle name="RowTitles-Detail 2 2 3 4 2 3 2_Tertiary Salaries Survey" xfId="17069" xr:uid="{00000000-0005-0000-0000-0000C0420000}"/>
    <cellStyle name="RowTitles-Detail 2 2 3 4 2 3 3" xfId="17070" xr:uid="{00000000-0005-0000-0000-0000C1420000}"/>
    <cellStyle name="RowTitles-Detail 2 2 3 4 2 3_Tertiary Salaries Survey" xfId="17071" xr:uid="{00000000-0005-0000-0000-0000C2420000}"/>
    <cellStyle name="RowTitles-Detail 2 2 3 4 2 4" xfId="17072" xr:uid="{00000000-0005-0000-0000-0000C3420000}"/>
    <cellStyle name="RowTitles-Detail 2 2 3 4 2 5" xfId="17073" xr:uid="{00000000-0005-0000-0000-0000C4420000}"/>
    <cellStyle name="RowTitles-Detail 2 2 3 4 2 5 2" xfId="17074" xr:uid="{00000000-0005-0000-0000-0000C5420000}"/>
    <cellStyle name="RowTitles-Detail 2 2 3 4 2 5_Tertiary Salaries Survey" xfId="17075" xr:uid="{00000000-0005-0000-0000-0000C6420000}"/>
    <cellStyle name="RowTitles-Detail 2 2 3 4 2 6" xfId="17076" xr:uid="{00000000-0005-0000-0000-0000C7420000}"/>
    <cellStyle name="RowTitles-Detail 2 2 3 4 2_Tertiary Salaries Survey" xfId="17077" xr:uid="{00000000-0005-0000-0000-0000C8420000}"/>
    <cellStyle name="RowTitles-Detail 2 2 3 4 3" xfId="17078" xr:uid="{00000000-0005-0000-0000-0000C9420000}"/>
    <cellStyle name="RowTitles-Detail 2 2 3 4 3 2" xfId="17079" xr:uid="{00000000-0005-0000-0000-0000CA420000}"/>
    <cellStyle name="RowTitles-Detail 2 2 3 4 3 2 2" xfId="17080" xr:uid="{00000000-0005-0000-0000-0000CB420000}"/>
    <cellStyle name="RowTitles-Detail 2 2 3 4 3 2 2 2" xfId="17081" xr:uid="{00000000-0005-0000-0000-0000CC420000}"/>
    <cellStyle name="RowTitles-Detail 2 2 3 4 3 2 2_Tertiary Salaries Survey" xfId="17082" xr:uid="{00000000-0005-0000-0000-0000CD420000}"/>
    <cellStyle name="RowTitles-Detail 2 2 3 4 3 2 3" xfId="17083" xr:uid="{00000000-0005-0000-0000-0000CE420000}"/>
    <cellStyle name="RowTitles-Detail 2 2 3 4 3 2_Tertiary Salaries Survey" xfId="17084" xr:uid="{00000000-0005-0000-0000-0000CF420000}"/>
    <cellStyle name="RowTitles-Detail 2 2 3 4 3 3" xfId="17085" xr:uid="{00000000-0005-0000-0000-0000D0420000}"/>
    <cellStyle name="RowTitles-Detail 2 2 3 4 3 3 2" xfId="17086" xr:uid="{00000000-0005-0000-0000-0000D1420000}"/>
    <cellStyle name="RowTitles-Detail 2 2 3 4 3 3 2 2" xfId="17087" xr:uid="{00000000-0005-0000-0000-0000D2420000}"/>
    <cellStyle name="RowTitles-Detail 2 2 3 4 3 3 2_Tertiary Salaries Survey" xfId="17088" xr:uid="{00000000-0005-0000-0000-0000D3420000}"/>
    <cellStyle name="RowTitles-Detail 2 2 3 4 3 3 3" xfId="17089" xr:uid="{00000000-0005-0000-0000-0000D4420000}"/>
    <cellStyle name="RowTitles-Detail 2 2 3 4 3 3_Tertiary Salaries Survey" xfId="17090" xr:uid="{00000000-0005-0000-0000-0000D5420000}"/>
    <cellStyle name="RowTitles-Detail 2 2 3 4 3 4" xfId="17091" xr:uid="{00000000-0005-0000-0000-0000D6420000}"/>
    <cellStyle name="RowTitles-Detail 2 2 3 4 3 5" xfId="17092" xr:uid="{00000000-0005-0000-0000-0000D7420000}"/>
    <cellStyle name="RowTitles-Detail 2 2 3 4 3_Tertiary Salaries Survey" xfId="17093" xr:uid="{00000000-0005-0000-0000-0000D8420000}"/>
    <cellStyle name="RowTitles-Detail 2 2 3 4 4" xfId="17094" xr:uid="{00000000-0005-0000-0000-0000D9420000}"/>
    <cellStyle name="RowTitles-Detail 2 2 3 4 4 2" xfId="17095" xr:uid="{00000000-0005-0000-0000-0000DA420000}"/>
    <cellStyle name="RowTitles-Detail 2 2 3 4 4 2 2" xfId="17096" xr:uid="{00000000-0005-0000-0000-0000DB420000}"/>
    <cellStyle name="RowTitles-Detail 2 2 3 4 4 2 2 2" xfId="17097" xr:uid="{00000000-0005-0000-0000-0000DC420000}"/>
    <cellStyle name="RowTitles-Detail 2 2 3 4 4 2 2_Tertiary Salaries Survey" xfId="17098" xr:uid="{00000000-0005-0000-0000-0000DD420000}"/>
    <cellStyle name="RowTitles-Detail 2 2 3 4 4 2 3" xfId="17099" xr:uid="{00000000-0005-0000-0000-0000DE420000}"/>
    <cellStyle name="RowTitles-Detail 2 2 3 4 4 2_Tertiary Salaries Survey" xfId="17100" xr:uid="{00000000-0005-0000-0000-0000DF420000}"/>
    <cellStyle name="RowTitles-Detail 2 2 3 4 4 3" xfId="17101" xr:uid="{00000000-0005-0000-0000-0000E0420000}"/>
    <cellStyle name="RowTitles-Detail 2 2 3 4 4 3 2" xfId="17102" xr:uid="{00000000-0005-0000-0000-0000E1420000}"/>
    <cellStyle name="RowTitles-Detail 2 2 3 4 4 3 2 2" xfId="17103" xr:uid="{00000000-0005-0000-0000-0000E2420000}"/>
    <cellStyle name="RowTitles-Detail 2 2 3 4 4 3 2_Tertiary Salaries Survey" xfId="17104" xr:uid="{00000000-0005-0000-0000-0000E3420000}"/>
    <cellStyle name="RowTitles-Detail 2 2 3 4 4 3 3" xfId="17105" xr:uid="{00000000-0005-0000-0000-0000E4420000}"/>
    <cellStyle name="RowTitles-Detail 2 2 3 4 4 3_Tertiary Salaries Survey" xfId="17106" xr:uid="{00000000-0005-0000-0000-0000E5420000}"/>
    <cellStyle name="RowTitles-Detail 2 2 3 4 4 4" xfId="17107" xr:uid="{00000000-0005-0000-0000-0000E6420000}"/>
    <cellStyle name="RowTitles-Detail 2 2 3 4 4 5" xfId="17108" xr:uid="{00000000-0005-0000-0000-0000E7420000}"/>
    <cellStyle name="RowTitles-Detail 2 2 3 4 4 5 2" xfId="17109" xr:uid="{00000000-0005-0000-0000-0000E8420000}"/>
    <cellStyle name="RowTitles-Detail 2 2 3 4 4 5_Tertiary Salaries Survey" xfId="17110" xr:uid="{00000000-0005-0000-0000-0000E9420000}"/>
    <cellStyle name="RowTitles-Detail 2 2 3 4 4 6" xfId="17111" xr:uid="{00000000-0005-0000-0000-0000EA420000}"/>
    <cellStyle name="RowTitles-Detail 2 2 3 4 4_Tertiary Salaries Survey" xfId="17112" xr:uid="{00000000-0005-0000-0000-0000EB420000}"/>
    <cellStyle name="RowTitles-Detail 2 2 3 4 5" xfId="17113" xr:uid="{00000000-0005-0000-0000-0000EC420000}"/>
    <cellStyle name="RowTitles-Detail 2 2 3 4 5 2" xfId="17114" xr:uid="{00000000-0005-0000-0000-0000ED420000}"/>
    <cellStyle name="RowTitles-Detail 2 2 3 4 5 2 2" xfId="17115" xr:uid="{00000000-0005-0000-0000-0000EE420000}"/>
    <cellStyle name="RowTitles-Detail 2 2 3 4 5 2 2 2" xfId="17116" xr:uid="{00000000-0005-0000-0000-0000EF420000}"/>
    <cellStyle name="RowTitles-Detail 2 2 3 4 5 2 2_Tertiary Salaries Survey" xfId="17117" xr:uid="{00000000-0005-0000-0000-0000F0420000}"/>
    <cellStyle name="RowTitles-Detail 2 2 3 4 5 2 3" xfId="17118" xr:uid="{00000000-0005-0000-0000-0000F1420000}"/>
    <cellStyle name="RowTitles-Detail 2 2 3 4 5 2_Tertiary Salaries Survey" xfId="17119" xr:uid="{00000000-0005-0000-0000-0000F2420000}"/>
    <cellStyle name="RowTitles-Detail 2 2 3 4 5 3" xfId="17120" xr:uid="{00000000-0005-0000-0000-0000F3420000}"/>
    <cellStyle name="RowTitles-Detail 2 2 3 4 5 3 2" xfId="17121" xr:uid="{00000000-0005-0000-0000-0000F4420000}"/>
    <cellStyle name="RowTitles-Detail 2 2 3 4 5 3 2 2" xfId="17122" xr:uid="{00000000-0005-0000-0000-0000F5420000}"/>
    <cellStyle name="RowTitles-Detail 2 2 3 4 5 3 2_Tertiary Salaries Survey" xfId="17123" xr:uid="{00000000-0005-0000-0000-0000F6420000}"/>
    <cellStyle name="RowTitles-Detail 2 2 3 4 5 3 3" xfId="17124" xr:uid="{00000000-0005-0000-0000-0000F7420000}"/>
    <cellStyle name="RowTitles-Detail 2 2 3 4 5 3_Tertiary Salaries Survey" xfId="17125" xr:uid="{00000000-0005-0000-0000-0000F8420000}"/>
    <cellStyle name="RowTitles-Detail 2 2 3 4 5 4" xfId="17126" xr:uid="{00000000-0005-0000-0000-0000F9420000}"/>
    <cellStyle name="RowTitles-Detail 2 2 3 4 5 4 2" xfId="17127" xr:uid="{00000000-0005-0000-0000-0000FA420000}"/>
    <cellStyle name="RowTitles-Detail 2 2 3 4 5 4_Tertiary Salaries Survey" xfId="17128" xr:uid="{00000000-0005-0000-0000-0000FB420000}"/>
    <cellStyle name="RowTitles-Detail 2 2 3 4 5 5" xfId="17129" xr:uid="{00000000-0005-0000-0000-0000FC420000}"/>
    <cellStyle name="RowTitles-Detail 2 2 3 4 5_Tertiary Salaries Survey" xfId="17130" xr:uid="{00000000-0005-0000-0000-0000FD420000}"/>
    <cellStyle name="RowTitles-Detail 2 2 3 4 6" xfId="17131" xr:uid="{00000000-0005-0000-0000-0000FE420000}"/>
    <cellStyle name="RowTitles-Detail 2 2 3 4 6 2" xfId="17132" xr:uid="{00000000-0005-0000-0000-0000FF420000}"/>
    <cellStyle name="RowTitles-Detail 2 2 3 4 6 2 2" xfId="17133" xr:uid="{00000000-0005-0000-0000-000000430000}"/>
    <cellStyle name="RowTitles-Detail 2 2 3 4 6 2 2 2" xfId="17134" xr:uid="{00000000-0005-0000-0000-000001430000}"/>
    <cellStyle name="RowTitles-Detail 2 2 3 4 6 2 2_Tertiary Salaries Survey" xfId="17135" xr:uid="{00000000-0005-0000-0000-000002430000}"/>
    <cellStyle name="RowTitles-Detail 2 2 3 4 6 2 3" xfId="17136" xr:uid="{00000000-0005-0000-0000-000003430000}"/>
    <cellStyle name="RowTitles-Detail 2 2 3 4 6 2_Tertiary Salaries Survey" xfId="17137" xr:uid="{00000000-0005-0000-0000-000004430000}"/>
    <cellStyle name="RowTitles-Detail 2 2 3 4 6 3" xfId="17138" xr:uid="{00000000-0005-0000-0000-000005430000}"/>
    <cellStyle name="RowTitles-Detail 2 2 3 4 6 3 2" xfId="17139" xr:uid="{00000000-0005-0000-0000-000006430000}"/>
    <cellStyle name="RowTitles-Detail 2 2 3 4 6 3 2 2" xfId="17140" xr:uid="{00000000-0005-0000-0000-000007430000}"/>
    <cellStyle name="RowTitles-Detail 2 2 3 4 6 3 2_Tertiary Salaries Survey" xfId="17141" xr:uid="{00000000-0005-0000-0000-000008430000}"/>
    <cellStyle name="RowTitles-Detail 2 2 3 4 6 3 3" xfId="17142" xr:uid="{00000000-0005-0000-0000-000009430000}"/>
    <cellStyle name="RowTitles-Detail 2 2 3 4 6 3_Tertiary Salaries Survey" xfId="17143" xr:uid="{00000000-0005-0000-0000-00000A430000}"/>
    <cellStyle name="RowTitles-Detail 2 2 3 4 6 4" xfId="17144" xr:uid="{00000000-0005-0000-0000-00000B430000}"/>
    <cellStyle name="RowTitles-Detail 2 2 3 4 6 4 2" xfId="17145" xr:uid="{00000000-0005-0000-0000-00000C430000}"/>
    <cellStyle name="RowTitles-Detail 2 2 3 4 6 4_Tertiary Salaries Survey" xfId="17146" xr:uid="{00000000-0005-0000-0000-00000D430000}"/>
    <cellStyle name="RowTitles-Detail 2 2 3 4 6 5" xfId="17147" xr:uid="{00000000-0005-0000-0000-00000E430000}"/>
    <cellStyle name="RowTitles-Detail 2 2 3 4 6_Tertiary Salaries Survey" xfId="17148" xr:uid="{00000000-0005-0000-0000-00000F430000}"/>
    <cellStyle name="RowTitles-Detail 2 2 3 4 7" xfId="17149" xr:uid="{00000000-0005-0000-0000-000010430000}"/>
    <cellStyle name="RowTitles-Detail 2 2 3 4 7 2" xfId="17150" xr:uid="{00000000-0005-0000-0000-000011430000}"/>
    <cellStyle name="RowTitles-Detail 2 2 3 4 7 2 2" xfId="17151" xr:uid="{00000000-0005-0000-0000-000012430000}"/>
    <cellStyle name="RowTitles-Detail 2 2 3 4 7 2_Tertiary Salaries Survey" xfId="17152" xr:uid="{00000000-0005-0000-0000-000013430000}"/>
    <cellStyle name="RowTitles-Detail 2 2 3 4 7 3" xfId="17153" xr:uid="{00000000-0005-0000-0000-000014430000}"/>
    <cellStyle name="RowTitles-Detail 2 2 3 4 7_Tertiary Salaries Survey" xfId="17154" xr:uid="{00000000-0005-0000-0000-000015430000}"/>
    <cellStyle name="RowTitles-Detail 2 2 3 4 8" xfId="17155" xr:uid="{00000000-0005-0000-0000-000016430000}"/>
    <cellStyle name="RowTitles-Detail 2 2 3 4 9" xfId="17156" xr:uid="{00000000-0005-0000-0000-000017430000}"/>
    <cellStyle name="RowTitles-Detail 2 2 3 4_STUD aligned by INSTIT" xfId="17157" xr:uid="{00000000-0005-0000-0000-000018430000}"/>
    <cellStyle name="RowTitles-Detail 2 2 3 5" xfId="17158" xr:uid="{00000000-0005-0000-0000-000019430000}"/>
    <cellStyle name="RowTitles-Detail 2 2 3 5 2" xfId="17159" xr:uid="{00000000-0005-0000-0000-00001A430000}"/>
    <cellStyle name="RowTitles-Detail 2 2 3 5 2 2" xfId="17160" xr:uid="{00000000-0005-0000-0000-00001B430000}"/>
    <cellStyle name="RowTitles-Detail 2 2 3 5 2 2 2" xfId="17161" xr:uid="{00000000-0005-0000-0000-00001C430000}"/>
    <cellStyle name="RowTitles-Detail 2 2 3 5 2 2_Tertiary Salaries Survey" xfId="17162" xr:uid="{00000000-0005-0000-0000-00001D430000}"/>
    <cellStyle name="RowTitles-Detail 2 2 3 5 2 3" xfId="17163" xr:uid="{00000000-0005-0000-0000-00001E430000}"/>
    <cellStyle name="RowTitles-Detail 2 2 3 5 2_Tertiary Salaries Survey" xfId="17164" xr:uid="{00000000-0005-0000-0000-00001F430000}"/>
    <cellStyle name="RowTitles-Detail 2 2 3 5 3" xfId="17165" xr:uid="{00000000-0005-0000-0000-000020430000}"/>
    <cellStyle name="RowTitles-Detail 2 2 3 5 3 2" xfId="17166" xr:uid="{00000000-0005-0000-0000-000021430000}"/>
    <cellStyle name="RowTitles-Detail 2 2 3 5 3 2 2" xfId="17167" xr:uid="{00000000-0005-0000-0000-000022430000}"/>
    <cellStyle name="RowTitles-Detail 2 2 3 5 3 2_Tertiary Salaries Survey" xfId="17168" xr:uid="{00000000-0005-0000-0000-000023430000}"/>
    <cellStyle name="RowTitles-Detail 2 2 3 5 3 3" xfId="17169" xr:uid="{00000000-0005-0000-0000-000024430000}"/>
    <cellStyle name="RowTitles-Detail 2 2 3 5 3_Tertiary Salaries Survey" xfId="17170" xr:uid="{00000000-0005-0000-0000-000025430000}"/>
    <cellStyle name="RowTitles-Detail 2 2 3 5 4" xfId="17171" xr:uid="{00000000-0005-0000-0000-000026430000}"/>
    <cellStyle name="RowTitles-Detail 2 2 3 5 5" xfId="17172" xr:uid="{00000000-0005-0000-0000-000027430000}"/>
    <cellStyle name="RowTitles-Detail 2 2 3 5 5 2" xfId="17173" xr:uid="{00000000-0005-0000-0000-000028430000}"/>
    <cellStyle name="RowTitles-Detail 2 2 3 5 5_Tertiary Salaries Survey" xfId="17174" xr:uid="{00000000-0005-0000-0000-000029430000}"/>
    <cellStyle name="RowTitles-Detail 2 2 3 5 6" xfId="17175" xr:uid="{00000000-0005-0000-0000-00002A430000}"/>
    <cellStyle name="RowTitles-Detail 2 2 3 5_Tertiary Salaries Survey" xfId="17176" xr:uid="{00000000-0005-0000-0000-00002B430000}"/>
    <cellStyle name="RowTitles-Detail 2 2 3 6" xfId="17177" xr:uid="{00000000-0005-0000-0000-00002C430000}"/>
    <cellStyle name="RowTitles-Detail 2 2 3 6 2" xfId="17178" xr:uid="{00000000-0005-0000-0000-00002D430000}"/>
    <cellStyle name="RowTitles-Detail 2 2 3 6 2 2" xfId="17179" xr:uid="{00000000-0005-0000-0000-00002E430000}"/>
    <cellStyle name="RowTitles-Detail 2 2 3 6 2 2 2" xfId="17180" xr:uid="{00000000-0005-0000-0000-00002F430000}"/>
    <cellStyle name="RowTitles-Detail 2 2 3 6 2 2_Tertiary Salaries Survey" xfId="17181" xr:uid="{00000000-0005-0000-0000-000030430000}"/>
    <cellStyle name="RowTitles-Detail 2 2 3 6 2 3" xfId="17182" xr:uid="{00000000-0005-0000-0000-000031430000}"/>
    <cellStyle name="RowTitles-Detail 2 2 3 6 2_Tertiary Salaries Survey" xfId="17183" xr:uid="{00000000-0005-0000-0000-000032430000}"/>
    <cellStyle name="RowTitles-Detail 2 2 3 6 3" xfId="17184" xr:uid="{00000000-0005-0000-0000-000033430000}"/>
    <cellStyle name="RowTitles-Detail 2 2 3 6 3 2" xfId="17185" xr:uid="{00000000-0005-0000-0000-000034430000}"/>
    <cellStyle name="RowTitles-Detail 2 2 3 6 3 2 2" xfId="17186" xr:uid="{00000000-0005-0000-0000-000035430000}"/>
    <cellStyle name="RowTitles-Detail 2 2 3 6 3 2_Tertiary Salaries Survey" xfId="17187" xr:uid="{00000000-0005-0000-0000-000036430000}"/>
    <cellStyle name="RowTitles-Detail 2 2 3 6 3 3" xfId="17188" xr:uid="{00000000-0005-0000-0000-000037430000}"/>
    <cellStyle name="RowTitles-Detail 2 2 3 6 3_Tertiary Salaries Survey" xfId="17189" xr:uid="{00000000-0005-0000-0000-000038430000}"/>
    <cellStyle name="RowTitles-Detail 2 2 3 6 4" xfId="17190" xr:uid="{00000000-0005-0000-0000-000039430000}"/>
    <cellStyle name="RowTitles-Detail 2 2 3 6 5" xfId="17191" xr:uid="{00000000-0005-0000-0000-00003A430000}"/>
    <cellStyle name="RowTitles-Detail 2 2 3 6_Tertiary Salaries Survey" xfId="17192" xr:uid="{00000000-0005-0000-0000-00003B430000}"/>
    <cellStyle name="RowTitles-Detail 2 2 3 7" xfId="17193" xr:uid="{00000000-0005-0000-0000-00003C430000}"/>
    <cellStyle name="RowTitles-Detail 2 2 3 7 2" xfId="17194" xr:uid="{00000000-0005-0000-0000-00003D430000}"/>
    <cellStyle name="RowTitles-Detail 2 2 3 7 2 2" xfId="17195" xr:uid="{00000000-0005-0000-0000-00003E430000}"/>
    <cellStyle name="RowTitles-Detail 2 2 3 7 2 2 2" xfId="17196" xr:uid="{00000000-0005-0000-0000-00003F430000}"/>
    <cellStyle name="RowTitles-Detail 2 2 3 7 2 2_Tertiary Salaries Survey" xfId="17197" xr:uid="{00000000-0005-0000-0000-000040430000}"/>
    <cellStyle name="RowTitles-Detail 2 2 3 7 2 3" xfId="17198" xr:uid="{00000000-0005-0000-0000-000041430000}"/>
    <cellStyle name="RowTitles-Detail 2 2 3 7 2_Tertiary Salaries Survey" xfId="17199" xr:uid="{00000000-0005-0000-0000-000042430000}"/>
    <cellStyle name="RowTitles-Detail 2 2 3 7 3" xfId="17200" xr:uid="{00000000-0005-0000-0000-000043430000}"/>
    <cellStyle name="RowTitles-Detail 2 2 3 7 3 2" xfId="17201" xr:uid="{00000000-0005-0000-0000-000044430000}"/>
    <cellStyle name="RowTitles-Detail 2 2 3 7 3 2 2" xfId="17202" xr:uid="{00000000-0005-0000-0000-000045430000}"/>
    <cellStyle name="RowTitles-Detail 2 2 3 7 3 2_Tertiary Salaries Survey" xfId="17203" xr:uid="{00000000-0005-0000-0000-000046430000}"/>
    <cellStyle name="RowTitles-Detail 2 2 3 7 3 3" xfId="17204" xr:uid="{00000000-0005-0000-0000-000047430000}"/>
    <cellStyle name="RowTitles-Detail 2 2 3 7 3_Tertiary Salaries Survey" xfId="17205" xr:uid="{00000000-0005-0000-0000-000048430000}"/>
    <cellStyle name="RowTitles-Detail 2 2 3 7 4" xfId="17206" xr:uid="{00000000-0005-0000-0000-000049430000}"/>
    <cellStyle name="RowTitles-Detail 2 2 3 7 5" xfId="17207" xr:uid="{00000000-0005-0000-0000-00004A430000}"/>
    <cellStyle name="RowTitles-Detail 2 2 3 7 5 2" xfId="17208" xr:uid="{00000000-0005-0000-0000-00004B430000}"/>
    <cellStyle name="RowTitles-Detail 2 2 3 7 5_Tertiary Salaries Survey" xfId="17209" xr:uid="{00000000-0005-0000-0000-00004C430000}"/>
    <cellStyle name="RowTitles-Detail 2 2 3 7 6" xfId="17210" xr:uid="{00000000-0005-0000-0000-00004D430000}"/>
    <cellStyle name="RowTitles-Detail 2 2 3 7_Tertiary Salaries Survey" xfId="17211" xr:uid="{00000000-0005-0000-0000-00004E430000}"/>
    <cellStyle name="RowTitles-Detail 2 2 3 8" xfId="17212" xr:uid="{00000000-0005-0000-0000-00004F430000}"/>
    <cellStyle name="RowTitles-Detail 2 2 3 8 2" xfId="17213" xr:uid="{00000000-0005-0000-0000-000050430000}"/>
    <cellStyle name="RowTitles-Detail 2 2 3 8 2 2" xfId="17214" xr:uid="{00000000-0005-0000-0000-000051430000}"/>
    <cellStyle name="RowTitles-Detail 2 2 3 8 2 2 2" xfId="17215" xr:uid="{00000000-0005-0000-0000-000052430000}"/>
    <cellStyle name="RowTitles-Detail 2 2 3 8 2 2_Tertiary Salaries Survey" xfId="17216" xr:uid="{00000000-0005-0000-0000-000053430000}"/>
    <cellStyle name="RowTitles-Detail 2 2 3 8 2 3" xfId="17217" xr:uid="{00000000-0005-0000-0000-000054430000}"/>
    <cellStyle name="RowTitles-Detail 2 2 3 8 2_Tertiary Salaries Survey" xfId="17218" xr:uid="{00000000-0005-0000-0000-000055430000}"/>
    <cellStyle name="RowTitles-Detail 2 2 3 8 3" xfId="17219" xr:uid="{00000000-0005-0000-0000-000056430000}"/>
    <cellStyle name="RowTitles-Detail 2 2 3 8 3 2" xfId="17220" xr:uid="{00000000-0005-0000-0000-000057430000}"/>
    <cellStyle name="RowTitles-Detail 2 2 3 8 3 2 2" xfId="17221" xr:uid="{00000000-0005-0000-0000-000058430000}"/>
    <cellStyle name="RowTitles-Detail 2 2 3 8 3 2_Tertiary Salaries Survey" xfId="17222" xr:uid="{00000000-0005-0000-0000-000059430000}"/>
    <cellStyle name="RowTitles-Detail 2 2 3 8 3 3" xfId="17223" xr:uid="{00000000-0005-0000-0000-00005A430000}"/>
    <cellStyle name="RowTitles-Detail 2 2 3 8 3_Tertiary Salaries Survey" xfId="17224" xr:uid="{00000000-0005-0000-0000-00005B430000}"/>
    <cellStyle name="RowTitles-Detail 2 2 3 8 4" xfId="17225" xr:uid="{00000000-0005-0000-0000-00005C430000}"/>
    <cellStyle name="RowTitles-Detail 2 2 3 8 4 2" xfId="17226" xr:uid="{00000000-0005-0000-0000-00005D430000}"/>
    <cellStyle name="RowTitles-Detail 2 2 3 8 4_Tertiary Salaries Survey" xfId="17227" xr:uid="{00000000-0005-0000-0000-00005E430000}"/>
    <cellStyle name="RowTitles-Detail 2 2 3 8 5" xfId="17228" xr:uid="{00000000-0005-0000-0000-00005F430000}"/>
    <cellStyle name="RowTitles-Detail 2 2 3 8_Tertiary Salaries Survey" xfId="17229" xr:uid="{00000000-0005-0000-0000-000060430000}"/>
    <cellStyle name="RowTitles-Detail 2 2 3 9" xfId="17230" xr:uid="{00000000-0005-0000-0000-000061430000}"/>
    <cellStyle name="RowTitles-Detail 2 2 3 9 2" xfId="17231" xr:uid="{00000000-0005-0000-0000-000062430000}"/>
    <cellStyle name="RowTitles-Detail 2 2 3 9 2 2" xfId="17232" xr:uid="{00000000-0005-0000-0000-000063430000}"/>
    <cellStyle name="RowTitles-Detail 2 2 3 9 2 2 2" xfId="17233" xr:uid="{00000000-0005-0000-0000-000064430000}"/>
    <cellStyle name="RowTitles-Detail 2 2 3 9 2 2_Tertiary Salaries Survey" xfId="17234" xr:uid="{00000000-0005-0000-0000-000065430000}"/>
    <cellStyle name="RowTitles-Detail 2 2 3 9 2 3" xfId="17235" xr:uid="{00000000-0005-0000-0000-000066430000}"/>
    <cellStyle name="RowTitles-Detail 2 2 3 9 2_Tertiary Salaries Survey" xfId="17236" xr:uid="{00000000-0005-0000-0000-000067430000}"/>
    <cellStyle name="RowTitles-Detail 2 2 3 9 3" xfId="17237" xr:uid="{00000000-0005-0000-0000-000068430000}"/>
    <cellStyle name="RowTitles-Detail 2 2 3 9 3 2" xfId="17238" xr:uid="{00000000-0005-0000-0000-000069430000}"/>
    <cellStyle name="RowTitles-Detail 2 2 3 9 3 2 2" xfId="17239" xr:uid="{00000000-0005-0000-0000-00006A430000}"/>
    <cellStyle name="RowTitles-Detail 2 2 3 9 3 2_Tertiary Salaries Survey" xfId="17240" xr:uid="{00000000-0005-0000-0000-00006B430000}"/>
    <cellStyle name="RowTitles-Detail 2 2 3 9 3 3" xfId="17241" xr:uid="{00000000-0005-0000-0000-00006C430000}"/>
    <cellStyle name="RowTitles-Detail 2 2 3 9 3_Tertiary Salaries Survey" xfId="17242" xr:uid="{00000000-0005-0000-0000-00006D430000}"/>
    <cellStyle name="RowTitles-Detail 2 2 3 9 4" xfId="17243" xr:uid="{00000000-0005-0000-0000-00006E430000}"/>
    <cellStyle name="RowTitles-Detail 2 2 3 9 4 2" xfId="17244" xr:uid="{00000000-0005-0000-0000-00006F430000}"/>
    <cellStyle name="RowTitles-Detail 2 2 3 9 4_Tertiary Salaries Survey" xfId="17245" xr:uid="{00000000-0005-0000-0000-000070430000}"/>
    <cellStyle name="RowTitles-Detail 2 2 3 9 5" xfId="17246" xr:uid="{00000000-0005-0000-0000-000071430000}"/>
    <cellStyle name="RowTitles-Detail 2 2 3 9_Tertiary Salaries Survey" xfId="17247" xr:uid="{00000000-0005-0000-0000-000072430000}"/>
    <cellStyle name="RowTitles-Detail 2 2 3_STUD aligned by INSTIT" xfId="17248" xr:uid="{00000000-0005-0000-0000-000073430000}"/>
    <cellStyle name="RowTitles-Detail 2 2 4" xfId="17249" xr:uid="{00000000-0005-0000-0000-000074430000}"/>
    <cellStyle name="RowTitles-Detail 2 2 4 2" xfId="17250" xr:uid="{00000000-0005-0000-0000-000075430000}"/>
    <cellStyle name="RowTitles-Detail 2 2 4 2 2" xfId="17251" xr:uid="{00000000-0005-0000-0000-000076430000}"/>
    <cellStyle name="RowTitles-Detail 2 2 4 2 2 2" xfId="17252" xr:uid="{00000000-0005-0000-0000-000077430000}"/>
    <cellStyle name="RowTitles-Detail 2 2 4 2 2 2 2" xfId="17253" xr:uid="{00000000-0005-0000-0000-000078430000}"/>
    <cellStyle name="RowTitles-Detail 2 2 4 2 2 2_Tertiary Salaries Survey" xfId="17254" xr:uid="{00000000-0005-0000-0000-000079430000}"/>
    <cellStyle name="RowTitles-Detail 2 2 4 2 2 3" xfId="17255" xr:uid="{00000000-0005-0000-0000-00007A430000}"/>
    <cellStyle name="RowTitles-Detail 2 2 4 2 2_Tertiary Salaries Survey" xfId="17256" xr:uid="{00000000-0005-0000-0000-00007B430000}"/>
    <cellStyle name="RowTitles-Detail 2 2 4 2 3" xfId="17257" xr:uid="{00000000-0005-0000-0000-00007C430000}"/>
    <cellStyle name="RowTitles-Detail 2 2 4 2 3 2" xfId="17258" xr:uid="{00000000-0005-0000-0000-00007D430000}"/>
    <cellStyle name="RowTitles-Detail 2 2 4 2 3 2 2" xfId="17259" xr:uid="{00000000-0005-0000-0000-00007E430000}"/>
    <cellStyle name="RowTitles-Detail 2 2 4 2 3 2_Tertiary Salaries Survey" xfId="17260" xr:uid="{00000000-0005-0000-0000-00007F430000}"/>
    <cellStyle name="RowTitles-Detail 2 2 4 2 3 3" xfId="17261" xr:uid="{00000000-0005-0000-0000-000080430000}"/>
    <cellStyle name="RowTitles-Detail 2 2 4 2 3_Tertiary Salaries Survey" xfId="17262" xr:uid="{00000000-0005-0000-0000-000081430000}"/>
    <cellStyle name="RowTitles-Detail 2 2 4 2 4" xfId="17263" xr:uid="{00000000-0005-0000-0000-000082430000}"/>
    <cellStyle name="RowTitles-Detail 2 2 4 2 5" xfId="17264" xr:uid="{00000000-0005-0000-0000-000083430000}"/>
    <cellStyle name="RowTitles-Detail 2 2 4 2_Tertiary Salaries Survey" xfId="17265" xr:uid="{00000000-0005-0000-0000-000084430000}"/>
    <cellStyle name="RowTitles-Detail 2 2 4 3" xfId="17266" xr:uid="{00000000-0005-0000-0000-000085430000}"/>
    <cellStyle name="RowTitles-Detail 2 2 4 3 2" xfId="17267" xr:uid="{00000000-0005-0000-0000-000086430000}"/>
    <cellStyle name="RowTitles-Detail 2 2 4 3 2 2" xfId="17268" xr:uid="{00000000-0005-0000-0000-000087430000}"/>
    <cellStyle name="RowTitles-Detail 2 2 4 3 2 2 2" xfId="17269" xr:uid="{00000000-0005-0000-0000-000088430000}"/>
    <cellStyle name="RowTitles-Detail 2 2 4 3 2 2_Tertiary Salaries Survey" xfId="17270" xr:uid="{00000000-0005-0000-0000-000089430000}"/>
    <cellStyle name="RowTitles-Detail 2 2 4 3 2 3" xfId="17271" xr:uid="{00000000-0005-0000-0000-00008A430000}"/>
    <cellStyle name="RowTitles-Detail 2 2 4 3 2_Tertiary Salaries Survey" xfId="17272" xr:uid="{00000000-0005-0000-0000-00008B430000}"/>
    <cellStyle name="RowTitles-Detail 2 2 4 3 3" xfId="17273" xr:uid="{00000000-0005-0000-0000-00008C430000}"/>
    <cellStyle name="RowTitles-Detail 2 2 4 3 3 2" xfId="17274" xr:uid="{00000000-0005-0000-0000-00008D430000}"/>
    <cellStyle name="RowTitles-Detail 2 2 4 3 3 2 2" xfId="17275" xr:uid="{00000000-0005-0000-0000-00008E430000}"/>
    <cellStyle name="RowTitles-Detail 2 2 4 3 3 2_Tertiary Salaries Survey" xfId="17276" xr:uid="{00000000-0005-0000-0000-00008F430000}"/>
    <cellStyle name="RowTitles-Detail 2 2 4 3 3 3" xfId="17277" xr:uid="{00000000-0005-0000-0000-000090430000}"/>
    <cellStyle name="RowTitles-Detail 2 2 4 3 3_Tertiary Salaries Survey" xfId="17278" xr:uid="{00000000-0005-0000-0000-000091430000}"/>
    <cellStyle name="RowTitles-Detail 2 2 4 3 4" xfId="17279" xr:uid="{00000000-0005-0000-0000-000092430000}"/>
    <cellStyle name="RowTitles-Detail 2 2 4 3 5" xfId="17280" xr:uid="{00000000-0005-0000-0000-000093430000}"/>
    <cellStyle name="RowTitles-Detail 2 2 4 3 5 2" xfId="17281" xr:uid="{00000000-0005-0000-0000-000094430000}"/>
    <cellStyle name="RowTitles-Detail 2 2 4 3 5_Tertiary Salaries Survey" xfId="17282" xr:uid="{00000000-0005-0000-0000-000095430000}"/>
    <cellStyle name="RowTitles-Detail 2 2 4 3 6" xfId="17283" xr:uid="{00000000-0005-0000-0000-000096430000}"/>
    <cellStyle name="RowTitles-Detail 2 2 4 3_Tertiary Salaries Survey" xfId="17284" xr:uid="{00000000-0005-0000-0000-000097430000}"/>
    <cellStyle name="RowTitles-Detail 2 2 4 4" xfId="17285" xr:uid="{00000000-0005-0000-0000-000098430000}"/>
    <cellStyle name="RowTitles-Detail 2 2 4 4 2" xfId="17286" xr:uid="{00000000-0005-0000-0000-000099430000}"/>
    <cellStyle name="RowTitles-Detail 2 2 4 4 2 2" xfId="17287" xr:uid="{00000000-0005-0000-0000-00009A430000}"/>
    <cellStyle name="RowTitles-Detail 2 2 4 4 2 2 2" xfId="17288" xr:uid="{00000000-0005-0000-0000-00009B430000}"/>
    <cellStyle name="RowTitles-Detail 2 2 4 4 2 2_Tertiary Salaries Survey" xfId="17289" xr:uid="{00000000-0005-0000-0000-00009C430000}"/>
    <cellStyle name="RowTitles-Detail 2 2 4 4 2 3" xfId="17290" xr:uid="{00000000-0005-0000-0000-00009D430000}"/>
    <cellStyle name="RowTitles-Detail 2 2 4 4 2_Tertiary Salaries Survey" xfId="17291" xr:uid="{00000000-0005-0000-0000-00009E430000}"/>
    <cellStyle name="RowTitles-Detail 2 2 4 4 3" xfId="17292" xr:uid="{00000000-0005-0000-0000-00009F430000}"/>
    <cellStyle name="RowTitles-Detail 2 2 4 4 3 2" xfId="17293" xr:uid="{00000000-0005-0000-0000-0000A0430000}"/>
    <cellStyle name="RowTitles-Detail 2 2 4 4 3 2 2" xfId="17294" xr:uid="{00000000-0005-0000-0000-0000A1430000}"/>
    <cellStyle name="RowTitles-Detail 2 2 4 4 3 2_Tertiary Salaries Survey" xfId="17295" xr:uid="{00000000-0005-0000-0000-0000A2430000}"/>
    <cellStyle name="RowTitles-Detail 2 2 4 4 3 3" xfId="17296" xr:uid="{00000000-0005-0000-0000-0000A3430000}"/>
    <cellStyle name="RowTitles-Detail 2 2 4 4 3_Tertiary Salaries Survey" xfId="17297" xr:uid="{00000000-0005-0000-0000-0000A4430000}"/>
    <cellStyle name="RowTitles-Detail 2 2 4 4 4" xfId="17298" xr:uid="{00000000-0005-0000-0000-0000A5430000}"/>
    <cellStyle name="RowTitles-Detail 2 2 4 4 4 2" xfId="17299" xr:uid="{00000000-0005-0000-0000-0000A6430000}"/>
    <cellStyle name="RowTitles-Detail 2 2 4 4 4_Tertiary Salaries Survey" xfId="17300" xr:uid="{00000000-0005-0000-0000-0000A7430000}"/>
    <cellStyle name="RowTitles-Detail 2 2 4 4 5" xfId="17301" xr:uid="{00000000-0005-0000-0000-0000A8430000}"/>
    <cellStyle name="RowTitles-Detail 2 2 4 4_Tertiary Salaries Survey" xfId="17302" xr:uid="{00000000-0005-0000-0000-0000A9430000}"/>
    <cellStyle name="RowTitles-Detail 2 2 4 5" xfId="17303" xr:uid="{00000000-0005-0000-0000-0000AA430000}"/>
    <cellStyle name="RowTitles-Detail 2 2 4 5 2" xfId="17304" xr:uid="{00000000-0005-0000-0000-0000AB430000}"/>
    <cellStyle name="RowTitles-Detail 2 2 4 5 2 2" xfId="17305" xr:uid="{00000000-0005-0000-0000-0000AC430000}"/>
    <cellStyle name="RowTitles-Detail 2 2 4 5 2 2 2" xfId="17306" xr:uid="{00000000-0005-0000-0000-0000AD430000}"/>
    <cellStyle name="RowTitles-Detail 2 2 4 5 2 2_Tertiary Salaries Survey" xfId="17307" xr:uid="{00000000-0005-0000-0000-0000AE430000}"/>
    <cellStyle name="RowTitles-Detail 2 2 4 5 2 3" xfId="17308" xr:uid="{00000000-0005-0000-0000-0000AF430000}"/>
    <cellStyle name="RowTitles-Detail 2 2 4 5 2_Tertiary Salaries Survey" xfId="17309" xr:uid="{00000000-0005-0000-0000-0000B0430000}"/>
    <cellStyle name="RowTitles-Detail 2 2 4 5 3" xfId="17310" xr:uid="{00000000-0005-0000-0000-0000B1430000}"/>
    <cellStyle name="RowTitles-Detail 2 2 4 5 3 2" xfId="17311" xr:uid="{00000000-0005-0000-0000-0000B2430000}"/>
    <cellStyle name="RowTitles-Detail 2 2 4 5 3 2 2" xfId="17312" xr:uid="{00000000-0005-0000-0000-0000B3430000}"/>
    <cellStyle name="RowTitles-Detail 2 2 4 5 3 2_Tertiary Salaries Survey" xfId="17313" xr:uid="{00000000-0005-0000-0000-0000B4430000}"/>
    <cellStyle name="RowTitles-Detail 2 2 4 5 3 3" xfId="17314" xr:uid="{00000000-0005-0000-0000-0000B5430000}"/>
    <cellStyle name="RowTitles-Detail 2 2 4 5 3_Tertiary Salaries Survey" xfId="17315" xr:uid="{00000000-0005-0000-0000-0000B6430000}"/>
    <cellStyle name="RowTitles-Detail 2 2 4 5 4" xfId="17316" xr:uid="{00000000-0005-0000-0000-0000B7430000}"/>
    <cellStyle name="RowTitles-Detail 2 2 4 5 4 2" xfId="17317" xr:uid="{00000000-0005-0000-0000-0000B8430000}"/>
    <cellStyle name="RowTitles-Detail 2 2 4 5 4_Tertiary Salaries Survey" xfId="17318" xr:uid="{00000000-0005-0000-0000-0000B9430000}"/>
    <cellStyle name="RowTitles-Detail 2 2 4 5 5" xfId="17319" xr:uid="{00000000-0005-0000-0000-0000BA430000}"/>
    <cellStyle name="RowTitles-Detail 2 2 4 5_Tertiary Salaries Survey" xfId="17320" xr:uid="{00000000-0005-0000-0000-0000BB430000}"/>
    <cellStyle name="RowTitles-Detail 2 2 4 6" xfId="17321" xr:uid="{00000000-0005-0000-0000-0000BC430000}"/>
    <cellStyle name="RowTitles-Detail 2 2 4 6 2" xfId="17322" xr:uid="{00000000-0005-0000-0000-0000BD430000}"/>
    <cellStyle name="RowTitles-Detail 2 2 4 6 2 2" xfId="17323" xr:uid="{00000000-0005-0000-0000-0000BE430000}"/>
    <cellStyle name="RowTitles-Detail 2 2 4 6 2 2 2" xfId="17324" xr:uid="{00000000-0005-0000-0000-0000BF430000}"/>
    <cellStyle name="RowTitles-Detail 2 2 4 6 2 2_Tertiary Salaries Survey" xfId="17325" xr:uid="{00000000-0005-0000-0000-0000C0430000}"/>
    <cellStyle name="RowTitles-Detail 2 2 4 6 2 3" xfId="17326" xr:uid="{00000000-0005-0000-0000-0000C1430000}"/>
    <cellStyle name="RowTitles-Detail 2 2 4 6 2_Tertiary Salaries Survey" xfId="17327" xr:uid="{00000000-0005-0000-0000-0000C2430000}"/>
    <cellStyle name="RowTitles-Detail 2 2 4 6 3" xfId="17328" xr:uid="{00000000-0005-0000-0000-0000C3430000}"/>
    <cellStyle name="RowTitles-Detail 2 2 4 6 3 2" xfId="17329" xr:uid="{00000000-0005-0000-0000-0000C4430000}"/>
    <cellStyle name="RowTitles-Detail 2 2 4 6 3 2 2" xfId="17330" xr:uid="{00000000-0005-0000-0000-0000C5430000}"/>
    <cellStyle name="RowTitles-Detail 2 2 4 6 3 2_Tertiary Salaries Survey" xfId="17331" xr:uid="{00000000-0005-0000-0000-0000C6430000}"/>
    <cellStyle name="RowTitles-Detail 2 2 4 6 3 3" xfId="17332" xr:uid="{00000000-0005-0000-0000-0000C7430000}"/>
    <cellStyle name="RowTitles-Detail 2 2 4 6 3_Tertiary Salaries Survey" xfId="17333" xr:uid="{00000000-0005-0000-0000-0000C8430000}"/>
    <cellStyle name="RowTitles-Detail 2 2 4 6 4" xfId="17334" xr:uid="{00000000-0005-0000-0000-0000C9430000}"/>
    <cellStyle name="RowTitles-Detail 2 2 4 6 4 2" xfId="17335" xr:uid="{00000000-0005-0000-0000-0000CA430000}"/>
    <cellStyle name="RowTitles-Detail 2 2 4 6 4_Tertiary Salaries Survey" xfId="17336" xr:uid="{00000000-0005-0000-0000-0000CB430000}"/>
    <cellStyle name="RowTitles-Detail 2 2 4 6 5" xfId="17337" xr:uid="{00000000-0005-0000-0000-0000CC430000}"/>
    <cellStyle name="RowTitles-Detail 2 2 4 6_Tertiary Salaries Survey" xfId="17338" xr:uid="{00000000-0005-0000-0000-0000CD430000}"/>
    <cellStyle name="RowTitles-Detail 2 2 4 7" xfId="17339" xr:uid="{00000000-0005-0000-0000-0000CE430000}"/>
    <cellStyle name="RowTitles-Detail 2 2 4 7 2" xfId="17340" xr:uid="{00000000-0005-0000-0000-0000CF430000}"/>
    <cellStyle name="RowTitles-Detail 2 2 4 7 2 2" xfId="17341" xr:uid="{00000000-0005-0000-0000-0000D0430000}"/>
    <cellStyle name="RowTitles-Detail 2 2 4 7 2_Tertiary Salaries Survey" xfId="17342" xr:uid="{00000000-0005-0000-0000-0000D1430000}"/>
    <cellStyle name="RowTitles-Detail 2 2 4 7 3" xfId="17343" xr:uid="{00000000-0005-0000-0000-0000D2430000}"/>
    <cellStyle name="RowTitles-Detail 2 2 4 7_Tertiary Salaries Survey" xfId="17344" xr:uid="{00000000-0005-0000-0000-0000D3430000}"/>
    <cellStyle name="RowTitles-Detail 2 2 4 8" xfId="17345" xr:uid="{00000000-0005-0000-0000-0000D4430000}"/>
    <cellStyle name="RowTitles-Detail 2 2 4 9" xfId="17346" xr:uid="{00000000-0005-0000-0000-0000D5430000}"/>
    <cellStyle name="RowTitles-Detail 2 2 4_STUD aligned by INSTIT" xfId="17347" xr:uid="{00000000-0005-0000-0000-0000D6430000}"/>
    <cellStyle name="RowTitles-Detail 2 2 5" xfId="17348" xr:uid="{00000000-0005-0000-0000-0000D7430000}"/>
    <cellStyle name="RowTitles-Detail 2 2 5 2" xfId="17349" xr:uid="{00000000-0005-0000-0000-0000D8430000}"/>
    <cellStyle name="RowTitles-Detail 2 2 5 2 2" xfId="17350" xr:uid="{00000000-0005-0000-0000-0000D9430000}"/>
    <cellStyle name="RowTitles-Detail 2 2 5 2 2 2" xfId="17351" xr:uid="{00000000-0005-0000-0000-0000DA430000}"/>
    <cellStyle name="RowTitles-Detail 2 2 5 2 2 2 2" xfId="17352" xr:uid="{00000000-0005-0000-0000-0000DB430000}"/>
    <cellStyle name="RowTitles-Detail 2 2 5 2 2 2_Tertiary Salaries Survey" xfId="17353" xr:uid="{00000000-0005-0000-0000-0000DC430000}"/>
    <cellStyle name="RowTitles-Detail 2 2 5 2 2 3" xfId="17354" xr:uid="{00000000-0005-0000-0000-0000DD430000}"/>
    <cellStyle name="RowTitles-Detail 2 2 5 2 2_Tertiary Salaries Survey" xfId="17355" xr:uid="{00000000-0005-0000-0000-0000DE430000}"/>
    <cellStyle name="RowTitles-Detail 2 2 5 2 3" xfId="17356" xr:uid="{00000000-0005-0000-0000-0000DF430000}"/>
    <cellStyle name="RowTitles-Detail 2 2 5 2 3 2" xfId="17357" xr:uid="{00000000-0005-0000-0000-0000E0430000}"/>
    <cellStyle name="RowTitles-Detail 2 2 5 2 3 2 2" xfId="17358" xr:uid="{00000000-0005-0000-0000-0000E1430000}"/>
    <cellStyle name="RowTitles-Detail 2 2 5 2 3 2_Tertiary Salaries Survey" xfId="17359" xr:uid="{00000000-0005-0000-0000-0000E2430000}"/>
    <cellStyle name="RowTitles-Detail 2 2 5 2 3 3" xfId="17360" xr:uid="{00000000-0005-0000-0000-0000E3430000}"/>
    <cellStyle name="RowTitles-Detail 2 2 5 2 3_Tertiary Salaries Survey" xfId="17361" xr:uid="{00000000-0005-0000-0000-0000E4430000}"/>
    <cellStyle name="RowTitles-Detail 2 2 5 2 4" xfId="17362" xr:uid="{00000000-0005-0000-0000-0000E5430000}"/>
    <cellStyle name="RowTitles-Detail 2 2 5 2 5" xfId="17363" xr:uid="{00000000-0005-0000-0000-0000E6430000}"/>
    <cellStyle name="RowTitles-Detail 2 2 5 2 5 2" xfId="17364" xr:uid="{00000000-0005-0000-0000-0000E7430000}"/>
    <cellStyle name="RowTitles-Detail 2 2 5 2 5_Tertiary Salaries Survey" xfId="17365" xr:uid="{00000000-0005-0000-0000-0000E8430000}"/>
    <cellStyle name="RowTitles-Detail 2 2 5 2 6" xfId="17366" xr:uid="{00000000-0005-0000-0000-0000E9430000}"/>
    <cellStyle name="RowTitles-Detail 2 2 5 2_Tertiary Salaries Survey" xfId="17367" xr:uid="{00000000-0005-0000-0000-0000EA430000}"/>
    <cellStyle name="RowTitles-Detail 2 2 5 3" xfId="17368" xr:uid="{00000000-0005-0000-0000-0000EB430000}"/>
    <cellStyle name="RowTitles-Detail 2 2 5 3 2" xfId="17369" xr:uid="{00000000-0005-0000-0000-0000EC430000}"/>
    <cellStyle name="RowTitles-Detail 2 2 5 3 2 2" xfId="17370" xr:uid="{00000000-0005-0000-0000-0000ED430000}"/>
    <cellStyle name="RowTitles-Detail 2 2 5 3 2 2 2" xfId="17371" xr:uid="{00000000-0005-0000-0000-0000EE430000}"/>
    <cellStyle name="RowTitles-Detail 2 2 5 3 2 2_Tertiary Salaries Survey" xfId="17372" xr:uid="{00000000-0005-0000-0000-0000EF430000}"/>
    <cellStyle name="RowTitles-Detail 2 2 5 3 2 3" xfId="17373" xr:uid="{00000000-0005-0000-0000-0000F0430000}"/>
    <cellStyle name="RowTitles-Detail 2 2 5 3 2_Tertiary Salaries Survey" xfId="17374" xr:uid="{00000000-0005-0000-0000-0000F1430000}"/>
    <cellStyle name="RowTitles-Detail 2 2 5 3 3" xfId="17375" xr:uid="{00000000-0005-0000-0000-0000F2430000}"/>
    <cellStyle name="RowTitles-Detail 2 2 5 3 3 2" xfId="17376" xr:uid="{00000000-0005-0000-0000-0000F3430000}"/>
    <cellStyle name="RowTitles-Detail 2 2 5 3 3 2 2" xfId="17377" xr:uid="{00000000-0005-0000-0000-0000F4430000}"/>
    <cellStyle name="RowTitles-Detail 2 2 5 3 3 2_Tertiary Salaries Survey" xfId="17378" xr:uid="{00000000-0005-0000-0000-0000F5430000}"/>
    <cellStyle name="RowTitles-Detail 2 2 5 3 3 3" xfId="17379" xr:uid="{00000000-0005-0000-0000-0000F6430000}"/>
    <cellStyle name="RowTitles-Detail 2 2 5 3 3_Tertiary Salaries Survey" xfId="17380" xr:uid="{00000000-0005-0000-0000-0000F7430000}"/>
    <cellStyle name="RowTitles-Detail 2 2 5 3 4" xfId="17381" xr:uid="{00000000-0005-0000-0000-0000F8430000}"/>
    <cellStyle name="RowTitles-Detail 2 2 5 3 5" xfId="17382" xr:uid="{00000000-0005-0000-0000-0000F9430000}"/>
    <cellStyle name="RowTitles-Detail 2 2 5 3_Tertiary Salaries Survey" xfId="17383" xr:uid="{00000000-0005-0000-0000-0000FA430000}"/>
    <cellStyle name="RowTitles-Detail 2 2 5 4" xfId="17384" xr:uid="{00000000-0005-0000-0000-0000FB430000}"/>
    <cellStyle name="RowTitles-Detail 2 2 5 4 2" xfId="17385" xr:uid="{00000000-0005-0000-0000-0000FC430000}"/>
    <cellStyle name="RowTitles-Detail 2 2 5 4 2 2" xfId="17386" xr:uid="{00000000-0005-0000-0000-0000FD430000}"/>
    <cellStyle name="RowTitles-Detail 2 2 5 4 2 2 2" xfId="17387" xr:uid="{00000000-0005-0000-0000-0000FE430000}"/>
    <cellStyle name="RowTitles-Detail 2 2 5 4 2 2_Tertiary Salaries Survey" xfId="17388" xr:uid="{00000000-0005-0000-0000-0000FF430000}"/>
    <cellStyle name="RowTitles-Detail 2 2 5 4 2 3" xfId="17389" xr:uid="{00000000-0005-0000-0000-000000440000}"/>
    <cellStyle name="RowTitles-Detail 2 2 5 4 2_Tertiary Salaries Survey" xfId="17390" xr:uid="{00000000-0005-0000-0000-000001440000}"/>
    <cellStyle name="RowTitles-Detail 2 2 5 4 3" xfId="17391" xr:uid="{00000000-0005-0000-0000-000002440000}"/>
    <cellStyle name="RowTitles-Detail 2 2 5 4 3 2" xfId="17392" xr:uid="{00000000-0005-0000-0000-000003440000}"/>
    <cellStyle name="RowTitles-Detail 2 2 5 4 3 2 2" xfId="17393" xr:uid="{00000000-0005-0000-0000-000004440000}"/>
    <cellStyle name="RowTitles-Detail 2 2 5 4 3 2_Tertiary Salaries Survey" xfId="17394" xr:uid="{00000000-0005-0000-0000-000005440000}"/>
    <cellStyle name="RowTitles-Detail 2 2 5 4 3 3" xfId="17395" xr:uid="{00000000-0005-0000-0000-000006440000}"/>
    <cellStyle name="RowTitles-Detail 2 2 5 4 3_Tertiary Salaries Survey" xfId="17396" xr:uid="{00000000-0005-0000-0000-000007440000}"/>
    <cellStyle name="RowTitles-Detail 2 2 5 4 4" xfId="17397" xr:uid="{00000000-0005-0000-0000-000008440000}"/>
    <cellStyle name="RowTitles-Detail 2 2 5 4 4 2" xfId="17398" xr:uid="{00000000-0005-0000-0000-000009440000}"/>
    <cellStyle name="RowTitles-Detail 2 2 5 4 4_Tertiary Salaries Survey" xfId="17399" xr:uid="{00000000-0005-0000-0000-00000A440000}"/>
    <cellStyle name="RowTitles-Detail 2 2 5 4 5" xfId="17400" xr:uid="{00000000-0005-0000-0000-00000B440000}"/>
    <cellStyle name="RowTitles-Detail 2 2 5 4_Tertiary Salaries Survey" xfId="17401" xr:uid="{00000000-0005-0000-0000-00000C440000}"/>
    <cellStyle name="RowTitles-Detail 2 2 5 5" xfId="17402" xr:uid="{00000000-0005-0000-0000-00000D440000}"/>
    <cellStyle name="RowTitles-Detail 2 2 5 5 2" xfId="17403" xr:uid="{00000000-0005-0000-0000-00000E440000}"/>
    <cellStyle name="RowTitles-Detail 2 2 5 5 2 2" xfId="17404" xr:uid="{00000000-0005-0000-0000-00000F440000}"/>
    <cellStyle name="RowTitles-Detail 2 2 5 5 2 2 2" xfId="17405" xr:uid="{00000000-0005-0000-0000-000010440000}"/>
    <cellStyle name="RowTitles-Detail 2 2 5 5 2 2_Tertiary Salaries Survey" xfId="17406" xr:uid="{00000000-0005-0000-0000-000011440000}"/>
    <cellStyle name="RowTitles-Detail 2 2 5 5 2 3" xfId="17407" xr:uid="{00000000-0005-0000-0000-000012440000}"/>
    <cellStyle name="RowTitles-Detail 2 2 5 5 2_Tertiary Salaries Survey" xfId="17408" xr:uid="{00000000-0005-0000-0000-000013440000}"/>
    <cellStyle name="RowTitles-Detail 2 2 5 5 3" xfId="17409" xr:uid="{00000000-0005-0000-0000-000014440000}"/>
    <cellStyle name="RowTitles-Detail 2 2 5 5 3 2" xfId="17410" xr:uid="{00000000-0005-0000-0000-000015440000}"/>
    <cellStyle name="RowTitles-Detail 2 2 5 5 3 2 2" xfId="17411" xr:uid="{00000000-0005-0000-0000-000016440000}"/>
    <cellStyle name="RowTitles-Detail 2 2 5 5 3 2_Tertiary Salaries Survey" xfId="17412" xr:uid="{00000000-0005-0000-0000-000017440000}"/>
    <cellStyle name="RowTitles-Detail 2 2 5 5 3 3" xfId="17413" xr:uid="{00000000-0005-0000-0000-000018440000}"/>
    <cellStyle name="RowTitles-Detail 2 2 5 5 3_Tertiary Salaries Survey" xfId="17414" xr:uid="{00000000-0005-0000-0000-000019440000}"/>
    <cellStyle name="RowTitles-Detail 2 2 5 5 4" xfId="17415" xr:uid="{00000000-0005-0000-0000-00001A440000}"/>
    <cellStyle name="RowTitles-Detail 2 2 5 5 4 2" xfId="17416" xr:uid="{00000000-0005-0000-0000-00001B440000}"/>
    <cellStyle name="RowTitles-Detail 2 2 5 5 4_Tertiary Salaries Survey" xfId="17417" xr:uid="{00000000-0005-0000-0000-00001C440000}"/>
    <cellStyle name="RowTitles-Detail 2 2 5 5 5" xfId="17418" xr:uid="{00000000-0005-0000-0000-00001D440000}"/>
    <cellStyle name="RowTitles-Detail 2 2 5 5_Tertiary Salaries Survey" xfId="17419" xr:uid="{00000000-0005-0000-0000-00001E440000}"/>
    <cellStyle name="RowTitles-Detail 2 2 5 6" xfId="17420" xr:uid="{00000000-0005-0000-0000-00001F440000}"/>
    <cellStyle name="RowTitles-Detail 2 2 5 6 2" xfId="17421" xr:uid="{00000000-0005-0000-0000-000020440000}"/>
    <cellStyle name="RowTitles-Detail 2 2 5 6 2 2" xfId="17422" xr:uid="{00000000-0005-0000-0000-000021440000}"/>
    <cellStyle name="RowTitles-Detail 2 2 5 6 2 2 2" xfId="17423" xr:uid="{00000000-0005-0000-0000-000022440000}"/>
    <cellStyle name="RowTitles-Detail 2 2 5 6 2 2_Tertiary Salaries Survey" xfId="17424" xr:uid="{00000000-0005-0000-0000-000023440000}"/>
    <cellStyle name="RowTitles-Detail 2 2 5 6 2 3" xfId="17425" xr:uid="{00000000-0005-0000-0000-000024440000}"/>
    <cellStyle name="RowTitles-Detail 2 2 5 6 2_Tertiary Salaries Survey" xfId="17426" xr:uid="{00000000-0005-0000-0000-000025440000}"/>
    <cellStyle name="RowTitles-Detail 2 2 5 6 3" xfId="17427" xr:uid="{00000000-0005-0000-0000-000026440000}"/>
    <cellStyle name="RowTitles-Detail 2 2 5 6 3 2" xfId="17428" xr:uid="{00000000-0005-0000-0000-000027440000}"/>
    <cellStyle name="RowTitles-Detail 2 2 5 6 3 2 2" xfId="17429" xr:uid="{00000000-0005-0000-0000-000028440000}"/>
    <cellStyle name="RowTitles-Detail 2 2 5 6 3 2_Tertiary Salaries Survey" xfId="17430" xr:uid="{00000000-0005-0000-0000-000029440000}"/>
    <cellStyle name="RowTitles-Detail 2 2 5 6 3 3" xfId="17431" xr:uid="{00000000-0005-0000-0000-00002A440000}"/>
    <cellStyle name="RowTitles-Detail 2 2 5 6 3_Tertiary Salaries Survey" xfId="17432" xr:uid="{00000000-0005-0000-0000-00002B440000}"/>
    <cellStyle name="RowTitles-Detail 2 2 5 6 4" xfId="17433" xr:uid="{00000000-0005-0000-0000-00002C440000}"/>
    <cellStyle name="RowTitles-Detail 2 2 5 6 4 2" xfId="17434" xr:uid="{00000000-0005-0000-0000-00002D440000}"/>
    <cellStyle name="RowTitles-Detail 2 2 5 6 4_Tertiary Salaries Survey" xfId="17435" xr:uid="{00000000-0005-0000-0000-00002E440000}"/>
    <cellStyle name="RowTitles-Detail 2 2 5 6 5" xfId="17436" xr:uid="{00000000-0005-0000-0000-00002F440000}"/>
    <cellStyle name="RowTitles-Detail 2 2 5 6_Tertiary Salaries Survey" xfId="17437" xr:uid="{00000000-0005-0000-0000-000030440000}"/>
    <cellStyle name="RowTitles-Detail 2 2 5 7" xfId="17438" xr:uid="{00000000-0005-0000-0000-000031440000}"/>
    <cellStyle name="RowTitles-Detail 2 2 5 7 2" xfId="17439" xr:uid="{00000000-0005-0000-0000-000032440000}"/>
    <cellStyle name="RowTitles-Detail 2 2 5 7 2 2" xfId="17440" xr:uid="{00000000-0005-0000-0000-000033440000}"/>
    <cellStyle name="RowTitles-Detail 2 2 5 7 2_Tertiary Salaries Survey" xfId="17441" xr:uid="{00000000-0005-0000-0000-000034440000}"/>
    <cellStyle name="RowTitles-Detail 2 2 5 7 3" xfId="17442" xr:uid="{00000000-0005-0000-0000-000035440000}"/>
    <cellStyle name="RowTitles-Detail 2 2 5 7_Tertiary Salaries Survey" xfId="17443" xr:uid="{00000000-0005-0000-0000-000036440000}"/>
    <cellStyle name="RowTitles-Detail 2 2 5 8" xfId="17444" xr:uid="{00000000-0005-0000-0000-000037440000}"/>
    <cellStyle name="RowTitles-Detail 2 2 5 8 2" xfId="17445" xr:uid="{00000000-0005-0000-0000-000038440000}"/>
    <cellStyle name="RowTitles-Detail 2 2 5 8 2 2" xfId="17446" xr:uid="{00000000-0005-0000-0000-000039440000}"/>
    <cellStyle name="RowTitles-Detail 2 2 5 8 2_Tertiary Salaries Survey" xfId="17447" xr:uid="{00000000-0005-0000-0000-00003A440000}"/>
    <cellStyle name="RowTitles-Detail 2 2 5 8 3" xfId="17448" xr:uid="{00000000-0005-0000-0000-00003B440000}"/>
    <cellStyle name="RowTitles-Detail 2 2 5 8_Tertiary Salaries Survey" xfId="17449" xr:uid="{00000000-0005-0000-0000-00003C440000}"/>
    <cellStyle name="RowTitles-Detail 2 2 5 9" xfId="17450" xr:uid="{00000000-0005-0000-0000-00003D440000}"/>
    <cellStyle name="RowTitles-Detail 2 2 5_STUD aligned by INSTIT" xfId="17451" xr:uid="{00000000-0005-0000-0000-00003E440000}"/>
    <cellStyle name="RowTitles-Detail 2 2 6" xfId="17452" xr:uid="{00000000-0005-0000-0000-00003F440000}"/>
    <cellStyle name="RowTitles-Detail 2 2 6 2" xfId="17453" xr:uid="{00000000-0005-0000-0000-000040440000}"/>
    <cellStyle name="RowTitles-Detail 2 2 6 2 2" xfId="17454" xr:uid="{00000000-0005-0000-0000-000041440000}"/>
    <cellStyle name="RowTitles-Detail 2 2 6 2 2 2" xfId="17455" xr:uid="{00000000-0005-0000-0000-000042440000}"/>
    <cellStyle name="RowTitles-Detail 2 2 6 2 2 2 2" xfId="17456" xr:uid="{00000000-0005-0000-0000-000043440000}"/>
    <cellStyle name="RowTitles-Detail 2 2 6 2 2 2_Tertiary Salaries Survey" xfId="17457" xr:uid="{00000000-0005-0000-0000-000044440000}"/>
    <cellStyle name="RowTitles-Detail 2 2 6 2 2 3" xfId="17458" xr:uid="{00000000-0005-0000-0000-000045440000}"/>
    <cellStyle name="RowTitles-Detail 2 2 6 2 2_Tertiary Salaries Survey" xfId="17459" xr:uid="{00000000-0005-0000-0000-000046440000}"/>
    <cellStyle name="RowTitles-Detail 2 2 6 2 3" xfId="17460" xr:uid="{00000000-0005-0000-0000-000047440000}"/>
    <cellStyle name="RowTitles-Detail 2 2 6 2 3 2" xfId="17461" xr:uid="{00000000-0005-0000-0000-000048440000}"/>
    <cellStyle name="RowTitles-Detail 2 2 6 2 3 2 2" xfId="17462" xr:uid="{00000000-0005-0000-0000-000049440000}"/>
    <cellStyle name="RowTitles-Detail 2 2 6 2 3 2_Tertiary Salaries Survey" xfId="17463" xr:uid="{00000000-0005-0000-0000-00004A440000}"/>
    <cellStyle name="RowTitles-Detail 2 2 6 2 3 3" xfId="17464" xr:uid="{00000000-0005-0000-0000-00004B440000}"/>
    <cellStyle name="RowTitles-Detail 2 2 6 2 3_Tertiary Salaries Survey" xfId="17465" xr:uid="{00000000-0005-0000-0000-00004C440000}"/>
    <cellStyle name="RowTitles-Detail 2 2 6 2 4" xfId="17466" xr:uid="{00000000-0005-0000-0000-00004D440000}"/>
    <cellStyle name="RowTitles-Detail 2 2 6 2 5" xfId="17467" xr:uid="{00000000-0005-0000-0000-00004E440000}"/>
    <cellStyle name="RowTitles-Detail 2 2 6 2 5 2" xfId="17468" xr:uid="{00000000-0005-0000-0000-00004F440000}"/>
    <cellStyle name="RowTitles-Detail 2 2 6 2 5_Tertiary Salaries Survey" xfId="17469" xr:uid="{00000000-0005-0000-0000-000050440000}"/>
    <cellStyle name="RowTitles-Detail 2 2 6 2 6" xfId="17470" xr:uid="{00000000-0005-0000-0000-000051440000}"/>
    <cellStyle name="RowTitles-Detail 2 2 6 2_Tertiary Salaries Survey" xfId="17471" xr:uid="{00000000-0005-0000-0000-000052440000}"/>
    <cellStyle name="RowTitles-Detail 2 2 6 3" xfId="17472" xr:uid="{00000000-0005-0000-0000-000053440000}"/>
    <cellStyle name="RowTitles-Detail 2 2 6 3 2" xfId="17473" xr:uid="{00000000-0005-0000-0000-000054440000}"/>
    <cellStyle name="RowTitles-Detail 2 2 6 3 2 2" xfId="17474" xr:uid="{00000000-0005-0000-0000-000055440000}"/>
    <cellStyle name="RowTitles-Detail 2 2 6 3 2 2 2" xfId="17475" xr:uid="{00000000-0005-0000-0000-000056440000}"/>
    <cellStyle name="RowTitles-Detail 2 2 6 3 2 2_Tertiary Salaries Survey" xfId="17476" xr:uid="{00000000-0005-0000-0000-000057440000}"/>
    <cellStyle name="RowTitles-Detail 2 2 6 3 2 3" xfId="17477" xr:uid="{00000000-0005-0000-0000-000058440000}"/>
    <cellStyle name="RowTitles-Detail 2 2 6 3 2_Tertiary Salaries Survey" xfId="17478" xr:uid="{00000000-0005-0000-0000-000059440000}"/>
    <cellStyle name="RowTitles-Detail 2 2 6 3 3" xfId="17479" xr:uid="{00000000-0005-0000-0000-00005A440000}"/>
    <cellStyle name="RowTitles-Detail 2 2 6 3 3 2" xfId="17480" xr:uid="{00000000-0005-0000-0000-00005B440000}"/>
    <cellStyle name="RowTitles-Detail 2 2 6 3 3 2 2" xfId="17481" xr:uid="{00000000-0005-0000-0000-00005C440000}"/>
    <cellStyle name="RowTitles-Detail 2 2 6 3 3 2_Tertiary Salaries Survey" xfId="17482" xr:uid="{00000000-0005-0000-0000-00005D440000}"/>
    <cellStyle name="RowTitles-Detail 2 2 6 3 3 3" xfId="17483" xr:uid="{00000000-0005-0000-0000-00005E440000}"/>
    <cellStyle name="RowTitles-Detail 2 2 6 3 3_Tertiary Salaries Survey" xfId="17484" xr:uid="{00000000-0005-0000-0000-00005F440000}"/>
    <cellStyle name="RowTitles-Detail 2 2 6 3 4" xfId="17485" xr:uid="{00000000-0005-0000-0000-000060440000}"/>
    <cellStyle name="RowTitles-Detail 2 2 6 3 5" xfId="17486" xr:uid="{00000000-0005-0000-0000-000061440000}"/>
    <cellStyle name="RowTitles-Detail 2 2 6 3_Tertiary Salaries Survey" xfId="17487" xr:uid="{00000000-0005-0000-0000-000062440000}"/>
    <cellStyle name="RowTitles-Detail 2 2 6 4" xfId="17488" xr:uid="{00000000-0005-0000-0000-000063440000}"/>
    <cellStyle name="RowTitles-Detail 2 2 6 4 2" xfId="17489" xr:uid="{00000000-0005-0000-0000-000064440000}"/>
    <cellStyle name="RowTitles-Detail 2 2 6 4 2 2" xfId="17490" xr:uid="{00000000-0005-0000-0000-000065440000}"/>
    <cellStyle name="RowTitles-Detail 2 2 6 4 2 2 2" xfId="17491" xr:uid="{00000000-0005-0000-0000-000066440000}"/>
    <cellStyle name="RowTitles-Detail 2 2 6 4 2 2_Tertiary Salaries Survey" xfId="17492" xr:uid="{00000000-0005-0000-0000-000067440000}"/>
    <cellStyle name="RowTitles-Detail 2 2 6 4 2 3" xfId="17493" xr:uid="{00000000-0005-0000-0000-000068440000}"/>
    <cellStyle name="RowTitles-Detail 2 2 6 4 2_Tertiary Salaries Survey" xfId="17494" xr:uid="{00000000-0005-0000-0000-000069440000}"/>
    <cellStyle name="RowTitles-Detail 2 2 6 4 3" xfId="17495" xr:uid="{00000000-0005-0000-0000-00006A440000}"/>
    <cellStyle name="RowTitles-Detail 2 2 6 4 3 2" xfId="17496" xr:uid="{00000000-0005-0000-0000-00006B440000}"/>
    <cellStyle name="RowTitles-Detail 2 2 6 4 3 2 2" xfId="17497" xr:uid="{00000000-0005-0000-0000-00006C440000}"/>
    <cellStyle name="RowTitles-Detail 2 2 6 4 3 2_Tertiary Salaries Survey" xfId="17498" xr:uid="{00000000-0005-0000-0000-00006D440000}"/>
    <cellStyle name="RowTitles-Detail 2 2 6 4 3 3" xfId="17499" xr:uid="{00000000-0005-0000-0000-00006E440000}"/>
    <cellStyle name="RowTitles-Detail 2 2 6 4 3_Tertiary Salaries Survey" xfId="17500" xr:uid="{00000000-0005-0000-0000-00006F440000}"/>
    <cellStyle name="RowTitles-Detail 2 2 6 4 4" xfId="17501" xr:uid="{00000000-0005-0000-0000-000070440000}"/>
    <cellStyle name="RowTitles-Detail 2 2 6 4 5" xfId="17502" xr:uid="{00000000-0005-0000-0000-000071440000}"/>
    <cellStyle name="RowTitles-Detail 2 2 6 4 5 2" xfId="17503" xr:uid="{00000000-0005-0000-0000-000072440000}"/>
    <cellStyle name="RowTitles-Detail 2 2 6 4 5_Tertiary Salaries Survey" xfId="17504" xr:uid="{00000000-0005-0000-0000-000073440000}"/>
    <cellStyle name="RowTitles-Detail 2 2 6 4 6" xfId="17505" xr:uid="{00000000-0005-0000-0000-000074440000}"/>
    <cellStyle name="RowTitles-Detail 2 2 6 4_Tertiary Salaries Survey" xfId="17506" xr:uid="{00000000-0005-0000-0000-000075440000}"/>
    <cellStyle name="RowTitles-Detail 2 2 6 5" xfId="17507" xr:uid="{00000000-0005-0000-0000-000076440000}"/>
    <cellStyle name="RowTitles-Detail 2 2 6 5 2" xfId="17508" xr:uid="{00000000-0005-0000-0000-000077440000}"/>
    <cellStyle name="RowTitles-Detail 2 2 6 5 2 2" xfId="17509" xr:uid="{00000000-0005-0000-0000-000078440000}"/>
    <cellStyle name="RowTitles-Detail 2 2 6 5 2 2 2" xfId="17510" xr:uid="{00000000-0005-0000-0000-000079440000}"/>
    <cellStyle name="RowTitles-Detail 2 2 6 5 2 2_Tertiary Salaries Survey" xfId="17511" xr:uid="{00000000-0005-0000-0000-00007A440000}"/>
    <cellStyle name="RowTitles-Detail 2 2 6 5 2 3" xfId="17512" xr:uid="{00000000-0005-0000-0000-00007B440000}"/>
    <cellStyle name="RowTitles-Detail 2 2 6 5 2_Tertiary Salaries Survey" xfId="17513" xr:uid="{00000000-0005-0000-0000-00007C440000}"/>
    <cellStyle name="RowTitles-Detail 2 2 6 5 3" xfId="17514" xr:uid="{00000000-0005-0000-0000-00007D440000}"/>
    <cellStyle name="RowTitles-Detail 2 2 6 5 3 2" xfId="17515" xr:uid="{00000000-0005-0000-0000-00007E440000}"/>
    <cellStyle name="RowTitles-Detail 2 2 6 5 3 2 2" xfId="17516" xr:uid="{00000000-0005-0000-0000-00007F440000}"/>
    <cellStyle name="RowTitles-Detail 2 2 6 5 3 2_Tertiary Salaries Survey" xfId="17517" xr:uid="{00000000-0005-0000-0000-000080440000}"/>
    <cellStyle name="RowTitles-Detail 2 2 6 5 3 3" xfId="17518" xr:uid="{00000000-0005-0000-0000-000081440000}"/>
    <cellStyle name="RowTitles-Detail 2 2 6 5 3_Tertiary Salaries Survey" xfId="17519" xr:uid="{00000000-0005-0000-0000-000082440000}"/>
    <cellStyle name="RowTitles-Detail 2 2 6 5 4" xfId="17520" xr:uid="{00000000-0005-0000-0000-000083440000}"/>
    <cellStyle name="RowTitles-Detail 2 2 6 5 4 2" xfId="17521" xr:uid="{00000000-0005-0000-0000-000084440000}"/>
    <cellStyle name="RowTitles-Detail 2 2 6 5 4_Tertiary Salaries Survey" xfId="17522" xr:uid="{00000000-0005-0000-0000-000085440000}"/>
    <cellStyle name="RowTitles-Detail 2 2 6 5 5" xfId="17523" xr:uid="{00000000-0005-0000-0000-000086440000}"/>
    <cellStyle name="RowTitles-Detail 2 2 6 5_Tertiary Salaries Survey" xfId="17524" xr:uid="{00000000-0005-0000-0000-000087440000}"/>
    <cellStyle name="RowTitles-Detail 2 2 6 6" xfId="17525" xr:uid="{00000000-0005-0000-0000-000088440000}"/>
    <cellStyle name="RowTitles-Detail 2 2 6 6 2" xfId="17526" xr:uid="{00000000-0005-0000-0000-000089440000}"/>
    <cellStyle name="RowTitles-Detail 2 2 6 6 2 2" xfId="17527" xr:uid="{00000000-0005-0000-0000-00008A440000}"/>
    <cellStyle name="RowTitles-Detail 2 2 6 6 2 2 2" xfId="17528" xr:uid="{00000000-0005-0000-0000-00008B440000}"/>
    <cellStyle name="RowTitles-Detail 2 2 6 6 2 2_Tertiary Salaries Survey" xfId="17529" xr:uid="{00000000-0005-0000-0000-00008C440000}"/>
    <cellStyle name="RowTitles-Detail 2 2 6 6 2 3" xfId="17530" xr:uid="{00000000-0005-0000-0000-00008D440000}"/>
    <cellStyle name="RowTitles-Detail 2 2 6 6 2_Tertiary Salaries Survey" xfId="17531" xr:uid="{00000000-0005-0000-0000-00008E440000}"/>
    <cellStyle name="RowTitles-Detail 2 2 6 6 3" xfId="17532" xr:uid="{00000000-0005-0000-0000-00008F440000}"/>
    <cellStyle name="RowTitles-Detail 2 2 6 6 3 2" xfId="17533" xr:uid="{00000000-0005-0000-0000-000090440000}"/>
    <cellStyle name="RowTitles-Detail 2 2 6 6 3 2 2" xfId="17534" xr:uid="{00000000-0005-0000-0000-000091440000}"/>
    <cellStyle name="RowTitles-Detail 2 2 6 6 3 2_Tertiary Salaries Survey" xfId="17535" xr:uid="{00000000-0005-0000-0000-000092440000}"/>
    <cellStyle name="RowTitles-Detail 2 2 6 6 3 3" xfId="17536" xr:uid="{00000000-0005-0000-0000-000093440000}"/>
    <cellStyle name="RowTitles-Detail 2 2 6 6 3_Tertiary Salaries Survey" xfId="17537" xr:uid="{00000000-0005-0000-0000-000094440000}"/>
    <cellStyle name="RowTitles-Detail 2 2 6 6 4" xfId="17538" xr:uid="{00000000-0005-0000-0000-000095440000}"/>
    <cellStyle name="RowTitles-Detail 2 2 6 6 4 2" xfId="17539" xr:uid="{00000000-0005-0000-0000-000096440000}"/>
    <cellStyle name="RowTitles-Detail 2 2 6 6 4_Tertiary Salaries Survey" xfId="17540" xr:uid="{00000000-0005-0000-0000-000097440000}"/>
    <cellStyle name="RowTitles-Detail 2 2 6 6 5" xfId="17541" xr:uid="{00000000-0005-0000-0000-000098440000}"/>
    <cellStyle name="RowTitles-Detail 2 2 6 6_Tertiary Salaries Survey" xfId="17542" xr:uid="{00000000-0005-0000-0000-000099440000}"/>
    <cellStyle name="RowTitles-Detail 2 2 6 7" xfId="17543" xr:uid="{00000000-0005-0000-0000-00009A440000}"/>
    <cellStyle name="RowTitles-Detail 2 2 6 7 2" xfId="17544" xr:uid="{00000000-0005-0000-0000-00009B440000}"/>
    <cellStyle name="RowTitles-Detail 2 2 6 7 2 2" xfId="17545" xr:uid="{00000000-0005-0000-0000-00009C440000}"/>
    <cellStyle name="RowTitles-Detail 2 2 6 7 2_Tertiary Salaries Survey" xfId="17546" xr:uid="{00000000-0005-0000-0000-00009D440000}"/>
    <cellStyle name="RowTitles-Detail 2 2 6 7 3" xfId="17547" xr:uid="{00000000-0005-0000-0000-00009E440000}"/>
    <cellStyle name="RowTitles-Detail 2 2 6 7_Tertiary Salaries Survey" xfId="17548" xr:uid="{00000000-0005-0000-0000-00009F440000}"/>
    <cellStyle name="RowTitles-Detail 2 2 6 8" xfId="17549" xr:uid="{00000000-0005-0000-0000-0000A0440000}"/>
    <cellStyle name="RowTitles-Detail 2 2 6 9" xfId="17550" xr:uid="{00000000-0005-0000-0000-0000A1440000}"/>
    <cellStyle name="RowTitles-Detail 2 2 6_STUD aligned by INSTIT" xfId="17551" xr:uid="{00000000-0005-0000-0000-0000A2440000}"/>
    <cellStyle name="RowTitles-Detail 2 2 7" xfId="17552" xr:uid="{00000000-0005-0000-0000-0000A3440000}"/>
    <cellStyle name="RowTitles-Detail 2 2 7 2" xfId="17553" xr:uid="{00000000-0005-0000-0000-0000A4440000}"/>
    <cellStyle name="RowTitles-Detail 2 2 7 2 2" xfId="17554" xr:uid="{00000000-0005-0000-0000-0000A5440000}"/>
    <cellStyle name="RowTitles-Detail 2 2 7 2 2 2" xfId="17555" xr:uid="{00000000-0005-0000-0000-0000A6440000}"/>
    <cellStyle name="RowTitles-Detail 2 2 7 2 2_Tertiary Salaries Survey" xfId="17556" xr:uid="{00000000-0005-0000-0000-0000A7440000}"/>
    <cellStyle name="RowTitles-Detail 2 2 7 2 3" xfId="17557" xr:uid="{00000000-0005-0000-0000-0000A8440000}"/>
    <cellStyle name="RowTitles-Detail 2 2 7 2_Tertiary Salaries Survey" xfId="17558" xr:uid="{00000000-0005-0000-0000-0000A9440000}"/>
    <cellStyle name="RowTitles-Detail 2 2 7 3" xfId="17559" xr:uid="{00000000-0005-0000-0000-0000AA440000}"/>
    <cellStyle name="RowTitles-Detail 2 2 7 3 2" xfId="17560" xr:uid="{00000000-0005-0000-0000-0000AB440000}"/>
    <cellStyle name="RowTitles-Detail 2 2 7 3 2 2" xfId="17561" xr:uid="{00000000-0005-0000-0000-0000AC440000}"/>
    <cellStyle name="RowTitles-Detail 2 2 7 3 2_Tertiary Salaries Survey" xfId="17562" xr:uid="{00000000-0005-0000-0000-0000AD440000}"/>
    <cellStyle name="RowTitles-Detail 2 2 7 3 3" xfId="17563" xr:uid="{00000000-0005-0000-0000-0000AE440000}"/>
    <cellStyle name="RowTitles-Detail 2 2 7 3_Tertiary Salaries Survey" xfId="17564" xr:uid="{00000000-0005-0000-0000-0000AF440000}"/>
    <cellStyle name="RowTitles-Detail 2 2 7 4" xfId="17565" xr:uid="{00000000-0005-0000-0000-0000B0440000}"/>
    <cellStyle name="RowTitles-Detail 2 2 7 5" xfId="17566" xr:uid="{00000000-0005-0000-0000-0000B1440000}"/>
    <cellStyle name="RowTitles-Detail 2 2 7 5 2" xfId="17567" xr:uid="{00000000-0005-0000-0000-0000B2440000}"/>
    <cellStyle name="RowTitles-Detail 2 2 7 5_Tertiary Salaries Survey" xfId="17568" xr:uid="{00000000-0005-0000-0000-0000B3440000}"/>
    <cellStyle name="RowTitles-Detail 2 2 7 6" xfId="17569" xr:uid="{00000000-0005-0000-0000-0000B4440000}"/>
    <cellStyle name="RowTitles-Detail 2 2 7_Tertiary Salaries Survey" xfId="17570" xr:uid="{00000000-0005-0000-0000-0000B5440000}"/>
    <cellStyle name="RowTitles-Detail 2 2 8" xfId="17571" xr:uid="{00000000-0005-0000-0000-0000B6440000}"/>
    <cellStyle name="RowTitles-Detail 2 2 8 2" xfId="17572" xr:uid="{00000000-0005-0000-0000-0000B7440000}"/>
    <cellStyle name="RowTitles-Detail 2 2 8 2 2" xfId="17573" xr:uid="{00000000-0005-0000-0000-0000B8440000}"/>
    <cellStyle name="RowTitles-Detail 2 2 8 2 2 2" xfId="17574" xr:uid="{00000000-0005-0000-0000-0000B9440000}"/>
    <cellStyle name="RowTitles-Detail 2 2 8 2 2_Tertiary Salaries Survey" xfId="17575" xr:uid="{00000000-0005-0000-0000-0000BA440000}"/>
    <cellStyle name="RowTitles-Detail 2 2 8 2 3" xfId="17576" xr:uid="{00000000-0005-0000-0000-0000BB440000}"/>
    <cellStyle name="RowTitles-Detail 2 2 8 2_Tertiary Salaries Survey" xfId="17577" xr:uid="{00000000-0005-0000-0000-0000BC440000}"/>
    <cellStyle name="RowTitles-Detail 2 2 8 3" xfId="17578" xr:uid="{00000000-0005-0000-0000-0000BD440000}"/>
    <cellStyle name="RowTitles-Detail 2 2 8 3 2" xfId="17579" xr:uid="{00000000-0005-0000-0000-0000BE440000}"/>
    <cellStyle name="RowTitles-Detail 2 2 8 3 2 2" xfId="17580" xr:uid="{00000000-0005-0000-0000-0000BF440000}"/>
    <cellStyle name="RowTitles-Detail 2 2 8 3 2_Tertiary Salaries Survey" xfId="17581" xr:uid="{00000000-0005-0000-0000-0000C0440000}"/>
    <cellStyle name="RowTitles-Detail 2 2 8 3 3" xfId="17582" xr:uid="{00000000-0005-0000-0000-0000C1440000}"/>
    <cellStyle name="RowTitles-Detail 2 2 8 3_Tertiary Salaries Survey" xfId="17583" xr:uid="{00000000-0005-0000-0000-0000C2440000}"/>
    <cellStyle name="RowTitles-Detail 2 2 8 4" xfId="17584" xr:uid="{00000000-0005-0000-0000-0000C3440000}"/>
    <cellStyle name="RowTitles-Detail 2 2 8 5" xfId="17585" xr:uid="{00000000-0005-0000-0000-0000C4440000}"/>
    <cellStyle name="RowTitles-Detail 2 2 8_Tertiary Salaries Survey" xfId="17586" xr:uid="{00000000-0005-0000-0000-0000C5440000}"/>
    <cellStyle name="RowTitles-Detail 2 2 9" xfId="17587" xr:uid="{00000000-0005-0000-0000-0000C6440000}"/>
    <cellStyle name="RowTitles-Detail 2 2 9 2" xfId="17588" xr:uid="{00000000-0005-0000-0000-0000C7440000}"/>
    <cellStyle name="RowTitles-Detail 2 2 9 2 2" xfId="17589" xr:uid="{00000000-0005-0000-0000-0000C8440000}"/>
    <cellStyle name="RowTitles-Detail 2 2 9 2 2 2" xfId="17590" xr:uid="{00000000-0005-0000-0000-0000C9440000}"/>
    <cellStyle name="RowTitles-Detail 2 2 9 2 2_Tertiary Salaries Survey" xfId="17591" xr:uid="{00000000-0005-0000-0000-0000CA440000}"/>
    <cellStyle name="RowTitles-Detail 2 2 9 2 3" xfId="17592" xr:uid="{00000000-0005-0000-0000-0000CB440000}"/>
    <cellStyle name="RowTitles-Detail 2 2 9 2_Tertiary Salaries Survey" xfId="17593" xr:uid="{00000000-0005-0000-0000-0000CC440000}"/>
    <cellStyle name="RowTitles-Detail 2 2 9 3" xfId="17594" xr:uid="{00000000-0005-0000-0000-0000CD440000}"/>
    <cellStyle name="RowTitles-Detail 2 2 9 3 2" xfId="17595" xr:uid="{00000000-0005-0000-0000-0000CE440000}"/>
    <cellStyle name="RowTitles-Detail 2 2 9 3 2 2" xfId="17596" xr:uid="{00000000-0005-0000-0000-0000CF440000}"/>
    <cellStyle name="RowTitles-Detail 2 2 9 3 2_Tertiary Salaries Survey" xfId="17597" xr:uid="{00000000-0005-0000-0000-0000D0440000}"/>
    <cellStyle name="RowTitles-Detail 2 2 9 3 3" xfId="17598" xr:uid="{00000000-0005-0000-0000-0000D1440000}"/>
    <cellStyle name="RowTitles-Detail 2 2 9 3_Tertiary Salaries Survey" xfId="17599" xr:uid="{00000000-0005-0000-0000-0000D2440000}"/>
    <cellStyle name="RowTitles-Detail 2 2 9 4" xfId="17600" xr:uid="{00000000-0005-0000-0000-0000D3440000}"/>
    <cellStyle name="RowTitles-Detail 2 2 9 5" xfId="17601" xr:uid="{00000000-0005-0000-0000-0000D4440000}"/>
    <cellStyle name="RowTitles-Detail 2 2 9 5 2" xfId="17602" xr:uid="{00000000-0005-0000-0000-0000D5440000}"/>
    <cellStyle name="RowTitles-Detail 2 2 9 5_Tertiary Salaries Survey" xfId="17603" xr:uid="{00000000-0005-0000-0000-0000D6440000}"/>
    <cellStyle name="RowTitles-Detail 2 2 9 6" xfId="17604" xr:uid="{00000000-0005-0000-0000-0000D7440000}"/>
    <cellStyle name="RowTitles-Detail 2 2 9_Tertiary Salaries Survey" xfId="17605" xr:uid="{00000000-0005-0000-0000-0000D8440000}"/>
    <cellStyle name="RowTitles-Detail 2 2_STUD aligned by INSTIT" xfId="17606" xr:uid="{00000000-0005-0000-0000-0000D9440000}"/>
    <cellStyle name="RowTitles-Detail 2 3" xfId="17607" xr:uid="{00000000-0005-0000-0000-0000DA440000}"/>
    <cellStyle name="RowTitles-Detail 2 3 10" xfId="17608" xr:uid="{00000000-0005-0000-0000-0000DB440000}"/>
    <cellStyle name="RowTitles-Detail 2 3 10 2" xfId="17609" xr:uid="{00000000-0005-0000-0000-0000DC440000}"/>
    <cellStyle name="RowTitles-Detail 2 3 10 2 2" xfId="17610" xr:uid="{00000000-0005-0000-0000-0000DD440000}"/>
    <cellStyle name="RowTitles-Detail 2 3 10 2 2 2" xfId="17611" xr:uid="{00000000-0005-0000-0000-0000DE440000}"/>
    <cellStyle name="RowTitles-Detail 2 3 10 2 2_Tertiary Salaries Survey" xfId="17612" xr:uid="{00000000-0005-0000-0000-0000DF440000}"/>
    <cellStyle name="RowTitles-Detail 2 3 10 2 3" xfId="17613" xr:uid="{00000000-0005-0000-0000-0000E0440000}"/>
    <cellStyle name="RowTitles-Detail 2 3 10 2_Tertiary Salaries Survey" xfId="17614" xr:uid="{00000000-0005-0000-0000-0000E1440000}"/>
    <cellStyle name="RowTitles-Detail 2 3 10 3" xfId="17615" xr:uid="{00000000-0005-0000-0000-0000E2440000}"/>
    <cellStyle name="RowTitles-Detail 2 3 10 3 2" xfId="17616" xr:uid="{00000000-0005-0000-0000-0000E3440000}"/>
    <cellStyle name="RowTitles-Detail 2 3 10 3 2 2" xfId="17617" xr:uid="{00000000-0005-0000-0000-0000E4440000}"/>
    <cellStyle name="RowTitles-Detail 2 3 10 3 2_Tertiary Salaries Survey" xfId="17618" xr:uid="{00000000-0005-0000-0000-0000E5440000}"/>
    <cellStyle name="RowTitles-Detail 2 3 10 3 3" xfId="17619" xr:uid="{00000000-0005-0000-0000-0000E6440000}"/>
    <cellStyle name="RowTitles-Detail 2 3 10 3_Tertiary Salaries Survey" xfId="17620" xr:uid="{00000000-0005-0000-0000-0000E7440000}"/>
    <cellStyle name="RowTitles-Detail 2 3 10 4" xfId="17621" xr:uid="{00000000-0005-0000-0000-0000E8440000}"/>
    <cellStyle name="RowTitles-Detail 2 3 10 4 2" xfId="17622" xr:uid="{00000000-0005-0000-0000-0000E9440000}"/>
    <cellStyle name="RowTitles-Detail 2 3 10 4_Tertiary Salaries Survey" xfId="17623" xr:uid="{00000000-0005-0000-0000-0000EA440000}"/>
    <cellStyle name="RowTitles-Detail 2 3 10 5" xfId="17624" xr:uid="{00000000-0005-0000-0000-0000EB440000}"/>
    <cellStyle name="RowTitles-Detail 2 3 10_Tertiary Salaries Survey" xfId="17625" xr:uid="{00000000-0005-0000-0000-0000EC440000}"/>
    <cellStyle name="RowTitles-Detail 2 3 11" xfId="17626" xr:uid="{00000000-0005-0000-0000-0000ED440000}"/>
    <cellStyle name="RowTitles-Detail 2 3 11 2" xfId="17627" xr:uid="{00000000-0005-0000-0000-0000EE440000}"/>
    <cellStyle name="RowTitles-Detail 2 3 11 2 2" xfId="17628" xr:uid="{00000000-0005-0000-0000-0000EF440000}"/>
    <cellStyle name="RowTitles-Detail 2 3 11 2 2 2" xfId="17629" xr:uid="{00000000-0005-0000-0000-0000F0440000}"/>
    <cellStyle name="RowTitles-Detail 2 3 11 2 2_Tertiary Salaries Survey" xfId="17630" xr:uid="{00000000-0005-0000-0000-0000F1440000}"/>
    <cellStyle name="RowTitles-Detail 2 3 11 2 3" xfId="17631" xr:uid="{00000000-0005-0000-0000-0000F2440000}"/>
    <cellStyle name="RowTitles-Detail 2 3 11 2_Tertiary Salaries Survey" xfId="17632" xr:uid="{00000000-0005-0000-0000-0000F3440000}"/>
    <cellStyle name="RowTitles-Detail 2 3 11 3" xfId="17633" xr:uid="{00000000-0005-0000-0000-0000F4440000}"/>
    <cellStyle name="RowTitles-Detail 2 3 11 3 2" xfId="17634" xr:uid="{00000000-0005-0000-0000-0000F5440000}"/>
    <cellStyle name="RowTitles-Detail 2 3 11 3 2 2" xfId="17635" xr:uid="{00000000-0005-0000-0000-0000F6440000}"/>
    <cellStyle name="RowTitles-Detail 2 3 11 3 2_Tertiary Salaries Survey" xfId="17636" xr:uid="{00000000-0005-0000-0000-0000F7440000}"/>
    <cellStyle name="RowTitles-Detail 2 3 11 3 3" xfId="17637" xr:uid="{00000000-0005-0000-0000-0000F8440000}"/>
    <cellStyle name="RowTitles-Detail 2 3 11 3_Tertiary Salaries Survey" xfId="17638" xr:uid="{00000000-0005-0000-0000-0000F9440000}"/>
    <cellStyle name="RowTitles-Detail 2 3 11 4" xfId="17639" xr:uid="{00000000-0005-0000-0000-0000FA440000}"/>
    <cellStyle name="RowTitles-Detail 2 3 11 4 2" xfId="17640" xr:uid="{00000000-0005-0000-0000-0000FB440000}"/>
    <cellStyle name="RowTitles-Detail 2 3 11 4_Tertiary Salaries Survey" xfId="17641" xr:uid="{00000000-0005-0000-0000-0000FC440000}"/>
    <cellStyle name="RowTitles-Detail 2 3 11 5" xfId="17642" xr:uid="{00000000-0005-0000-0000-0000FD440000}"/>
    <cellStyle name="RowTitles-Detail 2 3 11_Tertiary Salaries Survey" xfId="17643" xr:uid="{00000000-0005-0000-0000-0000FE440000}"/>
    <cellStyle name="RowTitles-Detail 2 3 12" xfId="17644" xr:uid="{00000000-0005-0000-0000-0000FF440000}"/>
    <cellStyle name="RowTitles-Detail 2 3 12 2" xfId="17645" xr:uid="{00000000-0005-0000-0000-000000450000}"/>
    <cellStyle name="RowTitles-Detail 2 3 12 2 2" xfId="17646" xr:uid="{00000000-0005-0000-0000-000001450000}"/>
    <cellStyle name="RowTitles-Detail 2 3 12 2_Tertiary Salaries Survey" xfId="17647" xr:uid="{00000000-0005-0000-0000-000002450000}"/>
    <cellStyle name="RowTitles-Detail 2 3 12 3" xfId="17648" xr:uid="{00000000-0005-0000-0000-000003450000}"/>
    <cellStyle name="RowTitles-Detail 2 3 12_Tertiary Salaries Survey" xfId="17649" xr:uid="{00000000-0005-0000-0000-000004450000}"/>
    <cellStyle name="RowTitles-Detail 2 3 13" xfId="17650" xr:uid="{00000000-0005-0000-0000-000005450000}"/>
    <cellStyle name="RowTitles-Detail 2 3 14" xfId="17651" xr:uid="{00000000-0005-0000-0000-000006450000}"/>
    <cellStyle name="RowTitles-Detail 2 3 15" xfId="17652" xr:uid="{00000000-0005-0000-0000-000007450000}"/>
    <cellStyle name="RowTitles-Detail 2 3 2" xfId="17653" xr:uid="{00000000-0005-0000-0000-000008450000}"/>
    <cellStyle name="RowTitles-Detail 2 3 2 10" xfId="17654" xr:uid="{00000000-0005-0000-0000-000009450000}"/>
    <cellStyle name="RowTitles-Detail 2 3 2 10 2" xfId="17655" xr:uid="{00000000-0005-0000-0000-00000A450000}"/>
    <cellStyle name="RowTitles-Detail 2 3 2 10 2 2" xfId="17656" xr:uid="{00000000-0005-0000-0000-00000B450000}"/>
    <cellStyle name="RowTitles-Detail 2 3 2 10 2 2 2" xfId="17657" xr:uid="{00000000-0005-0000-0000-00000C450000}"/>
    <cellStyle name="RowTitles-Detail 2 3 2 10 2 2_Tertiary Salaries Survey" xfId="17658" xr:uid="{00000000-0005-0000-0000-00000D450000}"/>
    <cellStyle name="RowTitles-Detail 2 3 2 10 2 3" xfId="17659" xr:uid="{00000000-0005-0000-0000-00000E450000}"/>
    <cellStyle name="RowTitles-Detail 2 3 2 10 2_Tertiary Salaries Survey" xfId="17660" xr:uid="{00000000-0005-0000-0000-00000F450000}"/>
    <cellStyle name="RowTitles-Detail 2 3 2 10 3" xfId="17661" xr:uid="{00000000-0005-0000-0000-000010450000}"/>
    <cellStyle name="RowTitles-Detail 2 3 2 10 3 2" xfId="17662" xr:uid="{00000000-0005-0000-0000-000011450000}"/>
    <cellStyle name="RowTitles-Detail 2 3 2 10 3 2 2" xfId="17663" xr:uid="{00000000-0005-0000-0000-000012450000}"/>
    <cellStyle name="RowTitles-Detail 2 3 2 10 3 2_Tertiary Salaries Survey" xfId="17664" xr:uid="{00000000-0005-0000-0000-000013450000}"/>
    <cellStyle name="RowTitles-Detail 2 3 2 10 3 3" xfId="17665" xr:uid="{00000000-0005-0000-0000-000014450000}"/>
    <cellStyle name="RowTitles-Detail 2 3 2 10 3_Tertiary Salaries Survey" xfId="17666" xr:uid="{00000000-0005-0000-0000-000015450000}"/>
    <cellStyle name="RowTitles-Detail 2 3 2 10 4" xfId="17667" xr:uid="{00000000-0005-0000-0000-000016450000}"/>
    <cellStyle name="RowTitles-Detail 2 3 2 10 4 2" xfId="17668" xr:uid="{00000000-0005-0000-0000-000017450000}"/>
    <cellStyle name="RowTitles-Detail 2 3 2 10 4_Tertiary Salaries Survey" xfId="17669" xr:uid="{00000000-0005-0000-0000-000018450000}"/>
    <cellStyle name="RowTitles-Detail 2 3 2 10 5" xfId="17670" xr:uid="{00000000-0005-0000-0000-000019450000}"/>
    <cellStyle name="RowTitles-Detail 2 3 2 10_Tertiary Salaries Survey" xfId="17671" xr:uid="{00000000-0005-0000-0000-00001A450000}"/>
    <cellStyle name="RowTitles-Detail 2 3 2 11" xfId="17672" xr:uid="{00000000-0005-0000-0000-00001B450000}"/>
    <cellStyle name="RowTitles-Detail 2 3 2 11 2" xfId="17673" xr:uid="{00000000-0005-0000-0000-00001C450000}"/>
    <cellStyle name="RowTitles-Detail 2 3 2 11 2 2" xfId="17674" xr:uid="{00000000-0005-0000-0000-00001D450000}"/>
    <cellStyle name="RowTitles-Detail 2 3 2 11 2_Tertiary Salaries Survey" xfId="17675" xr:uid="{00000000-0005-0000-0000-00001E450000}"/>
    <cellStyle name="RowTitles-Detail 2 3 2 11 3" xfId="17676" xr:uid="{00000000-0005-0000-0000-00001F450000}"/>
    <cellStyle name="RowTitles-Detail 2 3 2 11_Tertiary Salaries Survey" xfId="17677" xr:uid="{00000000-0005-0000-0000-000020450000}"/>
    <cellStyle name="RowTitles-Detail 2 3 2 12" xfId="17678" xr:uid="{00000000-0005-0000-0000-000021450000}"/>
    <cellStyle name="RowTitles-Detail 2 3 2 13" xfId="17679" xr:uid="{00000000-0005-0000-0000-000022450000}"/>
    <cellStyle name="RowTitles-Detail 2 3 2 2" xfId="17680" xr:uid="{00000000-0005-0000-0000-000023450000}"/>
    <cellStyle name="RowTitles-Detail 2 3 2 2 10" xfId="17681" xr:uid="{00000000-0005-0000-0000-000024450000}"/>
    <cellStyle name="RowTitles-Detail 2 3 2 2 10 2" xfId="17682" xr:uid="{00000000-0005-0000-0000-000025450000}"/>
    <cellStyle name="RowTitles-Detail 2 3 2 2 10 2 2" xfId="17683" xr:uid="{00000000-0005-0000-0000-000026450000}"/>
    <cellStyle name="RowTitles-Detail 2 3 2 2 10 2_Tertiary Salaries Survey" xfId="17684" xr:uid="{00000000-0005-0000-0000-000027450000}"/>
    <cellStyle name="RowTitles-Detail 2 3 2 2 10 3" xfId="17685" xr:uid="{00000000-0005-0000-0000-000028450000}"/>
    <cellStyle name="RowTitles-Detail 2 3 2 2 10_Tertiary Salaries Survey" xfId="17686" xr:uid="{00000000-0005-0000-0000-000029450000}"/>
    <cellStyle name="RowTitles-Detail 2 3 2 2 11" xfId="17687" xr:uid="{00000000-0005-0000-0000-00002A450000}"/>
    <cellStyle name="RowTitles-Detail 2 3 2 2 12" xfId="17688" xr:uid="{00000000-0005-0000-0000-00002B450000}"/>
    <cellStyle name="RowTitles-Detail 2 3 2 2 2" xfId="17689" xr:uid="{00000000-0005-0000-0000-00002C450000}"/>
    <cellStyle name="RowTitles-Detail 2 3 2 2 2 2" xfId="17690" xr:uid="{00000000-0005-0000-0000-00002D450000}"/>
    <cellStyle name="RowTitles-Detail 2 3 2 2 2 2 2" xfId="17691" xr:uid="{00000000-0005-0000-0000-00002E450000}"/>
    <cellStyle name="RowTitles-Detail 2 3 2 2 2 2 2 2" xfId="17692" xr:uid="{00000000-0005-0000-0000-00002F450000}"/>
    <cellStyle name="RowTitles-Detail 2 3 2 2 2 2 2 2 2" xfId="17693" xr:uid="{00000000-0005-0000-0000-000030450000}"/>
    <cellStyle name="RowTitles-Detail 2 3 2 2 2 2 2 2_Tertiary Salaries Survey" xfId="17694" xr:uid="{00000000-0005-0000-0000-000031450000}"/>
    <cellStyle name="RowTitles-Detail 2 3 2 2 2 2 2 3" xfId="17695" xr:uid="{00000000-0005-0000-0000-000032450000}"/>
    <cellStyle name="RowTitles-Detail 2 3 2 2 2 2 2_Tertiary Salaries Survey" xfId="17696" xr:uid="{00000000-0005-0000-0000-000033450000}"/>
    <cellStyle name="RowTitles-Detail 2 3 2 2 2 2 3" xfId="17697" xr:uid="{00000000-0005-0000-0000-000034450000}"/>
    <cellStyle name="RowTitles-Detail 2 3 2 2 2 2 3 2" xfId="17698" xr:uid="{00000000-0005-0000-0000-000035450000}"/>
    <cellStyle name="RowTitles-Detail 2 3 2 2 2 2 3 2 2" xfId="17699" xr:uid="{00000000-0005-0000-0000-000036450000}"/>
    <cellStyle name="RowTitles-Detail 2 3 2 2 2 2 3 2_Tertiary Salaries Survey" xfId="17700" xr:uid="{00000000-0005-0000-0000-000037450000}"/>
    <cellStyle name="RowTitles-Detail 2 3 2 2 2 2 3 3" xfId="17701" xr:uid="{00000000-0005-0000-0000-000038450000}"/>
    <cellStyle name="RowTitles-Detail 2 3 2 2 2 2 3_Tertiary Salaries Survey" xfId="17702" xr:uid="{00000000-0005-0000-0000-000039450000}"/>
    <cellStyle name="RowTitles-Detail 2 3 2 2 2 2 4" xfId="17703" xr:uid="{00000000-0005-0000-0000-00003A450000}"/>
    <cellStyle name="RowTitles-Detail 2 3 2 2 2 2 5" xfId="17704" xr:uid="{00000000-0005-0000-0000-00003B450000}"/>
    <cellStyle name="RowTitles-Detail 2 3 2 2 2 2_Tertiary Salaries Survey" xfId="17705" xr:uid="{00000000-0005-0000-0000-00003C450000}"/>
    <cellStyle name="RowTitles-Detail 2 3 2 2 2 3" xfId="17706" xr:uid="{00000000-0005-0000-0000-00003D450000}"/>
    <cellStyle name="RowTitles-Detail 2 3 2 2 2 3 2" xfId="17707" xr:uid="{00000000-0005-0000-0000-00003E450000}"/>
    <cellStyle name="RowTitles-Detail 2 3 2 2 2 3 2 2" xfId="17708" xr:uid="{00000000-0005-0000-0000-00003F450000}"/>
    <cellStyle name="RowTitles-Detail 2 3 2 2 2 3 2 2 2" xfId="17709" xr:uid="{00000000-0005-0000-0000-000040450000}"/>
    <cellStyle name="RowTitles-Detail 2 3 2 2 2 3 2 2_Tertiary Salaries Survey" xfId="17710" xr:uid="{00000000-0005-0000-0000-000041450000}"/>
    <cellStyle name="RowTitles-Detail 2 3 2 2 2 3 2 3" xfId="17711" xr:uid="{00000000-0005-0000-0000-000042450000}"/>
    <cellStyle name="RowTitles-Detail 2 3 2 2 2 3 2_Tertiary Salaries Survey" xfId="17712" xr:uid="{00000000-0005-0000-0000-000043450000}"/>
    <cellStyle name="RowTitles-Detail 2 3 2 2 2 3 3" xfId="17713" xr:uid="{00000000-0005-0000-0000-000044450000}"/>
    <cellStyle name="RowTitles-Detail 2 3 2 2 2 3 3 2" xfId="17714" xr:uid="{00000000-0005-0000-0000-000045450000}"/>
    <cellStyle name="RowTitles-Detail 2 3 2 2 2 3 3 2 2" xfId="17715" xr:uid="{00000000-0005-0000-0000-000046450000}"/>
    <cellStyle name="RowTitles-Detail 2 3 2 2 2 3 3 2_Tertiary Salaries Survey" xfId="17716" xr:uid="{00000000-0005-0000-0000-000047450000}"/>
    <cellStyle name="RowTitles-Detail 2 3 2 2 2 3 3 3" xfId="17717" xr:uid="{00000000-0005-0000-0000-000048450000}"/>
    <cellStyle name="RowTitles-Detail 2 3 2 2 2 3 3_Tertiary Salaries Survey" xfId="17718" xr:uid="{00000000-0005-0000-0000-000049450000}"/>
    <cellStyle name="RowTitles-Detail 2 3 2 2 2 3 4" xfId="17719" xr:uid="{00000000-0005-0000-0000-00004A450000}"/>
    <cellStyle name="RowTitles-Detail 2 3 2 2 2 3 5" xfId="17720" xr:uid="{00000000-0005-0000-0000-00004B450000}"/>
    <cellStyle name="RowTitles-Detail 2 3 2 2 2 3 5 2" xfId="17721" xr:uid="{00000000-0005-0000-0000-00004C450000}"/>
    <cellStyle name="RowTitles-Detail 2 3 2 2 2 3 5_Tertiary Salaries Survey" xfId="17722" xr:uid="{00000000-0005-0000-0000-00004D450000}"/>
    <cellStyle name="RowTitles-Detail 2 3 2 2 2 3 6" xfId="17723" xr:uid="{00000000-0005-0000-0000-00004E450000}"/>
    <cellStyle name="RowTitles-Detail 2 3 2 2 2 3_Tertiary Salaries Survey" xfId="17724" xr:uid="{00000000-0005-0000-0000-00004F450000}"/>
    <cellStyle name="RowTitles-Detail 2 3 2 2 2 4" xfId="17725" xr:uid="{00000000-0005-0000-0000-000050450000}"/>
    <cellStyle name="RowTitles-Detail 2 3 2 2 2 4 2" xfId="17726" xr:uid="{00000000-0005-0000-0000-000051450000}"/>
    <cellStyle name="RowTitles-Detail 2 3 2 2 2 4 2 2" xfId="17727" xr:uid="{00000000-0005-0000-0000-000052450000}"/>
    <cellStyle name="RowTitles-Detail 2 3 2 2 2 4 2 2 2" xfId="17728" xr:uid="{00000000-0005-0000-0000-000053450000}"/>
    <cellStyle name="RowTitles-Detail 2 3 2 2 2 4 2 2_Tertiary Salaries Survey" xfId="17729" xr:uid="{00000000-0005-0000-0000-000054450000}"/>
    <cellStyle name="RowTitles-Detail 2 3 2 2 2 4 2 3" xfId="17730" xr:uid="{00000000-0005-0000-0000-000055450000}"/>
    <cellStyle name="RowTitles-Detail 2 3 2 2 2 4 2_Tertiary Salaries Survey" xfId="17731" xr:uid="{00000000-0005-0000-0000-000056450000}"/>
    <cellStyle name="RowTitles-Detail 2 3 2 2 2 4 3" xfId="17732" xr:uid="{00000000-0005-0000-0000-000057450000}"/>
    <cellStyle name="RowTitles-Detail 2 3 2 2 2 4 3 2" xfId="17733" xr:uid="{00000000-0005-0000-0000-000058450000}"/>
    <cellStyle name="RowTitles-Detail 2 3 2 2 2 4 3 2 2" xfId="17734" xr:uid="{00000000-0005-0000-0000-000059450000}"/>
    <cellStyle name="RowTitles-Detail 2 3 2 2 2 4 3 2_Tertiary Salaries Survey" xfId="17735" xr:uid="{00000000-0005-0000-0000-00005A450000}"/>
    <cellStyle name="RowTitles-Detail 2 3 2 2 2 4 3 3" xfId="17736" xr:uid="{00000000-0005-0000-0000-00005B450000}"/>
    <cellStyle name="RowTitles-Detail 2 3 2 2 2 4 3_Tertiary Salaries Survey" xfId="17737" xr:uid="{00000000-0005-0000-0000-00005C450000}"/>
    <cellStyle name="RowTitles-Detail 2 3 2 2 2 4 4" xfId="17738" xr:uid="{00000000-0005-0000-0000-00005D450000}"/>
    <cellStyle name="RowTitles-Detail 2 3 2 2 2 4 4 2" xfId="17739" xr:uid="{00000000-0005-0000-0000-00005E450000}"/>
    <cellStyle name="RowTitles-Detail 2 3 2 2 2 4 4_Tertiary Salaries Survey" xfId="17740" xr:uid="{00000000-0005-0000-0000-00005F450000}"/>
    <cellStyle name="RowTitles-Detail 2 3 2 2 2 4 5" xfId="17741" xr:uid="{00000000-0005-0000-0000-000060450000}"/>
    <cellStyle name="RowTitles-Detail 2 3 2 2 2 4_Tertiary Salaries Survey" xfId="17742" xr:uid="{00000000-0005-0000-0000-000061450000}"/>
    <cellStyle name="RowTitles-Detail 2 3 2 2 2 5" xfId="17743" xr:uid="{00000000-0005-0000-0000-000062450000}"/>
    <cellStyle name="RowTitles-Detail 2 3 2 2 2 5 2" xfId="17744" xr:uid="{00000000-0005-0000-0000-000063450000}"/>
    <cellStyle name="RowTitles-Detail 2 3 2 2 2 5 2 2" xfId="17745" xr:uid="{00000000-0005-0000-0000-000064450000}"/>
    <cellStyle name="RowTitles-Detail 2 3 2 2 2 5 2 2 2" xfId="17746" xr:uid="{00000000-0005-0000-0000-000065450000}"/>
    <cellStyle name="RowTitles-Detail 2 3 2 2 2 5 2 2_Tertiary Salaries Survey" xfId="17747" xr:uid="{00000000-0005-0000-0000-000066450000}"/>
    <cellStyle name="RowTitles-Detail 2 3 2 2 2 5 2 3" xfId="17748" xr:uid="{00000000-0005-0000-0000-000067450000}"/>
    <cellStyle name="RowTitles-Detail 2 3 2 2 2 5 2_Tertiary Salaries Survey" xfId="17749" xr:uid="{00000000-0005-0000-0000-000068450000}"/>
    <cellStyle name="RowTitles-Detail 2 3 2 2 2 5 3" xfId="17750" xr:uid="{00000000-0005-0000-0000-000069450000}"/>
    <cellStyle name="RowTitles-Detail 2 3 2 2 2 5 3 2" xfId="17751" xr:uid="{00000000-0005-0000-0000-00006A450000}"/>
    <cellStyle name="RowTitles-Detail 2 3 2 2 2 5 3 2 2" xfId="17752" xr:uid="{00000000-0005-0000-0000-00006B450000}"/>
    <cellStyle name="RowTitles-Detail 2 3 2 2 2 5 3 2_Tertiary Salaries Survey" xfId="17753" xr:uid="{00000000-0005-0000-0000-00006C450000}"/>
    <cellStyle name="RowTitles-Detail 2 3 2 2 2 5 3 3" xfId="17754" xr:uid="{00000000-0005-0000-0000-00006D450000}"/>
    <cellStyle name="RowTitles-Detail 2 3 2 2 2 5 3_Tertiary Salaries Survey" xfId="17755" xr:uid="{00000000-0005-0000-0000-00006E450000}"/>
    <cellStyle name="RowTitles-Detail 2 3 2 2 2 5 4" xfId="17756" xr:uid="{00000000-0005-0000-0000-00006F450000}"/>
    <cellStyle name="RowTitles-Detail 2 3 2 2 2 5 4 2" xfId="17757" xr:uid="{00000000-0005-0000-0000-000070450000}"/>
    <cellStyle name="RowTitles-Detail 2 3 2 2 2 5 4_Tertiary Salaries Survey" xfId="17758" xr:uid="{00000000-0005-0000-0000-000071450000}"/>
    <cellStyle name="RowTitles-Detail 2 3 2 2 2 5 5" xfId="17759" xr:uid="{00000000-0005-0000-0000-000072450000}"/>
    <cellStyle name="RowTitles-Detail 2 3 2 2 2 5_Tertiary Salaries Survey" xfId="17760" xr:uid="{00000000-0005-0000-0000-000073450000}"/>
    <cellStyle name="RowTitles-Detail 2 3 2 2 2 6" xfId="17761" xr:uid="{00000000-0005-0000-0000-000074450000}"/>
    <cellStyle name="RowTitles-Detail 2 3 2 2 2 6 2" xfId="17762" xr:uid="{00000000-0005-0000-0000-000075450000}"/>
    <cellStyle name="RowTitles-Detail 2 3 2 2 2 6 2 2" xfId="17763" xr:uid="{00000000-0005-0000-0000-000076450000}"/>
    <cellStyle name="RowTitles-Detail 2 3 2 2 2 6 2 2 2" xfId="17764" xr:uid="{00000000-0005-0000-0000-000077450000}"/>
    <cellStyle name="RowTitles-Detail 2 3 2 2 2 6 2 2_Tertiary Salaries Survey" xfId="17765" xr:uid="{00000000-0005-0000-0000-000078450000}"/>
    <cellStyle name="RowTitles-Detail 2 3 2 2 2 6 2 3" xfId="17766" xr:uid="{00000000-0005-0000-0000-000079450000}"/>
    <cellStyle name="RowTitles-Detail 2 3 2 2 2 6 2_Tertiary Salaries Survey" xfId="17767" xr:uid="{00000000-0005-0000-0000-00007A450000}"/>
    <cellStyle name="RowTitles-Detail 2 3 2 2 2 6 3" xfId="17768" xr:uid="{00000000-0005-0000-0000-00007B450000}"/>
    <cellStyle name="RowTitles-Detail 2 3 2 2 2 6 3 2" xfId="17769" xr:uid="{00000000-0005-0000-0000-00007C450000}"/>
    <cellStyle name="RowTitles-Detail 2 3 2 2 2 6 3 2 2" xfId="17770" xr:uid="{00000000-0005-0000-0000-00007D450000}"/>
    <cellStyle name="RowTitles-Detail 2 3 2 2 2 6 3 2_Tertiary Salaries Survey" xfId="17771" xr:uid="{00000000-0005-0000-0000-00007E450000}"/>
    <cellStyle name="RowTitles-Detail 2 3 2 2 2 6 3 3" xfId="17772" xr:uid="{00000000-0005-0000-0000-00007F450000}"/>
    <cellStyle name="RowTitles-Detail 2 3 2 2 2 6 3_Tertiary Salaries Survey" xfId="17773" xr:uid="{00000000-0005-0000-0000-000080450000}"/>
    <cellStyle name="RowTitles-Detail 2 3 2 2 2 6 4" xfId="17774" xr:uid="{00000000-0005-0000-0000-000081450000}"/>
    <cellStyle name="RowTitles-Detail 2 3 2 2 2 6 4 2" xfId="17775" xr:uid="{00000000-0005-0000-0000-000082450000}"/>
    <cellStyle name="RowTitles-Detail 2 3 2 2 2 6 4_Tertiary Salaries Survey" xfId="17776" xr:uid="{00000000-0005-0000-0000-000083450000}"/>
    <cellStyle name="RowTitles-Detail 2 3 2 2 2 6 5" xfId="17777" xr:uid="{00000000-0005-0000-0000-000084450000}"/>
    <cellStyle name="RowTitles-Detail 2 3 2 2 2 6_Tertiary Salaries Survey" xfId="17778" xr:uid="{00000000-0005-0000-0000-000085450000}"/>
    <cellStyle name="RowTitles-Detail 2 3 2 2 2 7" xfId="17779" xr:uid="{00000000-0005-0000-0000-000086450000}"/>
    <cellStyle name="RowTitles-Detail 2 3 2 2 2 7 2" xfId="17780" xr:uid="{00000000-0005-0000-0000-000087450000}"/>
    <cellStyle name="RowTitles-Detail 2 3 2 2 2 7 2 2" xfId="17781" xr:uid="{00000000-0005-0000-0000-000088450000}"/>
    <cellStyle name="RowTitles-Detail 2 3 2 2 2 7 2_Tertiary Salaries Survey" xfId="17782" xr:uid="{00000000-0005-0000-0000-000089450000}"/>
    <cellStyle name="RowTitles-Detail 2 3 2 2 2 7 3" xfId="17783" xr:uid="{00000000-0005-0000-0000-00008A450000}"/>
    <cellStyle name="RowTitles-Detail 2 3 2 2 2 7_Tertiary Salaries Survey" xfId="17784" xr:uid="{00000000-0005-0000-0000-00008B450000}"/>
    <cellStyle name="RowTitles-Detail 2 3 2 2 2 8" xfId="17785" xr:uid="{00000000-0005-0000-0000-00008C450000}"/>
    <cellStyle name="RowTitles-Detail 2 3 2 2 2 9" xfId="17786" xr:uid="{00000000-0005-0000-0000-00008D450000}"/>
    <cellStyle name="RowTitles-Detail 2 3 2 2 2_STUD aligned by INSTIT" xfId="17787" xr:uid="{00000000-0005-0000-0000-00008E450000}"/>
    <cellStyle name="RowTitles-Detail 2 3 2 2 3" xfId="17788" xr:uid="{00000000-0005-0000-0000-00008F450000}"/>
    <cellStyle name="RowTitles-Detail 2 3 2 2 3 2" xfId="17789" xr:uid="{00000000-0005-0000-0000-000090450000}"/>
    <cellStyle name="RowTitles-Detail 2 3 2 2 3 2 2" xfId="17790" xr:uid="{00000000-0005-0000-0000-000091450000}"/>
    <cellStyle name="RowTitles-Detail 2 3 2 2 3 2 2 2" xfId="17791" xr:uid="{00000000-0005-0000-0000-000092450000}"/>
    <cellStyle name="RowTitles-Detail 2 3 2 2 3 2 2 2 2" xfId="17792" xr:uid="{00000000-0005-0000-0000-000093450000}"/>
    <cellStyle name="RowTitles-Detail 2 3 2 2 3 2 2 2_Tertiary Salaries Survey" xfId="17793" xr:uid="{00000000-0005-0000-0000-000094450000}"/>
    <cellStyle name="RowTitles-Detail 2 3 2 2 3 2 2 3" xfId="17794" xr:uid="{00000000-0005-0000-0000-000095450000}"/>
    <cellStyle name="RowTitles-Detail 2 3 2 2 3 2 2_Tertiary Salaries Survey" xfId="17795" xr:uid="{00000000-0005-0000-0000-000096450000}"/>
    <cellStyle name="RowTitles-Detail 2 3 2 2 3 2 3" xfId="17796" xr:uid="{00000000-0005-0000-0000-000097450000}"/>
    <cellStyle name="RowTitles-Detail 2 3 2 2 3 2 3 2" xfId="17797" xr:uid="{00000000-0005-0000-0000-000098450000}"/>
    <cellStyle name="RowTitles-Detail 2 3 2 2 3 2 3 2 2" xfId="17798" xr:uid="{00000000-0005-0000-0000-000099450000}"/>
    <cellStyle name="RowTitles-Detail 2 3 2 2 3 2 3 2_Tertiary Salaries Survey" xfId="17799" xr:uid="{00000000-0005-0000-0000-00009A450000}"/>
    <cellStyle name="RowTitles-Detail 2 3 2 2 3 2 3 3" xfId="17800" xr:uid="{00000000-0005-0000-0000-00009B450000}"/>
    <cellStyle name="RowTitles-Detail 2 3 2 2 3 2 3_Tertiary Salaries Survey" xfId="17801" xr:uid="{00000000-0005-0000-0000-00009C450000}"/>
    <cellStyle name="RowTitles-Detail 2 3 2 2 3 2 4" xfId="17802" xr:uid="{00000000-0005-0000-0000-00009D450000}"/>
    <cellStyle name="RowTitles-Detail 2 3 2 2 3 2 5" xfId="17803" xr:uid="{00000000-0005-0000-0000-00009E450000}"/>
    <cellStyle name="RowTitles-Detail 2 3 2 2 3 2 5 2" xfId="17804" xr:uid="{00000000-0005-0000-0000-00009F450000}"/>
    <cellStyle name="RowTitles-Detail 2 3 2 2 3 2 5_Tertiary Salaries Survey" xfId="17805" xr:uid="{00000000-0005-0000-0000-0000A0450000}"/>
    <cellStyle name="RowTitles-Detail 2 3 2 2 3 2 6" xfId="17806" xr:uid="{00000000-0005-0000-0000-0000A1450000}"/>
    <cellStyle name="RowTitles-Detail 2 3 2 2 3 2_Tertiary Salaries Survey" xfId="17807" xr:uid="{00000000-0005-0000-0000-0000A2450000}"/>
    <cellStyle name="RowTitles-Detail 2 3 2 2 3 3" xfId="17808" xr:uid="{00000000-0005-0000-0000-0000A3450000}"/>
    <cellStyle name="RowTitles-Detail 2 3 2 2 3 3 2" xfId="17809" xr:uid="{00000000-0005-0000-0000-0000A4450000}"/>
    <cellStyle name="RowTitles-Detail 2 3 2 2 3 3 2 2" xfId="17810" xr:uid="{00000000-0005-0000-0000-0000A5450000}"/>
    <cellStyle name="RowTitles-Detail 2 3 2 2 3 3 2 2 2" xfId="17811" xr:uid="{00000000-0005-0000-0000-0000A6450000}"/>
    <cellStyle name="RowTitles-Detail 2 3 2 2 3 3 2 2_Tertiary Salaries Survey" xfId="17812" xr:uid="{00000000-0005-0000-0000-0000A7450000}"/>
    <cellStyle name="RowTitles-Detail 2 3 2 2 3 3 2 3" xfId="17813" xr:uid="{00000000-0005-0000-0000-0000A8450000}"/>
    <cellStyle name="RowTitles-Detail 2 3 2 2 3 3 2_Tertiary Salaries Survey" xfId="17814" xr:uid="{00000000-0005-0000-0000-0000A9450000}"/>
    <cellStyle name="RowTitles-Detail 2 3 2 2 3 3 3" xfId="17815" xr:uid="{00000000-0005-0000-0000-0000AA450000}"/>
    <cellStyle name="RowTitles-Detail 2 3 2 2 3 3 3 2" xfId="17816" xr:uid="{00000000-0005-0000-0000-0000AB450000}"/>
    <cellStyle name="RowTitles-Detail 2 3 2 2 3 3 3 2 2" xfId="17817" xr:uid="{00000000-0005-0000-0000-0000AC450000}"/>
    <cellStyle name="RowTitles-Detail 2 3 2 2 3 3 3 2_Tertiary Salaries Survey" xfId="17818" xr:uid="{00000000-0005-0000-0000-0000AD450000}"/>
    <cellStyle name="RowTitles-Detail 2 3 2 2 3 3 3 3" xfId="17819" xr:uid="{00000000-0005-0000-0000-0000AE450000}"/>
    <cellStyle name="RowTitles-Detail 2 3 2 2 3 3 3_Tertiary Salaries Survey" xfId="17820" xr:uid="{00000000-0005-0000-0000-0000AF450000}"/>
    <cellStyle name="RowTitles-Detail 2 3 2 2 3 3 4" xfId="17821" xr:uid="{00000000-0005-0000-0000-0000B0450000}"/>
    <cellStyle name="RowTitles-Detail 2 3 2 2 3 3 5" xfId="17822" xr:uid="{00000000-0005-0000-0000-0000B1450000}"/>
    <cellStyle name="RowTitles-Detail 2 3 2 2 3 3_Tertiary Salaries Survey" xfId="17823" xr:uid="{00000000-0005-0000-0000-0000B2450000}"/>
    <cellStyle name="RowTitles-Detail 2 3 2 2 3 4" xfId="17824" xr:uid="{00000000-0005-0000-0000-0000B3450000}"/>
    <cellStyle name="RowTitles-Detail 2 3 2 2 3 4 2" xfId="17825" xr:uid="{00000000-0005-0000-0000-0000B4450000}"/>
    <cellStyle name="RowTitles-Detail 2 3 2 2 3 4 2 2" xfId="17826" xr:uid="{00000000-0005-0000-0000-0000B5450000}"/>
    <cellStyle name="RowTitles-Detail 2 3 2 2 3 4 2 2 2" xfId="17827" xr:uid="{00000000-0005-0000-0000-0000B6450000}"/>
    <cellStyle name="RowTitles-Detail 2 3 2 2 3 4 2 2_Tertiary Salaries Survey" xfId="17828" xr:uid="{00000000-0005-0000-0000-0000B7450000}"/>
    <cellStyle name="RowTitles-Detail 2 3 2 2 3 4 2 3" xfId="17829" xr:uid="{00000000-0005-0000-0000-0000B8450000}"/>
    <cellStyle name="RowTitles-Detail 2 3 2 2 3 4 2_Tertiary Salaries Survey" xfId="17830" xr:uid="{00000000-0005-0000-0000-0000B9450000}"/>
    <cellStyle name="RowTitles-Detail 2 3 2 2 3 4 3" xfId="17831" xr:uid="{00000000-0005-0000-0000-0000BA450000}"/>
    <cellStyle name="RowTitles-Detail 2 3 2 2 3 4 3 2" xfId="17832" xr:uid="{00000000-0005-0000-0000-0000BB450000}"/>
    <cellStyle name="RowTitles-Detail 2 3 2 2 3 4 3 2 2" xfId="17833" xr:uid="{00000000-0005-0000-0000-0000BC450000}"/>
    <cellStyle name="RowTitles-Detail 2 3 2 2 3 4 3 2_Tertiary Salaries Survey" xfId="17834" xr:uid="{00000000-0005-0000-0000-0000BD450000}"/>
    <cellStyle name="RowTitles-Detail 2 3 2 2 3 4 3 3" xfId="17835" xr:uid="{00000000-0005-0000-0000-0000BE450000}"/>
    <cellStyle name="RowTitles-Detail 2 3 2 2 3 4 3_Tertiary Salaries Survey" xfId="17836" xr:uid="{00000000-0005-0000-0000-0000BF450000}"/>
    <cellStyle name="RowTitles-Detail 2 3 2 2 3 4 4" xfId="17837" xr:uid="{00000000-0005-0000-0000-0000C0450000}"/>
    <cellStyle name="RowTitles-Detail 2 3 2 2 3 4 4 2" xfId="17838" xr:uid="{00000000-0005-0000-0000-0000C1450000}"/>
    <cellStyle name="RowTitles-Detail 2 3 2 2 3 4 4_Tertiary Salaries Survey" xfId="17839" xr:uid="{00000000-0005-0000-0000-0000C2450000}"/>
    <cellStyle name="RowTitles-Detail 2 3 2 2 3 4 5" xfId="17840" xr:uid="{00000000-0005-0000-0000-0000C3450000}"/>
    <cellStyle name="RowTitles-Detail 2 3 2 2 3 4_Tertiary Salaries Survey" xfId="17841" xr:uid="{00000000-0005-0000-0000-0000C4450000}"/>
    <cellStyle name="RowTitles-Detail 2 3 2 2 3 5" xfId="17842" xr:uid="{00000000-0005-0000-0000-0000C5450000}"/>
    <cellStyle name="RowTitles-Detail 2 3 2 2 3 5 2" xfId="17843" xr:uid="{00000000-0005-0000-0000-0000C6450000}"/>
    <cellStyle name="RowTitles-Detail 2 3 2 2 3 5 2 2" xfId="17844" xr:uid="{00000000-0005-0000-0000-0000C7450000}"/>
    <cellStyle name="RowTitles-Detail 2 3 2 2 3 5 2 2 2" xfId="17845" xr:uid="{00000000-0005-0000-0000-0000C8450000}"/>
    <cellStyle name="RowTitles-Detail 2 3 2 2 3 5 2 2_Tertiary Salaries Survey" xfId="17846" xr:uid="{00000000-0005-0000-0000-0000C9450000}"/>
    <cellStyle name="RowTitles-Detail 2 3 2 2 3 5 2 3" xfId="17847" xr:uid="{00000000-0005-0000-0000-0000CA450000}"/>
    <cellStyle name="RowTitles-Detail 2 3 2 2 3 5 2_Tertiary Salaries Survey" xfId="17848" xr:uid="{00000000-0005-0000-0000-0000CB450000}"/>
    <cellStyle name="RowTitles-Detail 2 3 2 2 3 5 3" xfId="17849" xr:uid="{00000000-0005-0000-0000-0000CC450000}"/>
    <cellStyle name="RowTitles-Detail 2 3 2 2 3 5 3 2" xfId="17850" xr:uid="{00000000-0005-0000-0000-0000CD450000}"/>
    <cellStyle name="RowTitles-Detail 2 3 2 2 3 5 3 2 2" xfId="17851" xr:uid="{00000000-0005-0000-0000-0000CE450000}"/>
    <cellStyle name="RowTitles-Detail 2 3 2 2 3 5 3 2_Tertiary Salaries Survey" xfId="17852" xr:uid="{00000000-0005-0000-0000-0000CF450000}"/>
    <cellStyle name="RowTitles-Detail 2 3 2 2 3 5 3 3" xfId="17853" xr:uid="{00000000-0005-0000-0000-0000D0450000}"/>
    <cellStyle name="RowTitles-Detail 2 3 2 2 3 5 3_Tertiary Salaries Survey" xfId="17854" xr:uid="{00000000-0005-0000-0000-0000D1450000}"/>
    <cellStyle name="RowTitles-Detail 2 3 2 2 3 5 4" xfId="17855" xr:uid="{00000000-0005-0000-0000-0000D2450000}"/>
    <cellStyle name="RowTitles-Detail 2 3 2 2 3 5 4 2" xfId="17856" xr:uid="{00000000-0005-0000-0000-0000D3450000}"/>
    <cellStyle name="RowTitles-Detail 2 3 2 2 3 5 4_Tertiary Salaries Survey" xfId="17857" xr:uid="{00000000-0005-0000-0000-0000D4450000}"/>
    <cellStyle name="RowTitles-Detail 2 3 2 2 3 5 5" xfId="17858" xr:uid="{00000000-0005-0000-0000-0000D5450000}"/>
    <cellStyle name="RowTitles-Detail 2 3 2 2 3 5_Tertiary Salaries Survey" xfId="17859" xr:uid="{00000000-0005-0000-0000-0000D6450000}"/>
    <cellStyle name="RowTitles-Detail 2 3 2 2 3 6" xfId="17860" xr:uid="{00000000-0005-0000-0000-0000D7450000}"/>
    <cellStyle name="RowTitles-Detail 2 3 2 2 3 6 2" xfId="17861" xr:uid="{00000000-0005-0000-0000-0000D8450000}"/>
    <cellStyle name="RowTitles-Detail 2 3 2 2 3 6 2 2" xfId="17862" xr:uid="{00000000-0005-0000-0000-0000D9450000}"/>
    <cellStyle name="RowTitles-Detail 2 3 2 2 3 6 2 2 2" xfId="17863" xr:uid="{00000000-0005-0000-0000-0000DA450000}"/>
    <cellStyle name="RowTitles-Detail 2 3 2 2 3 6 2 2_Tertiary Salaries Survey" xfId="17864" xr:uid="{00000000-0005-0000-0000-0000DB450000}"/>
    <cellStyle name="RowTitles-Detail 2 3 2 2 3 6 2 3" xfId="17865" xr:uid="{00000000-0005-0000-0000-0000DC450000}"/>
    <cellStyle name="RowTitles-Detail 2 3 2 2 3 6 2_Tertiary Salaries Survey" xfId="17866" xr:uid="{00000000-0005-0000-0000-0000DD450000}"/>
    <cellStyle name="RowTitles-Detail 2 3 2 2 3 6 3" xfId="17867" xr:uid="{00000000-0005-0000-0000-0000DE450000}"/>
    <cellStyle name="RowTitles-Detail 2 3 2 2 3 6 3 2" xfId="17868" xr:uid="{00000000-0005-0000-0000-0000DF450000}"/>
    <cellStyle name="RowTitles-Detail 2 3 2 2 3 6 3 2 2" xfId="17869" xr:uid="{00000000-0005-0000-0000-0000E0450000}"/>
    <cellStyle name="RowTitles-Detail 2 3 2 2 3 6 3 2_Tertiary Salaries Survey" xfId="17870" xr:uid="{00000000-0005-0000-0000-0000E1450000}"/>
    <cellStyle name="RowTitles-Detail 2 3 2 2 3 6 3 3" xfId="17871" xr:uid="{00000000-0005-0000-0000-0000E2450000}"/>
    <cellStyle name="RowTitles-Detail 2 3 2 2 3 6 3_Tertiary Salaries Survey" xfId="17872" xr:uid="{00000000-0005-0000-0000-0000E3450000}"/>
    <cellStyle name="RowTitles-Detail 2 3 2 2 3 6 4" xfId="17873" xr:uid="{00000000-0005-0000-0000-0000E4450000}"/>
    <cellStyle name="RowTitles-Detail 2 3 2 2 3 6 4 2" xfId="17874" xr:uid="{00000000-0005-0000-0000-0000E5450000}"/>
    <cellStyle name="RowTitles-Detail 2 3 2 2 3 6 4_Tertiary Salaries Survey" xfId="17875" xr:uid="{00000000-0005-0000-0000-0000E6450000}"/>
    <cellStyle name="RowTitles-Detail 2 3 2 2 3 6 5" xfId="17876" xr:uid="{00000000-0005-0000-0000-0000E7450000}"/>
    <cellStyle name="RowTitles-Detail 2 3 2 2 3 6_Tertiary Salaries Survey" xfId="17877" xr:uid="{00000000-0005-0000-0000-0000E8450000}"/>
    <cellStyle name="RowTitles-Detail 2 3 2 2 3 7" xfId="17878" xr:uid="{00000000-0005-0000-0000-0000E9450000}"/>
    <cellStyle name="RowTitles-Detail 2 3 2 2 3 7 2" xfId="17879" xr:uid="{00000000-0005-0000-0000-0000EA450000}"/>
    <cellStyle name="RowTitles-Detail 2 3 2 2 3 7 2 2" xfId="17880" xr:uid="{00000000-0005-0000-0000-0000EB450000}"/>
    <cellStyle name="RowTitles-Detail 2 3 2 2 3 7 2_Tertiary Salaries Survey" xfId="17881" xr:uid="{00000000-0005-0000-0000-0000EC450000}"/>
    <cellStyle name="RowTitles-Detail 2 3 2 2 3 7 3" xfId="17882" xr:uid="{00000000-0005-0000-0000-0000ED450000}"/>
    <cellStyle name="RowTitles-Detail 2 3 2 2 3 7_Tertiary Salaries Survey" xfId="17883" xr:uid="{00000000-0005-0000-0000-0000EE450000}"/>
    <cellStyle name="RowTitles-Detail 2 3 2 2 3 8" xfId="17884" xr:uid="{00000000-0005-0000-0000-0000EF450000}"/>
    <cellStyle name="RowTitles-Detail 2 3 2 2 3 8 2" xfId="17885" xr:uid="{00000000-0005-0000-0000-0000F0450000}"/>
    <cellStyle name="RowTitles-Detail 2 3 2 2 3 8 2 2" xfId="17886" xr:uid="{00000000-0005-0000-0000-0000F1450000}"/>
    <cellStyle name="RowTitles-Detail 2 3 2 2 3 8 2_Tertiary Salaries Survey" xfId="17887" xr:uid="{00000000-0005-0000-0000-0000F2450000}"/>
    <cellStyle name="RowTitles-Detail 2 3 2 2 3 8 3" xfId="17888" xr:uid="{00000000-0005-0000-0000-0000F3450000}"/>
    <cellStyle name="RowTitles-Detail 2 3 2 2 3 8_Tertiary Salaries Survey" xfId="17889" xr:uid="{00000000-0005-0000-0000-0000F4450000}"/>
    <cellStyle name="RowTitles-Detail 2 3 2 2 3 9" xfId="17890" xr:uid="{00000000-0005-0000-0000-0000F5450000}"/>
    <cellStyle name="RowTitles-Detail 2 3 2 2 3_STUD aligned by INSTIT" xfId="17891" xr:uid="{00000000-0005-0000-0000-0000F6450000}"/>
    <cellStyle name="RowTitles-Detail 2 3 2 2 4" xfId="17892" xr:uid="{00000000-0005-0000-0000-0000F7450000}"/>
    <cellStyle name="RowTitles-Detail 2 3 2 2 4 2" xfId="17893" xr:uid="{00000000-0005-0000-0000-0000F8450000}"/>
    <cellStyle name="RowTitles-Detail 2 3 2 2 4 2 2" xfId="17894" xr:uid="{00000000-0005-0000-0000-0000F9450000}"/>
    <cellStyle name="RowTitles-Detail 2 3 2 2 4 2 2 2" xfId="17895" xr:uid="{00000000-0005-0000-0000-0000FA450000}"/>
    <cellStyle name="RowTitles-Detail 2 3 2 2 4 2 2 2 2" xfId="17896" xr:uid="{00000000-0005-0000-0000-0000FB450000}"/>
    <cellStyle name="RowTitles-Detail 2 3 2 2 4 2 2 2_Tertiary Salaries Survey" xfId="17897" xr:uid="{00000000-0005-0000-0000-0000FC450000}"/>
    <cellStyle name="RowTitles-Detail 2 3 2 2 4 2 2 3" xfId="17898" xr:uid="{00000000-0005-0000-0000-0000FD450000}"/>
    <cellStyle name="RowTitles-Detail 2 3 2 2 4 2 2_Tertiary Salaries Survey" xfId="17899" xr:uid="{00000000-0005-0000-0000-0000FE450000}"/>
    <cellStyle name="RowTitles-Detail 2 3 2 2 4 2 3" xfId="17900" xr:uid="{00000000-0005-0000-0000-0000FF450000}"/>
    <cellStyle name="RowTitles-Detail 2 3 2 2 4 2 3 2" xfId="17901" xr:uid="{00000000-0005-0000-0000-000000460000}"/>
    <cellStyle name="RowTitles-Detail 2 3 2 2 4 2 3 2 2" xfId="17902" xr:uid="{00000000-0005-0000-0000-000001460000}"/>
    <cellStyle name="RowTitles-Detail 2 3 2 2 4 2 3 2_Tertiary Salaries Survey" xfId="17903" xr:uid="{00000000-0005-0000-0000-000002460000}"/>
    <cellStyle name="RowTitles-Detail 2 3 2 2 4 2 3 3" xfId="17904" xr:uid="{00000000-0005-0000-0000-000003460000}"/>
    <cellStyle name="RowTitles-Detail 2 3 2 2 4 2 3_Tertiary Salaries Survey" xfId="17905" xr:uid="{00000000-0005-0000-0000-000004460000}"/>
    <cellStyle name="RowTitles-Detail 2 3 2 2 4 2 4" xfId="17906" xr:uid="{00000000-0005-0000-0000-000005460000}"/>
    <cellStyle name="RowTitles-Detail 2 3 2 2 4 2 5" xfId="17907" xr:uid="{00000000-0005-0000-0000-000006460000}"/>
    <cellStyle name="RowTitles-Detail 2 3 2 2 4 2 5 2" xfId="17908" xr:uid="{00000000-0005-0000-0000-000007460000}"/>
    <cellStyle name="RowTitles-Detail 2 3 2 2 4 2 5_Tertiary Salaries Survey" xfId="17909" xr:uid="{00000000-0005-0000-0000-000008460000}"/>
    <cellStyle name="RowTitles-Detail 2 3 2 2 4 2 6" xfId="17910" xr:uid="{00000000-0005-0000-0000-000009460000}"/>
    <cellStyle name="RowTitles-Detail 2 3 2 2 4 2_Tertiary Salaries Survey" xfId="17911" xr:uid="{00000000-0005-0000-0000-00000A460000}"/>
    <cellStyle name="RowTitles-Detail 2 3 2 2 4 3" xfId="17912" xr:uid="{00000000-0005-0000-0000-00000B460000}"/>
    <cellStyle name="RowTitles-Detail 2 3 2 2 4 3 2" xfId="17913" xr:uid="{00000000-0005-0000-0000-00000C460000}"/>
    <cellStyle name="RowTitles-Detail 2 3 2 2 4 3 2 2" xfId="17914" xr:uid="{00000000-0005-0000-0000-00000D460000}"/>
    <cellStyle name="RowTitles-Detail 2 3 2 2 4 3 2 2 2" xfId="17915" xr:uid="{00000000-0005-0000-0000-00000E460000}"/>
    <cellStyle name="RowTitles-Detail 2 3 2 2 4 3 2 2_Tertiary Salaries Survey" xfId="17916" xr:uid="{00000000-0005-0000-0000-00000F460000}"/>
    <cellStyle name="RowTitles-Detail 2 3 2 2 4 3 2 3" xfId="17917" xr:uid="{00000000-0005-0000-0000-000010460000}"/>
    <cellStyle name="RowTitles-Detail 2 3 2 2 4 3 2_Tertiary Salaries Survey" xfId="17918" xr:uid="{00000000-0005-0000-0000-000011460000}"/>
    <cellStyle name="RowTitles-Detail 2 3 2 2 4 3 3" xfId="17919" xr:uid="{00000000-0005-0000-0000-000012460000}"/>
    <cellStyle name="RowTitles-Detail 2 3 2 2 4 3 3 2" xfId="17920" xr:uid="{00000000-0005-0000-0000-000013460000}"/>
    <cellStyle name="RowTitles-Detail 2 3 2 2 4 3 3 2 2" xfId="17921" xr:uid="{00000000-0005-0000-0000-000014460000}"/>
    <cellStyle name="RowTitles-Detail 2 3 2 2 4 3 3 2_Tertiary Salaries Survey" xfId="17922" xr:uid="{00000000-0005-0000-0000-000015460000}"/>
    <cellStyle name="RowTitles-Detail 2 3 2 2 4 3 3 3" xfId="17923" xr:uid="{00000000-0005-0000-0000-000016460000}"/>
    <cellStyle name="RowTitles-Detail 2 3 2 2 4 3 3_Tertiary Salaries Survey" xfId="17924" xr:uid="{00000000-0005-0000-0000-000017460000}"/>
    <cellStyle name="RowTitles-Detail 2 3 2 2 4 3 4" xfId="17925" xr:uid="{00000000-0005-0000-0000-000018460000}"/>
    <cellStyle name="RowTitles-Detail 2 3 2 2 4 3 5" xfId="17926" xr:uid="{00000000-0005-0000-0000-000019460000}"/>
    <cellStyle name="RowTitles-Detail 2 3 2 2 4 3_Tertiary Salaries Survey" xfId="17927" xr:uid="{00000000-0005-0000-0000-00001A460000}"/>
    <cellStyle name="RowTitles-Detail 2 3 2 2 4 4" xfId="17928" xr:uid="{00000000-0005-0000-0000-00001B460000}"/>
    <cellStyle name="RowTitles-Detail 2 3 2 2 4 4 2" xfId="17929" xr:uid="{00000000-0005-0000-0000-00001C460000}"/>
    <cellStyle name="RowTitles-Detail 2 3 2 2 4 4 2 2" xfId="17930" xr:uid="{00000000-0005-0000-0000-00001D460000}"/>
    <cellStyle name="RowTitles-Detail 2 3 2 2 4 4 2 2 2" xfId="17931" xr:uid="{00000000-0005-0000-0000-00001E460000}"/>
    <cellStyle name="RowTitles-Detail 2 3 2 2 4 4 2 2_Tertiary Salaries Survey" xfId="17932" xr:uid="{00000000-0005-0000-0000-00001F460000}"/>
    <cellStyle name="RowTitles-Detail 2 3 2 2 4 4 2 3" xfId="17933" xr:uid="{00000000-0005-0000-0000-000020460000}"/>
    <cellStyle name="RowTitles-Detail 2 3 2 2 4 4 2_Tertiary Salaries Survey" xfId="17934" xr:uid="{00000000-0005-0000-0000-000021460000}"/>
    <cellStyle name="RowTitles-Detail 2 3 2 2 4 4 3" xfId="17935" xr:uid="{00000000-0005-0000-0000-000022460000}"/>
    <cellStyle name="RowTitles-Detail 2 3 2 2 4 4 3 2" xfId="17936" xr:uid="{00000000-0005-0000-0000-000023460000}"/>
    <cellStyle name="RowTitles-Detail 2 3 2 2 4 4 3 2 2" xfId="17937" xr:uid="{00000000-0005-0000-0000-000024460000}"/>
    <cellStyle name="RowTitles-Detail 2 3 2 2 4 4 3 2_Tertiary Salaries Survey" xfId="17938" xr:uid="{00000000-0005-0000-0000-000025460000}"/>
    <cellStyle name="RowTitles-Detail 2 3 2 2 4 4 3 3" xfId="17939" xr:uid="{00000000-0005-0000-0000-000026460000}"/>
    <cellStyle name="RowTitles-Detail 2 3 2 2 4 4 3_Tertiary Salaries Survey" xfId="17940" xr:uid="{00000000-0005-0000-0000-000027460000}"/>
    <cellStyle name="RowTitles-Detail 2 3 2 2 4 4 4" xfId="17941" xr:uid="{00000000-0005-0000-0000-000028460000}"/>
    <cellStyle name="RowTitles-Detail 2 3 2 2 4 4 5" xfId="17942" xr:uid="{00000000-0005-0000-0000-000029460000}"/>
    <cellStyle name="RowTitles-Detail 2 3 2 2 4 4 5 2" xfId="17943" xr:uid="{00000000-0005-0000-0000-00002A460000}"/>
    <cellStyle name="RowTitles-Detail 2 3 2 2 4 4 5_Tertiary Salaries Survey" xfId="17944" xr:uid="{00000000-0005-0000-0000-00002B460000}"/>
    <cellStyle name="RowTitles-Detail 2 3 2 2 4 4 6" xfId="17945" xr:uid="{00000000-0005-0000-0000-00002C460000}"/>
    <cellStyle name="RowTitles-Detail 2 3 2 2 4 4_Tertiary Salaries Survey" xfId="17946" xr:uid="{00000000-0005-0000-0000-00002D460000}"/>
    <cellStyle name="RowTitles-Detail 2 3 2 2 4 5" xfId="17947" xr:uid="{00000000-0005-0000-0000-00002E460000}"/>
    <cellStyle name="RowTitles-Detail 2 3 2 2 4 5 2" xfId="17948" xr:uid="{00000000-0005-0000-0000-00002F460000}"/>
    <cellStyle name="RowTitles-Detail 2 3 2 2 4 5 2 2" xfId="17949" xr:uid="{00000000-0005-0000-0000-000030460000}"/>
    <cellStyle name="RowTitles-Detail 2 3 2 2 4 5 2 2 2" xfId="17950" xr:uid="{00000000-0005-0000-0000-000031460000}"/>
    <cellStyle name="RowTitles-Detail 2 3 2 2 4 5 2 2_Tertiary Salaries Survey" xfId="17951" xr:uid="{00000000-0005-0000-0000-000032460000}"/>
    <cellStyle name="RowTitles-Detail 2 3 2 2 4 5 2 3" xfId="17952" xr:uid="{00000000-0005-0000-0000-000033460000}"/>
    <cellStyle name="RowTitles-Detail 2 3 2 2 4 5 2_Tertiary Salaries Survey" xfId="17953" xr:uid="{00000000-0005-0000-0000-000034460000}"/>
    <cellStyle name="RowTitles-Detail 2 3 2 2 4 5 3" xfId="17954" xr:uid="{00000000-0005-0000-0000-000035460000}"/>
    <cellStyle name="RowTitles-Detail 2 3 2 2 4 5 3 2" xfId="17955" xr:uid="{00000000-0005-0000-0000-000036460000}"/>
    <cellStyle name="RowTitles-Detail 2 3 2 2 4 5 3 2 2" xfId="17956" xr:uid="{00000000-0005-0000-0000-000037460000}"/>
    <cellStyle name="RowTitles-Detail 2 3 2 2 4 5 3 2_Tertiary Salaries Survey" xfId="17957" xr:uid="{00000000-0005-0000-0000-000038460000}"/>
    <cellStyle name="RowTitles-Detail 2 3 2 2 4 5 3 3" xfId="17958" xr:uid="{00000000-0005-0000-0000-000039460000}"/>
    <cellStyle name="RowTitles-Detail 2 3 2 2 4 5 3_Tertiary Salaries Survey" xfId="17959" xr:uid="{00000000-0005-0000-0000-00003A460000}"/>
    <cellStyle name="RowTitles-Detail 2 3 2 2 4 5 4" xfId="17960" xr:uid="{00000000-0005-0000-0000-00003B460000}"/>
    <cellStyle name="RowTitles-Detail 2 3 2 2 4 5 4 2" xfId="17961" xr:uid="{00000000-0005-0000-0000-00003C460000}"/>
    <cellStyle name="RowTitles-Detail 2 3 2 2 4 5 4_Tertiary Salaries Survey" xfId="17962" xr:uid="{00000000-0005-0000-0000-00003D460000}"/>
    <cellStyle name="RowTitles-Detail 2 3 2 2 4 5 5" xfId="17963" xr:uid="{00000000-0005-0000-0000-00003E460000}"/>
    <cellStyle name="RowTitles-Detail 2 3 2 2 4 5_Tertiary Salaries Survey" xfId="17964" xr:uid="{00000000-0005-0000-0000-00003F460000}"/>
    <cellStyle name="RowTitles-Detail 2 3 2 2 4 6" xfId="17965" xr:uid="{00000000-0005-0000-0000-000040460000}"/>
    <cellStyle name="RowTitles-Detail 2 3 2 2 4 6 2" xfId="17966" xr:uid="{00000000-0005-0000-0000-000041460000}"/>
    <cellStyle name="RowTitles-Detail 2 3 2 2 4 6 2 2" xfId="17967" xr:uid="{00000000-0005-0000-0000-000042460000}"/>
    <cellStyle name="RowTitles-Detail 2 3 2 2 4 6 2 2 2" xfId="17968" xr:uid="{00000000-0005-0000-0000-000043460000}"/>
    <cellStyle name="RowTitles-Detail 2 3 2 2 4 6 2 2_Tertiary Salaries Survey" xfId="17969" xr:uid="{00000000-0005-0000-0000-000044460000}"/>
    <cellStyle name="RowTitles-Detail 2 3 2 2 4 6 2 3" xfId="17970" xr:uid="{00000000-0005-0000-0000-000045460000}"/>
    <cellStyle name="RowTitles-Detail 2 3 2 2 4 6 2_Tertiary Salaries Survey" xfId="17971" xr:uid="{00000000-0005-0000-0000-000046460000}"/>
    <cellStyle name="RowTitles-Detail 2 3 2 2 4 6 3" xfId="17972" xr:uid="{00000000-0005-0000-0000-000047460000}"/>
    <cellStyle name="RowTitles-Detail 2 3 2 2 4 6 3 2" xfId="17973" xr:uid="{00000000-0005-0000-0000-000048460000}"/>
    <cellStyle name="RowTitles-Detail 2 3 2 2 4 6 3 2 2" xfId="17974" xr:uid="{00000000-0005-0000-0000-000049460000}"/>
    <cellStyle name="RowTitles-Detail 2 3 2 2 4 6 3 2_Tertiary Salaries Survey" xfId="17975" xr:uid="{00000000-0005-0000-0000-00004A460000}"/>
    <cellStyle name="RowTitles-Detail 2 3 2 2 4 6 3 3" xfId="17976" xr:uid="{00000000-0005-0000-0000-00004B460000}"/>
    <cellStyle name="RowTitles-Detail 2 3 2 2 4 6 3_Tertiary Salaries Survey" xfId="17977" xr:uid="{00000000-0005-0000-0000-00004C460000}"/>
    <cellStyle name="RowTitles-Detail 2 3 2 2 4 6 4" xfId="17978" xr:uid="{00000000-0005-0000-0000-00004D460000}"/>
    <cellStyle name="RowTitles-Detail 2 3 2 2 4 6 4 2" xfId="17979" xr:uid="{00000000-0005-0000-0000-00004E460000}"/>
    <cellStyle name="RowTitles-Detail 2 3 2 2 4 6 4_Tertiary Salaries Survey" xfId="17980" xr:uid="{00000000-0005-0000-0000-00004F460000}"/>
    <cellStyle name="RowTitles-Detail 2 3 2 2 4 6 5" xfId="17981" xr:uid="{00000000-0005-0000-0000-000050460000}"/>
    <cellStyle name="RowTitles-Detail 2 3 2 2 4 6_Tertiary Salaries Survey" xfId="17982" xr:uid="{00000000-0005-0000-0000-000051460000}"/>
    <cellStyle name="RowTitles-Detail 2 3 2 2 4 7" xfId="17983" xr:uid="{00000000-0005-0000-0000-000052460000}"/>
    <cellStyle name="RowTitles-Detail 2 3 2 2 4 7 2" xfId="17984" xr:uid="{00000000-0005-0000-0000-000053460000}"/>
    <cellStyle name="RowTitles-Detail 2 3 2 2 4 7 2 2" xfId="17985" xr:uid="{00000000-0005-0000-0000-000054460000}"/>
    <cellStyle name="RowTitles-Detail 2 3 2 2 4 7 2_Tertiary Salaries Survey" xfId="17986" xr:uid="{00000000-0005-0000-0000-000055460000}"/>
    <cellStyle name="RowTitles-Detail 2 3 2 2 4 7 3" xfId="17987" xr:uid="{00000000-0005-0000-0000-000056460000}"/>
    <cellStyle name="RowTitles-Detail 2 3 2 2 4 7_Tertiary Salaries Survey" xfId="17988" xr:uid="{00000000-0005-0000-0000-000057460000}"/>
    <cellStyle name="RowTitles-Detail 2 3 2 2 4 8" xfId="17989" xr:uid="{00000000-0005-0000-0000-000058460000}"/>
    <cellStyle name="RowTitles-Detail 2 3 2 2 4 9" xfId="17990" xr:uid="{00000000-0005-0000-0000-000059460000}"/>
    <cellStyle name="RowTitles-Detail 2 3 2 2 4_STUD aligned by INSTIT" xfId="17991" xr:uid="{00000000-0005-0000-0000-00005A460000}"/>
    <cellStyle name="RowTitles-Detail 2 3 2 2 5" xfId="17992" xr:uid="{00000000-0005-0000-0000-00005B460000}"/>
    <cellStyle name="RowTitles-Detail 2 3 2 2 5 2" xfId="17993" xr:uid="{00000000-0005-0000-0000-00005C460000}"/>
    <cellStyle name="RowTitles-Detail 2 3 2 2 5 2 2" xfId="17994" xr:uid="{00000000-0005-0000-0000-00005D460000}"/>
    <cellStyle name="RowTitles-Detail 2 3 2 2 5 2 2 2" xfId="17995" xr:uid="{00000000-0005-0000-0000-00005E460000}"/>
    <cellStyle name="RowTitles-Detail 2 3 2 2 5 2 2_Tertiary Salaries Survey" xfId="17996" xr:uid="{00000000-0005-0000-0000-00005F460000}"/>
    <cellStyle name="RowTitles-Detail 2 3 2 2 5 2 3" xfId="17997" xr:uid="{00000000-0005-0000-0000-000060460000}"/>
    <cellStyle name="RowTitles-Detail 2 3 2 2 5 2_Tertiary Salaries Survey" xfId="17998" xr:uid="{00000000-0005-0000-0000-000061460000}"/>
    <cellStyle name="RowTitles-Detail 2 3 2 2 5 3" xfId="17999" xr:uid="{00000000-0005-0000-0000-000062460000}"/>
    <cellStyle name="RowTitles-Detail 2 3 2 2 5 3 2" xfId="18000" xr:uid="{00000000-0005-0000-0000-000063460000}"/>
    <cellStyle name="RowTitles-Detail 2 3 2 2 5 3 2 2" xfId="18001" xr:uid="{00000000-0005-0000-0000-000064460000}"/>
    <cellStyle name="RowTitles-Detail 2 3 2 2 5 3 2_Tertiary Salaries Survey" xfId="18002" xr:uid="{00000000-0005-0000-0000-000065460000}"/>
    <cellStyle name="RowTitles-Detail 2 3 2 2 5 3 3" xfId="18003" xr:uid="{00000000-0005-0000-0000-000066460000}"/>
    <cellStyle name="RowTitles-Detail 2 3 2 2 5 3_Tertiary Salaries Survey" xfId="18004" xr:uid="{00000000-0005-0000-0000-000067460000}"/>
    <cellStyle name="RowTitles-Detail 2 3 2 2 5 4" xfId="18005" xr:uid="{00000000-0005-0000-0000-000068460000}"/>
    <cellStyle name="RowTitles-Detail 2 3 2 2 5 5" xfId="18006" xr:uid="{00000000-0005-0000-0000-000069460000}"/>
    <cellStyle name="RowTitles-Detail 2 3 2 2 5 5 2" xfId="18007" xr:uid="{00000000-0005-0000-0000-00006A460000}"/>
    <cellStyle name="RowTitles-Detail 2 3 2 2 5 5_Tertiary Salaries Survey" xfId="18008" xr:uid="{00000000-0005-0000-0000-00006B460000}"/>
    <cellStyle name="RowTitles-Detail 2 3 2 2 5 6" xfId="18009" xr:uid="{00000000-0005-0000-0000-00006C460000}"/>
    <cellStyle name="RowTitles-Detail 2 3 2 2 5_Tertiary Salaries Survey" xfId="18010" xr:uid="{00000000-0005-0000-0000-00006D460000}"/>
    <cellStyle name="RowTitles-Detail 2 3 2 2 6" xfId="18011" xr:uid="{00000000-0005-0000-0000-00006E460000}"/>
    <cellStyle name="RowTitles-Detail 2 3 2 2 6 2" xfId="18012" xr:uid="{00000000-0005-0000-0000-00006F460000}"/>
    <cellStyle name="RowTitles-Detail 2 3 2 2 6 2 2" xfId="18013" xr:uid="{00000000-0005-0000-0000-000070460000}"/>
    <cellStyle name="RowTitles-Detail 2 3 2 2 6 2 2 2" xfId="18014" xr:uid="{00000000-0005-0000-0000-000071460000}"/>
    <cellStyle name="RowTitles-Detail 2 3 2 2 6 2 2_Tertiary Salaries Survey" xfId="18015" xr:uid="{00000000-0005-0000-0000-000072460000}"/>
    <cellStyle name="RowTitles-Detail 2 3 2 2 6 2 3" xfId="18016" xr:uid="{00000000-0005-0000-0000-000073460000}"/>
    <cellStyle name="RowTitles-Detail 2 3 2 2 6 2_Tertiary Salaries Survey" xfId="18017" xr:uid="{00000000-0005-0000-0000-000074460000}"/>
    <cellStyle name="RowTitles-Detail 2 3 2 2 6 3" xfId="18018" xr:uid="{00000000-0005-0000-0000-000075460000}"/>
    <cellStyle name="RowTitles-Detail 2 3 2 2 6 3 2" xfId="18019" xr:uid="{00000000-0005-0000-0000-000076460000}"/>
    <cellStyle name="RowTitles-Detail 2 3 2 2 6 3 2 2" xfId="18020" xr:uid="{00000000-0005-0000-0000-000077460000}"/>
    <cellStyle name="RowTitles-Detail 2 3 2 2 6 3 2_Tertiary Salaries Survey" xfId="18021" xr:uid="{00000000-0005-0000-0000-000078460000}"/>
    <cellStyle name="RowTitles-Detail 2 3 2 2 6 3 3" xfId="18022" xr:uid="{00000000-0005-0000-0000-000079460000}"/>
    <cellStyle name="RowTitles-Detail 2 3 2 2 6 3_Tertiary Salaries Survey" xfId="18023" xr:uid="{00000000-0005-0000-0000-00007A460000}"/>
    <cellStyle name="RowTitles-Detail 2 3 2 2 6 4" xfId="18024" xr:uid="{00000000-0005-0000-0000-00007B460000}"/>
    <cellStyle name="RowTitles-Detail 2 3 2 2 6 5" xfId="18025" xr:uid="{00000000-0005-0000-0000-00007C460000}"/>
    <cellStyle name="RowTitles-Detail 2 3 2 2 6_Tertiary Salaries Survey" xfId="18026" xr:uid="{00000000-0005-0000-0000-00007D460000}"/>
    <cellStyle name="RowTitles-Detail 2 3 2 2 7" xfId="18027" xr:uid="{00000000-0005-0000-0000-00007E460000}"/>
    <cellStyle name="RowTitles-Detail 2 3 2 2 7 2" xfId="18028" xr:uid="{00000000-0005-0000-0000-00007F460000}"/>
    <cellStyle name="RowTitles-Detail 2 3 2 2 7 2 2" xfId="18029" xr:uid="{00000000-0005-0000-0000-000080460000}"/>
    <cellStyle name="RowTitles-Detail 2 3 2 2 7 2 2 2" xfId="18030" xr:uid="{00000000-0005-0000-0000-000081460000}"/>
    <cellStyle name="RowTitles-Detail 2 3 2 2 7 2 2_Tertiary Salaries Survey" xfId="18031" xr:uid="{00000000-0005-0000-0000-000082460000}"/>
    <cellStyle name="RowTitles-Detail 2 3 2 2 7 2 3" xfId="18032" xr:uid="{00000000-0005-0000-0000-000083460000}"/>
    <cellStyle name="RowTitles-Detail 2 3 2 2 7 2_Tertiary Salaries Survey" xfId="18033" xr:uid="{00000000-0005-0000-0000-000084460000}"/>
    <cellStyle name="RowTitles-Detail 2 3 2 2 7 3" xfId="18034" xr:uid="{00000000-0005-0000-0000-000085460000}"/>
    <cellStyle name="RowTitles-Detail 2 3 2 2 7 3 2" xfId="18035" xr:uid="{00000000-0005-0000-0000-000086460000}"/>
    <cellStyle name="RowTitles-Detail 2 3 2 2 7 3 2 2" xfId="18036" xr:uid="{00000000-0005-0000-0000-000087460000}"/>
    <cellStyle name="RowTitles-Detail 2 3 2 2 7 3 2_Tertiary Salaries Survey" xfId="18037" xr:uid="{00000000-0005-0000-0000-000088460000}"/>
    <cellStyle name="RowTitles-Detail 2 3 2 2 7 3 3" xfId="18038" xr:uid="{00000000-0005-0000-0000-000089460000}"/>
    <cellStyle name="RowTitles-Detail 2 3 2 2 7 3_Tertiary Salaries Survey" xfId="18039" xr:uid="{00000000-0005-0000-0000-00008A460000}"/>
    <cellStyle name="RowTitles-Detail 2 3 2 2 7 4" xfId="18040" xr:uid="{00000000-0005-0000-0000-00008B460000}"/>
    <cellStyle name="RowTitles-Detail 2 3 2 2 7 5" xfId="18041" xr:uid="{00000000-0005-0000-0000-00008C460000}"/>
    <cellStyle name="RowTitles-Detail 2 3 2 2 7 5 2" xfId="18042" xr:uid="{00000000-0005-0000-0000-00008D460000}"/>
    <cellStyle name="RowTitles-Detail 2 3 2 2 7 5_Tertiary Salaries Survey" xfId="18043" xr:uid="{00000000-0005-0000-0000-00008E460000}"/>
    <cellStyle name="RowTitles-Detail 2 3 2 2 7 6" xfId="18044" xr:uid="{00000000-0005-0000-0000-00008F460000}"/>
    <cellStyle name="RowTitles-Detail 2 3 2 2 7_Tertiary Salaries Survey" xfId="18045" xr:uid="{00000000-0005-0000-0000-000090460000}"/>
    <cellStyle name="RowTitles-Detail 2 3 2 2 8" xfId="18046" xr:uid="{00000000-0005-0000-0000-000091460000}"/>
    <cellStyle name="RowTitles-Detail 2 3 2 2 8 2" xfId="18047" xr:uid="{00000000-0005-0000-0000-000092460000}"/>
    <cellStyle name="RowTitles-Detail 2 3 2 2 8 2 2" xfId="18048" xr:uid="{00000000-0005-0000-0000-000093460000}"/>
    <cellStyle name="RowTitles-Detail 2 3 2 2 8 2 2 2" xfId="18049" xr:uid="{00000000-0005-0000-0000-000094460000}"/>
    <cellStyle name="RowTitles-Detail 2 3 2 2 8 2 2_Tertiary Salaries Survey" xfId="18050" xr:uid="{00000000-0005-0000-0000-000095460000}"/>
    <cellStyle name="RowTitles-Detail 2 3 2 2 8 2 3" xfId="18051" xr:uid="{00000000-0005-0000-0000-000096460000}"/>
    <cellStyle name="RowTitles-Detail 2 3 2 2 8 2_Tertiary Salaries Survey" xfId="18052" xr:uid="{00000000-0005-0000-0000-000097460000}"/>
    <cellStyle name="RowTitles-Detail 2 3 2 2 8 3" xfId="18053" xr:uid="{00000000-0005-0000-0000-000098460000}"/>
    <cellStyle name="RowTitles-Detail 2 3 2 2 8 3 2" xfId="18054" xr:uid="{00000000-0005-0000-0000-000099460000}"/>
    <cellStyle name="RowTitles-Detail 2 3 2 2 8 3 2 2" xfId="18055" xr:uid="{00000000-0005-0000-0000-00009A460000}"/>
    <cellStyle name="RowTitles-Detail 2 3 2 2 8 3 2_Tertiary Salaries Survey" xfId="18056" xr:uid="{00000000-0005-0000-0000-00009B460000}"/>
    <cellStyle name="RowTitles-Detail 2 3 2 2 8 3 3" xfId="18057" xr:uid="{00000000-0005-0000-0000-00009C460000}"/>
    <cellStyle name="RowTitles-Detail 2 3 2 2 8 3_Tertiary Salaries Survey" xfId="18058" xr:uid="{00000000-0005-0000-0000-00009D460000}"/>
    <cellStyle name="RowTitles-Detail 2 3 2 2 8 4" xfId="18059" xr:uid="{00000000-0005-0000-0000-00009E460000}"/>
    <cellStyle name="RowTitles-Detail 2 3 2 2 8 4 2" xfId="18060" xr:uid="{00000000-0005-0000-0000-00009F460000}"/>
    <cellStyle name="RowTitles-Detail 2 3 2 2 8 4_Tertiary Salaries Survey" xfId="18061" xr:uid="{00000000-0005-0000-0000-0000A0460000}"/>
    <cellStyle name="RowTitles-Detail 2 3 2 2 8 5" xfId="18062" xr:uid="{00000000-0005-0000-0000-0000A1460000}"/>
    <cellStyle name="RowTitles-Detail 2 3 2 2 8_Tertiary Salaries Survey" xfId="18063" xr:uid="{00000000-0005-0000-0000-0000A2460000}"/>
    <cellStyle name="RowTitles-Detail 2 3 2 2 9" xfId="18064" xr:uid="{00000000-0005-0000-0000-0000A3460000}"/>
    <cellStyle name="RowTitles-Detail 2 3 2 2 9 2" xfId="18065" xr:uid="{00000000-0005-0000-0000-0000A4460000}"/>
    <cellStyle name="RowTitles-Detail 2 3 2 2 9 2 2" xfId="18066" xr:uid="{00000000-0005-0000-0000-0000A5460000}"/>
    <cellStyle name="RowTitles-Detail 2 3 2 2 9 2 2 2" xfId="18067" xr:uid="{00000000-0005-0000-0000-0000A6460000}"/>
    <cellStyle name="RowTitles-Detail 2 3 2 2 9 2 2_Tertiary Salaries Survey" xfId="18068" xr:uid="{00000000-0005-0000-0000-0000A7460000}"/>
    <cellStyle name="RowTitles-Detail 2 3 2 2 9 2 3" xfId="18069" xr:uid="{00000000-0005-0000-0000-0000A8460000}"/>
    <cellStyle name="RowTitles-Detail 2 3 2 2 9 2_Tertiary Salaries Survey" xfId="18070" xr:uid="{00000000-0005-0000-0000-0000A9460000}"/>
    <cellStyle name="RowTitles-Detail 2 3 2 2 9 3" xfId="18071" xr:uid="{00000000-0005-0000-0000-0000AA460000}"/>
    <cellStyle name="RowTitles-Detail 2 3 2 2 9 3 2" xfId="18072" xr:uid="{00000000-0005-0000-0000-0000AB460000}"/>
    <cellStyle name="RowTitles-Detail 2 3 2 2 9 3 2 2" xfId="18073" xr:uid="{00000000-0005-0000-0000-0000AC460000}"/>
    <cellStyle name="RowTitles-Detail 2 3 2 2 9 3 2_Tertiary Salaries Survey" xfId="18074" xr:uid="{00000000-0005-0000-0000-0000AD460000}"/>
    <cellStyle name="RowTitles-Detail 2 3 2 2 9 3 3" xfId="18075" xr:uid="{00000000-0005-0000-0000-0000AE460000}"/>
    <cellStyle name="RowTitles-Detail 2 3 2 2 9 3_Tertiary Salaries Survey" xfId="18076" xr:uid="{00000000-0005-0000-0000-0000AF460000}"/>
    <cellStyle name="RowTitles-Detail 2 3 2 2 9 4" xfId="18077" xr:uid="{00000000-0005-0000-0000-0000B0460000}"/>
    <cellStyle name="RowTitles-Detail 2 3 2 2 9 4 2" xfId="18078" xr:uid="{00000000-0005-0000-0000-0000B1460000}"/>
    <cellStyle name="RowTitles-Detail 2 3 2 2 9 4_Tertiary Salaries Survey" xfId="18079" xr:uid="{00000000-0005-0000-0000-0000B2460000}"/>
    <cellStyle name="RowTitles-Detail 2 3 2 2 9 5" xfId="18080" xr:uid="{00000000-0005-0000-0000-0000B3460000}"/>
    <cellStyle name="RowTitles-Detail 2 3 2 2 9_Tertiary Salaries Survey" xfId="18081" xr:uid="{00000000-0005-0000-0000-0000B4460000}"/>
    <cellStyle name="RowTitles-Detail 2 3 2 2_STUD aligned by INSTIT" xfId="18082" xr:uid="{00000000-0005-0000-0000-0000B5460000}"/>
    <cellStyle name="RowTitles-Detail 2 3 2 3" xfId="18083" xr:uid="{00000000-0005-0000-0000-0000B6460000}"/>
    <cellStyle name="RowTitles-Detail 2 3 2 3 2" xfId="18084" xr:uid="{00000000-0005-0000-0000-0000B7460000}"/>
    <cellStyle name="RowTitles-Detail 2 3 2 3 2 2" xfId="18085" xr:uid="{00000000-0005-0000-0000-0000B8460000}"/>
    <cellStyle name="RowTitles-Detail 2 3 2 3 2 2 2" xfId="18086" xr:uid="{00000000-0005-0000-0000-0000B9460000}"/>
    <cellStyle name="RowTitles-Detail 2 3 2 3 2 2 2 2" xfId="18087" xr:uid="{00000000-0005-0000-0000-0000BA460000}"/>
    <cellStyle name="RowTitles-Detail 2 3 2 3 2 2 2_Tertiary Salaries Survey" xfId="18088" xr:uid="{00000000-0005-0000-0000-0000BB460000}"/>
    <cellStyle name="RowTitles-Detail 2 3 2 3 2 2 3" xfId="18089" xr:uid="{00000000-0005-0000-0000-0000BC460000}"/>
    <cellStyle name="RowTitles-Detail 2 3 2 3 2 2_Tertiary Salaries Survey" xfId="18090" xr:uid="{00000000-0005-0000-0000-0000BD460000}"/>
    <cellStyle name="RowTitles-Detail 2 3 2 3 2 3" xfId="18091" xr:uid="{00000000-0005-0000-0000-0000BE460000}"/>
    <cellStyle name="RowTitles-Detail 2 3 2 3 2 3 2" xfId="18092" xr:uid="{00000000-0005-0000-0000-0000BF460000}"/>
    <cellStyle name="RowTitles-Detail 2 3 2 3 2 3 2 2" xfId="18093" xr:uid="{00000000-0005-0000-0000-0000C0460000}"/>
    <cellStyle name="RowTitles-Detail 2 3 2 3 2 3 2_Tertiary Salaries Survey" xfId="18094" xr:uid="{00000000-0005-0000-0000-0000C1460000}"/>
    <cellStyle name="RowTitles-Detail 2 3 2 3 2 3 3" xfId="18095" xr:uid="{00000000-0005-0000-0000-0000C2460000}"/>
    <cellStyle name="RowTitles-Detail 2 3 2 3 2 3_Tertiary Salaries Survey" xfId="18096" xr:uid="{00000000-0005-0000-0000-0000C3460000}"/>
    <cellStyle name="RowTitles-Detail 2 3 2 3 2 4" xfId="18097" xr:uid="{00000000-0005-0000-0000-0000C4460000}"/>
    <cellStyle name="RowTitles-Detail 2 3 2 3 2 5" xfId="18098" xr:uid="{00000000-0005-0000-0000-0000C5460000}"/>
    <cellStyle name="RowTitles-Detail 2 3 2 3 2_Tertiary Salaries Survey" xfId="18099" xr:uid="{00000000-0005-0000-0000-0000C6460000}"/>
    <cellStyle name="RowTitles-Detail 2 3 2 3 3" xfId="18100" xr:uid="{00000000-0005-0000-0000-0000C7460000}"/>
    <cellStyle name="RowTitles-Detail 2 3 2 3 3 2" xfId="18101" xr:uid="{00000000-0005-0000-0000-0000C8460000}"/>
    <cellStyle name="RowTitles-Detail 2 3 2 3 3 2 2" xfId="18102" xr:uid="{00000000-0005-0000-0000-0000C9460000}"/>
    <cellStyle name="RowTitles-Detail 2 3 2 3 3 2 2 2" xfId="18103" xr:uid="{00000000-0005-0000-0000-0000CA460000}"/>
    <cellStyle name="RowTitles-Detail 2 3 2 3 3 2 2_Tertiary Salaries Survey" xfId="18104" xr:uid="{00000000-0005-0000-0000-0000CB460000}"/>
    <cellStyle name="RowTitles-Detail 2 3 2 3 3 2 3" xfId="18105" xr:uid="{00000000-0005-0000-0000-0000CC460000}"/>
    <cellStyle name="RowTitles-Detail 2 3 2 3 3 2_Tertiary Salaries Survey" xfId="18106" xr:uid="{00000000-0005-0000-0000-0000CD460000}"/>
    <cellStyle name="RowTitles-Detail 2 3 2 3 3 3" xfId="18107" xr:uid="{00000000-0005-0000-0000-0000CE460000}"/>
    <cellStyle name="RowTitles-Detail 2 3 2 3 3 3 2" xfId="18108" xr:uid="{00000000-0005-0000-0000-0000CF460000}"/>
    <cellStyle name="RowTitles-Detail 2 3 2 3 3 3 2 2" xfId="18109" xr:uid="{00000000-0005-0000-0000-0000D0460000}"/>
    <cellStyle name="RowTitles-Detail 2 3 2 3 3 3 2_Tertiary Salaries Survey" xfId="18110" xr:uid="{00000000-0005-0000-0000-0000D1460000}"/>
    <cellStyle name="RowTitles-Detail 2 3 2 3 3 3 3" xfId="18111" xr:uid="{00000000-0005-0000-0000-0000D2460000}"/>
    <cellStyle name="RowTitles-Detail 2 3 2 3 3 3_Tertiary Salaries Survey" xfId="18112" xr:uid="{00000000-0005-0000-0000-0000D3460000}"/>
    <cellStyle name="RowTitles-Detail 2 3 2 3 3 4" xfId="18113" xr:uid="{00000000-0005-0000-0000-0000D4460000}"/>
    <cellStyle name="RowTitles-Detail 2 3 2 3 3 5" xfId="18114" xr:uid="{00000000-0005-0000-0000-0000D5460000}"/>
    <cellStyle name="RowTitles-Detail 2 3 2 3 3 5 2" xfId="18115" xr:uid="{00000000-0005-0000-0000-0000D6460000}"/>
    <cellStyle name="RowTitles-Detail 2 3 2 3 3 5_Tertiary Salaries Survey" xfId="18116" xr:uid="{00000000-0005-0000-0000-0000D7460000}"/>
    <cellStyle name="RowTitles-Detail 2 3 2 3 3 6" xfId="18117" xr:uid="{00000000-0005-0000-0000-0000D8460000}"/>
    <cellStyle name="RowTitles-Detail 2 3 2 3 3_Tertiary Salaries Survey" xfId="18118" xr:uid="{00000000-0005-0000-0000-0000D9460000}"/>
    <cellStyle name="RowTitles-Detail 2 3 2 3 4" xfId="18119" xr:uid="{00000000-0005-0000-0000-0000DA460000}"/>
    <cellStyle name="RowTitles-Detail 2 3 2 3 4 2" xfId="18120" xr:uid="{00000000-0005-0000-0000-0000DB460000}"/>
    <cellStyle name="RowTitles-Detail 2 3 2 3 4 2 2" xfId="18121" xr:uid="{00000000-0005-0000-0000-0000DC460000}"/>
    <cellStyle name="RowTitles-Detail 2 3 2 3 4 2 2 2" xfId="18122" xr:uid="{00000000-0005-0000-0000-0000DD460000}"/>
    <cellStyle name="RowTitles-Detail 2 3 2 3 4 2 2_Tertiary Salaries Survey" xfId="18123" xr:uid="{00000000-0005-0000-0000-0000DE460000}"/>
    <cellStyle name="RowTitles-Detail 2 3 2 3 4 2 3" xfId="18124" xr:uid="{00000000-0005-0000-0000-0000DF460000}"/>
    <cellStyle name="RowTitles-Detail 2 3 2 3 4 2_Tertiary Salaries Survey" xfId="18125" xr:uid="{00000000-0005-0000-0000-0000E0460000}"/>
    <cellStyle name="RowTitles-Detail 2 3 2 3 4 3" xfId="18126" xr:uid="{00000000-0005-0000-0000-0000E1460000}"/>
    <cellStyle name="RowTitles-Detail 2 3 2 3 4 3 2" xfId="18127" xr:uid="{00000000-0005-0000-0000-0000E2460000}"/>
    <cellStyle name="RowTitles-Detail 2 3 2 3 4 3 2 2" xfId="18128" xr:uid="{00000000-0005-0000-0000-0000E3460000}"/>
    <cellStyle name="RowTitles-Detail 2 3 2 3 4 3 2_Tertiary Salaries Survey" xfId="18129" xr:uid="{00000000-0005-0000-0000-0000E4460000}"/>
    <cellStyle name="RowTitles-Detail 2 3 2 3 4 3 3" xfId="18130" xr:uid="{00000000-0005-0000-0000-0000E5460000}"/>
    <cellStyle name="RowTitles-Detail 2 3 2 3 4 3_Tertiary Salaries Survey" xfId="18131" xr:uid="{00000000-0005-0000-0000-0000E6460000}"/>
    <cellStyle name="RowTitles-Detail 2 3 2 3 4 4" xfId="18132" xr:uid="{00000000-0005-0000-0000-0000E7460000}"/>
    <cellStyle name="RowTitles-Detail 2 3 2 3 4 4 2" xfId="18133" xr:uid="{00000000-0005-0000-0000-0000E8460000}"/>
    <cellStyle name="RowTitles-Detail 2 3 2 3 4 4_Tertiary Salaries Survey" xfId="18134" xr:uid="{00000000-0005-0000-0000-0000E9460000}"/>
    <cellStyle name="RowTitles-Detail 2 3 2 3 4 5" xfId="18135" xr:uid="{00000000-0005-0000-0000-0000EA460000}"/>
    <cellStyle name="RowTitles-Detail 2 3 2 3 4_Tertiary Salaries Survey" xfId="18136" xr:uid="{00000000-0005-0000-0000-0000EB460000}"/>
    <cellStyle name="RowTitles-Detail 2 3 2 3 5" xfId="18137" xr:uid="{00000000-0005-0000-0000-0000EC460000}"/>
    <cellStyle name="RowTitles-Detail 2 3 2 3 5 2" xfId="18138" xr:uid="{00000000-0005-0000-0000-0000ED460000}"/>
    <cellStyle name="RowTitles-Detail 2 3 2 3 5 2 2" xfId="18139" xr:uid="{00000000-0005-0000-0000-0000EE460000}"/>
    <cellStyle name="RowTitles-Detail 2 3 2 3 5 2 2 2" xfId="18140" xr:uid="{00000000-0005-0000-0000-0000EF460000}"/>
    <cellStyle name="RowTitles-Detail 2 3 2 3 5 2 2_Tertiary Salaries Survey" xfId="18141" xr:uid="{00000000-0005-0000-0000-0000F0460000}"/>
    <cellStyle name="RowTitles-Detail 2 3 2 3 5 2 3" xfId="18142" xr:uid="{00000000-0005-0000-0000-0000F1460000}"/>
    <cellStyle name="RowTitles-Detail 2 3 2 3 5 2_Tertiary Salaries Survey" xfId="18143" xr:uid="{00000000-0005-0000-0000-0000F2460000}"/>
    <cellStyle name="RowTitles-Detail 2 3 2 3 5 3" xfId="18144" xr:uid="{00000000-0005-0000-0000-0000F3460000}"/>
    <cellStyle name="RowTitles-Detail 2 3 2 3 5 3 2" xfId="18145" xr:uid="{00000000-0005-0000-0000-0000F4460000}"/>
    <cellStyle name="RowTitles-Detail 2 3 2 3 5 3 2 2" xfId="18146" xr:uid="{00000000-0005-0000-0000-0000F5460000}"/>
    <cellStyle name="RowTitles-Detail 2 3 2 3 5 3 2_Tertiary Salaries Survey" xfId="18147" xr:uid="{00000000-0005-0000-0000-0000F6460000}"/>
    <cellStyle name="RowTitles-Detail 2 3 2 3 5 3 3" xfId="18148" xr:uid="{00000000-0005-0000-0000-0000F7460000}"/>
    <cellStyle name="RowTitles-Detail 2 3 2 3 5 3_Tertiary Salaries Survey" xfId="18149" xr:uid="{00000000-0005-0000-0000-0000F8460000}"/>
    <cellStyle name="RowTitles-Detail 2 3 2 3 5 4" xfId="18150" xr:uid="{00000000-0005-0000-0000-0000F9460000}"/>
    <cellStyle name="RowTitles-Detail 2 3 2 3 5 4 2" xfId="18151" xr:uid="{00000000-0005-0000-0000-0000FA460000}"/>
    <cellStyle name="RowTitles-Detail 2 3 2 3 5 4_Tertiary Salaries Survey" xfId="18152" xr:uid="{00000000-0005-0000-0000-0000FB460000}"/>
    <cellStyle name="RowTitles-Detail 2 3 2 3 5 5" xfId="18153" xr:uid="{00000000-0005-0000-0000-0000FC460000}"/>
    <cellStyle name="RowTitles-Detail 2 3 2 3 5_Tertiary Salaries Survey" xfId="18154" xr:uid="{00000000-0005-0000-0000-0000FD460000}"/>
    <cellStyle name="RowTitles-Detail 2 3 2 3 6" xfId="18155" xr:uid="{00000000-0005-0000-0000-0000FE460000}"/>
    <cellStyle name="RowTitles-Detail 2 3 2 3 6 2" xfId="18156" xr:uid="{00000000-0005-0000-0000-0000FF460000}"/>
    <cellStyle name="RowTitles-Detail 2 3 2 3 6 2 2" xfId="18157" xr:uid="{00000000-0005-0000-0000-000000470000}"/>
    <cellStyle name="RowTitles-Detail 2 3 2 3 6 2 2 2" xfId="18158" xr:uid="{00000000-0005-0000-0000-000001470000}"/>
    <cellStyle name="RowTitles-Detail 2 3 2 3 6 2 2_Tertiary Salaries Survey" xfId="18159" xr:uid="{00000000-0005-0000-0000-000002470000}"/>
    <cellStyle name="RowTitles-Detail 2 3 2 3 6 2 3" xfId="18160" xr:uid="{00000000-0005-0000-0000-000003470000}"/>
    <cellStyle name="RowTitles-Detail 2 3 2 3 6 2_Tertiary Salaries Survey" xfId="18161" xr:uid="{00000000-0005-0000-0000-000004470000}"/>
    <cellStyle name="RowTitles-Detail 2 3 2 3 6 3" xfId="18162" xr:uid="{00000000-0005-0000-0000-000005470000}"/>
    <cellStyle name="RowTitles-Detail 2 3 2 3 6 3 2" xfId="18163" xr:uid="{00000000-0005-0000-0000-000006470000}"/>
    <cellStyle name="RowTitles-Detail 2 3 2 3 6 3 2 2" xfId="18164" xr:uid="{00000000-0005-0000-0000-000007470000}"/>
    <cellStyle name="RowTitles-Detail 2 3 2 3 6 3 2_Tertiary Salaries Survey" xfId="18165" xr:uid="{00000000-0005-0000-0000-000008470000}"/>
    <cellStyle name="RowTitles-Detail 2 3 2 3 6 3 3" xfId="18166" xr:uid="{00000000-0005-0000-0000-000009470000}"/>
    <cellStyle name="RowTitles-Detail 2 3 2 3 6 3_Tertiary Salaries Survey" xfId="18167" xr:uid="{00000000-0005-0000-0000-00000A470000}"/>
    <cellStyle name="RowTitles-Detail 2 3 2 3 6 4" xfId="18168" xr:uid="{00000000-0005-0000-0000-00000B470000}"/>
    <cellStyle name="RowTitles-Detail 2 3 2 3 6 4 2" xfId="18169" xr:uid="{00000000-0005-0000-0000-00000C470000}"/>
    <cellStyle name="RowTitles-Detail 2 3 2 3 6 4_Tertiary Salaries Survey" xfId="18170" xr:uid="{00000000-0005-0000-0000-00000D470000}"/>
    <cellStyle name="RowTitles-Detail 2 3 2 3 6 5" xfId="18171" xr:uid="{00000000-0005-0000-0000-00000E470000}"/>
    <cellStyle name="RowTitles-Detail 2 3 2 3 6_Tertiary Salaries Survey" xfId="18172" xr:uid="{00000000-0005-0000-0000-00000F470000}"/>
    <cellStyle name="RowTitles-Detail 2 3 2 3 7" xfId="18173" xr:uid="{00000000-0005-0000-0000-000010470000}"/>
    <cellStyle name="RowTitles-Detail 2 3 2 3 7 2" xfId="18174" xr:uid="{00000000-0005-0000-0000-000011470000}"/>
    <cellStyle name="RowTitles-Detail 2 3 2 3 7 2 2" xfId="18175" xr:uid="{00000000-0005-0000-0000-000012470000}"/>
    <cellStyle name="RowTitles-Detail 2 3 2 3 7 2_Tertiary Salaries Survey" xfId="18176" xr:uid="{00000000-0005-0000-0000-000013470000}"/>
    <cellStyle name="RowTitles-Detail 2 3 2 3 7 3" xfId="18177" xr:uid="{00000000-0005-0000-0000-000014470000}"/>
    <cellStyle name="RowTitles-Detail 2 3 2 3 7_Tertiary Salaries Survey" xfId="18178" xr:uid="{00000000-0005-0000-0000-000015470000}"/>
    <cellStyle name="RowTitles-Detail 2 3 2 3 8" xfId="18179" xr:uid="{00000000-0005-0000-0000-000016470000}"/>
    <cellStyle name="RowTitles-Detail 2 3 2 3 9" xfId="18180" xr:uid="{00000000-0005-0000-0000-000017470000}"/>
    <cellStyle name="RowTitles-Detail 2 3 2 3_STUD aligned by INSTIT" xfId="18181" xr:uid="{00000000-0005-0000-0000-000018470000}"/>
    <cellStyle name="RowTitles-Detail 2 3 2 4" xfId="18182" xr:uid="{00000000-0005-0000-0000-000019470000}"/>
    <cellStyle name="RowTitles-Detail 2 3 2 4 2" xfId="18183" xr:uid="{00000000-0005-0000-0000-00001A470000}"/>
    <cellStyle name="RowTitles-Detail 2 3 2 4 2 2" xfId="18184" xr:uid="{00000000-0005-0000-0000-00001B470000}"/>
    <cellStyle name="RowTitles-Detail 2 3 2 4 2 2 2" xfId="18185" xr:uid="{00000000-0005-0000-0000-00001C470000}"/>
    <cellStyle name="RowTitles-Detail 2 3 2 4 2 2 2 2" xfId="18186" xr:uid="{00000000-0005-0000-0000-00001D470000}"/>
    <cellStyle name="RowTitles-Detail 2 3 2 4 2 2 2_Tertiary Salaries Survey" xfId="18187" xr:uid="{00000000-0005-0000-0000-00001E470000}"/>
    <cellStyle name="RowTitles-Detail 2 3 2 4 2 2 3" xfId="18188" xr:uid="{00000000-0005-0000-0000-00001F470000}"/>
    <cellStyle name="RowTitles-Detail 2 3 2 4 2 2_Tertiary Salaries Survey" xfId="18189" xr:uid="{00000000-0005-0000-0000-000020470000}"/>
    <cellStyle name="RowTitles-Detail 2 3 2 4 2 3" xfId="18190" xr:uid="{00000000-0005-0000-0000-000021470000}"/>
    <cellStyle name="RowTitles-Detail 2 3 2 4 2 3 2" xfId="18191" xr:uid="{00000000-0005-0000-0000-000022470000}"/>
    <cellStyle name="RowTitles-Detail 2 3 2 4 2 3 2 2" xfId="18192" xr:uid="{00000000-0005-0000-0000-000023470000}"/>
    <cellStyle name="RowTitles-Detail 2 3 2 4 2 3 2_Tertiary Salaries Survey" xfId="18193" xr:uid="{00000000-0005-0000-0000-000024470000}"/>
    <cellStyle name="RowTitles-Detail 2 3 2 4 2 3 3" xfId="18194" xr:uid="{00000000-0005-0000-0000-000025470000}"/>
    <cellStyle name="RowTitles-Detail 2 3 2 4 2 3_Tertiary Salaries Survey" xfId="18195" xr:uid="{00000000-0005-0000-0000-000026470000}"/>
    <cellStyle name="RowTitles-Detail 2 3 2 4 2 4" xfId="18196" xr:uid="{00000000-0005-0000-0000-000027470000}"/>
    <cellStyle name="RowTitles-Detail 2 3 2 4 2 5" xfId="18197" xr:uid="{00000000-0005-0000-0000-000028470000}"/>
    <cellStyle name="RowTitles-Detail 2 3 2 4 2 5 2" xfId="18198" xr:uid="{00000000-0005-0000-0000-000029470000}"/>
    <cellStyle name="RowTitles-Detail 2 3 2 4 2 5_Tertiary Salaries Survey" xfId="18199" xr:uid="{00000000-0005-0000-0000-00002A470000}"/>
    <cellStyle name="RowTitles-Detail 2 3 2 4 2 6" xfId="18200" xr:uid="{00000000-0005-0000-0000-00002B470000}"/>
    <cellStyle name="RowTitles-Detail 2 3 2 4 2_Tertiary Salaries Survey" xfId="18201" xr:uid="{00000000-0005-0000-0000-00002C470000}"/>
    <cellStyle name="RowTitles-Detail 2 3 2 4 3" xfId="18202" xr:uid="{00000000-0005-0000-0000-00002D470000}"/>
    <cellStyle name="RowTitles-Detail 2 3 2 4 3 2" xfId="18203" xr:uid="{00000000-0005-0000-0000-00002E470000}"/>
    <cellStyle name="RowTitles-Detail 2 3 2 4 3 2 2" xfId="18204" xr:uid="{00000000-0005-0000-0000-00002F470000}"/>
    <cellStyle name="RowTitles-Detail 2 3 2 4 3 2 2 2" xfId="18205" xr:uid="{00000000-0005-0000-0000-000030470000}"/>
    <cellStyle name="RowTitles-Detail 2 3 2 4 3 2 2_Tertiary Salaries Survey" xfId="18206" xr:uid="{00000000-0005-0000-0000-000031470000}"/>
    <cellStyle name="RowTitles-Detail 2 3 2 4 3 2 3" xfId="18207" xr:uid="{00000000-0005-0000-0000-000032470000}"/>
    <cellStyle name="RowTitles-Detail 2 3 2 4 3 2_Tertiary Salaries Survey" xfId="18208" xr:uid="{00000000-0005-0000-0000-000033470000}"/>
    <cellStyle name="RowTitles-Detail 2 3 2 4 3 3" xfId="18209" xr:uid="{00000000-0005-0000-0000-000034470000}"/>
    <cellStyle name="RowTitles-Detail 2 3 2 4 3 3 2" xfId="18210" xr:uid="{00000000-0005-0000-0000-000035470000}"/>
    <cellStyle name="RowTitles-Detail 2 3 2 4 3 3 2 2" xfId="18211" xr:uid="{00000000-0005-0000-0000-000036470000}"/>
    <cellStyle name="RowTitles-Detail 2 3 2 4 3 3 2_Tertiary Salaries Survey" xfId="18212" xr:uid="{00000000-0005-0000-0000-000037470000}"/>
    <cellStyle name="RowTitles-Detail 2 3 2 4 3 3 3" xfId="18213" xr:uid="{00000000-0005-0000-0000-000038470000}"/>
    <cellStyle name="RowTitles-Detail 2 3 2 4 3 3_Tertiary Salaries Survey" xfId="18214" xr:uid="{00000000-0005-0000-0000-000039470000}"/>
    <cellStyle name="RowTitles-Detail 2 3 2 4 3 4" xfId="18215" xr:uid="{00000000-0005-0000-0000-00003A470000}"/>
    <cellStyle name="RowTitles-Detail 2 3 2 4 3 5" xfId="18216" xr:uid="{00000000-0005-0000-0000-00003B470000}"/>
    <cellStyle name="RowTitles-Detail 2 3 2 4 3_Tertiary Salaries Survey" xfId="18217" xr:uid="{00000000-0005-0000-0000-00003C470000}"/>
    <cellStyle name="RowTitles-Detail 2 3 2 4 4" xfId="18218" xr:uid="{00000000-0005-0000-0000-00003D470000}"/>
    <cellStyle name="RowTitles-Detail 2 3 2 4 4 2" xfId="18219" xr:uid="{00000000-0005-0000-0000-00003E470000}"/>
    <cellStyle name="RowTitles-Detail 2 3 2 4 4 2 2" xfId="18220" xr:uid="{00000000-0005-0000-0000-00003F470000}"/>
    <cellStyle name="RowTitles-Detail 2 3 2 4 4 2 2 2" xfId="18221" xr:uid="{00000000-0005-0000-0000-000040470000}"/>
    <cellStyle name="RowTitles-Detail 2 3 2 4 4 2 2_Tertiary Salaries Survey" xfId="18222" xr:uid="{00000000-0005-0000-0000-000041470000}"/>
    <cellStyle name="RowTitles-Detail 2 3 2 4 4 2 3" xfId="18223" xr:uid="{00000000-0005-0000-0000-000042470000}"/>
    <cellStyle name="RowTitles-Detail 2 3 2 4 4 2_Tertiary Salaries Survey" xfId="18224" xr:uid="{00000000-0005-0000-0000-000043470000}"/>
    <cellStyle name="RowTitles-Detail 2 3 2 4 4 3" xfId="18225" xr:uid="{00000000-0005-0000-0000-000044470000}"/>
    <cellStyle name="RowTitles-Detail 2 3 2 4 4 3 2" xfId="18226" xr:uid="{00000000-0005-0000-0000-000045470000}"/>
    <cellStyle name="RowTitles-Detail 2 3 2 4 4 3 2 2" xfId="18227" xr:uid="{00000000-0005-0000-0000-000046470000}"/>
    <cellStyle name="RowTitles-Detail 2 3 2 4 4 3 2_Tertiary Salaries Survey" xfId="18228" xr:uid="{00000000-0005-0000-0000-000047470000}"/>
    <cellStyle name="RowTitles-Detail 2 3 2 4 4 3 3" xfId="18229" xr:uid="{00000000-0005-0000-0000-000048470000}"/>
    <cellStyle name="RowTitles-Detail 2 3 2 4 4 3_Tertiary Salaries Survey" xfId="18230" xr:uid="{00000000-0005-0000-0000-000049470000}"/>
    <cellStyle name="RowTitles-Detail 2 3 2 4 4 4" xfId="18231" xr:uid="{00000000-0005-0000-0000-00004A470000}"/>
    <cellStyle name="RowTitles-Detail 2 3 2 4 4 4 2" xfId="18232" xr:uid="{00000000-0005-0000-0000-00004B470000}"/>
    <cellStyle name="RowTitles-Detail 2 3 2 4 4 4_Tertiary Salaries Survey" xfId="18233" xr:uid="{00000000-0005-0000-0000-00004C470000}"/>
    <cellStyle name="RowTitles-Detail 2 3 2 4 4 5" xfId="18234" xr:uid="{00000000-0005-0000-0000-00004D470000}"/>
    <cellStyle name="RowTitles-Detail 2 3 2 4 4_Tertiary Salaries Survey" xfId="18235" xr:uid="{00000000-0005-0000-0000-00004E470000}"/>
    <cellStyle name="RowTitles-Detail 2 3 2 4 5" xfId="18236" xr:uid="{00000000-0005-0000-0000-00004F470000}"/>
    <cellStyle name="RowTitles-Detail 2 3 2 4 5 2" xfId="18237" xr:uid="{00000000-0005-0000-0000-000050470000}"/>
    <cellStyle name="RowTitles-Detail 2 3 2 4 5 2 2" xfId="18238" xr:uid="{00000000-0005-0000-0000-000051470000}"/>
    <cellStyle name="RowTitles-Detail 2 3 2 4 5 2 2 2" xfId="18239" xr:uid="{00000000-0005-0000-0000-000052470000}"/>
    <cellStyle name="RowTitles-Detail 2 3 2 4 5 2 2_Tertiary Salaries Survey" xfId="18240" xr:uid="{00000000-0005-0000-0000-000053470000}"/>
    <cellStyle name="RowTitles-Detail 2 3 2 4 5 2 3" xfId="18241" xr:uid="{00000000-0005-0000-0000-000054470000}"/>
    <cellStyle name="RowTitles-Detail 2 3 2 4 5 2_Tertiary Salaries Survey" xfId="18242" xr:uid="{00000000-0005-0000-0000-000055470000}"/>
    <cellStyle name="RowTitles-Detail 2 3 2 4 5 3" xfId="18243" xr:uid="{00000000-0005-0000-0000-000056470000}"/>
    <cellStyle name="RowTitles-Detail 2 3 2 4 5 3 2" xfId="18244" xr:uid="{00000000-0005-0000-0000-000057470000}"/>
    <cellStyle name="RowTitles-Detail 2 3 2 4 5 3 2 2" xfId="18245" xr:uid="{00000000-0005-0000-0000-000058470000}"/>
    <cellStyle name="RowTitles-Detail 2 3 2 4 5 3 2_Tertiary Salaries Survey" xfId="18246" xr:uid="{00000000-0005-0000-0000-000059470000}"/>
    <cellStyle name="RowTitles-Detail 2 3 2 4 5 3 3" xfId="18247" xr:uid="{00000000-0005-0000-0000-00005A470000}"/>
    <cellStyle name="RowTitles-Detail 2 3 2 4 5 3_Tertiary Salaries Survey" xfId="18248" xr:uid="{00000000-0005-0000-0000-00005B470000}"/>
    <cellStyle name="RowTitles-Detail 2 3 2 4 5 4" xfId="18249" xr:uid="{00000000-0005-0000-0000-00005C470000}"/>
    <cellStyle name="RowTitles-Detail 2 3 2 4 5 4 2" xfId="18250" xr:uid="{00000000-0005-0000-0000-00005D470000}"/>
    <cellStyle name="RowTitles-Detail 2 3 2 4 5 4_Tertiary Salaries Survey" xfId="18251" xr:uid="{00000000-0005-0000-0000-00005E470000}"/>
    <cellStyle name="RowTitles-Detail 2 3 2 4 5 5" xfId="18252" xr:uid="{00000000-0005-0000-0000-00005F470000}"/>
    <cellStyle name="RowTitles-Detail 2 3 2 4 5_Tertiary Salaries Survey" xfId="18253" xr:uid="{00000000-0005-0000-0000-000060470000}"/>
    <cellStyle name="RowTitles-Detail 2 3 2 4 6" xfId="18254" xr:uid="{00000000-0005-0000-0000-000061470000}"/>
    <cellStyle name="RowTitles-Detail 2 3 2 4 6 2" xfId="18255" xr:uid="{00000000-0005-0000-0000-000062470000}"/>
    <cellStyle name="RowTitles-Detail 2 3 2 4 6 2 2" xfId="18256" xr:uid="{00000000-0005-0000-0000-000063470000}"/>
    <cellStyle name="RowTitles-Detail 2 3 2 4 6 2 2 2" xfId="18257" xr:uid="{00000000-0005-0000-0000-000064470000}"/>
    <cellStyle name="RowTitles-Detail 2 3 2 4 6 2 2_Tertiary Salaries Survey" xfId="18258" xr:uid="{00000000-0005-0000-0000-000065470000}"/>
    <cellStyle name="RowTitles-Detail 2 3 2 4 6 2 3" xfId="18259" xr:uid="{00000000-0005-0000-0000-000066470000}"/>
    <cellStyle name="RowTitles-Detail 2 3 2 4 6 2_Tertiary Salaries Survey" xfId="18260" xr:uid="{00000000-0005-0000-0000-000067470000}"/>
    <cellStyle name="RowTitles-Detail 2 3 2 4 6 3" xfId="18261" xr:uid="{00000000-0005-0000-0000-000068470000}"/>
    <cellStyle name="RowTitles-Detail 2 3 2 4 6 3 2" xfId="18262" xr:uid="{00000000-0005-0000-0000-000069470000}"/>
    <cellStyle name="RowTitles-Detail 2 3 2 4 6 3 2 2" xfId="18263" xr:uid="{00000000-0005-0000-0000-00006A470000}"/>
    <cellStyle name="RowTitles-Detail 2 3 2 4 6 3 2_Tertiary Salaries Survey" xfId="18264" xr:uid="{00000000-0005-0000-0000-00006B470000}"/>
    <cellStyle name="RowTitles-Detail 2 3 2 4 6 3 3" xfId="18265" xr:uid="{00000000-0005-0000-0000-00006C470000}"/>
    <cellStyle name="RowTitles-Detail 2 3 2 4 6 3_Tertiary Salaries Survey" xfId="18266" xr:uid="{00000000-0005-0000-0000-00006D470000}"/>
    <cellStyle name="RowTitles-Detail 2 3 2 4 6 4" xfId="18267" xr:uid="{00000000-0005-0000-0000-00006E470000}"/>
    <cellStyle name="RowTitles-Detail 2 3 2 4 6 4 2" xfId="18268" xr:uid="{00000000-0005-0000-0000-00006F470000}"/>
    <cellStyle name="RowTitles-Detail 2 3 2 4 6 4_Tertiary Salaries Survey" xfId="18269" xr:uid="{00000000-0005-0000-0000-000070470000}"/>
    <cellStyle name="RowTitles-Detail 2 3 2 4 6 5" xfId="18270" xr:uid="{00000000-0005-0000-0000-000071470000}"/>
    <cellStyle name="RowTitles-Detail 2 3 2 4 6_Tertiary Salaries Survey" xfId="18271" xr:uid="{00000000-0005-0000-0000-000072470000}"/>
    <cellStyle name="RowTitles-Detail 2 3 2 4 7" xfId="18272" xr:uid="{00000000-0005-0000-0000-000073470000}"/>
    <cellStyle name="RowTitles-Detail 2 3 2 4 7 2" xfId="18273" xr:uid="{00000000-0005-0000-0000-000074470000}"/>
    <cellStyle name="RowTitles-Detail 2 3 2 4 7 2 2" xfId="18274" xr:uid="{00000000-0005-0000-0000-000075470000}"/>
    <cellStyle name="RowTitles-Detail 2 3 2 4 7 2_Tertiary Salaries Survey" xfId="18275" xr:uid="{00000000-0005-0000-0000-000076470000}"/>
    <cellStyle name="RowTitles-Detail 2 3 2 4 7 3" xfId="18276" xr:uid="{00000000-0005-0000-0000-000077470000}"/>
    <cellStyle name="RowTitles-Detail 2 3 2 4 7_Tertiary Salaries Survey" xfId="18277" xr:uid="{00000000-0005-0000-0000-000078470000}"/>
    <cellStyle name="RowTitles-Detail 2 3 2 4 8" xfId="18278" xr:uid="{00000000-0005-0000-0000-000079470000}"/>
    <cellStyle name="RowTitles-Detail 2 3 2 4 8 2" xfId="18279" xr:uid="{00000000-0005-0000-0000-00007A470000}"/>
    <cellStyle name="RowTitles-Detail 2 3 2 4 8 2 2" xfId="18280" xr:uid="{00000000-0005-0000-0000-00007B470000}"/>
    <cellStyle name="RowTitles-Detail 2 3 2 4 8 2_Tertiary Salaries Survey" xfId="18281" xr:uid="{00000000-0005-0000-0000-00007C470000}"/>
    <cellStyle name="RowTitles-Detail 2 3 2 4 8 3" xfId="18282" xr:uid="{00000000-0005-0000-0000-00007D470000}"/>
    <cellStyle name="RowTitles-Detail 2 3 2 4 8_Tertiary Salaries Survey" xfId="18283" xr:uid="{00000000-0005-0000-0000-00007E470000}"/>
    <cellStyle name="RowTitles-Detail 2 3 2 4 9" xfId="18284" xr:uid="{00000000-0005-0000-0000-00007F470000}"/>
    <cellStyle name="RowTitles-Detail 2 3 2 4_STUD aligned by INSTIT" xfId="18285" xr:uid="{00000000-0005-0000-0000-000080470000}"/>
    <cellStyle name="RowTitles-Detail 2 3 2 5" xfId="18286" xr:uid="{00000000-0005-0000-0000-000081470000}"/>
    <cellStyle name="RowTitles-Detail 2 3 2 5 2" xfId="18287" xr:uid="{00000000-0005-0000-0000-000082470000}"/>
    <cellStyle name="RowTitles-Detail 2 3 2 5 2 2" xfId="18288" xr:uid="{00000000-0005-0000-0000-000083470000}"/>
    <cellStyle name="RowTitles-Detail 2 3 2 5 2 2 2" xfId="18289" xr:uid="{00000000-0005-0000-0000-000084470000}"/>
    <cellStyle name="RowTitles-Detail 2 3 2 5 2 2 2 2" xfId="18290" xr:uid="{00000000-0005-0000-0000-000085470000}"/>
    <cellStyle name="RowTitles-Detail 2 3 2 5 2 2 2_Tertiary Salaries Survey" xfId="18291" xr:uid="{00000000-0005-0000-0000-000086470000}"/>
    <cellStyle name="RowTitles-Detail 2 3 2 5 2 2 3" xfId="18292" xr:uid="{00000000-0005-0000-0000-000087470000}"/>
    <cellStyle name="RowTitles-Detail 2 3 2 5 2 2_Tertiary Salaries Survey" xfId="18293" xr:uid="{00000000-0005-0000-0000-000088470000}"/>
    <cellStyle name="RowTitles-Detail 2 3 2 5 2 3" xfId="18294" xr:uid="{00000000-0005-0000-0000-000089470000}"/>
    <cellStyle name="RowTitles-Detail 2 3 2 5 2 3 2" xfId="18295" xr:uid="{00000000-0005-0000-0000-00008A470000}"/>
    <cellStyle name="RowTitles-Detail 2 3 2 5 2 3 2 2" xfId="18296" xr:uid="{00000000-0005-0000-0000-00008B470000}"/>
    <cellStyle name="RowTitles-Detail 2 3 2 5 2 3 2_Tertiary Salaries Survey" xfId="18297" xr:uid="{00000000-0005-0000-0000-00008C470000}"/>
    <cellStyle name="RowTitles-Detail 2 3 2 5 2 3 3" xfId="18298" xr:uid="{00000000-0005-0000-0000-00008D470000}"/>
    <cellStyle name="RowTitles-Detail 2 3 2 5 2 3_Tertiary Salaries Survey" xfId="18299" xr:uid="{00000000-0005-0000-0000-00008E470000}"/>
    <cellStyle name="RowTitles-Detail 2 3 2 5 2 4" xfId="18300" xr:uid="{00000000-0005-0000-0000-00008F470000}"/>
    <cellStyle name="RowTitles-Detail 2 3 2 5 2 5" xfId="18301" xr:uid="{00000000-0005-0000-0000-000090470000}"/>
    <cellStyle name="RowTitles-Detail 2 3 2 5 2 5 2" xfId="18302" xr:uid="{00000000-0005-0000-0000-000091470000}"/>
    <cellStyle name="RowTitles-Detail 2 3 2 5 2 5_Tertiary Salaries Survey" xfId="18303" xr:uid="{00000000-0005-0000-0000-000092470000}"/>
    <cellStyle name="RowTitles-Detail 2 3 2 5 2 6" xfId="18304" xr:uid="{00000000-0005-0000-0000-000093470000}"/>
    <cellStyle name="RowTitles-Detail 2 3 2 5 2_Tertiary Salaries Survey" xfId="18305" xr:uid="{00000000-0005-0000-0000-000094470000}"/>
    <cellStyle name="RowTitles-Detail 2 3 2 5 3" xfId="18306" xr:uid="{00000000-0005-0000-0000-000095470000}"/>
    <cellStyle name="RowTitles-Detail 2 3 2 5 3 2" xfId="18307" xr:uid="{00000000-0005-0000-0000-000096470000}"/>
    <cellStyle name="RowTitles-Detail 2 3 2 5 3 2 2" xfId="18308" xr:uid="{00000000-0005-0000-0000-000097470000}"/>
    <cellStyle name="RowTitles-Detail 2 3 2 5 3 2 2 2" xfId="18309" xr:uid="{00000000-0005-0000-0000-000098470000}"/>
    <cellStyle name="RowTitles-Detail 2 3 2 5 3 2 2_Tertiary Salaries Survey" xfId="18310" xr:uid="{00000000-0005-0000-0000-000099470000}"/>
    <cellStyle name="RowTitles-Detail 2 3 2 5 3 2 3" xfId="18311" xr:uid="{00000000-0005-0000-0000-00009A470000}"/>
    <cellStyle name="RowTitles-Detail 2 3 2 5 3 2_Tertiary Salaries Survey" xfId="18312" xr:uid="{00000000-0005-0000-0000-00009B470000}"/>
    <cellStyle name="RowTitles-Detail 2 3 2 5 3 3" xfId="18313" xr:uid="{00000000-0005-0000-0000-00009C470000}"/>
    <cellStyle name="RowTitles-Detail 2 3 2 5 3 3 2" xfId="18314" xr:uid="{00000000-0005-0000-0000-00009D470000}"/>
    <cellStyle name="RowTitles-Detail 2 3 2 5 3 3 2 2" xfId="18315" xr:uid="{00000000-0005-0000-0000-00009E470000}"/>
    <cellStyle name="RowTitles-Detail 2 3 2 5 3 3 2_Tertiary Salaries Survey" xfId="18316" xr:uid="{00000000-0005-0000-0000-00009F470000}"/>
    <cellStyle name="RowTitles-Detail 2 3 2 5 3 3 3" xfId="18317" xr:uid="{00000000-0005-0000-0000-0000A0470000}"/>
    <cellStyle name="RowTitles-Detail 2 3 2 5 3 3_Tertiary Salaries Survey" xfId="18318" xr:uid="{00000000-0005-0000-0000-0000A1470000}"/>
    <cellStyle name="RowTitles-Detail 2 3 2 5 3 4" xfId="18319" xr:uid="{00000000-0005-0000-0000-0000A2470000}"/>
    <cellStyle name="RowTitles-Detail 2 3 2 5 3 5" xfId="18320" xr:uid="{00000000-0005-0000-0000-0000A3470000}"/>
    <cellStyle name="RowTitles-Detail 2 3 2 5 3_Tertiary Salaries Survey" xfId="18321" xr:uid="{00000000-0005-0000-0000-0000A4470000}"/>
    <cellStyle name="RowTitles-Detail 2 3 2 5 4" xfId="18322" xr:uid="{00000000-0005-0000-0000-0000A5470000}"/>
    <cellStyle name="RowTitles-Detail 2 3 2 5 4 2" xfId="18323" xr:uid="{00000000-0005-0000-0000-0000A6470000}"/>
    <cellStyle name="RowTitles-Detail 2 3 2 5 4 2 2" xfId="18324" xr:uid="{00000000-0005-0000-0000-0000A7470000}"/>
    <cellStyle name="RowTitles-Detail 2 3 2 5 4 2 2 2" xfId="18325" xr:uid="{00000000-0005-0000-0000-0000A8470000}"/>
    <cellStyle name="RowTitles-Detail 2 3 2 5 4 2 2_Tertiary Salaries Survey" xfId="18326" xr:uid="{00000000-0005-0000-0000-0000A9470000}"/>
    <cellStyle name="RowTitles-Detail 2 3 2 5 4 2 3" xfId="18327" xr:uid="{00000000-0005-0000-0000-0000AA470000}"/>
    <cellStyle name="RowTitles-Detail 2 3 2 5 4 2_Tertiary Salaries Survey" xfId="18328" xr:uid="{00000000-0005-0000-0000-0000AB470000}"/>
    <cellStyle name="RowTitles-Detail 2 3 2 5 4 3" xfId="18329" xr:uid="{00000000-0005-0000-0000-0000AC470000}"/>
    <cellStyle name="RowTitles-Detail 2 3 2 5 4 3 2" xfId="18330" xr:uid="{00000000-0005-0000-0000-0000AD470000}"/>
    <cellStyle name="RowTitles-Detail 2 3 2 5 4 3 2 2" xfId="18331" xr:uid="{00000000-0005-0000-0000-0000AE470000}"/>
    <cellStyle name="RowTitles-Detail 2 3 2 5 4 3 2_Tertiary Salaries Survey" xfId="18332" xr:uid="{00000000-0005-0000-0000-0000AF470000}"/>
    <cellStyle name="RowTitles-Detail 2 3 2 5 4 3 3" xfId="18333" xr:uid="{00000000-0005-0000-0000-0000B0470000}"/>
    <cellStyle name="RowTitles-Detail 2 3 2 5 4 3_Tertiary Salaries Survey" xfId="18334" xr:uid="{00000000-0005-0000-0000-0000B1470000}"/>
    <cellStyle name="RowTitles-Detail 2 3 2 5 4 4" xfId="18335" xr:uid="{00000000-0005-0000-0000-0000B2470000}"/>
    <cellStyle name="RowTitles-Detail 2 3 2 5 4 5" xfId="18336" xr:uid="{00000000-0005-0000-0000-0000B3470000}"/>
    <cellStyle name="RowTitles-Detail 2 3 2 5 4 5 2" xfId="18337" xr:uid="{00000000-0005-0000-0000-0000B4470000}"/>
    <cellStyle name="RowTitles-Detail 2 3 2 5 4 5_Tertiary Salaries Survey" xfId="18338" xr:uid="{00000000-0005-0000-0000-0000B5470000}"/>
    <cellStyle name="RowTitles-Detail 2 3 2 5 4 6" xfId="18339" xr:uid="{00000000-0005-0000-0000-0000B6470000}"/>
    <cellStyle name="RowTitles-Detail 2 3 2 5 4_Tertiary Salaries Survey" xfId="18340" xr:uid="{00000000-0005-0000-0000-0000B7470000}"/>
    <cellStyle name="RowTitles-Detail 2 3 2 5 5" xfId="18341" xr:uid="{00000000-0005-0000-0000-0000B8470000}"/>
    <cellStyle name="RowTitles-Detail 2 3 2 5 5 2" xfId="18342" xr:uid="{00000000-0005-0000-0000-0000B9470000}"/>
    <cellStyle name="RowTitles-Detail 2 3 2 5 5 2 2" xfId="18343" xr:uid="{00000000-0005-0000-0000-0000BA470000}"/>
    <cellStyle name="RowTitles-Detail 2 3 2 5 5 2 2 2" xfId="18344" xr:uid="{00000000-0005-0000-0000-0000BB470000}"/>
    <cellStyle name="RowTitles-Detail 2 3 2 5 5 2 2_Tertiary Salaries Survey" xfId="18345" xr:uid="{00000000-0005-0000-0000-0000BC470000}"/>
    <cellStyle name="RowTitles-Detail 2 3 2 5 5 2 3" xfId="18346" xr:uid="{00000000-0005-0000-0000-0000BD470000}"/>
    <cellStyle name="RowTitles-Detail 2 3 2 5 5 2_Tertiary Salaries Survey" xfId="18347" xr:uid="{00000000-0005-0000-0000-0000BE470000}"/>
    <cellStyle name="RowTitles-Detail 2 3 2 5 5 3" xfId="18348" xr:uid="{00000000-0005-0000-0000-0000BF470000}"/>
    <cellStyle name="RowTitles-Detail 2 3 2 5 5 3 2" xfId="18349" xr:uid="{00000000-0005-0000-0000-0000C0470000}"/>
    <cellStyle name="RowTitles-Detail 2 3 2 5 5 3 2 2" xfId="18350" xr:uid="{00000000-0005-0000-0000-0000C1470000}"/>
    <cellStyle name="RowTitles-Detail 2 3 2 5 5 3 2_Tertiary Salaries Survey" xfId="18351" xr:uid="{00000000-0005-0000-0000-0000C2470000}"/>
    <cellStyle name="RowTitles-Detail 2 3 2 5 5 3 3" xfId="18352" xr:uid="{00000000-0005-0000-0000-0000C3470000}"/>
    <cellStyle name="RowTitles-Detail 2 3 2 5 5 3_Tertiary Salaries Survey" xfId="18353" xr:uid="{00000000-0005-0000-0000-0000C4470000}"/>
    <cellStyle name="RowTitles-Detail 2 3 2 5 5 4" xfId="18354" xr:uid="{00000000-0005-0000-0000-0000C5470000}"/>
    <cellStyle name="RowTitles-Detail 2 3 2 5 5 4 2" xfId="18355" xr:uid="{00000000-0005-0000-0000-0000C6470000}"/>
    <cellStyle name="RowTitles-Detail 2 3 2 5 5 4_Tertiary Salaries Survey" xfId="18356" xr:uid="{00000000-0005-0000-0000-0000C7470000}"/>
    <cellStyle name="RowTitles-Detail 2 3 2 5 5 5" xfId="18357" xr:uid="{00000000-0005-0000-0000-0000C8470000}"/>
    <cellStyle name="RowTitles-Detail 2 3 2 5 5_Tertiary Salaries Survey" xfId="18358" xr:uid="{00000000-0005-0000-0000-0000C9470000}"/>
    <cellStyle name="RowTitles-Detail 2 3 2 5 6" xfId="18359" xr:uid="{00000000-0005-0000-0000-0000CA470000}"/>
    <cellStyle name="RowTitles-Detail 2 3 2 5 6 2" xfId="18360" xr:uid="{00000000-0005-0000-0000-0000CB470000}"/>
    <cellStyle name="RowTitles-Detail 2 3 2 5 6 2 2" xfId="18361" xr:uid="{00000000-0005-0000-0000-0000CC470000}"/>
    <cellStyle name="RowTitles-Detail 2 3 2 5 6 2 2 2" xfId="18362" xr:uid="{00000000-0005-0000-0000-0000CD470000}"/>
    <cellStyle name="RowTitles-Detail 2 3 2 5 6 2 2_Tertiary Salaries Survey" xfId="18363" xr:uid="{00000000-0005-0000-0000-0000CE470000}"/>
    <cellStyle name="RowTitles-Detail 2 3 2 5 6 2 3" xfId="18364" xr:uid="{00000000-0005-0000-0000-0000CF470000}"/>
    <cellStyle name="RowTitles-Detail 2 3 2 5 6 2_Tertiary Salaries Survey" xfId="18365" xr:uid="{00000000-0005-0000-0000-0000D0470000}"/>
    <cellStyle name="RowTitles-Detail 2 3 2 5 6 3" xfId="18366" xr:uid="{00000000-0005-0000-0000-0000D1470000}"/>
    <cellStyle name="RowTitles-Detail 2 3 2 5 6 3 2" xfId="18367" xr:uid="{00000000-0005-0000-0000-0000D2470000}"/>
    <cellStyle name="RowTitles-Detail 2 3 2 5 6 3 2 2" xfId="18368" xr:uid="{00000000-0005-0000-0000-0000D3470000}"/>
    <cellStyle name="RowTitles-Detail 2 3 2 5 6 3 2_Tertiary Salaries Survey" xfId="18369" xr:uid="{00000000-0005-0000-0000-0000D4470000}"/>
    <cellStyle name="RowTitles-Detail 2 3 2 5 6 3 3" xfId="18370" xr:uid="{00000000-0005-0000-0000-0000D5470000}"/>
    <cellStyle name="RowTitles-Detail 2 3 2 5 6 3_Tertiary Salaries Survey" xfId="18371" xr:uid="{00000000-0005-0000-0000-0000D6470000}"/>
    <cellStyle name="RowTitles-Detail 2 3 2 5 6 4" xfId="18372" xr:uid="{00000000-0005-0000-0000-0000D7470000}"/>
    <cellStyle name="RowTitles-Detail 2 3 2 5 6 4 2" xfId="18373" xr:uid="{00000000-0005-0000-0000-0000D8470000}"/>
    <cellStyle name="RowTitles-Detail 2 3 2 5 6 4_Tertiary Salaries Survey" xfId="18374" xr:uid="{00000000-0005-0000-0000-0000D9470000}"/>
    <cellStyle name="RowTitles-Detail 2 3 2 5 6 5" xfId="18375" xr:uid="{00000000-0005-0000-0000-0000DA470000}"/>
    <cellStyle name="RowTitles-Detail 2 3 2 5 6_Tertiary Salaries Survey" xfId="18376" xr:uid="{00000000-0005-0000-0000-0000DB470000}"/>
    <cellStyle name="RowTitles-Detail 2 3 2 5 7" xfId="18377" xr:uid="{00000000-0005-0000-0000-0000DC470000}"/>
    <cellStyle name="RowTitles-Detail 2 3 2 5 7 2" xfId="18378" xr:uid="{00000000-0005-0000-0000-0000DD470000}"/>
    <cellStyle name="RowTitles-Detail 2 3 2 5 7 2 2" xfId="18379" xr:uid="{00000000-0005-0000-0000-0000DE470000}"/>
    <cellStyle name="RowTitles-Detail 2 3 2 5 7 2_Tertiary Salaries Survey" xfId="18380" xr:uid="{00000000-0005-0000-0000-0000DF470000}"/>
    <cellStyle name="RowTitles-Detail 2 3 2 5 7 3" xfId="18381" xr:uid="{00000000-0005-0000-0000-0000E0470000}"/>
    <cellStyle name="RowTitles-Detail 2 3 2 5 7_Tertiary Salaries Survey" xfId="18382" xr:uid="{00000000-0005-0000-0000-0000E1470000}"/>
    <cellStyle name="RowTitles-Detail 2 3 2 5 8" xfId="18383" xr:uid="{00000000-0005-0000-0000-0000E2470000}"/>
    <cellStyle name="RowTitles-Detail 2 3 2 5 9" xfId="18384" xr:uid="{00000000-0005-0000-0000-0000E3470000}"/>
    <cellStyle name="RowTitles-Detail 2 3 2 5_STUD aligned by INSTIT" xfId="18385" xr:uid="{00000000-0005-0000-0000-0000E4470000}"/>
    <cellStyle name="RowTitles-Detail 2 3 2 6" xfId="18386" xr:uid="{00000000-0005-0000-0000-0000E5470000}"/>
    <cellStyle name="RowTitles-Detail 2 3 2 6 2" xfId="18387" xr:uid="{00000000-0005-0000-0000-0000E6470000}"/>
    <cellStyle name="RowTitles-Detail 2 3 2 6 2 2" xfId="18388" xr:uid="{00000000-0005-0000-0000-0000E7470000}"/>
    <cellStyle name="RowTitles-Detail 2 3 2 6 2 2 2" xfId="18389" xr:uid="{00000000-0005-0000-0000-0000E8470000}"/>
    <cellStyle name="RowTitles-Detail 2 3 2 6 2 2_Tertiary Salaries Survey" xfId="18390" xr:uid="{00000000-0005-0000-0000-0000E9470000}"/>
    <cellStyle name="RowTitles-Detail 2 3 2 6 2 3" xfId="18391" xr:uid="{00000000-0005-0000-0000-0000EA470000}"/>
    <cellStyle name="RowTitles-Detail 2 3 2 6 2_Tertiary Salaries Survey" xfId="18392" xr:uid="{00000000-0005-0000-0000-0000EB470000}"/>
    <cellStyle name="RowTitles-Detail 2 3 2 6 3" xfId="18393" xr:uid="{00000000-0005-0000-0000-0000EC470000}"/>
    <cellStyle name="RowTitles-Detail 2 3 2 6 3 2" xfId="18394" xr:uid="{00000000-0005-0000-0000-0000ED470000}"/>
    <cellStyle name="RowTitles-Detail 2 3 2 6 3 2 2" xfId="18395" xr:uid="{00000000-0005-0000-0000-0000EE470000}"/>
    <cellStyle name="RowTitles-Detail 2 3 2 6 3 2_Tertiary Salaries Survey" xfId="18396" xr:uid="{00000000-0005-0000-0000-0000EF470000}"/>
    <cellStyle name="RowTitles-Detail 2 3 2 6 3 3" xfId="18397" xr:uid="{00000000-0005-0000-0000-0000F0470000}"/>
    <cellStyle name="RowTitles-Detail 2 3 2 6 3_Tertiary Salaries Survey" xfId="18398" xr:uid="{00000000-0005-0000-0000-0000F1470000}"/>
    <cellStyle name="RowTitles-Detail 2 3 2 6 4" xfId="18399" xr:uid="{00000000-0005-0000-0000-0000F2470000}"/>
    <cellStyle name="RowTitles-Detail 2 3 2 6 5" xfId="18400" xr:uid="{00000000-0005-0000-0000-0000F3470000}"/>
    <cellStyle name="RowTitles-Detail 2 3 2 6 5 2" xfId="18401" xr:uid="{00000000-0005-0000-0000-0000F4470000}"/>
    <cellStyle name="RowTitles-Detail 2 3 2 6 5_Tertiary Salaries Survey" xfId="18402" xr:uid="{00000000-0005-0000-0000-0000F5470000}"/>
    <cellStyle name="RowTitles-Detail 2 3 2 6 6" xfId="18403" xr:uid="{00000000-0005-0000-0000-0000F6470000}"/>
    <cellStyle name="RowTitles-Detail 2 3 2 6_Tertiary Salaries Survey" xfId="18404" xr:uid="{00000000-0005-0000-0000-0000F7470000}"/>
    <cellStyle name="RowTitles-Detail 2 3 2 7" xfId="18405" xr:uid="{00000000-0005-0000-0000-0000F8470000}"/>
    <cellStyle name="RowTitles-Detail 2 3 2 7 2" xfId="18406" xr:uid="{00000000-0005-0000-0000-0000F9470000}"/>
    <cellStyle name="RowTitles-Detail 2 3 2 7 2 2" xfId="18407" xr:uid="{00000000-0005-0000-0000-0000FA470000}"/>
    <cellStyle name="RowTitles-Detail 2 3 2 7 2 2 2" xfId="18408" xr:uid="{00000000-0005-0000-0000-0000FB470000}"/>
    <cellStyle name="RowTitles-Detail 2 3 2 7 2 2_Tertiary Salaries Survey" xfId="18409" xr:uid="{00000000-0005-0000-0000-0000FC470000}"/>
    <cellStyle name="RowTitles-Detail 2 3 2 7 2 3" xfId="18410" xr:uid="{00000000-0005-0000-0000-0000FD470000}"/>
    <cellStyle name="RowTitles-Detail 2 3 2 7 2_Tertiary Salaries Survey" xfId="18411" xr:uid="{00000000-0005-0000-0000-0000FE470000}"/>
    <cellStyle name="RowTitles-Detail 2 3 2 7 3" xfId="18412" xr:uid="{00000000-0005-0000-0000-0000FF470000}"/>
    <cellStyle name="RowTitles-Detail 2 3 2 7 3 2" xfId="18413" xr:uid="{00000000-0005-0000-0000-000000480000}"/>
    <cellStyle name="RowTitles-Detail 2 3 2 7 3 2 2" xfId="18414" xr:uid="{00000000-0005-0000-0000-000001480000}"/>
    <cellStyle name="RowTitles-Detail 2 3 2 7 3 2_Tertiary Salaries Survey" xfId="18415" xr:uid="{00000000-0005-0000-0000-000002480000}"/>
    <cellStyle name="RowTitles-Detail 2 3 2 7 3 3" xfId="18416" xr:uid="{00000000-0005-0000-0000-000003480000}"/>
    <cellStyle name="RowTitles-Detail 2 3 2 7 3_Tertiary Salaries Survey" xfId="18417" xr:uid="{00000000-0005-0000-0000-000004480000}"/>
    <cellStyle name="RowTitles-Detail 2 3 2 7 4" xfId="18418" xr:uid="{00000000-0005-0000-0000-000005480000}"/>
    <cellStyle name="RowTitles-Detail 2 3 2 7 5" xfId="18419" xr:uid="{00000000-0005-0000-0000-000006480000}"/>
    <cellStyle name="RowTitles-Detail 2 3 2 7_Tertiary Salaries Survey" xfId="18420" xr:uid="{00000000-0005-0000-0000-000007480000}"/>
    <cellStyle name="RowTitles-Detail 2 3 2 8" xfId="18421" xr:uid="{00000000-0005-0000-0000-000008480000}"/>
    <cellStyle name="RowTitles-Detail 2 3 2 8 2" xfId="18422" xr:uid="{00000000-0005-0000-0000-000009480000}"/>
    <cellStyle name="RowTitles-Detail 2 3 2 8 2 2" xfId="18423" xr:uid="{00000000-0005-0000-0000-00000A480000}"/>
    <cellStyle name="RowTitles-Detail 2 3 2 8 2 2 2" xfId="18424" xr:uid="{00000000-0005-0000-0000-00000B480000}"/>
    <cellStyle name="RowTitles-Detail 2 3 2 8 2 2_Tertiary Salaries Survey" xfId="18425" xr:uid="{00000000-0005-0000-0000-00000C480000}"/>
    <cellStyle name="RowTitles-Detail 2 3 2 8 2 3" xfId="18426" xr:uid="{00000000-0005-0000-0000-00000D480000}"/>
    <cellStyle name="RowTitles-Detail 2 3 2 8 2_Tertiary Salaries Survey" xfId="18427" xr:uid="{00000000-0005-0000-0000-00000E480000}"/>
    <cellStyle name="RowTitles-Detail 2 3 2 8 3" xfId="18428" xr:uid="{00000000-0005-0000-0000-00000F480000}"/>
    <cellStyle name="RowTitles-Detail 2 3 2 8 3 2" xfId="18429" xr:uid="{00000000-0005-0000-0000-000010480000}"/>
    <cellStyle name="RowTitles-Detail 2 3 2 8 3 2 2" xfId="18430" xr:uid="{00000000-0005-0000-0000-000011480000}"/>
    <cellStyle name="RowTitles-Detail 2 3 2 8 3 2_Tertiary Salaries Survey" xfId="18431" xr:uid="{00000000-0005-0000-0000-000012480000}"/>
    <cellStyle name="RowTitles-Detail 2 3 2 8 3 3" xfId="18432" xr:uid="{00000000-0005-0000-0000-000013480000}"/>
    <cellStyle name="RowTitles-Detail 2 3 2 8 3_Tertiary Salaries Survey" xfId="18433" xr:uid="{00000000-0005-0000-0000-000014480000}"/>
    <cellStyle name="RowTitles-Detail 2 3 2 8 4" xfId="18434" xr:uid="{00000000-0005-0000-0000-000015480000}"/>
    <cellStyle name="RowTitles-Detail 2 3 2 8 5" xfId="18435" xr:uid="{00000000-0005-0000-0000-000016480000}"/>
    <cellStyle name="RowTitles-Detail 2 3 2 8 5 2" xfId="18436" xr:uid="{00000000-0005-0000-0000-000017480000}"/>
    <cellStyle name="RowTitles-Detail 2 3 2 8 5_Tertiary Salaries Survey" xfId="18437" xr:uid="{00000000-0005-0000-0000-000018480000}"/>
    <cellStyle name="RowTitles-Detail 2 3 2 8 6" xfId="18438" xr:uid="{00000000-0005-0000-0000-000019480000}"/>
    <cellStyle name="RowTitles-Detail 2 3 2 8_Tertiary Salaries Survey" xfId="18439" xr:uid="{00000000-0005-0000-0000-00001A480000}"/>
    <cellStyle name="RowTitles-Detail 2 3 2 9" xfId="18440" xr:uid="{00000000-0005-0000-0000-00001B480000}"/>
    <cellStyle name="RowTitles-Detail 2 3 2 9 2" xfId="18441" xr:uid="{00000000-0005-0000-0000-00001C480000}"/>
    <cellStyle name="RowTitles-Detail 2 3 2 9 2 2" xfId="18442" xr:uid="{00000000-0005-0000-0000-00001D480000}"/>
    <cellStyle name="RowTitles-Detail 2 3 2 9 2 2 2" xfId="18443" xr:uid="{00000000-0005-0000-0000-00001E480000}"/>
    <cellStyle name="RowTitles-Detail 2 3 2 9 2 2_Tertiary Salaries Survey" xfId="18444" xr:uid="{00000000-0005-0000-0000-00001F480000}"/>
    <cellStyle name="RowTitles-Detail 2 3 2 9 2 3" xfId="18445" xr:uid="{00000000-0005-0000-0000-000020480000}"/>
    <cellStyle name="RowTitles-Detail 2 3 2 9 2_Tertiary Salaries Survey" xfId="18446" xr:uid="{00000000-0005-0000-0000-000021480000}"/>
    <cellStyle name="RowTitles-Detail 2 3 2 9 3" xfId="18447" xr:uid="{00000000-0005-0000-0000-000022480000}"/>
    <cellStyle name="RowTitles-Detail 2 3 2 9 3 2" xfId="18448" xr:uid="{00000000-0005-0000-0000-000023480000}"/>
    <cellStyle name="RowTitles-Detail 2 3 2 9 3 2 2" xfId="18449" xr:uid="{00000000-0005-0000-0000-000024480000}"/>
    <cellStyle name="RowTitles-Detail 2 3 2 9 3 2_Tertiary Salaries Survey" xfId="18450" xr:uid="{00000000-0005-0000-0000-000025480000}"/>
    <cellStyle name="RowTitles-Detail 2 3 2 9 3 3" xfId="18451" xr:uid="{00000000-0005-0000-0000-000026480000}"/>
    <cellStyle name="RowTitles-Detail 2 3 2 9 3_Tertiary Salaries Survey" xfId="18452" xr:uid="{00000000-0005-0000-0000-000027480000}"/>
    <cellStyle name="RowTitles-Detail 2 3 2 9 4" xfId="18453" xr:uid="{00000000-0005-0000-0000-000028480000}"/>
    <cellStyle name="RowTitles-Detail 2 3 2 9 4 2" xfId="18454" xr:uid="{00000000-0005-0000-0000-000029480000}"/>
    <cellStyle name="RowTitles-Detail 2 3 2 9 4_Tertiary Salaries Survey" xfId="18455" xr:uid="{00000000-0005-0000-0000-00002A480000}"/>
    <cellStyle name="RowTitles-Detail 2 3 2 9 5" xfId="18456" xr:uid="{00000000-0005-0000-0000-00002B480000}"/>
    <cellStyle name="RowTitles-Detail 2 3 2 9_Tertiary Salaries Survey" xfId="18457" xr:uid="{00000000-0005-0000-0000-00002C480000}"/>
    <cellStyle name="RowTitles-Detail 2 3 2_STUD aligned by INSTIT" xfId="18458" xr:uid="{00000000-0005-0000-0000-00002D480000}"/>
    <cellStyle name="RowTitles-Detail 2 3 3" xfId="18459" xr:uid="{00000000-0005-0000-0000-00002E480000}"/>
    <cellStyle name="RowTitles-Detail 2 3 3 10" xfId="18460" xr:uid="{00000000-0005-0000-0000-00002F480000}"/>
    <cellStyle name="RowTitles-Detail 2 3 3 10 2" xfId="18461" xr:uid="{00000000-0005-0000-0000-000030480000}"/>
    <cellStyle name="RowTitles-Detail 2 3 3 10 2 2" xfId="18462" xr:uid="{00000000-0005-0000-0000-000031480000}"/>
    <cellStyle name="RowTitles-Detail 2 3 3 10 2_Tertiary Salaries Survey" xfId="18463" xr:uid="{00000000-0005-0000-0000-000032480000}"/>
    <cellStyle name="RowTitles-Detail 2 3 3 10 3" xfId="18464" xr:uid="{00000000-0005-0000-0000-000033480000}"/>
    <cellStyle name="RowTitles-Detail 2 3 3 10_Tertiary Salaries Survey" xfId="18465" xr:uid="{00000000-0005-0000-0000-000034480000}"/>
    <cellStyle name="RowTitles-Detail 2 3 3 11" xfId="18466" xr:uid="{00000000-0005-0000-0000-000035480000}"/>
    <cellStyle name="RowTitles-Detail 2 3 3 12" xfId="18467" xr:uid="{00000000-0005-0000-0000-000036480000}"/>
    <cellStyle name="RowTitles-Detail 2 3 3 2" xfId="18468" xr:uid="{00000000-0005-0000-0000-000037480000}"/>
    <cellStyle name="RowTitles-Detail 2 3 3 2 2" xfId="18469" xr:uid="{00000000-0005-0000-0000-000038480000}"/>
    <cellStyle name="RowTitles-Detail 2 3 3 2 2 2" xfId="18470" xr:uid="{00000000-0005-0000-0000-000039480000}"/>
    <cellStyle name="RowTitles-Detail 2 3 3 2 2 2 2" xfId="18471" xr:uid="{00000000-0005-0000-0000-00003A480000}"/>
    <cellStyle name="RowTitles-Detail 2 3 3 2 2 2 2 2" xfId="18472" xr:uid="{00000000-0005-0000-0000-00003B480000}"/>
    <cellStyle name="RowTitles-Detail 2 3 3 2 2 2 2_Tertiary Salaries Survey" xfId="18473" xr:uid="{00000000-0005-0000-0000-00003C480000}"/>
    <cellStyle name="RowTitles-Detail 2 3 3 2 2 2 3" xfId="18474" xr:uid="{00000000-0005-0000-0000-00003D480000}"/>
    <cellStyle name="RowTitles-Detail 2 3 3 2 2 2_Tertiary Salaries Survey" xfId="18475" xr:uid="{00000000-0005-0000-0000-00003E480000}"/>
    <cellStyle name="RowTitles-Detail 2 3 3 2 2 3" xfId="18476" xr:uid="{00000000-0005-0000-0000-00003F480000}"/>
    <cellStyle name="RowTitles-Detail 2 3 3 2 2 3 2" xfId="18477" xr:uid="{00000000-0005-0000-0000-000040480000}"/>
    <cellStyle name="RowTitles-Detail 2 3 3 2 2 3 2 2" xfId="18478" xr:uid="{00000000-0005-0000-0000-000041480000}"/>
    <cellStyle name="RowTitles-Detail 2 3 3 2 2 3 2_Tertiary Salaries Survey" xfId="18479" xr:uid="{00000000-0005-0000-0000-000042480000}"/>
    <cellStyle name="RowTitles-Detail 2 3 3 2 2 3 3" xfId="18480" xr:uid="{00000000-0005-0000-0000-000043480000}"/>
    <cellStyle name="RowTitles-Detail 2 3 3 2 2 3_Tertiary Salaries Survey" xfId="18481" xr:uid="{00000000-0005-0000-0000-000044480000}"/>
    <cellStyle name="RowTitles-Detail 2 3 3 2 2 4" xfId="18482" xr:uid="{00000000-0005-0000-0000-000045480000}"/>
    <cellStyle name="RowTitles-Detail 2 3 3 2 2 5" xfId="18483" xr:uid="{00000000-0005-0000-0000-000046480000}"/>
    <cellStyle name="RowTitles-Detail 2 3 3 2 2_Tertiary Salaries Survey" xfId="18484" xr:uid="{00000000-0005-0000-0000-000047480000}"/>
    <cellStyle name="RowTitles-Detail 2 3 3 2 3" xfId="18485" xr:uid="{00000000-0005-0000-0000-000048480000}"/>
    <cellStyle name="RowTitles-Detail 2 3 3 2 3 2" xfId="18486" xr:uid="{00000000-0005-0000-0000-000049480000}"/>
    <cellStyle name="RowTitles-Detail 2 3 3 2 3 2 2" xfId="18487" xr:uid="{00000000-0005-0000-0000-00004A480000}"/>
    <cellStyle name="RowTitles-Detail 2 3 3 2 3 2 2 2" xfId="18488" xr:uid="{00000000-0005-0000-0000-00004B480000}"/>
    <cellStyle name="RowTitles-Detail 2 3 3 2 3 2 2_Tertiary Salaries Survey" xfId="18489" xr:uid="{00000000-0005-0000-0000-00004C480000}"/>
    <cellStyle name="RowTitles-Detail 2 3 3 2 3 2 3" xfId="18490" xr:uid="{00000000-0005-0000-0000-00004D480000}"/>
    <cellStyle name="RowTitles-Detail 2 3 3 2 3 2_Tertiary Salaries Survey" xfId="18491" xr:uid="{00000000-0005-0000-0000-00004E480000}"/>
    <cellStyle name="RowTitles-Detail 2 3 3 2 3 3" xfId="18492" xr:uid="{00000000-0005-0000-0000-00004F480000}"/>
    <cellStyle name="RowTitles-Detail 2 3 3 2 3 3 2" xfId="18493" xr:uid="{00000000-0005-0000-0000-000050480000}"/>
    <cellStyle name="RowTitles-Detail 2 3 3 2 3 3 2 2" xfId="18494" xr:uid="{00000000-0005-0000-0000-000051480000}"/>
    <cellStyle name="RowTitles-Detail 2 3 3 2 3 3 2_Tertiary Salaries Survey" xfId="18495" xr:uid="{00000000-0005-0000-0000-000052480000}"/>
    <cellStyle name="RowTitles-Detail 2 3 3 2 3 3 3" xfId="18496" xr:uid="{00000000-0005-0000-0000-000053480000}"/>
    <cellStyle name="RowTitles-Detail 2 3 3 2 3 3_Tertiary Salaries Survey" xfId="18497" xr:uid="{00000000-0005-0000-0000-000054480000}"/>
    <cellStyle name="RowTitles-Detail 2 3 3 2 3 4" xfId="18498" xr:uid="{00000000-0005-0000-0000-000055480000}"/>
    <cellStyle name="RowTitles-Detail 2 3 3 2 3 5" xfId="18499" xr:uid="{00000000-0005-0000-0000-000056480000}"/>
    <cellStyle name="RowTitles-Detail 2 3 3 2 3 5 2" xfId="18500" xr:uid="{00000000-0005-0000-0000-000057480000}"/>
    <cellStyle name="RowTitles-Detail 2 3 3 2 3 5_Tertiary Salaries Survey" xfId="18501" xr:uid="{00000000-0005-0000-0000-000058480000}"/>
    <cellStyle name="RowTitles-Detail 2 3 3 2 3 6" xfId="18502" xr:uid="{00000000-0005-0000-0000-000059480000}"/>
    <cellStyle name="RowTitles-Detail 2 3 3 2 3_Tertiary Salaries Survey" xfId="18503" xr:uid="{00000000-0005-0000-0000-00005A480000}"/>
    <cellStyle name="RowTitles-Detail 2 3 3 2 4" xfId="18504" xr:uid="{00000000-0005-0000-0000-00005B480000}"/>
    <cellStyle name="RowTitles-Detail 2 3 3 2 4 2" xfId="18505" xr:uid="{00000000-0005-0000-0000-00005C480000}"/>
    <cellStyle name="RowTitles-Detail 2 3 3 2 4 2 2" xfId="18506" xr:uid="{00000000-0005-0000-0000-00005D480000}"/>
    <cellStyle name="RowTitles-Detail 2 3 3 2 4 2 2 2" xfId="18507" xr:uid="{00000000-0005-0000-0000-00005E480000}"/>
    <cellStyle name="RowTitles-Detail 2 3 3 2 4 2 2_Tertiary Salaries Survey" xfId="18508" xr:uid="{00000000-0005-0000-0000-00005F480000}"/>
    <cellStyle name="RowTitles-Detail 2 3 3 2 4 2 3" xfId="18509" xr:uid="{00000000-0005-0000-0000-000060480000}"/>
    <cellStyle name="RowTitles-Detail 2 3 3 2 4 2_Tertiary Salaries Survey" xfId="18510" xr:uid="{00000000-0005-0000-0000-000061480000}"/>
    <cellStyle name="RowTitles-Detail 2 3 3 2 4 3" xfId="18511" xr:uid="{00000000-0005-0000-0000-000062480000}"/>
    <cellStyle name="RowTitles-Detail 2 3 3 2 4 3 2" xfId="18512" xr:uid="{00000000-0005-0000-0000-000063480000}"/>
    <cellStyle name="RowTitles-Detail 2 3 3 2 4 3 2 2" xfId="18513" xr:uid="{00000000-0005-0000-0000-000064480000}"/>
    <cellStyle name="RowTitles-Detail 2 3 3 2 4 3 2_Tertiary Salaries Survey" xfId="18514" xr:uid="{00000000-0005-0000-0000-000065480000}"/>
    <cellStyle name="RowTitles-Detail 2 3 3 2 4 3 3" xfId="18515" xr:uid="{00000000-0005-0000-0000-000066480000}"/>
    <cellStyle name="RowTitles-Detail 2 3 3 2 4 3_Tertiary Salaries Survey" xfId="18516" xr:uid="{00000000-0005-0000-0000-000067480000}"/>
    <cellStyle name="RowTitles-Detail 2 3 3 2 4 4" xfId="18517" xr:uid="{00000000-0005-0000-0000-000068480000}"/>
    <cellStyle name="RowTitles-Detail 2 3 3 2 4 4 2" xfId="18518" xr:uid="{00000000-0005-0000-0000-000069480000}"/>
    <cellStyle name="RowTitles-Detail 2 3 3 2 4 4_Tertiary Salaries Survey" xfId="18519" xr:uid="{00000000-0005-0000-0000-00006A480000}"/>
    <cellStyle name="RowTitles-Detail 2 3 3 2 4 5" xfId="18520" xr:uid="{00000000-0005-0000-0000-00006B480000}"/>
    <cellStyle name="RowTitles-Detail 2 3 3 2 4_Tertiary Salaries Survey" xfId="18521" xr:uid="{00000000-0005-0000-0000-00006C480000}"/>
    <cellStyle name="RowTitles-Detail 2 3 3 2 5" xfId="18522" xr:uid="{00000000-0005-0000-0000-00006D480000}"/>
    <cellStyle name="RowTitles-Detail 2 3 3 2 5 2" xfId="18523" xr:uid="{00000000-0005-0000-0000-00006E480000}"/>
    <cellStyle name="RowTitles-Detail 2 3 3 2 5 2 2" xfId="18524" xr:uid="{00000000-0005-0000-0000-00006F480000}"/>
    <cellStyle name="RowTitles-Detail 2 3 3 2 5 2 2 2" xfId="18525" xr:uid="{00000000-0005-0000-0000-000070480000}"/>
    <cellStyle name="RowTitles-Detail 2 3 3 2 5 2 2_Tertiary Salaries Survey" xfId="18526" xr:uid="{00000000-0005-0000-0000-000071480000}"/>
    <cellStyle name="RowTitles-Detail 2 3 3 2 5 2 3" xfId="18527" xr:uid="{00000000-0005-0000-0000-000072480000}"/>
    <cellStyle name="RowTitles-Detail 2 3 3 2 5 2_Tertiary Salaries Survey" xfId="18528" xr:uid="{00000000-0005-0000-0000-000073480000}"/>
    <cellStyle name="RowTitles-Detail 2 3 3 2 5 3" xfId="18529" xr:uid="{00000000-0005-0000-0000-000074480000}"/>
    <cellStyle name="RowTitles-Detail 2 3 3 2 5 3 2" xfId="18530" xr:uid="{00000000-0005-0000-0000-000075480000}"/>
    <cellStyle name="RowTitles-Detail 2 3 3 2 5 3 2 2" xfId="18531" xr:uid="{00000000-0005-0000-0000-000076480000}"/>
    <cellStyle name="RowTitles-Detail 2 3 3 2 5 3 2_Tertiary Salaries Survey" xfId="18532" xr:uid="{00000000-0005-0000-0000-000077480000}"/>
    <cellStyle name="RowTitles-Detail 2 3 3 2 5 3 3" xfId="18533" xr:uid="{00000000-0005-0000-0000-000078480000}"/>
    <cellStyle name="RowTitles-Detail 2 3 3 2 5 3_Tertiary Salaries Survey" xfId="18534" xr:uid="{00000000-0005-0000-0000-000079480000}"/>
    <cellStyle name="RowTitles-Detail 2 3 3 2 5 4" xfId="18535" xr:uid="{00000000-0005-0000-0000-00007A480000}"/>
    <cellStyle name="RowTitles-Detail 2 3 3 2 5 4 2" xfId="18536" xr:uid="{00000000-0005-0000-0000-00007B480000}"/>
    <cellStyle name="RowTitles-Detail 2 3 3 2 5 4_Tertiary Salaries Survey" xfId="18537" xr:uid="{00000000-0005-0000-0000-00007C480000}"/>
    <cellStyle name="RowTitles-Detail 2 3 3 2 5 5" xfId="18538" xr:uid="{00000000-0005-0000-0000-00007D480000}"/>
    <cellStyle name="RowTitles-Detail 2 3 3 2 5_Tertiary Salaries Survey" xfId="18539" xr:uid="{00000000-0005-0000-0000-00007E480000}"/>
    <cellStyle name="RowTitles-Detail 2 3 3 2 6" xfId="18540" xr:uid="{00000000-0005-0000-0000-00007F480000}"/>
    <cellStyle name="RowTitles-Detail 2 3 3 2 6 2" xfId="18541" xr:uid="{00000000-0005-0000-0000-000080480000}"/>
    <cellStyle name="RowTitles-Detail 2 3 3 2 6 2 2" xfId="18542" xr:uid="{00000000-0005-0000-0000-000081480000}"/>
    <cellStyle name="RowTitles-Detail 2 3 3 2 6 2 2 2" xfId="18543" xr:uid="{00000000-0005-0000-0000-000082480000}"/>
    <cellStyle name="RowTitles-Detail 2 3 3 2 6 2 2_Tertiary Salaries Survey" xfId="18544" xr:uid="{00000000-0005-0000-0000-000083480000}"/>
    <cellStyle name="RowTitles-Detail 2 3 3 2 6 2 3" xfId="18545" xr:uid="{00000000-0005-0000-0000-000084480000}"/>
    <cellStyle name="RowTitles-Detail 2 3 3 2 6 2_Tertiary Salaries Survey" xfId="18546" xr:uid="{00000000-0005-0000-0000-000085480000}"/>
    <cellStyle name="RowTitles-Detail 2 3 3 2 6 3" xfId="18547" xr:uid="{00000000-0005-0000-0000-000086480000}"/>
    <cellStyle name="RowTitles-Detail 2 3 3 2 6 3 2" xfId="18548" xr:uid="{00000000-0005-0000-0000-000087480000}"/>
    <cellStyle name="RowTitles-Detail 2 3 3 2 6 3 2 2" xfId="18549" xr:uid="{00000000-0005-0000-0000-000088480000}"/>
    <cellStyle name="RowTitles-Detail 2 3 3 2 6 3 2_Tertiary Salaries Survey" xfId="18550" xr:uid="{00000000-0005-0000-0000-000089480000}"/>
    <cellStyle name="RowTitles-Detail 2 3 3 2 6 3 3" xfId="18551" xr:uid="{00000000-0005-0000-0000-00008A480000}"/>
    <cellStyle name="RowTitles-Detail 2 3 3 2 6 3_Tertiary Salaries Survey" xfId="18552" xr:uid="{00000000-0005-0000-0000-00008B480000}"/>
    <cellStyle name="RowTitles-Detail 2 3 3 2 6 4" xfId="18553" xr:uid="{00000000-0005-0000-0000-00008C480000}"/>
    <cellStyle name="RowTitles-Detail 2 3 3 2 6 4 2" xfId="18554" xr:uid="{00000000-0005-0000-0000-00008D480000}"/>
    <cellStyle name="RowTitles-Detail 2 3 3 2 6 4_Tertiary Salaries Survey" xfId="18555" xr:uid="{00000000-0005-0000-0000-00008E480000}"/>
    <cellStyle name="RowTitles-Detail 2 3 3 2 6 5" xfId="18556" xr:uid="{00000000-0005-0000-0000-00008F480000}"/>
    <cellStyle name="RowTitles-Detail 2 3 3 2 6_Tertiary Salaries Survey" xfId="18557" xr:uid="{00000000-0005-0000-0000-000090480000}"/>
    <cellStyle name="RowTitles-Detail 2 3 3 2 7" xfId="18558" xr:uid="{00000000-0005-0000-0000-000091480000}"/>
    <cellStyle name="RowTitles-Detail 2 3 3 2 7 2" xfId="18559" xr:uid="{00000000-0005-0000-0000-000092480000}"/>
    <cellStyle name="RowTitles-Detail 2 3 3 2 7 2 2" xfId="18560" xr:uid="{00000000-0005-0000-0000-000093480000}"/>
    <cellStyle name="RowTitles-Detail 2 3 3 2 7 2_Tertiary Salaries Survey" xfId="18561" xr:uid="{00000000-0005-0000-0000-000094480000}"/>
    <cellStyle name="RowTitles-Detail 2 3 3 2 7 3" xfId="18562" xr:uid="{00000000-0005-0000-0000-000095480000}"/>
    <cellStyle name="RowTitles-Detail 2 3 3 2 7_Tertiary Salaries Survey" xfId="18563" xr:uid="{00000000-0005-0000-0000-000096480000}"/>
    <cellStyle name="RowTitles-Detail 2 3 3 2 8" xfId="18564" xr:uid="{00000000-0005-0000-0000-000097480000}"/>
    <cellStyle name="RowTitles-Detail 2 3 3 2 9" xfId="18565" xr:uid="{00000000-0005-0000-0000-000098480000}"/>
    <cellStyle name="RowTitles-Detail 2 3 3 2_STUD aligned by INSTIT" xfId="18566" xr:uid="{00000000-0005-0000-0000-000099480000}"/>
    <cellStyle name="RowTitles-Detail 2 3 3 3" xfId="18567" xr:uid="{00000000-0005-0000-0000-00009A480000}"/>
    <cellStyle name="RowTitles-Detail 2 3 3 3 2" xfId="18568" xr:uid="{00000000-0005-0000-0000-00009B480000}"/>
    <cellStyle name="RowTitles-Detail 2 3 3 3 2 2" xfId="18569" xr:uid="{00000000-0005-0000-0000-00009C480000}"/>
    <cellStyle name="RowTitles-Detail 2 3 3 3 2 2 2" xfId="18570" xr:uid="{00000000-0005-0000-0000-00009D480000}"/>
    <cellStyle name="RowTitles-Detail 2 3 3 3 2 2 2 2" xfId="18571" xr:uid="{00000000-0005-0000-0000-00009E480000}"/>
    <cellStyle name="RowTitles-Detail 2 3 3 3 2 2 2_Tertiary Salaries Survey" xfId="18572" xr:uid="{00000000-0005-0000-0000-00009F480000}"/>
    <cellStyle name="RowTitles-Detail 2 3 3 3 2 2 3" xfId="18573" xr:uid="{00000000-0005-0000-0000-0000A0480000}"/>
    <cellStyle name="RowTitles-Detail 2 3 3 3 2 2_Tertiary Salaries Survey" xfId="18574" xr:uid="{00000000-0005-0000-0000-0000A1480000}"/>
    <cellStyle name="RowTitles-Detail 2 3 3 3 2 3" xfId="18575" xr:uid="{00000000-0005-0000-0000-0000A2480000}"/>
    <cellStyle name="RowTitles-Detail 2 3 3 3 2 3 2" xfId="18576" xr:uid="{00000000-0005-0000-0000-0000A3480000}"/>
    <cellStyle name="RowTitles-Detail 2 3 3 3 2 3 2 2" xfId="18577" xr:uid="{00000000-0005-0000-0000-0000A4480000}"/>
    <cellStyle name="RowTitles-Detail 2 3 3 3 2 3 2_Tertiary Salaries Survey" xfId="18578" xr:uid="{00000000-0005-0000-0000-0000A5480000}"/>
    <cellStyle name="RowTitles-Detail 2 3 3 3 2 3 3" xfId="18579" xr:uid="{00000000-0005-0000-0000-0000A6480000}"/>
    <cellStyle name="RowTitles-Detail 2 3 3 3 2 3_Tertiary Salaries Survey" xfId="18580" xr:uid="{00000000-0005-0000-0000-0000A7480000}"/>
    <cellStyle name="RowTitles-Detail 2 3 3 3 2 4" xfId="18581" xr:uid="{00000000-0005-0000-0000-0000A8480000}"/>
    <cellStyle name="RowTitles-Detail 2 3 3 3 2 5" xfId="18582" xr:uid="{00000000-0005-0000-0000-0000A9480000}"/>
    <cellStyle name="RowTitles-Detail 2 3 3 3 2 5 2" xfId="18583" xr:uid="{00000000-0005-0000-0000-0000AA480000}"/>
    <cellStyle name="RowTitles-Detail 2 3 3 3 2 5_Tertiary Salaries Survey" xfId="18584" xr:uid="{00000000-0005-0000-0000-0000AB480000}"/>
    <cellStyle name="RowTitles-Detail 2 3 3 3 2 6" xfId="18585" xr:uid="{00000000-0005-0000-0000-0000AC480000}"/>
    <cellStyle name="RowTitles-Detail 2 3 3 3 2_Tertiary Salaries Survey" xfId="18586" xr:uid="{00000000-0005-0000-0000-0000AD480000}"/>
    <cellStyle name="RowTitles-Detail 2 3 3 3 3" xfId="18587" xr:uid="{00000000-0005-0000-0000-0000AE480000}"/>
    <cellStyle name="RowTitles-Detail 2 3 3 3 3 2" xfId="18588" xr:uid="{00000000-0005-0000-0000-0000AF480000}"/>
    <cellStyle name="RowTitles-Detail 2 3 3 3 3 2 2" xfId="18589" xr:uid="{00000000-0005-0000-0000-0000B0480000}"/>
    <cellStyle name="RowTitles-Detail 2 3 3 3 3 2 2 2" xfId="18590" xr:uid="{00000000-0005-0000-0000-0000B1480000}"/>
    <cellStyle name="RowTitles-Detail 2 3 3 3 3 2 2_Tertiary Salaries Survey" xfId="18591" xr:uid="{00000000-0005-0000-0000-0000B2480000}"/>
    <cellStyle name="RowTitles-Detail 2 3 3 3 3 2 3" xfId="18592" xr:uid="{00000000-0005-0000-0000-0000B3480000}"/>
    <cellStyle name="RowTitles-Detail 2 3 3 3 3 2_Tertiary Salaries Survey" xfId="18593" xr:uid="{00000000-0005-0000-0000-0000B4480000}"/>
    <cellStyle name="RowTitles-Detail 2 3 3 3 3 3" xfId="18594" xr:uid="{00000000-0005-0000-0000-0000B5480000}"/>
    <cellStyle name="RowTitles-Detail 2 3 3 3 3 3 2" xfId="18595" xr:uid="{00000000-0005-0000-0000-0000B6480000}"/>
    <cellStyle name="RowTitles-Detail 2 3 3 3 3 3 2 2" xfId="18596" xr:uid="{00000000-0005-0000-0000-0000B7480000}"/>
    <cellStyle name="RowTitles-Detail 2 3 3 3 3 3 2_Tertiary Salaries Survey" xfId="18597" xr:uid="{00000000-0005-0000-0000-0000B8480000}"/>
    <cellStyle name="RowTitles-Detail 2 3 3 3 3 3 3" xfId="18598" xr:uid="{00000000-0005-0000-0000-0000B9480000}"/>
    <cellStyle name="RowTitles-Detail 2 3 3 3 3 3_Tertiary Salaries Survey" xfId="18599" xr:uid="{00000000-0005-0000-0000-0000BA480000}"/>
    <cellStyle name="RowTitles-Detail 2 3 3 3 3 4" xfId="18600" xr:uid="{00000000-0005-0000-0000-0000BB480000}"/>
    <cellStyle name="RowTitles-Detail 2 3 3 3 3 5" xfId="18601" xr:uid="{00000000-0005-0000-0000-0000BC480000}"/>
    <cellStyle name="RowTitles-Detail 2 3 3 3 3_Tertiary Salaries Survey" xfId="18602" xr:uid="{00000000-0005-0000-0000-0000BD480000}"/>
    <cellStyle name="RowTitles-Detail 2 3 3 3 4" xfId="18603" xr:uid="{00000000-0005-0000-0000-0000BE480000}"/>
    <cellStyle name="RowTitles-Detail 2 3 3 3 4 2" xfId="18604" xr:uid="{00000000-0005-0000-0000-0000BF480000}"/>
    <cellStyle name="RowTitles-Detail 2 3 3 3 4 2 2" xfId="18605" xr:uid="{00000000-0005-0000-0000-0000C0480000}"/>
    <cellStyle name="RowTitles-Detail 2 3 3 3 4 2 2 2" xfId="18606" xr:uid="{00000000-0005-0000-0000-0000C1480000}"/>
    <cellStyle name="RowTitles-Detail 2 3 3 3 4 2 2_Tertiary Salaries Survey" xfId="18607" xr:uid="{00000000-0005-0000-0000-0000C2480000}"/>
    <cellStyle name="RowTitles-Detail 2 3 3 3 4 2 3" xfId="18608" xr:uid="{00000000-0005-0000-0000-0000C3480000}"/>
    <cellStyle name="RowTitles-Detail 2 3 3 3 4 2_Tertiary Salaries Survey" xfId="18609" xr:uid="{00000000-0005-0000-0000-0000C4480000}"/>
    <cellStyle name="RowTitles-Detail 2 3 3 3 4 3" xfId="18610" xr:uid="{00000000-0005-0000-0000-0000C5480000}"/>
    <cellStyle name="RowTitles-Detail 2 3 3 3 4 3 2" xfId="18611" xr:uid="{00000000-0005-0000-0000-0000C6480000}"/>
    <cellStyle name="RowTitles-Detail 2 3 3 3 4 3 2 2" xfId="18612" xr:uid="{00000000-0005-0000-0000-0000C7480000}"/>
    <cellStyle name="RowTitles-Detail 2 3 3 3 4 3 2_Tertiary Salaries Survey" xfId="18613" xr:uid="{00000000-0005-0000-0000-0000C8480000}"/>
    <cellStyle name="RowTitles-Detail 2 3 3 3 4 3 3" xfId="18614" xr:uid="{00000000-0005-0000-0000-0000C9480000}"/>
    <cellStyle name="RowTitles-Detail 2 3 3 3 4 3_Tertiary Salaries Survey" xfId="18615" xr:uid="{00000000-0005-0000-0000-0000CA480000}"/>
    <cellStyle name="RowTitles-Detail 2 3 3 3 4 4" xfId="18616" xr:uid="{00000000-0005-0000-0000-0000CB480000}"/>
    <cellStyle name="RowTitles-Detail 2 3 3 3 4 4 2" xfId="18617" xr:uid="{00000000-0005-0000-0000-0000CC480000}"/>
    <cellStyle name="RowTitles-Detail 2 3 3 3 4 4_Tertiary Salaries Survey" xfId="18618" xr:uid="{00000000-0005-0000-0000-0000CD480000}"/>
    <cellStyle name="RowTitles-Detail 2 3 3 3 4 5" xfId="18619" xr:uid="{00000000-0005-0000-0000-0000CE480000}"/>
    <cellStyle name="RowTitles-Detail 2 3 3 3 4_Tertiary Salaries Survey" xfId="18620" xr:uid="{00000000-0005-0000-0000-0000CF480000}"/>
    <cellStyle name="RowTitles-Detail 2 3 3 3 5" xfId="18621" xr:uid="{00000000-0005-0000-0000-0000D0480000}"/>
    <cellStyle name="RowTitles-Detail 2 3 3 3 5 2" xfId="18622" xr:uid="{00000000-0005-0000-0000-0000D1480000}"/>
    <cellStyle name="RowTitles-Detail 2 3 3 3 5 2 2" xfId="18623" xr:uid="{00000000-0005-0000-0000-0000D2480000}"/>
    <cellStyle name="RowTitles-Detail 2 3 3 3 5 2 2 2" xfId="18624" xr:uid="{00000000-0005-0000-0000-0000D3480000}"/>
    <cellStyle name="RowTitles-Detail 2 3 3 3 5 2 2_Tertiary Salaries Survey" xfId="18625" xr:uid="{00000000-0005-0000-0000-0000D4480000}"/>
    <cellStyle name="RowTitles-Detail 2 3 3 3 5 2 3" xfId="18626" xr:uid="{00000000-0005-0000-0000-0000D5480000}"/>
    <cellStyle name="RowTitles-Detail 2 3 3 3 5 2_Tertiary Salaries Survey" xfId="18627" xr:uid="{00000000-0005-0000-0000-0000D6480000}"/>
    <cellStyle name="RowTitles-Detail 2 3 3 3 5 3" xfId="18628" xr:uid="{00000000-0005-0000-0000-0000D7480000}"/>
    <cellStyle name="RowTitles-Detail 2 3 3 3 5 3 2" xfId="18629" xr:uid="{00000000-0005-0000-0000-0000D8480000}"/>
    <cellStyle name="RowTitles-Detail 2 3 3 3 5 3 2 2" xfId="18630" xr:uid="{00000000-0005-0000-0000-0000D9480000}"/>
    <cellStyle name="RowTitles-Detail 2 3 3 3 5 3 2_Tertiary Salaries Survey" xfId="18631" xr:uid="{00000000-0005-0000-0000-0000DA480000}"/>
    <cellStyle name="RowTitles-Detail 2 3 3 3 5 3 3" xfId="18632" xr:uid="{00000000-0005-0000-0000-0000DB480000}"/>
    <cellStyle name="RowTitles-Detail 2 3 3 3 5 3_Tertiary Salaries Survey" xfId="18633" xr:uid="{00000000-0005-0000-0000-0000DC480000}"/>
    <cellStyle name="RowTitles-Detail 2 3 3 3 5 4" xfId="18634" xr:uid="{00000000-0005-0000-0000-0000DD480000}"/>
    <cellStyle name="RowTitles-Detail 2 3 3 3 5 4 2" xfId="18635" xr:uid="{00000000-0005-0000-0000-0000DE480000}"/>
    <cellStyle name="RowTitles-Detail 2 3 3 3 5 4_Tertiary Salaries Survey" xfId="18636" xr:uid="{00000000-0005-0000-0000-0000DF480000}"/>
    <cellStyle name="RowTitles-Detail 2 3 3 3 5 5" xfId="18637" xr:uid="{00000000-0005-0000-0000-0000E0480000}"/>
    <cellStyle name="RowTitles-Detail 2 3 3 3 5_Tertiary Salaries Survey" xfId="18638" xr:uid="{00000000-0005-0000-0000-0000E1480000}"/>
    <cellStyle name="RowTitles-Detail 2 3 3 3 6" xfId="18639" xr:uid="{00000000-0005-0000-0000-0000E2480000}"/>
    <cellStyle name="RowTitles-Detail 2 3 3 3 6 2" xfId="18640" xr:uid="{00000000-0005-0000-0000-0000E3480000}"/>
    <cellStyle name="RowTitles-Detail 2 3 3 3 6 2 2" xfId="18641" xr:uid="{00000000-0005-0000-0000-0000E4480000}"/>
    <cellStyle name="RowTitles-Detail 2 3 3 3 6 2 2 2" xfId="18642" xr:uid="{00000000-0005-0000-0000-0000E5480000}"/>
    <cellStyle name="RowTitles-Detail 2 3 3 3 6 2 2_Tertiary Salaries Survey" xfId="18643" xr:uid="{00000000-0005-0000-0000-0000E6480000}"/>
    <cellStyle name="RowTitles-Detail 2 3 3 3 6 2 3" xfId="18644" xr:uid="{00000000-0005-0000-0000-0000E7480000}"/>
    <cellStyle name="RowTitles-Detail 2 3 3 3 6 2_Tertiary Salaries Survey" xfId="18645" xr:uid="{00000000-0005-0000-0000-0000E8480000}"/>
    <cellStyle name="RowTitles-Detail 2 3 3 3 6 3" xfId="18646" xr:uid="{00000000-0005-0000-0000-0000E9480000}"/>
    <cellStyle name="RowTitles-Detail 2 3 3 3 6 3 2" xfId="18647" xr:uid="{00000000-0005-0000-0000-0000EA480000}"/>
    <cellStyle name="RowTitles-Detail 2 3 3 3 6 3 2 2" xfId="18648" xr:uid="{00000000-0005-0000-0000-0000EB480000}"/>
    <cellStyle name="RowTitles-Detail 2 3 3 3 6 3 2_Tertiary Salaries Survey" xfId="18649" xr:uid="{00000000-0005-0000-0000-0000EC480000}"/>
    <cellStyle name="RowTitles-Detail 2 3 3 3 6 3 3" xfId="18650" xr:uid="{00000000-0005-0000-0000-0000ED480000}"/>
    <cellStyle name="RowTitles-Detail 2 3 3 3 6 3_Tertiary Salaries Survey" xfId="18651" xr:uid="{00000000-0005-0000-0000-0000EE480000}"/>
    <cellStyle name="RowTitles-Detail 2 3 3 3 6 4" xfId="18652" xr:uid="{00000000-0005-0000-0000-0000EF480000}"/>
    <cellStyle name="RowTitles-Detail 2 3 3 3 6 4 2" xfId="18653" xr:uid="{00000000-0005-0000-0000-0000F0480000}"/>
    <cellStyle name="RowTitles-Detail 2 3 3 3 6 4_Tertiary Salaries Survey" xfId="18654" xr:uid="{00000000-0005-0000-0000-0000F1480000}"/>
    <cellStyle name="RowTitles-Detail 2 3 3 3 6 5" xfId="18655" xr:uid="{00000000-0005-0000-0000-0000F2480000}"/>
    <cellStyle name="RowTitles-Detail 2 3 3 3 6_Tertiary Salaries Survey" xfId="18656" xr:uid="{00000000-0005-0000-0000-0000F3480000}"/>
    <cellStyle name="RowTitles-Detail 2 3 3 3 7" xfId="18657" xr:uid="{00000000-0005-0000-0000-0000F4480000}"/>
    <cellStyle name="RowTitles-Detail 2 3 3 3 7 2" xfId="18658" xr:uid="{00000000-0005-0000-0000-0000F5480000}"/>
    <cellStyle name="RowTitles-Detail 2 3 3 3 7 2 2" xfId="18659" xr:uid="{00000000-0005-0000-0000-0000F6480000}"/>
    <cellStyle name="RowTitles-Detail 2 3 3 3 7 2_Tertiary Salaries Survey" xfId="18660" xr:uid="{00000000-0005-0000-0000-0000F7480000}"/>
    <cellStyle name="RowTitles-Detail 2 3 3 3 7 3" xfId="18661" xr:uid="{00000000-0005-0000-0000-0000F8480000}"/>
    <cellStyle name="RowTitles-Detail 2 3 3 3 7_Tertiary Salaries Survey" xfId="18662" xr:uid="{00000000-0005-0000-0000-0000F9480000}"/>
    <cellStyle name="RowTitles-Detail 2 3 3 3 8" xfId="18663" xr:uid="{00000000-0005-0000-0000-0000FA480000}"/>
    <cellStyle name="RowTitles-Detail 2 3 3 3 8 2" xfId="18664" xr:uid="{00000000-0005-0000-0000-0000FB480000}"/>
    <cellStyle name="RowTitles-Detail 2 3 3 3 8 2 2" xfId="18665" xr:uid="{00000000-0005-0000-0000-0000FC480000}"/>
    <cellStyle name="RowTitles-Detail 2 3 3 3 8 2_Tertiary Salaries Survey" xfId="18666" xr:uid="{00000000-0005-0000-0000-0000FD480000}"/>
    <cellStyle name="RowTitles-Detail 2 3 3 3 8 3" xfId="18667" xr:uid="{00000000-0005-0000-0000-0000FE480000}"/>
    <cellStyle name="RowTitles-Detail 2 3 3 3 8_Tertiary Salaries Survey" xfId="18668" xr:uid="{00000000-0005-0000-0000-0000FF480000}"/>
    <cellStyle name="RowTitles-Detail 2 3 3 3 9" xfId="18669" xr:uid="{00000000-0005-0000-0000-000000490000}"/>
    <cellStyle name="RowTitles-Detail 2 3 3 3_STUD aligned by INSTIT" xfId="18670" xr:uid="{00000000-0005-0000-0000-000001490000}"/>
    <cellStyle name="RowTitles-Detail 2 3 3 4" xfId="18671" xr:uid="{00000000-0005-0000-0000-000002490000}"/>
    <cellStyle name="RowTitles-Detail 2 3 3 4 2" xfId="18672" xr:uid="{00000000-0005-0000-0000-000003490000}"/>
    <cellStyle name="RowTitles-Detail 2 3 3 4 2 2" xfId="18673" xr:uid="{00000000-0005-0000-0000-000004490000}"/>
    <cellStyle name="RowTitles-Detail 2 3 3 4 2 2 2" xfId="18674" xr:uid="{00000000-0005-0000-0000-000005490000}"/>
    <cellStyle name="RowTitles-Detail 2 3 3 4 2 2 2 2" xfId="18675" xr:uid="{00000000-0005-0000-0000-000006490000}"/>
    <cellStyle name="RowTitles-Detail 2 3 3 4 2 2 2_Tertiary Salaries Survey" xfId="18676" xr:uid="{00000000-0005-0000-0000-000007490000}"/>
    <cellStyle name="RowTitles-Detail 2 3 3 4 2 2 3" xfId="18677" xr:uid="{00000000-0005-0000-0000-000008490000}"/>
    <cellStyle name="RowTitles-Detail 2 3 3 4 2 2_Tertiary Salaries Survey" xfId="18678" xr:uid="{00000000-0005-0000-0000-000009490000}"/>
    <cellStyle name="RowTitles-Detail 2 3 3 4 2 3" xfId="18679" xr:uid="{00000000-0005-0000-0000-00000A490000}"/>
    <cellStyle name="RowTitles-Detail 2 3 3 4 2 3 2" xfId="18680" xr:uid="{00000000-0005-0000-0000-00000B490000}"/>
    <cellStyle name="RowTitles-Detail 2 3 3 4 2 3 2 2" xfId="18681" xr:uid="{00000000-0005-0000-0000-00000C490000}"/>
    <cellStyle name="RowTitles-Detail 2 3 3 4 2 3 2_Tertiary Salaries Survey" xfId="18682" xr:uid="{00000000-0005-0000-0000-00000D490000}"/>
    <cellStyle name="RowTitles-Detail 2 3 3 4 2 3 3" xfId="18683" xr:uid="{00000000-0005-0000-0000-00000E490000}"/>
    <cellStyle name="RowTitles-Detail 2 3 3 4 2 3_Tertiary Salaries Survey" xfId="18684" xr:uid="{00000000-0005-0000-0000-00000F490000}"/>
    <cellStyle name="RowTitles-Detail 2 3 3 4 2 4" xfId="18685" xr:uid="{00000000-0005-0000-0000-000010490000}"/>
    <cellStyle name="RowTitles-Detail 2 3 3 4 2 5" xfId="18686" xr:uid="{00000000-0005-0000-0000-000011490000}"/>
    <cellStyle name="RowTitles-Detail 2 3 3 4 2 5 2" xfId="18687" xr:uid="{00000000-0005-0000-0000-000012490000}"/>
    <cellStyle name="RowTitles-Detail 2 3 3 4 2 5_Tertiary Salaries Survey" xfId="18688" xr:uid="{00000000-0005-0000-0000-000013490000}"/>
    <cellStyle name="RowTitles-Detail 2 3 3 4 2 6" xfId="18689" xr:uid="{00000000-0005-0000-0000-000014490000}"/>
    <cellStyle name="RowTitles-Detail 2 3 3 4 2_Tertiary Salaries Survey" xfId="18690" xr:uid="{00000000-0005-0000-0000-000015490000}"/>
    <cellStyle name="RowTitles-Detail 2 3 3 4 3" xfId="18691" xr:uid="{00000000-0005-0000-0000-000016490000}"/>
    <cellStyle name="RowTitles-Detail 2 3 3 4 3 2" xfId="18692" xr:uid="{00000000-0005-0000-0000-000017490000}"/>
    <cellStyle name="RowTitles-Detail 2 3 3 4 3 2 2" xfId="18693" xr:uid="{00000000-0005-0000-0000-000018490000}"/>
    <cellStyle name="RowTitles-Detail 2 3 3 4 3 2 2 2" xfId="18694" xr:uid="{00000000-0005-0000-0000-000019490000}"/>
    <cellStyle name="RowTitles-Detail 2 3 3 4 3 2 2_Tertiary Salaries Survey" xfId="18695" xr:uid="{00000000-0005-0000-0000-00001A490000}"/>
    <cellStyle name="RowTitles-Detail 2 3 3 4 3 2 3" xfId="18696" xr:uid="{00000000-0005-0000-0000-00001B490000}"/>
    <cellStyle name="RowTitles-Detail 2 3 3 4 3 2_Tertiary Salaries Survey" xfId="18697" xr:uid="{00000000-0005-0000-0000-00001C490000}"/>
    <cellStyle name="RowTitles-Detail 2 3 3 4 3 3" xfId="18698" xr:uid="{00000000-0005-0000-0000-00001D490000}"/>
    <cellStyle name="RowTitles-Detail 2 3 3 4 3 3 2" xfId="18699" xr:uid="{00000000-0005-0000-0000-00001E490000}"/>
    <cellStyle name="RowTitles-Detail 2 3 3 4 3 3 2 2" xfId="18700" xr:uid="{00000000-0005-0000-0000-00001F490000}"/>
    <cellStyle name="RowTitles-Detail 2 3 3 4 3 3 2_Tertiary Salaries Survey" xfId="18701" xr:uid="{00000000-0005-0000-0000-000020490000}"/>
    <cellStyle name="RowTitles-Detail 2 3 3 4 3 3 3" xfId="18702" xr:uid="{00000000-0005-0000-0000-000021490000}"/>
    <cellStyle name="RowTitles-Detail 2 3 3 4 3 3_Tertiary Salaries Survey" xfId="18703" xr:uid="{00000000-0005-0000-0000-000022490000}"/>
    <cellStyle name="RowTitles-Detail 2 3 3 4 3 4" xfId="18704" xr:uid="{00000000-0005-0000-0000-000023490000}"/>
    <cellStyle name="RowTitles-Detail 2 3 3 4 3 5" xfId="18705" xr:uid="{00000000-0005-0000-0000-000024490000}"/>
    <cellStyle name="RowTitles-Detail 2 3 3 4 3_Tertiary Salaries Survey" xfId="18706" xr:uid="{00000000-0005-0000-0000-000025490000}"/>
    <cellStyle name="RowTitles-Detail 2 3 3 4 4" xfId="18707" xr:uid="{00000000-0005-0000-0000-000026490000}"/>
    <cellStyle name="RowTitles-Detail 2 3 3 4 4 2" xfId="18708" xr:uid="{00000000-0005-0000-0000-000027490000}"/>
    <cellStyle name="RowTitles-Detail 2 3 3 4 4 2 2" xfId="18709" xr:uid="{00000000-0005-0000-0000-000028490000}"/>
    <cellStyle name="RowTitles-Detail 2 3 3 4 4 2 2 2" xfId="18710" xr:uid="{00000000-0005-0000-0000-000029490000}"/>
    <cellStyle name="RowTitles-Detail 2 3 3 4 4 2 2_Tertiary Salaries Survey" xfId="18711" xr:uid="{00000000-0005-0000-0000-00002A490000}"/>
    <cellStyle name="RowTitles-Detail 2 3 3 4 4 2 3" xfId="18712" xr:uid="{00000000-0005-0000-0000-00002B490000}"/>
    <cellStyle name="RowTitles-Detail 2 3 3 4 4 2_Tertiary Salaries Survey" xfId="18713" xr:uid="{00000000-0005-0000-0000-00002C490000}"/>
    <cellStyle name="RowTitles-Detail 2 3 3 4 4 3" xfId="18714" xr:uid="{00000000-0005-0000-0000-00002D490000}"/>
    <cellStyle name="RowTitles-Detail 2 3 3 4 4 3 2" xfId="18715" xr:uid="{00000000-0005-0000-0000-00002E490000}"/>
    <cellStyle name="RowTitles-Detail 2 3 3 4 4 3 2 2" xfId="18716" xr:uid="{00000000-0005-0000-0000-00002F490000}"/>
    <cellStyle name="RowTitles-Detail 2 3 3 4 4 3 2_Tertiary Salaries Survey" xfId="18717" xr:uid="{00000000-0005-0000-0000-000030490000}"/>
    <cellStyle name="RowTitles-Detail 2 3 3 4 4 3 3" xfId="18718" xr:uid="{00000000-0005-0000-0000-000031490000}"/>
    <cellStyle name="RowTitles-Detail 2 3 3 4 4 3_Tertiary Salaries Survey" xfId="18719" xr:uid="{00000000-0005-0000-0000-000032490000}"/>
    <cellStyle name="RowTitles-Detail 2 3 3 4 4 4" xfId="18720" xr:uid="{00000000-0005-0000-0000-000033490000}"/>
    <cellStyle name="RowTitles-Detail 2 3 3 4 4 5" xfId="18721" xr:uid="{00000000-0005-0000-0000-000034490000}"/>
    <cellStyle name="RowTitles-Detail 2 3 3 4 4 5 2" xfId="18722" xr:uid="{00000000-0005-0000-0000-000035490000}"/>
    <cellStyle name="RowTitles-Detail 2 3 3 4 4 5_Tertiary Salaries Survey" xfId="18723" xr:uid="{00000000-0005-0000-0000-000036490000}"/>
    <cellStyle name="RowTitles-Detail 2 3 3 4 4 6" xfId="18724" xr:uid="{00000000-0005-0000-0000-000037490000}"/>
    <cellStyle name="RowTitles-Detail 2 3 3 4 4_Tertiary Salaries Survey" xfId="18725" xr:uid="{00000000-0005-0000-0000-000038490000}"/>
    <cellStyle name="RowTitles-Detail 2 3 3 4 5" xfId="18726" xr:uid="{00000000-0005-0000-0000-000039490000}"/>
    <cellStyle name="RowTitles-Detail 2 3 3 4 5 2" xfId="18727" xr:uid="{00000000-0005-0000-0000-00003A490000}"/>
    <cellStyle name="RowTitles-Detail 2 3 3 4 5 2 2" xfId="18728" xr:uid="{00000000-0005-0000-0000-00003B490000}"/>
    <cellStyle name="RowTitles-Detail 2 3 3 4 5 2 2 2" xfId="18729" xr:uid="{00000000-0005-0000-0000-00003C490000}"/>
    <cellStyle name="RowTitles-Detail 2 3 3 4 5 2 2_Tertiary Salaries Survey" xfId="18730" xr:uid="{00000000-0005-0000-0000-00003D490000}"/>
    <cellStyle name="RowTitles-Detail 2 3 3 4 5 2 3" xfId="18731" xr:uid="{00000000-0005-0000-0000-00003E490000}"/>
    <cellStyle name="RowTitles-Detail 2 3 3 4 5 2_Tertiary Salaries Survey" xfId="18732" xr:uid="{00000000-0005-0000-0000-00003F490000}"/>
    <cellStyle name="RowTitles-Detail 2 3 3 4 5 3" xfId="18733" xr:uid="{00000000-0005-0000-0000-000040490000}"/>
    <cellStyle name="RowTitles-Detail 2 3 3 4 5 3 2" xfId="18734" xr:uid="{00000000-0005-0000-0000-000041490000}"/>
    <cellStyle name="RowTitles-Detail 2 3 3 4 5 3 2 2" xfId="18735" xr:uid="{00000000-0005-0000-0000-000042490000}"/>
    <cellStyle name="RowTitles-Detail 2 3 3 4 5 3 2_Tertiary Salaries Survey" xfId="18736" xr:uid="{00000000-0005-0000-0000-000043490000}"/>
    <cellStyle name="RowTitles-Detail 2 3 3 4 5 3 3" xfId="18737" xr:uid="{00000000-0005-0000-0000-000044490000}"/>
    <cellStyle name="RowTitles-Detail 2 3 3 4 5 3_Tertiary Salaries Survey" xfId="18738" xr:uid="{00000000-0005-0000-0000-000045490000}"/>
    <cellStyle name="RowTitles-Detail 2 3 3 4 5 4" xfId="18739" xr:uid="{00000000-0005-0000-0000-000046490000}"/>
    <cellStyle name="RowTitles-Detail 2 3 3 4 5 4 2" xfId="18740" xr:uid="{00000000-0005-0000-0000-000047490000}"/>
    <cellStyle name="RowTitles-Detail 2 3 3 4 5 4_Tertiary Salaries Survey" xfId="18741" xr:uid="{00000000-0005-0000-0000-000048490000}"/>
    <cellStyle name="RowTitles-Detail 2 3 3 4 5 5" xfId="18742" xr:uid="{00000000-0005-0000-0000-000049490000}"/>
    <cellStyle name="RowTitles-Detail 2 3 3 4 5_Tertiary Salaries Survey" xfId="18743" xr:uid="{00000000-0005-0000-0000-00004A490000}"/>
    <cellStyle name="RowTitles-Detail 2 3 3 4 6" xfId="18744" xr:uid="{00000000-0005-0000-0000-00004B490000}"/>
    <cellStyle name="RowTitles-Detail 2 3 3 4 6 2" xfId="18745" xr:uid="{00000000-0005-0000-0000-00004C490000}"/>
    <cellStyle name="RowTitles-Detail 2 3 3 4 6 2 2" xfId="18746" xr:uid="{00000000-0005-0000-0000-00004D490000}"/>
    <cellStyle name="RowTitles-Detail 2 3 3 4 6 2 2 2" xfId="18747" xr:uid="{00000000-0005-0000-0000-00004E490000}"/>
    <cellStyle name="RowTitles-Detail 2 3 3 4 6 2 2_Tertiary Salaries Survey" xfId="18748" xr:uid="{00000000-0005-0000-0000-00004F490000}"/>
    <cellStyle name="RowTitles-Detail 2 3 3 4 6 2 3" xfId="18749" xr:uid="{00000000-0005-0000-0000-000050490000}"/>
    <cellStyle name="RowTitles-Detail 2 3 3 4 6 2_Tertiary Salaries Survey" xfId="18750" xr:uid="{00000000-0005-0000-0000-000051490000}"/>
    <cellStyle name="RowTitles-Detail 2 3 3 4 6 3" xfId="18751" xr:uid="{00000000-0005-0000-0000-000052490000}"/>
    <cellStyle name="RowTitles-Detail 2 3 3 4 6 3 2" xfId="18752" xr:uid="{00000000-0005-0000-0000-000053490000}"/>
    <cellStyle name="RowTitles-Detail 2 3 3 4 6 3 2 2" xfId="18753" xr:uid="{00000000-0005-0000-0000-000054490000}"/>
    <cellStyle name="RowTitles-Detail 2 3 3 4 6 3 2_Tertiary Salaries Survey" xfId="18754" xr:uid="{00000000-0005-0000-0000-000055490000}"/>
    <cellStyle name="RowTitles-Detail 2 3 3 4 6 3 3" xfId="18755" xr:uid="{00000000-0005-0000-0000-000056490000}"/>
    <cellStyle name="RowTitles-Detail 2 3 3 4 6 3_Tertiary Salaries Survey" xfId="18756" xr:uid="{00000000-0005-0000-0000-000057490000}"/>
    <cellStyle name="RowTitles-Detail 2 3 3 4 6 4" xfId="18757" xr:uid="{00000000-0005-0000-0000-000058490000}"/>
    <cellStyle name="RowTitles-Detail 2 3 3 4 6 4 2" xfId="18758" xr:uid="{00000000-0005-0000-0000-000059490000}"/>
    <cellStyle name="RowTitles-Detail 2 3 3 4 6 4_Tertiary Salaries Survey" xfId="18759" xr:uid="{00000000-0005-0000-0000-00005A490000}"/>
    <cellStyle name="RowTitles-Detail 2 3 3 4 6 5" xfId="18760" xr:uid="{00000000-0005-0000-0000-00005B490000}"/>
    <cellStyle name="RowTitles-Detail 2 3 3 4 6_Tertiary Salaries Survey" xfId="18761" xr:uid="{00000000-0005-0000-0000-00005C490000}"/>
    <cellStyle name="RowTitles-Detail 2 3 3 4 7" xfId="18762" xr:uid="{00000000-0005-0000-0000-00005D490000}"/>
    <cellStyle name="RowTitles-Detail 2 3 3 4 7 2" xfId="18763" xr:uid="{00000000-0005-0000-0000-00005E490000}"/>
    <cellStyle name="RowTitles-Detail 2 3 3 4 7 2 2" xfId="18764" xr:uid="{00000000-0005-0000-0000-00005F490000}"/>
    <cellStyle name="RowTitles-Detail 2 3 3 4 7 2_Tertiary Salaries Survey" xfId="18765" xr:uid="{00000000-0005-0000-0000-000060490000}"/>
    <cellStyle name="RowTitles-Detail 2 3 3 4 7 3" xfId="18766" xr:uid="{00000000-0005-0000-0000-000061490000}"/>
    <cellStyle name="RowTitles-Detail 2 3 3 4 7_Tertiary Salaries Survey" xfId="18767" xr:uid="{00000000-0005-0000-0000-000062490000}"/>
    <cellStyle name="RowTitles-Detail 2 3 3 4 8" xfId="18768" xr:uid="{00000000-0005-0000-0000-000063490000}"/>
    <cellStyle name="RowTitles-Detail 2 3 3 4 9" xfId="18769" xr:uid="{00000000-0005-0000-0000-000064490000}"/>
    <cellStyle name="RowTitles-Detail 2 3 3 4_STUD aligned by INSTIT" xfId="18770" xr:uid="{00000000-0005-0000-0000-000065490000}"/>
    <cellStyle name="RowTitles-Detail 2 3 3 5" xfId="18771" xr:uid="{00000000-0005-0000-0000-000066490000}"/>
    <cellStyle name="RowTitles-Detail 2 3 3 5 2" xfId="18772" xr:uid="{00000000-0005-0000-0000-000067490000}"/>
    <cellStyle name="RowTitles-Detail 2 3 3 5 2 2" xfId="18773" xr:uid="{00000000-0005-0000-0000-000068490000}"/>
    <cellStyle name="RowTitles-Detail 2 3 3 5 2 2 2" xfId="18774" xr:uid="{00000000-0005-0000-0000-000069490000}"/>
    <cellStyle name="RowTitles-Detail 2 3 3 5 2 2_Tertiary Salaries Survey" xfId="18775" xr:uid="{00000000-0005-0000-0000-00006A490000}"/>
    <cellStyle name="RowTitles-Detail 2 3 3 5 2 3" xfId="18776" xr:uid="{00000000-0005-0000-0000-00006B490000}"/>
    <cellStyle name="RowTitles-Detail 2 3 3 5 2_Tertiary Salaries Survey" xfId="18777" xr:uid="{00000000-0005-0000-0000-00006C490000}"/>
    <cellStyle name="RowTitles-Detail 2 3 3 5 3" xfId="18778" xr:uid="{00000000-0005-0000-0000-00006D490000}"/>
    <cellStyle name="RowTitles-Detail 2 3 3 5 3 2" xfId="18779" xr:uid="{00000000-0005-0000-0000-00006E490000}"/>
    <cellStyle name="RowTitles-Detail 2 3 3 5 3 2 2" xfId="18780" xr:uid="{00000000-0005-0000-0000-00006F490000}"/>
    <cellStyle name="RowTitles-Detail 2 3 3 5 3 2_Tertiary Salaries Survey" xfId="18781" xr:uid="{00000000-0005-0000-0000-000070490000}"/>
    <cellStyle name="RowTitles-Detail 2 3 3 5 3 3" xfId="18782" xr:uid="{00000000-0005-0000-0000-000071490000}"/>
    <cellStyle name="RowTitles-Detail 2 3 3 5 3_Tertiary Salaries Survey" xfId="18783" xr:uid="{00000000-0005-0000-0000-000072490000}"/>
    <cellStyle name="RowTitles-Detail 2 3 3 5 4" xfId="18784" xr:uid="{00000000-0005-0000-0000-000073490000}"/>
    <cellStyle name="RowTitles-Detail 2 3 3 5 5" xfId="18785" xr:uid="{00000000-0005-0000-0000-000074490000}"/>
    <cellStyle name="RowTitles-Detail 2 3 3 5 5 2" xfId="18786" xr:uid="{00000000-0005-0000-0000-000075490000}"/>
    <cellStyle name="RowTitles-Detail 2 3 3 5 5_Tertiary Salaries Survey" xfId="18787" xr:uid="{00000000-0005-0000-0000-000076490000}"/>
    <cellStyle name="RowTitles-Detail 2 3 3 5 6" xfId="18788" xr:uid="{00000000-0005-0000-0000-000077490000}"/>
    <cellStyle name="RowTitles-Detail 2 3 3 5_Tertiary Salaries Survey" xfId="18789" xr:uid="{00000000-0005-0000-0000-000078490000}"/>
    <cellStyle name="RowTitles-Detail 2 3 3 6" xfId="18790" xr:uid="{00000000-0005-0000-0000-000079490000}"/>
    <cellStyle name="RowTitles-Detail 2 3 3 6 2" xfId="18791" xr:uid="{00000000-0005-0000-0000-00007A490000}"/>
    <cellStyle name="RowTitles-Detail 2 3 3 6 2 2" xfId="18792" xr:uid="{00000000-0005-0000-0000-00007B490000}"/>
    <cellStyle name="RowTitles-Detail 2 3 3 6 2 2 2" xfId="18793" xr:uid="{00000000-0005-0000-0000-00007C490000}"/>
    <cellStyle name="RowTitles-Detail 2 3 3 6 2 2_Tertiary Salaries Survey" xfId="18794" xr:uid="{00000000-0005-0000-0000-00007D490000}"/>
    <cellStyle name="RowTitles-Detail 2 3 3 6 2 3" xfId="18795" xr:uid="{00000000-0005-0000-0000-00007E490000}"/>
    <cellStyle name="RowTitles-Detail 2 3 3 6 2_Tertiary Salaries Survey" xfId="18796" xr:uid="{00000000-0005-0000-0000-00007F490000}"/>
    <cellStyle name="RowTitles-Detail 2 3 3 6 3" xfId="18797" xr:uid="{00000000-0005-0000-0000-000080490000}"/>
    <cellStyle name="RowTitles-Detail 2 3 3 6 3 2" xfId="18798" xr:uid="{00000000-0005-0000-0000-000081490000}"/>
    <cellStyle name="RowTitles-Detail 2 3 3 6 3 2 2" xfId="18799" xr:uid="{00000000-0005-0000-0000-000082490000}"/>
    <cellStyle name="RowTitles-Detail 2 3 3 6 3 2_Tertiary Salaries Survey" xfId="18800" xr:uid="{00000000-0005-0000-0000-000083490000}"/>
    <cellStyle name="RowTitles-Detail 2 3 3 6 3 3" xfId="18801" xr:uid="{00000000-0005-0000-0000-000084490000}"/>
    <cellStyle name="RowTitles-Detail 2 3 3 6 3_Tertiary Salaries Survey" xfId="18802" xr:uid="{00000000-0005-0000-0000-000085490000}"/>
    <cellStyle name="RowTitles-Detail 2 3 3 6 4" xfId="18803" xr:uid="{00000000-0005-0000-0000-000086490000}"/>
    <cellStyle name="RowTitles-Detail 2 3 3 6 5" xfId="18804" xr:uid="{00000000-0005-0000-0000-000087490000}"/>
    <cellStyle name="RowTitles-Detail 2 3 3 6_Tertiary Salaries Survey" xfId="18805" xr:uid="{00000000-0005-0000-0000-000088490000}"/>
    <cellStyle name="RowTitles-Detail 2 3 3 7" xfId="18806" xr:uid="{00000000-0005-0000-0000-000089490000}"/>
    <cellStyle name="RowTitles-Detail 2 3 3 7 2" xfId="18807" xr:uid="{00000000-0005-0000-0000-00008A490000}"/>
    <cellStyle name="RowTitles-Detail 2 3 3 7 2 2" xfId="18808" xr:uid="{00000000-0005-0000-0000-00008B490000}"/>
    <cellStyle name="RowTitles-Detail 2 3 3 7 2 2 2" xfId="18809" xr:uid="{00000000-0005-0000-0000-00008C490000}"/>
    <cellStyle name="RowTitles-Detail 2 3 3 7 2 2_Tertiary Salaries Survey" xfId="18810" xr:uid="{00000000-0005-0000-0000-00008D490000}"/>
    <cellStyle name="RowTitles-Detail 2 3 3 7 2 3" xfId="18811" xr:uid="{00000000-0005-0000-0000-00008E490000}"/>
    <cellStyle name="RowTitles-Detail 2 3 3 7 2_Tertiary Salaries Survey" xfId="18812" xr:uid="{00000000-0005-0000-0000-00008F490000}"/>
    <cellStyle name="RowTitles-Detail 2 3 3 7 3" xfId="18813" xr:uid="{00000000-0005-0000-0000-000090490000}"/>
    <cellStyle name="RowTitles-Detail 2 3 3 7 3 2" xfId="18814" xr:uid="{00000000-0005-0000-0000-000091490000}"/>
    <cellStyle name="RowTitles-Detail 2 3 3 7 3 2 2" xfId="18815" xr:uid="{00000000-0005-0000-0000-000092490000}"/>
    <cellStyle name="RowTitles-Detail 2 3 3 7 3 2_Tertiary Salaries Survey" xfId="18816" xr:uid="{00000000-0005-0000-0000-000093490000}"/>
    <cellStyle name="RowTitles-Detail 2 3 3 7 3 3" xfId="18817" xr:uid="{00000000-0005-0000-0000-000094490000}"/>
    <cellStyle name="RowTitles-Detail 2 3 3 7 3_Tertiary Salaries Survey" xfId="18818" xr:uid="{00000000-0005-0000-0000-000095490000}"/>
    <cellStyle name="RowTitles-Detail 2 3 3 7 4" xfId="18819" xr:uid="{00000000-0005-0000-0000-000096490000}"/>
    <cellStyle name="RowTitles-Detail 2 3 3 7 5" xfId="18820" xr:uid="{00000000-0005-0000-0000-000097490000}"/>
    <cellStyle name="RowTitles-Detail 2 3 3 7 5 2" xfId="18821" xr:uid="{00000000-0005-0000-0000-000098490000}"/>
    <cellStyle name="RowTitles-Detail 2 3 3 7 5_Tertiary Salaries Survey" xfId="18822" xr:uid="{00000000-0005-0000-0000-000099490000}"/>
    <cellStyle name="RowTitles-Detail 2 3 3 7 6" xfId="18823" xr:uid="{00000000-0005-0000-0000-00009A490000}"/>
    <cellStyle name="RowTitles-Detail 2 3 3 7_Tertiary Salaries Survey" xfId="18824" xr:uid="{00000000-0005-0000-0000-00009B490000}"/>
    <cellStyle name="RowTitles-Detail 2 3 3 8" xfId="18825" xr:uid="{00000000-0005-0000-0000-00009C490000}"/>
    <cellStyle name="RowTitles-Detail 2 3 3 8 2" xfId="18826" xr:uid="{00000000-0005-0000-0000-00009D490000}"/>
    <cellStyle name="RowTitles-Detail 2 3 3 8 2 2" xfId="18827" xr:uid="{00000000-0005-0000-0000-00009E490000}"/>
    <cellStyle name="RowTitles-Detail 2 3 3 8 2 2 2" xfId="18828" xr:uid="{00000000-0005-0000-0000-00009F490000}"/>
    <cellStyle name="RowTitles-Detail 2 3 3 8 2 2_Tertiary Salaries Survey" xfId="18829" xr:uid="{00000000-0005-0000-0000-0000A0490000}"/>
    <cellStyle name="RowTitles-Detail 2 3 3 8 2 3" xfId="18830" xr:uid="{00000000-0005-0000-0000-0000A1490000}"/>
    <cellStyle name="RowTitles-Detail 2 3 3 8 2_Tertiary Salaries Survey" xfId="18831" xr:uid="{00000000-0005-0000-0000-0000A2490000}"/>
    <cellStyle name="RowTitles-Detail 2 3 3 8 3" xfId="18832" xr:uid="{00000000-0005-0000-0000-0000A3490000}"/>
    <cellStyle name="RowTitles-Detail 2 3 3 8 3 2" xfId="18833" xr:uid="{00000000-0005-0000-0000-0000A4490000}"/>
    <cellStyle name="RowTitles-Detail 2 3 3 8 3 2 2" xfId="18834" xr:uid="{00000000-0005-0000-0000-0000A5490000}"/>
    <cellStyle name="RowTitles-Detail 2 3 3 8 3 2_Tertiary Salaries Survey" xfId="18835" xr:uid="{00000000-0005-0000-0000-0000A6490000}"/>
    <cellStyle name="RowTitles-Detail 2 3 3 8 3 3" xfId="18836" xr:uid="{00000000-0005-0000-0000-0000A7490000}"/>
    <cellStyle name="RowTitles-Detail 2 3 3 8 3_Tertiary Salaries Survey" xfId="18837" xr:uid="{00000000-0005-0000-0000-0000A8490000}"/>
    <cellStyle name="RowTitles-Detail 2 3 3 8 4" xfId="18838" xr:uid="{00000000-0005-0000-0000-0000A9490000}"/>
    <cellStyle name="RowTitles-Detail 2 3 3 8 4 2" xfId="18839" xr:uid="{00000000-0005-0000-0000-0000AA490000}"/>
    <cellStyle name="RowTitles-Detail 2 3 3 8 4_Tertiary Salaries Survey" xfId="18840" xr:uid="{00000000-0005-0000-0000-0000AB490000}"/>
    <cellStyle name="RowTitles-Detail 2 3 3 8 5" xfId="18841" xr:uid="{00000000-0005-0000-0000-0000AC490000}"/>
    <cellStyle name="RowTitles-Detail 2 3 3 8_Tertiary Salaries Survey" xfId="18842" xr:uid="{00000000-0005-0000-0000-0000AD490000}"/>
    <cellStyle name="RowTitles-Detail 2 3 3 9" xfId="18843" xr:uid="{00000000-0005-0000-0000-0000AE490000}"/>
    <cellStyle name="RowTitles-Detail 2 3 3 9 2" xfId="18844" xr:uid="{00000000-0005-0000-0000-0000AF490000}"/>
    <cellStyle name="RowTitles-Detail 2 3 3 9 2 2" xfId="18845" xr:uid="{00000000-0005-0000-0000-0000B0490000}"/>
    <cellStyle name="RowTitles-Detail 2 3 3 9 2 2 2" xfId="18846" xr:uid="{00000000-0005-0000-0000-0000B1490000}"/>
    <cellStyle name="RowTitles-Detail 2 3 3 9 2 2_Tertiary Salaries Survey" xfId="18847" xr:uid="{00000000-0005-0000-0000-0000B2490000}"/>
    <cellStyle name="RowTitles-Detail 2 3 3 9 2 3" xfId="18848" xr:uid="{00000000-0005-0000-0000-0000B3490000}"/>
    <cellStyle name="RowTitles-Detail 2 3 3 9 2_Tertiary Salaries Survey" xfId="18849" xr:uid="{00000000-0005-0000-0000-0000B4490000}"/>
    <cellStyle name="RowTitles-Detail 2 3 3 9 3" xfId="18850" xr:uid="{00000000-0005-0000-0000-0000B5490000}"/>
    <cellStyle name="RowTitles-Detail 2 3 3 9 3 2" xfId="18851" xr:uid="{00000000-0005-0000-0000-0000B6490000}"/>
    <cellStyle name="RowTitles-Detail 2 3 3 9 3 2 2" xfId="18852" xr:uid="{00000000-0005-0000-0000-0000B7490000}"/>
    <cellStyle name="RowTitles-Detail 2 3 3 9 3 2_Tertiary Salaries Survey" xfId="18853" xr:uid="{00000000-0005-0000-0000-0000B8490000}"/>
    <cellStyle name="RowTitles-Detail 2 3 3 9 3 3" xfId="18854" xr:uid="{00000000-0005-0000-0000-0000B9490000}"/>
    <cellStyle name="RowTitles-Detail 2 3 3 9 3_Tertiary Salaries Survey" xfId="18855" xr:uid="{00000000-0005-0000-0000-0000BA490000}"/>
    <cellStyle name="RowTitles-Detail 2 3 3 9 4" xfId="18856" xr:uid="{00000000-0005-0000-0000-0000BB490000}"/>
    <cellStyle name="RowTitles-Detail 2 3 3 9 4 2" xfId="18857" xr:uid="{00000000-0005-0000-0000-0000BC490000}"/>
    <cellStyle name="RowTitles-Detail 2 3 3 9 4_Tertiary Salaries Survey" xfId="18858" xr:uid="{00000000-0005-0000-0000-0000BD490000}"/>
    <cellStyle name="RowTitles-Detail 2 3 3 9 5" xfId="18859" xr:uid="{00000000-0005-0000-0000-0000BE490000}"/>
    <cellStyle name="RowTitles-Detail 2 3 3 9_Tertiary Salaries Survey" xfId="18860" xr:uid="{00000000-0005-0000-0000-0000BF490000}"/>
    <cellStyle name="RowTitles-Detail 2 3 3_STUD aligned by INSTIT" xfId="18861" xr:uid="{00000000-0005-0000-0000-0000C0490000}"/>
    <cellStyle name="RowTitles-Detail 2 3 4" xfId="18862" xr:uid="{00000000-0005-0000-0000-0000C1490000}"/>
    <cellStyle name="RowTitles-Detail 2 3 4 2" xfId="18863" xr:uid="{00000000-0005-0000-0000-0000C2490000}"/>
    <cellStyle name="RowTitles-Detail 2 3 4 2 2" xfId="18864" xr:uid="{00000000-0005-0000-0000-0000C3490000}"/>
    <cellStyle name="RowTitles-Detail 2 3 4 2 2 2" xfId="18865" xr:uid="{00000000-0005-0000-0000-0000C4490000}"/>
    <cellStyle name="RowTitles-Detail 2 3 4 2 2 2 2" xfId="18866" xr:uid="{00000000-0005-0000-0000-0000C5490000}"/>
    <cellStyle name="RowTitles-Detail 2 3 4 2 2 2_Tertiary Salaries Survey" xfId="18867" xr:uid="{00000000-0005-0000-0000-0000C6490000}"/>
    <cellStyle name="RowTitles-Detail 2 3 4 2 2 3" xfId="18868" xr:uid="{00000000-0005-0000-0000-0000C7490000}"/>
    <cellStyle name="RowTitles-Detail 2 3 4 2 2_Tertiary Salaries Survey" xfId="18869" xr:uid="{00000000-0005-0000-0000-0000C8490000}"/>
    <cellStyle name="RowTitles-Detail 2 3 4 2 3" xfId="18870" xr:uid="{00000000-0005-0000-0000-0000C9490000}"/>
    <cellStyle name="RowTitles-Detail 2 3 4 2 3 2" xfId="18871" xr:uid="{00000000-0005-0000-0000-0000CA490000}"/>
    <cellStyle name="RowTitles-Detail 2 3 4 2 3 2 2" xfId="18872" xr:uid="{00000000-0005-0000-0000-0000CB490000}"/>
    <cellStyle name="RowTitles-Detail 2 3 4 2 3 2_Tertiary Salaries Survey" xfId="18873" xr:uid="{00000000-0005-0000-0000-0000CC490000}"/>
    <cellStyle name="RowTitles-Detail 2 3 4 2 3 3" xfId="18874" xr:uid="{00000000-0005-0000-0000-0000CD490000}"/>
    <cellStyle name="RowTitles-Detail 2 3 4 2 3_Tertiary Salaries Survey" xfId="18875" xr:uid="{00000000-0005-0000-0000-0000CE490000}"/>
    <cellStyle name="RowTitles-Detail 2 3 4 2 4" xfId="18876" xr:uid="{00000000-0005-0000-0000-0000CF490000}"/>
    <cellStyle name="RowTitles-Detail 2 3 4 2 5" xfId="18877" xr:uid="{00000000-0005-0000-0000-0000D0490000}"/>
    <cellStyle name="RowTitles-Detail 2 3 4 2_Tertiary Salaries Survey" xfId="18878" xr:uid="{00000000-0005-0000-0000-0000D1490000}"/>
    <cellStyle name="RowTitles-Detail 2 3 4 3" xfId="18879" xr:uid="{00000000-0005-0000-0000-0000D2490000}"/>
    <cellStyle name="RowTitles-Detail 2 3 4 3 2" xfId="18880" xr:uid="{00000000-0005-0000-0000-0000D3490000}"/>
    <cellStyle name="RowTitles-Detail 2 3 4 3 2 2" xfId="18881" xr:uid="{00000000-0005-0000-0000-0000D4490000}"/>
    <cellStyle name="RowTitles-Detail 2 3 4 3 2 2 2" xfId="18882" xr:uid="{00000000-0005-0000-0000-0000D5490000}"/>
    <cellStyle name="RowTitles-Detail 2 3 4 3 2 2_Tertiary Salaries Survey" xfId="18883" xr:uid="{00000000-0005-0000-0000-0000D6490000}"/>
    <cellStyle name="RowTitles-Detail 2 3 4 3 2 3" xfId="18884" xr:uid="{00000000-0005-0000-0000-0000D7490000}"/>
    <cellStyle name="RowTitles-Detail 2 3 4 3 2_Tertiary Salaries Survey" xfId="18885" xr:uid="{00000000-0005-0000-0000-0000D8490000}"/>
    <cellStyle name="RowTitles-Detail 2 3 4 3 3" xfId="18886" xr:uid="{00000000-0005-0000-0000-0000D9490000}"/>
    <cellStyle name="RowTitles-Detail 2 3 4 3 3 2" xfId="18887" xr:uid="{00000000-0005-0000-0000-0000DA490000}"/>
    <cellStyle name="RowTitles-Detail 2 3 4 3 3 2 2" xfId="18888" xr:uid="{00000000-0005-0000-0000-0000DB490000}"/>
    <cellStyle name="RowTitles-Detail 2 3 4 3 3 2_Tertiary Salaries Survey" xfId="18889" xr:uid="{00000000-0005-0000-0000-0000DC490000}"/>
    <cellStyle name="RowTitles-Detail 2 3 4 3 3 3" xfId="18890" xr:uid="{00000000-0005-0000-0000-0000DD490000}"/>
    <cellStyle name="RowTitles-Detail 2 3 4 3 3_Tertiary Salaries Survey" xfId="18891" xr:uid="{00000000-0005-0000-0000-0000DE490000}"/>
    <cellStyle name="RowTitles-Detail 2 3 4 3 4" xfId="18892" xr:uid="{00000000-0005-0000-0000-0000DF490000}"/>
    <cellStyle name="RowTitles-Detail 2 3 4 3 5" xfId="18893" xr:uid="{00000000-0005-0000-0000-0000E0490000}"/>
    <cellStyle name="RowTitles-Detail 2 3 4 3 5 2" xfId="18894" xr:uid="{00000000-0005-0000-0000-0000E1490000}"/>
    <cellStyle name="RowTitles-Detail 2 3 4 3 5_Tertiary Salaries Survey" xfId="18895" xr:uid="{00000000-0005-0000-0000-0000E2490000}"/>
    <cellStyle name="RowTitles-Detail 2 3 4 3 6" xfId="18896" xr:uid="{00000000-0005-0000-0000-0000E3490000}"/>
    <cellStyle name="RowTitles-Detail 2 3 4 3_Tertiary Salaries Survey" xfId="18897" xr:uid="{00000000-0005-0000-0000-0000E4490000}"/>
    <cellStyle name="RowTitles-Detail 2 3 4 4" xfId="18898" xr:uid="{00000000-0005-0000-0000-0000E5490000}"/>
    <cellStyle name="RowTitles-Detail 2 3 4 4 2" xfId="18899" xr:uid="{00000000-0005-0000-0000-0000E6490000}"/>
    <cellStyle name="RowTitles-Detail 2 3 4 4 2 2" xfId="18900" xr:uid="{00000000-0005-0000-0000-0000E7490000}"/>
    <cellStyle name="RowTitles-Detail 2 3 4 4 2 2 2" xfId="18901" xr:uid="{00000000-0005-0000-0000-0000E8490000}"/>
    <cellStyle name="RowTitles-Detail 2 3 4 4 2 2_Tertiary Salaries Survey" xfId="18902" xr:uid="{00000000-0005-0000-0000-0000E9490000}"/>
    <cellStyle name="RowTitles-Detail 2 3 4 4 2 3" xfId="18903" xr:uid="{00000000-0005-0000-0000-0000EA490000}"/>
    <cellStyle name="RowTitles-Detail 2 3 4 4 2_Tertiary Salaries Survey" xfId="18904" xr:uid="{00000000-0005-0000-0000-0000EB490000}"/>
    <cellStyle name="RowTitles-Detail 2 3 4 4 3" xfId="18905" xr:uid="{00000000-0005-0000-0000-0000EC490000}"/>
    <cellStyle name="RowTitles-Detail 2 3 4 4 3 2" xfId="18906" xr:uid="{00000000-0005-0000-0000-0000ED490000}"/>
    <cellStyle name="RowTitles-Detail 2 3 4 4 3 2 2" xfId="18907" xr:uid="{00000000-0005-0000-0000-0000EE490000}"/>
    <cellStyle name="RowTitles-Detail 2 3 4 4 3 2_Tertiary Salaries Survey" xfId="18908" xr:uid="{00000000-0005-0000-0000-0000EF490000}"/>
    <cellStyle name="RowTitles-Detail 2 3 4 4 3 3" xfId="18909" xr:uid="{00000000-0005-0000-0000-0000F0490000}"/>
    <cellStyle name="RowTitles-Detail 2 3 4 4 3_Tertiary Salaries Survey" xfId="18910" xr:uid="{00000000-0005-0000-0000-0000F1490000}"/>
    <cellStyle name="RowTitles-Detail 2 3 4 4 4" xfId="18911" xr:uid="{00000000-0005-0000-0000-0000F2490000}"/>
    <cellStyle name="RowTitles-Detail 2 3 4 4 4 2" xfId="18912" xr:uid="{00000000-0005-0000-0000-0000F3490000}"/>
    <cellStyle name="RowTitles-Detail 2 3 4 4 4_Tertiary Salaries Survey" xfId="18913" xr:uid="{00000000-0005-0000-0000-0000F4490000}"/>
    <cellStyle name="RowTitles-Detail 2 3 4 4 5" xfId="18914" xr:uid="{00000000-0005-0000-0000-0000F5490000}"/>
    <cellStyle name="RowTitles-Detail 2 3 4 4_Tertiary Salaries Survey" xfId="18915" xr:uid="{00000000-0005-0000-0000-0000F6490000}"/>
    <cellStyle name="RowTitles-Detail 2 3 4 5" xfId="18916" xr:uid="{00000000-0005-0000-0000-0000F7490000}"/>
    <cellStyle name="RowTitles-Detail 2 3 4 5 2" xfId="18917" xr:uid="{00000000-0005-0000-0000-0000F8490000}"/>
    <cellStyle name="RowTitles-Detail 2 3 4 5 2 2" xfId="18918" xr:uid="{00000000-0005-0000-0000-0000F9490000}"/>
    <cellStyle name="RowTitles-Detail 2 3 4 5 2 2 2" xfId="18919" xr:uid="{00000000-0005-0000-0000-0000FA490000}"/>
    <cellStyle name="RowTitles-Detail 2 3 4 5 2 2_Tertiary Salaries Survey" xfId="18920" xr:uid="{00000000-0005-0000-0000-0000FB490000}"/>
    <cellStyle name="RowTitles-Detail 2 3 4 5 2 3" xfId="18921" xr:uid="{00000000-0005-0000-0000-0000FC490000}"/>
    <cellStyle name="RowTitles-Detail 2 3 4 5 2_Tertiary Salaries Survey" xfId="18922" xr:uid="{00000000-0005-0000-0000-0000FD490000}"/>
    <cellStyle name="RowTitles-Detail 2 3 4 5 3" xfId="18923" xr:uid="{00000000-0005-0000-0000-0000FE490000}"/>
    <cellStyle name="RowTitles-Detail 2 3 4 5 3 2" xfId="18924" xr:uid="{00000000-0005-0000-0000-0000FF490000}"/>
    <cellStyle name="RowTitles-Detail 2 3 4 5 3 2 2" xfId="18925" xr:uid="{00000000-0005-0000-0000-0000004A0000}"/>
    <cellStyle name="RowTitles-Detail 2 3 4 5 3 2_Tertiary Salaries Survey" xfId="18926" xr:uid="{00000000-0005-0000-0000-0000014A0000}"/>
    <cellStyle name="RowTitles-Detail 2 3 4 5 3 3" xfId="18927" xr:uid="{00000000-0005-0000-0000-0000024A0000}"/>
    <cellStyle name="RowTitles-Detail 2 3 4 5 3_Tertiary Salaries Survey" xfId="18928" xr:uid="{00000000-0005-0000-0000-0000034A0000}"/>
    <cellStyle name="RowTitles-Detail 2 3 4 5 4" xfId="18929" xr:uid="{00000000-0005-0000-0000-0000044A0000}"/>
    <cellStyle name="RowTitles-Detail 2 3 4 5 4 2" xfId="18930" xr:uid="{00000000-0005-0000-0000-0000054A0000}"/>
    <cellStyle name="RowTitles-Detail 2 3 4 5 4_Tertiary Salaries Survey" xfId="18931" xr:uid="{00000000-0005-0000-0000-0000064A0000}"/>
    <cellStyle name="RowTitles-Detail 2 3 4 5 5" xfId="18932" xr:uid="{00000000-0005-0000-0000-0000074A0000}"/>
    <cellStyle name="RowTitles-Detail 2 3 4 5_Tertiary Salaries Survey" xfId="18933" xr:uid="{00000000-0005-0000-0000-0000084A0000}"/>
    <cellStyle name="RowTitles-Detail 2 3 4 6" xfId="18934" xr:uid="{00000000-0005-0000-0000-0000094A0000}"/>
    <cellStyle name="RowTitles-Detail 2 3 4 6 2" xfId="18935" xr:uid="{00000000-0005-0000-0000-00000A4A0000}"/>
    <cellStyle name="RowTitles-Detail 2 3 4 6 2 2" xfId="18936" xr:uid="{00000000-0005-0000-0000-00000B4A0000}"/>
    <cellStyle name="RowTitles-Detail 2 3 4 6 2 2 2" xfId="18937" xr:uid="{00000000-0005-0000-0000-00000C4A0000}"/>
    <cellStyle name="RowTitles-Detail 2 3 4 6 2 2_Tertiary Salaries Survey" xfId="18938" xr:uid="{00000000-0005-0000-0000-00000D4A0000}"/>
    <cellStyle name="RowTitles-Detail 2 3 4 6 2 3" xfId="18939" xr:uid="{00000000-0005-0000-0000-00000E4A0000}"/>
    <cellStyle name="RowTitles-Detail 2 3 4 6 2_Tertiary Salaries Survey" xfId="18940" xr:uid="{00000000-0005-0000-0000-00000F4A0000}"/>
    <cellStyle name="RowTitles-Detail 2 3 4 6 3" xfId="18941" xr:uid="{00000000-0005-0000-0000-0000104A0000}"/>
    <cellStyle name="RowTitles-Detail 2 3 4 6 3 2" xfId="18942" xr:uid="{00000000-0005-0000-0000-0000114A0000}"/>
    <cellStyle name="RowTitles-Detail 2 3 4 6 3 2 2" xfId="18943" xr:uid="{00000000-0005-0000-0000-0000124A0000}"/>
    <cellStyle name="RowTitles-Detail 2 3 4 6 3 2_Tertiary Salaries Survey" xfId="18944" xr:uid="{00000000-0005-0000-0000-0000134A0000}"/>
    <cellStyle name="RowTitles-Detail 2 3 4 6 3 3" xfId="18945" xr:uid="{00000000-0005-0000-0000-0000144A0000}"/>
    <cellStyle name="RowTitles-Detail 2 3 4 6 3_Tertiary Salaries Survey" xfId="18946" xr:uid="{00000000-0005-0000-0000-0000154A0000}"/>
    <cellStyle name="RowTitles-Detail 2 3 4 6 4" xfId="18947" xr:uid="{00000000-0005-0000-0000-0000164A0000}"/>
    <cellStyle name="RowTitles-Detail 2 3 4 6 4 2" xfId="18948" xr:uid="{00000000-0005-0000-0000-0000174A0000}"/>
    <cellStyle name="RowTitles-Detail 2 3 4 6 4_Tertiary Salaries Survey" xfId="18949" xr:uid="{00000000-0005-0000-0000-0000184A0000}"/>
    <cellStyle name="RowTitles-Detail 2 3 4 6 5" xfId="18950" xr:uid="{00000000-0005-0000-0000-0000194A0000}"/>
    <cellStyle name="RowTitles-Detail 2 3 4 6_Tertiary Salaries Survey" xfId="18951" xr:uid="{00000000-0005-0000-0000-00001A4A0000}"/>
    <cellStyle name="RowTitles-Detail 2 3 4 7" xfId="18952" xr:uid="{00000000-0005-0000-0000-00001B4A0000}"/>
    <cellStyle name="RowTitles-Detail 2 3 4 7 2" xfId="18953" xr:uid="{00000000-0005-0000-0000-00001C4A0000}"/>
    <cellStyle name="RowTitles-Detail 2 3 4 7 2 2" xfId="18954" xr:uid="{00000000-0005-0000-0000-00001D4A0000}"/>
    <cellStyle name="RowTitles-Detail 2 3 4 7 2_Tertiary Salaries Survey" xfId="18955" xr:uid="{00000000-0005-0000-0000-00001E4A0000}"/>
    <cellStyle name="RowTitles-Detail 2 3 4 7 3" xfId="18956" xr:uid="{00000000-0005-0000-0000-00001F4A0000}"/>
    <cellStyle name="RowTitles-Detail 2 3 4 7_Tertiary Salaries Survey" xfId="18957" xr:uid="{00000000-0005-0000-0000-0000204A0000}"/>
    <cellStyle name="RowTitles-Detail 2 3 4 8" xfId="18958" xr:uid="{00000000-0005-0000-0000-0000214A0000}"/>
    <cellStyle name="RowTitles-Detail 2 3 4 9" xfId="18959" xr:uid="{00000000-0005-0000-0000-0000224A0000}"/>
    <cellStyle name="RowTitles-Detail 2 3 4_STUD aligned by INSTIT" xfId="18960" xr:uid="{00000000-0005-0000-0000-0000234A0000}"/>
    <cellStyle name="RowTitles-Detail 2 3 5" xfId="18961" xr:uid="{00000000-0005-0000-0000-0000244A0000}"/>
    <cellStyle name="RowTitles-Detail 2 3 5 2" xfId="18962" xr:uid="{00000000-0005-0000-0000-0000254A0000}"/>
    <cellStyle name="RowTitles-Detail 2 3 5 2 2" xfId="18963" xr:uid="{00000000-0005-0000-0000-0000264A0000}"/>
    <cellStyle name="RowTitles-Detail 2 3 5 2 2 2" xfId="18964" xr:uid="{00000000-0005-0000-0000-0000274A0000}"/>
    <cellStyle name="RowTitles-Detail 2 3 5 2 2 2 2" xfId="18965" xr:uid="{00000000-0005-0000-0000-0000284A0000}"/>
    <cellStyle name="RowTitles-Detail 2 3 5 2 2 2_Tertiary Salaries Survey" xfId="18966" xr:uid="{00000000-0005-0000-0000-0000294A0000}"/>
    <cellStyle name="RowTitles-Detail 2 3 5 2 2 3" xfId="18967" xr:uid="{00000000-0005-0000-0000-00002A4A0000}"/>
    <cellStyle name="RowTitles-Detail 2 3 5 2 2_Tertiary Salaries Survey" xfId="18968" xr:uid="{00000000-0005-0000-0000-00002B4A0000}"/>
    <cellStyle name="RowTitles-Detail 2 3 5 2 3" xfId="18969" xr:uid="{00000000-0005-0000-0000-00002C4A0000}"/>
    <cellStyle name="RowTitles-Detail 2 3 5 2 3 2" xfId="18970" xr:uid="{00000000-0005-0000-0000-00002D4A0000}"/>
    <cellStyle name="RowTitles-Detail 2 3 5 2 3 2 2" xfId="18971" xr:uid="{00000000-0005-0000-0000-00002E4A0000}"/>
    <cellStyle name="RowTitles-Detail 2 3 5 2 3 2_Tertiary Salaries Survey" xfId="18972" xr:uid="{00000000-0005-0000-0000-00002F4A0000}"/>
    <cellStyle name="RowTitles-Detail 2 3 5 2 3 3" xfId="18973" xr:uid="{00000000-0005-0000-0000-0000304A0000}"/>
    <cellStyle name="RowTitles-Detail 2 3 5 2 3_Tertiary Salaries Survey" xfId="18974" xr:uid="{00000000-0005-0000-0000-0000314A0000}"/>
    <cellStyle name="RowTitles-Detail 2 3 5 2 4" xfId="18975" xr:uid="{00000000-0005-0000-0000-0000324A0000}"/>
    <cellStyle name="RowTitles-Detail 2 3 5 2 5" xfId="18976" xr:uid="{00000000-0005-0000-0000-0000334A0000}"/>
    <cellStyle name="RowTitles-Detail 2 3 5 2 5 2" xfId="18977" xr:uid="{00000000-0005-0000-0000-0000344A0000}"/>
    <cellStyle name="RowTitles-Detail 2 3 5 2 5_Tertiary Salaries Survey" xfId="18978" xr:uid="{00000000-0005-0000-0000-0000354A0000}"/>
    <cellStyle name="RowTitles-Detail 2 3 5 2 6" xfId="18979" xr:uid="{00000000-0005-0000-0000-0000364A0000}"/>
    <cellStyle name="RowTitles-Detail 2 3 5 2_Tertiary Salaries Survey" xfId="18980" xr:uid="{00000000-0005-0000-0000-0000374A0000}"/>
    <cellStyle name="RowTitles-Detail 2 3 5 3" xfId="18981" xr:uid="{00000000-0005-0000-0000-0000384A0000}"/>
    <cellStyle name="RowTitles-Detail 2 3 5 3 2" xfId="18982" xr:uid="{00000000-0005-0000-0000-0000394A0000}"/>
    <cellStyle name="RowTitles-Detail 2 3 5 3 2 2" xfId="18983" xr:uid="{00000000-0005-0000-0000-00003A4A0000}"/>
    <cellStyle name="RowTitles-Detail 2 3 5 3 2 2 2" xfId="18984" xr:uid="{00000000-0005-0000-0000-00003B4A0000}"/>
    <cellStyle name="RowTitles-Detail 2 3 5 3 2 2_Tertiary Salaries Survey" xfId="18985" xr:uid="{00000000-0005-0000-0000-00003C4A0000}"/>
    <cellStyle name="RowTitles-Detail 2 3 5 3 2 3" xfId="18986" xr:uid="{00000000-0005-0000-0000-00003D4A0000}"/>
    <cellStyle name="RowTitles-Detail 2 3 5 3 2_Tertiary Salaries Survey" xfId="18987" xr:uid="{00000000-0005-0000-0000-00003E4A0000}"/>
    <cellStyle name="RowTitles-Detail 2 3 5 3 3" xfId="18988" xr:uid="{00000000-0005-0000-0000-00003F4A0000}"/>
    <cellStyle name="RowTitles-Detail 2 3 5 3 3 2" xfId="18989" xr:uid="{00000000-0005-0000-0000-0000404A0000}"/>
    <cellStyle name="RowTitles-Detail 2 3 5 3 3 2 2" xfId="18990" xr:uid="{00000000-0005-0000-0000-0000414A0000}"/>
    <cellStyle name="RowTitles-Detail 2 3 5 3 3 2_Tertiary Salaries Survey" xfId="18991" xr:uid="{00000000-0005-0000-0000-0000424A0000}"/>
    <cellStyle name="RowTitles-Detail 2 3 5 3 3 3" xfId="18992" xr:uid="{00000000-0005-0000-0000-0000434A0000}"/>
    <cellStyle name="RowTitles-Detail 2 3 5 3 3_Tertiary Salaries Survey" xfId="18993" xr:uid="{00000000-0005-0000-0000-0000444A0000}"/>
    <cellStyle name="RowTitles-Detail 2 3 5 3 4" xfId="18994" xr:uid="{00000000-0005-0000-0000-0000454A0000}"/>
    <cellStyle name="RowTitles-Detail 2 3 5 3 5" xfId="18995" xr:uid="{00000000-0005-0000-0000-0000464A0000}"/>
    <cellStyle name="RowTitles-Detail 2 3 5 3_Tertiary Salaries Survey" xfId="18996" xr:uid="{00000000-0005-0000-0000-0000474A0000}"/>
    <cellStyle name="RowTitles-Detail 2 3 5 4" xfId="18997" xr:uid="{00000000-0005-0000-0000-0000484A0000}"/>
    <cellStyle name="RowTitles-Detail 2 3 5 4 2" xfId="18998" xr:uid="{00000000-0005-0000-0000-0000494A0000}"/>
    <cellStyle name="RowTitles-Detail 2 3 5 4 2 2" xfId="18999" xr:uid="{00000000-0005-0000-0000-00004A4A0000}"/>
    <cellStyle name="RowTitles-Detail 2 3 5 4 2 2 2" xfId="19000" xr:uid="{00000000-0005-0000-0000-00004B4A0000}"/>
    <cellStyle name="RowTitles-Detail 2 3 5 4 2 2_Tertiary Salaries Survey" xfId="19001" xr:uid="{00000000-0005-0000-0000-00004C4A0000}"/>
    <cellStyle name="RowTitles-Detail 2 3 5 4 2 3" xfId="19002" xr:uid="{00000000-0005-0000-0000-00004D4A0000}"/>
    <cellStyle name="RowTitles-Detail 2 3 5 4 2_Tertiary Salaries Survey" xfId="19003" xr:uid="{00000000-0005-0000-0000-00004E4A0000}"/>
    <cellStyle name="RowTitles-Detail 2 3 5 4 3" xfId="19004" xr:uid="{00000000-0005-0000-0000-00004F4A0000}"/>
    <cellStyle name="RowTitles-Detail 2 3 5 4 3 2" xfId="19005" xr:uid="{00000000-0005-0000-0000-0000504A0000}"/>
    <cellStyle name="RowTitles-Detail 2 3 5 4 3 2 2" xfId="19006" xr:uid="{00000000-0005-0000-0000-0000514A0000}"/>
    <cellStyle name="RowTitles-Detail 2 3 5 4 3 2_Tertiary Salaries Survey" xfId="19007" xr:uid="{00000000-0005-0000-0000-0000524A0000}"/>
    <cellStyle name="RowTitles-Detail 2 3 5 4 3 3" xfId="19008" xr:uid="{00000000-0005-0000-0000-0000534A0000}"/>
    <cellStyle name="RowTitles-Detail 2 3 5 4 3_Tertiary Salaries Survey" xfId="19009" xr:uid="{00000000-0005-0000-0000-0000544A0000}"/>
    <cellStyle name="RowTitles-Detail 2 3 5 4 4" xfId="19010" xr:uid="{00000000-0005-0000-0000-0000554A0000}"/>
    <cellStyle name="RowTitles-Detail 2 3 5 4 4 2" xfId="19011" xr:uid="{00000000-0005-0000-0000-0000564A0000}"/>
    <cellStyle name="RowTitles-Detail 2 3 5 4 4_Tertiary Salaries Survey" xfId="19012" xr:uid="{00000000-0005-0000-0000-0000574A0000}"/>
    <cellStyle name="RowTitles-Detail 2 3 5 4 5" xfId="19013" xr:uid="{00000000-0005-0000-0000-0000584A0000}"/>
    <cellStyle name="RowTitles-Detail 2 3 5 4_Tertiary Salaries Survey" xfId="19014" xr:uid="{00000000-0005-0000-0000-0000594A0000}"/>
    <cellStyle name="RowTitles-Detail 2 3 5 5" xfId="19015" xr:uid="{00000000-0005-0000-0000-00005A4A0000}"/>
    <cellStyle name="RowTitles-Detail 2 3 5 5 2" xfId="19016" xr:uid="{00000000-0005-0000-0000-00005B4A0000}"/>
    <cellStyle name="RowTitles-Detail 2 3 5 5 2 2" xfId="19017" xr:uid="{00000000-0005-0000-0000-00005C4A0000}"/>
    <cellStyle name="RowTitles-Detail 2 3 5 5 2 2 2" xfId="19018" xr:uid="{00000000-0005-0000-0000-00005D4A0000}"/>
    <cellStyle name="RowTitles-Detail 2 3 5 5 2 2_Tertiary Salaries Survey" xfId="19019" xr:uid="{00000000-0005-0000-0000-00005E4A0000}"/>
    <cellStyle name="RowTitles-Detail 2 3 5 5 2 3" xfId="19020" xr:uid="{00000000-0005-0000-0000-00005F4A0000}"/>
    <cellStyle name="RowTitles-Detail 2 3 5 5 2_Tertiary Salaries Survey" xfId="19021" xr:uid="{00000000-0005-0000-0000-0000604A0000}"/>
    <cellStyle name="RowTitles-Detail 2 3 5 5 3" xfId="19022" xr:uid="{00000000-0005-0000-0000-0000614A0000}"/>
    <cellStyle name="RowTitles-Detail 2 3 5 5 3 2" xfId="19023" xr:uid="{00000000-0005-0000-0000-0000624A0000}"/>
    <cellStyle name="RowTitles-Detail 2 3 5 5 3 2 2" xfId="19024" xr:uid="{00000000-0005-0000-0000-0000634A0000}"/>
    <cellStyle name="RowTitles-Detail 2 3 5 5 3 2_Tertiary Salaries Survey" xfId="19025" xr:uid="{00000000-0005-0000-0000-0000644A0000}"/>
    <cellStyle name="RowTitles-Detail 2 3 5 5 3 3" xfId="19026" xr:uid="{00000000-0005-0000-0000-0000654A0000}"/>
    <cellStyle name="RowTitles-Detail 2 3 5 5 3_Tertiary Salaries Survey" xfId="19027" xr:uid="{00000000-0005-0000-0000-0000664A0000}"/>
    <cellStyle name="RowTitles-Detail 2 3 5 5 4" xfId="19028" xr:uid="{00000000-0005-0000-0000-0000674A0000}"/>
    <cellStyle name="RowTitles-Detail 2 3 5 5 4 2" xfId="19029" xr:uid="{00000000-0005-0000-0000-0000684A0000}"/>
    <cellStyle name="RowTitles-Detail 2 3 5 5 4_Tertiary Salaries Survey" xfId="19030" xr:uid="{00000000-0005-0000-0000-0000694A0000}"/>
    <cellStyle name="RowTitles-Detail 2 3 5 5 5" xfId="19031" xr:uid="{00000000-0005-0000-0000-00006A4A0000}"/>
    <cellStyle name="RowTitles-Detail 2 3 5 5_Tertiary Salaries Survey" xfId="19032" xr:uid="{00000000-0005-0000-0000-00006B4A0000}"/>
    <cellStyle name="RowTitles-Detail 2 3 5 6" xfId="19033" xr:uid="{00000000-0005-0000-0000-00006C4A0000}"/>
    <cellStyle name="RowTitles-Detail 2 3 5 6 2" xfId="19034" xr:uid="{00000000-0005-0000-0000-00006D4A0000}"/>
    <cellStyle name="RowTitles-Detail 2 3 5 6 2 2" xfId="19035" xr:uid="{00000000-0005-0000-0000-00006E4A0000}"/>
    <cellStyle name="RowTitles-Detail 2 3 5 6 2 2 2" xfId="19036" xr:uid="{00000000-0005-0000-0000-00006F4A0000}"/>
    <cellStyle name="RowTitles-Detail 2 3 5 6 2 2_Tertiary Salaries Survey" xfId="19037" xr:uid="{00000000-0005-0000-0000-0000704A0000}"/>
    <cellStyle name="RowTitles-Detail 2 3 5 6 2 3" xfId="19038" xr:uid="{00000000-0005-0000-0000-0000714A0000}"/>
    <cellStyle name="RowTitles-Detail 2 3 5 6 2_Tertiary Salaries Survey" xfId="19039" xr:uid="{00000000-0005-0000-0000-0000724A0000}"/>
    <cellStyle name="RowTitles-Detail 2 3 5 6 3" xfId="19040" xr:uid="{00000000-0005-0000-0000-0000734A0000}"/>
    <cellStyle name="RowTitles-Detail 2 3 5 6 3 2" xfId="19041" xr:uid="{00000000-0005-0000-0000-0000744A0000}"/>
    <cellStyle name="RowTitles-Detail 2 3 5 6 3 2 2" xfId="19042" xr:uid="{00000000-0005-0000-0000-0000754A0000}"/>
    <cellStyle name="RowTitles-Detail 2 3 5 6 3 2_Tertiary Salaries Survey" xfId="19043" xr:uid="{00000000-0005-0000-0000-0000764A0000}"/>
    <cellStyle name="RowTitles-Detail 2 3 5 6 3 3" xfId="19044" xr:uid="{00000000-0005-0000-0000-0000774A0000}"/>
    <cellStyle name="RowTitles-Detail 2 3 5 6 3_Tertiary Salaries Survey" xfId="19045" xr:uid="{00000000-0005-0000-0000-0000784A0000}"/>
    <cellStyle name="RowTitles-Detail 2 3 5 6 4" xfId="19046" xr:uid="{00000000-0005-0000-0000-0000794A0000}"/>
    <cellStyle name="RowTitles-Detail 2 3 5 6 4 2" xfId="19047" xr:uid="{00000000-0005-0000-0000-00007A4A0000}"/>
    <cellStyle name="RowTitles-Detail 2 3 5 6 4_Tertiary Salaries Survey" xfId="19048" xr:uid="{00000000-0005-0000-0000-00007B4A0000}"/>
    <cellStyle name="RowTitles-Detail 2 3 5 6 5" xfId="19049" xr:uid="{00000000-0005-0000-0000-00007C4A0000}"/>
    <cellStyle name="RowTitles-Detail 2 3 5 6_Tertiary Salaries Survey" xfId="19050" xr:uid="{00000000-0005-0000-0000-00007D4A0000}"/>
    <cellStyle name="RowTitles-Detail 2 3 5 7" xfId="19051" xr:uid="{00000000-0005-0000-0000-00007E4A0000}"/>
    <cellStyle name="RowTitles-Detail 2 3 5 7 2" xfId="19052" xr:uid="{00000000-0005-0000-0000-00007F4A0000}"/>
    <cellStyle name="RowTitles-Detail 2 3 5 7 2 2" xfId="19053" xr:uid="{00000000-0005-0000-0000-0000804A0000}"/>
    <cellStyle name="RowTitles-Detail 2 3 5 7 2_Tertiary Salaries Survey" xfId="19054" xr:uid="{00000000-0005-0000-0000-0000814A0000}"/>
    <cellStyle name="RowTitles-Detail 2 3 5 7 3" xfId="19055" xr:uid="{00000000-0005-0000-0000-0000824A0000}"/>
    <cellStyle name="RowTitles-Detail 2 3 5 7_Tertiary Salaries Survey" xfId="19056" xr:uid="{00000000-0005-0000-0000-0000834A0000}"/>
    <cellStyle name="RowTitles-Detail 2 3 5 8" xfId="19057" xr:uid="{00000000-0005-0000-0000-0000844A0000}"/>
    <cellStyle name="RowTitles-Detail 2 3 5 8 2" xfId="19058" xr:uid="{00000000-0005-0000-0000-0000854A0000}"/>
    <cellStyle name="RowTitles-Detail 2 3 5 8 2 2" xfId="19059" xr:uid="{00000000-0005-0000-0000-0000864A0000}"/>
    <cellStyle name="RowTitles-Detail 2 3 5 8 2_Tertiary Salaries Survey" xfId="19060" xr:uid="{00000000-0005-0000-0000-0000874A0000}"/>
    <cellStyle name="RowTitles-Detail 2 3 5 8 3" xfId="19061" xr:uid="{00000000-0005-0000-0000-0000884A0000}"/>
    <cellStyle name="RowTitles-Detail 2 3 5 8_Tertiary Salaries Survey" xfId="19062" xr:uid="{00000000-0005-0000-0000-0000894A0000}"/>
    <cellStyle name="RowTitles-Detail 2 3 5 9" xfId="19063" xr:uid="{00000000-0005-0000-0000-00008A4A0000}"/>
    <cellStyle name="RowTitles-Detail 2 3 5_STUD aligned by INSTIT" xfId="19064" xr:uid="{00000000-0005-0000-0000-00008B4A0000}"/>
    <cellStyle name="RowTitles-Detail 2 3 6" xfId="19065" xr:uid="{00000000-0005-0000-0000-00008C4A0000}"/>
    <cellStyle name="RowTitles-Detail 2 3 6 2" xfId="19066" xr:uid="{00000000-0005-0000-0000-00008D4A0000}"/>
    <cellStyle name="RowTitles-Detail 2 3 6 2 2" xfId="19067" xr:uid="{00000000-0005-0000-0000-00008E4A0000}"/>
    <cellStyle name="RowTitles-Detail 2 3 6 2 2 2" xfId="19068" xr:uid="{00000000-0005-0000-0000-00008F4A0000}"/>
    <cellStyle name="RowTitles-Detail 2 3 6 2 2 2 2" xfId="19069" xr:uid="{00000000-0005-0000-0000-0000904A0000}"/>
    <cellStyle name="RowTitles-Detail 2 3 6 2 2 2_Tertiary Salaries Survey" xfId="19070" xr:uid="{00000000-0005-0000-0000-0000914A0000}"/>
    <cellStyle name="RowTitles-Detail 2 3 6 2 2 3" xfId="19071" xr:uid="{00000000-0005-0000-0000-0000924A0000}"/>
    <cellStyle name="RowTitles-Detail 2 3 6 2 2_Tertiary Salaries Survey" xfId="19072" xr:uid="{00000000-0005-0000-0000-0000934A0000}"/>
    <cellStyle name="RowTitles-Detail 2 3 6 2 3" xfId="19073" xr:uid="{00000000-0005-0000-0000-0000944A0000}"/>
    <cellStyle name="RowTitles-Detail 2 3 6 2 3 2" xfId="19074" xr:uid="{00000000-0005-0000-0000-0000954A0000}"/>
    <cellStyle name="RowTitles-Detail 2 3 6 2 3 2 2" xfId="19075" xr:uid="{00000000-0005-0000-0000-0000964A0000}"/>
    <cellStyle name="RowTitles-Detail 2 3 6 2 3 2_Tertiary Salaries Survey" xfId="19076" xr:uid="{00000000-0005-0000-0000-0000974A0000}"/>
    <cellStyle name="RowTitles-Detail 2 3 6 2 3 3" xfId="19077" xr:uid="{00000000-0005-0000-0000-0000984A0000}"/>
    <cellStyle name="RowTitles-Detail 2 3 6 2 3_Tertiary Salaries Survey" xfId="19078" xr:uid="{00000000-0005-0000-0000-0000994A0000}"/>
    <cellStyle name="RowTitles-Detail 2 3 6 2 4" xfId="19079" xr:uid="{00000000-0005-0000-0000-00009A4A0000}"/>
    <cellStyle name="RowTitles-Detail 2 3 6 2 5" xfId="19080" xr:uid="{00000000-0005-0000-0000-00009B4A0000}"/>
    <cellStyle name="RowTitles-Detail 2 3 6 2 5 2" xfId="19081" xr:uid="{00000000-0005-0000-0000-00009C4A0000}"/>
    <cellStyle name="RowTitles-Detail 2 3 6 2 5_Tertiary Salaries Survey" xfId="19082" xr:uid="{00000000-0005-0000-0000-00009D4A0000}"/>
    <cellStyle name="RowTitles-Detail 2 3 6 2 6" xfId="19083" xr:uid="{00000000-0005-0000-0000-00009E4A0000}"/>
    <cellStyle name="RowTitles-Detail 2 3 6 2_Tertiary Salaries Survey" xfId="19084" xr:uid="{00000000-0005-0000-0000-00009F4A0000}"/>
    <cellStyle name="RowTitles-Detail 2 3 6 3" xfId="19085" xr:uid="{00000000-0005-0000-0000-0000A04A0000}"/>
    <cellStyle name="RowTitles-Detail 2 3 6 3 2" xfId="19086" xr:uid="{00000000-0005-0000-0000-0000A14A0000}"/>
    <cellStyle name="RowTitles-Detail 2 3 6 3 2 2" xfId="19087" xr:uid="{00000000-0005-0000-0000-0000A24A0000}"/>
    <cellStyle name="RowTitles-Detail 2 3 6 3 2 2 2" xfId="19088" xr:uid="{00000000-0005-0000-0000-0000A34A0000}"/>
    <cellStyle name="RowTitles-Detail 2 3 6 3 2 2_Tertiary Salaries Survey" xfId="19089" xr:uid="{00000000-0005-0000-0000-0000A44A0000}"/>
    <cellStyle name="RowTitles-Detail 2 3 6 3 2 3" xfId="19090" xr:uid="{00000000-0005-0000-0000-0000A54A0000}"/>
    <cellStyle name="RowTitles-Detail 2 3 6 3 2_Tertiary Salaries Survey" xfId="19091" xr:uid="{00000000-0005-0000-0000-0000A64A0000}"/>
    <cellStyle name="RowTitles-Detail 2 3 6 3 3" xfId="19092" xr:uid="{00000000-0005-0000-0000-0000A74A0000}"/>
    <cellStyle name="RowTitles-Detail 2 3 6 3 3 2" xfId="19093" xr:uid="{00000000-0005-0000-0000-0000A84A0000}"/>
    <cellStyle name="RowTitles-Detail 2 3 6 3 3 2 2" xfId="19094" xr:uid="{00000000-0005-0000-0000-0000A94A0000}"/>
    <cellStyle name="RowTitles-Detail 2 3 6 3 3 2_Tertiary Salaries Survey" xfId="19095" xr:uid="{00000000-0005-0000-0000-0000AA4A0000}"/>
    <cellStyle name="RowTitles-Detail 2 3 6 3 3 3" xfId="19096" xr:uid="{00000000-0005-0000-0000-0000AB4A0000}"/>
    <cellStyle name="RowTitles-Detail 2 3 6 3 3_Tertiary Salaries Survey" xfId="19097" xr:uid="{00000000-0005-0000-0000-0000AC4A0000}"/>
    <cellStyle name="RowTitles-Detail 2 3 6 3 4" xfId="19098" xr:uid="{00000000-0005-0000-0000-0000AD4A0000}"/>
    <cellStyle name="RowTitles-Detail 2 3 6 3 5" xfId="19099" xr:uid="{00000000-0005-0000-0000-0000AE4A0000}"/>
    <cellStyle name="RowTitles-Detail 2 3 6 3_Tertiary Salaries Survey" xfId="19100" xr:uid="{00000000-0005-0000-0000-0000AF4A0000}"/>
    <cellStyle name="RowTitles-Detail 2 3 6 4" xfId="19101" xr:uid="{00000000-0005-0000-0000-0000B04A0000}"/>
    <cellStyle name="RowTitles-Detail 2 3 6 4 2" xfId="19102" xr:uid="{00000000-0005-0000-0000-0000B14A0000}"/>
    <cellStyle name="RowTitles-Detail 2 3 6 4 2 2" xfId="19103" xr:uid="{00000000-0005-0000-0000-0000B24A0000}"/>
    <cellStyle name="RowTitles-Detail 2 3 6 4 2 2 2" xfId="19104" xr:uid="{00000000-0005-0000-0000-0000B34A0000}"/>
    <cellStyle name="RowTitles-Detail 2 3 6 4 2 2_Tertiary Salaries Survey" xfId="19105" xr:uid="{00000000-0005-0000-0000-0000B44A0000}"/>
    <cellStyle name="RowTitles-Detail 2 3 6 4 2 3" xfId="19106" xr:uid="{00000000-0005-0000-0000-0000B54A0000}"/>
    <cellStyle name="RowTitles-Detail 2 3 6 4 2_Tertiary Salaries Survey" xfId="19107" xr:uid="{00000000-0005-0000-0000-0000B64A0000}"/>
    <cellStyle name="RowTitles-Detail 2 3 6 4 3" xfId="19108" xr:uid="{00000000-0005-0000-0000-0000B74A0000}"/>
    <cellStyle name="RowTitles-Detail 2 3 6 4 3 2" xfId="19109" xr:uid="{00000000-0005-0000-0000-0000B84A0000}"/>
    <cellStyle name="RowTitles-Detail 2 3 6 4 3 2 2" xfId="19110" xr:uid="{00000000-0005-0000-0000-0000B94A0000}"/>
    <cellStyle name="RowTitles-Detail 2 3 6 4 3 2_Tertiary Salaries Survey" xfId="19111" xr:uid="{00000000-0005-0000-0000-0000BA4A0000}"/>
    <cellStyle name="RowTitles-Detail 2 3 6 4 3 3" xfId="19112" xr:uid="{00000000-0005-0000-0000-0000BB4A0000}"/>
    <cellStyle name="RowTitles-Detail 2 3 6 4 3_Tertiary Salaries Survey" xfId="19113" xr:uid="{00000000-0005-0000-0000-0000BC4A0000}"/>
    <cellStyle name="RowTitles-Detail 2 3 6 4 4" xfId="19114" xr:uid="{00000000-0005-0000-0000-0000BD4A0000}"/>
    <cellStyle name="RowTitles-Detail 2 3 6 4 5" xfId="19115" xr:uid="{00000000-0005-0000-0000-0000BE4A0000}"/>
    <cellStyle name="RowTitles-Detail 2 3 6 4 5 2" xfId="19116" xr:uid="{00000000-0005-0000-0000-0000BF4A0000}"/>
    <cellStyle name="RowTitles-Detail 2 3 6 4 5_Tertiary Salaries Survey" xfId="19117" xr:uid="{00000000-0005-0000-0000-0000C04A0000}"/>
    <cellStyle name="RowTitles-Detail 2 3 6 4 6" xfId="19118" xr:uid="{00000000-0005-0000-0000-0000C14A0000}"/>
    <cellStyle name="RowTitles-Detail 2 3 6 4_Tertiary Salaries Survey" xfId="19119" xr:uid="{00000000-0005-0000-0000-0000C24A0000}"/>
    <cellStyle name="RowTitles-Detail 2 3 6 5" xfId="19120" xr:uid="{00000000-0005-0000-0000-0000C34A0000}"/>
    <cellStyle name="RowTitles-Detail 2 3 6 5 2" xfId="19121" xr:uid="{00000000-0005-0000-0000-0000C44A0000}"/>
    <cellStyle name="RowTitles-Detail 2 3 6 5 2 2" xfId="19122" xr:uid="{00000000-0005-0000-0000-0000C54A0000}"/>
    <cellStyle name="RowTitles-Detail 2 3 6 5 2 2 2" xfId="19123" xr:uid="{00000000-0005-0000-0000-0000C64A0000}"/>
    <cellStyle name="RowTitles-Detail 2 3 6 5 2 2_Tertiary Salaries Survey" xfId="19124" xr:uid="{00000000-0005-0000-0000-0000C74A0000}"/>
    <cellStyle name="RowTitles-Detail 2 3 6 5 2 3" xfId="19125" xr:uid="{00000000-0005-0000-0000-0000C84A0000}"/>
    <cellStyle name="RowTitles-Detail 2 3 6 5 2_Tertiary Salaries Survey" xfId="19126" xr:uid="{00000000-0005-0000-0000-0000C94A0000}"/>
    <cellStyle name="RowTitles-Detail 2 3 6 5 3" xfId="19127" xr:uid="{00000000-0005-0000-0000-0000CA4A0000}"/>
    <cellStyle name="RowTitles-Detail 2 3 6 5 3 2" xfId="19128" xr:uid="{00000000-0005-0000-0000-0000CB4A0000}"/>
    <cellStyle name="RowTitles-Detail 2 3 6 5 3 2 2" xfId="19129" xr:uid="{00000000-0005-0000-0000-0000CC4A0000}"/>
    <cellStyle name="RowTitles-Detail 2 3 6 5 3 2_Tertiary Salaries Survey" xfId="19130" xr:uid="{00000000-0005-0000-0000-0000CD4A0000}"/>
    <cellStyle name="RowTitles-Detail 2 3 6 5 3 3" xfId="19131" xr:uid="{00000000-0005-0000-0000-0000CE4A0000}"/>
    <cellStyle name="RowTitles-Detail 2 3 6 5 3_Tertiary Salaries Survey" xfId="19132" xr:uid="{00000000-0005-0000-0000-0000CF4A0000}"/>
    <cellStyle name="RowTitles-Detail 2 3 6 5 4" xfId="19133" xr:uid="{00000000-0005-0000-0000-0000D04A0000}"/>
    <cellStyle name="RowTitles-Detail 2 3 6 5 4 2" xfId="19134" xr:uid="{00000000-0005-0000-0000-0000D14A0000}"/>
    <cellStyle name="RowTitles-Detail 2 3 6 5 4_Tertiary Salaries Survey" xfId="19135" xr:uid="{00000000-0005-0000-0000-0000D24A0000}"/>
    <cellStyle name="RowTitles-Detail 2 3 6 5 5" xfId="19136" xr:uid="{00000000-0005-0000-0000-0000D34A0000}"/>
    <cellStyle name="RowTitles-Detail 2 3 6 5_Tertiary Salaries Survey" xfId="19137" xr:uid="{00000000-0005-0000-0000-0000D44A0000}"/>
    <cellStyle name="RowTitles-Detail 2 3 6 6" xfId="19138" xr:uid="{00000000-0005-0000-0000-0000D54A0000}"/>
    <cellStyle name="RowTitles-Detail 2 3 6 6 2" xfId="19139" xr:uid="{00000000-0005-0000-0000-0000D64A0000}"/>
    <cellStyle name="RowTitles-Detail 2 3 6 6 2 2" xfId="19140" xr:uid="{00000000-0005-0000-0000-0000D74A0000}"/>
    <cellStyle name="RowTitles-Detail 2 3 6 6 2 2 2" xfId="19141" xr:uid="{00000000-0005-0000-0000-0000D84A0000}"/>
    <cellStyle name="RowTitles-Detail 2 3 6 6 2 2_Tertiary Salaries Survey" xfId="19142" xr:uid="{00000000-0005-0000-0000-0000D94A0000}"/>
    <cellStyle name="RowTitles-Detail 2 3 6 6 2 3" xfId="19143" xr:uid="{00000000-0005-0000-0000-0000DA4A0000}"/>
    <cellStyle name="RowTitles-Detail 2 3 6 6 2_Tertiary Salaries Survey" xfId="19144" xr:uid="{00000000-0005-0000-0000-0000DB4A0000}"/>
    <cellStyle name="RowTitles-Detail 2 3 6 6 3" xfId="19145" xr:uid="{00000000-0005-0000-0000-0000DC4A0000}"/>
    <cellStyle name="RowTitles-Detail 2 3 6 6 3 2" xfId="19146" xr:uid="{00000000-0005-0000-0000-0000DD4A0000}"/>
    <cellStyle name="RowTitles-Detail 2 3 6 6 3 2 2" xfId="19147" xr:uid="{00000000-0005-0000-0000-0000DE4A0000}"/>
    <cellStyle name="RowTitles-Detail 2 3 6 6 3 2_Tertiary Salaries Survey" xfId="19148" xr:uid="{00000000-0005-0000-0000-0000DF4A0000}"/>
    <cellStyle name="RowTitles-Detail 2 3 6 6 3 3" xfId="19149" xr:uid="{00000000-0005-0000-0000-0000E04A0000}"/>
    <cellStyle name="RowTitles-Detail 2 3 6 6 3_Tertiary Salaries Survey" xfId="19150" xr:uid="{00000000-0005-0000-0000-0000E14A0000}"/>
    <cellStyle name="RowTitles-Detail 2 3 6 6 4" xfId="19151" xr:uid="{00000000-0005-0000-0000-0000E24A0000}"/>
    <cellStyle name="RowTitles-Detail 2 3 6 6 4 2" xfId="19152" xr:uid="{00000000-0005-0000-0000-0000E34A0000}"/>
    <cellStyle name="RowTitles-Detail 2 3 6 6 4_Tertiary Salaries Survey" xfId="19153" xr:uid="{00000000-0005-0000-0000-0000E44A0000}"/>
    <cellStyle name="RowTitles-Detail 2 3 6 6 5" xfId="19154" xr:uid="{00000000-0005-0000-0000-0000E54A0000}"/>
    <cellStyle name="RowTitles-Detail 2 3 6 6_Tertiary Salaries Survey" xfId="19155" xr:uid="{00000000-0005-0000-0000-0000E64A0000}"/>
    <cellStyle name="RowTitles-Detail 2 3 6 7" xfId="19156" xr:uid="{00000000-0005-0000-0000-0000E74A0000}"/>
    <cellStyle name="RowTitles-Detail 2 3 6 7 2" xfId="19157" xr:uid="{00000000-0005-0000-0000-0000E84A0000}"/>
    <cellStyle name="RowTitles-Detail 2 3 6 7 2 2" xfId="19158" xr:uid="{00000000-0005-0000-0000-0000E94A0000}"/>
    <cellStyle name="RowTitles-Detail 2 3 6 7 2_Tertiary Salaries Survey" xfId="19159" xr:uid="{00000000-0005-0000-0000-0000EA4A0000}"/>
    <cellStyle name="RowTitles-Detail 2 3 6 7 3" xfId="19160" xr:uid="{00000000-0005-0000-0000-0000EB4A0000}"/>
    <cellStyle name="RowTitles-Detail 2 3 6 7_Tertiary Salaries Survey" xfId="19161" xr:uid="{00000000-0005-0000-0000-0000EC4A0000}"/>
    <cellStyle name="RowTitles-Detail 2 3 6 8" xfId="19162" xr:uid="{00000000-0005-0000-0000-0000ED4A0000}"/>
    <cellStyle name="RowTitles-Detail 2 3 6 9" xfId="19163" xr:uid="{00000000-0005-0000-0000-0000EE4A0000}"/>
    <cellStyle name="RowTitles-Detail 2 3 6_STUD aligned by INSTIT" xfId="19164" xr:uid="{00000000-0005-0000-0000-0000EF4A0000}"/>
    <cellStyle name="RowTitles-Detail 2 3 7" xfId="19165" xr:uid="{00000000-0005-0000-0000-0000F04A0000}"/>
    <cellStyle name="RowTitles-Detail 2 3 7 2" xfId="19166" xr:uid="{00000000-0005-0000-0000-0000F14A0000}"/>
    <cellStyle name="RowTitles-Detail 2 3 7 2 2" xfId="19167" xr:uid="{00000000-0005-0000-0000-0000F24A0000}"/>
    <cellStyle name="RowTitles-Detail 2 3 7 2 2 2" xfId="19168" xr:uid="{00000000-0005-0000-0000-0000F34A0000}"/>
    <cellStyle name="RowTitles-Detail 2 3 7 2 2_Tertiary Salaries Survey" xfId="19169" xr:uid="{00000000-0005-0000-0000-0000F44A0000}"/>
    <cellStyle name="RowTitles-Detail 2 3 7 2 3" xfId="19170" xr:uid="{00000000-0005-0000-0000-0000F54A0000}"/>
    <cellStyle name="RowTitles-Detail 2 3 7 2_Tertiary Salaries Survey" xfId="19171" xr:uid="{00000000-0005-0000-0000-0000F64A0000}"/>
    <cellStyle name="RowTitles-Detail 2 3 7 3" xfId="19172" xr:uid="{00000000-0005-0000-0000-0000F74A0000}"/>
    <cellStyle name="RowTitles-Detail 2 3 7 3 2" xfId="19173" xr:uid="{00000000-0005-0000-0000-0000F84A0000}"/>
    <cellStyle name="RowTitles-Detail 2 3 7 3 2 2" xfId="19174" xr:uid="{00000000-0005-0000-0000-0000F94A0000}"/>
    <cellStyle name="RowTitles-Detail 2 3 7 3 2_Tertiary Salaries Survey" xfId="19175" xr:uid="{00000000-0005-0000-0000-0000FA4A0000}"/>
    <cellStyle name="RowTitles-Detail 2 3 7 3 3" xfId="19176" xr:uid="{00000000-0005-0000-0000-0000FB4A0000}"/>
    <cellStyle name="RowTitles-Detail 2 3 7 3_Tertiary Salaries Survey" xfId="19177" xr:uid="{00000000-0005-0000-0000-0000FC4A0000}"/>
    <cellStyle name="RowTitles-Detail 2 3 7 4" xfId="19178" xr:uid="{00000000-0005-0000-0000-0000FD4A0000}"/>
    <cellStyle name="RowTitles-Detail 2 3 7 5" xfId="19179" xr:uid="{00000000-0005-0000-0000-0000FE4A0000}"/>
    <cellStyle name="RowTitles-Detail 2 3 7 5 2" xfId="19180" xr:uid="{00000000-0005-0000-0000-0000FF4A0000}"/>
    <cellStyle name="RowTitles-Detail 2 3 7 5_Tertiary Salaries Survey" xfId="19181" xr:uid="{00000000-0005-0000-0000-0000004B0000}"/>
    <cellStyle name="RowTitles-Detail 2 3 7 6" xfId="19182" xr:uid="{00000000-0005-0000-0000-0000014B0000}"/>
    <cellStyle name="RowTitles-Detail 2 3 7_Tertiary Salaries Survey" xfId="19183" xr:uid="{00000000-0005-0000-0000-0000024B0000}"/>
    <cellStyle name="RowTitles-Detail 2 3 8" xfId="19184" xr:uid="{00000000-0005-0000-0000-0000034B0000}"/>
    <cellStyle name="RowTitles-Detail 2 3 8 2" xfId="19185" xr:uid="{00000000-0005-0000-0000-0000044B0000}"/>
    <cellStyle name="RowTitles-Detail 2 3 8 2 2" xfId="19186" xr:uid="{00000000-0005-0000-0000-0000054B0000}"/>
    <cellStyle name="RowTitles-Detail 2 3 8 2 2 2" xfId="19187" xr:uid="{00000000-0005-0000-0000-0000064B0000}"/>
    <cellStyle name="RowTitles-Detail 2 3 8 2 2_Tertiary Salaries Survey" xfId="19188" xr:uid="{00000000-0005-0000-0000-0000074B0000}"/>
    <cellStyle name="RowTitles-Detail 2 3 8 2 3" xfId="19189" xr:uid="{00000000-0005-0000-0000-0000084B0000}"/>
    <cellStyle name="RowTitles-Detail 2 3 8 2_Tertiary Salaries Survey" xfId="19190" xr:uid="{00000000-0005-0000-0000-0000094B0000}"/>
    <cellStyle name="RowTitles-Detail 2 3 8 3" xfId="19191" xr:uid="{00000000-0005-0000-0000-00000A4B0000}"/>
    <cellStyle name="RowTitles-Detail 2 3 8 3 2" xfId="19192" xr:uid="{00000000-0005-0000-0000-00000B4B0000}"/>
    <cellStyle name="RowTitles-Detail 2 3 8 3 2 2" xfId="19193" xr:uid="{00000000-0005-0000-0000-00000C4B0000}"/>
    <cellStyle name="RowTitles-Detail 2 3 8 3 2_Tertiary Salaries Survey" xfId="19194" xr:uid="{00000000-0005-0000-0000-00000D4B0000}"/>
    <cellStyle name="RowTitles-Detail 2 3 8 3 3" xfId="19195" xr:uid="{00000000-0005-0000-0000-00000E4B0000}"/>
    <cellStyle name="RowTitles-Detail 2 3 8 3_Tertiary Salaries Survey" xfId="19196" xr:uid="{00000000-0005-0000-0000-00000F4B0000}"/>
    <cellStyle name="RowTitles-Detail 2 3 8 4" xfId="19197" xr:uid="{00000000-0005-0000-0000-0000104B0000}"/>
    <cellStyle name="RowTitles-Detail 2 3 8 5" xfId="19198" xr:uid="{00000000-0005-0000-0000-0000114B0000}"/>
    <cellStyle name="RowTitles-Detail 2 3 8_Tertiary Salaries Survey" xfId="19199" xr:uid="{00000000-0005-0000-0000-0000124B0000}"/>
    <cellStyle name="RowTitles-Detail 2 3 9" xfId="19200" xr:uid="{00000000-0005-0000-0000-0000134B0000}"/>
    <cellStyle name="RowTitles-Detail 2 3 9 2" xfId="19201" xr:uid="{00000000-0005-0000-0000-0000144B0000}"/>
    <cellStyle name="RowTitles-Detail 2 3 9 2 2" xfId="19202" xr:uid="{00000000-0005-0000-0000-0000154B0000}"/>
    <cellStyle name="RowTitles-Detail 2 3 9 2 2 2" xfId="19203" xr:uid="{00000000-0005-0000-0000-0000164B0000}"/>
    <cellStyle name="RowTitles-Detail 2 3 9 2 2_Tertiary Salaries Survey" xfId="19204" xr:uid="{00000000-0005-0000-0000-0000174B0000}"/>
    <cellStyle name="RowTitles-Detail 2 3 9 2 3" xfId="19205" xr:uid="{00000000-0005-0000-0000-0000184B0000}"/>
    <cellStyle name="RowTitles-Detail 2 3 9 2_Tertiary Salaries Survey" xfId="19206" xr:uid="{00000000-0005-0000-0000-0000194B0000}"/>
    <cellStyle name="RowTitles-Detail 2 3 9 3" xfId="19207" xr:uid="{00000000-0005-0000-0000-00001A4B0000}"/>
    <cellStyle name="RowTitles-Detail 2 3 9 3 2" xfId="19208" xr:uid="{00000000-0005-0000-0000-00001B4B0000}"/>
    <cellStyle name="RowTitles-Detail 2 3 9 3 2 2" xfId="19209" xr:uid="{00000000-0005-0000-0000-00001C4B0000}"/>
    <cellStyle name="RowTitles-Detail 2 3 9 3 2_Tertiary Salaries Survey" xfId="19210" xr:uid="{00000000-0005-0000-0000-00001D4B0000}"/>
    <cellStyle name="RowTitles-Detail 2 3 9 3 3" xfId="19211" xr:uid="{00000000-0005-0000-0000-00001E4B0000}"/>
    <cellStyle name="RowTitles-Detail 2 3 9 3_Tertiary Salaries Survey" xfId="19212" xr:uid="{00000000-0005-0000-0000-00001F4B0000}"/>
    <cellStyle name="RowTitles-Detail 2 3 9 4" xfId="19213" xr:uid="{00000000-0005-0000-0000-0000204B0000}"/>
    <cellStyle name="RowTitles-Detail 2 3 9 5" xfId="19214" xr:uid="{00000000-0005-0000-0000-0000214B0000}"/>
    <cellStyle name="RowTitles-Detail 2 3 9 5 2" xfId="19215" xr:uid="{00000000-0005-0000-0000-0000224B0000}"/>
    <cellStyle name="RowTitles-Detail 2 3 9 5_Tertiary Salaries Survey" xfId="19216" xr:uid="{00000000-0005-0000-0000-0000234B0000}"/>
    <cellStyle name="RowTitles-Detail 2 3 9 6" xfId="19217" xr:uid="{00000000-0005-0000-0000-0000244B0000}"/>
    <cellStyle name="RowTitles-Detail 2 3 9_Tertiary Salaries Survey" xfId="19218" xr:uid="{00000000-0005-0000-0000-0000254B0000}"/>
    <cellStyle name="RowTitles-Detail 2 3_STUD aligned by INSTIT" xfId="19219" xr:uid="{00000000-0005-0000-0000-0000264B0000}"/>
    <cellStyle name="RowTitles-Detail 2 4" xfId="19220" xr:uid="{00000000-0005-0000-0000-0000274B0000}"/>
    <cellStyle name="RowTitles-Detail 2 4 10" xfId="19221" xr:uid="{00000000-0005-0000-0000-0000284B0000}"/>
    <cellStyle name="RowTitles-Detail 2 4 10 2" xfId="19222" xr:uid="{00000000-0005-0000-0000-0000294B0000}"/>
    <cellStyle name="RowTitles-Detail 2 4 10 2 2" xfId="19223" xr:uid="{00000000-0005-0000-0000-00002A4B0000}"/>
    <cellStyle name="RowTitles-Detail 2 4 10 2_Tertiary Salaries Survey" xfId="19224" xr:uid="{00000000-0005-0000-0000-00002B4B0000}"/>
    <cellStyle name="RowTitles-Detail 2 4 10 3" xfId="19225" xr:uid="{00000000-0005-0000-0000-00002C4B0000}"/>
    <cellStyle name="RowTitles-Detail 2 4 10_Tertiary Salaries Survey" xfId="19226" xr:uid="{00000000-0005-0000-0000-00002D4B0000}"/>
    <cellStyle name="RowTitles-Detail 2 4 11" xfId="19227" xr:uid="{00000000-0005-0000-0000-00002E4B0000}"/>
    <cellStyle name="RowTitles-Detail 2 4 12" xfId="19228" xr:uid="{00000000-0005-0000-0000-00002F4B0000}"/>
    <cellStyle name="RowTitles-Detail 2 4 2" xfId="19229" xr:uid="{00000000-0005-0000-0000-0000304B0000}"/>
    <cellStyle name="RowTitles-Detail 2 4 2 2" xfId="19230" xr:uid="{00000000-0005-0000-0000-0000314B0000}"/>
    <cellStyle name="RowTitles-Detail 2 4 2 2 2" xfId="19231" xr:uid="{00000000-0005-0000-0000-0000324B0000}"/>
    <cellStyle name="RowTitles-Detail 2 4 2 2 2 2" xfId="19232" xr:uid="{00000000-0005-0000-0000-0000334B0000}"/>
    <cellStyle name="RowTitles-Detail 2 4 2 2 2 2 2" xfId="19233" xr:uid="{00000000-0005-0000-0000-0000344B0000}"/>
    <cellStyle name="RowTitles-Detail 2 4 2 2 2 2_Tertiary Salaries Survey" xfId="19234" xr:uid="{00000000-0005-0000-0000-0000354B0000}"/>
    <cellStyle name="RowTitles-Detail 2 4 2 2 2 3" xfId="19235" xr:uid="{00000000-0005-0000-0000-0000364B0000}"/>
    <cellStyle name="RowTitles-Detail 2 4 2 2 2_Tertiary Salaries Survey" xfId="19236" xr:uid="{00000000-0005-0000-0000-0000374B0000}"/>
    <cellStyle name="RowTitles-Detail 2 4 2 2 3" xfId="19237" xr:uid="{00000000-0005-0000-0000-0000384B0000}"/>
    <cellStyle name="RowTitles-Detail 2 4 2 2 3 2" xfId="19238" xr:uid="{00000000-0005-0000-0000-0000394B0000}"/>
    <cellStyle name="RowTitles-Detail 2 4 2 2 3 2 2" xfId="19239" xr:uid="{00000000-0005-0000-0000-00003A4B0000}"/>
    <cellStyle name="RowTitles-Detail 2 4 2 2 3 2_Tertiary Salaries Survey" xfId="19240" xr:uid="{00000000-0005-0000-0000-00003B4B0000}"/>
    <cellStyle name="RowTitles-Detail 2 4 2 2 3 3" xfId="19241" xr:uid="{00000000-0005-0000-0000-00003C4B0000}"/>
    <cellStyle name="RowTitles-Detail 2 4 2 2 3_Tertiary Salaries Survey" xfId="19242" xr:uid="{00000000-0005-0000-0000-00003D4B0000}"/>
    <cellStyle name="RowTitles-Detail 2 4 2 2 4" xfId="19243" xr:uid="{00000000-0005-0000-0000-00003E4B0000}"/>
    <cellStyle name="RowTitles-Detail 2 4 2 2 5" xfId="19244" xr:uid="{00000000-0005-0000-0000-00003F4B0000}"/>
    <cellStyle name="RowTitles-Detail 2 4 2 2_Tertiary Salaries Survey" xfId="19245" xr:uid="{00000000-0005-0000-0000-0000404B0000}"/>
    <cellStyle name="RowTitles-Detail 2 4 2 3" xfId="19246" xr:uid="{00000000-0005-0000-0000-0000414B0000}"/>
    <cellStyle name="RowTitles-Detail 2 4 2 3 2" xfId="19247" xr:uid="{00000000-0005-0000-0000-0000424B0000}"/>
    <cellStyle name="RowTitles-Detail 2 4 2 3 2 2" xfId="19248" xr:uid="{00000000-0005-0000-0000-0000434B0000}"/>
    <cellStyle name="RowTitles-Detail 2 4 2 3 2 2 2" xfId="19249" xr:uid="{00000000-0005-0000-0000-0000444B0000}"/>
    <cellStyle name="RowTitles-Detail 2 4 2 3 2 2_Tertiary Salaries Survey" xfId="19250" xr:uid="{00000000-0005-0000-0000-0000454B0000}"/>
    <cellStyle name="RowTitles-Detail 2 4 2 3 2 3" xfId="19251" xr:uid="{00000000-0005-0000-0000-0000464B0000}"/>
    <cellStyle name="RowTitles-Detail 2 4 2 3 2_Tertiary Salaries Survey" xfId="19252" xr:uid="{00000000-0005-0000-0000-0000474B0000}"/>
    <cellStyle name="RowTitles-Detail 2 4 2 3 3" xfId="19253" xr:uid="{00000000-0005-0000-0000-0000484B0000}"/>
    <cellStyle name="RowTitles-Detail 2 4 2 3 3 2" xfId="19254" xr:uid="{00000000-0005-0000-0000-0000494B0000}"/>
    <cellStyle name="RowTitles-Detail 2 4 2 3 3 2 2" xfId="19255" xr:uid="{00000000-0005-0000-0000-00004A4B0000}"/>
    <cellStyle name="RowTitles-Detail 2 4 2 3 3 2_Tertiary Salaries Survey" xfId="19256" xr:uid="{00000000-0005-0000-0000-00004B4B0000}"/>
    <cellStyle name="RowTitles-Detail 2 4 2 3 3 3" xfId="19257" xr:uid="{00000000-0005-0000-0000-00004C4B0000}"/>
    <cellStyle name="RowTitles-Detail 2 4 2 3 3_Tertiary Salaries Survey" xfId="19258" xr:uid="{00000000-0005-0000-0000-00004D4B0000}"/>
    <cellStyle name="RowTitles-Detail 2 4 2 3 4" xfId="19259" xr:uid="{00000000-0005-0000-0000-00004E4B0000}"/>
    <cellStyle name="RowTitles-Detail 2 4 2 3 5" xfId="19260" xr:uid="{00000000-0005-0000-0000-00004F4B0000}"/>
    <cellStyle name="RowTitles-Detail 2 4 2 3 5 2" xfId="19261" xr:uid="{00000000-0005-0000-0000-0000504B0000}"/>
    <cellStyle name="RowTitles-Detail 2 4 2 3 5_Tertiary Salaries Survey" xfId="19262" xr:uid="{00000000-0005-0000-0000-0000514B0000}"/>
    <cellStyle name="RowTitles-Detail 2 4 2 3 6" xfId="19263" xr:uid="{00000000-0005-0000-0000-0000524B0000}"/>
    <cellStyle name="RowTitles-Detail 2 4 2 3_Tertiary Salaries Survey" xfId="19264" xr:uid="{00000000-0005-0000-0000-0000534B0000}"/>
    <cellStyle name="RowTitles-Detail 2 4 2 4" xfId="19265" xr:uid="{00000000-0005-0000-0000-0000544B0000}"/>
    <cellStyle name="RowTitles-Detail 2 4 2 4 2" xfId="19266" xr:uid="{00000000-0005-0000-0000-0000554B0000}"/>
    <cellStyle name="RowTitles-Detail 2 4 2 4 2 2" xfId="19267" xr:uid="{00000000-0005-0000-0000-0000564B0000}"/>
    <cellStyle name="RowTitles-Detail 2 4 2 4 2 2 2" xfId="19268" xr:uid="{00000000-0005-0000-0000-0000574B0000}"/>
    <cellStyle name="RowTitles-Detail 2 4 2 4 2 2_Tertiary Salaries Survey" xfId="19269" xr:uid="{00000000-0005-0000-0000-0000584B0000}"/>
    <cellStyle name="RowTitles-Detail 2 4 2 4 2 3" xfId="19270" xr:uid="{00000000-0005-0000-0000-0000594B0000}"/>
    <cellStyle name="RowTitles-Detail 2 4 2 4 2_Tertiary Salaries Survey" xfId="19271" xr:uid="{00000000-0005-0000-0000-00005A4B0000}"/>
    <cellStyle name="RowTitles-Detail 2 4 2 4 3" xfId="19272" xr:uid="{00000000-0005-0000-0000-00005B4B0000}"/>
    <cellStyle name="RowTitles-Detail 2 4 2 4 3 2" xfId="19273" xr:uid="{00000000-0005-0000-0000-00005C4B0000}"/>
    <cellStyle name="RowTitles-Detail 2 4 2 4 3 2 2" xfId="19274" xr:uid="{00000000-0005-0000-0000-00005D4B0000}"/>
    <cellStyle name="RowTitles-Detail 2 4 2 4 3 2_Tertiary Salaries Survey" xfId="19275" xr:uid="{00000000-0005-0000-0000-00005E4B0000}"/>
    <cellStyle name="RowTitles-Detail 2 4 2 4 3 3" xfId="19276" xr:uid="{00000000-0005-0000-0000-00005F4B0000}"/>
    <cellStyle name="RowTitles-Detail 2 4 2 4 3_Tertiary Salaries Survey" xfId="19277" xr:uid="{00000000-0005-0000-0000-0000604B0000}"/>
    <cellStyle name="RowTitles-Detail 2 4 2 4 4" xfId="19278" xr:uid="{00000000-0005-0000-0000-0000614B0000}"/>
    <cellStyle name="RowTitles-Detail 2 4 2 4 4 2" xfId="19279" xr:uid="{00000000-0005-0000-0000-0000624B0000}"/>
    <cellStyle name="RowTitles-Detail 2 4 2 4 4_Tertiary Salaries Survey" xfId="19280" xr:uid="{00000000-0005-0000-0000-0000634B0000}"/>
    <cellStyle name="RowTitles-Detail 2 4 2 4 5" xfId="19281" xr:uid="{00000000-0005-0000-0000-0000644B0000}"/>
    <cellStyle name="RowTitles-Detail 2 4 2 4_Tertiary Salaries Survey" xfId="19282" xr:uid="{00000000-0005-0000-0000-0000654B0000}"/>
    <cellStyle name="RowTitles-Detail 2 4 2 5" xfId="19283" xr:uid="{00000000-0005-0000-0000-0000664B0000}"/>
    <cellStyle name="RowTitles-Detail 2 4 2 5 2" xfId="19284" xr:uid="{00000000-0005-0000-0000-0000674B0000}"/>
    <cellStyle name="RowTitles-Detail 2 4 2 5 2 2" xfId="19285" xr:uid="{00000000-0005-0000-0000-0000684B0000}"/>
    <cellStyle name="RowTitles-Detail 2 4 2 5 2 2 2" xfId="19286" xr:uid="{00000000-0005-0000-0000-0000694B0000}"/>
    <cellStyle name="RowTitles-Detail 2 4 2 5 2 2_Tertiary Salaries Survey" xfId="19287" xr:uid="{00000000-0005-0000-0000-00006A4B0000}"/>
    <cellStyle name="RowTitles-Detail 2 4 2 5 2 3" xfId="19288" xr:uid="{00000000-0005-0000-0000-00006B4B0000}"/>
    <cellStyle name="RowTitles-Detail 2 4 2 5 2_Tertiary Salaries Survey" xfId="19289" xr:uid="{00000000-0005-0000-0000-00006C4B0000}"/>
    <cellStyle name="RowTitles-Detail 2 4 2 5 3" xfId="19290" xr:uid="{00000000-0005-0000-0000-00006D4B0000}"/>
    <cellStyle name="RowTitles-Detail 2 4 2 5 3 2" xfId="19291" xr:uid="{00000000-0005-0000-0000-00006E4B0000}"/>
    <cellStyle name="RowTitles-Detail 2 4 2 5 3 2 2" xfId="19292" xr:uid="{00000000-0005-0000-0000-00006F4B0000}"/>
    <cellStyle name="RowTitles-Detail 2 4 2 5 3 2_Tertiary Salaries Survey" xfId="19293" xr:uid="{00000000-0005-0000-0000-0000704B0000}"/>
    <cellStyle name="RowTitles-Detail 2 4 2 5 3 3" xfId="19294" xr:uid="{00000000-0005-0000-0000-0000714B0000}"/>
    <cellStyle name="RowTitles-Detail 2 4 2 5 3_Tertiary Salaries Survey" xfId="19295" xr:uid="{00000000-0005-0000-0000-0000724B0000}"/>
    <cellStyle name="RowTitles-Detail 2 4 2 5 4" xfId="19296" xr:uid="{00000000-0005-0000-0000-0000734B0000}"/>
    <cellStyle name="RowTitles-Detail 2 4 2 5 4 2" xfId="19297" xr:uid="{00000000-0005-0000-0000-0000744B0000}"/>
    <cellStyle name="RowTitles-Detail 2 4 2 5 4_Tertiary Salaries Survey" xfId="19298" xr:uid="{00000000-0005-0000-0000-0000754B0000}"/>
    <cellStyle name="RowTitles-Detail 2 4 2 5 5" xfId="19299" xr:uid="{00000000-0005-0000-0000-0000764B0000}"/>
    <cellStyle name="RowTitles-Detail 2 4 2 5_Tertiary Salaries Survey" xfId="19300" xr:uid="{00000000-0005-0000-0000-0000774B0000}"/>
    <cellStyle name="RowTitles-Detail 2 4 2 6" xfId="19301" xr:uid="{00000000-0005-0000-0000-0000784B0000}"/>
    <cellStyle name="RowTitles-Detail 2 4 2 6 2" xfId="19302" xr:uid="{00000000-0005-0000-0000-0000794B0000}"/>
    <cellStyle name="RowTitles-Detail 2 4 2 6 2 2" xfId="19303" xr:uid="{00000000-0005-0000-0000-00007A4B0000}"/>
    <cellStyle name="RowTitles-Detail 2 4 2 6 2 2 2" xfId="19304" xr:uid="{00000000-0005-0000-0000-00007B4B0000}"/>
    <cellStyle name="RowTitles-Detail 2 4 2 6 2 2_Tertiary Salaries Survey" xfId="19305" xr:uid="{00000000-0005-0000-0000-00007C4B0000}"/>
    <cellStyle name="RowTitles-Detail 2 4 2 6 2 3" xfId="19306" xr:uid="{00000000-0005-0000-0000-00007D4B0000}"/>
    <cellStyle name="RowTitles-Detail 2 4 2 6 2_Tertiary Salaries Survey" xfId="19307" xr:uid="{00000000-0005-0000-0000-00007E4B0000}"/>
    <cellStyle name="RowTitles-Detail 2 4 2 6 3" xfId="19308" xr:uid="{00000000-0005-0000-0000-00007F4B0000}"/>
    <cellStyle name="RowTitles-Detail 2 4 2 6 3 2" xfId="19309" xr:uid="{00000000-0005-0000-0000-0000804B0000}"/>
    <cellStyle name="RowTitles-Detail 2 4 2 6 3 2 2" xfId="19310" xr:uid="{00000000-0005-0000-0000-0000814B0000}"/>
    <cellStyle name="RowTitles-Detail 2 4 2 6 3 2_Tertiary Salaries Survey" xfId="19311" xr:uid="{00000000-0005-0000-0000-0000824B0000}"/>
    <cellStyle name="RowTitles-Detail 2 4 2 6 3 3" xfId="19312" xr:uid="{00000000-0005-0000-0000-0000834B0000}"/>
    <cellStyle name="RowTitles-Detail 2 4 2 6 3_Tertiary Salaries Survey" xfId="19313" xr:uid="{00000000-0005-0000-0000-0000844B0000}"/>
    <cellStyle name="RowTitles-Detail 2 4 2 6 4" xfId="19314" xr:uid="{00000000-0005-0000-0000-0000854B0000}"/>
    <cellStyle name="RowTitles-Detail 2 4 2 6 4 2" xfId="19315" xr:uid="{00000000-0005-0000-0000-0000864B0000}"/>
    <cellStyle name="RowTitles-Detail 2 4 2 6 4_Tertiary Salaries Survey" xfId="19316" xr:uid="{00000000-0005-0000-0000-0000874B0000}"/>
    <cellStyle name="RowTitles-Detail 2 4 2 6 5" xfId="19317" xr:uid="{00000000-0005-0000-0000-0000884B0000}"/>
    <cellStyle name="RowTitles-Detail 2 4 2 6_Tertiary Salaries Survey" xfId="19318" xr:uid="{00000000-0005-0000-0000-0000894B0000}"/>
    <cellStyle name="RowTitles-Detail 2 4 2 7" xfId="19319" xr:uid="{00000000-0005-0000-0000-00008A4B0000}"/>
    <cellStyle name="RowTitles-Detail 2 4 2 7 2" xfId="19320" xr:uid="{00000000-0005-0000-0000-00008B4B0000}"/>
    <cellStyle name="RowTitles-Detail 2 4 2 7 2 2" xfId="19321" xr:uid="{00000000-0005-0000-0000-00008C4B0000}"/>
    <cellStyle name="RowTitles-Detail 2 4 2 7 2_Tertiary Salaries Survey" xfId="19322" xr:uid="{00000000-0005-0000-0000-00008D4B0000}"/>
    <cellStyle name="RowTitles-Detail 2 4 2 7 3" xfId="19323" xr:uid="{00000000-0005-0000-0000-00008E4B0000}"/>
    <cellStyle name="RowTitles-Detail 2 4 2 7_Tertiary Salaries Survey" xfId="19324" xr:uid="{00000000-0005-0000-0000-00008F4B0000}"/>
    <cellStyle name="RowTitles-Detail 2 4 2 8" xfId="19325" xr:uid="{00000000-0005-0000-0000-0000904B0000}"/>
    <cellStyle name="RowTitles-Detail 2 4 2 9" xfId="19326" xr:uid="{00000000-0005-0000-0000-0000914B0000}"/>
    <cellStyle name="RowTitles-Detail 2 4 2_STUD aligned by INSTIT" xfId="19327" xr:uid="{00000000-0005-0000-0000-0000924B0000}"/>
    <cellStyle name="RowTitles-Detail 2 4 3" xfId="19328" xr:uid="{00000000-0005-0000-0000-0000934B0000}"/>
    <cellStyle name="RowTitles-Detail 2 4 3 2" xfId="19329" xr:uid="{00000000-0005-0000-0000-0000944B0000}"/>
    <cellStyle name="RowTitles-Detail 2 4 3 2 2" xfId="19330" xr:uid="{00000000-0005-0000-0000-0000954B0000}"/>
    <cellStyle name="RowTitles-Detail 2 4 3 2 2 2" xfId="19331" xr:uid="{00000000-0005-0000-0000-0000964B0000}"/>
    <cellStyle name="RowTitles-Detail 2 4 3 2 2 2 2" xfId="19332" xr:uid="{00000000-0005-0000-0000-0000974B0000}"/>
    <cellStyle name="RowTitles-Detail 2 4 3 2 2 2_Tertiary Salaries Survey" xfId="19333" xr:uid="{00000000-0005-0000-0000-0000984B0000}"/>
    <cellStyle name="RowTitles-Detail 2 4 3 2 2 3" xfId="19334" xr:uid="{00000000-0005-0000-0000-0000994B0000}"/>
    <cellStyle name="RowTitles-Detail 2 4 3 2 2_Tertiary Salaries Survey" xfId="19335" xr:uid="{00000000-0005-0000-0000-00009A4B0000}"/>
    <cellStyle name="RowTitles-Detail 2 4 3 2 3" xfId="19336" xr:uid="{00000000-0005-0000-0000-00009B4B0000}"/>
    <cellStyle name="RowTitles-Detail 2 4 3 2 3 2" xfId="19337" xr:uid="{00000000-0005-0000-0000-00009C4B0000}"/>
    <cellStyle name="RowTitles-Detail 2 4 3 2 3 2 2" xfId="19338" xr:uid="{00000000-0005-0000-0000-00009D4B0000}"/>
    <cellStyle name="RowTitles-Detail 2 4 3 2 3 2_Tertiary Salaries Survey" xfId="19339" xr:uid="{00000000-0005-0000-0000-00009E4B0000}"/>
    <cellStyle name="RowTitles-Detail 2 4 3 2 3 3" xfId="19340" xr:uid="{00000000-0005-0000-0000-00009F4B0000}"/>
    <cellStyle name="RowTitles-Detail 2 4 3 2 3_Tertiary Salaries Survey" xfId="19341" xr:uid="{00000000-0005-0000-0000-0000A04B0000}"/>
    <cellStyle name="RowTitles-Detail 2 4 3 2 4" xfId="19342" xr:uid="{00000000-0005-0000-0000-0000A14B0000}"/>
    <cellStyle name="RowTitles-Detail 2 4 3 2 5" xfId="19343" xr:uid="{00000000-0005-0000-0000-0000A24B0000}"/>
    <cellStyle name="RowTitles-Detail 2 4 3 2 5 2" xfId="19344" xr:uid="{00000000-0005-0000-0000-0000A34B0000}"/>
    <cellStyle name="RowTitles-Detail 2 4 3 2 5_Tertiary Salaries Survey" xfId="19345" xr:uid="{00000000-0005-0000-0000-0000A44B0000}"/>
    <cellStyle name="RowTitles-Detail 2 4 3 2 6" xfId="19346" xr:uid="{00000000-0005-0000-0000-0000A54B0000}"/>
    <cellStyle name="RowTitles-Detail 2 4 3 2_Tertiary Salaries Survey" xfId="19347" xr:uid="{00000000-0005-0000-0000-0000A64B0000}"/>
    <cellStyle name="RowTitles-Detail 2 4 3 3" xfId="19348" xr:uid="{00000000-0005-0000-0000-0000A74B0000}"/>
    <cellStyle name="RowTitles-Detail 2 4 3 3 2" xfId="19349" xr:uid="{00000000-0005-0000-0000-0000A84B0000}"/>
    <cellStyle name="RowTitles-Detail 2 4 3 3 2 2" xfId="19350" xr:uid="{00000000-0005-0000-0000-0000A94B0000}"/>
    <cellStyle name="RowTitles-Detail 2 4 3 3 2 2 2" xfId="19351" xr:uid="{00000000-0005-0000-0000-0000AA4B0000}"/>
    <cellStyle name="RowTitles-Detail 2 4 3 3 2 2_Tertiary Salaries Survey" xfId="19352" xr:uid="{00000000-0005-0000-0000-0000AB4B0000}"/>
    <cellStyle name="RowTitles-Detail 2 4 3 3 2 3" xfId="19353" xr:uid="{00000000-0005-0000-0000-0000AC4B0000}"/>
    <cellStyle name="RowTitles-Detail 2 4 3 3 2_Tertiary Salaries Survey" xfId="19354" xr:uid="{00000000-0005-0000-0000-0000AD4B0000}"/>
    <cellStyle name="RowTitles-Detail 2 4 3 3 3" xfId="19355" xr:uid="{00000000-0005-0000-0000-0000AE4B0000}"/>
    <cellStyle name="RowTitles-Detail 2 4 3 3 3 2" xfId="19356" xr:uid="{00000000-0005-0000-0000-0000AF4B0000}"/>
    <cellStyle name="RowTitles-Detail 2 4 3 3 3 2 2" xfId="19357" xr:uid="{00000000-0005-0000-0000-0000B04B0000}"/>
    <cellStyle name="RowTitles-Detail 2 4 3 3 3 2_Tertiary Salaries Survey" xfId="19358" xr:uid="{00000000-0005-0000-0000-0000B14B0000}"/>
    <cellStyle name="RowTitles-Detail 2 4 3 3 3 3" xfId="19359" xr:uid="{00000000-0005-0000-0000-0000B24B0000}"/>
    <cellStyle name="RowTitles-Detail 2 4 3 3 3_Tertiary Salaries Survey" xfId="19360" xr:uid="{00000000-0005-0000-0000-0000B34B0000}"/>
    <cellStyle name="RowTitles-Detail 2 4 3 3 4" xfId="19361" xr:uid="{00000000-0005-0000-0000-0000B44B0000}"/>
    <cellStyle name="RowTitles-Detail 2 4 3 3 5" xfId="19362" xr:uid="{00000000-0005-0000-0000-0000B54B0000}"/>
    <cellStyle name="RowTitles-Detail 2 4 3 3_Tertiary Salaries Survey" xfId="19363" xr:uid="{00000000-0005-0000-0000-0000B64B0000}"/>
    <cellStyle name="RowTitles-Detail 2 4 3 4" xfId="19364" xr:uid="{00000000-0005-0000-0000-0000B74B0000}"/>
    <cellStyle name="RowTitles-Detail 2 4 3 4 2" xfId="19365" xr:uid="{00000000-0005-0000-0000-0000B84B0000}"/>
    <cellStyle name="RowTitles-Detail 2 4 3 4 2 2" xfId="19366" xr:uid="{00000000-0005-0000-0000-0000B94B0000}"/>
    <cellStyle name="RowTitles-Detail 2 4 3 4 2 2 2" xfId="19367" xr:uid="{00000000-0005-0000-0000-0000BA4B0000}"/>
    <cellStyle name="RowTitles-Detail 2 4 3 4 2 2_Tertiary Salaries Survey" xfId="19368" xr:uid="{00000000-0005-0000-0000-0000BB4B0000}"/>
    <cellStyle name="RowTitles-Detail 2 4 3 4 2 3" xfId="19369" xr:uid="{00000000-0005-0000-0000-0000BC4B0000}"/>
    <cellStyle name="RowTitles-Detail 2 4 3 4 2_Tertiary Salaries Survey" xfId="19370" xr:uid="{00000000-0005-0000-0000-0000BD4B0000}"/>
    <cellStyle name="RowTitles-Detail 2 4 3 4 3" xfId="19371" xr:uid="{00000000-0005-0000-0000-0000BE4B0000}"/>
    <cellStyle name="RowTitles-Detail 2 4 3 4 3 2" xfId="19372" xr:uid="{00000000-0005-0000-0000-0000BF4B0000}"/>
    <cellStyle name="RowTitles-Detail 2 4 3 4 3 2 2" xfId="19373" xr:uid="{00000000-0005-0000-0000-0000C04B0000}"/>
    <cellStyle name="RowTitles-Detail 2 4 3 4 3 2_Tertiary Salaries Survey" xfId="19374" xr:uid="{00000000-0005-0000-0000-0000C14B0000}"/>
    <cellStyle name="RowTitles-Detail 2 4 3 4 3 3" xfId="19375" xr:uid="{00000000-0005-0000-0000-0000C24B0000}"/>
    <cellStyle name="RowTitles-Detail 2 4 3 4 3_Tertiary Salaries Survey" xfId="19376" xr:uid="{00000000-0005-0000-0000-0000C34B0000}"/>
    <cellStyle name="RowTitles-Detail 2 4 3 4 4" xfId="19377" xr:uid="{00000000-0005-0000-0000-0000C44B0000}"/>
    <cellStyle name="RowTitles-Detail 2 4 3 4 4 2" xfId="19378" xr:uid="{00000000-0005-0000-0000-0000C54B0000}"/>
    <cellStyle name="RowTitles-Detail 2 4 3 4 4_Tertiary Salaries Survey" xfId="19379" xr:uid="{00000000-0005-0000-0000-0000C64B0000}"/>
    <cellStyle name="RowTitles-Detail 2 4 3 4 5" xfId="19380" xr:uid="{00000000-0005-0000-0000-0000C74B0000}"/>
    <cellStyle name="RowTitles-Detail 2 4 3 4_Tertiary Salaries Survey" xfId="19381" xr:uid="{00000000-0005-0000-0000-0000C84B0000}"/>
    <cellStyle name="RowTitles-Detail 2 4 3 5" xfId="19382" xr:uid="{00000000-0005-0000-0000-0000C94B0000}"/>
    <cellStyle name="RowTitles-Detail 2 4 3 5 2" xfId="19383" xr:uid="{00000000-0005-0000-0000-0000CA4B0000}"/>
    <cellStyle name="RowTitles-Detail 2 4 3 5 2 2" xfId="19384" xr:uid="{00000000-0005-0000-0000-0000CB4B0000}"/>
    <cellStyle name="RowTitles-Detail 2 4 3 5 2 2 2" xfId="19385" xr:uid="{00000000-0005-0000-0000-0000CC4B0000}"/>
    <cellStyle name="RowTitles-Detail 2 4 3 5 2 2_Tertiary Salaries Survey" xfId="19386" xr:uid="{00000000-0005-0000-0000-0000CD4B0000}"/>
    <cellStyle name="RowTitles-Detail 2 4 3 5 2 3" xfId="19387" xr:uid="{00000000-0005-0000-0000-0000CE4B0000}"/>
    <cellStyle name="RowTitles-Detail 2 4 3 5 2_Tertiary Salaries Survey" xfId="19388" xr:uid="{00000000-0005-0000-0000-0000CF4B0000}"/>
    <cellStyle name="RowTitles-Detail 2 4 3 5 3" xfId="19389" xr:uid="{00000000-0005-0000-0000-0000D04B0000}"/>
    <cellStyle name="RowTitles-Detail 2 4 3 5 3 2" xfId="19390" xr:uid="{00000000-0005-0000-0000-0000D14B0000}"/>
    <cellStyle name="RowTitles-Detail 2 4 3 5 3 2 2" xfId="19391" xr:uid="{00000000-0005-0000-0000-0000D24B0000}"/>
    <cellStyle name="RowTitles-Detail 2 4 3 5 3 2_Tertiary Salaries Survey" xfId="19392" xr:uid="{00000000-0005-0000-0000-0000D34B0000}"/>
    <cellStyle name="RowTitles-Detail 2 4 3 5 3 3" xfId="19393" xr:uid="{00000000-0005-0000-0000-0000D44B0000}"/>
    <cellStyle name="RowTitles-Detail 2 4 3 5 3_Tertiary Salaries Survey" xfId="19394" xr:uid="{00000000-0005-0000-0000-0000D54B0000}"/>
    <cellStyle name="RowTitles-Detail 2 4 3 5 4" xfId="19395" xr:uid="{00000000-0005-0000-0000-0000D64B0000}"/>
    <cellStyle name="RowTitles-Detail 2 4 3 5 4 2" xfId="19396" xr:uid="{00000000-0005-0000-0000-0000D74B0000}"/>
    <cellStyle name="RowTitles-Detail 2 4 3 5 4_Tertiary Salaries Survey" xfId="19397" xr:uid="{00000000-0005-0000-0000-0000D84B0000}"/>
    <cellStyle name="RowTitles-Detail 2 4 3 5 5" xfId="19398" xr:uid="{00000000-0005-0000-0000-0000D94B0000}"/>
    <cellStyle name="RowTitles-Detail 2 4 3 5_Tertiary Salaries Survey" xfId="19399" xr:uid="{00000000-0005-0000-0000-0000DA4B0000}"/>
    <cellStyle name="RowTitles-Detail 2 4 3 6" xfId="19400" xr:uid="{00000000-0005-0000-0000-0000DB4B0000}"/>
    <cellStyle name="RowTitles-Detail 2 4 3 6 2" xfId="19401" xr:uid="{00000000-0005-0000-0000-0000DC4B0000}"/>
    <cellStyle name="RowTitles-Detail 2 4 3 6 2 2" xfId="19402" xr:uid="{00000000-0005-0000-0000-0000DD4B0000}"/>
    <cellStyle name="RowTitles-Detail 2 4 3 6 2 2 2" xfId="19403" xr:uid="{00000000-0005-0000-0000-0000DE4B0000}"/>
    <cellStyle name="RowTitles-Detail 2 4 3 6 2 2_Tertiary Salaries Survey" xfId="19404" xr:uid="{00000000-0005-0000-0000-0000DF4B0000}"/>
    <cellStyle name="RowTitles-Detail 2 4 3 6 2 3" xfId="19405" xr:uid="{00000000-0005-0000-0000-0000E04B0000}"/>
    <cellStyle name="RowTitles-Detail 2 4 3 6 2_Tertiary Salaries Survey" xfId="19406" xr:uid="{00000000-0005-0000-0000-0000E14B0000}"/>
    <cellStyle name="RowTitles-Detail 2 4 3 6 3" xfId="19407" xr:uid="{00000000-0005-0000-0000-0000E24B0000}"/>
    <cellStyle name="RowTitles-Detail 2 4 3 6 3 2" xfId="19408" xr:uid="{00000000-0005-0000-0000-0000E34B0000}"/>
    <cellStyle name="RowTitles-Detail 2 4 3 6 3 2 2" xfId="19409" xr:uid="{00000000-0005-0000-0000-0000E44B0000}"/>
    <cellStyle name="RowTitles-Detail 2 4 3 6 3 2_Tertiary Salaries Survey" xfId="19410" xr:uid="{00000000-0005-0000-0000-0000E54B0000}"/>
    <cellStyle name="RowTitles-Detail 2 4 3 6 3 3" xfId="19411" xr:uid="{00000000-0005-0000-0000-0000E64B0000}"/>
    <cellStyle name="RowTitles-Detail 2 4 3 6 3_Tertiary Salaries Survey" xfId="19412" xr:uid="{00000000-0005-0000-0000-0000E74B0000}"/>
    <cellStyle name="RowTitles-Detail 2 4 3 6 4" xfId="19413" xr:uid="{00000000-0005-0000-0000-0000E84B0000}"/>
    <cellStyle name="RowTitles-Detail 2 4 3 6 4 2" xfId="19414" xr:uid="{00000000-0005-0000-0000-0000E94B0000}"/>
    <cellStyle name="RowTitles-Detail 2 4 3 6 4_Tertiary Salaries Survey" xfId="19415" xr:uid="{00000000-0005-0000-0000-0000EA4B0000}"/>
    <cellStyle name="RowTitles-Detail 2 4 3 6 5" xfId="19416" xr:uid="{00000000-0005-0000-0000-0000EB4B0000}"/>
    <cellStyle name="RowTitles-Detail 2 4 3 6_Tertiary Salaries Survey" xfId="19417" xr:uid="{00000000-0005-0000-0000-0000EC4B0000}"/>
    <cellStyle name="RowTitles-Detail 2 4 3 7" xfId="19418" xr:uid="{00000000-0005-0000-0000-0000ED4B0000}"/>
    <cellStyle name="RowTitles-Detail 2 4 3 7 2" xfId="19419" xr:uid="{00000000-0005-0000-0000-0000EE4B0000}"/>
    <cellStyle name="RowTitles-Detail 2 4 3 7 2 2" xfId="19420" xr:uid="{00000000-0005-0000-0000-0000EF4B0000}"/>
    <cellStyle name="RowTitles-Detail 2 4 3 7 2_Tertiary Salaries Survey" xfId="19421" xr:uid="{00000000-0005-0000-0000-0000F04B0000}"/>
    <cellStyle name="RowTitles-Detail 2 4 3 7 3" xfId="19422" xr:uid="{00000000-0005-0000-0000-0000F14B0000}"/>
    <cellStyle name="RowTitles-Detail 2 4 3 7_Tertiary Salaries Survey" xfId="19423" xr:uid="{00000000-0005-0000-0000-0000F24B0000}"/>
    <cellStyle name="RowTitles-Detail 2 4 3 8" xfId="19424" xr:uid="{00000000-0005-0000-0000-0000F34B0000}"/>
    <cellStyle name="RowTitles-Detail 2 4 3 8 2" xfId="19425" xr:uid="{00000000-0005-0000-0000-0000F44B0000}"/>
    <cellStyle name="RowTitles-Detail 2 4 3 8 2 2" xfId="19426" xr:uid="{00000000-0005-0000-0000-0000F54B0000}"/>
    <cellStyle name="RowTitles-Detail 2 4 3 8 2_Tertiary Salaries Survey" xfId="19427" xr:uid="{00000000-0005-0000-0000-0000F64B0000}"/>
    <cellStyle name="RowTitles-Detail 2 4 3 8 3" xfId="19428" xr:uid="{00000000-0005-0000-0000-0000F74B0000}"/>
    <cellStyle name="RowTitles-Detail 2 4 3 8_Tertiary Salaries Survey" xfId="19429" xr:uid="{00000000-0005-0000-0000-0000F84B0000}"/>
    <cellStyle name="RowTitles-Detail 2 4 3 9" xfId="19430" xr:uid="{00000000-0005-0000-0000-0000F94B0000}"/>
    <cellStyle name="RowTitles-Detail 2 4 3_STUD aligned by INSTIT" xfId="19431" xr:uid="{00000000-0005-0000-0000-0000FA4B0000}"/>
    <cellStyle name="RowTitles-Detail 2 4 4" xfId="19432" xr:uid="{00000000-0005-0000-0000-0000FB4B0000}"/>
    <cellStyle name="RowTitles-Detail 2 4 4 2" xfId="19433" xr:uid="{00000000-0005-0000-0000-0000FC4B0000}"/>
    <cellStyle name="RowTitles-Detail 2 4 4 2 2" xfId="19434" xr:uid="{00000000-0005-0000-0000-0000FD4B0000}"/>
    <cellStyle name="RowTitles-Detail 2 4 4 2 2 2" xfId="19435" xr:uid="{00000000-0005-0000-0000-0000FE4B0000}"/>
    <cellStyle name="RowTitles-Detail 2 4 4 2 2 2 2" xfId="19436" xr:uid="{00000000-0005-0000-0000-0000FF4B0000}"/>
    <cellStyle name="RowTitles-Detail 2 4 4 2 2 2_Tertiary Salaries Survey" xfId="19437" xr:uid="{00000000-0005-0000-0000-0000004C0000}"/>
    <cellStyle name="RowTitles-Detail 2 4 4 2 2 3" xfId="19438" xr:uid="{00000000-0005-0000-0000-0000014C0000}"/>
    <cellStyle name="RowTitles-Detail 2 4 4 2 2_Tertiary Salaries Survey" xfId="19439" xr:uid="{00000000-0005-0000-0000-0000024C0000}"/>
    <cellStyle name="RowTitles-Detail 2 4 4 2 3" xfId="19440" xr:uid="{00000000-0005-0000-0000-0000034C0000}"/>
    <cellStyle name="RowTitles-Detail 2 4 4 2 3 2" xfId="19441" xr:uid="{00000000-0005-0000-0000-0000044C0000}"/>
    <cellStyle name="RowTitles-Detail 2 4 4 2 3 2 2" xfId="19442" xr:uid="{00000000-0005-0000-0000-0000054C0000}"/>
    <cellStyle name="RowTitles-Detail 2 4 4 2 3 2_Tertiary Salaries Survey" xfId="19443" xr:uid="{00000000-0005-0000-0000-0000064C0000}"/>
    <cellStyle name="RowTitles-Detail 2 4 4 2 3 3" xfId="19444" xr:uid="{00000000-0005-0000-0000-0000074C0000}"/>
    <cellStyle name="RowTitles-Detail 2 4 4 2 3_Tertiary Salaries Survey" xfId="19445" xr:uid="{00000000-0005-0000-0000-0000084C0000}"/>
    <cellStyle name="RowTitles-Detail 2 4 4 2 4" xfId="19446" xr:uid="{00000000-0005-0000-0000-0000094C0000}"/>
    <cellStyle name="RowTitles-Detail 2 4 4 2 5" xfId="19447" xr:uid="{00000000-0005-0000-0000-00000A4C0000}"/>
    <cellStyle name="RowTitles-Detail 2 4 4 2 5 2" xfId="19448" xr:uid="{00000000-0005-0000-0000-00000B4C0000}"/>
    <cellStyle name="RowTitles-Detail 2 4 4 2 5_Tertiary Salaries Survey" xfId="19449" xr:uid="{00000000-0005-0000-0000-00000C4C0000}"/>
    <cellStyle name="RowTitles-Detail 2 4 4 2 6" xfId="19450" xr:uid="{00000000-0005-0000-0000-00000D4C0000}"/>
    <cellStyle name="RowTitles-Detail 2 4 4 2_Tertiary Salaries Survey" xfId="19451" xr:uid="{00000000-0005-0000-0000-00000E4C0000}"/>
    <cellStyle name="RowTitles-Detail 2 4 4 3" xfId="19452" xr:uid="{00000000-0005-0000-0000-00000F4C0000}"/>
    <cellStyle name="RowTitles-Detail 2 4 4 3 2" xfId="19453" xr:uid="{00000000-0005-0000-0000-0000104C0000}"/>
    <cellStyle name="RowTitles-Detail 2 4 4 3 2 2" xfId="19454" xr:uid="{00000000-0005-0000-0000-0000114C0000}"/>
    <cellStyle name="RowTitles-Detail 2 4 4 3 2 2 2" xfId="19455" xr:uid="{00000000-0005-0000-0000-0000124C0000}"/>
    <cellStyle name="RowTitles-Detail 2 4 4 3 2 2_Tertiary Salaries Survey" xfId="19456" xr:uid="{00000000-0005-0000-0000-0000134C0000}"/>
    <cellStyle name="RowTitles-Detail 2 4 4 3 2 3" xfId="19457" xr:uid="{00000000-0005-0000-0000-0000144C0000}"/>
    <cellStyle name="RowTitles-Detail 2 4 4 3 2_Tertiary Salaries Survey" xfId="19458" xr:uid="{00000000-0005-0000-0000-0000154C0000}"/>
    <cellStyle name="RowTitles-Detail 2 4 4 3 3" xfId="19459" xr:uid="{00000000-0005-0000-0000-0000164C0000}"/>
    <cellStyle name="RowTitles-Detail 2 4 4 3 3 2" xfId="19460" xr:uid="{00000000-0005-0000-0000-0000174C0000}"/>
    <cellStyle name="RowTitles-Detail 2 4 4 3 3 2 2" xfId="19461" xr:uid="{00000000-0005-0000-0000-0000184C0000}"/>
    <cellStyle name="RowTitles-Detail 2 4 4 3 3 2_Tertiary Salaries Survey" xfId="19462" xr:uid="{00000000-0005-0000-0000-0000194C0000}"/>
    <cellStyle name="RowTitles-Detail 2 4 4 3 3 3" xfId="19463" xr:uid="{00000000-0005-0000-0000-00001A4C0000}"/>
    <cellStyle name="RowTitles-Detail 2 4 4 3 3_Tertiary Salaries Survey" xfId="19464" xr:uid="{00000000-0005-0000-0000-00001B4C0000}"/>
    <cellStyle name="RowTitles-Detail 2 4 4 3 4" xfId="19465" xr:uid="{00000000-0005-0000-0000-00001C4C0000}"/>
    <cellStyle name="RowTitles-Detail 2 4 4 3 5" xfId="19466" xr:uid="{00000000-0005-0000-0000-00001D4C0000}"/>
    <cellStyle name="RowTitles-Detail 2 4 4 3_Tertiary Salaries Survey" xfId="19467" xr:uid="{00000000-0005-0000-0000-00001E4C0000}"/>
    <cellStyle name="RowTitles-Detail 2 4 4 4" xfId="19468" xr:uid="{00000000-0005-0000-0000-00001F4C0000}"/>
    <cellStyle name="RowTitles-Detail 2 4 4 4 2" xfId="19469" xr:uid="{00000000-0005-0000-0000-0000204C0000}"/>
    <cellStyle name="RowTitles-Detail 2 4 4 4 2 2" xfId="19470" xr:uid="{00000000-0005-0000-0000-0000214C0000}"/>
    <cellStyle name="RowTitles-Detail 2 4 4 4 2 2 2" xfId="19471" xr:uid="{00000000-0005-0000-0000-0000224C0000}"/>
    <cellStyle name="RowTitles-Detail 2 4 4 4 2 2_Tertiary Salaries Survey" xfId="19472" xr:uid="{00000000-0005-0000-0000-0000234C0000}"/>
    <cellStyle name="RowTitles-Detail 2 4 4 4 2 3" xfId="19473" xr:uid="{00000000-0005-0000-0000-0000244C0000}"/>
    <cellStyle name="RowTitles-Detail 2 4 4 4 2_Tertiary Salaries Survey" xfId="19474" xr:uid="{00000000-0005-0000-0000-0000254C0000}"/>
    <cellStyle name="RowTitles-Detail 2 4 4 4 3" xfId="19475" xr:uid="{00000000-0005-0000-0000-0000264C0000}"/>
    <cellStyle name="RowTitles-Detail 2 4 4 4 3 2" xfId="19476" xr:uid="{00000000-0005-0000-0000-0000274C0000}"/>
    <cellStyle name="RowTitles-Detail 2 4 4 4 3 2 2" xfId="19477" xr:uid="{00000000-0005-0000-0000-0000284C0000}"/>
    <cellStyle name="RowTitles-Detail 2 4 4 4 3 2_Tertiary Salaries Survey" xfId="19478" xr:uid="{00000000-0005-0000-0000-0000294C0000}"/>
    <cellStyle name="RowTitles-Detail 2 4 4 4 3 3" xfId="19479" xr:uid="{00000000-0005-0000-0000-00002A4C0000}"/>
    <cellStyle name="RowTitles-Detail 2 4 4 4 3_Tertiary Salaries Survey" xfId="19480" xr:uid="{00000000-0005-0000-0000-00002B4C0000}"/>
    <cellStyle name="RowTitles-Detail 2 4 4 4 4" xfId="19481" xr:uid="{00000000-0005-0000-0000-00002C4C0000}"/>
    <cellStyle name="RowTitles-Detail 2 4 4 4 5" xfId="19482" xr:uid="{00000000-0005-0000-0000-00002D4C0000}"/>
    <cellStyle name="RowTitles-Detail 2 4 4 4 5 2" xfId="19483" xr:uid="{00000000-0005-0000-0000-00002E4C0000}"/>
    <cellStyle name="RowTitles-Detail 2 4 4 4 5_Tertiary Salaries Survey" xfId="19484" xr:uid="{00000000-0005-0000-0000-00002F4C0000}"/>
    <cellStyle name="RowTitles-Detail 2 4 4 4 6" xfId="19485" xr:uid="{00000000-0005-0000-0000-0000304C0000}"/>
    <cellStyle name="RowTitles-Detail 2 4 4 4_Tertiary Salaries Survey" xfId="19486" xr:uid="{00000000-0005-0000-0000-0000314C0000}"/>
    <cellStyle name="RowTitles-Detail 2 4 4 5" xfId="19487" xr:uid="{00000000-0005-0000-0000-0000324C0000}"/>
    <cellStyle name="RowTitles-Detail 2 4 4 5 2" xfId="19488" xr:uid="{00000000-0005-0000-0000-0000334C0000}"/>
    <cellStyle name="RowTitles-Detail 2 4 4 5 2 2" xfId="19489" xr:uid="{00000000-0005-0000-0000-0000344C0000}"/>
    <cellStyle name="RowTitles-Detail 2 4 4 5 2 2 2" xfId="19490" xr:uid="{00000000-0005-0000-0000-0000354C0000}"/>
    <cellStyle name="RowTitles-Detail 2 4 4 5 2 2_Tertiary Salaries Survey" xfId="19491" xr:uid="{00000000-0005-0000-0000-0000364C0000}"/>
    <cellStyle name="RowTitles-Detail 2 4 4 5 2 3" xfId="19492" xr:uid="{00000000-0005-0000-0000-0000374C0000}"/>
    <cellStyle name="RowTitles-Detail 2 4 4 5 2_Tertiary Salaries Survey" xfId="19493" xr:uid="{00000000-0005-0000-0000-0000384C0000}"/>
    <cellStyle name="RowTitles-Detail 2 4 4 5 3" xfId="19494" xr:uid="{00000000-0005-0000-0000-0000394C0000}"/>
    <cellStyle name="RowTitles-Detail 2 4 4 5 3 2" xfId="19495" xr:uid="{00000000-0005-0000-0000-00003A4C0000}"/>
    <cellStyle name="RowTitles-Detail 2 4 4 5 3 2 2" xfId="19496" xr:uid="{00000000-0005-0000-0000-00003B4C0000}"/>
    <cellStyle name="RowTitles-Detail 2 4 4 5 3 2_Tertiary Salaries Survey" xfId="19497" xr:uid="{00000000-0005-0000-0000-00003C4C0000}"/>
    <cellStyle name="RowTitles-Detail 2 4 4 5 3 3" xfId="19498" xr:uid="{00000000-0005-0000-0000-00003D4C0000}"/>
    <cellStyle name="RowTitles-Detail 2 4 4 5 3_Tertiary Salaries Survey" xfId="19499" xr:uid="{00000000-0005-0000-0000-00003E4C0000}"/>
    <cellStyle name="RowTitles-Detail 2 4 4 5 4" xfId="19500" xr:uid="{00000000-0005-0000-0000-00003F4C0000}"/>
    <cellStyle name="RowTitles-Detail 2 4 4 5 4 2" xfId="19501" xr:uid="{00000000-0005-0000-0000-0000404C0000}"/>
    <cellStyle name="RowTitles-Detail 2 4 4 5 4_Tertiary Salaries Survey" xfId="19502" xr:uid="{00000000-0005-0000-0000-0000414C0000}"/>
    <cellStyle name="RowTitles-Detail 2 4 4 5 5" xfId="19503" xr:uid="{00000000-0005-0000-0000-0000424C0000}"/>
    <cellStyle name="RowTitles-Detail 2 4 4 5_Tertiary Salaries Survey" xfId="19504" xr:uid="{00000000-0005-0000-0000-0000434C0000}"/>
    <cellStyle name="RowTitles-Detail 2 4 4 6" xfId="19505" xr:uid="{00000000-0005-0000-0000-0000444C0000}"/>
    <cellStyle name="RowTitles-Detail 2 4 4 6 2" xfId="19506" xr:uid="{00000000-0005-0000-0000-0000454C0000}"/>
    <cellStyle name="RowTitles-Detail 2 4 4 6 2 2" xfId="19507" xr:uid="{00000000-0005-0000-0000-0000464C0000}"/>
    <cellStyle name="RowTitles-Detail 2 4 4 6 2 2 2" xfId="19508" xr:uid="{00000000-0005-0000-0000-0000474C0000}"/>
    <cellStyle name="RowTitles-Detail 2 4 4 6 2 2_Tertiary Salaries Survey" xfId="19509" xr:uid="{00000000-0005-0000-0000-0000484C0000}"/>
    <cellStyle name="RowTitles-Detail 2 4 4 6 2 3" xfId="19510" xr:uid="{00000000-0005-0000-0000-0000494C0000}"/>
    <cellStyle name="RowTitles-Detail 2 4 4 6 2_Tertiary Salaries Survey" xfId="19511" xr:uid="{00000000-0005-0000-0000-00004A4C0000}"/>
    <cellStyle name="RowTitles-Detail 2 4 4 6 3" xfId="19512" xr:uid="{00000000-0005-0000-0000-00004B4C0000}"/>
    <cellStyle name="RowTitles-Detail 2 4 4 6 3 2" xfId="19513" xr:uid="{00000000-0005-0000-0000-00004C4C0000}"/>
    <cellStyle name="RowTitles-Detail 2 4 4 6 3 2 2" xfId="19514" xr:uid="{00000000-0005-0000-0000-00004D4C0000}"/>
    <cellStyle name="RowTitles-Detail 2 4 4 6 3 2_Tertiary Salaries Survey" xfId="19515" xr:uid="{00000000-0005-0000-0000-00004E4C0000}"/>
    <cellStyle name="RowTitles-Detail 2 4 4 6 3 3" xfId="19516" xr:uid="{00000000-0005-0000-0000-00004F4C0000}"/>
    <cellStyle name="RowTitles-Detail 2 4 4 6 3_Tertiary Salaries Survey" xfId="19517" xr:uid="{00000000-0005-0000-0000-0000504C0000}"/>
    <cellStyle name="RowTitles-Detail 2 4 4 6 4" xfId="19518" xr:uid="{00000000-0005-0000-0000-0000514C0000}"/>
    <cellStyle name="RowTitles-Detail 2 4 4 6 4 2" xfId="19519" xr:uid="{00000000-0005-0000-0000-0000524C0000}"/>
    <cellStyle name="RowTitles-Detail 2 4 4 6 4_Tertiary Salaries Survey" xfId="19520" xr:uid="{00000000-0005-0000-0000-0000534C0000}"/>
    <cellStyle name="RowTitles-Detail 2 4 4 6 5" xfId="19521" xr:uid="{00000000-0005-0000-0000-0000544C0000}"/>
    <cellStyle name="RowTitles-Detail 2 4 4 6_Tertiary Salaries Survey" xfId="19522" xr:uid="{00000000-0005-0000-0000-0000554C0000}"/>
    <cellStyle name="RowTitles-Detail 2 4 4 7" xfId="19523" xr:uid="{00000000-0005-0000-0000-0000564C0000}"/>
    <cellStyle name="RowTitles-Detail 2 4 4 7 2" xfId="19524" xr:uid="{00000000-0005-0000-0000-0000574C0000}"/>
    <cellStyle name="RowTitles-Detail 2 4 4 7 2 2" xfId="19525" xr:uid="{00000000-0005-0000-0000-0000584C0000}"/>
    <cellStyle name="RowTitles-Detail 2 4 4 7 2_Tertiary Salaries Survey" xfId="19526" xr:uid="{00000000-0005-0000-0000-0000594C0000}"/>
    <cellStyle name="RowTitles-Detail 2 4 4 7 3" xfId="19527" xr:uid="{00000000-0005-0000-0000-00005A4C0000}"/>
    <cellStyle name="RowTitles-Detail 2 4 4 7_Tertiary Salaries Survey" xfId="19528" xr:uid="{00000000-0005-0000-0000-00005B4C0000}"/>
    <cellStyle name="RowTitles-Detail 2 4 4 8" xfId="19529" xr:uid="{00000000-0005-0000-0000-00005C4C0000}"/>
    <cellStyle name="RowTitles-Detail 2 4 4 9" xfId="19530" xr:uid="{00000000-0005-0000-0000-00005D4C0000}"/>
    <cellStyle name="RowTitles-Detail 2 4 4_STUD aligned by INSTIT" xfId="19531" xr:uid="{00000000-0005-0000-0000-00005E4C0000}"/>
    <cellStyle name="RowTitles-Detail 2 4 5" xfId="19532" xr:uid="{00000000-0005-0000-0000-00005F4C0000}"/>
    <cellStyle name="RowTitles-Detail 2 4 5 2" xfId="19533" xr:uid="{00000000-0005-0000-0000-0000604C0000}"/>
    <cellStyle name="RowTitles-Detail 2 4 5 2 2" xfId="19534" xr:uid="{00000000-0005-0000-0000-0000614C0000}"/>
    <cellStyle name="RowTitles-Detail 2 4 5 2 2 2" xfId="19535" xr:uid="{00000000-0005-0000-0000-0000624C0000}"/>
    <cellStyle name="RowTitles-Detail 2 4 5 2 2_Tertiary Salaries Survey" xfId="19536" xr:uid="{00000000-0005-0000-0000-0000634C0000}"/>
    <cellStyle name="RowTitles-Detail 2 4 5 2 3" xfId="19537" xr:uid="{00000000-0005-0000-0000-0000644C0000}"/>
    <cellStyle name="RowTitles-Detail 2 4 5 2_Tertiary Salaries Survey" xfId="19538" xr:uid="{00000000-0005-0000-0000-0000654C0000}"/>
    <cellStyle name="RowTitles-Detail 2 4 5 3" xfId="19539" xr:uid="{00000000-0005-0000-0000-0000664C0000}"/>
    <cellStyle name="RowTitles-Detail 2 4 5 3 2" xfId="19540" xr:uid="{00000000-0005-0000-0000-0000674C0000}"/>
    <cellStyle name="RowTitles-Detail 2 4 5 3 2 2" xfId="19541" xr:uid="{00000000-0005-0000-0000-0000684C0000}"/>
    <cellStyle name="RowTitles-Detail 2 4 5 3 2_Tertiary Salaries Survey" xfId="19542" xr:uid="{00000000-0005-0000-0000-0000694C0000}"/>
    <cellStyle name="RowTitles-Detail 2 4 5 3 3" xfId="19543" xr:uid="{00000000-0005-0000-0000-00006A4C0000}"/>
    <cellStyle name="RowTitles-Detail 2 4 5 3_Tertiary Salaries Survey" xfId="19544" xr:uid="{00000000-0005-0000-0000-00006B4C0000}"/>
    <cellStyle name="RowTitles-Detail 2 4 5 4" xfId="19545" xr:uid="{00000000-0005-0000-0000-00006C4C0000}"/>
    <cellStyle name="RowTitles-Detail 2 4 5 5" xfId="19546" xr:uid="{00000000-0005-0000-0000-00006D4C0000}"/>
    <cellStyle name="RowTitles-Detail 2 4 5 5 2" xfId="19547" xr:uid="{00000000-0005-0000-0000-00006E4C0000}"/>
    <cellStyle name="RowTitles-Detail 2 4 5 5_Tertiary Salaries Survey" xfId="19548" xr:uid="{00000000-0005-0000-0000-00006F4C0000}"/>
    <cellStyle name="RowTitles-Detail 2 4 5 6" xfId="19549" xr:uid="{00000000-0005-0000-0000-0000704C0000}"/>
    <cellStyle name="RowTitles-Detail 2 4 5_Tertiary Salaries Survey" xfId="19550" xr:uid="{00000000-0005-0000-0000-0000714C0000}"/>
    <cellStyle name="RowTitles-Detail 2 4 6" xfId="19551" xr:uid="{00000000-0005-0000-0000-0000724C0000}"/>
    <cellStyle name="RowTitles-Detail 2 4 6 2" xfId="19552" xr:uid="{00000000-0005-0000-0000-0000734C0000}"/>
    <cellStyle name="RowTitles-Detail 2 4 6 2 2" xfId="19553" xr:uid="{00000000-0005-0000-0000-0000744C0000}"/>
    <cellStyle name="RowTitles-Detail 2 4 6 2 2 2" xfId="19554" xr:uid="{00000000-0005-0000-0000-0000754C0000}"/>
    <cellStyle name="RowTitles-Detail 2 4 6 2 2_Tertiary Salaries Survey" xfId="19555" xr:uid="{00000000-0005-0000-0000-0000764C0000}"/>
    <cellStyle name="RowTitles-Detail 2 4 6 2 3" xfId="19556" xr:uid="{00000000-0005-0000-0000-0000774C0000}"/>
    <cellStyle name="RowTitles-Detail 2 4 6 2_Tertiary Salaries Survey" xfId="19557" xr:uid="{00000000-0005-0000-0000-0000784C0000}"/>
    <cellStyle name="RowTitles-Detail 2 4 6 3" xfId="19558" xr:uid="{00000000-0005-0000-0000-0000794C0000}"/>
    <cellStyle name="RowTitles-Detail 2 4 6 3 2" xfId="19559" xr:uid="{00000000-0005-0000-0000-00007A4C0000}"/>
    <cellStyle name="RowTitles-Detail 2 4 6 3 2 2" xfId="19560" xr:uid="{00000000-0005-0000-0000-00007B4C0000}"/>
    <cellStyle name="RowTitles-Detail 2 4 6 3 2_Tertiary Salaries Survey" xfId="19561" xr:uid="{00000000-0005-0000-0000-00007C4C0000}"/>
    <cellStyle name="RowTitles-Detail 2 4 6 3 3" xfId="19562" xr:uid="{00000000-0005-0000-0000-00007D4C0000}"/>
    <cellStyle name="RowTitles-Detail 2 4 6 3_Tertiary Salaries Survey" xfId="19563" xr:uid="{00000000-0005-0000-0000-00007E4C0000}"/>
    <cellStyle name="RowTitles-Detail 2 4 6 4" xfId="19564" xr:uid="{00000000-0005-0000-0000-00007F4C0000}"/>
    <cellStyle name="RowTitles-Detail 2 4 6 5" xfId="19565" xr:uid="{00000000-0005-0000-0000-0000804C0000}"/>
    <cellStyle name="RowTitles-Detail 2 4 6_Tertiary Salaries Survey" xfId="19566" xr:uid="{00000000-0005-0000-0000-0000814C0000}"/>
    <cellStyle name="RowTitles-Detail 2 4 7" xfId="19567" xr:uid="{00000000-0005-0000-0000-0000824C0000}"/>
    <cellStyle name="RowTitles-Detail 2 4 7 2" xfId="19568" xr:uid="{00000000-0005-0000-0000-0000834C0000}"/>
    <cellStyle name="RowTitles-Detail 2 4 7 2 2" xfId="19569" xr:uid="{00000000-0005-0000-0000-0000844C0000}"/>
    <cellStyle name="RowTitles-Detail 2 4 7 2 2 2" xfId="19570" xr:uid="{00000000-0005-0000-0000-0000854C0000}"/>
    <cellStyle name="RowTitles-Detail 2 4 7 2 2_Tertiary Salaries Survey" xfId="19571" xr:uid="{00000000-0005-0000-0000-0000864C0000}"/>
    <cellStyle name="RowTitles-Detail 2 4 7 2 3" xfId="19572" xr:uid="{00000000-0005-0000-0000-0000874C0000}"/>
    <cellStyle name="RowTitles-Detail 2 4 7 2_Tertiary Salaries Survey" xfId="19573" xr:uid="{00000000-0005-0000-0000-0000884C0000}"/>
    <cellStyle name="RowTitles-Detail 2 4 7 3" xfId="19574" xr:uid="{00000000-0005-0000-0000-0000894C0000}"/>
    <cellStyle name="RowTitles-Detail 2 4 7 3 2" xfId="19575" xr:uid="{00000000-0005-0000-0000-00008A4C0000}"/>
    <cellStyle name="RowTitles-Detail 2 4 7 3 2 2" xfId="19576" xr:uid="{00000000-0005-0000-0000-00008B4C0000}"/>
    <cellStyle name="RowTitles-Detail 2 4 7 3 2_Tertiary Salaries Survey" xfId="19577" xr:uid="{00000000-0005-0000-0000-00008C4C0000}"/>
    <cellStyle name="RowTitles-Detail 2 4 7 3 3" xfId="19578" xr:uid="{00000000-0005-0000-0000-00008D4C0000}"/>
    <cellStyle name="RowTitles-Detail 2 4 7 3_Tertiary Salaries Survey" xfId="19579" xr:uid="{00000000-0005-0000-0000-00008E4C0000}"/>
    <cellStyle name="RowTitles-Detail 2 4 7 4" xfId="19580" xr:uid="{00000000-0005-0000-0000-00008F4C0000}"/>
    <cellStyle name="RowTitles-Detail 2 4 7 5" xfId="19581" xr:uid="{00000000-0005-0000-0000-0000904C0000}"/>
    <cellStyle name="RowTitles-Detail 2 4 7 5 2" xfId="19582" xr:uid="{00000000-0005-0000-0000-0000914C0000}"/>
    <cellStyle name="RowTitles-Detail 2 4 7 5_Tertiary Salaries Survey" xfId="19583" xr:uid="{00000000-0005-0000-0000-0000924C0000}"/>
    <cellStyle name="RowTitles-Detail 2 4 7 6" xfId="19584" xr:uid="{00000000-0005-0000-0000-0000934C0000}"/>
    <cellStyle name="RowTitles-Detail 2 4 7_Tertiary Salaries Survey" xfId="19585" xr:uid="{00000000-0005-0000-0000-0000944C0000}"/>
    <cellStyle name="RowTitles-Detail 2 4 8" xfId="19586" xr:uid="{00000000-0005-0000-0000-0000954C0000}"/>
    <cellStyle name="RowTitles-Detail 2 4 8 2" xfId="19587" xr:uid="{00000000-0005-0000-0000-0000964C0000}"/>
    <cellStyle name="RowTitles-Detail 2 4 8 2 2" xfId="19588" xr:uid="{00000000-0005-0000-0000-0000974C0000}"/>
    <cellStyle name="RowTitles-Detail 2 4 8 2 2 2" xfId="19589" xr:uid="{00000000-0005-0000-0000-0000984C0000}"/>
    <cellStyle name="RowTitles-Detail 2 4 8 2 2_Tertiary Salaries Survey" xfId="19590" xr:uid="{00000000-0005-0000-0000-0000994C0000}"/>
    <cellStyle name="RowTitles-Detail 2 4 8 2 3" xfId="19591" xr:uid="{00000000-0005-0000-0000-00009A4C0000}"/>
    <cellStyle name="RowTitles-Detail 2 4 8 2_Tertiary Salaries Survey" xfId="19592" xr:uid="{00000000-0005-0000-0000-00009B4C0000}"/>
    <cellStyle name="RowTitles-Detail 2 4 8 3" xfId="19593" xr:uid="{00000000-0005-0000-0000-00009C4C0000}"/>
    <cellStyle name="RowTitles-Detail 2 4 8 3 2" xfId="19594" xr:uid="{00000000-0005-0000-0000-00009D4C0000}"/>
    <cellStyle name="RowTitles-Detail 2 4 8 3 2 2" xfId="19595" xr:uid="{00000000-0005-0000-0000-00009E4C0000}"/>
    <cellStyle name="RowTitles-Detail 2 4 8 3 2_Tertiary Salaries Survey" xfId="19596" xr:uid="{00000000-0005-0000-0000-00009F4C0000}"/>
    <cellStyle name="RowTitles-Detail 2 4 8 3 3" xfId="19597" xr:uid="{00000000-0005-0000-0000-0000A04C0000}"/>
    <cellStyle name="RowTitles-Detail 2 4 8 3_Tertiary Salaries Survey" xfId="19598" xr:uid="{00000000-0005-0000-0000-0000A14C0000}"/>
    <cellStyle name="RowTitles-Detail 2 4 8 4" xfId="19599" xr:uid="{00000000-0005-0000-0000-0000A24C0000}"/>
    <cellStyle name="RowTitles-Detail 2 4 8 4 2" xfId="19600" xr:uid="{00000000-0005-0000-0000-0000A34C0000}"/>
    <cellStyle name="RowTitles-Detail 2 4 8 4_Tertiary Salaries Survey" xfId="19601" xr:uid="{00000000-0005-0000-0000-0000A44C0000}"/>
    <cellStyle name="RowTitles-Detail 2 4 8 5" xfId="19602" xr:uid="{00000000-0005-0000-0000-0000A54C0000}"/>
    <cellStyle name="RowTitles-Detail 2 4 8_Tertiary Salaries Survey" xfId="19603" xr:uid="{00000000-0005-0000-0000-0000A64C0000}"/>
    <cellStyle name="RowTitles-Detail 2 4 9" xfId="19604" xr:uid="{00000000-0005-0000-0000-0000A74C0000}"/>
    <cellStyle name="RowTitles-Detail 2 4 9 2" xfId="19605" xr:uid="{00000000-0005-0000-0000-0000A84C0000}"/>
    <cellStyle name="RowTitles-Detail 2 4 9 2 2" xfId="19606" xr:uid="{00000000-0005-0000-0000-0000A94C0000}"/>
    <cellStyle name="RowTitles-Detail 2 4 9 2 2 2" xfId="19607" xr:uid="{00000000-0005-0000-0000-0000AA4C0000}"/>
    <cellStyle name="RowTitles-Detail 2 4 9 2 2_Tertiary Salaries Survey" xfId="19608" xr:uid="{00000000-0005-0000-0000-0000AB4C0000}"/>
    <cellStyle name="RowTitles-Detail 2 4 9 2 3" xfId="19609" xr:uid="{00000000-0005-0000-0000-0000AC4C0000}"/>
    <cellStyle name="RowTitles-Detail 2 4 9 2_Tertiary Salaries Survey" xfId="19610" xr:uid="{00000000-0005-0000-0000-0000AD4C0000}"/>
    <cellStyle name="RowTitles-Detail 2 4 9 3" xfId="19611" xr:uid="{00000000-0005-0000-0000-0000AE4C0000}"/>
    <cellStyle name="RowTitles-Detail 2 4 9 3 2" xfId="19612" xr:uid="{00000000-0005-0000-0000-0000AF4C0000}"/>
    <cellStyle name="RowTitles-Detail 2 4 9 3 2 2" xfId="19613" xr:uid="{00000000-0005-0000-0000-0000B04C0000}"/>
    <cellStyle name="RowTitles-Detail 2 4 9 3 2_Tertiary Salaries Survey" xfId="19614" xr:uid="{00000000-0005-0000-0000-0000B14C0000}"/>
    <cellStyle name="RowTitles-Detail 2 4 9 3 3" xfId="19615" xr:uid="{00000000-0005-0000-0000-0000B24C0000}"/>
    <cellStyle name="RowTitles-Detail 2 4 9 3_Tertiary Salaries Survey" xfId="19616" xr:uid="{00000000-0005-0000-0000-0000B34C0000}"/>
    <cellStyle name="RowTitles-Detail 2 4 9 4" xfId="19617" xr:uid="{00000000-0005-0000-0000-0000B44C0000}"/>
    <cellStyle name="RowTitles-Detail 2 4 9 4 2" xfId="19618" xr:uid="{00000000-0005-0000-0000-0000B54C0000}"/>
    <cellStyle name="RowTitles-Detail 2 4 9 4_Tertiary Salaries Survey" xfId="19619" xr:uid="{00000000-0005-0000-0000-0000B64C0000}"/>
    <cellStyle name="RowTitles-Detail 2 4 9 5" xfId="19620" xr:uid="{00000000-0005-0000-0000-0000B74C0000}"/>
    <cellStyle name="RowTitles-Detail 2 4 9_Tertiary Salaries Survey" xfId="19621" xr:uid="{00000000-0005-0000-0000-0000B84C0000}"/>
    <cellStyle name="RowTitles-Detail 2 4_STUD aligned by INSTIT" xfId="19622" xr:uid="{00000000-0005-0000-0000-0000B94C0000}"/>
    <cellStyle name="RowTitles-Detail 2 5" xfId="19623" xr:uid="{00000000-0005-0000-0000-0000BA4C0000}"/>
    <cellStyle name="RowTitles-Detail 2 5 2" xfId="19624" xr:uid="{00000000-0005-0000-0000-0000BB4C0000}"/>
    <cellStyle name="RowTitles-Detail 2 5 2 2" xfId="19625" xr:uid="{00000000-0005-0000-0000-0000BC4C0000}"/>
    <cellStyle name="RowTitles-Detail 2 5 2 2 2" xfId="19626" xr:uid="{00000000-0005-0000-0000-0000BD4C0000}"/>
    <cellStyle name="RowTitles-Detail 2 5 2 2 2 2" xfId="19627" xr:uid="{00000000-0005-0000-0000-0000BE4C0000}"/>
    <cellStyle name="RowTitles-Detail 2 5 2 2 2_Tertiary Salaries Survey" xfId="19628" xr:uid="{00000000-0005-0000-0000-0000BF4C0000}"/>
    <cellStyle name="RowTitles-Detail 2 5 2 2 3" xfId="19629" xr:uid="{00000000-0005-0000-0000-0000C04C0000}"/>
    <cellStyle name="RowTitles-Detail 2 5 2 2_Tertiary Salaries Survey" xfId="19630" xr:uid="{00000000-0005-0000-0000-0000C14C0000}"/>
    <cellStyle name="RowTitles-Detail 2 5 2 3" xfId="19631" xr:uid="{00000000-0005-0000-0000-0000C24C0000}"/>
    <cellStyle name="RowTitles-Detail 2 5 2 3 2" xfId="19632" xr:uid="{00000000-0005-0000-0000-0000C34C0000}"/>
    <cellStyle name="RowTitles-Detail 2 5 2 3 2 2" xfId="19633" xr:uid="{00000000-0005-0000-0000-0000C44C0000}"/>
    <cellStyle name="RowTitles-Detail 2 5 2 3 2_Tertiary Salaries Survey" xfId="19634" xr:uid="{00000000-0005-0000-0000-0000C54C0000}"/>
    <cellStyle name="RowTitles-Detail 2 5 2 3 3" xfId="19635" xr:uid="{00000000-0005-0000-0000-0000C64C0000}"/>
    <cellStyle name="RowTitles-Detail 2 5 2 3_Tertiary Salaries Survey" xfId="19636" xr:uid="{00000000-0005-0000-0000-0000C74C0000}"/>
    <cellStyle name="RowTitles-Detail 2 5 2 4" xfId="19637" xr:uid="{00000000-0005-0000-0000-0000C84C0000}"/>
    <cellStyle name="RowTitles-Detail 2 5 2 5" xfId="19638" xr:uid="{00000000-0005-0000-0000-0000C94C0000}"/>
    <cellStyle name="RowTitles-Detail 2 5 2_Tertiary Salaries Survey" xfId="19639" xr:uid="{00000000-0005-0000-0000-0000CA4C0000}"/>
    <cellStyle name="RowTitles-Detail 2 5 3" xfId="19640" xr:uid="{00000000-0005-0000-0000-0000CB4C0000}"/>
    <cellStyle name="RowTitles-Detail 2 5 3 2" xfId="19641" xr:uid="{00000000-0005-0000-0000-0000CC4C0000}"/>
    <cellStyle name="RowTitles-Detail 2 5 3 2 2" xfId="19642" xr:uid="{00000000-0005-0000-0000-0000CD4C0000}"/>
    <cellStyle name="RowTitles-Detail 2 5 3 2 2 2" xfId="19643" xr:uid="{00000000-0005-0000-0000-0000CE4C0000}"/>
    <cellStyle name="RowTitles-Detail 2 5 3 2 2_Tertiary Salaries Survey" xfId="19644" xr:uid="{00000000-0005-0000-0000-0000CF4C0000}"/>
    <cellStyle name="RowTitles-Detail 2 5 3 2 3" xfId="19645" xr:uid="{00000000-0005-0000-0000-0000D04C0000}"/>
    <cellStyle name="RowTitles-Detail 2 5 3 2_Tertiary Salaries Survey" xfId="19646" xr:uid="{00000000-0005-0000-0000-0000D14C0000}"/>
    <cellStyle name="RowTitles-Detail 2 5 3 3" xfId="19647" xr:uid="{00000000-0005-0000-0000-0000D24C0000}"/>
    <cellStyle name="RowTitles-Detail 2 5 3 3 2" xfId="19648" xr:uid="{00000000-0005-0000-0000-0000D34C0000}"/>
    <cellStyle name="RowTitles-Detail 2 5 3 3 2 2" xfId="19649" xr:uid="{00000000-0005-0000-0000-0000D44C0000}"/>
    <cellStyle name="RowTitles-Detail 2 5 3 3 2_Tertiary Salaries Survey" xfId="19650" xr:uid="{00000000-0005-0000-0000-0000D54C0000}"/>
    <cellStyle name="RowTitles-Detail 2 5 3 3 3" xfId="19651" xr:uid="{00000000-0005-0000-0000-0000D64C0000}"/>
    <cellStyle name="RowTitles-Detail 2 5 3 3_Tertiary Salaries Survey" xfId="19652" xr:uid="{00000000-0005-0000-0000-0000D74C0000}"/>
    <cellStyle name="RowTitles-Detail 2 5 3 4" xfId="19653" xr:uid="{00000000-0005-0000-0000-0000D84C0000}"/>
    <cellStyle name="RowTitles-Detail 2 5 3 5" xfId="19654" xr:uid="{00000000-0005-0000-0000-0000D94C0000}"/>
    <cellStyle name="RowTitles-Detail 2 5 3 5 2" xfId="19655" xr:uid="{00000000-0005-0000-0000-0000DA4C0000}"/>
    <cellStyle name="RowTitles-Detail 2 5 3 5_Tertiary Salaries Survey" xfId="19656" xr:uid="{00000000-0005-0000-0000-0000DB4C0000}"/>
    <cellStyle name="RowTitles-Detail 2 5 3 6" xfId="19657" xr:uid="{00000000-0005-0000-0000-0000DC4C0000}"/>
    <cellStyle name="RowTitles-Detail 2 5 3_Tertiary Salaries Survey" xfId="19658" xr:uid="{00000000-0005-0000-0000-0000DD4C0000}"/>
    <cellStyle name="RowTitles-Detail 2 5 4" xfId="19659" xr:uid="{00000000-0005-0000-0000-0000DE4C0000}"/>
    <cellStyle name="RowTitles-Detail 2 5 4 2" xfId="19660" xr:uid="{00000000-0005-0000-0000-0000DF4C0000}"/>
    <cellStyle name="RowTitles-Detail 2 5 4 2 2" xfId="19661" xr:uid="{00000000-0005-0000-0000-0000E04C0000}"/>
    <cellStyle name="RowTitles-Detail 2 5 4 2 2 2" xfId="19662" xr:uid="{00000000-0005-0000-0000-0000E14C0000}"/>
    <cellStyle name="RowTitles-Detail 2 5 4 2 2_Tertiary Salaries Survey" xfId="19663" xr:uid="{00000000-0005-0000-0000-0000E24C0000}"/>
    <cellStyle name="RowTitles-Detail 2 5 4 2 3" xfId="19664" xr:uid="{00000000-0005-0000-0000-0000E34C0000}"/>
    <cellStyle name="RowTitles-Detail 2 5 4 2_Tertiary Salaries Survey" xfId="19665" xr:uid="{00000000-0005-0000-0000-0000E44C0000}"/>
    <cellStyle name="RowTitles-Detail 2 5 4 3" xfId="19666" xr:uid="{00000000-0005-0000-0000-0000E54C0000}"/>
    <cellStyle name="RowTitles-Detail 2 5 4 3 2" xfId="19667" xr:uid="{00000000-0005-0000-0000-0000E64C0000}"/>
    <cellStyle name="RowTitles-Detail 2 5 4 3 2 2" xfId="19668" xr:uid="{00000000-0005-0000-0000-0000E74C0000}"/>
    <cellStyle name="RowTitles-Detail 2 5 4 3 2_Tertiary Salaries Survey" xfId="19669" xr:uid="{00000000-0005-0000-0000-0000E84C0000}"/>
    <cellStyle name="RowTitles-Detail 2 5 4 3 3" xfId="19670" xr:uid="{00000000-0005-0000-0000-0000E94C0000}"/>
    <cellStyle name="RowTitles-Detail 2 5 4 3_Tertiary Salaries Survey" xfId="19671" xr:uid="{00000000-0005-0000-0000-0000EA4C0000}"/>
    <cellStyle name="RowTitles-Detail 2 5 4 4" xfId="19672" xr:uid="{00000000-0005-0000-0000-0000EB4C0000}"/>
    <cellStyle name="RowTitles-Detail 2 5 4 4 2" xfId="19673" xr:uid="{00000000-0005-0000-0000-0000EC4C0000}"/>
    <cellStyle name="RowTitles-Detail 2 5 4 4_Tertiary Salaries Survey" xfId="19674" xr:uid="{00000000-0005-0000-0000-0000ED4C0000}"/>
    <cellStyle name="RowTitles-Detail 2 5 4 5" xfId="19675" xr:uid="{00000000-0005-0000-0000-0000EE4C0000}"/>
    <cellStyle name="RowTitles-Detail 2 5 4_Tertiary Salaries Survey" xfId="19676" xr:uid="{00000000-0005-0000-0000-0000EF4C0000}"/>
    <cellStyle name="RowTitles-Detail 2 5 5" xfId="19677" xr:uid="{00000000-0005-0000-0000-0000F04C0000}"/>
    <cellStyle name="RowTitles-Detail 2 5 5 2" xfId="19678" xr:uid="{00000000-0005-0000-0000-0000F14C0000}"/>
    <cellStyle name="RowTitles-Detail 2 5 5 2 2" xfId="19679" xr:uid="{00000000-0005-0000-0000-0000F24C0000}"/>
    <cellStyle name="RowTitles-Detail 2 5 5 2 2 2" xfId="19680" xr:uid="{00000000-0005-0000-0000-0000F34C0000}"/>
    <cellStyle name="RowTitles-Detail 2 5 5 2 2_Tertiary Salaries Survey" xfId="19681" xr:uid="{00000000-0005-0000-0000-0000F44C0000}"/>
    <cellStyle name="RowTitles-Detail 2 5 5 2 3" xfId="19682" xr:uid="{00000000-0005-0000-0000-0000F54C0000}"/>
    <cellStyle name="RowTitles-Detail 2 5 5 2_Tertiary Salaries Survey" xfId="19683" xr:uid="{00000000-0005-0000-0000-0000F64C0000}"/>
    <cellStyle name="RowTitles-Detail 2 5 5 3" xfId="19684" xr:uid="{00000000-0005-0000-0000-0000F74C0000}"/>
    <cellStyle name="RowTitles-Detail 2 5 5 3 2" xfId="19685" xr:uid="{00000000-0005-0000-0000-0000F84C0000}"/>
    <cellStyle name="RowTitles-Detail 2 5 5 3 2 2" xfId="19686" xr:uid="{00000000-0005-0000-0000-0000F94C0000}"/>
    <cellStyle name="RowTitles-Detail 2 5 5 3 2_Tertiary Salaries Survey" xfId="19687" xr:uid="{00000000-0005-0000-0000-0000FA4C0000}"/>
    <cellStyle name="RowTitles-Detail 2 5 5 3 3" xfId="19688" xr:uid="{00000000-0005-0000-0000-0000FB4C0000}"/>
    <cellStyle name="RowTitles-Detail 2 5 5 3_Tertiary Salaries Survey" xfId="19689" xr:uid="{00000000-0005-0000-0000-0000FC4C0000}"/>
    <cellStyle name="RowTitles-Detail 2 5 5 4" xfId="19690" xr:uid="{00000000-0005-0000-0000-0000FD4C0000}"/>
    <cellStyle name="RowTitles-Detail 2 5 5 4 2" xfId="19691" xr:uid="{00000000-0005-0000-0000-0000FE4C0000}"/>
    <cellStyle name="RowTitles-Detail 2 5 5 4_Tertiary Salaries Survey" xfId="19692" xr:uid="{00000000-0005-0000-0000-0000FF4C0000}"/>
    <cellStyle name="RowTitles-Detail 2 5 5 5" xfId="19693" xr:uid="{00000000-0005-0000-0000-0000004D0000}"/>
    <cellStyle name="RowTitles-Detail 2 5 5_Tertiary Salaries Survey" xfId="19694" xr:uid="{00000000-0005-0000-0000-0000014D0000}"/>
    <cellStyle name="RowTitles-Detail 2 5 6" xfId="19695" xr:uid="{00000000-0005-0000-0000-0000024D0000}"/>
    <cellStyle name="RowTitles-Detail 2 5 6 2" xfId="19696" xr:uid="{00000000-0005-0000-0000-0000034D0000}"/>
    <cellStyle name="RowTitles-Detail 2 5 6 2 2" xfId="19697" xr:uid="{00000000-0005-0000-0000-0000044D0000}"/>
    <cellStyle name="RowTitles-Detail 2 5 6 2 2 2" xfId="19698" xr:uid="{00000000-0005-0000-0000-0000054D0000}"/>
    <cellStyle name="RowTitles-Detail 2 5 6 2 2_Tertiary Salaries Survey" xfId="19699" xr:uid="{00000000-0005-0000-0000-0000064D0000}"/>
    <cellStyle name="RowTitles-Detail 2 5 6 2 3" xfId="19700" xr:uid="{00000000-0005-0000-0000-0000074D0000}"/>
    <cellStyle name="RowTitles-Detail 2 5 6 2_Tertiary Salaries Survey" xfId="19701" xr:uid="{00000000-0005-0000-0000-0000084D0000}"/>
    <cellStyle name="RowTitles-Detail 2 5 6 3" xfId="19702" xr:uid="{00000000-0005-0000-0000-0000094D0000}"/>
    <cellStyle name="RowTitles-Detail 2 5 6 3 2" xfId="19703" xr:uid="{00000000-0005-0000-0000-00000A4D0000}"/>
    <cellStyle name="RowTitles-Detail 2 5 6 3 2 2" xfId="19704" xr:uid="{00000000-0005-0000-0000-00000B4D0000}"/>
    <cellStyle name="RowTitles-Detail 2 5 6 3 2_Tertiary Salaries Survey" xfId="19705" xr:uid="{00000000-0005-0000-0000-00000C4D0000}"/>
    <cellStyle name="RowTitles-Detail 2 5 6 3 3" xfId="19706" xr:uid="{00000000-0005-0000-0000-00000D4D0000}"/>
    <cellStyle name="RowTitles-Detail 2 5 6 3_Tertiary Salaries Survey" xfId="19707" xr:uid="{00000000-0005-0000-0000-00000E4D0000}"/>
    <cellStyle name="RowTitles-Detail 2 5 6 4" xfId="19708" xr:uid="{00000000-0005-0000-0000-00000F4D0000}"/>
    <cellStyle name="RowTitles-Detail 2 5 6 4 2" xfId="19709" xr:uid="{00000000-0005-0000-0000-0000104D0000}"/>
    <cellStyle name="RowTitles-Detail 2 5 6 4_Tertiary Salaries Survey" xfId="19710" xr:uid="{00000000-0005-0000-0000-0000114D0000}"/>
    <cellStyle name="RowTitles-Detail 2 5 6 5" xfId="19711" xr:uid="{00000000-0005-0000-0000-0000124D0000}"/>
    <cellStyle name="RowTitles-Detail 2 5 6_Tertiary Salaries Survey" xfId="19712" xr:uid="{00000000-0005-0000-0000-0000134D0000}"/>
    <cellStyle name="RowTitles-Detail 2 5 7" xfId="19713" xr:uid="{00000000-0005-0000-0000-0000144D0000}"/>
    <cellStyle name="RowTitles-Detail 2 5 7 2" xfId="19714" xr:uid="{00000000-0005-0000-0000-0000154D0000}"/>
    <cellStyle name="RowTitles-Detail 2 5 7 2 2" xfId="19715" xr:uid="{00000000-0005-0000-0000-0000164D0000}"/>
    <cellStyle name="RowTitles-Detail 2 5 7 2_Tertiary Salaries Survey" xfId="19716" xr:uid="{00000000-0005-0000-0000-0000174D0000}"/>
    <cellStyle name="RowTitles-Detail 2 5 7 3" xfId="19717" xr:uid="{00000000-0005-0000-0000-0000184D0000}"/>
    <cellStyle name="RowTitles-Detail 2 5 7_Tertiary Salaries Survey" xfId="19718" xr:uid="{00000000-0005-0000-0000-0000194D0000}"/>
    <cellStyle name="RowTitles-Detail 2 5 8" xfId="19719" xr:uid="{00000000-0005-0000-0000-00001A4D0000}"/>
    <cellStyle name="RowTitles-Detail 2 5 9" xfId="19720" xr:uid="{00000000-0005-0000-0000-00001B4D0000}"/>
    <cellStyle name="RowTitles-Detail 2 5_STUD aligned by INSTIT" xfId="19721" xr:uid="{00000000-0005-0000-0000-00001C4D0000}"/>
    <cellStyle name="RowTitles-Detail 2 6" xfId="19722" xr:uid="{00000000-0005-0000-0000-00001D4D0000}"/>
    <cellStyle name="RowTitles-Detail 2 6 2" xfId="19723" xr:uid="{00000000-0005-0000-0000-00001E4D0000}"/>
    <cellStyle name="RowTitles-Detail 2 6 2 2" xfId="19724" xr:uid="{00000000-0005-0000-0000-00001F4D0000}"/>
    <cellStyle name="RowTitles-Detail 2 6 2 2 2" xfId="19725" xr:uid="{00000000-0005-0000-0000-0000204D0000}"/>
    <cellStyle name="RowTitles-Detail 2 6 2 2 2 2" xfId="19726" xr:uid="{00000000-0005-0000-0000-0000214D0000}"/>
    <cellStyle name="RowTitles-Detail 2 6 2 2 2_Tertiary Salaries Survey" xfId="19727" xr:uid="{00000000-0005-0000-0000-0000224D0000}"/>
    <cellStyle name="RowTitles-Detail 2 6 2 2 3" xfId="19728" xr:uid="{00000000-0005-0000-0000-0000234D0000}"/>
    <cellStyle name="RowTitles-Detail 2 6 2 2_Tertiary Salaries Survey" xfId="19729" xr:uid="{00000000-0005-0000-0000-0000244D0000}"/>
    <cellStyle name="RowTitles-Detail 2 6 2 3" xfId="19730" xr:uid="{00000000-0005-0000-0000-0000254D0000}"/>
    <cellStyle name="RowTitles-Detail 2 6 2 3 2" xfId="19731" xr:uid="{00000000-0005-0000-0000-0000264D0000}"/>
    <cellStyle name="RowTitles-Detail 2 6 2 3 2 2" xfId="19732" xr:uid="{00000000-0005-0000-0000-0000274D0000}"/>
    <cellStyle name="RowTitles-Detail 2 6 2 3 2_Tertiary Salaries Survey" xfId="19733" xr:uid="{00000000-0005-0000-0000-0000284D0000}"/>
    <cellStyle name="RowTitles-Detail 2 6 2 3 3" xfId="19734" xr:uid="{00000000-0005-0000-0000-0000294D0000}"/>
    <cellStyle name="RowTitles-Detail 2 6 2 3_Tertiary Salaries Survey" xfId="19735" xr:uid="{00000000-0005-0000-0000-00002A4D0000}"/>
    <cellStyle name="RowTitles-Detail 2 6 2 4" xfId="19736" xr:uid="{00000000-0005-0000-0000-00002B4D0000}"/>
    <cellStyle name="RowTitles-Detail 2 6 2 5" xfId="19737" xr:uid="{00000000-0005-0000-0000-00002C4D0000}"/>
    <cellStyle name="RowTitles-Detail 2 6 2 5 2" xfId="19738" xr:uid="{00000000-0005-0000-0000-00002D4D0000}"/>
    <cellStyle name="RowTitles-Detail 2 6 2 5_Tertiary Salaries Survey" xfId="19739" xr:uid="{00000000-0005-0000-0000-00002E4D0000}"/>
    <cellStyle name="RowTitles-Detail 2 6 2 6" xfId="19740" xr:uid="{00000000-0005-0000-0000-00002F4D0000}"/>
    <cellStyle name="RowTitles-Detail 2 6 2_Tertiary Salaries Survey" xfId="19741" xr:uid="{00000000-0005-0000-0000-0000304D0000}"/>
    <cellStyle name="RowTitles-Detail 2 6 3" xfId="19742" xr:uid="{00000000-0005-0000-0000-0000314D0000}"/>
    <cellStyle name="RowTitles-Detail 2 6 3 2" xfId="19743" xr:uid="{00000000-0005-0000-0000-0000324D0000}"/>
    <cellStyle name="RowTitles-Detail 2 6 3 2 2" xfId="19744" xr:uid="{00000000-0005-0000-0000-0000334D0000}"/>
    <cellStyle name="RowTitles-Detail 2 6 3 2 2 2" xfId="19745" xr:uid="{00000000-0005-0000-0000-0000344D0000}"/>
    <cellStyle name="RowTitles-Detail 2 6 3 2 2_Tertiary Salaries Survey" xfId="19746" xr:uid="{00000000-0005-0000-0000-0000354D0000}"/>
    <cellStyle name="RowTitles-Detail 2 6 3 2 3" xfId="19747" xr:uid="{00000000-0005-0000-0000-0000364D0000}"/>
    <cellStyle name="RowTitles-Detail 2 6 3 2_Tertiary Salaries Survey" xfId="19748" xr:uid="{00000000-0005-0000-0000-0000374D0000}"/>
    <cellStyle name="RowTitles-Detail 2 6 3 3" xfId="19749" xr:uid="{00000000-0005-0000-0000-0000384D0000}"/>
    <cellStyle name="RowTitles-Detail 2 6 3 3 2" xfId="19750" xr:uid="{00000000-0005-0000-0000-0000394D0000}"/>
    <cellStyle name="RowTitles-Detail 2 6 3 3 2 2" xfId="19751" xr:uid="{00000000-0005-0000-0000-00003A4D0000}"/>
    <cellStyle name="RowTitles-Detail 2 6 3 3 2_Tertiary Salaries Survey" xfId="19752" xr:uid="{00000000-0005-0000-0000-00003B4D0000}"/>
    <cellStyle name="RowTitles-Detail 2 6 3 3 3" xfId="19753" xr:uid="{00000000-0005-0000-0000-00003C4D0000}"/>
    <cellStyle name="RowTitles-Detail 2 6 3 3_Tertiary Salaries Survey" xfId="19754" xr:uid="{00000000-0005-0000-0000-00003D4D0000}"/>
    <cellStyle name="RowTitles-Detail 2 6 3 4" xfId="19755" xr:uid="{00000000-0005-0000-0000-00003E4D0000}"/>
    <cellStyle name="RowTitles-Detail 2 6 3 5" xfId="19756" xr:uid="{00000000-0005-0000-0000-00003F4D0000}"/>
    <cellStyle name="RowTitles-Detail 2 6 3_Tertiary Salaries Survey" xfId="19757" xr:uid="{00000000-0005-0000-0000-0000404D0000}"/>
    <cellStyle name="RowTitles-Detail 2 6 4" xfId="19758" xr:uid="{00000000-0005-0000-0000-0000414D0000}"/>
    <cellStyle name="RowTitles-Detail 2 6 4 2" xfId="19759" xr:uid="{00000000-0005-0000-0000-0000424D0000}"/>
    <cellStyle name="RowTitles-Detail 2 6 4 2 2" xfId="19760" xr:uid="{00000000-0005-0000-0000-0000434D0000}"/>
    <cellStyle name="RowTitles-Detail 2 6 4 2 2 2" xfId="19761" xr:uid="{00000000-0005-0000-0000-0000444D0000}"/>
    <cellStyle name="RowTitles-Detail 2 6 4 2 2_Tertiary Salaries Survey" xfId="19762" xr:uid="{00000000-0005-0000-0000-0000454D0000}"/>
    <cellStyle name="RowTitles-Detail 2 6 4 2 3" xfId="19763" xr:uid="{00000000-0005-0000-0000-0000464D0000}"/>
    <cellStyle name="RowTitles-Detail 2 6 4 2_Tertiary Salaries Survey" xfId="19764" xr:uid="{00000000-0005-0000-0000-0000474D0000}"/>
    <cellStyle name="RowTitles-Detail 2 6 4 3" xfId="19765" xr:uid="{00000000-0005-0000-0000-0000484D0000}"/>
    <cellStyle name="RowTitles-Detail 2 6 4 3 2" xfId="19766" xr:uid="{00000000-0005-0000-0000-0000494D0000}"/>
    <cellStyle name="RowTitles-Detail 2 6 4 3 2 2" xfId="19767" xr:uid="{00000000-0005-0000-0000-00004A4D0000}"/>
    <cellStyle name="RowTitles-Detail 2 6 4 3 2_Tertiary Salaries Survey" xfId="19768" xr:uid="{00000000-0005-0000-0000-00004B4D0000}"/>
    <cellStyle name="RowTitles-Detail 2 6 4 3 3" xfId="19769" xr:uid="{00000000-0005-0000-0000-00004C4D0000}"/>
    <cellStyle name="RowTitles-Detail 2 6 4 3_Tertiary Salaries Survey" xfId="19770" xr:uid="{00000000-0005-0000-0000-00004D4D0000}"/>
    <cellStyle name="RowTitles-Detail 2 6 4 4" xfId="19771" xr:uid="{00000000-0005-0000-0000-00004E4D0000}"/>
    <cellStyle name="RowTitles-Detail 2 6 4 4 2" xfId="19772" xr:uid="{00000000-0005-0000-0000-00004F4D0000}"/>
    <cellStyle name="RowTitles-Detail 2 6 4 4_Tertiary Salaries Survey" xfId="19773" xr:uid="{00000000-0005-0000-0000-0000504D0000}"/>
    <cellStyle name="RowTitles-Detail 2 6 4 5" xfId="19774" xr:uid="{00000000-0005-0000-0000-0000514D0000}"/>
    <cellStyle name="RowTitles-Detail 2 6 4_Tertiary Salaries Survey" xfId="19775" xr:uid="{00000000-0005-0000-0000-0000524D0000}"/>
    <cellStyle name="RowTitles-Detail 2 6 5" xfId="19776" xr:uid="{00000000-0005-0000-0000-0000534D0000}"/>
    <cellStyle name="RowTitles-Detail 2 6 5 2" xfId="19777" xr:uid="{00000000-0005-0000-0000-0000544D0000}"/>
    <cellStyle name="RowTitles-Detail 2 6 5 2 2" xfId="19778" xr:uid="{00000000-0005-0000-0000-0000554D0000}"/>
    <cellStyle name="RowTitles-Detail 2 6 5 2 2 2" xfId="19779" xr:uid="{00000000-0005-0000-0000-0000564D0000}"/>
    <cellStyle name="RowTitles-Detail 2 6 5 2 2_Tertiary Salaries Survey" xfId="19780" xr:uid="{00000000-0005-0000-0000-0000574D0000}"/>
    <cellStyle name="RowTitles-Detail 2 6 5 2 3" xfId="19781" xr:uid="{00000000-0005-0000-0000-0000584D0000}"/>
    <cellStyle name="RowTitles-Detail 2 6 5 2_Tertiary Salaries Survey" xfId="19782" xr:uid="{00000000-0005-0000-0000-0000594D0000}"/>
    <cellStyle name="RowTitles-Detail 2 6 5 3" xfId="19783" xr:uid="{00000000-0005-0000-0000-00005A4D0000}"/>
    <cellStyle name="RowTitles-Detail 2 6 5 3 2" xfId="19784" xr:uid="{00000000-0005-0000-0000-00005B4D0000}"/>
    <cellStyle name="RowTitles-Detail 2 6 5 3 2 2" xfId="19785" xr:uid="{00000000-0005-0000-0000-00005C4D0000}"/>
    <cellStyle name="RowTitles-Detail 2 6 5 3 2_Tertiary Salaries Survey" xfId="19786" xr:uid="{00000000-0005-0000-0000-00005D4D0000}"/>
    <cellStyle name="RowTitles-Detail 2 6 5 3 3" xfId="19787" xr:uid="{00000000-0005-0000-0000-00005E4D0000}"/>
    <cellStyle name="RowTitles-Detail 2 6 5 3_Tertiary Salaries Survey" xfId="19788" xr:uid="{00000000-0005-0000-0000-00005F4D0000}"/>
    <cellStyle name="RowTitles-Detail 2 6 5 4" xfId="19789" xr:uid="{00000000-0005-0000-0000-0000604D0000}"/>
    <cellStyle name="RowTitles-Detail 2 6 5 4 2" xfId="19790" xr:uid="{00000000-0005-0000-0000-0000614D0000}"/>
    <cellStyle name="RowTitles-Detail 2 6 5 4_Tertiary Salaries Survey" xfId="19791" xr:uid="{00000000-0005-0000-0000-0000624D0000}"/>
    <cellStyle name="RowTitles-Detail 2 6 5 5" xfId="19792" xr:uid="{00000000-0005-0000-0000-0000634D0000}"/>
    <cellStyle name="RowTitles-Detail 2 6 5_Tertiary Salaries Survey" xfId="19793" xr:uid="{00000000-0005-0000-0000-0000644D0000}"/>
    <cellStyle name="RowTitles-Detail 2 6 6" xfId="19794" xr:uid="{00000000-0005-0000-0000-0000654D0000}"/>
    <cellStyle name="RowTitles-Detail 2 6 6 2" xfId="19795" xr:uid="{00000000-0005-0000-0000-0000664D0000}"/>
    <cellStyle name="RowTitles-Detail 2 6 6 2 2" xfId="19796" xr:uid="{00000000-0005-0000-0000-0000674D0000}"/>
    <cellStyle name="RowTitles-Detail 2 6 6 2 2 2" xfId="19797" xr:uid="{00000000-0005-0000-0000-0000684D0000}"/>
    <cellStyle name="RowTitles-Detail 2 6 6 2 2_Tertiary Salaries Survey" xfId="19798" xr:uid="{00000000-0005-0000-0000-0000694D0000}"/>
    <cellStyle name="RowTitles-Detail 2 6 6 2 3" xfId="19799" xr:uid="{00000000-0005-0000-0000-00006A4D0000}"/>
    <cellStyle name="RowTitles-Detail 2 6 6 2_Tertiary Salaries Survey" xfId="19800" xr:uid="{00000000-0005-0000-0000-00006B4D0000}"/>
    <cellStyle name="RowTitles-Detail 2 6 6 3" xfId="19801" xr:uid="{00000000-0005-0000-0000-00006C4D0000}"/>
    <cellStyle name="RowTitles-Detail 2 6 6 3 2" xfId="19802" xr:uid="{00000000-0005-0000-0000-00006D4D0000}"/>
    <cellStyle name="RowTitles-Detail 2 6 6 3 2 2" xfId="19803" xr:uid="{00000000-0005-0000-0000-00006E4D0000}"/>
    <cellStyle name="RowTitles-Detail 2 6 6 3 2_Tertiary Salaries Survey" xfId="19804" xr:uid="{00000000-0005-0000-0000-00006F4D0000}"/>
    <cellStyle name="RowTitles-Detail 2 6 6 3 3" xfId="19805" xr:uid="{00000000-0005-0000-0000-0000704D0000}"/>
    <cellStyle name="RowTitles-Detail 2 6 6 3_Tertiary Salaries Survey" xfId="19806" xr:uid="{00000000-0005-0000-0000-0000714D0000}"/>
    <cellStyle name="RowTitles-Detail 2 6 6 4" xfId="19807" xr:uid="{00000000-0005-0000-0000-0000724D0000}"/>
    <cellStyle name="RowTitles-Detail 2 6 6 4 2" xfId="19808" xr:uid="{00000000-0005-0000-0000-0000734D0000}"/>
    <cellStyle name="RowTitles-Detail 2 6 6 4_Tertiary Salaries Survey" xfId="19809" xr:uid="{00000000-0005-0000-0000-0000744D0000}"/>
    <cellStyle name="RowTitles-Detail 2 6 6 5" xfId="19810" xr:uid="{00000000-0005-0000-0000-0000754D0000}"/>
    <cellStyle name="RowTitles-Detail 2 6 6_Tertiary Salaries Survey" xfId="19811" xr:uid="{00000000-0005-0000-0000-0000764D0000}"/>
    <cellStyle name="RowTitles-Detail 2 6 7" xfId="19812" xr:uid="{00000000-0005-0000-0000-0000774D0000}"/>
    <cellStyle name="RowTitles-Detail 2 6 7 2" xfId="19813" xr:uid="{00000000-0005-0000-0000-0000784D0000}"/>
    <cellStyle name="RowTitles-Detail 2 6 7 2 2" xfId="19814" xr:uid="{00000000-0005-0000-0000-0000794D0000}"/>
    <cellStyle name="RowTitles-Detail 2 6 7 2_Tertiary Salaries Survey" xfId="19815" xr:uid="{00000000-0005-0000-0000-00007A4D0000}"/>
    <cellStyle name="RowTitles-Detail 2 6 7 3" xfId="19816" xr:uid="{00000000-0005-0000-0000-00007B4D0000}"/>
    <cellStyle name="RowTitles-Detail 2 6 7_Tertiary Salaries Survey" xfId="19817" xr:uid="{00000000-0005-0000-0000-00007C4D0000}"/>
    <cellStyle name="RowTitles-Detail 2 6 8" xfId="19818" xr:uid="{00000000-0005-0000-0000-00007D4D0000}"/>
    <cellStyle name="RowTitles-Detail 2 6 8 2" xfId="19819" xr:uid="{00000000-0005-0000-0000-00007E4D0000}"/>
    <cellStyle name="RowTitles-Detail 2 6 8 2 2" xfId="19820" xr:uid="{00000000-0005-0000-0000-00007F4D0000}"/>
    <cellStyle name="RowTitles-Detail 2 6 8 2_Tertiary Salaries Survey" xfId="19821" xr:uid="{00000000-0005-0000-0000-0000804D0000}"/>
    <cellStyle name="RowTitles-Detail 2 6 8 3" xfId="19822" xr:uid="{00000000-0005-0000-0000-0000814D0000}"/>
    <cellStyle name="RowTitles-Detail 2 6 8_Tertiary Salaries Survey" xfId="19823" xr:uid="{00000000-0005-0000-0000-0000824D0000}"/>
    <cellStyle name="RowTitles-Detail 2 6 9" xfId="19824" xr:uid="{00000000-0005-0000-0000-0000834D0000}"/>
    <cellStyle name="RowTitles-Detail 2 6_STUD aligned by INSTIT" xfId="19825" xr:uid="{00000000-0005-0000-0000-0000844D0000}"/>
    <cellStyle name="RowTitles-Detail 2 7" xfId="19826" xr:uid="{00000000-0005-0000-0000-0000854D0000}"/>
    <cellStyle name="RowTitles-Detail 2 7 2" xfId="19827" xr:uid="{00000000-0005-0000-0000-0000864D0000}"/>
    <cellStyle name="RowTitles-Detail 2 7 2 2" xfId="19828" xr:uid="{00000000-0005-0000-0000-0000874D0000}"/>
    <cellStyle name="RowTitles-Detail 2 7 2 2 2" xfId="19829" xr:uid="{00000000-0005-0000-0000-0000884D0000}"/>
    <cellStyle name="RowTitles-Detail 2 7 2 2 2 2" xfId="19830" xr:uid="{00000000-0005-0000-0000-0000894D0000}"/>
    <cellStyle name="RowTitles-Detail 2 7 2 2 2_Tertiary Salaries Survey" xfId="19831" xr:uid="{00000000-0005-0000-0000-00008A4D0000}"/>
    <cellStyle name="RowTitles-Detail 2 7 2 2 3" xfId="19832" xr:uid="{00000000-0005-0000-0000-00008B4D0000}"/>
    <cellStyle name="RowTitles-Detail 2 7 2 2_Tertiary Salaries Survey" xfId="19833" xr:uid="{00000000-0005-0000-0000-00008C4D0000}"/>
    <cellStyle name="RowTitles-Detail 2 7 2 3" xfId="19834" xr:uid="{00000000-0005-0000-0000-00008D4D0000}"/>
    <cellStyle name="RowTitles-Detail 2 7 2 3 2" xfId="19835" xr:uid="{00000000-0005-0000-0000-00008E4D0000}"/>
    <cellStyle name="RowTitles-Detail 2 7 2 3 2 2" xfId="19836" xr:uid="{00000000-0005-0000-0000-00008F4D0000}"/>
    <cellStyle name="RowTitles-Detail 2 7 2 3 2_Tertiary Salaries Survey" xfId="19837" xr:uid="{00000000-0005-0000-0000-0000904D0000}"/>
    <cellStyle name="RowTitles-Detail 2 7 2 3 3" xfId="19838" xr:uid="{00000000-0005-0000-0000-0000914D0000}"/>
    <cellStyle name="RowTitles-Detail 2 7 2 3_Tertiary Salaries Survey" xfId="19839" xr:uid="{00000000-0005-0000-0000-0000924D0000}"/>
    <cellStyle name="RowTitles-Detail 2 7 2 4" xfId="19840" xr:uid="{00000000-0005-0000-0000-0000934D0000}"/>
    <cellStyle name="RowTitles-Detail 2 7 2 5" xfId="19841" xr:uid="{00000000-0005-0000-0000-0000944D0000}"/>
    <cellStyle name="RowTitles-Detail 2 7 2_Tertiary Salaries Survey" xfId="19842" xr:uid="{00000000-0005-0000-0000-0000954D0000}"/>
    <cellStyle name="RowTitles-Detail 2 7 3" xfId="19843" xr:uid="{00000000-0005-0000-0000-0000964D0000}"/>
    <cellStyle name="RowTitles-Detail 2 7 3 2" xfId="19844" xr:uid="{00000000-0005-0000-0000-0000974D0000}"/>
    <cellStyle name="RowTitles-Detail 2 7 3 2 2" xfId="19845" xr:uid="{00000000-0005-0000-0000-0000984D0000}"/>
    <cellStyle name="RowTitles-Detail 2 7 3 2 2 2" xfId="19846" xr:uid="{00000000-0005-0000-0000-0000994D0000}"/>
    <cellStyle name="RowTitles-Detail 2 7 3 2 2_Tertiary Salaries Survey" xfId="19847" xr:uid="{00000000-0005-0000-0000-00009A4D0000}"/>
    <cellStyle name="RowTitles-Detail 2 7 3 2 3" xfId="19848" xr:uid="{00000000-0005-0000-0000-00009B4D0000}"/>
    <cellStyle name="RowTitles-Detail 2 7 3 2_Tertiary Salaries Survey" xfId="19849" xr:uid="{00000000-0005-0000-0000-00009C4D0000}"/>
    <cellStyle name="RowTitles-Detail 2 7 3 3" xfId="19850" xr:uid="{00000000-0005-0000-0000-00009D4D0000}"/>
    <cellStyle name="RowTitles-Detail 2 7 3 3 2" xfId="19851" xr:uid="{00000000-0005-0000-0000-00009E4D0000}"/>
    <cellStyle name="RowTitles-Detail 2 7 3 3 2 2" xfId="19852" xr:uid="{00000000-0005-0000-0000-00009F4D0000}"/>
    <cellStyle name="RowTitles-Detail 2 7 3 3 2_Tertiary Salaries Survey" xfId="19853" xr:uid="{00000000-0005-0000-0000-0000A04D0000}"/>
    <cellStyle name="RowTitles-Detail 2 7 3 3 3" xfId="19854" xr:uid="{00000000-0005-0000-0000-0000A14D0000}"/>
    <cellStyle name="RowTitles-Detail 2 7 3 3_Tertiary Salaries Survey" xfId="19855" xr:uid="{00000000-0005-0000-0000-0000A24D0000}"/>
    <cellStyle name="RowTitles-Detail 2 7 3 4" xfId="19856" xr:uid="{00000000-0005-0000-0000-0000A34D0000}"/>
    <cellStyle name="RowTitles-Detail 2 7 3 4 2" xfId="19857" xr:uid="{00000000-0005-0000-0000-0000A44D0000}"/>
    <cellStyle name="RowTitles-Detail 2 7 3 4_Tertiary Salaries Survey" xfId="19858" xr:uid="{00000000-0005-0000-0000-0000A54D0000}"/>
    <cellStyle name="RowTitles-Detail 2 7 3 5" xfId="19859" xr:uid="{00000000-0005-0000-0000-0000A64D0000}"/>
    <cellStyle name="RowTitles-Detail 2 7 3_Tertiary Salaries Survey" xfId="19860" xr:uid="{00000000-0005-0000-0000-0000A74D0000}"/>
    <cellStyle name="RowTitles-Detail 2 7 4" xfId="19861" xr:uid="{00000000-0005-0000-0000-0000A84D0000}"/>
    <cellStyle name="RowTitles-Detail 2 7 4 2" xfId="19862" xr:uid="{00000000-0005-0000-0000-0000A94D0000}"/>
    <cellStyle name="RowTitles-Detail 2 7 4 2 2" xfId="19863" xr:uid="{00000000-0005-0000-0000-0000AA4D0000}"/>
    <cellStyle name="RowTitles-Detail 2 7 4 2 2 2" xfId="19864" xr:uid="{00000000-0005-0000-0000-0000AB4D0000}"/>
    <cellStyle name="RowTitles-Detail 2 7 4 2 2_Tertiary Salaries Survey" xfId="19865" xr:uid="{00000000-0005-0000-0000-0000AC4D0000}"/>
    <cellStyle name="RowTitles-Detail 2 7 4 2 3" xfId="19866" xr:uid="{00000000-0005-0000-0000-0000AD4D0000}"/>
    <cellStyle name="RowTitles-Detail 2 7 4 2_Tertiary Salaries Survey" xfId="19867" xr:uid="{00000000-0005-0000-0000-0000AE4D0000}"/>
    <cellStyle name="RowTitles-Detail 2 7 4 3" xfId="19868" xr:uid="{00000000-0005-0000-0000-0000AF4D0000}"/>
    <cellStyle name="RowTitles-Detail 2 7 4 3 2" xfId="19869" xr:uid="{00000000-0005-0000-0000-0000B04D0000}"/>
    <cellStyle name="RowTitles-Detail 2 7 4 3 2 2" xfId="19870" xr:uid="{00000000-0005-0000-0000-0000B14D0000}"/>
    <cellStyle name="RowTitles-Detail 2 7 4 3 2_Tertiary Salaries Survey" xfId="19871" xr:uid="{00000000-0005-0000-0000-0000B24D0000}"/>
    <cellStyle name="RowTitles-Detail 2 7 4 3 3" xfId="19872" xr:uid="{00000000-0005-0000-0000-0000B34D0000}"/>
    <cellStyle name="RowTitles-Detail 2 7 4 3_Tertiary Salaries Survey" xfId="19873" xr:uid="{00000000-0005-0000-0000-0000B44D0000}"/>
    <cellStyle name="RowTitles-Detail 2 7 4 4" xfId="19874" xr:uid="{00000000-0005-0000-0000-0000B54D0000}"/>
    <cellStyle name="RowTitles-Detail 2 7 4 4 2" xfId="19875" xr:uid="{00000000-0005-0000-0000-0000B64D0000}"/>
    <cellStyle name="RowTitles-Detail 2 7 4 4_Tertiary Salaries Survey" xfId="19876" xr:uid="{00000000-0005-0000-0000-0000B74D0000}"/>
    <cellStyle name="RowTitles-Detail 2 7 4 5" xfId="19877" xr:uid="{00000000-0005-0000-0000-0000B84D0000}"/>
    <cellStyle name="RowTitles-Detail 2 7 4_Tertiary Salaries Survey" xfId="19878" xr:uid="{00000000-0005-0000-0000-0000B94D0000}"/>
    <cellStyle name="RowTitles-Detail 2 7 5" xfId="19879" xr:uid="{00000000-0005-0000-0000-0000BA4D0000}"/>
    <cellStyle name="RowTitles-Detail 2 7 5 2" xfId="19880" xr:uid="{00000000-0005-0000-0000-0000BB4D0000}"/>
    <cellStyle name="RowTitles-Detail 2 7 5 2 2" xfId="19881" xr:uid="{00000000-0005-0000-0000-0000BC4D0000}"/>
    <cellStyle name="RowTitles-Detail 2 7 5 2 2 2" xfId="19882" xr:uid="{00000000-0005-0000-0000-0000BD4D0000}"/>
    <cellStyle name="RowTitles-Detail 2 7 5 2 2_Tertiary Salaries Survey" xfId="19883" xr:uid="{00000000-0005-0000-0000-0000BE4D0000}"/>
    <cellStyle name="RowTitles-Detail 2 7 5 2 3" xfId="19884" xr:uid="{00000000-0005-0000-0000-0000BF4D0000}"/>
    <cellStyle name="RowTitles-Detail 2 7 5 2_Tertiary Salaries Survey" xfId="19885" xr:uid="{00000000-0005-0000-0000-0000C04D0000}"/>
    <cellStyle name="RowTitles-Detail 2 7 5 3" xfId="19886" xr:uid="{00000000-0005-0000-0000-0000C14D0000}"/>
    <cellStyle name="RowTitles-Detail 2 7 5 3 2" xfId="19887" xr:uid="{00000000-0005-0000-0000-0000C24D0000}"/>
    <cellStyle name="RowTitles-Detail 2 7 5 3 2 2" xfId="19888" xr:uid="{00000000-0005-0000-0000-0000C34D0000}"/>
    <cellStyle name="RowTitles-Detail 2 7 5 3 2_Tertiary Salaries Survey" xfId="19889" xr:uid="{00000000-0005-0000-0000-0000C44D0000}"/>
    <cellStyle name="RowTitles-Detail 2 7 5 3 3" xfId="19890" xr:uid="{00000000-0005-0000-0000-0000C54D0000}"/>
    <cellStyle name="RowTitles-Detail 2 7 5 3_Tertiary Salaries Survey" xfId="19891" xr:uid="{00000000-0005-0000-0000-0000C64D0000}"/>
    <cellStyle name="RowTitles-Detail 2 7 5 4" xfId="19892" xr:uid="{00000000-0005-0000-0000-0000C74D0000}"/>
    <cellStyle name="RowTitles-Detail 2 7 5 4 2" xfId="19893" xr:uid="{00000000-0005-0000-0000-0000C84D0000}"/>
    <cellStyle name="RowTitles-Detail 2 7 5 4_Tertiary Salaries Survey" xfId="19894" xr:uid="{00000000-0005-0000-0000-0000C94D0000}"/>
    <cellStyle name="RowTitles-Detail 2 7 5 5" xfId="19895" xr:uid="{00000000-0005-0000-0000-0000CA4D0000}"/>
    <cellStyle name="RowTitles-Detail 2 7 5_Tertiary Salaries Survey" xfId="19896" xr:uid="{00000000-0005-0000-0000-0000CB4D0000}"/>
    <cellStyle name="RowTitles-Detail 2 7 6" xfId="19897" xr:uid="{00000000-0005-0000-0000-0000CC4D0000}"/>
    <cellStyle name="RowTitles-Detail 2 7 6 2" xfId="19898" xr:uid="{00000000-0005-0000-0000-0000CD4D0000}"/>
    <cellStyle name="RowTitles-Detail 2 7 6 2 2" xfId="19899" xr:uid="{00000000-0005-0000-0000-0000CE4D0000}"/>
    <cellStyle name="RowTitles-Detail 2 7 6 2 2 2" xfId="19900" xr:uid="{00000000-0005-0000-0000-0000CF4D0000}"/>
    <cellStyle name="RowTitles-Detail 2 7 6 2 2_Tertiary Salaries Survey" xfId="19901" xr:uid="{00000000-0005-0000-0000-0000D04D0000}"/>
    <cellStyle name="RowTitles-Detail 2 7 6 2 3" xfId="19902" xr:uid="{00000000-0005-0000-0000-0000D14D0000}"/>
    <cellStyle name="RowTitles-Detail 2 7 6 2_Tertiary Salaries Survey" xfId="19903" xr:uid="{00000000-0005-0000-0000-0000D24D0000}"/>
    <cellStyle name="RowTitles-Detail 2 7 6 3" xfId="19904" xr:uid="{00000000-0005-0000-0000-0000D34D0000}"/>
    <cellStyle name="RowTitles-Detail 2 7 6 3 2" xfId="19905" xr:uid="{00000000-0005-0000-0000-0000D44D0000}"/>
    <cellStyle name="RowTitles-Detail 2 7 6 3 2 2" xfId="19906" xr:uid="{00000000-0005-0000-0000-0000D54D0000}"/>
    <cellStyle name="RowTitles-Detail 2 7 6 3 2_Tertiary Salaries Survey" xfId="19907" xr:uid="{00000000-0005-0000-0000-0000D64D0000}"/>
    <cellStyle name="RowTitles-Detail 2 7 6 3 3" xfId="19908" xr:uid="{00000000-0005-0000-0000-0000D74D0000}"/>
    <cellStyle name="RowTitles-Detail 2 7 6 3_Tertiary Salaries Survey" xfId="19909" xr:uid="{00000000-0005-0000-0000-0000D84D0000}"/>
    <cellStyle name="RowTitles-Detail 2 7 6 4" xfId="19910" xr:uid="{00000000-0005-0000-0000-0000D94D0000}"/>
    <cellStyle name="RowTitles-Detail 2 7 6 4 2" xfId="19911" xr:uid="{00000000-0005-0000-0000-0000DA4D0000}"/>
    <cellStyle name="RowTitles-Detail 2 7 6 4_Tertiary Salaries Survey" xfId="19912" xr:uid="{00000000-0005-0000-0000-0000DB4D0000}"/>
    <cellStyle name="RowTitles-Detail 2 7 6 5" xfId="19913" xr:uid="{00000000-0005-0000-0000-0000DC4D0000}"/>
    <cellStyle name="RowTitles-Detail 2 7 6_Tertiary Salaries Survey" xfId="19914" xr:uid="{00000000-0005-0000-0000-0000DD4D0000}"/>
    <cellStyle name="RowTitles-Detail 2 7 7" xfId="19915" xr:uid="{00000000-0005-0000-0000-0000DE4D0000}"/>
    <cellStyle name="RowTitles-Detail 2 7 7 2" xfId="19916" xr:uid="{00000000-0005-0000-0000-0000DF4D0000}"/>
    <cellStyle name="RowTitles-Detail 2 7 7 2 2" xfId="19917" xr:uid="{00000000-0005-0000-0000-0000E04D0000}"/>
    <cellStyle name="RowTitles-Detail 2 7 7 2_Tertiary Salaries Survey" xfId="19918" xr:uid="{00000000-0005-0000-0000-0000E14D0000}"/>
    <cellStyle name="RowTitles-Detail 2 7 7 3" xfId="19919" xr:uid="{00000000-0005-0000-0000-0000E24D0000}"/>
    <cellStyle name="RowTitles-Detail 2 7 7_Tertiary Salaries Survey" xfId="19920" xr:uid="{00000000-0005-0000-0000-0000E34D0000}"/>
    <cellStyle name="RowTitles-Detail 2 7 8" xfId="19921" xr:uid="{00000000-0005-0000-0000-0000E44D0000}"/>
    <cellStyle name="RowTitles-Detail 2 7 8 2" xfId="19922" xr:uid="{00000000-0005-0000-0000-0000E54D0000}"/>
    <cellStyle name="RowTitles-Detail 2 7 8 2 2" xfId="19923" xr:uid="{00000000-0005-0000-0000-0000E64D0000}"/>
    <cellStyle name="RowTitles-Detail 2 7 8 2_Tertiary Salaries Survey" xfId="19924" xr:uid="{00000000-0005-0000-0000-0000E74D0000}"/>
    <cellStyle name="RowTitles-Detail 2 7 8 3" xfId="19925" xr:uid="{00000000-0005-0000-0000-0000E84D0000}"/>
    <cellStyle name="RowTitles-Detail 2 7 8_Tertiary Salaries Survey" xfId="19926" xr:uid="{00000000-0005-0000-0000-0000E94D0000}"/>
    <cellStyle name="RowTitles-Detail 2 7 9" xfId="19927" xr:uid="{00000000-0005-0000-0000-0000EA4D0000}"/>
    <cellStyle name="RowTitles-Detail 2 7_STUD aligned by INSTIT" xfId="19928" xr:uid="{00000000-0005-0000-0000-0000EB4D0000}"/>
    <cellStyle name="RowTitles-Detail 2 8" xfId="19929" xr:uid="{00000000-0005-0000-0000-0000EC4D0000}"/>
    <cellStyle name="RowTitles-Detail 2 8 2" xfId="19930" xr:uid="{00000000-0005-0000-0000-0000ED4D0000}"/>
    <cellStyle name="RowTitles-Detail 2 8 2 2" xfId="19931" xr:uid="{00000000-0005-0000-0000-0000EE4D0000}"/>
    <cellStyle name="RowTitles-Detail 2 8 2 2 2" xfId="19932" xr:uid="{00000000-0005-0000-0000-0000EF4D0000}"/>
    <cellStyle name="RowTitles-Detail 2 8 2 2_Tertiary Salaries Survey" xfId="19933" xr:uid="{00000000-0005-0000-0000-0000F04D0000}"/>
    <cellStyle name="RowTitles-Detail 2 8 2 3" xfId="19934" xr:uid="{00000000-0005-0000-0000-0000F14D0000}"/>
    <cellStyle name="RowTitles-Detail 2 8 2_Tertiary Salaries Survey" xfId="19935" xr:uid="{00000000-0005-0000-0000-0000F24D0000}"/>
    <cellStyle name="RowTitles-Detail 2 8 3" xfId="19936" xr:uid="{00000000-0005-0000-0000-0000F34D0000}"/>
    <cellStyle name="RowTitles-Detail 2 8 3 2" xfId="19937" xr:uid="{00000000-0005-0000-0000-0000F44D0000}"/>
    <cellStyle name="RowTitles-Detail 2 8 3 2 2" xfId="19938" xr:uid="{00000000-0005-0000-0000-0000F54D0000}"/>
    <cellStyle name="RowTitles-Detail 2 8 3 2_Tertiary Salaries Survey" xfId="19939" xr:uid="{00000000-0005-0000-0000-0000F64D0000}"/>
    <cellStyle name="RowTitles-Detail 2 8 3 3" xfId="19940" xr:uid="{00000000-0005-0000-0000-0000F74D0000}"/>
    <cellStyle name="RowTitles-Detail 2 8 3_Tertiary Salaries Survey" xfId="19941" xr:uid="{00000000-0005-0000-0000-0000F84D0000}"/>
    <cellStyle name="RowTitles-Detail 2 8 4" xfId="19942" xr:uid="{00000000-0005-0000-0000-0000F94D0000}"/>
    <cellStyle name="RowTitles-Detail 2 8 5" xfId="19943" xr:uid="{00000000-0005-0000-0000-0000FA4D0000}"/>
    <cellStyle name="RowTitles-Detail 2 8 5 2" xfId="19944" xr:uid="{00000000-0005-0000-0000-0000FB4D0000}"/>
    <cellStyle name="RowTitles-Detail 2 8 5_Tertiary Salaries Survey" xfId="19945" xr:uid="{00000000-0005-0000-0000-0000FC4D0000}"/>
    <cellStyle name="RowTitles-Detail 2 8 6" xfId="19946" xr:uid="{00000000-0005-0000-0000-0000FD4D0000}"/>
    <cellStyle name="RowTitles-Detail 2 8_Tertiary Salaries Survey" xfId="19947" xr:uid="{00000000-0005-0000-0000-0000FE4D0000}"/>
    <cellStyle name="RowTitles-Detail 2 9" xfId="19948" xr:uid="{00000000-0005-0000-0000-0000FF4D0000}"/>
    <cellStyle name="RowTitles-Detail 2 9 2" xfId="19949" xr:uid="{00000000-0005-0000-0000-0000004E0000}"/>
    <cellStyle name="RowTitles-Detail 2 9 2 2" xfId="19950" xr:uid="{00000000-0005-0000-0000-0000014E0000}"/>
    <cellStyle name="RowTitles-Detail 2 9 2 2 2" xfId="19951" xr:uid="{00000000-0005-0000-0000-0000024E0000}"/>
    <cellStyle name="RowTitles-Detail 2 9 2 2_Tertiary Salaries Survey" xfId="19952" xr:uid="{00000000-0005-0000-0000-0000034E0000}"/>
    <cellStyle name="RowTitles-Detail 2 9 2 3" xfId="19953" xr:uid="{00000000-0005-0000-0000-0000044E0000}"/>
    <cellStyle name="RowTitles-Detail 2 9 2_Tertiary Salaries Survey" xfId="19954" xr:uid="{00000000-0005-0000-0000-0000054E0000}"/>
    <cellStyle name="RowTitles-Detail 2 9 3" xfId="19955" xr:uid="{00000000-0005-0000-0000-0000064E0000}"/>
    <cellStyle name="RowTitles-Detail 2 9 3 2" xfId="19956" xr:uid="{00000000-0005-0000-0000-0000074E0000}"/>
    <cellStyle name="RowTitles-Detail 2 9 3 2 2" xfId="19957" xr:uid="{00000000-0005-0000-0000-0000084E0000}"/>
    <cellStyle name="RowTitles-Detail 2 9 3 2_Tertiary Salaries Survey" xfId="19958" xr:uid="{00000000-0005-0000-0000-0000094E0000}"/>
    <cellStyle name="RowTitles-Detail 2 9 3 3" xfId="19959" xr:uid="{00000000-0005-0000-0000-00000A4E0000}"/>
    <cellStyle name="RowTitles-Detail 2 9 3_Tertiary Salaries Survey" xfId="19960" xr:uid="{00000000-0005-0000-0000-00000B4E0000}"/>
    <cellStyle name="RowTitles-Detail 2 9 4" xfId="19961" xr:uid="{00000000-0005-0000-0000-00000C4E0000}"/>
    <cellStyle name="RowTitles-Detail 2 9 5" xfId="19962" xr:uid="{00000000-0005-0000-0000-00000D4E0000}"/>
    <cellStyle name="RowTitles-Detail 2 9_Tertiary Salaries Survey" xfId="19963" xr:uid="{00000000-0005-0000-0000-00000E4E0000}"/>
    <cellStyle name="RowTitles-Detail 2_STUD aligned by INSTIT" xfId="19964" xr:uid="{00000000-0005-0000-0000-00000F4E0000}"/>
    <cellStyle name="RowTitles-Detail 3" xfId="19965" xr:uid="{00000000-0005-0000-0000-0000104E0000}"/>
    <cellStyle name="RowTitles-Detail 3 10" xfId="19966" xr:uid="{00000000-0005-0000-0000-0000114E0000}"/>
    <cellStyle name="RowTitles-Detail 3 10 2" xfId="19967" xr:uid="{00000000-0005-0000-0000-0000124E0000}"/>
    <cellStyle name="RowTitles-Detail 3 10 2 2" xfId="19968" xr:uid="{00000000-0005-0000-0000-0000134E0000}"/>
    <cellStyle name="RowTitles-Detail 3 10 2 2 2" xfId="19969" xr:uid="{00000000-0005-0000-0000-0000144E0000}"/>
    <cellStyle name="RowTitles-Detail 3 10 2 2_Tertiary Salaries Survey" xfId="19970" xr:uid="{00000000-0005-0000-0000-0000154E0000}"/>
    <cellStyle name="RowTitles-Detail 3 10 2 3" xfId="19971" xr:uid="{00000000-0005-0000-0000-0000164E0000}"/>
    <cellStyle name="RowTitles-Detail 3 10 2_Tertiary Salaries Survey" xfId="19972" xr:uid="{00000000-0005-0000-0000-0000174E0000}"/>
    <cellStyle name="RowTitles-Detail 3 10 3" xfId="19973" xr:uid="{00000000-0005-0000-0000-0000184E0000}"/>
    <cellStyle name="RowTitles-Detail 3 10 3 2" xfId="19974" xr:uid="{00000000-0005-0000-0000-0000194E0000}"/>
    <cellStyle name="RowTitles-Detail 3 10 3 2 2" xfId="19975" xr:uid="{00000000-0005-0000-0000-00001A4E0000}"/>
    <cellStyle name="RowTitles-Detail 3 10 3 2_Tertiary Salaries Survey" xfId="19976" xr:uid="{00000000-0005-0000-0000-00001B4E0000}"/>
    <cellStyle name="RowTitles-Detail 3 10 3 3" xfId="19977" xr:uid="{00000000-0005-0000-0000-00001C4E0000}"/>
    <cellStyle name="RowTitles-Detail 3 10 3_Tertiary Salaries Survey" xfId="19978" xr:uid="{00000000-0005-0000-0000-00001D4E0000}"/>
    <cellStyle name="RowTitles-Detail 3 10 4" xfId="19979" xr:uid="{00000000-0005-0000-0000-00001E4E0000}"/>
    <cellStyle name="RowTitles-Detail 3 10 4 2" xfId="19980" xr:uid="{00000000-0005-0000-0000-00001F4E0000}"/>
    <cellStyle name="RowTitles-Detail 3 10 4_Tertiary Salaries Survey" xfId="19981" xr:uid="{00000000-0005-0000-0000-0000204E0000}"/>
    <cellStyle name="RowTitles-Detail 3 10 5" xfId="19982" xr:uid="{00000000-0005-0000-0000-0000214E0000}"/>
    <cellStyle name="RowTitles-Detail 3 10_Tertiary Salaries Survey" xfId="19983" xr:uid="{00000000-0005-0000-0000-0000224E0000}"/>
    <cellStyle name="RowTitles-Detail 3 11" xfId="19984" xr:uid="{00000000-0005-0000-0000-0000234E0000}"/>
    <cellStyle name="RowTitles-Detail 3 11 2" xfId="19985" xr:uid="{00000000-0005-0000-0000-0000244E0000}"/>
    <cellStyle name="RowTitles-Detail 3 11 2 2" xfId="19986" xr:uid="{00000000-0005-0000-0000-0000254E0000}"/>
    <cellStyle name="RowTitles-Detail 3 11 2 2 2" xfId="19987" xr:uid="{00000000-0005-0000-0000-0000264E0000}"/>
    <cellStyle name="RowTitles-Detail 3 11 2 2_Tertiary Salaries Survey" xfId="19988" xr:uid="{00000000-0005-0000-0000-0000274E0000}"/>
    <cellStyle name="RowTitles-Detail 3 11 2 3" xfId="19989" xr:uid="{00000000-0005-0000-0000-0000284E0000}"/>
    <cellStyle name="RowTitles-Detail 3 11 2_Tertiary Salaries Survey" xfId="19990" xr:uid="{00000000-0005-0000-0000-0000294E0000}"/>
    <cellStyle name="RowTitles-Detail 3 11 3" xfId="19991" xr:uid="{00000000-0005-0000-0000-00002A4E0000}"/>
    <cellStyle name="RowTitles-Detail 3 11 3 2" xfId="19992" xr:uid="{00000000-0005-0000-0000-00002B4E0000}"/>
    <cellStyle name="RowTitles-Detail 3 11 3 2 2" xfId="19993" xr:uid="{00000000-0005-0000-0000-00002C4E0000}"/>
    <cellStyle name="RowTitles-Detail 3 11 3 2_Tertiary Salaries Survey" xfId="19994" xr:uid="{00000000-0005-0000-0000-00002D4E0000}"/>
    <cellStyle name="RowTitles-Detail 3 11 3 3" xfId="19995" xr:uid="{00000000-0005-0000-0000-00002E4E0000}"/>
    <cellStyle name="RowTitles-Detail 3 11 3_Tertiary Salaries Survey" xfId="19996" xr:uid="{00000000-0005-0000-0000-00002F4E0000}"/>
    <cellStyle name="RowTitles-Detail 3 11 4" xfId="19997" xr:uid="{00000000-0005-0000-0000-0000304E0000}"/>
    <cellStyle name="RowTitles-Detail 3 11 4 2" xfId="19998" xr:uid="{00000000-0005-0000-0000-0000314E0000}"/>
    <cellStyle name="RowTitles-Detail 3 11 4_Tertiary Salaries Survey" xfId="19999" xr:uid="{00000000-0005-0000-0000-0000324E0000}"/>
    <cellStyle name="RowTitles-Detail 3 11 5" xfId="20000" xr:uid="{00000000-0005-0000-0000-0000334E0000}"/>
    <cellStyle name="RowTitles-Detail 3 11_Tertiary Salaries Survey" xfId="20001" xr:uid="{00000000-0005-0000-0000-0000344E0000}"/>
    <cellStyle name="RowTitles-Detail 3 12" xfId="20002" xr:uid="{00000000-0005-0000-0000-0000354E0000}"/>
    <cellStyle name="RowTitles-Detail 3 12 2" xfId="20003" xr:uid="{00000000-0005-0000-0000-0000364E0000}"/>
    <cellStyle name="RowTitles-Detail 3 12 2 2" xfId="20004" xr:uid="{00000000-0005-0000-0000-0000374E0000}"/>
    <cellStyle name="RowTitles-Detail 3 12 2_Tertiary Salaries Survey" xfId="20005" xr:uid="{00000000-0005-0000-0000-0000384E0000}"/>
    <cellStyle name="RowTitles-Detail 3 12 3" xfId="20006" xr:uid="{00000000-0005-0000-0000-0000394E0000}"/>
    <cellStyle name="RowTitles-Detail 3 12_Tertiary Salaries Survey" xfId="20007" xr:uid="{00000000-0005-0000-0000-00003A4E0000}"/>
    <cellStyle name="RowTitles-Detail 3 13" xfId="20008" xr:uid="{00000000-0005-0000-0000-00003B4E0000}"/>
    <cellStyle name="RowTitles-Detail 3 14" xfId="20009" xr:uid="{00000000-0005-0000-0000-00003C4E0000}"/>
    <cellStyle name="RowTitles-Detail 3 15" xfId="20010" xr:uid="{00000000-0005-0000-0000-00003D4E0000}"/>
    <cellStyle name="RowTitles-Detail 3 2" xfId="20011" xr:uid="{00000000-0005-0000-0000-00003E4E0000}"/>
    <cellStyle name="RowTitles-Detail 3 2 10" xfId="20012" xr:uid="{00000000-0005-0000-0000-00003F4E0000}"/>
    <cellStyle name="RowTitles-Detail 3 2 10 2" xfId="20013" xr:uid="{00000000-0005-0000-0000-0000404E0000}"/>
    <cellStyle name="RowTitles-Detail 3 2 10 2 2" xfId="20014" xr:uid="{00000000-0005-0000-0000-0000414E0000}"/>
    <cellStyle name="RowTitles-Detail 3 2 10 2 2 2" xfId="20015" xr:uid="{00000000-0005-0000-0000-0000424E0000}"/>
    <cellStyle name="RowTitles-Detail 3 2 10 2 2_Tertiary Salaries Survey" xfId="20016" xr:uid="{00000000-0005-0000-0000-0000434E0000}"/>
    <cellStyle name="RowTitles-Detail 3 2 10 2 3" xfId="20017" xr:uid="{00000000-0005-0000-0000-0000444E0000}"/>
    <cellStyle name="RowTitles-Detail 3 2 10 2_Tertiary Salaries Survey" xfId="20018" xr:uid="{00000000-0005-0000-0000-0000454E0000}"/>
    <cellStyle name="RowTitles-Detail 3 2 10 3" xfId="20019" xr:uid="{00000000-0005-0000-0000-0000464E0000}"/>
    <cellStyle name="RowTitles-Detail 3 2 10 3 2" xfId="20020" xr:uid="{00000000-0005-0000-0000-0000474E0000}"/>
    <cellStyle name="RowTitles-Detail 3 2 10 3 2 2" xfId="20021" xr:uid="{00000000-0005-0000-0000-0000484E0000}"/>
    <cellStyle name="RowTitles-Detail 3 2 10 3 2_Tertiary Salaries Survey" xfId="20022" xr:uid="{00000000-0005-0000-0000-0000494E0000}"/>
    <cellStyle name="RowTitles-Detail 3 2 10 3 3" xfId="20023" xr:uid="{00000000-0005-0000-0000-00004A4E0000}"/>
    <cellStyle name="RowTitles-Detail 3 2 10 3_Tertiary Salaries Survey" xfId="20024" xr:uid="{00000000-0005-0000-0000-00004B4E0000}"/>
    <cellStyle name="RowTitles-Detail 3 2 10 4" xfId="20025" xr:uid="{00000000-0005-0000-0000-00004C4E0000}"/>
    <cellStyle name="RowTitles-Detail 3 2 10 4 2" xfId="20026" xr:uid="{00000000-0005-0000-0000-00004D4E0000}"/>
    <cellStyle name="RowTitles-Detail 3 2 10 4_Tertiary Salaries Survey" xfId="20027" xr:uid="{00000000-0005-0000-0000-00004E4E0000}"/>
    <cellStyle name="RowTitles-Detail 3 2 10 5" xfId="20028" xr:uid="{00000000-0005-0000-0000-00004F4E0000}"/>
    <cellStyle name="RowTitles-Detail 3 2 10_Tertiary Salaries Survey" xfId="20029" xr:uid="{00000000-0005-0000-0000-0000504E0000}"/>
    <cellStyle name="RowTitles-Detail 3 2 11" xfId="20030" xr:uid="{00000000-0005-0000-0000-0000514E0000}"/>
    <cellStyle name="RowTitles-Detail 3 2 11 2" xfId="20031" xr:uid="{00000000-0005-0000-0000-0000524E0000}"/>
    <cellStyle name="RowTitles-Detail 3 2 11 2 2" xfId="20032" xr:uid="{00000000-0005-0000-0000-0000534E0000}"/>
    <cellStyle name="RowTitles-Detail 3 2 11 2_Tertiary Salaries Survey" xfId="20033" xr:uid="{00000000-0005-0000-0000-0000544E0000}"/>
    <cellStyle name="RowTitles-Detail 3 2 11 3" xfId="20034" xr:uid="{00000000-0005-0000-0000-0000554E0000}"/>
    <cellStyle name="RowTitles-Detail 3 2 11_Tertiary Salaries Survey" xfId="20035" xr:uid="{00000000-0005-0000-0000-0000564E0000}"/>
    <cellStyle name="RowTitles-Detail 3 2 12" xfId="20036" xr:uid="{00000000-0005-0000-0000-0000574E0000}"/>
    <cellStyle name="RowTitles-Detail 3 2 13" xfId="20037" xr:uid="{00000000-0005-0000-0000-0000584E0000}"/>
    <cellStyle name="RowTitles-Detail 3 2 2" xfId="20038" xr:uid="{00000000-0005-0000-0000-0000594E0000}"/>
    <cellStyle name="RowTitles-Detail 3 2 2 10" xfId="20039" xr:uid="{00000000-0005-0000-0000-00005A4E0000}"/>
    <cellStyle name="RowTitles-Detail 3 2 2 10 2" xfId="20040" xr:uid="{00000000-0005-0000-0000-00005B4E0000}"/>
    <cellStyle name="RowTitles-Detail 3 2 2 10 2 2" xfId="20041" xr:uid="{00000000-0005-0000-0000-00005C4E0000}"/>
    <cellStyle name="RowTitles-Detail 3 2 2 10 2_Tertiary Salaries Survey" xfId="20042" xr:uid="{00000000-0005-0000-0000-00005D4E0000}"/>
    <cellStyle name="RowTitles-Detail 3 2 2 10 3" xfId="20043" xr:uid="{00000000-0005-0000-0000-00005E4E0000}"/>
    <cellStyle name="RowTitles-Detail 3 2 2 10_Tertiary Salaries Survey" xfId="20044" xr:uid="{00000000-0005-0000-0000-00005F4E0000}"/>
    <cellStyle name="RowTitles-Detail 3 2 2 11" xfId="20045" xr:uid="{00000000-0005-0000-0000-0000604E0000}"/>
    <cellStyle name="RowTitles-Detail 3 2 2 12" xfId="20046" xr:uid="{00000000-0005-0000-0000-0000614E0000}"/>
    <cellStyle name="RowTitles-Detail 3 2 2 2" xfId="20047" xr:uid="{00000000-0005-0000-0000-0000624E0000}"/>
    <cellStyle name="RowTitles-Detail 3 2 2 2 2" xfId="20048" xr:uid="{00000000-0005-0000-0000-0000634E0000}"/>
    <cellStyle name="RowTitles-Detail 3 2 2 2 2 2" xfId="20049" xr:uid="{00000000-0005-0000-0000-0000644E0000}"/>
    <cellStyle name="RowTitles-Detail 3 2 2 2 2 2 2" xfId="20050" xr:uid="{00000000-0005-0000-0000-0000654E0000}"/>
    <cellStyle name="RowTitles-Detail 3 2 2 2 2 2 2 2" xfId="20051" xr:uid="{00000000-0005-0000-0000-0000664E0000}"/>
    <cellStyle name="RowTitles-Detail 3 2 2 2 2 2 2_Tertiary Salaries Survey" xfId="20052" xr:uid="{00000000-0005-0000-0000-0000674E0000}"/>
    <cellStyle name="RowTitles-Detail 3 2 2 2 2 2 3" xfId="20053" xr:uid="{00000000-0005-0000-0000-0000684E0000}"/>
    <cellStyle name="RowTitles-Detail 3 2 2 2 2 2_Tertiary Salaries Survey" xfId="20054" xr:uid="{00000000-0005-0000-0000-0000694E0000}"/>
    <cellStyle name="RowTitles-Detail 3 2 2 2 2 3" xfId="20055" xr:uid="{00000000-0005-0000-0000-00006A4E0000}"/>
    <cellStyle name="RowTitles-Detail 3 2 2 2 2 3 2" xfId="20056" xr:uid="{00000000-0005-0000-0000-00006B4E0000}"/>
    <cellStyle name="RowTitles-Detail 3 2 2 2 2 3 2 2" xfId="20057" xr:uid="{00000000-0005-0000-0000-00006C4E0000}"/>
    <cellStyle name="RowTitles-Detail 3 2 2 2 2 3 2_Tertiary Salaries Survey" xfId="20058" xr:uid="{00000000-0005-0000-0000-00006D4E0000}"/>
    <cellStyle name="RowTitles-Detail 3 2 2 2 2 3 3" xfId="20059" xr:uid="{00000000-0005-0000-0000-00006E4E0000}"/>
    <cellStyle name="RowTitles-Detail 3 2 2 2 2 3_Tertiary Salaries Survey" xfId="20060" xr:uid="{00000000-0005-0000-0000-00006F4E0000}"/>
    <cellStyle name="RowTitles-Detail 3 2 2 2 2 4" xfId="20061" xr:uid="{00000000-0005-0000-0000-0000704E0000}"/>
    <cellStyle name="RowTitles-Detail 3 2 2 2 2 5" xfId="20062" xr:uid="{00000000-0005-0000-0000-0000714E0000}"/>
    <cellStyle name="RowTitles-Detail 3 2 2 2 2_Tertiary Salaries Survey" xfId="20063" xr:uid="{00000000-0005-0000-0000-0000724E0000}"/>
    <cellStyle name="RowTitles-Detail 3 2 2 2 3" xfId="20064" xr:uid="{00000000-0005-0000-0000-0000734E0000}"/>
    <cellStyle name="RowTitles-Detail 3 2 2 2 3 2" xfId="20065" xr:uid="{00000000-0005-0000-0000-0000744E0000}"/>
    <cellStyle name="RowTitles-Detail 3 2 2 2 3 2 2" xfId="20066" xr:uid="{00000000-0005-0000-0000-0000754E0000}"/>
    <cellStyle name="RowTitles-Detail 3 2 2 2 3 2 2 2" xfId="20067" xr:uid="{00000000-0005-0000-0000-0000764E0000}"/>
    <cellStyle name="RowTitles-Detail 3 2 2 2 3 2 2_Tertiary Salaries Survey" xfId="20068" xr:uid="{00000000-0005-0000-0000-0000774E0000}"/>
    <cellStyle name="RowTitles-Detail 3 2 2 2 3 2 3" xfId="20069" xr:uid="{00000000-0005-0000-0000-0000784E0000}"/>
    <cellStyle name="RowTitles-Detail 3 2 2 2 3 2_Tertiary Salaries Survey" xfId="20070" xr:uid="{00000000-0005-0000-0000-0000794E0000}"/>
    <cellStyle name="RowTitles-Detail 3 2 2 2 3 3" xfId="20071" xr:uid="{00000000-0005-0000-0000-00007A4E0000}"/>
    <cellStyle name="RowTitles-Detail 3 2 2 2 3 3 2" xfId="20072" xr:uid="{00000000-0005-0000-0000-00007B4E0000}"/>
    <cellStyle name="RowTitles-Detail 3 2 2 2 3 3 2 2" xfId="20073" xr:uid="{00000000-0005-0000-0000-00007C4E0000}"/>
    <cellStyle name="RowTitles-Detail 3 2 2 2 3 3 2_Tertiary Salaries Survey" xfId="20074" xr:uid="{00000000-0005-0000-0000-00007D4E0000}"/>
    <cellStyle name="RowTitles-Detail 3 2 2 2 3 3 3" xfId="20075" xr:uid="{00000000-0005-0000-0000-00007E4E0000}"/>
    <cellStyle name="RowTitles-Detail 3 2 2 2 3 3_Tertiary Salaries Survey" xfId="20076" xr:uid="{00000000-0005-0000-0000-00007F4E0000}"/>
    <cellStyle name="RowTitles-Detail 3 2 2 2 3 4" xfId="20077" xr:uid="{00000000-0005-0000-0000-0000804E0000}"/>
    <cellStyle name="RowTitles-Detail 3 2 2 2 3 5" xfId="20078" xr:uid="{00000000-0005-0000-0000-0000814E0000}"/>
    <cellStyle name="RowTitles-Detail 3 2 2 2 3 5 2" xfId="20079" xr:uid="{00000000-0005-0000-0000-0000824E0000}"/>
    <cellStyle name="RowTitles-Detail 3 2 2 2 3 5_Tertiary Salaries Survey" xfId="20080" xr:uid="{00000000-0005-0000-0000-0000834E0000}"/>
    <cellStyle name="RowTitles-Detail 3 2 2 2 3 6" xfId="20081" xr:uid="{00000000-0005-0000-0000-0000844E0000}"/>
    <cellStyle name="RowTitles-Detail 3 2 2 2 3_Tertiary Salaries Survey" xfId="20082" xr:uid="{00000000-0005-0000-0000-0000854E0000}"/>
    <cellStyle name="RowTitles-Detail 3 2 2 2 4" xfId="20083" xr:uid="{00000000-0005-0000-0000-0000864E0000}"/>
    <cellStyle name="RowTitles-Detail 3 2 2 2 4 2" xfId="20084" xr:uid="{00000000-0005-0000-0000-0000874E0000}"/>
    <cellStyle name="RowTitles-Detail 3 2 2 2 4 2 2" xfId="20085" xr:uid="{00000000-0005-0000-0000-0000884E0000}"/>
    <cellStyle name="RowTitles-Detail 3 2 2 2 4 2 2 2" xfId="20086" xr:uid="{00000000-0005-0000-0000-0000894E0000}"/>
    <cellStyle name="RowTitles-Detail 3 2 2 2 4 2 2_Tertiary Salaries Survey" xfId="20087" xr:uid="{00000000-0005-0000-0000-00008A4E0000}"/>
    <cellStyle name="RowTitles-Detail 3 2 2 2 4 2 3" xfId="20088" xr:uid="{00000000-0005-0000-0000-00008B4E0000}"/>
    <cellStyle name="RowTitles-Detail 3 2 2 2 4 2_Tertiary Salaries Survey" xfId="20089" xr:uid="{00000000-0005-0000-0000-00008C4E0000}"/>
    <cellStyle name="RowTitles-Detail 3 2 2 2 4 3" xfId="20090" xr:uid="{00000000-0005-0000-0000-00008D4E0000}"/>
    <cellStyle name="RowTitles-Detail 3 2 2 2 4 3 2" xfId="20091" xr:uid="{00000000-0005-0000-0000-00008E4E0000}"/>
    <cellStyle name="RowTitles-Detail 3 2 2 2 4 3 2 2" xfId="20092" xr:uid="{00000000-0005-0000-0000-00008F4E0000}"/>
    <cellStyle name="RowTitles-Detail 3 2 2 2 4 3 2_Tertiary Salaries Survey" xfId="20093" xr:uid="{00000000-0005-0000-0000-0000904E0000}"/>
    <cellStyle name="RowTitles-Detail 3 2 2 2 4 3 3" xfId="20094" xr:uid="{00000000-0005-0000-0000-0000914E0000}"/>
    <cellStyle name="RowTitles-Detail 3 2 2 2 4 3_Tertiary Salaries Survey" xfId="20095" xr:uid="{00000000-0005-0000-0000-0000924E0000}"/>
    <cellStyle name="RowTitles-Detail 3 2 2 2 4 4" xfId="20096" xr:uid="{00000000-0005-0000-0000-0000934E0000}"/>
    <cellStyle name="RowTitles-Detail 3 2 2 2 4 4 2" xfId="20097" xr:uid="{00000000-0005-0000-0000-0000944E0000}"/>
    <cellStyle name="RowTitles-Detail 3 2 2 2 4 4_Tertiary Salaries Survey" xfId="20098" xr:uid="{00000000-0005-0000-0000-0000954E0000}"/>
    <cellStyle name="RowTitles-Detail 3 2 2 2 4 5" xfId="20099" xr:uid="{00000000-0005-0000-0000-0000964E0000}"/>
    <cellStyle name="RowTitles-Detail 3 2 2 2 4_Tertiary Salaries Survey" xfId="20100" xr:uid="{00000000-0005-0000-0000-0000974E0000}"/>
    <cellStyle name="RowTitles-Detail 3 2 2 2 5" xfId="20101" xr:uid="{00000000-0005-0000-0000-0000984E0000}"/>
    <cellStyle name="RowTitles-Detail 3 2 2 2 5 2" xfId="20102" xr:uid="{00000000-0005-0000-0000-0000994E0000}"/>
    <cellStyle name="RowTitles-Detail 3 2 2 2 5 2 2" xfId="20103" xr:uid="{00000000-0005-0000-0000-00009A4E0000}"/>
    <cellStyle name="RowTitles-Detail 3 2 2 2 5 2 2 2" xfId="20104" xr:uid="{00000000-0005-0000-0000-00009B4E0000}"/>
    <cellStyle name="RowTitles-Detail 3 2 2 2 5 2 2_Tertiary Salaries Survey" xfId="20105" xr:uid="{00000000-0005-0000-0000-00009C4E0000}"/>
    <cellStyle name="RowTitles-Detail 3 2 2 2 5 2 3" xfId="20106" xr:uid="{00000000-0005-0000-0000-00009D4E0000}"/>
    <cellStyle name="RowTitles-Detail 3 2 2 2 5 2_Tertiary Salaries Survey" xfId="20107" xr:uid="{00000000-0005-0000-0000-00009E4E0000}"/>
    <cellStyle name="RowTitles-Detail 3 2 2 2 5 3" xfId="20108" xr:uid="{00000000-0005-0000-0000-00009F4E0000}"/>
    <cellStyle name="RowTitles-Detail 3 2 2 2 5 3 2" xfId="20109" xr:uid="{00000000-0005-0000-0000-0000A04E0000}"/>
    <cellStyle name="RowTitles-Detail 3 2 2 2 5 3 2 2" xfId="20110" xr:uid="{00000000-0005-0000-0000-0000A14E0000}"/>
    <cellStyle name="RowTitles-Detail 3 2 2 2 5 3 2_Tertiary Salaries Survey" xfId="20111" xr:uid="{00000000-0005-0000-0000-0000A24E0000}"/>
    <cellStyle name="RowTitles-Detail 3 2 2 2 5 3 3" xfId="20112" xr:uid="{00000000-0005-0000-0000-0000A34E0000}"/>
    <cellStyle name="RowTitles-Detail 3 2 2 2 5 3_Tertiary Salaries Survey" xfId="20113" xr:uid="{00000000-0005-0000-0000-0000A44E0000}"/>
    <cellStyle name="RowTitles-Detail 3 2 2 2 5 4" xfId="20114" xr:uid="{00000000-0005-0000-0000-0000A54E0000}"/>
    <cellStyle name="RowTitles-Detail 3 2 2 2 5 4 2" xfId="20115" xr:uid="{00000000-0005-0000-0000-0000A64E0000}"/>
    <cellStyle name="RowTitles-Detail 3 2 2 2 5 4_Tertiary Salaries Survey" xfId="20116" xr:uid="{00000000-0005-0000-0000-0000A74E0000}"/>
    <cellStyle name="RowTitles-Detail 3 2 2 2 5 5" xfId="20117" xr:uid="{00000000-0005-0000-0000-0000A84E0000}"/>
    <cellStyle name="RowTitles-Detail 3 2 2 2 5_Tertiary Salaries Survey" xfId="20118" xr:uid="{00000000-0005-0000-0000-0000A94E0000}"/>
    <cellStyle name="RowTitles-Detail 3 2 2 2 6" xfId="20119" xr:uid="{00000000-0005-0000-0000-0000AA4E0000}"/>
    <cellStyle name="RowTitles-Detail 3 2 2 2 6 2" xfId="20120" xr:uid="{00000000-0005-0000-0000-0000AB4E0000}"/>
    <cellStyle name="RowTitles-Detail 3 2 2 2 6 2 2" xfId="20121" xr:uid="{00000000-0005-0000-0000-0000AC4E0000}"/>
    <cellStyle name="RowTitles-Detail 3 2 2 2 6 2 2 2" xfId="20122" xr:uid="{00000000-0005-0000-0000-0000AD4E0000}"/>
    <cellStyle name="RowTitles-Detail 3 2 2 2 6 2 2_Tertiary Salaries Survey" xfId="20123" xr:uid="{00000000-0005-0000-0000-0000AE4E0000}"/>
    <cellStyle name="RowTitles-Detail 3 2 2 2 6 2 3" xfId="20124" xr:uid="{00000000-0005-0000-0000-0000AF4E0000}"/>
    <cellStyle name="RowTitles-Detail 3 2 2 2 6 2_Tertiary Salaries Survey" xfId="20125" xr:uid="{00000000-0005-0000-0000-0000B04E0000}"/>
    <cellStyle name="RowTitles-Detail 3 2 2 2 6 3" xfId="20126" xr:uid="{00000000-0005-0000-0000-0000B14E0000}"/>
    <cellStyle name="RowTitles-Detail 3 2 2 2 6 3 2" xfId="20127" xr:uid="{00000000-0005-0000-0000-0000B24E0000}"/>
    <cellStyle name="RowTitles-Detail 3 2 2 2 6 3 2 2" xfId="20128" xr:uid="{00000000-0005-0000-0000-0000B34E0000}"/>
    <cellStyle name="RowTitles-Detail 3 2 2 2 6 3 2_Tertiary Salaries Survey" xfId="20129" xr:uid="{00000000-0005-0000-0000-0000B44E0000}"/>
    <cellStyle name="RowTitles-Detail 3 2 2 2 6 3 3" xfId="20130" xr:uid="{00000000-0005-0000-0000-0000B54E0000}"/>
    <cellStyle name="RowTitles-Detail 3 2 2 2 6 3_Tertiary Salaries Survey" xfId="20131" xr:uid="{00000000-0005-0000-0000-0000B64E0000}"/>
    <cellStyle name="RowTitles-Detail 3 2 2 2 6 4" xfId="20132" xr:uid="{00000000-0005-0000-0000-0000B74E0000}"/>
    <cellStyle name="RowTitles-Detail 3 2 2 2 6 4 2" xfId="20133" xr:uid="{00000000-0005-0000-0000-0000B84E0000}"/>
    <cellStyle name="RowTitles-Detail 3 2 2 2 6 4_Tertiary Salaries Survey" xfId="20134" xr:uid="{00000000-0005-0000-0000-0000B94E0000}"/>
    <cellStyle name="RowTitles-Detail 3 2 2 2 6 5" xfId="20135" xr:uid="{00000000-0005-0000-0000-0000BA4E0000}"/>
    <cellStyle name="RowTitles-Detail 3 2 2 2 6_Tertiary Salaries Survey" xfId="20136" xr:uid="{00000000-0005-0000-0000-0000BB4E0000}"/>
    <cellStyle name="RowTitles-Detail 3 2 2 2 7" xfId="20137" xr:uid="{00000000-0005-0000-0000-0000BC4E0000}"/>
    <cellStyle name="RowTitles-Detail 3 2 2 2 7 2" xfId="20138" xr:uid="{00000000-0005-0000-0000-0000BD4E0000}"/>
    <cellStyle name="RowTitles-Detail 3 2 2 2 7 2 2" xfId="20139" xr:uid="{00000000-0005-0000-0000-0000BE4E0000}"/>
    <cellStyle name="RowTitles-Detail 3 2 2 2 7 2_Tertiary Salaries Survey" xfId="20140" xr:uid="{00000000-0005-0000-0000-0000BF4E0000}"/>
    <cellStyle name="RowTitles-Detail 3 2 2 2 7 3" xfId="20141" xr:uid="{00000000-0005-0000-0000-0000C04E0000}"/>
    <cellStyle name="RowTitles-Detail 3 2 2 2 7_Tertiary Salaries Survey" xfId="20142" xr:uid="{00000000-0005-0000-0000-0000C14E0000}"/>
    <cellStyle name="RowTitles-Detail 3 2 2 2 8" xfId="20143" xr:uid="{00000000-0005-0000-0000-0000C24E0000}"/>
    <cellStyle name="RowTitles-Detail 3 2 2 2 9" xfId="20144" xr:uid="{00000000-0005-0000-0000-0000C34E0000}"/>
    <cellStyle name="RowTitles-Detail 3 2 2 2_STUD aligned by INSTIT" xfId="20145" xr:uid="{00000000-0005-0000-0000-0000C44E0000}"/>
    <cellStyle name="RowTitles-Detail 3 2 2 3" xfId="20146" xr:uid="{00000000-0005-0000-0000-0000C54E0000}"/>
    <cellStyle name="RowTitles-Detail 3 2 2 3 2" xfId="20147" xr:uid="{00000000-0005-0000-0000-0000C64E0000}"/>
    <cellStyle name="RowTitles-Detail 3 2 2 3 2 2" xfId="20148" xr:uid="{00000000-0005-0000-0000-0000C74E0000}"/>
    <cellStyle name="RowTitles-Detail 3 2 2 3 2 2 2" xfId="20149" xr:uid="{00000000-0005-0000-0000-0000C84E0000}"/>
    <cellStyle name="RowTitles-Detail 3 2 2 3 2 2 2 2" xfId="20150" xr:uid="{00000000-0005-0000-0000-0000C94E0000}"/>
    <cellStyle name="RowTitles-Detail 3 2 2 3 2 2 2_Tertiary Salaries Survey" xfId="20151" xr:uid="{00000000-0005-0000-0000-0000CA4E0000}"/>
    <cellStyle name="RowTitles-Detail 3 2 2 3 2 2 3" xfId="20152" xr:uid="{00000000-0005-0000-0000-0000CB4E0000}"/>
    <cellStyle name="RowTitles-Detail 3 2 2 3 2 2_Tertiary Salaries Survey" xfId="20153" xr:uid="{00000000-0005-0000-0000-0000CC4E0000}"/>
    <cellStyle name="RowTitles-Detail 3 2 2 3 2 3" xfId="20154" xr:uid="{00000000-0005-0000-0000-0000CD4E0000}"/>
    <cellStyle name="RowTitles-Detail 3 2 2 3 2 3 2" xfId="20155" xr:uid="{00000000-0005-0000-0000-0000CE4E0000}"/>
    <cellStyle name="RowTitles-Detail 3 2 2 3 2 3 2 2" xfId="20156" xr:uid="{00000000-0005-0000-0000-0000CF4E0000}"/>
    <cellStyle name="RowTitles-Detail 3 2 2 3 2 3 2_Tertiary Salaries Survey" xfId="20157" xr:uid="{00000000-0005-0000-0000-0000D04E0000}"/>
    <cellStyle name="RowTitles-Detail 3 2 2 3 2 3 3" xfId="20158" xr:uid="{00000000-0005-0000-0000-0000D14E0000}"/>
    <cellStyle name="RowTitles-Detail 3 2 2 3 2 3_Tertiary Salaries Survey" xfId="20159" xr:uid="{00000000-0005-0000-0000-0000D24E0000}"/>
    <cellStyle name="RowTitles-Detail 3 2 2 3 2 4" xfId="20160" xr:uid="{00000000-0005-0000-0000-0000D34E0000}"/>
    <cellStyle name="RowTitles-Detail 3 2 2 3 2 5" xfId="20161" xr:uid="{00000000-0005-0000-0000-0000D44E0000}"/>
    <cellStyle name="RowTitles-Detail 3 2 2 3 2 5 2" xfId="20162" xr:uid="{00000000-0005-0000-0000-0000D54E0000}"/>
    <cellStyle name="RowTitles-Detail 3 2 2 3 2 5_Tertiary Salaries Survey" xfId="20163" xr:uid="{00000000-0005-0000-0000-0000D64E0000}"/>
    <cellStyle name="RowTitles-Detail 3 2 2 3 2 6" xfId="20164" xr:uid="{00000000-0005-0000-0000-0000D74E0000}"/>
    <cellStyle name="RowTitles-Detail 3 2 2 3 2_Tertiary Salaries Survey" xfId="20165" xr:uid="{00000000-0005-0000-0000-0000D84E0000}"/>
    <cellStyle name="RowTitles-Detail 3 2 2 3 3" xfId="20166" xr:uid="{00000000-0005-0000-0000-0000D94E0000}"/>
    <cellStyle name="RowTitles-Detail 3 2 2 3 3 2" xfId="20167" xr:uid="{00000000-0005-0000-0000-0000DA4E0000}"/>
    <cellStyle name="RowTitles-Detail 3 2 2 3 3 2 2" xfId="20168" xr:uid="{00000000-0005-0000-0000-0000DB4E0000}"/>
    <cellStyle name="RowTitles-Detail 3 2 2 3 3 2 2 2" xfId="20169" xr:uid="{00000000-0005-0000-0000-0000DC4E0000}"/>
    <cellStyle name="RowTitles-Detail 3 2 2 3 3 2 2_Tertiary Salaries Survey" xfId="20170" xr:uid="{00000000-0005-0000-0000-0000DD4E0000}"/>
    <cellStyle name="RowTitles-Detail 3 2 2 3 3 2 3" xfId="20171" xr:uid="{00000000-0005-0000-0000-0000DE4E0000}"/>
    <cellStyle name="RowTitles-Detail 3 2 2 3 3 2_Tertiary Salaries Survey" xfId="20172" xr:uid="{00000000-0005-0000-0000-0000DF4E0000}"/>
    <cellStyle name="RowTitles-Detail 3 2 2 3 3 3" xfId="20173" xr:uid="{00000000-0005-0000-0000-0000E04E0000}"/>
    <cellStyle name="RowTitles-Detail 3 2 2 3 3 3 2" xfId="20174" xr:uid="{00000000-0005-0000-0000-0000E14E0000}"/>
    <cellStyle name="RowTitles-Detail 3 2 2 3 3 3 2 2" xfId="20175" xr:uid="{00000000-0005-0000-0000-0000E24E0000}"/>
    <cellStyle name="RowTitles-Detail 3 2 2 3 3 3 2_Tertiary Salaries Survey" xfId="20176" xr:uid="{00000000-0005-0000-0000-0000E34E0000}"/>
    <cellStyle name="RowTitles-Detail 3 2 2 3 3 3 3" xfId="20177" xr:uid="{00000000-0005-0000-0000-0000E44E0000}"/>
    <cellStyle name="RowTitles-Detail 3 2 2 3 3 3_Tertiary Salaries Survey" xfId="20178" xr:uid="{00000000-0005-0000-0000-0000E54E0000}"/>
    <cellStyle name="RowTitles-Detail 3 2 2 3 3 4" xfId="20179" xr:uid="{00000000-0005-0000-0000-0000E64E0000}"/>
    <cellStyle name="RowTitles-Detail 3 2 2 3 3 5" xfId="20180" xr:uid="{00000000-0005-0000-0000-0000E74E0000}"/>
    <cellStyle name="RowTitles-Detail 3 2 2 3 3_Tertiary Salaries Survey" xfId="20181" xr:uid="{00000000-0005-0000-0000-0000E84E0000}"/>
    <cellStyle name="RowTitles-Detail 3 2 2 3 4" xfId="20182" xr:uid="{00000000-0005-0000-0000-0000E94E0000}"/>
    <cellStyle name="RowTitles-Detail 3 2 2 3 4 2" xfId="20183" xr:uid="{00000000-0005-0000-0000-0000EA4E0000}"/>
    <cellStyle name="RowTitles-Detail 3 2 2 3 4 2 2" xfId="20184" xr:uid="{00000000-0005-0000-0000-0000EB4E0000}"/>
    <cellStyle name="RowTitles-Detail 3 2 2 3 4 2 2 2" xfId="20185" xr:uid="{00000000-0005-0000-0000-0000EC4E0000}"/>
    <cellStyle name="RowTitles-Detail 3 2 2 3 4 2 2_Tertiary Salaries Survey" xfId="20186" xr:uid="{00000000-0005-0000-0000-0000ED4E0000}"/>
    <cellStyle name="RowTitles-Detail 3 2 2 3 4 2 3" xfId="20187" xr:uid="{00000000-0005-0000-0000-0000EE4E0000}"/>
    <cellStyle name="RowTitles-Detail 3 2 2 3 4 2_Tertiary Salaries Survey" xfId="20188" xr:uid="{00000000-0005-0000-0000-0000EF4E0000}"/>
    <cellStyle name="RowTitles-Detail 3 2 2 3 4 3" xfId="20189" xr:uid="{00000000-0005-0000-0000-0000F04E0000}"/>
    <cellStyle name="RowTitles-Detail 3 2 2 3 4 3 2" xfId="20190" xr:uid="{00000000-0005-0000-0000-0000F14E0000}"/>
    <cellStyle name="RowTitles-Detail 3 2 2 3 4 3 2 2" xfId="20191" xr:uid="{00000000-0005-0000-0000-0000F24E0000}"/>
    <cellStyle name="RowTitles-Detail 3 2 2 3 4 3 2_Tertiary Salaries Survey" xfId="20192" xr:uid="{00000000-0005-0000-0000-0000F34E0000}"/>
    <cellStyle name="RowTitles-Detail 3 2 2 3 4 3 3" xfId="20193" xr:uid="{00000000-0005-0000-0000-0000F44E0000}"/>
    <cellStyle name="RowTitles-Detail 3 2 2 3 4 3_Tertiary Salaries Survey" xfId="20194" xr:uid="{00000000-0005-0000-0000-0000F54E0000}"/>
    <cellStyle name="RowTitles-Detail 3 2 2 3 4 4" xfId="20195" xr:uid="{00000000-0005-0000-0000-0000F64E0000}"/>
    <cellStyle name="RowTitles-Detail 3 2 2 3 4 4 2" xfId="20196" xr:uid="{00000000-0005-0000-0000-0000F74E0000}"/>
    <cellStyle name="RowTitles-Detail 3 2 2 3 4 4_Tertiary Salaries Survey" xfId="20197" xr:uid="{00000000-0005-0000-0000-0000F84E0000}"/>
    <cellStyle name="RowTitles-Detail 3 2 2 3 4 5" xfId="20198" xr:uid="{00000000-0005-0000-0000-0000F94E0000}"/>
    <cellStyle name="RowTitles-Detail 3 2 2 3 4_Tertiary Salaries Survey" xfId="20199" xr:uid="{00000000-0005-0000-0000-0000FA4E0000}"/>
    <cellStyle name="RowTitles-Detail 3 2 2 3 5" xfId="20200" xr:uid="{00000000-0005-0000-0000-0000FB4E0000}"/>
    <cellStyle name="RowTitles-Detail 3 2 2 3 5 2" xfId="20201" xr:uid="{00000000-0005-0000-0000-0000FC4E0000}"/>
    <cellStyle name="RowTitles-Detail 3 2 2 3 5 2 2" xfId="20202" xr:uid="{00000000-0005-0000-0000-0000FD4E0000}"/>
    <cellStyle name="RowTitles-Detail 3 2 2 3 5 2 2 2" xfId="20203" xr:uid="{00000000-0005-0000-0000-0000FE4E0000}"/>
    <cellStyle name="RowTitles-Detail 3 2 2 3 5 2 2_Tertiary Salaries Survey" xfId="20204" xr:uid="{00000000-0005-0000-0000-0000FF4E0000}"/>
    <cellStyle name="RowTitles-Detail 3 2 2 3 5 2 3" xfId="20205" xr:uid="{00000000-0005-0000-0000-0000004F0000}"/>
    <cellStyle name="RowTitles-Detail 3 2 2 3 5 2_Tertiary Salaries Survey" xfId="20206" xr:uid="{00000000-0005-0000-0000-0000014F0000}"/>
    <cellStyle name="RowTitles-Detail 3 2 2 3 5 3" xfId="20207" xr:uid="{00000000-0005-0000-0000-0000024F0000}"/>
    <cellStyle name="RowTitles-Detail 3 2 2 3 5 3 2" xfId="20208" xr:uid="{00000000-0005-0000-0000-0000034F0000}"/>
    <cellStyle name="RowTitles-Detail 3 2 2 3 5 3 2 2" xfId="20209" xr:uid="{00000000-0005-0000-0000-0000044F0000}"/>
    <cellStyle name="RowTitles-Detail 3 2 2 3 5 3 2_Tertiary Salaries Survey" xfId="20210" xr:uid="{00000000-0005-0000-0000-0000054F0000}"/>
    <cellStyle name="RowTitles-Detail 3 2 2 3 5 3 3" xfId="20211" xr:uid="{00000000-0005-0000-0000-0000064F0000}"/>
    <cellStyle name="RowTitles-Detail 3 2 2 3 5 3_Tertiary Salaries Survey" xfId="20212" xr:uid="{00000000-0005-0000-0000-0000074F0000}"/>
    <cellStyle name="RowTitles-Detail 3 2 2 3 5 4" xfId="20213" xr:uid="{00000000-0005-0000-0000-0000084F0000}"/>
    <cellStyle name="RowTitles-Detail 3 2 2 3 5 4 2" xfId="20214" xr:uid="{00000000-0005-0000-0000-0000094F0000}"/>
    <cellStyle name="RowTitles-Detail 3 2 2 3 5 4_Tertiary Salaries Survey" xfId="20215" xr:uid="{00000000-0005-0000-0000-00000A4F0000}"/>
    <cellStyle name="RowTitles-Detail 3 2 2 3 5 5" xfId="20216" xr:uid="{00000000-0005-0000-0000-00000B4F0000}"/>
    <cellStyle name="RowTitles-Detail 3 2 2 3 5_Tertiary Salaries Survey" xfId="20217" xr:uid="{00000000-0005-0000-0000-00000C4F0000}"/>
    <cellStyle name="RowTitles-Detail 3 2 2 3 6" xfId="20218" xr:uid="{00000000-0005-0000-0000-00000D4F0000}"/>
    <cellStyle name="RowTitles-Detail 3 2 2 3 6 2" xfId="20219" xr:uid="{00000000-0005-0000-0000-00000E4F0000}"/>
    <cellStyle name="RowTitles-Detail 3 2 2 3 6 2 2" xfId="20220" xr:uid="{00000000-0005-0000-0000-00000F4F0000}"/>
    <cellStyle name="RowTitles-Detail 3 2 2 3 6 2 2 2" xfId="20221" xr:uid="{00000000-0005-0000-0000-0000104F0000}"/>
    <cellStyle name="RowTitles-Detail 3 2 2 3 6 2 2_Tertiary Salaries Survey" xfId="20222" xr:uid="{00000000-0005-0000-0000-0000114F0000}"/>
    <cellStyle name="RowTitles-Detail 3 2 2 3 6 2 3" xfId="20223" xr:uid="{00000000-0005-0000-0000-0000124F0000}"/>
    <cellStyle name="RowTitles-Detail 3 2 2 3 6 2_Tertiary Salaries Survey" xfId="20224" xr:uid="{00000000-0005-0000-0000-0000134F0000}"/>
    <cellStyle name="RowTitles-Detail 3 2 2 3 6 3" xfId="20225" xr:uid="{00000000-0005-0000-0000-0000144F0000}"/>
    <cellStyle name="RowTitles-Detail 3 2 2 3 6 3 2" xfId="20226" xr:uid="{00000000-0005-0000-0000-0000154F0000}"/>
    <cellStyle name="RowTitles-Detail 3 2 2 3 6 3 2 2" xfId="20227" xr:uid="{00000000-0005-0000-0000-0000164F0000}"/>
    <cellStyle name="RowTitles-Detail 3 2 2 3 6 3 2_Tertiary Salaries Survey" xfId="20228" xr:uid="{00000000-0005-0000-0000-0000174F0000}"/>
    <cellStyle name="RowTitles-Detail 3 2 2 3 6 3 3" xfId="20229" xr:uid="{00000000-0005-0000-0000-0000184F0000}"/>
    <cellStyle name="RowTitles-Detail 3 2 2 3 6 3_Tertiary Salaries Survey" xfId="20230" xr:uid="{00000000-0005-0000-0000-0000194F0000}"/>
    <cellStyle name="RowTitles-Detail 3 2 2 3 6 4" xfId="20231" xr:uid="{00000000-0005-0000-0000-00001A4F0000}"/>
    <cellStyle name="RowTitles-Detail 3 2 2 3 6 4 2" xfId="20232" xr:uid="{00000000-0005-0000-0000-00001B4F0000}"/>
    <cellStyle name="RowTitles-Detail 3 2 2 3 6 4_Tertiary Salaries Survey" xfId="20233" xr:uid="{00000000-0005-0000-0000-00001C4F0000}"/>
    <cellStyle name="RowTitles-Detail 3 2 2 3 6 5" xfId="20234" xr:uid="{00000000-0005-0000-0000-00001D4F0000}"/>
    <cellStyle name="RowTitles-Detail 3 2 2 3 6_Tertiary Salaries Survey" xfId="20235" xr:uid="{00000000-0005-0000-0000-00001E4F0000}"/>
    <cellStyle name="RowTitles-Detail 3 2 2 3 7" xfId="20236" xr:uid="{00000000-0005-0000-0000-00001F4F0000}"/>
    <cellStyle name="RowTitles-Detail 3 2 2 3 7 2" xfId="20237" xr:uid="{00000000-0005-0000-0000-0000204F0000}"/>
    <cellStyle name="RowTitles-Detail 3 2 2 3 7 2 2" xfId="20238" xr:uid="{00000000-0005-0000-0000-0000214F0000}"/>
    <cellStyle name="RowTitles-Detail 3 2 2 3 7 2_Tertiary Salaries Survey" xfId="20239" xr:uid="{00000000-0005-0000-0000-0000224F0000}"/>
    <cellStyle name="RowTitles-Detail 3 2 2 3 7 3" xfId="20240" xr:uid="{00000000-0005-0000-0000-0000234F0000}"/>
    <cellStyle name="RowTitles-Detail 3 2 2 3 7_Tertiary Salaries Survey" xfId="20241" xr:uid="{00000000-0005-0000-0000-0000244F0000}"/>
    <cellStyle name="RowTitles-Detail 3 2 2 3 8" xfId="20242" xr:uid="{00000000-0005-0000-0000-0000254F0000}"/>
    <cellStyle name="RowTitles-Detail 3 2 2 3 8 2" xfId="20243" xr:uid="{00000000-0005-0000-0000-0000264F0000}"/>
    <cellStyle name="RowTitles-Detail 3 2 2 3 8 2 2" xfId="20244" xr:uid="{00000000-0005-0000-0000-0000274F0000}"/>
    <cellStyle name="RowTitles-Detail 3 2 2 3 8 2_Tertiary Salaries Survey" xfId="20245" xr:uid="{00000000-0005-0000-0000-0000284F0000}"/>
    <cellStyle name="RowTitles-Detail 3 2 2 3 8 3" xfId="20246" xr:uid="{00000000-0005-0000-0000-0000294F0000}"/>
    <cellStyle name="RowTitles-Detail 3 2 2 3 8_Tertiary Salaries Survey" xfId="20247" xr:uid="{00000000-0005-0000-0000-00002A4F0000}"/>
    <cellStyle name="RowTitles-Detail 3 2 2 3 9" xfId="20248" xr:uid="{00000000-0005-0000-0000-00002B4F0000}"/>
    <cellStyle name="RowTitles-Detail 3 2 2 3_STUD aligned by INSTIT" xfId="20249" xr:uid="{00000000-0005-0000-0000-00002C4F0000}"/>
    <cellStyle name="RowTitles-Detail 3 2 2 4" xfId="20250" xr:uid="{00000000-0005-0000-0000-00002D4F0000}"/>
    <cellStyle name="RowTitles-Detail 3 2 2 4 2" xfId="20251" xr:uid="{00000000-0005-0000-0000-00002E4F0000}"/>
    <cellStyle name="RowTitles-Detail 3 2 2 4 2 2" xfId="20252" xr:uid="{00000000-0005-0000-0000-00002F4F0000}"/>
    <cellStyle name="RowTitles-Detail 3 2 2 4 2 2 2" xfId="20253" xr:uid="{00000000-0005-0000-0000-0000304F0000}"/>
    <cellStyle name="RowTitles-Detail 3 2 2 4 2 2 2 2" xfId="20254" xr:uid="{00000000-0005-0000-0000-0000314F0000}"/>
    <cellStyle name="RowTitles-Detail 3 2 2 4 2 2 2_Tertiary Salaries Survey" xfId="20255" xr:uid="{00000000-0005-0000-0000-0000324F0000}"/>
    <cellStyle name="RowTitles-Detail 3 2 2 4 2 2 3" xfId="20256" xr:uid="{00000000-0005-0000-0000-0000334F0000}"/>
    <cellStyle name="RowTitles-Detail 3 2 2 4 2 2_Tertiary Salaries Survey" xfId="20257" xr:uid="{00000000-0005-0000-0000-0000344F0000}"/>
    <cellStyle name="RowTitles-Detail 3 2 2 4 2 3" xfId="20258" xr:uid="{00000000-0005-0000-0000-0000354F0000}"/>
    <cellStyle name="RowTitles-Detail 3 2 2 4 2 3 2" xfId="20259" xr:uid="{00000000-0005-0000-0000-0000364F0000}"/>
    <cellStyle name="RowTitles-Detail 3 2 2 4 2 3 2 2" xfId="20260" xr:uid="{00000000-0005-0000-0000-0000374F0000}"/>
    <cellStyle name="RowTitles-Detail 3 2 2 4 2 3 2_Tertiary Salaries Survey" xfId="20261" xr:uid="{00000000-0005-0000-0000-0000384F0000}"/>
    <cellStyle name="RowTitles-Detail 3 2 2 4 2 3 3" xfId="20262" xr:uid="{00000000-0005-0000-0000-0000394F0000}"/>
    <cellStyle name="RowTitles-Detail 3 2 2 4 2 3_Tertiary Salaries Survey" xfId="20263" xr:uid="{00000000-0005-0000-0000-00003A4F0000}"/>
    <cellStyle name="RowTitles-Detail 3 2 2 4 2 4" xfId="20264" xr:uid="{00000000-0005-0000-0000-00003B4F0000}"/>
    <cellStyle name="RowTitles-Detail 3 2 2 4 2 5" xfId="20265" xr:uid="{00000000-0005-0000-0000-00003C4F0000}"/>
    <cellStyle name="RowTitles-Detail 3 2 2 4 2 5 2" xfId="20266" xr:uid="{00000000-0005-0000-0000-00003D4F0000}"/>
    <cellStyle name="RowTitles-Detail 3 2 2 4 2 5_Tertiary Salaries Survey" xfId="20267" xr:uid="{00000000-0005-0000-0000-00003E4F0000}"/>
    <cellStyle name="RowTitles-Detail 3 2 2 4 2 6" xfId="20268" xr:uid="{00000000-0005-0000-0000-00003F4F0000}"/>
    <cellStyle name="RowTitles-Detail 3 2 2 4 2_Tertiary Salaries Survey" xfId="20269" xr:uid="{00000000-0005-0000-0000-0000404F0000}"/>
    <cellStyle name="RowTitles-Detail 3 2 2 4 3" xfId="20270" xr:uid="{00000000-0005-0000-0000-0000414F0000}"/>
    <cellStyle name="RowTitles-Detail 3 2 2 4 3 2" xfId="20271" xr:uid="{00000000-0005-0000-0000-0000424F0000}"/>
    <cellStyle name="RowTitles-Detail 3 2 2 4 3 2 2" xfId="20272" xr:uid="{00000000-0005-0000-0000-0000434F0000}"/>
    <cellStyle name="RowTitles-Detail 3 2 2 4 3 2 2 2" xfId="20273" xr:uid="{00000000-0005-0000-0000-0000444F0000}"/>
    <cellStyle name="RowTitles-Detail 3 2 2 4 3 2 2_Tertiary Salaries Survey" xfId="20274" xr:uid="{00000000-0005-0000-0000-0000454F0000}"/>
    <cellStyle name="RowTitles-Detail 3 2 2 4 3 2 3" xfId="20275" xr:uid="{00000000-0005-0000-0000-0000464F0000}"/>
    <cellStyle name="RowTitles-Detail 3 2 2 4 3 2_Tertiary Salaries Survey" xfId="20276" xr:uid="{00000000-0005-0000-0000-0000474F0000}"/>
    <cellStyle name="RowTitles-Detail 3 2 2 4 3 3" xfId="20277" xr:uid="{00000000-0005-0000-0000-0000484F0000}"/>
    <cellStyle name="RowTitles-Detail 3 2 2 4 3 3 2" xfId="20278" xr:uid="{00000000-0005-0000-0000-0000494F0000}"/>
    <cellStyle name="RowTitles-Detail 3 2 2 4 3 3 2 2" xfId="20279" xr:uid="{00000000-0005-0000-0000-00004A4F0000}"/>
    <cellStyle name="RowTitles-Detail 3 2 2 4 3 3 2_Tertiary Salaries Survey" xfId="20280" xr:uid="{00000000-0005-0000-0000-00004B4F0000}"/>
    <cellStyle name="RowTitles-Detail 3 2 2 4 3 3 3" xfId="20281" xr:uid="{00000000-0005-0000-0000-00004C4F0000}"/>
    <cellStyle name="RowTitles-Detail 3 2 2 4 3 3_Tertiary Salaries Survey" xfId="20282" xr:uid="{00000000-0005-0000-0000-00004D4F0000}"/>
    <cellStyle name="RowTitles-Detail 3 2 2 4 3 4" xfId="20283" xr:uid="{00000000-0005-0000-0000-00004E4F0000}"/>
    <cellStyle name="RowTitles-Detail 3 2 2 4 3 5" xfId="20284" xr:uid="{00000000-0005-0000-0000-00004F4F0000}"/>
    <cellStyle name="RowTitles-Detail 3 2 2 4 3_Tertiary Salaries Survey" xfId="20285" xr:uid="{00000000-0005-0000-0000-0000504F0000}"/>
    <cellStyle name="RowTitles-Detail 3 2 2 4 4" xfId="20286" xr:uid="{00000000-0005-0000-0000-0000514F0000}"/>
    <cellStyle name="RowTitles-Detail 3 2 2 4 4 2" xfId="20287" xr:uid="{00000000-0005-0000-0000-0000524F0000}"/>
    <cellStyle name="RowTitles-Detail 3 2 2 4 4 2 2" xfId="20288" xr:uid="{00000000-0005-0000-0000-0000534F0000}"/>
    <cellStyle name="RowTitles-Detail 3 2 2 4 4 2 2 2" xfId="20289" xr:uid="{00000000-0005-0000-0000-0000544F0000}"/>
    <cellStyle name="RowTitles-Detail 3 2 2 4 4 2 2_Tertiary Salaries Survey" xfId="20290" xr:uid="{00000000-0005-0000-0000-0000554F0000}"/>
    <cellStyle name="RowTitles-Detail 3 2 2 4 4 2 3" xfId="20291" xr:uid="{00000000-0005-0000-0000-0000564F0000}"/>
    <cellStyle name="RowTitles-Detail 3 2 2 4 4 2_Tertiary Salaries Survey" xfId="20292" xr:uid="{00000000-0005-0000-0000-0000574F0000}"/>
    <cellStyle name="RowTitles-Detail 3 2 2 4 4 3" xfId="20293" xr:uid="{00000000-0005-0000-0000-0000584F0000}"/>
    <cellStyle name="RowTitles-Detail 3 2 2 4 4 3 2" xfId="20294" xr:uid="{00000000-0005-0000-0000-0000594F0000}"/>
    <cellStyle name="RowTitles-Detail 3 2 2 4 4 3 2 2" xfId="20295" xr:uid="{00000000-0005-0000-0000-00005A4F0000}"/>
    <cellStyle name="RowTitles-Detail 3 2 2 4 4 3 2_Tertiary Salaries Survey" xfId="20296" xr:uid="{00000000-0005-0000-0000-00005B4F0000}"/>
    <cellStyle name="RowTitles-Detail 3 2 2 4 4 3 3" xfId="20297" xr:uid="{00000000-0005-0000-0000-00005C4F0000}"/>
    <cellStyle name="RowTitles-Detail 3 2 2 4 4 3_Tertiary Salaries Survey" xfId="20298" xr:uid="{00000000-0005-0000-0000-00005D4F0000}"/>
    <cellStyle name="RowTitles-Detail 3 2 2 4 4 4" xfId="20299" xr:uid="{00000000-0005-0000-0000-00005E4F0000}"/>
    <cellStyle name="RowTitles-Detail 3 2 2 4 4 5" xfId="20300" xr:uid="{00000000-0005-0000-0000-00005F4F0000}"/>
    <cellStyle name="RowTitles-Detail 3 2 2 4 4 5 2" xfId="20301" xr:uid="{00000000-0005-0000-0000-0000604F0000}"/>
    <cellStyle name="RowTitles-Detail 3 2 2 4 4 5_Tertiary Salaries Survey" xfId="20302" xr:uid="{00000000-0005-0000-0000-0000614F0000}"/>
    <cellStyle name="RowTitles-Detail 3 2 2 4 4 6" xfId="20303" xr:uid="{00000000-0005-0000-0000-0000624F0000}"/>
    <cellStyle name="RowTitles-Detail 3 2 2 4 4_Tertiary Salaries Survey" xfId="20304" xr:uid="{00000000-0005-0000-0000-0000634F0000}"/>
    <cellStyle name="RowTitles-Detail 3 2 2 4 5" xfId="20305" xr:uid="{00000000-0005-0000-0000-0000644F0000}"/>
    <cellStyle name="RowTitles-Detail 3 2 2 4 5 2" xfId="20306" xr:uid="{00000000-0005-0000-0000-0000654F0000}"/>
    <cellStyle name="RowTitles-Detail 3 2 2 4 5 2 2" xfId="20307" xr:uid="{00000000-0005-0000-0000-0000664F0000}"/>
    <cellStyle name="RowTitles-Detail 3 2 2 4 5 2 2 2" xfId="20308" xr:uid="{00000000-0005-0000-0000-0000674F0000}"/>
    <cellStyle name="RowTitles-Detail 3 2 2 4 5 2 2_Tertiary Salaries Survey" xfId="20309" xr:uid="{00000000-0005-0000-0000-0000684F0000}"/>
    <cellStyle name="RowTitles-Detail 3 2 2 4 5 2 3" xfId="20310" xr:uid="{00000000-0005-0000-0000-0000694F0000}"/>
    <cellStyle name="RowTitles-Detail 3 2 2 4 5 2_Tertiary Salaries Survey" xfId="20311" xr:uid="{00000000-0005-0000-0000-00006A4F0000}"/>
    <cellStyle name="RowTitles-Detail 3 2 2 4 5 3" xfId="20312" xr:uid="{00000000-0005-0000-0000-00006B4F0000}"/>
    <cellStyle name="RowTitles-Detail 3 2 2 4 5 3 2" xfId="20313" xr:uid="{00000000-0005-0000-0000-00006C4F0000}"/>
    <cellStyle name="RowTitles-Detail 3 2 2 4 5 3 2 2" xfId="20314" xr:uid="{00000000-0005-0000-0000-00006D4F0000}"/>
    <cellStyle name="RowTitles-Detail 3 2 2 4 5 3 2_Tertiary Salaries Survey" xfId="20315" xr:uid="{00000000-0005-0000-0000-00006E4F0000}"/>
    <cellStyle name="RowTitles-Detail 3 2 2 4 5 3 3" xfId="20316" xr:uid="{00000000-0005-0000-0000-00006F4F0000}"/>
    <cellStyle name="RowTitles-Detail 3 2 2 4 5 3_Tertiary Salaries Survey" xfId="20317" xr:uid="{00000000-0005-0000-0000-0000704F0000}"/>
    <cellStyle name="RowTitles-Detail 3 2 2 4 5 4" xfId="20318" xr:uid="{00000000-0005-0000-0000-0000714F0000}"/>
    <cellStyle name="RowTitles-Detail 3 2 2 4 5 4 2" xfId="20319" xr:uid="{00000000-0005-0000-0000-0000724F0000}"/>
    <cellStyle name="RowTitles-Detail 3 2 2 4 5 4_Tertiary Salaries Survey" xfId="20320" xr:uid="{00000000-0005-0000-0000-0000734F0000}"/>
    <cellStyle name="RowTitles-Detail 3 2 2 4 5 5" xfId="20321" xr:uid="{00000000-0005-0000-0000-0000744F0000}"/>
    <cellStyle name="RowTitles-Detail 3 2 2 4 5_Tertiary Salaries Survey" xfId="20322" xr:uid="{00000000-0005-0000-0000-0000754F0000}"/>
    <cellStyle name="RowTitles-Detail 3 2 2 4 6" xfId="20323" xr:uid="{00000000-0005-0000-0000-0000764F0000}"/>
    <cellStyle name="RowTitles-Detail 3 2 2 4 6 2" xfId="20324" xr:uid="{00000000-0005-0000-0000-0000774F0000}"/>
    <cellStyle name="RowTitles-Detail 3 2 2 4 6 2 2" xfId="20325" xr:uid="{00000000-0005-0000-0000-0000784F0000}"/>
    <cellStyle name="RowTitles-Detail 3 2 2 4 6 2 2 2" xfId="20326" xr:uid="{00000000-0005-0000-0000-0000794F0000}"/>
    <cellStyle name="RowTitles-Detail 3 2 2 4 6 2 2_Tertiary Salaries Survey" xfId="20327" xr:uid="{00000000-0005-0000-0000-00007A4F0000}"/>
    <cellStyle name="RowTitles-Detail 3 2 2 4 6 2 3" xfId="20328" xr:uid="{00000000-0005-0000-0000-00007B4F0000}"/>
    <cellStyle name="RowTitles-Detail 3 2 2 4 6 2_Tertiary Salaries Survey" xfId="20329" xr:uid="{00000000-0005-0000-0000-00007C4F0000}"/>
    <cellStyle name="RowTitles-Detail 3 2 2 4 6 3" xfId="20330" xr:uid="{00000000-0005-0000-0000-00007D4F0000}"/>
    <cellStyle name="RowTitles-Detail 3 2 2 4 6 3 2" xfId="20331" xr:uid="{00000000-0005-0000-0000-00007E4F0000}"/>
    <cellStyle name="RowTitles-Detail 3 2 2 4 6 3 2 2" xfId="20332" xr:uid="{00000000-0005-0000-0000-00007F4F0000}"/>
    <cellStyle name="RowTitles-Detail 3 2 2 4 6 3 2_Tertiary Salaries Survey" xfId="20333" xr:uid="{00000000-0005-0000-0000-0000804F0000}"/>
    <cellStyle name="RowTitles-Detail 3 2 2 4 6 3 3" xfId="20334" xr:uid="{00000000-0005-0000-0000-0000814F0000}"/>
    <cellStyle name="RowTitles-Detail 3 2 2 4 6 3_Tertiary Salaries Survey" xfId="20335" xr:uid="{00000000-0005-0000-0000-0000824F0000}"/>
    <cellStyle name="RowTitles-Detail 3 2 2 4 6 4" xfId="20336" xr:uid="{00000000-0005-0000-0000-0000834F0000}"/>
    <cellStyle name="RowTitles-Detail 3 2 2 4 6 4 2" xfId="20337" xr:uid="{00000000-0005-0000-0000-0000844F0000}"/>
    <cellStyle name="RowTitles-Detail 3 2 2 4 6 4_Tertiary Salaries Survey" xfId="20338" xr:uid="{00000000-0005-0000-0000-0000854F0000}"/>
    <cellStyle name="RowTitles-Detail 3 2 2 4 6 5" xfId="20339" xr:uid="{00000000-0005-0000-0000-0000864F0000}"/>
    <cellStyle name="RowTitles-Detail 3 2 2 4 6_Tertiary Salaries Survey" xfId="20340" xr:uid="{00000000-0005-0000-0000-0000874F0000}"/>
    <cellStyle name="RowTitles-Detail 3 2 2 4 7" xfId="20341" xr:uid="{00000000-0005-0000-0000-0000884F0000}"/>
    <cellStyle name="RowTitles-Detail 3 2 2 4 7 2" xfId="20342" xr:uid="{00000000-0005-0000-0000-0000894F0000}"/>
    <cellStyle name="RowTitles-Detail 3 2 2 4 7 2 2" xfId="20343" xr:uid="{00000000-0005-0000-0000-00008A4F0000}"/>
    <cellStyle name="RowTitles-Detail 3 2 2 4 7 2_Tertiary Salaries Survey" xfId="20344" xr:uid="{00000000-0005-0000-0000-00008B4F0000}"/>
    <cellStyle name="RowTitles-Detail 3 2 2 4 7 3" xfId="20345" xr:uid="{00000000-0005-0000-0000-00008C4F0000}"/>
    <cellStyle name="RowTitles-Detail 3 2 2 4 7_Tertiary Salaries Survey" xfId="20346" xr:uid="{00000000-0005-0000-0000-00008D4F0000}"/>
    <cellStyle name="RowTitles-Detail 3 2 2 4 8" xfId="20347" xr:uid="{00000000-0005-0000-0000-00008E4F0000}"/>
    <cellStyle name="RowTitles-Detail 3 2 2 4 9" xfId="20348" xr:uid="{00000000-0005-0000-0000-00008F4F0000}"/>
    <cellStyle name="RowTitles-Detail 3 2 2 4_STUD aligned by INSTIT" xfId="20349" xr:uid="{00000000-0005-0000-0000-0000904F0000}"/>
    <cellStyle name="RowTitles-Detail 3 2 2 5" xfId="20350" xr:uid="{00000000-0005-0000-0000-0000914F0000}"/>
    <cellStyle name="RowTitles-Detail 3 2 2 5 2" xfId="20351" xr:uid="{00000000-0005-0000-0000-0000924F0000}"/>
    <cellStyle name="RowTitles-Detail 3 2 2 5 2 2" xfId="20352" xr:uid="{00000000-0005-0000-0000-0000934F0000}"/>
    <cellStyle name="RowTitles-Detail 3 2 2 5 2 2 2" xfId="20353" xr:uid="{00000000-0005-0000-0000-0000944F0000}"/>
    <cellStyle name="RowTitles-Detail 3 2 2 5 2 2_Tertiary Salaries Survey" xfId="20354" xr:uid="{00000000-0005-0000-0000-0000954F0000}"/>
    <cellStyle name="RowTitles-Detail 3 2 2 5 2 3" xfId="20355" xr:uid="{00000000-0005-0000-0000-0000964F0000}"/>
    <cellStyle name="RowTitles-Detail 3 2 2 5 2_Tertiary Salaries Survey" xfId="20356" xr:uid="{00000000-0005-0000-0000-0000974F0000}"/>
    <cellStyle name="RowTitles-Detail 3 2 2 5 3" xfId="20357" xr:uid="{00000000-0005-0000-0000-0000984F0000}"/>
    <cellStyle name="RowTitles-Detail 3 2 2 5 3 2" xfId="20358" xr:uid="{00000000-0005-0000-0000-0000994F0000}"/>
    <cellStyle name="RowTitles-Detail 3 2 2 5 3 2 2" xfId="20359" xr:uid="{00000000-0005-0000-0000-00009A4F0000}"/>
    <cellStyle name="RowTitles-Detail 3 2 2 5 3 2_Tertiary Salaries Survey" xfId="20360" xr:uid="{00000000-0005-0000-0000-00009B4F0000}"/>
    <cellStyle name="RowTitles-Detail 3 2 2 5 3 3" xfId="20361" xr:uid="{00000000-0005-0000-0000-00009C4F0000}"/>
    <cellStyle name="RowTitles-Detail 3 2 2 5 3_Tertiary Salaries Survey" xfId="20362" xr:uid="{00000000-0005-0000-0000-00009D4F0000}"/>
    <cellStyle name="RowTitles-Detail 3 2 2 5 4" xfId="20363" xr:uid="{00000000-0005-0000-0000-00009E4F0000}"/>
    <cellStyle name="RowTitles-Detail 3 2 2 5 5" xfId="20364" xr:uid="{00000000-0005-0000-0000-00009F4F0000}"/>
    <cellStyle name="RowTitles-Detail 3 2 2 5 5 2" xfId="20365" xr:uid="{00000000-0005-0000-0000-0000A04F0000}"/>
    <cellStyle name="RowTitles-Detail 3 2 2 5 5_Tertiary Salaries Survey" xfId="20366" xr:uid="{00000000-0005-0000-0000-0000A14F0000}"/>
    <cellStyle name="RowTitles-Detail 3 2 2 5 6" xfId="20367" xr:uid="{00000000-0005-0000-0000-0000A24F0000}"/>
    <cellStyle name="RowTitles-Detail 3 2 2 5_Tertiary Salaries Survey" xfId="20368" xr:uid="{00000000-0005-0000-0000-0000A34F0000}"/>
    <cellStyle name="RowTitles-Detail 3 2 2 6" xfId="20369" xr:uid="{00000000-0005-0000-0000-0000A44F0000}"/>
    <cellStyle name="RowTitles-Detail 3 2 2 6 2" xfId="20370" xr:uid="{00000000-0005-0000-0000-0000A54F0000}"/>
    <cellStyle name="RowTitles-Detail 3 2 2 6 2 2" xfId="20371" xr:uid="{00000000-0005-0000-0000-0000A64F0000}"/>
    <cellStyle name="RowTitles-Detail 3 2 2 6 2 2 2" xfId="20372" xr:uid="{00000000-0005-0000-0000-0000A74F0000}"/>
    <cellStyle name="RowTitles-Detail 3 2 2 6 2 2_Tertiary Salaries Survey" xfId="20373" xr:uid="{00000000-0005-0000-0000-0000A84F0000}"/>
    <cellStyle name="RowTitles-Detail 3 2 2 6 2 3" xfId="20374" xr:uid="{00000000-0005-0000-0000-0000A94F0000}"/>
    <cellStyle name="RowTitles-Detail 3 2 2 6 2_Tertiary Salaries Survey" xfId="20375" xr:uid="{00000000-0005-0000-0000-0000AA4F0000}"/>
    <cellStyle name="RowTitles-Detail 3 2 2 6 3" xfId="20376" xr:uid="{00000000-0005-0000-0000-0000AB4F0000}"/>
    <cellStyle name="RowTitles-Detail 3 2 2 6 3 2" xfId="20377" xr:uid="{00000000-0005-0000-0000-0000AC4F0000}"/>
    <cellStyle name="RowTitles-Detail 3 2 2 6 3 2 2" xfId="20378" xr:uid="{00000000-0005-0000-0000-0000AD4F0000}"/>
    <cellStyle name="RowTitles-Detail 3 2 2 6 3 2_Tertiary Salaries Survey" xfId="20379" xr:uid="{00000000-0005-0000-0000-0000AE4F0000}"/>
    <cellStyle name="RowTitles-Detail 3 2 2 6 3 3" xfId="20380" xr:uid="{00000000-0005-0000-0000-0000AF4F0000}"/>
    <cellStyle name="RowTitles-Detail 3 2 2 6 3_Tertiary Salaries Survey" xfId="20381" xr:uid="{00000000-0005-0000-0000-0000B04F0000}"/>
    <cellStyle name="RowTitles-Detail 3 2 2 6 4" xfId="20382" xr:uid="{00000000-0005-0000-0000-0000B14F0000}"/>
    <cellStyle name="RowTitles-Detail 3 2 2 6 5" xfId="20383" xr:uid="{00000000-0005-0000-0000-0000B24F0000}"/>
    <cellStyle name="RowTitles-Detail 3 2 2 6_Tertiary Salaries Survey" xfId="20384" xr:uid="{00000000-0005-0000-0000-0000B34F0000}"/>
    <cellStyle name="RowTitles-Detail 3 2 2 7" xfId="20385" xr:uid="{00000000-0005-0000-0000-0000B44F0000}"/>
    <cellStyle name="RowTitles-Detail 3 2 2 7 2" xfId="20386" xr:uid="{00000000-0005-0000-0000-0000B54F0000}"/>
    <cellStyle name="RowTitles-Detail 3 2 2 7 2 2" xfId="20387" xr:uid="{00000000-0005-0000-0000-0000B64F0000}"/>
    <cellStyle name="RowTitles-Detail 3 2 2 7 2 2 2" xfId="20388" xr:uid="{00000000-0005-0000-0000-0000B74F0000}"/>
    <cellStyle name="RowTitles-Detail 3 2 2 7 2 2_Tertiary Salaries Survey" xfId="20389" xr:uid="{00000000-0005-0000-0000-0000B84F0000}"/>
    <cellStyle name="RowTitles-Detail 3 2 2 7 2 3" xfId="20390" xr:uid="{00000000-0005-0000-0000-0000B94F0000}"/>
    <cellStyle name="RowTitles-Detail 3 2 2 7 2_Tertiary Salaries Survey" xfId="20391" xr:uid="{00000000-0005-0000-0000-0000BA4F0000}"/>
    <cellStyle name="RowTitles-Detail 3 2 2 7 3" xfId="20392" xr:uid="{00000000-0005-0000-0000-0000BB4F0000}"/>
    <cellStyle name="RowTitles-Detail 3 2 2 7 3 2" xfId="20393" xr:uid="{00000000-0005-0000-0000-0000BC4F0000}"/>
    <cellStyle name="RowTitles-Detail 3 2 2 7 3 2 2" xfId="20394" xr:uid="{00000000-0005-0000-0000-0000BD4F0000}"/>
    <cellStyle name="RowTitles-Detail 3 2 2 7 3 2_Tertiary Salaries Survey" xfId="20395" xr:uid="{00000000-0005-0000-0000-0000BE4F0000}"/>
    <cellStyle name="RowTitles-Detail 3 2 2 7 3 3" xfId="20396" xr:uid="{00000000-0005-0000-0000-0000BF4F0000}"/>
    <cellStyle name="RowTitles-Detail 3 2 2 7 3_Tertiary Salaries Survey" xfId="20397" xr:uid="{00000000-0005-0000-0000-0000C04F0000}"/>
    <cellStyle name="RowTitles-Detail 3 2 2 7 4" xfId="20398" xr:uid="{00000000-0005-0000-0000-0000C14F0000}"/>
    <cellStyle name="RowTitles-Detail 3 2 2 7 5" xfId="20399" xr:uid="{00000000-0005-0000-0000-0000C24F0000}"/>
    <cellStyle name="RowTitles-Detail 3 2 2 7 5 2" xfId="20400" xr:uid="{00000000-0005-0000-0000-0000C34F0000}"/>
    <cellStyle name="RowTitles-Detail 3 2 2 7 5_Tertiary Salaries Survey" xfId="20401" xr:uid="{00000000-0005-0000-0000-0000C44F0000}"/>
    <cellStyle name="RowTitles-Detail 3 2 2 7 6" xfId="20402" xr:uid="{00000000-0005-0000-0000-0000C54F0000}"/>
    <cellStyle name="RowTitles-Detail 3 2 2 7_Tertiary Salaries Survey" xfId="20403" xr:uid="{00000000-0005-0000-0000-0000C64F0000}"/>
    <cellStyle name="RowTitles-Detail 3 2 2 8" xfId="20404" xr:uid="{00000000-0005-0000-0000-0000C74F0000}"/>
    <cellStyle name="RowTitles-Detail 3 2 2 8 2" xfId="20405" xr:uid="{00000000-0005-0000-0000-0000C84F0000}"/>
    <cellStyle name="RowTitles-Detail 3 2 2 8 2 2" xfId="20406" xr:uid="{00000000-0005-0000-0000-0000C94F0000}"/>
    <cellStyle name="RowTitles-Detail 3 2 2 8 2 2 2" xfId="20407" xr:uid="{00000000-0005-0000-0000-0000CA4F0000}"/>
    <cellStyle name="RowTitles-Detail 3 2 2 8 2 2_Tertiary Salaries Survey" xfId="20408" xr:uid="{00000000-0005-0000-0000-0000CB4F0000}"/>
    <cellStyle name="RowTitles-Detail 3 2 2 8 2 3" xfId="20409" xr:uid="{00000000-0005-0000-0000-0000CC4F0000}"/>
    <cellStyle name="RowTitles-Detail 3 2 2 8 2_Tertiary Salaries Survey" xfId="20410" xr:uid="{00000000-0005-0000-0000-0000CD4F0000}"/>
    <cellStyle name="RowTitles-Detail 3 2 2 8 3" xfId="20411" xr:uid="{00000000-0005-0000-0000-0000CE4F0000}"/>
    <cellStyle name="RowTitles-Detail 3 2 2 8 3 2" xfId="20412" xr:uid="{00000000-0005-0000-0000-0000CF4F0000}"/>
    <cellStyle name="RowTitles-Detail 3 2 2 8 3 2 2" xfId="20413" xr:uid="{00000000-0005-0000-0000-0000D04F0000}"/>
    <cellStyle name="RowTitles-Detail 3 2 2 8 3 2_Tertiary Salaries Survey" xfId="20414" xr:uid="{00000000-0005-0000-0000-0000D14F0000}"/>
    <cellStyle name="RowTitles-Detail 3 2 2 8 3 3" xfId="20415" xr:uid="{00000000-0005-0000-0000-0000D24F0000}"/>
    <cellStyle name="RowTitles-Detail 3 2 2 8 3_Tertiary Salaries Survey" xfId="20416" xr:uid="{00000000-0005-0000-0000-0000D34F0000}"/>
    <cellStyle name="RowTitles-Detail 3 2 2 8 4" xfId="20417" xr:uid="{00000000-0005-0000-0000-0000D44F0000}"/>
    <cellStyle name="RowTitles-Detail 3 2 2 8 4 2" xfId="20418" xr:uid="{00000000-0005-0000-0000-0000D54F0000}"/>
    <cellStyle name="RowTitles-Detail 3 2 2 8 4_Tertiary Salaries Survey" xfId="20419" xr:uid="{00000000-0005-0000-0000-0000D64F0000}"/>
    <cellStyle name="RowTitles-Detail 3 2 2 8 5" xfId="20420" xr:uid="{00000000-0005-0000-0000-0000D74F0000}"/>
    <cellStyle name="RowTitles-Detail 3 2 2 8_Tertiary Salaries Survey" xfId="20421" xr:uid="{00000000-0005-0000-0000-0000D84F0000}"/>
    <cellStyle name="RowTitles-Detail 3 2 2 9" xfId="20422" xr:uid="{00000000-0005-0000-0000-0000D94F0000}"/>
    <cellStyle name="RowTitles-Detail 3 2 2 9 2" xfId="20423" xr:uid="{00000000-0005-0000-0000-0000DA4F0000}"/>
    <cellStyle name="RowTitles-Detail 3 2 2 9 2 2" xfId="20424" xr:uid="{00000000-0005-0000-0000-0000DB4F0000}"/>
    <cellStyle name="RowTitles-Detail 3 2 2 9 2 2 2" xfId="20425" xr:uid="{00000000-0005-0000-0000-0000DC4F0000}"/>
    <cellStyle name="RowTitles-Detail 3 2 2 9 2 2_Tertiary Salaries Survey" xfId="20426" xr:uid="{00000000-0005-0000-0000-0000DD4F0000}"/>
    <cellStyle name="RowTitles-Detail 3 2 2 9 2 3" xfId="20427" xr:uid="{00000000-0005-0000-0000-0000DE4F0000}"/>
    <cellStyle name="RowTitles-Detail 3 2 2 9 2_Tertiary Salaries Survey" xfId="20428" xr:uid="{00000000-0005-0000-0000-0000DF4F0000}"/>
    <cellStyle name="RowTitles-Detail 3 2 2 9 3" xfId="20429" xr:uid="{00000000-0005-0000-0000-0000E04F0000}"/>
    <cellStyle name="RowTitles-Detail 3 2 2 9 3 2" xfId="20430" xr:uid="{00000000-0005-0000-0000-0000E14F0000}"/>
    <cellStyle name="RowTitles-Detail 3 2 2 9 3 2 2" xfId="20431" xr:uid="{00000000-0005-0000-0000-0000E24F0000}"/>
    <cellStyle name="RowTitles-Detail 3 2 2 9 3 2_Tertiary Salaries Survey" xfId="20432" xr:uid="{00000000-0005-0000-0000-0000E34F0000}"/>
    <cellStyle name="RowTitles-Detail 3 2 2 9 3 3" xfId="20433" xr:uid="{00000000-0005-0000-0000-0000E44F0000}"/>
    <cellStyle name="RowTitles-Detail 3 2 2 9 3_Tertiary Salaries Survey" xfId="20434" xr:uid="{00000000-0005-0000-0000-0000E54F0000}"/>
    <cellStyle name="RowTitles-Detail 3 2 2 9 4" xfId="20435" xr:uid="{00000000-0005-0000-0000-0000E64F0000}"/>
    <cellStyle name="RowTitles-Detail 3 2 2 9 4 2" xfId="20436" xr:uid="{00000000-0005-0000-0000-0000E74F0000}"/>
    <cellStyle name="RowTitles-Detail 3 2 2 9 4_Tertiary Salaries Survey" xfId="20437" xr:uid="{00000000-0005-0000-0000-0000E84F0000}"/>
    <cellStyle name="RowTitles-Detail 3 2 2 9 5" xfId="20438" xr:uid="{00000000-0005-0000-0000-0000E94F0000}"/>
    <cellStyle name="RowTitles-Detail 3 2 2 9_Tertiary Salaries Survey" xfId="20439" xr:uid="{00000000-0005-0000-0000-0000EA4F0000}"/>
    <cellStyle name="RowTitles-Detail 3 2 2_STUD aligned by INSTIT" xfId="20440" xr:uid="{00000000-0005-0000-0000-0000EB4F0000}"/>
    <cellStyle name="RowTitles-Detail 3 2 3" xfId="20441" xr:uid="{00000000-0005-0000-0000-0000EC4F0000}"/>
    <cellStyle name="RowTitles-Detail 3 2 3 2" xfId="20442" xr:uid="{00000000-0005-0000-0000-0000ED4F0000}"/>
    <cellStyle name="RowTitles-Detail 3 2 3 2 2" xfId="20443" xr:uid="{00000000-0005-0000-0000-0000EE4F0000}"/>
    <cellStyle name="RowTitles-Detail 3 2 3 2 2 2" xfId="20444" xr:uid="{00000000-0005-0000-0000-0000EF4F0000}"/>
    <cellStyle name="RowTitles-Detail 3 2 3 2 2 2 2" xfId="20445" xr:uid="{00000000-0005-0000-0000-0000F04F0000}"/>
    <cellStyle name="RowTitles-Detail 3 2 3 2 2 2_Tertiary Salaries Survey" xfId="20446" xr:uid="{00000000-0005-0000-0000-0000F14F0000}"/>
    <cellStyle name="RowTitles-Detail 3 2 3 2 2 3" xfId="20447" xr:uid="{00000000-0005-0000-0000-0000F24F0000}"/>
    <cellStyle name="RowTitles-Detail 3 2 3 2 2_Tertiary Salaries Survey" xfId="20448" xr:uid="{00000000-0005-0000-0000-0000F34F0000}"/>
    <cellStyle name="RowTitles-Detail 3 2 3 2 3" xfId="20449" xr:uid="{00000000-0005-0000-0000-0000F44F0000}"/>
    <cellStyle name="RowTitles-Detail 3 2 3 2 3 2" xfId="20450" xr:uid="{00000000-0005-0000-0000-0000F54F0000}"/>
    <cellStyle name="RowTitles-Detail 3 2 3 2 3 2 2" xfId="20451" xr:uid="{00000000-0005-0000-0000-0000F64F0000}"/>
    <cellStyle name="RowTitles-Detail 3 2 3 2 3 2_Tertiary Salaries Survey" xfId="20452" xr:uid="{00000000-0005-0000-0000-0000F74F0000}"/>
    <cellStyle name="RowTitles-Detail 3 2 3 2 3 3" xfId="20453" xr:uid="{00000000-0005-0000-0000-0000F84F0000}"/>
    <cellStyle name="RowTitles-Detail 3 2 3 2 3_Tertiary Salaries Survey" xfId="20454" xr:uid="{00000000-0005-0000-0000-0000F94F0000}"/>
    <cellStyle name="RowTitles-Detail 3 2 3 2 4" xfId="20455" xr:uid="{00000000-0005-0000-0000-0000FA4F0000}"/>
    <cellStyle name="RowTitles-Detail 3 2 3 2 5" xfId="20456" xr:uid="{00000000-0005-0000-0000-0000FB4F0000}"/>
    <cellStyle name="RowTitles-Detail 3 2 3 2_Tertiary Salaries Survey" xfId="20457" xr:uid="{00000000-0005-0000-0000-0000FC4F0000}"/>
    <cellStyle name="RowTitles-Detail 3 2 3 3" xfId="20458" xr:uid="{00000000-0005-0000-0000-0000FD4F0000}"/>
    <cellStyle name="RowTitles-Detail 3 2 3 3 2" xfId="20459" xr:uid="{00000000-0005-0000-0000-0000FE4F0000}"/>
    <cellStyle name="RowTitles-Detail 3 2 3 3 2 2" xfId="20460" xr:uid="{00000000-0005-0000-0000-0000FF4F0000}"/>
    <cellStyle name="RowTitles-Detail 3 2 3 3 2 2 2" xfId="20461" xr:uid="{00000000-0005-0000-0000-000000500000}"/>
    <cellStyle name="RowTitles-Detail 3 2 3 3 2 2_Tertiary Salaries Survey" xfId="20462" xr:uid="{00000000-0005-0000-0000-000001500000}"/>
    <cellStyle name="RowTitles-Detail 3 2 3 3 2 3" xfId="20463" xr:uid="{00000000-0005-0000-0000-000002500000}"/>
    <cellStyle name="RowTitles-Detail 3 2 3 3 2_Tertiary Salaries Survey" xfId="20464" xr:uid="{00000000-0005-0000-0000-000003500000}"/>
    <cellStyle name="RowTitles-Detail 3 2 3 3 3" xfId="20465" xr:uid="{00000000-0005-0000-0000-000004500000}"/>
    <cellStyle name="RowTitles-Detail 3 2 3 3 3 2" xfId="20466" xr:uid="{00000000-0005-0000-0000-000005500000}"/>
    <cellStyle name="RowTitles-Detail 3 2 3 3 3 2 2" xfId="20467" xr:uid="{00000000-0005-0000-0000-000006500000}"/>
    <cellStyle name="RowTitles-Detail 3 2 3 3 3 2_Tertiary Salaries Survey" xfId="20468" xr:uid="{00000000-0005-0000-0000-000007500000}"/>
    <cellStyle name="RowTitles-Detail 3 2 3 3 3 3" xfId="20469" xr:uid="{00000000-0005-0000-0000-000008500000}"/>
    <cellStyle name="RowTitles-Detail 3 2 3 3 3_Tertiary Salaries Survey" xfId="20470" xr:uid="{00000000-0005-0000-0000-000009500000}"/>
    <cellStyle name="RowTitles-Detail 3 2 3 3 4" xfId="20471" xr:uid="{00000000-0005-0000-0000-00000A500000}"/>
    <cellStyle name="RowTitles-Detail 3 2 3 3 5" xfId="20472" xr:uid="{00000000-0005-0000-0000-00000B500000}"/>
    <cellStyle name="RowTitles-Detail 3 2 3 3 5 2" xfId="20473" xr:uid="{00000000-0005-0000-0000-00000C500000}"/>
    <cellStyle name="RowTitles-Detail 3 2 3 3 5_Tertiary Salaries Survey" xfId="20474" xr:uid="{00000000-0005-0000-0000-00000D500000}"/>
    <cellStyle name="RowTitles-Detail 3 2 3 3 6" xfId="20475" xr:uid="{00000000-0005-0000-0000-00000E500000}"/>
    <cellStyle name="RowTitles-Detail 3 2 3 3_Tertiary Salaries Survey" xfId="20476" xr:uid="{00000000-0005-0000-0000-00000F500000}"/>
    <cellStyle name="RowTitles-Detail 3 2 3 4" xfId="20477" xr:uid="{00000000-0005-0000-0000-000010500000}"/>
    <cellStyle name="RowTitles-Detail 3 2 3 4 2" xfId="20478" xr:uid="{00000000-0005-0000-0000-000011500000}"/>
    <cellStyle name="RowTitles-Detail 3 2 3 4 2 2" xfId="20479" xr:uid="{00000000-0005-0000-0000-000012500000}"/>
    <cellStyle name="RowTitles-Detail 3 2 3 4 2 2 2" xfId="20480" xr:uid="{00000000-0005-0000-0000-000013500000}"/>
    <cellStyle name="RowTitles-Detail 3 2 3 4 2 2_Tertiary Salaries Survey" xfId="20481" xr:uid="{00000000-0005-0000-0000-000014500000}"/>
    <cellStyle name="RowTitles-Detail 3 2 3 4 2 3" xfId="20482" xr:uid="{00000000-0005-0000-0000-000015500000}"/>
    <cellStyle name="RowTitles-Detail 3 2 3 4 2_Tertiary Salaries Survey" xfId="20483" xr:uid="{00000000-0005-0000-0000-000016500000}"/>
    <cellStyle name="RowTitles-Detail 3 2 3 4 3" xfId="20484" xr:uid="{00000000-0005-0000-0000-000017500000}"/>
    <cellStyle name="RowTitles-Detail 3 2 3 4 3 2" xfId="20485" xr:uid="{00000000-0005-0000-0000-000018500000}"/>
    <cellStyle name="RowTitles-Detail 3 2 3 4 3 2 2" xfId="20486" xr:uid="{00000000-0005-0000-0000-000019500000}"/>
    <cellStyle name="RowTitles-Detail 3 2 3 4 3 2_Tertiary Salaries Survey" xfId="20487" xr:uid="{00000000-0005-0000-0000-00001A500000}"/>
    <cellStyle name="RowTitles-Detail 3 2 3 4 3 3" xfId="20488" xr:uid="{00000000-0005-0000-0000-00001B500000}"/>
    <cellStyle name="RowTitles-Detail 3 2 3 4 3_Tertiary Salaries Survey" xfId="20489" xr:uid="{00000000-0005-0000-0000-00001C500000}"/>
    <cellStyle name="RowTitles-Detail 3 2 3 4 4" xfId="20490" xr:uid="{00000000-0005-0000-0000-00001D500000}"/>
    <cellStyle name="RowTitles-Detail 3 2 3 4 4 2" xfId="20491" xr:uid="{00000000-0005-0000-0000-00001E500000}"/>
    <cellStyle name="RowTitles-Detail 3 2 3 4 4_Tertiary Salaries Survey" xfId="20492" xr:uid="{00000000-0005-0000-0000-00001F500000}"/>
    <cellStyle name="RowTitles-Detail 3 2 3 4 5" xfId="20493" xr:uid="{00000000-0005-0000-0000-000020500000}"/>
    <cellStyle name="RowTitles-Detail 3 2 3 4_Tertiary Salaries Survey" xfId="20494" xr:uid="{00000000-0005-0000-0000-000021500000}"/>
    <cellStyle name="RowTitles-Detail 3 2 3 5" xfId="20495" xr:uid="{00000000-0005-0000-0000-000022500000}"/>
    <cellStyle name="RowTitles-Detail 3 2 3 5 2" xfId="20496" xr:uid="{00000000-0005-0000-0000-000023500000}"/>
    <cellStyle name="RowTitles-Detail 3 2 3 5 2 2" xfId="20497" xr:uid="{00000000-0005-0000-0000-000024500000}"/>
    <cellStyle name="RowTitles-Detail 3 2 3 5 2 2 2" xfId="20498" xr:uid="{00000000-0005-0000-0000-000025500000}"/>
    <cellStyle name="RowTitles-Detail 3 2 3 5 2 2_Tertiary Salaries Survey" xfId="20499" xr:uid="{00000000-0005-0000-0000-000026500000}"/>
    <cellStyle name="RowTitles-Detail 3 2 3 5 2 3" xfId="20500" xr:uid="{00000000-0005-0000-0000-000027500000}"/>
    <cellStyle name="RowTitles-Detail 3 2 3 5 2_Tertiary Salaries Survey" xfId="20501" xr:uid="{00000000-0005-0000-0000-000028500000}"/>
    <cellStyle name="RowTitles-Detail 3 2 3 5 3" xfId="20502" xr:uid="{00000000-0005-0000-0000-000029500000}"/>
    <cellStyle name="RowTitles-Detail 3 2 3 5 3 2" xfId="20503" xr:uid="{00000000-0005-0000-0000-00002A500000}"/>
    <cellStyle name="RowTitles-Detail 3 2 3 5 3 2 2" xfId="20504" xr:uid="{00000000-0005-0000-0000-00002B500000}"/>
    <cellStyle name="RowTitles-Detail 3 2 3 5 3 2_Tertiary Salaries Survey" xfId="20505" xr:uid="{00000000-0005-0000-0000-00002C500000}"/>
    <cellStyle name="RowTitles-Detail 3 2 3 5 3 3" xfId="20506" xr:uid="{00000000-0005-0000-0000-00002D500000}"/>
    <cellStyle name="RowTitles-Detail 3 2 3 5 3_Tertiary Salaries Survey" xfId="20507" xr:uid="{00000000-0005-0000-0000-00002E500000}"/>
    <cellStyle name="RowTitles-Detail 3 2 3 5 4" xfId="20508" xr:uid="{00000000-0005-0000-0000-00002F500000}"/>
    <cellStyle name="RowTitles-Detail 3 2 3 5 4 2" xfId="20509" xr:uid="{00000000-0005-0000-0000-000030500000}"/>
    <cellStyle name="RowTitles-Detail 3 2 3 5 4_Tertiary Salaries Survey" xfId="20510" xr:uid="{00000000-0005-0000-0000-000031500000}"/>
    <cellStyle name="RowTitles-Detail 3 2 3 5 5" xfId="20511" xr:uid="{00000000-0005-0000-0000-000032500000}"/>
    <cellStyle name="RowTitles-Detail 3 2 3 5_Tertiary Salaries Survey" xfId="20512" xr:uid="{00000000-0005-0000-0000-000033500000}"/>
    <cellStyle name="RowTitles-Detail 3 2 3 6" xfId="20513" xr:uid="{00000000-0005-0000-0000-000034500000}"/>
    <cellStyle name="RowTitles-Detail 3 2 3 6 2" xfId="20514" xr:uid="{00000000-0005-0000-0000-000035500000}"/>
    <cellStyle name="RowTitles-Detail 3 2 3 6 2 2" xfId="20515" xr:uid="{00000000-0005-0000-0000-000036500000}"/>
    <cellStyle name="RowTitles-Detail 3 2 3 6 2 2 2" xfId="20516" xr:uid="{00000000-0005-0000-0000-000037500000}"/>
    <cellStyle name="RowTitles-Detail 3 2 3 6 2 2_Tertiary Salaries Survey" xfId="20517" xr:uid="{00000000-0005-0000-0000-000038500000}"/>
    <cellStyle name="RowTitles-Detail 3 2 3 6 2 3" xfId="20518" xr:uid="{00000000-0005-0000-0000-000039500000}"/>
    <cellStyle name="RowTitles-Detail 3 2 3 6 2_Tertiary Salaries Survey" xfId="20519" xr:uid="{00000000-0005-0000-0000-00003A500000}"/>
    <cellStyle name="RowTitles-Detail 3 2 3 6 3" xfId="20520" xr:uid="{00000000-0005-0000-0000-00003B500000}"/>
    <cellStyle name="RowTitles-Detail 3 2 3 6 3 2" xfId="20521" xr:uid="{00000000-0005-0000-0000-00003C500000}"/>
    <cellStyle name="RowTitles-Detail 3 2 3 6 3 2 2" xfId="20522" xr:uid="{00000000-0005-0000-0000-00003D500000}"/>
    <cellStyle name="RowTitles-Detail 3 2 3 6 3 2_Tertiary Salaries Survey" xfId="20523" xr:uid="{00000000-0005-0000-0000-00003E500000}"/>
    <cellStyle name="RowTitles-Detail 3 2 3 6 3 3" xfId="20524" xr:uid="{00000000-0005-0000-0000-00003F500000}"/>
    <cellStyle name="RowTitles-Detail 3 2 3 6 3_Tertiary Salaries Survey" xfId="20525" xr:uid="{00000000-0005-0000-0000-000040500000}"/>
    <cellStyle name="RowTitles-Detail 3 2 3 6 4" xfId="20526" xr:uid="{00000000-0005-0000-0000-000041500000}"/>
    <cellStyle name="RowTitles-Detail 3 2 3 6 4 2" xfId="20527" xr:uid="{00000000-0005-0000-0000-000042500000}"/>
    <cellStyle name="RowTitles-Detail 3 2 3 6 4_Tertiary Salaries Survey" xfId="20528" xr:uid="{00000000-0005-0000-0000-000043500000}"/>
    <cellStyle name="RowTitles-Detail 3 2 3 6 5" xfId="20529" xr:uid="{00000000-0005-0000-0000-000044500000}"/>
    <cellStyle name="RowTitles-Detail 3 2 3 6_Tertiary Salaries Survey" xfId="20530" xr:uid="{00000000-0005-0000-0000-000045500000}"/>
    <cellStyle name="RowTitles-Detail 3 2 3 7" xfId="20531" xr:uid="{00000000-0005-0000-0000-000046500000}"/>
    <cellStyle name="RowTitles-Detail 3 2 3 7 2" xfId="20532" xr:uid="{00000000-0005-0000-0000-000047500000}"/>
    <cellStyle name="RowTitles-Detail 3 2 3 7 2 2" xfId="20533" xr:uid="{00000000-0005-0000-0000-000048500000}"/>
    <cellStyle name="RowTitles-Detail 3 2 3 7 2_Tertiary Salaries Survey" xfId="20534" xr:uid="{00000000-0005-0000-0000-000049500000}"/>
    <cellStyle name="RowTitles-Detail 3 2 3 7 3" xfId="20535" xr:uid="{00000000-0005-0000-0000-00004A500000}"/>
    <cellStyle name="RowTitles-Detail 3 2 3 7_Tertiary Salaries Survey" xfId="20536" xr:uid="{00000000-0005-0000-0000-00004B500000}"/>
    <cellStyle name="RowTitles-Detail 3 2 3 8" xfId="20537" xr:uid="{00000000-0005-0000-0000-00004C500000}"/>
    <cellStyle name="RowTitles-Detail 3 2 3 9" xfId="20538" xr:uid="{00000000-0005-0000-0000-00004D500000}"/>
    <cellStyle name="RowTitles-Detail 3 2 3_STUD aligned by INSTIT" xfId="20539" xr:uid="{00000000-0005-0000-0000-00004E500000}"/>
    <cellStyle name="RowTitles-Detail 3 2 4" xfId="20540" xr:uid="{00000000-0005-0000-0000-00004F500000}"/>
    <cellStyle name="RowTitles-Detail 3 2 4 2" xfId="20541" xr:uid="{00000000-0005-0000-0000-000050500000}"/>
    <cellStyle name="RowTitles-Detail 3 2 4 2 2" xfId="20542" xr:uid="{00000000-0005-0000-0000-000051500000}"/>
    <cellStyle name="RowTitles-Detail 3 2 4 2 2 2" xfId="20543" xr:uid="{00000000-0005-0000-0000-000052500000}"/>
    <cellStyle name="RowTitles-Detail 3 2 4 2 2 2 2" xfId="20544" xr:uid="{00000000-0005-0000-0000-000053500000}"/>
    <cellStyle name="RowTitles-Detail 3 2 4 2 2 2_Tertiary Salaries Survey" xfId="20545" xr:uid="{00000000-0005-0000-0000-000054500000}"/>
    <cellStyle name="RowTitles-Detail 3 2 4 2 2 3" xfId="20546" xr:uid="{00000000-0005-0000-0000-000055500000}"/>
    <cellStyle name="RowTitles-Detail 3 2 4 2 2_Tertiary Salaries Survey" xfId="20547" xr:uid="{00000000-0005-0000-0000-000056500000}"/>
    <cellStyle name="RowTitles-Detail 3 2 4 2 3" xfId="20548" xr:uid="{00000000-0005-0000-0000-000057500000}"/>
    <cellStyle name="RowTitles-Detail 3 2 4 2 3 2" xfId="20549" xr:uid="{00000000-0005-0000-0000-000058500000}"/>
    <cellStyle name="RowTitles-Detail 3 2 4 2 3 2 2" xfId="20550" xr:uid="{00000000-0005-0000-0000-000059500000}"/>
    <cellStyle name="RowTitles-Detail 3 2 4 2 3 2_Tertiary Salaries Survey" xfId="20551" xr:uid="{00000000-0005-0000-0000-00005A500000}"/>
    <cellStyle name="RowTitles-Detail 3 2 4 2 3 3" xfId="20552" xr:uid="{00000000-0005-0000-0000-00005B500000}"/>
    <cellStyle name="RowTitles-Detail 3 2 4 2 3_Tertiary Salaries Survey" xfId="20553" xr:uid="{00000000-0005-0000-0000-00005C500000}"/>
    <cellStyle name="RowTitles-Detail 3 2 4 2 4" xfId="20554" xr:uid="{00000000-0005-0000-0000-00005D500000}"/>
    <cellStyle name="RowTitles-Detail 3 2 4 2 5" xfId="20555" xr:uid="{00000000-0005-0000-0000-00005E500000}"/>
    <cellStyle name="RowTitles-Detail 3 2 4 2 5 2" xfId="20556" xr:uid="{00000000-0005-0000-0000-00005F500000}"/>
    <cellStyle name="RowTitles-Detail 3 2 4 2 5_Tertiary Salaries Survey" xfId="20557" xr:uid="{00000000-0005-0000-0000-000060500000}"/>
    <cellStyle name="RowTitles-Detail 3 2 4 2 6" xfId="20558" xr:uid="{00000000-0005-0000-0000-000061500000}"/>
    <cellStyle name="RowTitles-Detail 3 2 4 2_Tertiary Salaries Survey" xfId="20559" xr:uid="{00000000-0005-0000-0000-000062500000}"/>
    <cellStyle name="RowTitles-Detail 3 2 4 3" xfId="20560" xr:uid="{00000000-0005-0000-0000-000063500000}"/>
    <cellStyle name="RowTitles-Detail 3 2 4 3 2" xfId="20561" xr:uid="{00000000-0005-0000-0000-000064500000}"/>
    <cellStyle name="RowTitles-Detail 3 2 4 3 2 2" xfId="20562" xr:uid="{00000000-0005-0000-0000-000065500000}"/>
    <cellStyle name="RowTitles-Detail 3 2 4 3 2 2 2" xfId="20563" xr:uid="{00000000-0005-0000-0000-000066500000}"/>
    <cellStyle name="RowTitles-Detail 3 2 4 3 2 2_Tertiary Salaries Survey" xfId="20564" xr:uid="{00000000-0005-0000-0000-000067500000}"/>
    <cellStyle name="RowTitles-Detail 3 2 4 3 2 3" xfId="20565" xr:uid="{00000000-0005-0000-0000-000068500000}"/>
    <cellStyle name="RowTitles-Detail 3 2 4 3 2_Tertiary Salaries Survey" xfId="20566" xr:uid="{00000000-0005-0000-0000-000069500000}"/>
    <cellStyle name="RowTitles-Detail 3 2 4 3 3" xfId="20567" xr:uid="{00000000-0005-0000-0000-00006A500000}"/>
    <cellStyle name="RowTitles-Detail 3 2 4 3 3 2" xfId="20568" xr:uid="{00000000-0005-0000-0000-00006B500000}"/>
    <cellStyle name="RowTitles-Detail 3 2 4 3 3 2 2" xfId="20569" xr:uid="{00000000-0005-0000-0000-00006C500000}"/>
    <cellStyle name="RowTitles-Detail 3 2 4 3 3 2_Tertiary Salaries Survey" xfId="20570" xr:uid="{00000000-0005-0000-0000-00006D500000}"/>
    <cellStyle name="RowTitles-Detail 3 2 4 3 3 3" xfId="20571" xr:uid="{00000000-0005-0000-0000-00006E500000}"/>
    <cellStyle name="RowTitles-Detail 3 2 4 3 3_Tertiary Salaries Survey" xfId="20572" xr:uid="{00000000-0005-0000-0000-00006F500000}"/>
    <cellStyle name="RowTitles-Detail 3 2 4 3 4" xfId="20573" xr:uid="{00000000-0005-0000-0000-000070500000}"/>
    <cellStyle name="RowTitles-Detail 3 2 4 3 5" xfId="20574" xr:uid="{00000000-0005-0000-0000-000071500000}"/>
    <cellStyle name="RowTitles-Detail 3 2 4 3_Tertiary Salaries Survey" xfId="20575" xr:uid="{00000000-0005-0000-0000-000072500000}"/>
    <cellStyle name="RowTitles-Detail 3 2 4 4" xfId="20576" xr:uid="{00000000-0005-0000-0000-000073500000}"/>
    <cellStyle name="RowTitles-Detail 3 2 4 4 2" xfId="20577" xr:uid="{00000000-0005-0000-0000-000074500000}"/>
    <cellStyle name="RowTitles-Detail 3 2 4 4 2 2" xfId="20578" xr:uid="{00000000-0005-0000-0000-000075500000}"/>
    <cellStyle name="RowTitles-Detail 3 2 4 4 2 2 2" xfId="20579" xr:uid="{00000000-0005-0000-0000-000076500000}"/>
    <cellStyle name="RowTitles-Detail 3 2 4 4 2 2_Tertiary Salaries Survey" xfId="20580" xr:uid="{00000000-0005-0000-0000-000077500000}"/>
    <cellStyle name="RowTitles-Detail 3 2 4 4 2 3" xfId="20581" xr:uid="{00000000-0005-0000-0000-000078500000}"/>
    <cellStyle name="RowTitles-Detail 3 2 4 4 2_Tertiary Salaries Survey" xfId="20582" xr:uid="{00000000-0005-0000-0000-000079500000}"/>
    <cellStyle name="RowTitles-Detail 3 2 4 4 3" xfId="20583" xr:uid="{00000000-0005-0000-0000-00007A500000}"/>
    <cellStyle name="RowTitles-Detail 3 2 4 4 3 2" xfId="20584" xr:uid="{00000000-0005-0000-0000-00007B500000}"/>
    <cellStyle name="RowTitles-Detail 3 2 4 4 3 2 2" xfId="20585" xr:uid="{00000000-0005-0000-0000-00007C500000}"/>
    <cellStyle name="RowTitles-Detail 3 2 4 4 3 2_Tertiary Salaries Survey" xfId="20586" xr:uid="{00000000-0005-0000-0000-00007D500000}"/>
    <cellStyle name="RowTitles-Detail 3 2 4 4 3 3" xfId="20587" xr:uid="{00000000-0005-0000-0000-00007E500000}"/>
    <cellStyle name="RowTitles-Detail 3 2 4 4 3_Tertiary Salaries Survey" xfId="20588" xr:uid="{00000000-0005-0000-0000-00007F500000}"/>
    <cellStyle name="RowTitles-Detail 3 2 4 4 4" xfId="20589" xr:uid="{00000000-0005-0000-0000-000080500000}"/>
    <cellStyle name="RowTitles-Detail 3 2 4 4 4 2" xfId="20590" xr:uid="{00000000-0005-0000-0000-000081500000}"/>
    <cellStyle name="RowTitles-Detail 3 2 4 4 4_Tertiary Salaries Survey" xfId="20591" xr:uid="{00000000-0005-0000-0000-000082500000}"/>
    <cellStyle name="RowTitles-Detail 3 2 4 4 5" xfId="20592" xr:uid="{00000000-0005-0000-0000-000083500000}"/>
    <cellStyle name="RowTitles-Detail 3 2 4 4_Tertiary Salaries Survey" xfId="20593" xr:uid="{00000000-0005-0000-0000-000084500000}"/>
    <cellStyle name="RowTitles-Detail 3 2 4 5" xfId="20594" xr:uid="{00000000-0005-0000-0000-000085500000}"/>
    <cellStyle name="RowTitles-Detail 3 2 4 5 2" xfId="20595" xr:uid="{00000000-0005-0000-0000-000086500000}"/>
    <cellStyle name="RowTitles-Detail 3 2 4 5 2 2" xfId="20596" xr:uid="{00000000-0005-0000-0000-000087500000}"/>
    <cellStyle name="RowTitles-Detail 3 2 4 5 2 2 2" xfId="20597" xr:uid="{00000000-0005-0000-0000-000088500000}"/>
    <cellStyle name="RowTitles-Detail 3 2 4 5 2 2_Tertiary Salaries Survey" xfId="20598" xr:uid="{00000000-0005-0000-0000-000089500000}"/>
    <cellStyle name="RowTitles-Detail 3 2 4 5 2 3" xfId="20599" xr:uid="{00000000-0005-0000-0000-00008A500000}"/>
    <cellStyle name="RowTitles-Detail 3 2 4 5 2_Tertiary Salaries Survey" xfId="20600" xr:uid="{00000000-0005-0000-0000-00008B500000}"/>
    <cellStyle name="RowTitles-Detail 3 2 4 5 3" xfId="20601" xr:uid="{00000000-0005-0000-0000-00008C500000}"/>
    <cellStyle name="RowTitles-Detail 3 2 4 5 3 2" xfId="20602" xr:uid="{00000000-0005-0000-0000-00008D500000}"/>
    <cellStyle name="RowTitles-Detail 3 2 4 5 3 2 2" xfId="20603" xr:uid="{00000000-0005-0000-0000-00008E500000}"/>
    <cellStyle name="RowTitles-Detail 3 2 4 5 3 2_Tertiary Salaries Survey" xfId="20604" xr:uid="{00000000-0005-0000-0000-00008F500000}"/>
    <cellStyle name="RowTitles-Detail 3 2 4 5 3 3" xfId="20605" xr:uid="{00000000-0005-0000-0000-000090500000}"/>
    <cellStyle name="RowTitles-Detail 3 2 4 5 3_Tertiary Salaries Survey" xfId="20606" xr:uid="{00000000-0005-0000-0000-000091500000}"/>
    <cellStyle name="RowTitles-Detail 3 2 4 5 4" xfId="20607" xr:uid="{00000000-0005-0000-0000-000092500000}"/>
    <cellStyle name="RowTitles-Detail 3 2 4 5 4 2" xfId="20608" xr:uid="{00000000-0005-0000-0000-000093500000}"/>
    <cellStyle name="RowTitles-Detail 3 2 4 5 4_Tertiary Salaries Survey" xfId="20609" xr:uid="{00000000-0005-0000-0000-000094500000}"/>
    <cellStyle name="RowTitles-Detail 3 2 4 5 5" xfId="20610" xr:uid="{00000000-0005-0000-0000-000095500000}"/>
    <cellStyle name="RowTitles-Detail 3 2 4 5_Tertiary Salaries Survey" xfId="20611" xr:uid="{00000000-0005-0000-0000-000096500000}"/>
    <cellStyle name="RowTitles-Detail 3 2 4 6" xfId="20612" xr:uid="{00000000-0005-0000-0000-000097500000}"/>
    <cellStyle name="RowTitles-Detail 3 2 4 6 2" xfId="20613" xr:uid="{00000000-0005-0000-0000-000098500000}"/>
    <cellStyle name="RowTitles-Detail 3 2 4 6 2 2" xfId="20614" xr:uid="{00000000-0005-0000-0000-000099500000}"/>
    <cellStyle name="RowTitles-Detail 3 2 4 6 2 2 2" xfId="20615" xr:uid="{00000000-0005-0000-0000-00009A500000}"/>
    <cellStyle name="RowTitles-Detail 3 2 4 6 2 2_Tertiary Salaries Survey" xfId="20616" xr:uid="{00000000-0005-0000-0000-00009B500000}"/>
    <cellStyle name="RowTitles-Detail 3 2 4 6 2 3" xfId="20617" xr:uid="{00000000-0005-0000-0000-00009C500000}"/>
    <cellStyle name="RowTitles-Detail 3 2 4 6 2_Tertiary Salaries Survey" xfId="20618" xr:uid="{00000000-0005-0000-0000-00009D500000}"/>
    <cellStyle name="RowTitles-Detail 3 2 4 6 3" xfId="20619" xr:uid="{00000000-0005-0000-0000-00009E500000}"/>
    <cellStyle name="RowTitles-Detail 3 2 4 6 3 2" xfId="20620" xr:uid="{00000000-0005-0000-0000-00009F500000}"/>
    <cellStyle name="RowTitles-Detail 3 2 4 6 3 2 2" xfId="20621" xr:uid="{00000000-0005-0000-0000-0000A0500000}"/>
    <cellStyle name="RowTitles-Detail 3 2 4 6 3 2_Tertiary Salaries Survey" xfId="20622" xr:uid="{00000000-0005-0000-0000-0000A1500000}"/>
    <cellStyle name="RowTitles-Detail 3 2 4 6 3 3" xfId="20623" xr:uid="{00000000-0005-0000-0000-0000A2500000}"/>
    <cellStyle name="RowTitles-Detail 3 2 4 6 3_Tertiary Salaries Survey" xfId="20624" xr:uid="{00000000-0005-0000-0000-0000A3500000}"/>
    <cellStyle name="RowTitles-Detail 3 2 4 6 4" xfId="20625" xr:uid="{00000000-0005-0000-0000-0000A4500000}"/>
    <cellStyle name="RowTitles-Detail 3 2 4 6 4 2" xfId="20626" xr:uid="{00000000-0005-0000-0000-0000A5500000}"/>
    <cellStyle name="RowTitles-Detail 3 2 4 6 4_Tertiary Salaries Survey" xfId="20627" xr:uid="{00000000-0005-0000-0000-0000A6500000}"/>
    <cellStyle name="RowTitles-Detail 3 2 4 6 5" xfId="20628" xr:uid="{00000000-0005-0000-0000-0000A7500000}"/>
    <cellStyle name="RowTitles-Detail 3 2 4 6_Tertiary Salaries Survey" xfId="20629" xr:uid="{00000000-0005-0000-0000-0000A8500000}"/>
    <cellStyle name="RowTitles-Detail 3 2 4 7" xfId="20630" xr:uid="{00000000-0005-0000-0000-0000A9500000}"/>
    <cellStyle name="RowTitles-Detail 3 2 4 7 2" xfId="20631" xr:uid="{00000000-0005-0000-0000-0000AA500000}"/>
    <cellStyle name="RowTitles-Detail 3 2 4 7 2 2" xfId="20632" xr:uid="{00000000-0005-0000-0000-0000AB500000}"/>
    <cellStyle name="RowTitles-Detail 3 2 4 7 2_Tertiary Salaries Survey" xfId="20633" xr:uid="{00000000-0005-0000-0000-0000AC500000}"/>
    <cellStyle name="RowTitles-Detail 3 2 4 7 3" xfId="20634" xr:uid="{00000000-0005-0000-0000-0000AD500000}"/>
    <cellStyle name="RowTitles-Detail 3 2 4 7_Tertiary Salaries Survey" xfId="20635" xr:uid="{00000000-0005-0000-0000-0000AE500000}"/>
    <cellStyle name="RowTitles-Detail 3 2 4 8" xfId="20636" xr:uid="{00000000-0005-0000-0000-0000AF500000}"/>
    <cellStyle name="RowTitles-Detail 3 2 4 8 2" xfId="20637" xr:uid="{00000000-0005-0000-0000-0000B0500000}"/>
    <cellStyle name="RowTitles-Detail 3 2 4 8 2 2" xfId="20638" xr:uid="{00000000-0005-0000-0000-0000B1500000}"/>
    <cellStyle name="RowTitles-Detail 3 2 4 8 2_Tertiary Salaries Survey" xfId="20639" xr:uid="{00000000-0005-0000-0000-0000B2500000}"/>
    <cellStyle name="RowTitles-Detail 3 2 4 8 3" xfId="20640" xr:uid="{00000000-0005-0000-0000-0000B3500000}"/>
    <cellStyle name="RowTitles-Detail 3 2 4 8_Tertiary Salaries Survey" xfId="20641" xr:uid="{00000000-0005-0000-0000-0000B4500000}"/>
    <cellStyle name="RowTitles-Detail 3 2 4 9" xfId="20642" xr:uid="{00000000-0005-0000-0000-0000B5500000}"/>
    <cellStyle name="RowTitles-Detail 3 2 4_STUD aligned by INSTIT" xfId="20643" xr:uid="{00000000-0005-0000-0000-0000B6500000}"/>
    <cellStyle name="RowTitles-Detail 3 2 5" xfId="20644" xr:uid="{00000000-0005-0000-0000-0000B7500000}"/>
    <cellStyle name="RowTitles-Detail 3 2 5 2" xfId="20645" xr:uid="{00000000-0005-0000-0000-0000B8500000}"/>
    <cellStyle name="RowTitles-Detail 3 2 5 2 2" xfId="20646" xr:uid="{00000000-0005-0000-0000-0000B9500000}"/>
    <cellStyle name="RowTitles-Detail 3 2 5 2 2 2" xfId="20647" xr:uid="{00000000-0005-0000-0000-0000BA500000}"/>
    <cellStyle name="RowTitles-Detail 3 2 5 2 2 2 2" xfId="20648" xr:uid="{00000000-0005-0000-0000-0000BB500000}"/>
    <cellStyle name="RowTitles-Detail 3 2 5 2 2 2_Tertiary Salaries Survey" xfId="20649" xr:uid="{00000000-0005-0000-0000-0000BC500000}"/>
    <cellStyle name="RowTitles-Detail 3 2 5 2 2 3" xfId="20650" xr:uid="{00000000-0005-0000-0000-0000BD500000}"/>
    <cellStyle name="RowTitles-Detail 3 2 5 2 2_Tertiary Salaries Survey" xfId="20651" xr:uid="{00000000-0005-0000-0000-0000BE500000}"/>
    <cellStyle name="RowTitles-Detail 3 2 5 2 3" xfId="20652" xr:uid="{00000000-0005-0000-0000-0000BF500000}"/>
    <cellStyle name="RowTitles-Detail 3 2 5 2 3 2" xfId="20653" xr:uid="{00000000-0005-0000-0000-0000C0500000}"/>
    <cellStyle name="RowTitles-Detail 3 2 5 2 3 2 2" xfId="20654" xr:uid="{00000000-0005-0000-0000-0000C1500000}"/>
    <cellStyle name="RowTitles-Detail 3 2 5 2 3 2_Tertiary Salaries Survey" xfId="20655" xr:uid="{00000000-0005-0000-0000-0000C2500000}"/>
    <cellStyle name="RowTitles-Detail 3 2 5 2 3 3" xfId="20656" xr:uid="{00000000-0005-0000-0000-0000C3500000}"/>
    <cellStyle name="RowTitles-Detail 3 2 5 2 3_Tertiary Salaries Survey" xfId="20657" xr:uid="{00000000-0005-0000-0000-0000C4500000}"/>
    <cellStyle name="RowTitles-Detail 3 2 5 2 4" xfId="20658" xr:uid="{00000000-0005-0000-0000-0000C5500000}"/>
    <cellStyle name="RowTitles-Detail 3 2 5 2 5" xfId="20659" xr:uid="{00000000-0005-0000-0000-0000C6500000}"/>
    <cellStyle name="RowTitles-Detail 3 2 5 2 5 2" xfId="20660" xr:uid="{00000000-0005-0000-0000-0000C7500000}"/>
    <cellStyle name="RowTitles-Detail 3 2 5 2 5_Tertiary Salaries Survey" xfId="20661" xr:uid="{00000000-0005-0000-0000-0000C8500000}"/>
    <cellStyle name="RowTitles-Detail 3 2 5 2 6" xfId="20662" xr:uid="{00000000-0005-0000-0000-0000C9500000}"/>
    <cellStyle name="RowTitles-Detail 3 2 5 2_Tertiary Salaries Survey" xfId="20663" xr:uid="{00000000-0005-0000-0000-0000CA500000}"/>
    <cellStyle name="RowTitles-Detail 3 2 5 3" xfId="20664" xr:uid="{00000000-0005-0000-0000-0000CB500000}"/>
    <cellStyle name="RowTitles-Detail 3 2 5 3 2" xfId="20665" xr:uid="{00000000-0005-0000-0000-0000CC500000}"/>
    <cellStyle name="RowTitles-Detail 3 2 5 3 2 2" xfId="20666" xr:uid="{00000000-0005-0000-0000-0000CD500000}"/>
    <cellStyle name="RowTitles-Detail 3 2 5 3 2 2 2" xfId="20667" xr:uid="{00000000-0005-0000-0000-0000CE500000}"/>
    <cellStyle name="RowTitles-Detail 3 2 5 3 2 2_Tertiary Salaries Survey" xfId="20668" xr:uid="{00000000-0005-0000-0000-0000CF500000}"/>
    <cellStyle name="RowTitles-Detail 3 2 5 3 2 3" xfId="20669" xr:uid="{00000000-0005-0000-0000-0000D0500000}"/>
    <cellStyle name="RowTitles-Detail 3 2 5 3 2_Tertiary Salaries Survey" xfId="20670" xr:uid="{00000000-0005-0000-0000-0000D1500000}"/>
    <cellStyle name="RowTitles-Detail 3 2 5 3 3" xfId="20671" xr:uid="{00000000-0005-0000-0000-0000D2500000}"/>
    <cellStyle name="RowTitles-Detail 3 2 5 3 3 2" xfId="20672" xr:uid="{00000000-0005-0000-0000-0000D3500000}"/>
    <cellStyle name="RowTitles-Detail 3 2 5 3 3 2 2" xfId="20673" xr:uid="{00000000-0005-0000-0000-0000D4500000}"/>
    <cellStyle name="RowTitles-Detail 3 2 5 3 3 2_Tertiary Salaries Survey" xfId="20674" xr:uid="{00000000-0005-0000-0000-0000D5500000}"/>
    <cellStyle name="RowTitles-Detail 3 2 5 3 3 3" xfId="20675" xr:uid="{00000000-0005-0000-0000-0000D6500000}"/>
    <cellStyle name="RowTitles-Detail 3 2 5 3 3_Tertiary Salaries Survey" xfId="20676" xr:uid="{00000000-0005-0000-0000-0000D7500000}"/>
    <cellStyle name="RowTitles-Detail 3 2 5 3 4" xfId="20677" xr:uid="{00000000-0005-0000-0000-0000D8500000}"/>
    <cellStyle name="RowTitles-Detail 3 2 5 3 5" xfId="20678" xr:uid="{00000000-0005-0000-0000-0000D9500000}"/>
    <cellStyle name="RowTitles-Detail 3 2 5 3_Tertiary Salaries Survey" xfId="20679" xr:uid="{00000000-0005-0000-0000-0000DA500000}"/>
    <cellStyle name="RowTitles-Detail 3 2 5 4" xfId="20680" xr:uid="{00000000-0005-0000-0000-0000DB500000}"/>
    <cellStyle name="RowTitles-Detail 3 2 5 4 2" xfId="20681" xr:uid="{00000000-0005-0000-0000-0000DC500000}"/>
    <cellStyle name="RowTitles-Detail 3 2 5 4 2 2" xfId="20682" xr:uid="{00000000-0005-0000-0000-0000DD500000}"/>
    <cellStyle name="RowTitles-Detail 3 2 5 4 2 2 2" xfId="20683" xr:uid="{00000000-0005-0000-0000-0000DE500000}"/>
    <cellStyle name="RowTitles-Detail 3 2 5 4 2 2_Tertiary Salaries Survey" xfId="20684" xr:uid="{00000000-0005-0000-0000-0000DF500000}"/>
    <cellStyle name="RowTitles-Detail 3 2 5 4 2 3" xfId="20685" xr:uid="{00000000-0005-0000-0000-0000E0500000}"/>
    <cellStyle name="RowTitles-Detail 3 2 5 4 2_Tertiary Salaries Survey" xfId="20686" xr:uid="{00000000-0005-0000-0000-0000E1500000}"/>
    <cellStyle name="RowTitles-Detail 3 2 5 4 3" xfId="20687" xr:uid="{00000000-0005-0000-0000-0000E2500000}"/>
    <cellStyle name="RowTitles-Detail 3 2 5 4 3 2" xfId="20688" xr:uid="{00000000-0005-0000-0000-0000E3500000}"/>
    <cellStyle name="RowTitles-Detail 3 2 5 4 3 2 2" xfId="20689" xr:uid="{00000000-0005-0000-0000-0000E4500000}"/>
    <cellStyle name="RowTitles-Detail 3 2 5 4 3 2_Tertiary Salaries Survey" xfId="20690" xr:uid="{00000000-0005-0000-0000-0000E5500000}"/>
    <cellStyle name="RowTitles-Detail 3 2 5 4 3 3" xfId="20691" xr:uid="{00000000-0005-0000-0000-0000E6500000}"/>
    <cellStyle name="RowTitles-Detail 3 2 5 4 3_Tertiary Salaries Survey" xfId="20692" xr:uid="{00000000-0005-0000-0000-0000E7500000}"/>
    <cellStyle name="RowTitles-Detail 3 2 5 4 4" xfId="20693" xr:uid="{00000000-0005-0000-0000-0000E8500000}"/>
    <cellStyle name="RowTitles-Detail 3 2 5 4 5" xfId="20694" xr:uid="{00000000-0005-0000-0000-0000E9500000}"/>
    <cellStyle name="RowTitles-Detail 3 2 5 4 5 2" xfId="20695" xr:uid="{00000000-0005-0000-0000-0000EA500000}"/>
    <cellStyle name="RowTitles-Detail 3 2 5 4 5_Tertiary Salaries Survey" xfId="20696" xr:uid="{00000000-0005-0000-0000-0000EB500000}"/>
    <cellStyle name="RowTitles-Detail 3 2 5 4 6" xfId="20697" xr:uid="{00000000-0005-0000-0000-0000EC500000}"/>
    <cellStyle name="RowTitles-Detail 3 2 5 4_Tertiary Salaries Survey" xfId="20698" xr:uid="{00000000-0005-0000-0000-0000ED500000}"/>
    <cellStyle name="RowTitles-Detail 3 2 5 5" xfId="20699" xr:uid="{00000000-0005-0000-0000-0000EE500000}"/>
    <cellStyle name="RowTitles-Detail 3 2 5 5 2" xfId="20700" xr:uid="{00000000-0005-0000-0000-0000EF500000}"/>
    <cellStyle name="RowTitles-Detail 3 2 5 5 2 2" xfId="20701" xr:uid="{00000000-0005-0000-0000-0000F0500000}"/>
    <cellStyle name="RowTitles-Detail 3 2 5 5 2 2 2" xfId="20702" xr:uid="{00000000-0005-0000-0000-0000F1500000}"/>
    <cellStyle name="RowTitles-Detail 3 2 5 5 2 2_Tertiary Salaries Survey" xfId="20703" xr:uid="{00000000-0005-0000-0000-0000F2500000}"/>
    <cellStyle name="RowTitles-Detail 3 2 5 5 2 3" xfId="20704" xr:uid="{00000000-0005-0000-0000-0000F3500000}"/>
    <cellStyle name="RowTitles-Detail 3 2 5 5 2_Tertiary Salaries Survey" xfId="20705" xr:uid="{00000000-0005-0000-0000-0000F4500000}"/>
    <cellStyle name="RowTitles-Detail 3 2 5 5 3" xfId="20706" xr:uid="{00000000-0005-0000-0000-0000F5500000}"/>
    <cellStyle name="RowTitles-Detail 3 2 5 5 3 2" xfId="20707" xr:uid="{00000000-0005-0000-0000-0000F6500000}"/>
    <cellStyle name="RowTitles-Detail 3 2 5 5 3 2 2" xfId="20708" xr:uid="{00000000-0005-0000-0000-0000F7500000}"/>
    <cellStyle name="RowTitles-Detail 3 2 5 5 3 2_Tertiary Salaries Survey" xfId="20709" xr:uid="{00000000-0005-0000-0000-0000F8500000}"/>
    <cellStyle name="RowTitles-Detail 3 2 5 5 3 3" xfId="20710" xr:uid="{00000000-0005-0000-0000-0000F9500000}"/>
    <cellStyle name="RowTitles-Detail 3 2 5 5 3_Tertiary Salaries Survey" xfId="20711" xr:uid="{00000000-0005-0000-0000-0000FA500000}"/>
    <cellStyle name="RowTitles-Detail 3 2 5 5 4" xfId="20712" xr:uid="{00000000-0005-0000-0000-0000FB500000}"/>
    <cellStyle name="RowTitles-Detail 3 2 5 5 4 2" xfId="20713" xr:uid="{00000000-0005-0000-0000-0000FC500000}"/>
    <cellStyle name="RowTitles-Detail 3 2 5 5 4_Tertiary Salaries Survey" xfId="20714" xr:uid="{00000000-0005-0000-0000-0000FD500000}"/>
    <cellStyle name="RowTitles-Detail 3 2 5 5 5" xfId="20715" xr:uid="{00000000-0005-0000-0000-0000FE500000}"/>
    <cellStyle name="RowTitles-Detail 3 2 5 5_Tertiary Salaries Survey" xfId="20716" xr:uid="{00000000-0005-0000-0000-0000FF500000}"/>
    <cellStyle name="RowTitles-Detail 3 2 5 6" xfId="20717" xr:uid="{00000000-0005-0000-0000-000000510000}"/>
    <cellStyle name="RowTitles-Detail 3 2 5 6 2" xfId="20718" xr:uid="{00000000-0005-0000-0000-000001510000}"/>
    <cellStyle name="RowTitles-Detail 3 2 5 6 2 2" xfId="20719" xr:uid="{00000000-0005-0000-0000-000002510000}"/>
    <cellStyle name="RowTitles-Detail 3 2 5 6 2 2 2" xfId="20720" xr:uid="{00000000-0005-0000-0000-000003510000}"/>
    <cellStyle name="RowTitles-Detail 3 2 5 6 2 2_Tertiary Salaries Survey" xfId="20721" xr:uid="{00000000-0005-0000-0000-000004510000}"/>
    <cellStyle name="RowTitles-Detail 3 2 5 6 2 3" xfId="20722" xr:uid="{00000000-0005-0000-0000-000005510000}"/>
    <cellStyle name="RowTitles-Detail 3 2 5 6 2_Tertiary Salaries Survey" xfId="20723" xr:uid="{00000000-0005-0000-0000-000006510000}"/>
    <cellStyle name="RowTitles-Detail 3 2 5 6 3" xfId="20724" xr:uid="{00000000-0005-0000-0000-000007510000}"/>
    <cellStyle name="RowTitles-Detail 3 2 5 6 3 2" xfId="20725" xr:uid="{00000000-0005-0000-0000-000008510000}"/>
    <cellStyle name="RowTitles-Detail 3 2 5 6 3 2 2" xfId="20726" xr:uid="{00000000-0005-0000-0000-000009510000}"/>
    <cellStyle name="RowTitles-Detail 3 2 5 6 3 2_Tertiary Salaries Survey" xfId="20727" xr:uid="{00000000-0005-0000-0000-00000A510000}"/>
    <cellStyle name="RowTitles-Detail 3 2 5 6 3 3" xfId="20728" xr:uid="{00000000-0005-0000-0000-00000B510000}"/>
    <cellStyle name="RowTitles-Detail 3 2 5 6 3_Tertiary Salaries Survey" xfId="20729" xr:uid="{00000000-0005-0000-0000-00000C510000}"/>
    <cellStyle name="RowTitles-Detail 3 2 5 6 4" xfId="20730" xr:uid="{00000000-0005-0000-0000-00000D510000}"/>
    <cellStyle name="RowTitles-Detail 3 2 5 6 4 2" xfId="20731" xr:uid="{00000000-0005-0000-0000-00000E510000}"/>
    <cellStyle name="RowTitles-Detail 3 2 5 6 4_Tertiary Salaries Survey" xfId="20732" xr:uid="{00000000-0005-0000-0000-00000F510000}"/>
    <cellStyle name="RowTitles-Detail 3 2 5 6 5" xfId="20733" xr:uid="{00000000-0005-0000-0000-000010510000}"/>
    <cellStyle name="RowTitles-Detail 3 2 5 6_Tertiary Salaries Survey" xfId="20734" xr:uid="{00000000-0005-0000-0000-000011510000}"/>
    <cellStyle name="RowTitles-Detail 3 2 5 7" xfId="20735" xr:uid="{00000000-0005-0000-0000-000012510000}"/>
    <cellStyle name="RowTitles-Detail 3 2 5 7 2" xfId="20736" xr:uid="{00000000-0005-0000-0000-000013510000}"/>
    <cellStyle name="RowTitles-Detail 3 2 5 7 2 2" xfId="20737" xr:uid="{00000000-0005-0000-0000-000014510000}"/>
    <cellStyle name="RowTitles-Detail 3 2 5 7 2_Tertiary Salaries Survey" xfId="20738" xr:uid="{00000000-0005-0000-0000-000015510000}"/>
    <cellStyle name="RowTitles-Detail 3 2 5 7 3" xfId="20739" xr:uid="{00000000-0005-0000-0000-000016510000}"/>
    <cellStyle name="RowTitles-Detail 3 2 5 7_Tertiary Salaries Survey" xfId="20740" xr:uid="{00000000-0005-0000-0000-000017510000}"/>
    <cellStyle name="RowTitles-Detail 3 2 5 8" xfId="20741" xr:uid="{00000000-0005-0000-0000-000018510000}"/>
    <cellStyle name="RowTitles-Detail 3 2 5 9" xfId="20742" xr:uid="{00000000-0005-0000-0000-000019510000}"/>
    <cellStyle name="RowTitles-Detail 3 2 5_STUD aligned by INSTIT" xfId="20743" xr:uid="{00000000-0005-0000-0000-00001A510000}"/>
    <cellStyle name="RowTitles-Detail 3 2 6" xfId="20744" xr:uid="{00000000-0005-0000-0000-00001B510000}"/>
    <cellStyle name="RowTitles-Detail 3 2 6 2" xfId="20745" xr:uid="{00000000-0005-0000-0000-00001C510000}"/>
    <cellStyle name="RowTitles-Detail 3 2 6 2 2" xfId="20746" xr:uid="{00000000-0005-0000-0000-00001D510000}"/>
    <cellStyle name="RowTitles-Detail 3 2 6 2 2 2" xfId="20747" xr:uid="{00000000-0005-0000-0000-00001E510000}"/>
    <cellStyle name="RowTitles-Detail 3 2 6 2 2_Tertiary Salaries Survey" xfId="20748" xr:uid="{00000000-0005-0000-0000-00001F510000}"/>
    <cellStyle name="RowTitles-Detail 3 2 6 2 3" xfId="20749" xr:uid="{00000000-0005-0000-0000-000020510000}"/>
    <cellStyle name="RowTitles-Detail 3 2 6 2_Tertiary Salaries Survey" xfId="20750" xr:uid="{00000000-0005-0000-0000-000021510000}"/>
    <cellStyle name="RowTitles-Detail 3 2 6 3" xfId="20751" xr:uid="{00000000-0005-0000-0000-000022510000}"/>
    <cellStyle name="RowTitles-Detail 3 2 6 3 2" xfId="20752" xr:uid="{00000000-0005-0000-0000-000023510000}"/>
    <cellStyle name="RowTitles-Detail 3 2 6 3 2 2" xfId="20753" xr:uid="{00000000-0005-0000-0000-000024510000}"/>
    <cellStyle name="RowTitles-Detail 3 2 6 3 2_Tertiary Salaries Survey" xfId="20754" xr:uid="{00000000-0005-0000-0000-000025510000}"/>
    <cellStyle name="RowTitles-Detail 3 2 6 3 3" xfId="20755" xr:uid="{00000000-0005-0000-0000-000026510000}"/>
    <cellStyle name="RowTitles-Detail 3 2 6 3_Tertiary Salaries Survey" xfId="20756" xr:uid="{00000000-0005-0000-0000-000027510000}"/>
    <cellStyle name="RowTitles-Detail 3 2 6 4" xfId="20757" xr:uid="{00000000-0005-0000-0000-000028510000}"/>
    <cellStyle name="RowTitles-Detail 3 2 6 5" xfId="20758" xr:uid="{00000000-0005-0000-0000-000029510000}"/>
    <cellStyle name="RowTitles-Detail 3 2 6 5 2" xfId="20759" xr:uid="{00000000-0005-0000-0000-00002A510000}"/>
    <cellStyle name="RowTitles-Detail 3 2 6 5_Tertiary Salaries Survey" xfId="20760" xr:uid="{00000000-0005-0000-0000-00002B510000}"/>
    <cellStyle name="RowTitles-Detail 3 2 6 6" xfId="20761" xr:uid="{00000000-0005-0000-0000-00002C510000}"/>
    <cellStyle name="RowTitles-Detail 3 2 6_Tertiary Salaries Survey" xfId="20762" xr:uid="{00000000-0005-0000-0000-00002D510000}"/>
    <cellStyle name="RowTitles-Detail 3 2 7" xfId="20763" xr:uid="{00000000-0005-0000-0000-00002E510000}"/>
    <cellStyle name="RowTitles-Detail 3 2 7 2" xfId="20764" xr:uid="{00000000-0005-0000-0000-00002F510000}"/>
    <cellStyle name="RowTitles-Detail 3 2 7 2 2" xfId="20765" xr:uid="{00000000-0005-0000-0000-000030510000}"/>
    <cellStyle name="RowTitles-Detail 3 2 7 2 2 2" xfId="20766" xr:uid="{00000000-0005-0000-0000-000031510000}"/>
    <cellStyle name="RowTitles-Detail 3 2 7 2 2_Tertiary Salaries Survey" xfId="20767" xr:uid="{00000000-0005-0000-0000-000032510000}"/>
    <cellStyle name="RowTitles-Detail 3 2 7 2 3" xfId="20768" xr:uid="{00000000-0005-0000-0000-000033510000}"/>
    <cellStyle name="RowTitles-Detail 3 2 7 2_Tertiary Salaries Survey" xfId="20769" xr:uid="{00000000-0005-0000-0000-000034510000}"/>
    <cellStyle name="RowTitles-Detail 3 2 7 3" xfId="20770" xr:uid="{00000000-0005-0000-0000-000035510000}"/>
    <cellStyle name="RowTitles-Detail 3 2 7 3 2" xfId="20771" xr:uid="{00000000-0005-0000-0000-000036510000}"/>
    <cellStyle name="RowTitles-Detail 3 2 7 3 2 2" xfId="20772" xr:uid="{00000000-0005-0000-0000-000037510000}"/>
    <cellStyle name="RowTitles-Detail 3 2 7 3 2_Tertiary Salaries Survey" xfId="20773" xr:uid="{00000000-0005-0000-0000-000038510000}"/>
    <cellStyle name="RowTitles-Detail 3 2 7 3 3" xfId="20774" xr:uid="{00000000-0005-0000-0000-000039510000}"/>
    <cellStyle name="RowTitles-Detail 3 2 7 3_Tertiary Salaries Survey" xfId="20775" xr:uid="{00000000-0005-0000-0000-00003A510000}"/>
    <cellStyle name="RowTitles-Detail 3 2 7 4" xfId="20776" xr:uid="{00000000-0005-0000-0000-00003B510000}"/>
    <cellStyle name="RowTitles-Detail 3 2 7 5" xfId="20777" xr:uid="{00000000-0005-0000-0000-00003C510000}"/>
    <cellStyle name="RowTitles-Detail 3 2 7_Tertiary Salaries Survey" xfId="20778" xr:uid="{00000000-0005-0000-0000-00003D510000}"/>
    <cellStyle name="RowTitles-Detail 3 2 8" xfId="20779" xr:uid="{00000000-0005-0000-0000-00003E510000}"/>
    <cellStyle name="RowTitles-Detail 3 2 8 2" xfId="20780" xr:uid="{00000000-0005-0000-0000-00003F510000}"/>
    <cellStyle name="RowTitles-Detail 3 2 8 2 2" xfId="20781" xr:uid="{00000000-0005-0000-0000-000040510000}"/>
    <cellStyle name="RowTitles-Detail 3 2 8 2 2 2" xfId="20782" xr:uid="{00000000-0005-0000-0000-000041510000}"/>
    <cellStyle name="RowTitles-Detail 3 2 8 2 2_Tertiary Salaries Survey" xfId="20783" xr:uid="{00000000-0005-0000-0000-000042510000}"/>
    <cellStyle name="RowTitles-Detail 3 2 8 2 3" xfId="20784" xr:uid="{00000000-0005-0000-0000-000043510000}"/>
    <cellStyle name="RowTitles-Detail 3 2 8 2_Tertiary Salaries Survey" xfId="20785" xr:uid="{00000000-0005-0000-0000-000044510000}"/>
    <cellStyle name="RowTitles-Detail 3 2 8 3" xfId="20786" xr:uid="{00000000-0005-0000-0000-000045510000}"/>
    <cellStyle name="RowTitles-Detail 3 2 8 3 2" xfId="20787" xr:uid="{00000000-0005-0000-0000-000046510000}"/>
    <cellStyle name="RowTitles-Detail 3 2 8 3 2 2" xfId="20788" xr:uid="{00000000-0005-0000-0000-000047510000}"/>
    <cellStyle name="RowTitles-Detail 3 2 8 3 2_Tertiary Salaries Survey" xfId="20789" xr:uid="{00000000-0005-0000-0000-000048510000}"/>
    <cellStyle name="RowTitles-Detail 3 2 8 3 3" xfId="20790" xr:uid="{00000000-0005-0000-0000-000049510000}"/>
    <cellStyle name="RowTitles-Detail 3 2 8 3_Tertiary Salaries Survey" xfId="20791" xr:uid="{00000000-0005-0000-0000-00004A510000}"/>
    <cellStyle name="RowTitles-Detail 3 2 8 4" xfId="20792" xr:uid="{00000000-0005-0000-0000-00004B510000}"/>
    <cellStyle name="RowTitles-Detail 3 2 8 5" xfId="20793" xr:uid="{00000000-0005-0000-0000-00004C510000}"/>
    <cellStyle name="RowTitles-Detail 3 2 8 5 2" xfId="20794" xr:uid="{00000000-0005-0000-0000-00004D510000}"/>
    <cellStyle name="RowTitles-Detail 3 2 8 5_Tertiary Salaries Survey" xfId="20795" xr:uid="{00000000-0005-0000-0000-00004E510000}"/>
    <cellStyle name="RowTitles-Detail 3 2 8 6" xfId="20796" xr:uid="{00000000-0005-0000-0000-00004F510000}"/>
    <cellStyle name="RowTitles-Detail 3 2 8_Tertiary Salaries Survey" xfId="20797" xr:uid="{00000000-0005-0000-0000-000050510000}"/>
    <cellStyle name="RowTitles-Detail 3 2 9" xfId="20798" xr:uid="{00000000-0005-0000-0000-000051510000}"/>
    <cellStyle name="RowTitles-Detail 3 2 9 2" xfId="20799" xr:uid="{00000000-0005-0000-0000-000052510000}"/>
    <cellStyle name="RowTitles-Detail 3 2 9 2 2" xfId="20800" xr:uid="{00000000-0005-0000-0000-000053510000}"/>
    <cellStyle name="RowTitles-Detail 3 2 9 2 2 2" xfId="20801" xr:uid="{00000000-0005-0000-0000-000054510000}"/>
    <cellStyle name="RowTitles-Detail 3 2 9 2 2_Tertiary Salaries Survey" xfId="20802" xr:uid="{00000000-0005-0000-0000-000055510000}"/>
    <cellStyle name="RowTitles-Detail 3 2 9 2 3" xfId="20803" xr:uid="{00000000-0005-0000-0000-000056510000}"/>
    <cellStyle name="RowTitles-Detail 3 2 9 2_Tertiary Salaries Survey" xfId="20804" xr:uid="{00000000-0005-0000-0000-000057510000}"/>
    <cellStyle name="RowTitles-Detail 3 2 9 3" xfId="20805" xr:uid="{00000000-0005-0000-0000-000058510000}"/>
    <cellStyle name="RowTitles-Detail 3 2 9 3 2" xfId="20806" xr:uid="{00000000-0005-0000-0000-000059510000}"/>
    <cellStyle name="RowTitles-Detail 3 2 9 3 2 2" xfId="20807" xr:uid="{00000000-0005-0000-0000-00005A510000}"/>
    <cellStyle name="RowTitles-Detail 3 2 9 3 2_Tertiary Salaries Survey" xfId="20808" xr:uid="{00000000-0005-0000-0000-00005B510000}"/>
    <cellStyle name="RowTitles-Detail 3 2 9 3 3" xfId="20809" xr:uid="{00000000-0005-0000-0000-00005C510000}"/>
    <cellStyle name="RowTitles-Detail 3 2 9 3_Tertiary Salaries Survey" xfId="20810" xr:uid="{00000000-0005-0000-0000-00005D510000}"/>
    <cellStyle name="RowTitles-Detail 3 2 9 4" xfId="20811" xr:uid="{00000000-0005-0000-0000-00005E510000}"/>
    <cellStyle name="RowTitles-Detail 3 2 9 4 2" xfId="20812" xr:uid="{00000000-0005-0000-0000-00005F510000}"/>
    <cellStyle name="RowTitles-Detail 3 2 9 4_Tertiary Salaries Survey" xfId="20813" xr:uid="{00000000-0005-0000-0000-000060510000}"/>
    <cellStyle name="RowTitles-Detail 3 2 9 5" xfId="20814" xr:uid="{00000000-0005-0000-0000-000061510000}"/>
    <cellStyle name="RowTitles-Detail 3 2 9_Tertiary Salaries Survey" xfId="20815" xr:uid="{00000000-0005-0000-0000-000062510000}"/>
    <cellStyle name="RowTitles-Detail 3 2_STUD aligned by INSTIT" xfId="20816" xr:uid="{00000000-0005-0000-0000-000063510000}"/>
    <cellStyle name="RowTitles-Detail 3 3" xfId="20817" xr:uid="{00000000-0005-0000-0000-000064510000}"/>
    <cellStyle name="RowTitles-Detail 3 3 10" xfId="20818" xr:uid="{00000000-0005-0000-0000-000065510000}"/>
    <cellStyle name="RowTitles-Detail 3 3 10 2" xfId="20819" xr:uid="{00000000-0005-0000-0000-000066510000}"/>
    <cellStyle name="RowTitles-Detail 3 3 10 2 2" xfId="20820" xr:uid="{00000000-0005-0000-0000-000067510000}"/>
    <cellStyle name="RowTitles-Detail 3 3 10 2_Tertiary Salaries Survey" xfId="20821" xr:uid="{00000000-0005-0000-0000-000068510000}"/>
    <cellStyle name="RowTitles-Detail 3 3 10 3" xfId="20822" xr:uid="{00000000-0005-0000-0000-000069510000}"/>
    <cellStyle name="RowTitles-Detail 3 3 10_Tertiary Salaries Survey" xfId="20823" xr:uid="{00000000-0005-0000-0000-00006A510000}"/>
    <cellStyle name="RowTitles-Detail 3 3 11" xfId="20824" xr:uid="{00000000-0005-0000-0000-00006B510000}"/>
    <cellStyle name="RowTitles-Detail 3 3 12" xfId="20825" xr:uid="{00000000-0005-0000-0000-00006C510000}"/>
    <cellStyle name="RowTitles-Detail 3 3 2" xfId="20826" xr:uid="{00000000-0005-0000-0000-00006D510000}"/>
    <cellStyle name="RowTitles-Detail 3 3 2 2" xfId="20827" xr:uid="{00000000-0005-0000-0000-00006E510000}"/>
    <cellStyle name="RowTitles-Detail 3 3 2 2 2" xfId="20828" xr:uid="{00000000-0005-0000-0000-00006F510000}"/>
    <cellStyle name="RowTitles-Detail 3 3 2 2 2 2" xfId="20829" xr:uid="{00000000-0005-0000-0000-000070510000}"/>
    <cellStyle name="RowTitles-Detail 3 3 2 2 2 2 2" xfId="20830" xr:uid="{00000000-0005-0000-0000-000071510000}"/>
    <cellStyle name="RowTitles-Detail 3 3 2 2 2 2_Tertiary Salaries Survey" xfId="20831" xr:uid="{00000000-0005-0000-0000-000072510000}"/>
    <cellStyle name="RowTitles-Detail 3 3 2 2 2 3" xfId="20832" xr:uid="{00000000-0005-0000-0000-000073510000}"/>
    <cellStyle name="RowTitles-Detail 3 3 2 2 2_Tertiary Salaries Survey" xfId="20833" xr:uid="{00000000-0005-0000-0000-000074510000}"/>
    <cellStyle name="RowTitles-Detail 3 3 2 2 3" xfId="20834" xr:uid="{00000000-0005-0000-0000-000075510000}"/>
    <cellStyle name="RowTitles-Detail 3 3 2 2 3 2" xfId="20835" xr:uid="{00000000-0005-0000-0000-000076510000}"/>
    <cellStyle name="RowTitles-Detail 3 3 2 2 3 2 2" xfId="20836" xr:uid="{00000000-0005-0000-0000-000077510000}"/>
    <cellStyle name="RowTitles-Detail 3 3 2 2 3 2_Tertiary Salaries Survey" xfId="20837" xr:uid="{00000000-0005-0000-0000-000078510000}"/>
    <cellStyle name="RowTitles-Detail 3 3 2 2 3 3" xfId="20838" xr:uid="{00000000-0005-0000-0000-000079510000}"/>
    <cellStyle name="RowTitles-Detail 3 3 2 2 3_Tertiary Salaries Survey" xfId="20839" xr:uid="{00000000-0005-0000-0000-00007A510000}"/>
    <cellStyle name="RowTitles-Detail 3 3 2 2 4" xfId="20840" xr:uid="{00000000-0005-0000-0000-00007B510000}"/>
    <cellStyle name="RowTitles-Detail 3 3 2 2 5" xfId="20841" xr:uid="{00000000-0005-0000-0000-00007C510000}"/>
    <cellStyle name="RowTitles-Detail 3 3 2 2_Tertiary Salaries Survey" xfId="20842" xr:uid="{00000000-0005-0000-0000-00007D510000}"/>
    <cellStyle name="RowTitles-Detail 3 3 2 3" xfId="20843" xr:uid="{00000000-0005-0000-0000-00007E510000}"/>
    <cellStyle name="RowTitles-Detail 3 3 2 3 2" xfId="20844" xr:uid="{00000000-0005-0000-0000-00007F510000}"/>
    <cellStyle name="RowTitles-Detail 3 3 2 3 2 2" xfId="20845" xr:uid="{00000000-0005-0000-0000-000080510000}"/>
    <cellStyle name="RowTitles-Detail 3 3 2 3 2 2 2" xfId="20846" xr:uid="{00000000-0005-0000-0000-000081510000}"/>
    <cellStyle name="RowTitles-Detail 3 3 2 3 2 2_Tertiary Salaries Survey" xfId="20847" xr:uid="{00000000-0005-0000-0000-000082510000}"/>
    <cellStyle name="RowTitles-Detail 3 3 2 3 2 3" xfId="20848" xr:uid="{00000000-0005-0000-0000-000083510000}"/>
    <cellStyle name="RowTitles-Detail 3 3 2 3 2_Tertiary Salaries Survey" xfId="20849" xr:uid="{00000000-0005-0000-0000-000084510000}"/>
    <cellStyle name="RowTitles-Detail 3 3 2 3 3" xfId="20850" xr:uid="{00000000-0005-0000-0000-000085510000}"/>
    <cellStyle name="RowTitles-Detail 3 3 2 3 3 2" xfId="20851" xr:uid="{00000000-0005-0000-0000-000086510000}"/>
    <cellStyle name="RowTitles-Detail 3 3 2 3 3 2 2" xfId="20852" xr:uid="{00000000-0005-0000-0000-000087510000}"/>
    <cellStyle name="RowTitles-Detail 3 3 2 3 3 2_Tertiary Salaries Survey" xfId="20853" xr:uid="{00000000-0005-0000-0000-000088510000}"/>
    <cellStyle name="RowTitles-Detail 3 3 2 3 3 3" xfId="20854" xr:uid="{00000000-0005-0000-0000-000089510000}"/>
    <cellStyle name="RowTitles-Detail 3 3 2 3 3_Tertiary Salaries Survey" xfId="20855" xr:uid="{00000000-0005-0000-0000-00008A510000}"/>
    <cellStyle name="RowTitles-Detail 3 3 2 3 4" xfId="20856" xr:uid="{00000000-0005-0000-0000-00008B510000}"/>
    <cellStyle name="RowTitles-Detail 3 3 2 3 5" xfId="20857" xr:uid="{00000000-0005-0000-0000-00008C510000}"/>
    <cellStyle name="RowTitles-Detail 3 3 2 3 5 2" xfId="20858" xr:uid="{00000000-0005-0000-0000-00008D510000}"/>
    <cellStyle name="RowTitles-Detail 3 3 2 3 5_Tertiary Salaries Survey" xfId="20859" xr:uid="{00000000-0005-0000-0000-00008E510000}"/>
    <cellStyle name="RowTitles-Detail 3 3 2 3 6" xfId="20860" xr:uid="{00000000-0005-0000-0000-00008F510000}"/>
    <cellStyle name="RowTitles-Detail 3 3 2 3_Tertiary Salaries Survey" xfId="20861" xr:uid="{00000000-0005-0000-0000-000090510000}"/>
    <cellStyle name="RowTitles-Detail 3 3 2 4" xfId="20862" xr:uid="{00000000-0005-0000-0000-000091510000}"/>
    <cellStyle name="RowTitles-Detail 3 3 2 4 2" xfId="20863" xr:uid="{00000000-0005-0000-0000-000092510000}"/>
    <cellStyle name="RowTitles-Detail 3 3 2 4 2 2" xfId="20864" xr:uid="{00000000-0005-0000-0000-000093510000}"/>
    <cellStyle name="RowTitles-Detail 3 3 2 4 2 2 2" xfId="20865" xr:uid="{00000000-0005-0000-0000-000094510000}"/>
    <cellStyle name="RowTitles-Detail 3 3 2 4 2 2_Tertiary Salaries Survey" xfId="20866" xr:uid="{00000000-0005-0000-0000-000095510000}"/>
    <cellStyle name="RowTitles-Detail 3 3 2 4 2 3" xfId="20867" xr:uid="{00000000-0005-0000-0000-000096510000}"/>
    <cellStyle name="RowTitles-Detail 3 3 2 4 2_Tertiary Salaries Survey" xfId="20868" xr:uid="{00000000-0005-0000-0000-000097510000}"/>
    <cellStyle name="RowTitles-Detail 3 3 2 4 3" xfId="20869" xr:uid="{00000000-0005-0000-0000-000098510000}"/>
    <cellStyle name="RowTitles-Detail 3 3 2 4 3 2" xfId="20870" xr:uid="{00000000-0005-0000-0000-000099510000}"/>
    <cellStyle name="RowTitles-Detail 3 3 2 4 3 2 2" xfId="20871" xr:uid="{00000000-0005-0000-0000-00009A510000}"/>
    <cellStyle name="RowTitles-Detail 3 3 2 4 3 2_Tertiary Salaries Survey" xfId="20872" xr:uid="{00000000-0005-0000-0000-00009B510000}"/>
    <cellStyle name="RowTitles-Detail 3 3 2 4 3 3" xfId="20873" xr:uid="{00000000-0005-0000-0000-00009C510000}"/>
    <cellStyle name="RowTitles-Detail 3 3 2 4 3_Tertiary Salaries Survey" xfId="20874" xr:uid="{00000000-0005-0000-0000-00009D510000}"/>
    <cellStyle name="RowTitles-Detail 3 3 2 4 4" xfId="20875" xr:uid="{00000000-0005-0000-0000-00009E510000}"/>
    <cellStyle name="RowTitles-Detail 3 3 2 4 4 2" xfId="20876" xr:uid="{00000000-0005-0000-0000-00009F510000}"/>
    <cellStyle name="RowTitles-Detail 3 3 2 4 4_Tertiary Salaries Survey" xfId="20877" xr:uid="{00000000-0005-0000-0000-0000A0510000}"/>
    <cellStyle name="RowTitles-Detail 3 3 2 4 5" xfId="20878" xr:uid="{00000000-0005-0000-0000-0000A1510000}"/>
    <cellStyle name="RowTitles-Detail 3 3 2 4_Tertiary Salaries Survey" xfId="20879" xr:uid="{00000000-0005-0000-0000-0000A2510000}"/>
    <cellStyle name="RowTitles-Detail 3 3 2 5" xfId="20880" xr:uid="{00000000-0005-0000-0000-0000A3510000}"/>
    <cellStyle name="RowTitles-Detail 3 3 2 5 2" xfId="20881" xr:uid="{00000000-0005-0000-0000-0000A4510000}"/>
    <cellStyle name="RowTitles-Detail 3 3 2 5 2 2" xfId="20882" xr:uid="{00000000-0005-0000-0000-0000A5510000}"/>
    <cellStyle name="RowTitles-Detail 3 3 2 5 2 2 2" xfId="20883" xr:uid="{00000000-0005-0000-0000-0000A6510000}"/>
    <cellStyle name="RowTitles-Detail 3 3 2 5 2 2_Tertiary Salaries Survey" xfId="20884" xr:uid="{00000000-0005-0000-0000-0000A7510000}"/>
    <cellStyle name="RowTitles-Detail 3 3 2 5 2 3" xfId="20885" xr:uid="{00000000-0005-0000-0000-0000A8510000}"/>
    <cellStyle name="RowTitles-Detail 3 3 2 5 2_Tertiary Salaries Survey" xfId="20886" xr:uid="{00000000-0005-0000-0000-0000A9510000}"/>
    <cellStyle name="RowTitles-Detail 3 3 2 5 3" xfId="20887" xr:uid="{00000000-0005-0000-0000-0000AA510000}"/>
    <cellStyle name="RowTitles-Detail 3 3 2 5 3 2" xfId="20888" xr:uid="{00000000-0005-0000-0000-0000AB510000}"/>
    <cellStyle name="RowTitles-Detail 3 3 2 5 3 2 2" xfId="20889" xr:uid="{00000000-0005-0000-0000-0000AC510000}"/>
    <cellStyle name="RowTitles-Detail 3 3 2 5 3 2_Tertiary Salaries Survey" xfId="20890" xr:uid="{00000000-0005-0000-0000-0000AD510000}"/>
    <cellStyle name="RowTitles-Detail 3 3 2 5 3 3" xfId="20891" xr:uid="{00000000-0005-0000-0000-0000AE510000}"/>
    <cellStyle name="RowTitles-Detail 3 3 2 5 3_Tertiary Salaries Survey" xfId="20892" xr:uid="{00000000-0005-0000-0000-0000AF510000}"/>
    <cellStyle name="RowTitles-Detail 3 3 2 5 4" xfId="20893" xr:uid="{00000000-0005-0000-0000-0000B0510000}"/>
    <cellStyle name="RowTitles-Detail 3 3 2 5 4 2" xfId="20894" xr:uid="{00000000-0005-0000-0000-0000B1510000}"/>
    <cellStyle name="RowTitles-Detail 3 3 2 5 4_Tertiary Salaries Survey" xfId="20895" xr:uid="{00000000-0005-0000-0000-0000B2510000}"/>
    <cellStyle name="RowTitles-Detail 3 3 2 5 5" xfId="20896" xr:uid="{00000000-0005-0000-0000-0000B3510000}"/>
    <cellStyle name="RowTitles-Detail 3 3 2 5_Tertiary Salaries Survey" xfId="20897" xr:uid="{00000000-0005-0000-0000-0000B4510000}"/>
    <cellStyle name="RowTitles-Detail 3 3 2 6" xfId="20898" xr:uid="{00000000-0005-0000-0000-0000B5510000}"/>
    <cellStyle name="RowTitles-Detail 3 3 2 6 2" xfId="20899" xr:uid="{00000000-0005-0000-0000-0000B6510000}"/>
    <cellStyle name="RowTitles-Detail 3 3 2 6 2 2" xfId="20900" xr:uid="{00000000-0005-0000-0000-0000B7510000}"/>
    <cellStyle name="RowTitles-Detail 3 3 2 6 2 2 2" xfId="20901" xr:uid="{00000000-0005-0000-0000-0000B8510000}"/>
    <cellStyle name="RowTitles-Detail 3 3 2 6 2 2_Tertiary Salaries Survey" xfId="20902" xr:uid="{00000000-0005-0000-0000-0000B9510000}"/>
    <cellStyle name="RowTitles-Detail 3 3 2 6 2 3" xfId="20903" xr:uid="{00000000-0005-0000-0000-0000BA510000}"/>
    <cellStyle name="RowTitles-Detail 3 3 2 6 2_Tertiary Salaries Survey" xfId="20904" xr:uid="{00000000-0005-0000-0000-0000BB510000}"/>
    <cellStyle name="RowTitles-Detail 3 3 2 6 3" xfId="20905" xr:uid="{00000000-0005-0000-0000-0000BC510000}"/>
    <cellStyle name="RowTitles-Detail 3 3 2 6 3 2" xfId="20906" xr:uid="{00000000-0005-0000-0000-0000BD510000}"/>
    <cellStyle name="RowTitles-Detail 3 3 2 6 3 2 2" xfId="20907" xr:uid="{00000000-0005-0000-0000-0000BE510000}"/>
    <cellStyle name="RowTitles-Detail 3 3 2 6 3 2_Tertiary Salaries Survey" xfId="20908" xr:uid="{00000000-0005-0000-0000-0000BF510000}"/>
    <cellStyle name="RowTitles-Detail 3 3 2 6 3 3" xfId="20909" xr:uid="{00000000-0005-0000-0000-0000C0510000}"/>
    <cellStyle name="RowTitles-Detail 3 3 2 6 3_Tertiary Salaries Survey" xfId="20910" xr:uid="{00000000-0005-0000-0000-0000C1510000}"/>
    <cellStyle name="RowTitles-Detail 3 3 2 6 4" xfId="20911" xr:uid="{00000000-0005-0000-0000-0000C2510000}"/>
    <cellStyle name="RowTitles-Detail 3 3 2 6 4 2" xfId="20912" xr:uid="{00000000-0005-0000-0000-0000C3510000}"/>
    <cellStyle name="RowTitles-Detail 3 3 2 6 4_Tertiary Salaries Survey" xfId="20913" xr:uid="{00000000-0005-0000-0000-0000C4510000}"/>
    <cellStyle name="RowTitles-Detail 3 3 2 6 5" xfId="20914" xr:uid="{00000000-0005-0000-0000-0000C5510000}"/>
    <cellStyle name="RowTitles-Detail 3 3 2 6_Tertiary Salaries Survey" xfId="20915" xr:uid="{00000000-0005-0000-0000-0000C6510000}"/>
    <cellStyle name="RowTitles-Detail 3 3 2 7" xfId="20916" xr:uid="{00000000-0005-0000-0000-0000C7510000}"/>
    <cellStyle name="RowTitles-Detail 3 3 2 7 2" xfId="20917" xr:uid="{00000000-0005-0000-0000-0000C8510000}"/>
    <cellStyle name="RowTitles-Detail 3 3 2 7 2 2" xfId="20918" xr:uid="{00000000-0005-0000-0000-0000C9510000}"/>
    <cellStyle name="RowTitles-Detail 3 3 2 7 2_Tertiary Salaries Survey" xfId="20919" xr:uid="{00000000-0005-0000-0000-0000CA510000}"/>
    <cellStyle name="RowTitles-Detail 3 3 2 7 3" xfId="20920" xr:uid="{00000000-0005-0000-0000-0000CB510000}"/>
    <cellStyle name="RowTitles-Detail 3 3 2 7_Tertiary Salaries Survey" xfId="20921" xr:uid="{00000000-0005-0000-0000-0000CC510000}"/>
    <cellStyle name="RowTitles-Detail 3 3 2 8" xfId="20922" xr:uid="{00000000-0005-0000-0000-0000CD510000}"/>
    <cellStyle name="RowTitles-Detail 3 3 2 9" xfId="20923" xr:uid="{00000000-0005-0000-0000-0000CE510000}"/>
    <cellStyle name="RowTitles-Detail 3 3 2_STUD aligned by INSTIT" xfId="20924" xr:uid="{00000000-0005-0000-0000-0000CF510000}"/>
    <cellStyle name="RowTitles-Detail 3 3 3" xfId="20925" xr:uid="{00000000-0005-0000-0000-0000D0510000}"/>
    <cellStyle name="RowTitles-Detail 3 3 3 2" xfId="20926" xr:uid="{00000000-0005-0000-0000-0000D1510000}"/>
    <cellStyle name="RowTitles-Detail 3 3 3 2 2" xfId="20927" xr:uid="{00000000-0005-0000-0000-0000D2510000}"/>
    <cellStyle name="RowTitles-Detail 3 3 3 2 2 2" xfId="20928" xr:uid="{00000000-0005-0000-0000-0000D3510000}"/>
    <cellStyle name="RowTitles-Detail 3 3 3 2 2 2 2" xfId="20929" xr:uid="{00000000-0005-0000-0000-0000D4510000}"/>
    <cellStyle name="RowTitles-Detail 3 3 3 2 2 2_Tertiary Salaries Survey" xfId="20930" xr:uid="{00000000-0005-0000-0000-0000D5510000}"/>
    <cellStyle name="RowTitles-Detail 3 3 3 2 2 3" xfId="20931" xr:uid="{00000000-0005-0000-0000-0000D6510000}"/>
    <cellStyle name="RowTitles-Detail 3 3 3 2 2_Tertiary Salaries Survey" xfId="20932" xr:uid="{00000000-0005-0000-0000-0000D7510000}"/>
    <cellStyle name="RowTitles-Detail 3 3 3 2 3" xfId="20933" xr:uid="{00000000-0005-0000-0000-0000D8510000}"/>
    <cellStyle name="RowTitles-Detail 3 3 3 2 3 2" xfId="20934" xr:uid="{00000000-0005-0000-0000-0000D9510000}"/>
    <cellStyle name="RowTitles-Detail 3 3 3 2 3 2 2" xfId="20935" xr:uid="{00000000-0005-0000-0000-0000DA510000}"/>
    <cellStyle name="RowTitles-Detail 3 3 3 2 3 2_Tertiary Salaries Survey" xfId="20936" xr:uid="{00000000-0005-0000-0000-0000DB510000}"/>
    <cellStyle name="RowTitles-Detail 3 3 3 2 3 3" xfId="20937" xr:uid="{00000000-0005-0000-0000-0000DC510000}"/>
    <cellStyle name="RowTitles-Detail 3 3 3 2 3_Tertiary Salaries Survey" xfId="20938" xr:uid="{00000000-0005-0000-0000-0000DD510000}"/>
    <cellStyle name="RowTitles-Detail 3 3 3 2 4" xfId="20939" xr:uid="{00000000-0005-0000-0000-0000DE510000}"/>
    <cellStyle name="RowTitles-Detail 3 3 3 2 5" xfId="20940" xr:uid="{00000000-0005-0000-0000-0000DF510000}"/>
    <cellStyle name="RowTitles-Detail 3 3 3 2 5 2" xfId="20941" xr:uid="{00000000-0005-0000-0000-0000E0510000}"/>
    <cellStyle name="RowTitles-Detail 3 3 3 2 5_Tertiary Salaries Survey" xfId="20942" xr:uid="{00000000-0005-0000-0000-0000E1510000}"/>
    <cellStyle name="RowTitles-Detail 3 3 3 2 6" xfId="20943" xr:uid="{00000000-0005-0000-0000-0000E2510000}"/>
    <cellStyle name="RowTitles-Detail 3 3 3 2_Tertiary Salaries Survey" xfId="20944" xr:uid="{00000000-0005-0000-0000-0000E3510000}"/>
    <cellStyle name="RowTitles-Detail 3 3 3 3" xfId="20945" xr:uid="{00000000-0005-0000-0000-0000E4510000}"/>
    <cellStyle name="RowTitles-Detail 3 3 3 3 2" xfId="20946" xr:uid="{00000000-0005-0000-0000-0000E5510000}"/>
    <cellStyle name="RowTitles-Detail 3 3 3 3 2 2" xfId="20947" xr:uid="{00000000-0005-0000-0000-0000E6510000}"/>
    <cellStyle name="RowTitles-Detail 3 3 3 3 2 2 2" xfId="20948" xr:uid="{00000000-0005-0000-0000-0000E7510000}"/>
    <cellStyle name="RowTitles-Detail 3 3 3 3 2 2_Tertiary Salaries Survey" xfId="20949" xr:uid="{00000000-0005-0000-0000-0000E8510000}"/>
    <cellStyle name="RowTitles-Detail 3 3 3 3 2 3" xfId="20950" xr:uid="{00000000-0005-0000-0000-0000E9510000}"/>
    <cellStyle name="RowTitles-Detail 3 3 3 3 2_Tertiary Salaries Survey" xfId="20951" xr:uid="{00000000-0005-0000-0000-0000EA510000}"/>
    <cellStyle name="RowTitles-Detail 3 3 3 3 3" xfId="20952" xr:uid="{00000000-0005-0000-0000-0000EB510000}"/>
    <cellStyle name="RowTitles-Detail 3 3 3 3 3 2" xfId="20953" xr:uid="{00000000-0005-0000-0000-0000EC510000}"/>
    <cellStyle name="RowTitles-Detail 3 3 3 3 3 2 2" xfId="20954" xr:uid="{00000000-0005-0000-0000-0000ED510000}"/>
    <cellStyle name="RowTitles-Detail 3 3 3 3 3 2_Tertiary Salaries Survey" xfId="20955" xr:uid="{00000000-0005-0000-0000-0000EE510000}"/>
    <cellStyle name="RowTitles-Detail 3 3 3 3 3 3" xfId="20956" xr:uid="{00000000-0005-0000-0000-0000EF510000}"/>
    <cellStyle name="RowTitles-Detail 3 3 3 3 3_Tertiary Salaries Survey" xfId="20957" xr:uid="{00000000-0005-0000-0000-0000F0510000}"/>
    <cellStyle name="RowTitles-Detail 3 3 3 3 4" xfId="20958" xr:uid="{00000000-0005-0000-0000-0000F1510000}"/>
    <cellStyle name="RowTitles-Detail 3 3 3 3 5" xfId="20959" xr:uid="{00000000-0005-0000-0000-0000F2510000}"/>
    <cellStyle name="RowTitles-Detail 3 3 3 3_Tertiary Salaries Survey" xfId="20960" xr:uid="{00000000-0005-0000-0000-0000F3510000}"/>
    <cellStyle name="RowTitles-Detail 3 3 3 4" xfId="20961" xr:uid="{00000000-0005-0000-0000-0000F4510000}"/>
    <cellStyle name="RowTitles-Detail 3 3 3 4 2" xfId="20962" xr:uid="{00000000-0005-0000-0000-0000F5510000}"/>
    <cellStyle name="RowTitles-Detail 3 3 3 4 2 2" xfId="20963" xr:uid="{00000000-0005-0000-0000-0000F6510000}"/>
    <cellStyle name="RowTitles-Detail 3 3 3 4 2 2 2" xfId="20964" xr:uid="{00000000-0005-0000-0000-0000F7510000}"/>
    <cellStyle name="RowTitles-Detail 3 3 3 4 2 2_Tertiary Salaries Survey" xfId="20965" xr:uid="{00000000-0005-0000-0000-0000F8510000}"/>
    <cellStyle name="RowTitles-Detail 3 3 3 4 2 3" xfId="20966" xr:uid="{00000000-0005-0000-0000-0000F9510000}"/>
    <cellStyle name="RowTitles-Detail 3 3 3 4 2_Tertiary Salaries Survey" xfId="20967" xr:uid="{00000000-0005-0000-0000-0000FA510000}"/>
    <cellStyle name="RowTitles-Detail 3 3 3 4 3" xfId="20968" xr:uid="{00000000-0005-0000-0000-0000FB510000}"/>
    <cellStyle name="RowTitles-Detail 3 3 3 4 3 2" xfId="20969" xr:uid="{00000000-0005-0000-0000-0000FC510000}"/>
    <cellStyle name="RowTitles-Detail 3 3 3 4 3 2 2" xfId="20970" xr:uid="{00000000-0005-0000-0000-0000FD510000}"/>
    <cellStyle name="RowTitles-Detail 3 3 3 4 3 2_Tertiary Salaries Survey" xfId="20971" xr:uid="{00000000-0005-0000-0000-0000FE510000}"/>
    <cellStyle name="RowTitles-Detail 3 3 3 4 3 3" xfId="20972" xr:uid="{00000000-0005-0000-0000-0000FF510000}"/>
    <cellStyle name="RowTitles-Detail 3 3 3 4 3_Tertiary Salaries Survey" xfId="20973" xr:uid="{00000000-0005-0000-0000-000000520000}"/>
    <cellStyle name="RowTitles-Detail 3 3 3 4 4" xfId="20974" xr:uid="{00000000-0005-0000-0000-000001520000}"/>
    <cellStyle name="RowTitles-Detail 3 3 3 4 4 2" xfId="20975" xr:uid="{00000000-0005-0000-0000-000002520000}"/>
    <cellStyle name="RowTitles-Detail 3 3 3 4 4_Tertiary Salaries Survey" xfId="20976" xr:uid="{00000000-0005-0000-0000-000003520000}"/>
    <cellStyle name="RowTitles-Detail 3 3 3 4 5" xfId="20977" xr:uid="{00000000-0005-0000-0000-000004520000}"/>
    <cellStyle name="RowTitles-Detail 3 3 3 4_Tertiary Salaries Survey" xfId="20978" xr:uid="{00000000-0005-0000-0000-000005520000}"/>
    <cellStyle name="RowTitles-Detail 3 3 3 5" xfId="20979" xr:uid="{00000000-0005-0000-0000-000006520000}"/>
    <cellStyle name="RowTitles-Detail 3 3 3 5 2" xfId="20980" xr:uid="{00000000-0005-0000-0000-000007520000}"/>
    <cellStyle name="RowTitles-Detail 3 3 3 5 2 2" xfId="20981" xr:uid="{00000000-0005-0000-0000-000008520000}"/>
    <cellStyle name="RowTitles-Detail 3 3 3 5 2 2 2" xfId="20982" xr:uid="{00000000-0005-0000-0000-000009520000}"/>
    <cellStyle name="RowTitles-Detail 3 3 3 5 2 2_Tertiary Salaries Survey" xfId="20983" xr:uid="{00000000-0005-0000-0000-00000A520000}"/>
    <cellStyle name="RowTitles-Detail 3 3 3 5 2 3" xfId="20984" xr:uid="{00000000-0005-0000-0000-00000B520000}"/>
    <cellStyle name="RowTitles-Detail 3 3 3 5 2_Tertiary Salaries Survey" xfId="20985" xr:uid="{00000000-0005-0000-0000-00000C520000}"/>
    <cellStyle name="RowTitles-Detail 3 3 3 5 3" xfId="20986" xr:uid="{00000000-0005-0000-0000-00000D520000}"/>
    <cellStyle name="RowTitles-Detail 3 3 3 5 3 2" xfId="20987" xr:uid="{00000000-0005-0000-0000-00000E520000}"/>
    <cellStyle name="RowTitles-Detail 3 3 3 5 3 2 2" xfId="20988" xr:uid="{00000000-0005-0000-0000-00000F520000}"/>
    <cellStyle name="RowTitles-Detail 3 3 3 5 3 2_Tertiary Salaries Survey" xfId="20989" xr:uid="{00000000-0005-0000-0000-000010520000}"/>
    <cellStyle name="RowTitles-Detail 3 3 3 5 3 3" xfId="20990" xr:uid="{00000000-0005-0000-0000-000011520000}"/>
    <cellStyle name="RowTitles-Detail 3 3 3 5 3_Tertiary Salaries Survey" xfId="20991" xr:uid="{00000000-0005-0000-0000-000012520000}"/>
    <cellStyle name="RowTitles-Detail 3 3 3 5 4" xfId="20992" xr:uid="{00000000-0005-0000-0000-000013520000}"/>
    <cellStyle name="RowTitles-Detail 3 3 3 5 4 2" xfId="20993" xr:uid="{00000000-0005-0000-0000-000014520000}"/>
    <cellStyle name="RowTitles-Detail 3 3 3 5 4_Tertiary Salaries Survey" xfId="20994" xr:uid="{00000000-0005-0000-0000-000015520000}"/>
    <cellStyle name="RowTitles-Detail 3 3 3 5 5" xfId="20995" xr:uid="{00000000-0005-0000-0000-000016520000}"/>
    <cellStyle name="RowTitles-Detail 3 3 3 5_Tertiary Salaries Survey" xfId="20996" xr:uid="{00000000-0005-0000-0000-000017520000}"/>
    <cellStyle name="RowTitles-Detail 3 3 3 6" xfId="20997" xr:uid="{00000000-0005-0000-0000-000018520000}"/>
    <cellStyle name="RowTitles-Detail 3 3 3 6 2" xfId="20998" xr:uid="{00000000-0005-0000-0000-000019520000}"/>
    <cellStyle name="RowTitles-Detail 3 3 3 6 2 2" xfId="20999" xr:uid="{00000000-0005-0000-0000-00001A520000}"/>
    <cellStyle name="RowTitles-Detail 3 3 3 6 2 2 2" xfId="21000" xr:uid="{00000000-0005-0000-0000-00001B520000}"/>
    <cellStyle name="RowTitles-Detail 3 3 3 6 2 2_Tertiary Salaries Survey" xfId="21001" xr:uid="{00000000-0005-0000-0000-00001C520000}"/>
    <cellStyle name="RowTitles-Detail 3 3 3 6 2 3" xfId="21002" xr:uid="{00000000-0005-0000-0000-00001D520000}"/>
    <cellStyle name="RowTitles-Detail 3 3 3 6 2_Tertiary Salaries Survey" xfId="21003" xr:uid="{00000000-0005-0000-0000-00001E520000}"/>
    <cellStyle name="RowTitles-Detail 3 3 3 6 3" xfId="21004" xr:uid="{00000000-0005-0000-0000-00001F520000}"/>
    <cellStyle name="RowTitles-Detail 3 3 3 6 3 2" xfId="21005" xr:uid="{00000000-0005-0000-0000-000020520000}"/>
    <cellStyle name="RowTitles-Detail 3 3 3 6 3 2 2" xfId="21006" xr:uid="{00000000-0005-0000-0000-000021520000}"/>
    <cellStyle name="RowTitles-Detail 3 3 3 6 3 2_Tertiary Salaries Survey" xfId="21007" xr:uid="{00000000-0005-0000-0000-000022520000}"/>
    <cellStyle name="RowTitles-Detail 3 3 3 6 3 3" xfId="21008" xr:uid="{00000000-0005-0000-0000-000023520000}"/>
    <cellStyle name="RowTitles-Detail 3 3 3 6 3_Tertiary Salaries Survey" xfId="21009" xr:uid="{00000000-0005-0000-0000-000024520000}"/>
    <cellStyle name="RowTitles-Detail 3 3 3 6 4" xfId="21010" xr:uid="{00000000-0005-0000-0000-000025520000}"/>
    <cellStyle name="RowTitles-Detail 3 3 3 6 4 2" xfId="21011" xr:uid="{00000000-0005-0000-0000-000026520000}"/>
    <cellStyle name="RowTitles-Detail 3 3 3 6 4_Tertiary Salaries Survey" xfId="21012" xr:uid="{00000000-0005-0000-0000-000027520000}"/>
    <cellStyle name="RowTitles-Detail 3 3 3 6 5" xfId="21013" xr:uid="{00000000-0005-0000-0000-000028520000}"/>
    <cellStyle name="RowTitles-Detail 3 3 3 6_Tertiary Salaries Survey" xfId="21014" xr:uid="{00000000-0005-0000-0000-000029520000}"/>
    <cellStyle name="RowTitles-Detail 3 3 3 7" xfId="21015" xr:uid="{00000000-0005-0000-0000-00002A520000}"/>
    <cellStyle name="RowTitles-Detail 3 3 3 7 2" xfId="21016" xr:uid="{00000000-0005-0000-0000-00002B520000}"/>
    <cellStyle name="RowTitles-Detail 3 3 3 7 2 2" xfId="21017" xr:uid="{00000000-0005-0000-0000-00002C520000}"/>
    <cellStyle name="RowTitles-Detail 3 3 3 7 2_Tertiary Salaries Survey" xfId="21018" xr:uid="{00000000-0005-0000-0000-00002D520000}"/>
    <cellStyle name="RowTitles-Detail 3 3 3 7 3" xfId="21019" xr:uid="{00000000-0005-0000-0000-00002E520000}"/>
    <cellStyle name="RowTitles-Detail 3 3 3 7_Tertiary Salaries Survey" xfId="21020" xr:uid="{00000000-0005-0000-0000-00002F520000}"/>
    <cellStyle name="RowTitles-Detail 3 3 3 8" xfId="21021" xr:uid="{00000000-0005-0000-0000-000030520000}"/>
    <cellStyle name="RowTitles-Detail 3 3 3 8 2" xfId="21022" xr:uid="{00000000-0005-0000-0000-000031520000}"/>
    <cellStyle name="RowTitles-Detail 3 3 3 8 2 2" xfId="21023" xr:uid="{00000000-0005-0000-0000-000032520000}"/>
    <cellStyle name="RowTitles-Detail 3 3 3 8 2_Tertiary Salaries Survey" xfId="21024" xr:uid="{00000000-0005-0000-0000-000033520000}"/>
    <cellStyle name="RowTitles-Detail 3 3 3 8 3" xfId="21025" xr:uid="{00000000-0005-0000-0000-000034520000}"/>
    <cellStyle name="RowTitles-Detail 3 3 3 8_Tertiary Salaries Survey" xfId="21026" xr:uid="{00000000-0005-0000-0000-000035520000}"/>
    <cellStyle name="RowTitles-Detail 3 3 3 9" xfId="21027" xr:uid="{00000000-0005-0000-0000-000036520000}"/>
    <cellStyle name="RowTitles-Detail 3 3 3_STUD aligned by INSTIT" xfId="21028" xr:uid="{00000000-0005-0000-0000-000037520000}"/>
    <cellStyle name="RowTitles-Detail 3 3 4" xfId="21029" xr:uid="{00000000-0005-0000-0000-000038520000}"/>
    <cellStyle name="RowTitles-Detail 3 3 4 2" xfId="21030" xr:uid="{00000000-0005-0000-0000-000039520000}"/>
    <cellStyle name="RowTitles-Detail 3 3 4 2 2" xfId="21031" xr:uid="{00000000-0005-0000-0000-00003A520000}"/>
    <cellStyle name="RowTitles-Detail 3 3 4 2 2 2" xfId="21032" xr:uid="{00000000-0005-0000-0000-00003B520000}"/>
    <cellStyle name="RowTitles-Detail 3 3 4 2 2 2 2" xfId="21033" xr:uid="{00000000-0005-0000-0000-00003C520000}"/>
    <cellStyle name="RowTitles-Detail 3 3 4 2 2 2_Tertiary Salaries Survey" xfId="21034" xr:uid="{00000000-0005-0000-0000-00003D520000}"/>
    <cellStyle name="RowTitles-Detail 3 3 4 2 2 3" xfId="21035" xr:uid="{00000000-0005-0000-0000-00003E520000}"/>
    <cellStyle name="RowTitles-Detail 3 3 4 2 2_Tertiary Salaries Survey" xfId="21036" xr:uid="{00000000-0005-0000-0000-00003F520000}"/>
    <cellStyle name="RowTitles-Detail 3 3 4 2 3" xfId="21037" xr:uid="{00000000-0005-0000-0000-000040520000}"/>
    <cellStyle name="RowTitles-Detail 3 3 4 2 3 2" xfId="21038" xr:uid="{00000000-0005-0000-0000-000041520000}"/>
    <cellStyle name="RowTitles-Detail 3 3 4 2 3 2 2" xfId="21039" xr:uid="{00000000-0005-0000-0000-000042520000}"/>
    <cellStyle name="RowTitles-Detail 3 3 4 2 3 2_Tertiary Salaries Survey" xfId="21040" xr:uid="{00000000-0005-0000-0000-000043520000}"/>
    <cellStyle name="RowTitles-Detail 3 3 4 2 3 3" xfId="21041" xr:uid="{00000000-0005-0000-0000-000044520000}"/>
    <cellStyle name="RowTitles-Detail 3 3 4 2 3_Tertiary Salaries Survey" xfId="21042" xr:uid="{00000000-0005-0000-0000-000045520000}"/>
    <cellStyle name="RowTitles-Detail 3 3 4 2 4" xfId="21043" xr:uid="{00000000-0005-0000-0000-000046520000}"/>
    <cellStyle name="RowTitles-Detail 3 3 4 2 5" xfId="21044" xr:uid="{00000000-0005-0000-0000-000047520000}"/>
    <cellStyle name="RowTitles-Detail 3 3 4 2 5 2" xfId="21045" xr:uid="{00000000-0005-0000-0000-000048520000}"/>
    <cellStyle name="RowTitles-Detail 3 3 4 2 5_Tertiary Salaries Survey" xfId="21046" xr:uid="{00000000-0005-0000-0000-000049520000}"/>
    <cellStyle name="RowTitles-Detail 3 3 4 2 6" xfId="21047" xr:uid="{00000000-0005-0000-0000-00004A520000}"/>
    <cellStyle name="RowTitles-Detail 3 3 4 2_Tertiary Salaries Survey" xfId="21048" xr:uid="{00000000-0005-0000-0000-00004B520000}"/>
    <cellStyle name="RowTitles-Detail 3 3 4 3" xfId="21049" xr:uid="{00000000-0005-0000-0000-00004C520000}"/>
    <cellStyle name="RowTitles-Detail 3 3 4 3 2" xfId="21050" xr:uid="{00000000-0005-0000-0000-00004D520000}"/>
    <cellStyle name="RowTitles-Detail 3 3 4 3 2 2" xfId="21051" xr:uid="{00000000-0005-0000-0000-00004E520000}"/>
    <cellStyle name="RowTitles-Detail 3 3 4 3 2 2 2" xfId="21052" xr:uid="{00000000-0005-0000-0000-00004F520000}"/>
    <cellStyle name="RowTitles-Detail 3 3 4 3 2 2_Tertiary Salaries Survey" xfId="21053" xr:uid="{00000000-0005-0000-0000-000050520000}"/>
    <cellStyle name="RowTitles-Detail 3 3 4 3 2 3" xfId="21054" xr:uid="{00000000-0005-0000-0000-000051520000}"/>
    <cellStyle name="RowTitles-Detail 3 3 4 3 2_Tertiary Salaries Survey" xfId="21055" xr:uid="{00000000-0005-0000-0000-000052520000}"/>
    <cellStyle name="RowTitles-Detail 3 3 4 3 3" xfId="21056" xr:uid="{00000000-0005-0000-0000-000053520000}"/>
    <cellStyle name="RowTitles-Detail 3 3 4 3 3 2" xfId="21057" xr:uid="{00000000-0005-0000-0000-000054520000}"/>
    <cellStyle name="RowTitles-Detail 3 3 4 3 3 2 2" xfId="21058" xr:uid="{00000000-0005-0000-0000-000055520000}"/>
    <cellStyle name="RowTitles-Detail 3 3 4 3 3 2_Tertiary Salaries Survey" xfId="21059" xr:uid="{00000000-0005-0000-0000-000056520000}"/>
    <cellStyle name="RowTitles-Detail 3 3 4 3 3 3" xfId="21060" xr:uid="{00000000-0005-0000-0000-000057520000}"/>
    <cellStyle name="RowTitles-Detail 3 3 4 3 3_Tertiary Salaries Survey" xfId="21061" xr:uid="{00000000-0005-0000-0000-000058520000}"/>
    <cellStyle name="RowTitles-Detail 3 3 4 3 4" xfId="21062" xr:uid="{00000000-0005-0000-0000-000059520000}"/>
    <cellStyle name="RowTitles-Detail 3 3 4 3 5" xfId="21063" xr:uid="{00000000-0005-0000-0000-00005A520000}"/>
    <cellStyle name="RowTitles-Detail 3 3 4 3_Tertiary Salaries Survey" xfId="21064" xr:uid="{00000000-0005-0000-0000-00005B520000}"/>
    <cellStyle name="RowTitles-Detail 3 3 4 4" xfId="21065" xr:uid="{00000000-0005-0000-0000-00005C520000}"/>
    <cellStyle name="RowTitles-Detail 3 3 4 4 2" xfId="21066" xr:uid="{00000000-0005-0000-0000-00005D520000}"/>
    <cellStyle name="RowTitles-Detail 3 3 4 4 2 2" xfId="21067" xr:uid="{00000000-0005-0000-0000-00005E520000}"/>
    <cellStyle name="RowTitles-Detail 3 3 4 4 2 2 2" xfId="21068" xr:uid="{00000000-0005-0000-0000-00005F520000}"/>
    <cellStyle name="RowTitles-Detail 3 3 4 4 2 2_Tertiary Salaries Survey" xfId="21069" xr:uid="{00000000-0005-0000-0000-000060520000}"/>
    <cellStyle name="RowTitles-Detail 3 3 4 4 2 3" xfId="21070" xr:uid="{00000000-0005-0000-0000-000061520000}"/>
    <cellStyle name="RowTitles-Detail 3 3 4 4 2_Tertiary Salaries Survey" xfId="21071" xr:uid="{00000000-0005-0000-0000-000062520000}"/>
    <cellStyle name="RowTitles-Detail 3 3 4 4 3" xfId="21072" xr:uid="{00000000-0005-0000-0000-000063520000}"/>
    <cellStyle name="RowTitles-Detail 3 3 4 4 3 2" xfId="21073" xr:uid="{00000000-0005-0000-0000-000064520000}"/>
    <cellStyle name="RowTitles-Detail 3 3 4 4 3 2 2" xfId="21074" xr:uid="{00000000-0005-0000-0000-000065520000}"/>
    <cellStyle name="RowTitles-Detail 3 3 4 4 3 2_Tertiary Salaries Survey" xfId="21075" xr:uid="{00000000-0005-0000-0000-000066520000}"/>
    <cellStyle name="RowTitles-Detail 3 3 4 4 3 3" xfId="21076" xr:uid="{00000000-0005-0000-0000-000067520000}"/>
    <cellStyle name="RowTitles-Detail 3 3 4 4 3_Tertiary Salaries Survey" xfId="21077" xr:uid="{00000000-0005-0000-0000-000068520000}"/>
    <cellStyle name="RowTitles-Detail 3 3 4 4 4" xfId="21078" xr:uid="{00000000-0005-0000-0000-000069520000}"/>
    <cellStyle name="RowTitles-Detail 3 3 4 4 5" xfId="21079" xr:uid="{00000000-0005-0000-0000-00006A520000}"/>
    <cellStyle name="RowTitles-Detail 3 3 4 4 5 2" xfId="21080" xr:uid="{00000000-0005-0000-0000-00006B520000}"/>
    <cellStyle name="RowTitles-Detail 3 3 4 4 5_Tertiary Salaries Survey" xfId="21081" xr:uid="{00000000-0005-0000-0000-00006C520000}"/>
    <cellStyle name="RowTitles-Detail 3 3 4 4 6" xfId="21082" xr:uid="{00000000-0005-0000-0000-00006D520000}"/>
    <cellStyle name="RowTitles-Detail 3 3 4 4_Tertiary Salaries Survey" xfId="21083" xr:uid="{00000000-0005-0000-0000-00006E520000}"/>
    <cellStyle name="RowTitles-Detail 3 3 4 5" xfId="21084" xr:uid="{00000000-0005-0000-0000-00006F520000}"/>
    <cellStyle name="RowTitles-Detail 3 3 4 5 2" xfId="21085" xr:uid="{00000000-0005-0000-0000-000070520000}"/>
    <cellStyle name="RowTitles-Detail 3 3 4 5 2 2" xfId="21086" xr:uid="{00000000-0005-0000-0000-000071520000}"/>
    <cellStyle name="RowTitles-Detail 3 3 4 5 2 2 2" xfId="21087" xr:uid="{00000000-0005-0000-0000-000072520000}"/>
    <cellStyle name="RowTitles-Detail 3 3 4 5 2 2_Tertiary Salaries Survey" xfId="21088" xr:uid="{00000000-0005-0000-0000-000073520000}"/>
    <cellStyle name="RowTitles-Detail 3 3 4 5 2 3" xfId="21089" xr:uid="{00000000-0005-0000-0000-000074520000}"/>
    <cellStyle name="RowTitles-Detail 3 3 4 5 2_Tertiary Salaries Survey" xfId="21090" xr:uid="{00000000-0005-0000-0000-000075520000}"/>
    <cellStyle name="RowTitles-Detail 3 3 4 5 3" xfId="21091" xr:uid="{00000000-0005-0000-0000-000076520000}"/>
    <cellStyle name="RowTitles-Detail 3 3 4 5 3 2" xfId="21092" xr:uid="{00000000-0005-0000-0000-000077520000}"/>
    <cellStyle name="RowTitles-Detail 3 3 4 5 3 2 2" xfId="21093" xr:uid="{00000000-0005-0000-0000-000078520000}"/>
    <cellStyle name="RowTitles-Detail 3 3 4 5 3 2_Tertiary Salaries Survey" xfId="21094" xr:uid="{00000000-0005-0000-0000-000079520000}"/>
    <cellStyle name="RowTitles-Detail 3 3 4 5 3 3" xfId="21095" xr:uid="{00000000-0005-0000-0000-00007A520000}"/>
    <cellStyle name="RowTitles-Detail 3 3 4 5 3_Tertiary Salaries Survey" xfId="21096" xr:uid="{00000000-0005-0000-0000-00007B520000}"/>
    <cellStyle name="RowTitles-Detail 3 3 4 5 4" xfId="21097" xr:uid="{00000000-0005-0000-0000-00007C520000}"/>
    <cellStyle name="RowTitles-Detail 3 3 4 5 4 2" xfId="21098" xr:uid="{00000000-0005-0000-0000-00007D520000}"/>
    <cellStyle name="RowTitles-Detail 3 3 4 5 4_Tertiary Salaries Survey" xfId="21099" xr:uid="{00000000-0005-0000-0000-00007E520000}"/>
    <cellStyle name="RowTitles-Detail 3 3 4 5 5" xfId="21100" xr:uid="{00000000-0005-0000-0000-00007F520000}"/>
    <cellStyle name="RowTitles-Detail 3 3 4 5_Tertiary Salaries Survey" xfId="21101" xr:uid="{00000000-0005-0000-0000-000080520000}"/>
    <cellStyle name="RowTitles-Detail 3 3 4 6" xfId="21102" xr:uid="{00000000-0005-0000-0000-000081520000}"/>
    <cellStyle name="RowTitles-Detail 3 3 4 6 2" xfId="21103" xr:uid="{00000000-0005-0000-0000-000082520000}"/>
    <cellStyle name="RowTitles-Detail 3 3 4 6 2 2" xfId="21104" xr:uid="{00000000-0005-0000-0000-000083520000}"/>
    <cellStyle name="RowTitles-Detail 3 3 4 6 2 2 2" xfId="21105" xr:uid="{00000000-0005-0000-0000-000084520000}"/>
    <cellStyle name="RowTitles-Detail 3 3 4 6 2 2_Tertiary Salaries Survey" xfId="21106" xr:uid="{00000000-0005-0000-0000-000085520000}"/>
    <cellStyle name="RowTitles-Detail 3 3 4 6 2 3" xfId="21107" xr:uid="{00000000-0005-0000-0000-000086520000}"/>
    <cellStyle name="RowTitles-Detail 3 3 4 6 2_Tertiary Salaries Survey" xfId="21108" xr:uid="{00000000-0005-0000-0000-000087520000}"/>
    <cellStyle name="RowTitles-Detail 3 3 4 6 3" xfId="21109" xr:uid="{00000000-0005-0000-0000-000088520000}"/>
    <cellStyle name="RowTitles-Detail 3 3 4 6 3 2" xfId="21110" xr:uid="{00000000-0005-0000-0000-000089520000}"/>
    <cellStyle name="RowTitles-Detail 3 3 4 6 3 2 2" xfId="21111" xr:uid="{00000000-0005-0000-0000-00008A520000}"/>
    <cellStyle name="RowTitles-Detail 3 3 4 6 3 2_Tertiary Salaries Survey" xfId="21112" xr:uid="{00000000-0005-0000-0000-00008B520000}"/>
    <cellStyle name="RowTitles-Detail 3 3 4 6 3 3" xfId="21113" xr:uid="{00000000-0005-0000-0000-00008C520000}"/>
    <cellStyle name="RowTitles-Detail 3 3 4 6 3_Tertiary Salaries Survey" xfId="21114" xr:uid="{00000000-0005-0000-0000-00008D520000}"/>
    <cellStyle name="RowTitles-Detail 3 3 4 6 4" xfId="21115" xr:uid="{00000000-0005-0000-0000-00008E520000}"/>
    <cellStyle name="RowTitles-Detail 3 3 4 6 4 2" xfId="21116" xr:uid="{00000000-0005-0000-0000-00008F520000}"/>
    <cellStyle name="RowTitles-Detail 3 3 4 6 4_Tertiary Salaries Survey" xfId="21117" xr:uid="{00000000-0005-0000-0000-000090520000}"/>
    <cellStyle name="RowTitles-Detail 3 3 4 6 5" xfId="21118" xr:uid="{00000000-0005-0000-0000-000091520000}"/>
    <cellStyle name="RowTitles-Detail 3 3 4 6_Tertiary Salaries Survey" xfId="21119" xr:uid="{00000000-0005-0000-0000-000092520000}"/>
    <cellStyle name="RowTitles-Detail 3 3 4 7" xfId="21120" xr:uid="{00000000-0005-0000-0000-000093520000}"/>
    <cellStyle name="RowTitles-Detail 3 3 4 7 2" xfId="21121" xr:uid="{00000000-0005-0000-0000-000094520000}"/>
    <cellStyle name="RowTitles-Detail 3 3 4 7 2 2" xfId="21122" xr:uid="{00000000-0005-0000-0000-000095520000}"/>
    <cellStyle name="RowTitles-Detail 3 3 4 7 2_Tertiary Salaries Survey" xfId="21123" xr:uid="{00000000-0005-0000-0000-000096520000}"/>
    <cellStyle name="RowTitles-Detail 3 3 4 7 3" xfId="21124" xr:uid="{00000000-0005-0000-0000-000097520000}"/>
    <cellStyle name="RowTitles-Detail 3 3 4 7_Tertiary Salaries Survey" xfId="21125" xr:uid="{00000000-0005-0000-0000-000098520000}"/>
    <cellStyle name="RowTitles-Detail 3 3 4 8" xfId="21126" xr:uid="{00000000-0005-0000-0000-000099520000}"/>
    <cellStyle name="RowTitles-Detail 3 3 4 9" xfId="21127" xr:uid="{00000000-0005-0000-0000-00009A520000}"/>
    <cellStyle name="RowTitles-Detail 3 3 4_STUD aligned by INSTIT" xfId="21128" xr:uid="{00000000-0005-0000-0000-00009B520000}"/>
    <cellStyle name="RowTitles-Detail 3 3 5" xfId="21129" xr:uid="{00000000-0005-0000-0000-00009C520000}"/>
    <cellStyle name="RowTitles-Detail 3 3 5 2" xfId="21130" xr:uid="{00000000-0005-0000-0000-00009D520000}"/>
    <cellStyle name="RowTitles-Detail 3 3 5 2 2" xfId="21131" xr:uid="{00000000-0005-0000-0000-00009E520000}"/>
    <cellStyle name="RowTitles-Detail 3 3 5 2 2 2" xfId="21132" xr:uid="{00000000-0005-0000-0000-00009F520000}"/>
    <cellStyle name="RowTitles-Detail 3 3 5 2 2_Tertiary Salaries Survey" xfId="21133" xr:uid="{00000000-0005-0000-0000-0000A0520000}"/>
    <cellStyle name="RowTitles-Detail 3 3 5 2 3" xfId="21134" xr:uid="{00000000-0005-0000-0000-0000A1520000}"/>
    <cellStyle name="RowTitles-Detail 3 3 5 2_Tertiary Salaries Survey" xfId="21135" xr:uid="{00000000-0005-0000-0000-0000A2520000}"/>
    <cellStyle name="RowTitles-Detail 3 3 5 3" xfId="21136" xr:uid="{00000000-0005-0000-0000-0000A3520000}"/>
    <cellStyle name="RowTitles-Detail 3 3 5 3 2" xfId="21137" xr:uid="{00000000-0005-0000-0000-0000A4520000}"/>
    <cellStyle name="RowTitles-Detail 3 3 5 3 2 2" xfId="21138" xr:uid="{00000000-0005-0000-0000-0000A5520000}"/>
    <cellStyle name="RowTitles-Detail 3 3 5 3 2_Tertiary Salaries Survey" xfId="21139" xr:uid="{00000000-0005-0000-0000-0000A6520000}"/>
    <cellStyle name="RowTitles-Detail 3 3 5 3 3" xfId="21140" xr:uid="{00000000-0005-0000-0000-0000A7520000}"/>
    <cellStyle name="RowTitles-Detail 3 3 5 3_Tertiary Salaries Survey" xfId="21141" xr:uid="{00000000-0005-0000-0000-0000A8520000}"/>
    <cellStyle name="RowTitles-Detail 3 3 5 4" xfId="21142" xr:uid="{00000000-0005-0000-0000-0000A9520000}"/>
    <cellStyle name="RowTitles-Detail 3 3 5 5" xfId="21143" xr:uid="{00000000-0005-0000-0000-0000AA520000}"/>
    <cellStyle name="RowTitles-Detail 3 3 5 5 2" xfId="21144" xr:uid="{00000000-0005-0000-0000-0000AB520000}"/>
    <cellStyle name="RowTitles-Detail 3 3 5 5_Tertiary Salaries Survey" xfId="21145" xr:uid="{00000000-0005-0000-0000-0000AC520000}"/>
    <cellStyle name="RowTitles-Detail 3 3 5 6" xfId="21146" xr:uid="{00000000-0005-0000-0000-0000AD520000}"/>
    <cellStyle name="RowTitles-Detail 3 3 5_Tertiary Salaries Survey" xfId="21147" xr:uid="{00000000-0005-0000-0000-0000AE520000}"/>
    <cellStyle name="RowTitles-Detail 3 3 6" xfId="21148" xr:uid="{00000000-0005-0000-0000-0000AF520000}"/>
    <cellStyle name="RowTitles-Detail 3 3 6 2" xfId="21149" xr:uid="{00000000-0005-0000-0000-0000B0520000}"/>
    <cellStyle name="RowTitles-Detail 3 3 6 2 2" xfId="21150" xr:uid="{00000000-0005-0000-0000-0000B1520000}"/>
    <cellStyle name="RowTitles-Detail 3 3 6 2 2 2" xfId="21151" xr:uid="{00000000-0005-0000-0000-0000B2520000}"/>
    <cellStyle name="RowTitles-Detail 3 3 6 2 2_Tertiary Salaries Survey" xfId="21152" xr:uid="{00000000-0005-0000-0000-0000B3520000}"/>
    <cellStyle name="RowTitles-Detail 3 3 6 2 3" xfId="21153" xr:uid="{00000000-0005-0000-0000-0000B4520000}"/>
    <cellStyle name="RowTitles-Detail 3 3 6 2_Tertiary Salaries Survey" xfId="21154" xr:uid="{00000000-0005-0000-0000-0000B5520000}"/>
    <cellStyle name="RowTitles-Detail 3 3 6 3" xfId="21155" xr:uid="{00000000-0005-0000-0000-0000B6520000}"/>
    <cellStyle name="RowTitles-Detail 3 3 6 3 2" xfId="21156" xr:uid="{00000000-0005-0000-0000-0000B7520000}"/>
    <cellStyle name="RowTitles-Detail 3 3 6 3 2 2" xfId="21157" xr:uid="{00000000-0005-0000-0000-0000B8520000}"/>
    <cellStyle name="RowTitles-Detail 3 3 6 3 2_Tertiary Salaries Survey" xfId="21158" xr:uid="{00000000-0005-0000-0000-0000B9520000}"/>
    <cellStyle name="RowTitles-Detail 3 3 6 3 3" xfId="21159" xr:uid="{00000000-0005-0000-0000-0000BA520000}"/>
    <cellStyle name="RowTitles-Detail 3 3 6 3_Tertiary Salaries Survey" xfId="21160" xr:uid="{00000000-0005-0000-0000-0000BB520000}"/>
    <cellStyle name="RowTitles-Detail 3 3 6 4" xfId="21161" xr:uid="{00000000-0005-0000-0000-0000BC520000}"/>
    <cellStyle name="RowTitles-Detail 3 3 6 5" xfId="21162" xr:uid="{00000000-0005-0000-0000-0000BD520000}"/>
    <cellStyle name="RowTitles-Detail 3 3 6_Tertiary Salaries Survey" xfId="21163" xr:uid="{00000000-0005-0000-0000-0000BE520000}"/>
    <cellStyle name="RowTitles-Detail 3 3 7" xfId="21164" xr:uid="{00000000-0005-0000-0000-0000BF520000}"/>
    <cellStyle name="RowTitles-Detail 3 3 7 2" xfId="21165" xr:uid="{00000000-0005-0000-0000-0000C0520000}"/>
    <cellStyle name="RowTitles-Detail 3 3 7 2 2" xfId="21166" xr:uid="{00000000-0005-0000-0000-0000C1520000}"/>
    <cellStyle name="RowTitles-Detail 3 3 7 2 2 2" xfId="21167" xr:uid="{00000000-0005-0000-0000-0000C2520000}"/>
    <cellStyle name="RowTitles-Detail 3 3 7 2 2_Tertiary Salaries Survey" xfId="21168" xr:uid="{00000000-0005-0000-0000-0000C3520000}"/>
    <cellStyle name="RowTitles-Detail 3 3 7 2 3" xfId="21169" xr:uid="{00000000-0005-0000-0000-0000C4520000}"/>
    <cellStyle name="RowTitles-Detail 3 3 7 2_Tertiary Salaries Survey" xfId="21170" xr:uid="{00000000-0005-0000-0000-0000C5520000}"/>
    <cellStyle name="RowTitles-Detail 3 3 7 3" xfId="21171" xr:uid="{00000000-0005-0000-0000-0000C6520000}"/>
    <cellStyle name="RowTitles-Detail 3 3 7 3 2" xfId="21172" xr:uid="{00000000-0005-0000-0000-0000C7520000}"/>
    <cellStyle name="RowTitles-Detail 3 3 7 3 2 2" xfId="21173" xr:uid="{00000000-0005-0000-0000-0000C8520000}"/>
    <cellStyle name="RowTitles-Detail 3 3 7 3 2_Tertiary Salaries Survey" xfId="21174" xr:uid="{00000000-0005-0000-0000-0000C9520000}"/>
    <cellStyle name="RowTitles-Detail 3 3 7 3 3" xfId="21175" xr:uid="{00000000-0005-0000-0000-0000CA520000}"/>
    <cellStyle name="RowTitles-Detail 3 3 7 3_Tertiary Salaries Survey" xfId="21176" xr:uid="{00000000-0005-0000-0000-0000CB520000}"/>
    <cellStyle name="RowTitles-Detail 3 3 7 4" xfId="21177" xr:uid="{00000000-0005-0000-0000-0000CC520000}"/>
    <cellStyle name="RowTitles-Detail 3 3 7 5" xfId="21178" xr:uid="{00000000-0005-0000-0000-0000CD520000}"/>
    <cellStyle name="RowTitles-Detail 3 3 7 5 2" xfId="21179" xr:uid="{00000000-0005-0000-0000-0000CE520000}"/>
    <cellStyle name="RowTitles-Detail 3 3 7 5_Tertiary Salaries Survey" xfId="21180" xr:uid="{00000000-0005-0000-0000-0000CF520000}"/>
    <cellStyle name="RowTitles-Detail 3 3 7 6" xfId="21181" xr:uid="{00000000-0005-0000-0000-0000D0520000}"/>
    <cellStyle name="RowTitles-Detail 3 3 7_Tertiary Salaries Survey" xfId="21182" xr:uid="{00000000-0005-0000-0000-0000D1520000}"/>
    <cellStyle name="RowTitles-Detail 3 3 8" xfId="21183" xr:uid="{00000000-0005-0000-0000-0000D2520000}"/>
    <cellStyle name="RowTitles-Detail 3 3 8 2" xfId="21184" xr:uid="{00000000-0005-0000-0000-0000D3520000}"/>
    <cellStyle name="RowTitles-Detail 3 3 8 2 2" xfId="21185" xr:uid="{00000000-0005-0000-0000-0000D4520000}"/>
    <cellStyle name="RowTitles-Detail 3 3 8 2 2 2" xfId="21186" xr:uid="{00000000-0005-0000-0000-0000D5520000}"/>
    <cellStyle name="RowTitles-Detail 3 3 8 2 2_Tertiary Salaries Survey" xfId="21187" xr:uid="{00000000-0005-0000-0000-0000D6520000}"/>
    <cellStyle name="RowTitles-Detail 3 3 8 2 3" xfId="21188" xr:uid="{00000000-0005-0000-0000-0000D7520000}"/>
    <cellStyle name="RowTitles-Detail 3 3 8 2_Tertiary Salaries Survey" xfId="21189" xr:uid="{00000000-0005-0000-0000-0000D8520000}"/>
    <cellStyle name="RowTitles-Detail 3 3 8 3" xfId="21190" xr:uid="{00000000-0005-0000-0000-0000D9520000}"/>
    <cellStyle name="RowTitles-Detail 3 3 8 3 2" xfId="21191" xr:uid="{00000000-0005-0000-0000-0000DA520000}"/>
    <cellStyle name="RowTitles-Detail 3 3 8 3 2 2" xfId="21192" xr:uid="{00000000-0005-0000-0000-0000DB520000}"/>
    <cellStyle name="RowTitles-Detail 3 3 8 3 2_Tertiary Salaries Survey" xfId="21193" xr:uid="{00000000-0005-0000-0000-0000DC520000}"/>
    <cellStyle name="RowTitles-Detail 3 3 8 3 3" xfId="21194" xr:uid="{00000000-0005-0000-0000-0000DD520000}"/>
    <cellStyle name="RowTitles-Detail 3 3 8 3_Tertiary Salaries Survey" xfId="21195" xr:uid="{00000000-0005-0000-0000-0000DE520000}"/>
    <cellStyle name="RowTitles-Detail 3 3 8 4" xfId="21196" xr:uid="{00000000-0005-0000-0000-0000DF520000}"/>
    <cellStyle name="RowTitles-Detail 3 3 8 4 2" xfId="21197" xr:uid="{00000000-0005-0000-0000-0000E0520000}"/>
    <cellStyle name="RowTitles-Detail 3 3 8 4_Tertiary Salaries Survey" xfId="21198" xr:uid="{00000000-0005-0000-0000-0000E1520000}"/>
    <cellStyle name="RowTitles-Detail 3 3 8 5" xfId="21199" xr:uid="{00000000-0005-0000-0000-0000E2520000}"/>
    <cellStyle name="RowTitles-Detail 3 3 8_Tertiary Salaries Survey" xfId="21200" xr:uid="{00000000-0005-0000-0000-0000E3520000}"/>
    <cellStyle name="RowTitles-Detail 3 3 9" xfId="21201" xr:uid="{00000000-0005-0000-0000-0000E4520000}"/>
    <cellStyle name="RowTitles-Detail 3 3 9 2" xfId="21202" xr:uid="{00000000-0005-0000-0000-0000E5520000}"/>
    <cellStyle name="RowTitles-Detail 3 3 9 2 2" xfId="21203" xr:uid="{00000000-0005-0000-0000-0000E6520000}"/>
    <cellStyle name="RowTitles-Detail 3 3 9 2 2 2" xfId="21204" xr:uid="{00000000-0005-0000-0000-0000E7520000}"/>
    <cellStyle name="RowTitles-Detail 3 3 9 2 2_Tertiary Salaries Survey" xfId="21205" xr:uid="{00000000-0005-0000-0000-0000E8520000}"/>
    <cellStyle name="RowTitles-Detail 3 3 9 2 3" xfId="21206" xr:uid="{00000000-0005-0000-0000-0000E9520000}"/>
    <cellStyle name="RowTitles-Detail 3 3 9 2_Tertiary Salaries Survey" xfId="21207" xr:uid="{00000000-0005-0000-0000-0000EA520000}"/>
    <cellStyle name="RowTitles-Detail 3 3 9 3" xfId="21208" xr:uid="{00000000-0005-0000-0000-0000EB520000}"/>
    <cellStyle name="RowTitles-Detail 3 3 9 3 2" xfId="21209" xr:uid="{00000000-0005-0000-0000-0000EC520000}"/>
    <cellStyle name="RowTitles-Detail 3 3 9 3 2 2" xfId="21210" xr:uid="{00000000-0005-0000-0000-0000ED520000}"/>
    <cellStyle name="RowTitles-Detail 3 3 9 3 2_Tertiary Salaries Survey" xfId="21211" xr:uid="{00000000-0005-0000-0000-0000EE520000}"/>
    <cellStyle name="RowTitles-Detail 3 3 9 3 3" xfId="21212" xr:uid="{00000000-0005-0000-0000-0000EF520000}"/>
    <cellStyle name="RowTitles-Detail 3 3 9 3_Tertiary Salaries Survey" xfId="21213" xr:uid="{00000000-0005-0000-0000-0000F0520000}"/>
    <cellStyle name="RowTitles-Detail 3 3 9 4" xfId="21214" xr:uid="{00000000-0005-0000-0000-0000F1520000}"/>
    <cellStyle name="RowTitles-Detail 3 3 9 4 2" xfId="21215" xr:uid="{00000000-0005-0000-0000-0000F2520000}"/>
    <cellStyle name="RowTitles-Detail 3 3 9 4_Tertiary Salaries Survey" xfId="21216" xr:uid="{00000000-0005-0000-0000-0000F3520000}"/>
    <cellStyle name="RowTitles-Detail 3 3 9 5" xfId="21217" xr:uid="{00000000-0005-0000-0000-0000F4520000}"/>
    <cellStyle name="RowTitles-Detail 3 3 9_Tertiary Salaries Survey" xfId="21218" xr:uid="{00000000-0005-0000-0000-0000F5520000}"/>
    <cellStyle name="RowTitles-Detail 3 3_STUD aligned by INSTIT" xfId="21219" xr:uid="{00000000-0005-0000-0000-0000F6520000}"/>
    <cellStyle name="RowTitles-Detail 3 4" xfId="21220" xr:uid="{00000000-0005-0000-0000-0000F7520000}"/>
    <cellStyle name="RowTitles-Detail 3 4 2" xfId="21221" xr:uid="{00000000-0005-0000-0000-0000F8520000}"/>
    <cellStyle name="RowTitles-Detail 3 4 2 2" xfId="21222" xr:uid="{00000000-0005-0000-0000-0000F9520000}"/>
    <cellStyle name="RowTitles-Detail 3 4 2 2 2" xfId="21223" xr:uid="{00000000-0005-0000-0000-0000FA520000}"/>
    <cellStyle name="RowTitles-Detail 3 4 2 2 2 2" xfId="21224" xr:uid="{00000000-0005-0000-0000-0000FB520000}"/>
    <cellStyle name="RowTitles-Detail 3 4 2 2 2_Tertiary Salaries Survey" xfId="21225" xr:uid="{00000000-0005-0000-0000-0000FC520000}"/>
    <cellStyle name="RowTitles-Detail 3 4 2 2 3" xfId="21226" xr:uid="{00000000-0005-0000-0000-0000FD520000}"/>
    <cellStyle name="RowTitles-Detail 3 4 2 2_Tertiary Salaries Survey" xfId="21227" xr:uid="{00000000-0005-0000-0000-0000FE520000}"/>
    <cellStyle name="RowTitles-Detail 3 4 2 3" xfId="21228" xr:uid="{00000000-0005-0000-0000-0000FF520000}"/>
    <cellStyle name="RowTitles-Detail 3 4 2 3 2" xfId="21229" xr:uid="{00000000-0005-0000-0000-000000530000}"/>
    <cellStyle name="RowTitles-Detail 3 4 2 3 2 2" xfId="21230" xr:uid="{00000000-0005-0000-0000-000001530000}"/>
    <cellStyle name="RowTitles-Detail 3 4 2 3 2_Tertiary Salaries Survey" xfId="21231" xr:uid="{00000000-0005-0000-0000-000002530000}"/>
    <cellStyle name="RowTitles-Detail 3 4 2 3 3" xfId="21232" xr:uid="{00000000-0005-0000-0000-000003530000}"/>
    <cellStyle name="RowTitles-Detail 3 4 2 3_Tertiary Salaries Survey" xfId="21233" xr:uid="{00000000-0005-0000-0000-000004530000}"/>
    <cellStyle name="RowTitles-Detail 3 4 2 4" xfId="21234" xr:uid="{00000000-0005-0000-0000-000005530000}"/>
    <cellStyle name="RowTitles-Detail 3 4 2 5" xfId="21235" xr:uid="{00000000-0005-0000-0000-000006530000}"/>
    <cellStyle name="RowTitles-Detail 3 4 2_Tertiary Salaries Survey" xfId="21236" xr:uid="{00000000-0005-0000-0000-000007530000}"/>
    <cellStyle name="RowTitles-Detail 3 4 3" xfId="21237" xr:uid="{00000000-0005-0000-0000-000008530000}"/>
    <cellStyle name="RowTitles-Detail 3 4 3 2" xfId="21238" xr:uid="{00000000-0005-0000-0000-000009530000}"/>
    <cellStyle name="RowTitles-Detail 3 4 3 2 2" xfId="21239" xr:uid="{00000000-0005-0000-0000-00000A530000}"/>
    <cellStyle name="RowTitles-Detail 3 4 3 2 2 2" xfId="21240" xr:uid="{00000000-0005-0000-0000-00000B530000}"/>
    <cellStyle name="RowTitles-Detail 3 4 3 2 2_Tertiary Salaries Survey" xfId="21241" xr:uid="{00000000-0005-0000-0000-00000C530000}"/>
    <cellStyle name="RowTitles-Detail 3 4 3 2 3" xfId="21242" xr:uid="{00000000-0005-0000-0000-00000D530000}"/>
    <cellStyle name="RowTitles-Detail 3 4 3 2_Tertiary Salaries Survey" xfId="21243" xr:uid="{00000000-0005-0000-0000-00000E530000}"/>
    <cellStyle name="RowTitles-Detail 3 4 3 3" xfId="21244" xr:uid="{00000000-0005-0000-0000-00000F530000}"/>
    <cellStyle name="RowTitles-Detail 3 4 3 3 2" xfId="21245" xr:uid="{00000000-0005-0000-0000-000010530000}"/>
    <cellStyle name="RowTitles-Detail 3 4 3 3 2 2" xfId="21246" xr:uid="{00000000-0005-0000-0000-000011530000}"/>
    <cellStyle name="RowTitles-Detail 3 4 3 3 2_Tertiary Salaries Survey" xfId="21247" xr:uid="{00000000-0005-0000-0000-000012530000}"/>
    <cellStyle name="RowTitles-Detail 3 4 3 3 3" xfId="21248" xr:uid="{00000000-0005-0000-0000-000013530000}"/>
    <cellStyle name="RowTitles-Detail 3 4 3 3_Tertiary Salaries Survey" xfId="21249" xr:uid="{00000000-0005-0000-0000-000014530000}"/>
    <cellStyle name="RowTitles-Detail 3 4 3 4" xfId="21250" xr:uid="{00000000-0005-0000-0000-000015530000}"/>
    <cellStyle name="RowTitles-Detail 3 4 3 5" xfId="21251" xr:uid="{00000000-0005-0000-0000-000016530000}"/>
    <cellStyle name="RowTitles-Detail 3 4 3 5 2" xfId="21252" xr:uid="{00000000-0005-0000-0000-000017530000}"/>
    <cellStyle name="RowTitles-Detail 3 4 3 5_Tertiary Salaries Survey" xfId="21253" xr:uid="{00000000-0005-0000-0000-000018530000}"/>
    <cellStyle name="RowTitles-Detail 3 4 3 6" xfId="21254" xr:uid="{00000000-0005-0000-0000-000019530000}"/>
    <cellStyle name="RowTitles-Detail 3 4 3_Tertiary Salaries Survey" xfId="21255" xr:uid="{00000000-0005-0000-0000-00001A530000}"/>
    <cellStyle name="RowTitles-Detail 3 4 4" xfId="21256" xr:uid="{00000000-0005-0000-0000-00001B530000}"/>
    <cellStyle name="RowTitles-Detail 3 4 4 2" xfId="21257" xr:uid="{00000000-0005-0000-0000-00001C530000}"/>
    <cellStyle name="RowTitles-Detail 3 4 4 2 2" xfId="21258" xr:uid="{00000000-0005-0000-0000-00001D530000}"/>
    <cellStyle name="RowTitles-Detail 3 4 4 2 2 2" xfId="21259" xr:uid="{00000000-0005-0000-0000-00001E530000}"/>
    <cellStyle name="RowTitles-Detail 3 4 4 2 2_Tertiary Salaries Survey" xfId="21260" xr:uid="{00000000-0005-0000-0000-00001F530000}"/>
    <cellStyle name="RowTitles-Detail 3 4 4 2 3" xfId="21261" xr:uid="{00000000-0005-0000-0000-000020530000}"/>
    <cellStyle name="RowTitles-Detail 3 4 4 2_Tertiary Salaries Survey" xfId="21262" xr:uid="{00000000-0005-0000-0000-000021530000}"/>
    <cellStyle name="RowTitles-Detail 3 4 4 3" xfId="21263" xr:uid="{00000000-0005-0000-0000-000022530000}"/>
    <cellStyle name="RowTitles-Detail 3 4 4 3 2" xfId="21264" xr:uid="{00000000-0005-0000-0000-000023530000}"/>
    <cellStyle name="RowTitles-Detail 3 4 4 3 2 2" xfId="21265" xr:uid="{00000000-0005-0000-0000-000024530000}"/>
    <cellStyle name="RowTitles-Detail 3 4 4 3 2_Tertiary Salaries Survey" xfId="21266" xr:uid="{00000000-0005-0000-0000-000025530000}"/>
    <cellStyle name="RowTitles-Detail 3 4 4 3 3" xfId="21267" xr:uid="{00000000-0005-0000-0000-000026530000}"/>
    <cellStyle name="RowTitles-Detail 3 4 4 3_Tertiary Salaries Survey" xfId="21268" xr:uid="{00000000-0005-0000-0000-000027530000}"/>
    <cellStyle name="RowTitles-Detail 3 4 4 4" xfId="21269" xr:uid="{00000000-0005-0000-0000-000028530000}"/>
    <cellStyle name="RowTitles-Detail 3 4 4 4 2" xfId="21270" xr:uid="{00000000-0005-0000-0000-000029530000}"/>
    <cellStyle name="RowTitles-Detail 3 4 4 4_Tertiary Salaries Survey" xfId="21271" xr:uid="{00000000-0005-0000-0000-00002A530000}"/>
    <cellStyle name="RowTitles-Detail 3 4 4 5" xfId="21272" xr:uid="{00000000-0005-0000-0000-00002B530000}"/>
    <cellStyle name="RowTitles-Detail 3 4 4_Tertiary Salaries Survey" xfId="21273" xr:uid="{00000000-0005-0000-0000-00002C530000}"/>
    <cellStyle name="RowTitles-Detail 3 4 5" xfId="21274" xr:uid="{00000000-0005-0000-0000-00002D530000}"/>
    <cellStyle name="RowTitles-Detail 3 4 5 2" xfId="21275" xr:uid="{00000000-0005-0000-0000-00002E530000}"/>
    <cellStyle name="RowTitles-Detail 3 4 5 2 2" xfId="21276" xr:uid="{00000000-0005-0000-0000-00002F530000}"/>
    <cellStyle name="RowTitles-Detail 3 4 5 2 2 2" xfId="21277" xr:uid="{00000000-0005-0000-0000-000030530000}"/>
    <cellStyle name="RowTitles-Detail 3 4 5 2 2_Tertiary Salaries Survey" xfId="21278" xr:uid="{00000000-0005-0000-0000-000031530000}"/>
    <cellStyle name="RowTitles-Detail 3 4 5 2 3" xfId="21279" xr:uid="{00000000-0005-0000-0000-000032530000}"/>
    <cellStyle name="RowTitles-Detail 3 4 5 2_Tertiary Salaries Survey" xfId="21280" xr:uid="{00000000-0005-0000-0000-000033530000}"/>
    <cellStyle name="RowTitles-Detail 3 4 5 3" xfId="21281" xr:uid="{00000000-0005-0000-0000-000034530000}"/>
    <cellStyle name="RowTitles-Detail 3 4 5 3 2" xfId="21282" xr:uid="{00000000-0005-0000-0000-000035530000}"/>
    <cellStyle name="RowTitles-Detail 3 4 5 3 2 2" xfId="21283" xr:uid="{00000000-0005-0000-0000-000036530000}"/>
    <cellStyle name="RowTitles-Detail 3 4 5 3 2_Tertiary Salaries Survey" xfId="21284" xr:uid="{00000000-0005-0000-0000-000037530000}"/>
    <cellStyle name="RowTitles-Detail 3 4 5 3 3" xfId="21285" xr:uid="{00000000-0005-0000-0000-000038530000}"/>
    <cellStyle name="RowTitles-Detail 3 4 5 3_Tertiary Salaries Survey" xfId="21286" xr:uid="{00000000-0005-0000-0000-000039530000}"/>
    <cellStyle name="RowTitles-Detail 3 4 5 4" xfId="21287" xr:uid="{00000000-0005-0000-0000-00003A530000}"/>
    <cellStyle name="RowTitles-Detail 3 4 5 4 2" xfId="21288" xr:uid="{00000000-0005-0000-0000-00003B530000}"/>
    <cellStyle name="RowTitles-Detail 3 4 5 4_Tertiary Salaries Survey" xfId="21289" xr:uid="{00000000-0005-0000-0000-00003C530000}"/>
    <cellStyle name="RowTitles-Detail 3 4 5 5" xfId="21290" xr:uid="{00000000-0005-0000-0000-00003D530000}"/>
    <cellStyle name="RowTitles-Detail 3 4 5_Tertiary Salaries Survey" xfId="21291" xr:uid="{00000000-0005-0000-0000-00003E530000}"/>
    <cellStyle name="RowTitles-Detail 3 4 6" xfId="21292" xr:uid="{00000000-0005-0000-0000-00003F530000}"/>
    <cellStyle name="RowTitles-Detail 3 4 6 2" xfId="21293" xr:uid="{00000000-0005-0000-0000-000040530000}"/>
    <cellStyle name="RowTitles-Detail 3 4 6 2 2" xfId="21294" xr:uid="{00000000-0005-0000-0000-000041530000}"/>
    <cellStyle name="RowTitles-Detail 3 4 6 2 2 2" xfId="21295" xr:uid="{00000000-0005-0000-0000-000042530000}"/>
    <cellStyle name="RowTitles-Detail 3 4 6 2 2_Tertiary Salaries Survey" xfId="21296" xr:uid="{00000000-0005-0000-0000-000043530000}"/>
    <cellStyle name="RowTitles-Detail 3 4 6 2 3" xfId="21297" xr:uid="{00000000-0005-0000-0000-000044530000}"/>
    <cellStyle name="RowTitles-Detail 3 4 6 2_Tertiary Salaries Survey" xfId="21298" xr:uid="{00000000-0005-0000-0000-000045530000}"/>
    <cellStyle name="RowTitles-Detail 3 4 6 3" xfId="21299" xr:uid="{00000000-0005-0000-0000-000046530000}"/>
    <cellStyle name="RowTitles-Detail 3 4 6 3 2" xfId="21300" xr:uid="{00000000-0005-0000-0000-000047530000}"/>
    <cellStyle name="RowTitles-Detail 3 4 6 3 2 2" xfId="21301" xr:uid="{00000000-0005-0000-0000-000048530000}"/>
    <cellStyle name="RowTitles-Detail 3 4 6 3 2_Tertiary Salaries Survey" xfId="21302" xr:uid="{00000000-0005-0000-0000-000049530000}"/>
    <cellStyle name="RowTitles-Detail 3 4 6 3 3" xfId="21303" xr:uid="{00000000-0005-0000-0000-00004A530000}"/>
    <cellStyle name="RowTitles-Detail 3 4 6 3_Tertiary Salaries Survey" xfId="21304" xr:uid="{00000000-0005-0000-0000-00004B530000}"/>
    <cellStyle name="RowTitles-Detail 3 4 6 4" xfId="21305" xr:uid="{00000000-0005-0000-0000-00004C530000}"/>
    <cellStyle name="RowTitles-Detail 3 4 6 4 2" xfId="21306" xr:uid="{00000000-0005-0000-0000-00004D530000}"/>
    <cellStyle name="RowTitles-Detail 3 4 6 4_Tertiary Salaries Survey" xfId="21307" xr:uid="{00000000-0005-0000-0000-00004E530000}"/>
    <cellStyle name="RowTitles-Detail 3 4 6 5" xfId="21308" xr:uid="{00000000-0005-0000-0000-00004F530000}"/>
    <cellStyle name="RowTitles-Detail 3 4 6_Tertiary Salaries Survey" xfId="21309" xr:uid="{00000000-0005-0000-0000-000050530000}"/>
    <cellStyle name="RowTitles-Detail 3 4 7" xfId="21310" xr:uid="{00000000-0005-0000-0000-000051530000}"/>
    <cellStyle name="RowTitles-Detail 3 4 7 2" xfId="21311" xr:uid="{00000000-0005-0000-0000-000052530000}"/>
    <cellStyle name="RowTitles-Detail 3 4 7 2 2" xfId="21312" xr:uid="{00000000-0005-0000-0000-000053530000}"/>
    <cellStyle name="RowTitles-Detail 3 4 7 2_Tertiary Salaries Survey" xfId="21313" xr:uid="{00000000-0005-0000-0000-000054530000}"/>
    <cellStyle name="RowTitles-Detail 3 4 7 3" xfId="21314" xr:uid="{00000000-0005-0000-0000-000055530000}"/>
    <cellStyle name="RowTitles-Detail 3 4 7_Tertiary Salaries Survey" xfId="21315" xr:uid="{00000000-0005-0000-0000-000056530000}"/>
    <cellStyle name="RowTitles-Detail 3 4 8" xfId="21316" xr:uid="{00000000-0005-0000-0000-000057530000}"/>
    <cellStyle name="RowTitles-Detail 3 4 9" xfId="21317" xr:uid="{00000000-0005-0000-0000-000058530000}"/>
    <cellStyle name="RowTitles-Detail 3 4_STUD aligned by INSTIT" xfId="21318" xr:uid="{00000000-0005-0000-0000-000059530000}"/>
    <cellStyle name="RowTitles-Detail 3 5" xfId="21319" xr:uid="{00000000-0005-0000-0000-00005A530000}"/>
    <cellStyle name="RowTitles-Detail 3 5 2" xfId="21320" xr:uid="{00000000-0005-0000-0000-00005B530000}"/>
    <cellStyle name="RowTitles-Detail 3 5 2 2" xfId="21321" xr:uid="{00000000-0005-0000-0000-00005C530000}"/>
    <cellStyle name="RowTitles-Detail 3 5 2 2 2" xfId="21322" xr:uid="{00000000-0005-0000-0000-00005D530000}"/>
    <cellStyle name="RowTitles-Detail 3 5 2 2 2 2" xfId="21323" xr:uid="{00000000-0005-0000-0000-00005E530000}"/>
    <cellStyle name="RowTitles-Detail 3 5 2 2 2_Tertiary Salaries Survey" xfId="21324" xr:uid="{00000000-0005-0000-0000-00005F530000}"/>
    <cellStyle name="RowTitles-Detail 3 5 2 2 3" xfId="21325" xr:uid="{00000000-0005-0000-0000-000060530000}"/>
    <cellStyle name="RowTitles-Detail 3 5 2 2_Tertiary Salaries Survey" xfId="21326" xr:uid="{00000000-0005-0000-0000-000061530000}"/>
    <cellStyle name="RowTitles-Detail 3 5 2 3" xfId="21327" xr:uid="{00000000-0005-0000-0000-000062530000}"/>
    <cellStyle name="RowTitles-Detail 3 5 2 3 2" xfId="21328" xr:uid="{00000000-0005-0000-0000-000063530000}"/>
    <cellStyle name="RowTitles-Detail 3 5 2 3 2 2" xfId="21329" xr:uid="{00000000-0005-0000-0000-000064530000}"/>
    <cellStyle name="RowTitles-Detail 3 5 2 3 2_Tertiary Salaries Survey" xfId="21330" xr:uid="{00000000-0005-0000-0000-000065530000}"/>
    <cellStyle name="RowTitles-Detail 3 5 2 3 3" xfId="21331" xr:uid="{00000000-0005-0000-0000-000066530000}"/>
    <cellStyle name="RowTitles-Detail 3 5 2 3_Tertiary Salaries Survey" xfId="21332" xr:uid="{00000000-0005-0000-0000-000067530000}"/>
    <cellStyle name="RowTitles-Detail 3 5 2 4" xfId="21333" xr:uid="{00000000-0005-0000-0000-000068530000}"/>
    <cellStyle name="RowTitles-Detail 3 5 2 5" xfId="21334" xr:uid="{00000000-0005-0000-0000-000069530000}"/>
    <cellStyle name="RowTitles-Detail 3 5 2 5 2" xfId="21335" xr:uid="{00000000-0005-0000-0000-00006A530000}"/>
    <cellStyle name="RowTitles-Detail 3 5 2 5_Tertiary Salaries Survey" xfId="21336" xr:uid="{00000000-0005-0000-0000-00006B530000}"/>
    <cellStyle name="RowTitles-Detail 3 5 2 6" xfId="21337" xr:uid="{00000000-0005-0000-0000-00006C530000}"/>
    <cellStyle name="RowTitles-Detail 3 5 2_Tertiary Salaries Survey" xfId="21338" xr:uid="{00000000-0005-0000-0000-00006D530000}"/>
    <cellStyle name="RowTitles-Detail 3 5 3" xfId="21339" xr:uid="{00000000-0005-0000-0000-00006E530000}"/>
    <cellStyle name="RowTitles-Detail 3 5 3 2" xfId="21340" xr:uid="{00000000-0005-0000-0000-00006F530000}"/>
    <cellStyle name="RowTitles-Detail 3 5 3 2 2" xfId="21341" xr:uid="{00000000-0005-0000-0000-000070530000}"/>
    <cellStyle name="RowTitles-Detail 3 5 3 2 2 2" xfId="21342" xr:uid="{00000000-0005-0000-0000-000071530000}"/>
    <cellStyle name="RowTitles-Detail 3 5 3 2 2_Tertiary Salaries Survey" xfId="21343" xr:uid="{00000000-0005-0000-0000-000072530000}"/>
    <cellStyle name="RowTitles-Detail 3 5 3 2 3" xfId="21344" xr:uid="{00000000-0005-0000-0000-000073530000}"/>
    <cellStyle name="RowTitles-Detail 3 5 3 2_Tertiary Salaries Survey" xfId="21345" xr:uid="{00000000-0005-0000-0000-000074530000}"/>
    <cellStyle name="RowTitles-Detail 3 5 3 3" xfId="21346" xr:uid="{00000000-0005-0000-0000-000075530000}"/>
    <cellStyle name="RowTitles-Detail 3 5 3 3 2" xfId="21347" xr:uid="{00000000-0005-0000-0000-000076530000}"/>
    <cellStyle name="RowTitles-Detail 3 5 3 3 2 2" xfId="21348" xr:uid="{00000000-0005-0000-0000-000077530000}"/>
    <cellStyle name="RowTitles-Detail 3 5 3 3 2_Tertiary Salaries Survey" xfId="21349" xr:uid="{00000000-0005-0000-0000-000078530000}"/>
    <cellStyle name="RowTitles-Detail 3 5 3 3 3" xfId="21350" xr:uid="{00000000-0005-0000-0000-000079530000}"/>
    <cellStyle name="RowTitles-Detail 3 5 3 3_Tertiary Salaries Survey" xfId="21351" xr:uid="{00000000-0005-0000-0000-00007A530000}"/>
    <cellStyle name="RowTitles-Detail 3 5 3 4" xfId="21352" xr:uid="{00000000-0005-0000-0000-00007B530000}"/>
    <cellStyle name="RowTitles-Detail 3 5 3 5" xfId="21353" xr:uid="{00000000-0005-0000-0000-00007C530000}"/>
    <cellStyle name="RowTitles-Detail 3 5 3_Tertiary Salaries Survey" xfId="21354" xr:uid="{00000000-0005-0000-0000-00007D530000}"/>
    <cellStyle name="RowTitles-Detail 3 5 4" xfId="21355" xr:uid="{00000000-0005-0000-0000-00007E530000}"/>
    <cellStyle name="RowTitles-Detail 3 5 4 2" xfId="21356" xr:uid="{00000000-0005-0000-0000-00007F530000}"/>
    <cellStyle name="RowTitles-Detail 3 5 4 2 2" xfId="21357" xr:uid="{00000000-0005-0000-0000-000080530000}"/>
    <cellStyle name="RowTitles-Detail 3 5 4 2 2 2" xfId="21358" xr:uid="{00000000-0005-0000-0000-000081530000}"/>
    <cellStyle name="RowTitles-Detail 3 5 4 2 2_Tertiary Salaries Survey" xfId="21359" xr:uid="{00000000-0005-0000-0000-000082530000}"/>
    <cellStyle name="RowTitles-Detail 3 5 4 2 3" xfId="21360" xr:uid="{00000000-0005-0000-0000-000083530000}"/>
    <cellStyle name="RowTitles-Detail 3 5 4 2_Tertiary Salaries Survey" xfId="21361" xr:uid="{00000000-0005-0000-0000-000084530000}"/>
    <cellStyle name="RowTitles-Detail 3 5 4 3" xfId="21362" xr:uid="{00000000-0005-0000-0000-000085530000}"/>
    <cellStyle name="RowTitles-Detail 3 5 4 3 2" xfId="21363" xr:uid="{00000000-0005-0000-0000-000086530000}"/>
    <cellStyle name="RowTitles-Detail 3 5 4 3 2 2" xfId="21364" xr:uid="{00000000-0005-0000-0000-000087530000}"/>
    <cellStyle name="RowTitles-Detail 3 5 4 3 2_Tertiary Salaries Survey" xfId="21365" xr:uid="{00000000-0005-0000-0000-000088530000}"/>
    <cellStyle name="RowTitles-Detail 3 5 4 3 3" xfId="21366" xr:uid="{00000000-0005-0000-0000-000089530000}"/>
    <cellStyle name="RowTitles-Detail 3 5 4 3_Tertiary Salaries Survey" xfId="21367" xr:uid="{00000000-0005-0000-0000-00008A530000}"/>
    <cellStyle name="RowTitles-Detail 3 5 4 4" xfId="21368" xr:uid="{00000000-0005-0000-0000-00008B530000}"/>
    <cellStyle name="RowTitles-Detail 3 5 4 4 2" xfId="21369" xr:uid="{00000000-0005-0000-0000-00008C530000}"/>
    <cellStyle name="RowTitles-Detail 3 5 4 4_Tertiary Salaries Survey" xfId="21370" xr:uid="{00000000-0005-0000-0000-00008D530000}"/>
    <cellStyle name="RowTitles-Detail 3 5 4 5" xfId="21371" xr:uid="{00000000-0005-0000-0000-00008E530000}"/>
    <cellStyle name="RowTitles-Detail 3 5 4_Tertiary Salaries Survey" xfId="21372" xr:uid="{00000000-0005-0000-0000-00008F530000}"/>
    <cellStyle name="RowTitles-Detail 3 5 5" xfId="21373" xr:uid="{00000000-0005-0000-0000-000090530000}"/>
    <cellStyle name="RowTitles-Detail 3 5 5 2" xfId="21374" xr:uid="{00000000-0005-0000-0000-000091530000}"/>
    <cellStyle name="RowTitles-Detail 3 5 5 2 2" xfId="21375" xr:uid="{00000000-0005-0000-0000-000092530000}"/>
    <cellStyle name="RowTitles-Detail 3 5 5 2 2 2" xfId="21376" xr:uid="{00000000-0005-0000-0000-000093530000}"/>
    <cellStyle name="RowTitles-Detail 3 5 5 2 2_Tertiary Salaries Survey" xfId="21377" xr:uid="{00000000-0005-0000-0000-000094530000}"/>
    <cellStyle name="RowTitles-Detail 3 5 5 2 3" xfId="21378" xr:uid="{00000000-0005-0000-0000-000095530000}"/>
    <cellStyle name="RowTitles-Detail 3 5 5 2_Tertiary Salaries Survey" xfId="21379" xr:uid="{00000000-0005-0000-0000-000096530000}"/>
    <cellStyle name="RowTitles-Detail 3 5 5 3" xfId="21380" xr:uid="{00000000-0005-0000-0000-000097530000}"/>
    <cellStyle name="RowTitles-Detail 3 5 5 3 2" xfId="21381" xr:uid="{00000000-0005-0000-0000-000098530000}"/>
    <cellStyle name="RowTitles-Detail 3 5 5 3 2 2" xfId="21382" xr:uid="{00000000-0005-0000-0000-000099530000}"/>
    <cellStyle name="RowTitles-Detail 3 5 5 3 2_Tertiary Salaries Survey" xfId="21383" xr:uid="{00000000-0005-0000-0000-00009A530000}"/>
    <cellStyle name="RowTitles-Detail 3 5 5 3 3" xfId="21384" xr:uid="{00000000-0005-0000-0000-00009B530000}"/>
    <cellStyle name="RowTitles-Detail 3 5 5 3_Tertiary Salaries Survey" xfId="21385" xr:uid="{00000000-0005-0000-0000-00009C530000}"/>
    <cellStyle name="RowTitles-Detail 3 5 5 4" xfId="21386" xr:uid="{00000000-0005-0000-0000-00009D530000}"/>
    <cellStyle name="RowTitles-Detail 3 5 5 4 2" xfId="21387" xr:uid="{00000000-0005-0000-0000-00009E530000}"/>
    <cellStyle name="RowTitles-Detail 3 5 5 4_Tertiary Salaries Survey" xfId="21388" xr:uid="{00000000-0005-0000-0000-00009F530000}"/>
    <cellStyle name="RowTitles-Detail 3 5 5 5" xfId="21389" xr:uid="{00000000-0005-0000-0000-0000A0530000}"/>
    <cellStyle name="RowTitles-Detail 3 5 5_Tertiary Salaries Survey" xfId="21390" xr:uid="{00000000-0005-0000-0000-0000A1530000}"/>
    <cellStyle name="RowTitles-Detail 3 5 6" xfId="21391" xr:uid="{00000000-0005-0000-0000-0000A2530000}"/>
    <cellStyle name="RowTitles-Detail 3 5 6 2" xfId="21392" xr:uid="{00000000-0005-0000-0000-0000A3530000}"/>
    <cellStyle name="RowTitles-Detail 3 5 6 2 2" xfId="21393" xr:uid="{00000000-0005-0000-0000-0000A4530000}"/>
    <cellStyle name="RowTitles-Detail 3 5 6 2 2 2" xfId="21394" xr:uid="{00000000-0005-0000-0000-0000A5530000}"/>
    <cellStyle name="RowTitles-Detail 3 5 6 2 2_Tertiary Salaries Survey" xfId="21395" xr:uid="{00000000-0005-0000-0000-0000A6530000}"/>
    <cellStyle name="RowTitles-Detail 3 5 6 2 3" xfId="21396" xr:uid="{00000000-0005-0000-0000-0000A7530000}"/>
    <cellStyle name="RowTitles-Detail 3 5 6 2_Tertiary Salaries Survey" xfId="21397" xr:uid="{00000000-0005-0000-0000-0000A8530000}"/>
    <cellStyle name="RowTitles-Detail 3 5 6 3" xfId="21398" xr:uid="{00000000-0005-0000-0000-0000A9530000}"/>
    <cellStyle name="RowTitles-Detail 3 5 6 3 2" xfId="21399" xr:uid="{00000000-0005-0000-0000-0000AA530000}"/>
    <cellStyle name="RowTitles-Detail 3 5 6 3 2 2" xfId="21400" xr:uid="{00000000-0005-0000-0000-0000AB530000}"/>
    <cellStyle name="RowTitles-Detail 3 5 6 3 2_Tertiary Salaries Survey" xfId="21401" xr:uid="{00000000-0005-0000-0000-0000AC530000}"/>
    <cellStyle name="RowTitles-Detail 3 5 6 3 3" xfId="21402" xr:uid="{00000000-0005-0000-0000-0000AD530000}"/>
    <cellStyle name="RowTitles-Detail 3 5 6 3_Tertiary Salaries Survey" xfId="21403" xr:uid="{00000000-0005-0000-0000-0000AE530000}"/>
    <cellStyle name="RowTitles-Detail 3 5 6 4" xfId="21404" xr:uid="{00000000-0005-0000-0000-0000AF530000}"/>
    <cellStyle name="RowTitles-Detail 3 5 6 4 2" xfId="21405" xr:uid="{00000000-0005-0000-0000-0000B0530000}"/>
    <cellStyle name="RowTitles-Detail 3 5 6 4_Tertiary Salaries Survey" xfId="21406" xr:uid="{00000000-0005-0000-0000-0000B1530000}"/>
    <cellStyle name="RowTitles-Detail 3 5 6 5" xfId="21407" xr:uid="{00000000-0005-0000-0000-0000B2530000}"/>
    <cellStyle name="RowTitles-Detail 3 5 6_Tertiary Salaries Survey" xfId="21408" xr:uid="{00000000-0005-0000-0000-0000B3530000}"/>
    <cellStyle name="RowTitles-Detail 3 5 7" xfId="21409" xr:uid="{00000000-0005-0000-0000-0000B4530000}"/>
    <cellStyle name="RowTitles-Detail 3 5 7 2" xfId="21410" xr:uid="{00000000-0005-0000-0000-0000B5530000}"/>
    <cellStyle name="RowTitles-Detail 3 5 7 2 2" xfId="21411" xr:uid="{00000000-0005-0000-0000-0000B6530000}"/>
    <cellStyle name="RowTitles-Detail 3 5 7 2_Tertiary Salaries Survey" xfId="21412" xr:uid="{00000000-0005-0000-0000-0000B7530000}"/>
    <cellStyle name="RowTitles-Detail 3 5 7 3" xfId="21413" xr:uid="{00000000-0005-0000-0000-0000B8530000}"/>
    <cellStyle name="RowTitles-Detail 3 5 7_Tertiary Salaries Survey" xfId="21414" xr:uid="{00000000-0005-0000-0000-0000B9530000}"/>
    <cellStyle name="RowTitles-Detail 3 5 8" xfId="21415" xr:uid="{00000000-0005-0000-0000-0000BA530000}"/>
    <cellStyle name="RowTitles-Detail 3 5 8 2" xfId="21416" xr:uid="{00000000-0005-0000-0000-0000BB530000}"/>
    <cellStyle name="RowTitles-Detail 3 5 8 2 2" xfId="21417" xr:uid="{00000000-0005-0000-0000-0000BC530000}"/>
    <cellStyle name="RowTitles-Detail 3 5 8 2_Tertiary Salaries Survey" xfId="21418" xr:uid="{00000000-0005-0000-0000-0000BD530000}"/>
    <cellStyle name="RowTitles-Detail 3 5 8 3" xfId="21419" xr:uid="{00000000-0005-0000-0000-0000BE530000}"/>
    <cellStyle name="RowTitles-Detail 3 5 8_Tertiary Salaries Survey" xfId="21420" xr:uid="{00000000-0005-0000-0000-0000BF530000}"/>
    <cellStyle name="RowTitles-Detail 3 5 9" xfId="21421" xr:uid="{00000000-0005-0000-0000-0000C0530000}"/>
    <cellStyle name="RowTitles-Detail 3 5_STUD aligned by INSTIT" xfId="21422" xr:uid="{00000000-0005-0000-0000-0000C1530000}"/>
    <cellStyle name="RowTitles-Detail 3 6" xfId="21423" xr:uid="{00000000-0005-0000-0000-0000C2530000}"/>
    <cellStyle name="RowTitles-Detail 3 6 2" xfId="21424" xr:uid="{00000000-0005-0000-0000-0000C3530000}"/>
    <cellStyle name="RowTitles-Detail 3 6 2 2" xfId="21425" xr:uid="{00000000-0005-0000-0000-0000C4530000}"/>
    <cellStyle name="RowTitles-Detail 3 6 2 2 2" xfId="21426" xr:uid="{00000000-0005-0000-0000-0000C5530000}"/>
    <cellStyle name="RowTitles-Detail 3 6 2 2 2 2" xfId="21427" xr:uid="{00000000-0005-0000-0000-0000C6530000}"/>
    <cellStyle name="RowTitles-Detail 3 6 2 2 2_Tertiary Salaries Survey" xfId="21428" xr:uid="{00000000-0005-0000-0000-0000C7530000}"/>
    <cellStyle name="RowTitles-Detail 3 6 2 2 3" xfId="21429" xr:uid="{00000000-0005-0000-0000-0000C8530000}"/>
    <cellStyle name="RowTitles-Detail 3 6 2 2_Tertiary Salaries Survey" xfId="21430" xr:uid="{00000000-0005-0000-0000-0000C9530000}"/>
    <cellStyle name="RowTitles-Detail 3 6 2 3" xfId="21431" xr:uid="{00000000-0005-0000-0000-0000CA530000}"/>
    <cellStyle name="RowTitles-Detail 3 6 2 3 2" xfId="21432" xr:uid="{00000000-0005-0000-0000-0000CB530000}"/>
    <cellStyle name="RowTitles-Detail 3 6 2 3 2 2" xfId="21433" xr:uid="{00000000-0005-0000-0000-0000CC530000}"/>
    <cellStyle name="RowTitles-Detail 3 6 2 3 2_Tertiary Salaries Survey" xfId="21434" xr:uid="{00000000-0005-0000-0000-0000CD530000}"/>
    <cellStyle name="RowTitles-Detail 3 6 2 3 3" xfId="21435" xr:uid="{00000000-0005-0000-0000-0000CE530000}"/>
    <cellStyle name="RowTitles-Detail 3 6 2 3_Tertiary Salaries Survey" xfId="21436" xr:uid="{00000000-0005-0000-0000-0000CF530000}"/>
    <cellStyle name="RowTitles-Detail 3 6 2 4" xfId="21437" xr:uid="{00000000-0005-0000-0000-0000D0530000}"/>
    <cellStyle name="RowTitles-Detail 3 6 2 5" xfId="21438" xr:uid="{00000000-0005-0000-0000-0000D1530000}"/>
    <cellStyle name="RowTitles-Detail 3 6 2 5 2" xfId="21439" xr:uid="{00000000-0005-0000-0000-0000D2530000}"/>
    <cellStyle name="RowTitles-Detail 3 6 2 5_Tertiary Salaries Survey" xfId="21440" xr:uid="{00000000-0005-0000-0000-0000D3530000}"/>
    <cellStyle name="RowTitles-Detail 3 6 2 6" xfId="21441" xr:uid="{00000000-0005-0000-0000-0000D4530000}"/>
    <cellStyle name="RowTitles-Detail 3 6 2_Tertiary Salaries Survey" xfId="21442" xr:uid="{00000000-0005-0000-0000-0000D5530000}"/>
    <cellStyle name="RowTitles-Detail 3 6 3" xfId="21443" xr:uid="{00000000-0005-0000-0000-0000D6530000}"/>
    <cellStyle name="RowTitles-Detail 3 6 3 2" xfId="21444" xr:uid="{00000000-0005-0000-0000-0000D7530000}"/>
    <cellStyle name="RowTitles-Detail 3 6 3 2 2" xfId="21445" xr:uid="{00000000-0005-0000-0000-0000D8530000}"/>
    <cellStyle name="RowTitles-Detail 3 6 3 2 2 2" xfId="21446" xr:uid="{00000000-0005-0000-0000-0000D9530000}"/>
    <cellStyle name="RowTitles-Detail 3 6 3 2 2_Tertiary Salaries Survey" xfId="21447" xr:uid="{00000000-0005-0000-0000-0000DA530000}"/>
    <cellStyle name="RowTitles-Detail 3 6 3 2 3" xfId="21448" xr:uid="{00000000-0005-0000-0000-0000DB530000}"/>
    <cellStyle name="RowTitles-Detail 3 6 3 2_Tertiary Salaries Survey" xfId="21449" xr:uid="{00000000-0005-0000-0000-0000DC530000}"/>
    <cellStyle name="RowTitles-Detail 3 6 3 3" xfId="21450" xr:uid="{00000000-0005-0000-0000-0000DD530000}"/>
    <cellStyle name="RowTitles-Detail 3 6 3 3 2" xfId="21451" xr:uid="{00000000-0005-0000-0000-0000DE530000}"/>
    <cellStyle name="RowTitles-Detail 3 6 3 3 2 2" xfId="21452" xr:uid="{00000000-0005-0000-0000-0000DF530000}"/>
    <cellStyle name="RowTitles-Detail 3 6 3 3 2_Tertiary Salaries Survey" xfId="21453" xr:uid="{00000000-0005-0000-0000-0000E0530000}"/>
    <cellStyle name="RowTitles-Detail 3 6 3 3 3" xfId="21454" xr:uid="{00000000-0005-0000-0000-0000E1530000}"/>
    <cellStyle name="RowTitles-Detail 3 6 3 3_Tertiary Salaries Survey" xfId="21455" xr:uid="{00000000-0005-0000-0000-0000E2530000}"/>
    <cellStyle name="RowTitles-Detail 3 6 3 4" xfId="21456" xr:uid="{00000000-0005-0000-0000-0000E3530000}"/>
    <cellStyle name="RowTitles-Detail 3 6 3 5" xfId="21457" xr:uid="{00000000-0005-0000-0000-0000E4530000}"/>
    <cellStyle name="RowTitles-Detail 3 6 3_Tertiary Salaries Survey" xfId="21458" xr:uid="{00000000-0005-0000-0000-0000E5530000}"/>
    <cellStyle name="RowTitles-Detail 3 6 4" xfId="21459" xr:uid="{00000000-0005-0000-0000-0000E6530000}"/>
    <cellStyle name="RowTitles-Detail 3 6 4 2" xfId="21460" xr:uid="{00000000-0005-0000-0000-0000E7530000}"/>
    <cellStyle name="RowTitles-Detail 3 6 4 2 2" xfId="21461" xr:uid="{00000000-0005-0000-0000-0000E8530000}"/>
    <cellStyle name="RowTitles-Detail 3 6 4 2 2 2" xfId="21462" xr:uid="{00000000-0005-0000-0000-0000E9530000}"/>
    <cellStyle name="RowTitles-Detail 3 6 4 2 2_Tertiary Salaries Survey" xfId="21463" xr:uid="{00000000-0005-0000-0000-0000EA530000}"/>
    <cellStyle name="RowTitles-Detail 3 6 4 2 3" xfId="21464" xr:uid="{00000000-0005-0000-0000-0000EB530000}"/>
    <cellStyle name="RowTitles-Detail 3 6 4 2_Tertiary Salaries Survey" xfId="21465" xr:uid="{00000000-0005-0000-0000-0000EC530000}"/>
    <cellStyle name="RowTitles-Detail 3 6 4 3" xfId="21466" xr:uid="{00000000-0005-0000-0000-0000ED530000}"/>
    <cellStyle name="RowTitles-Detail 3 6 4 3 2" xfId="21467" xr:uid="{00000000-0005-0000-0000-0000EE530000}"/>
    <cellStyle name="RowTitles-Detail 3 6 4 3 2 2" xfId="21468" xr:uid="{00000000-0005-0000-0000-0000EF530000}"/>
    <cellStyle name="RowTitles-Detail 3 6 4 3 2_Tertiary Salaries Survey" xfId="21469" xr:uid="{00000000-0005-0000-0000-0000F0530000}"/>
    <cellStyle name="RowTitles-Detail 3 6 4 3 3" xfId="21470" xr:uid="{00000000-0005-0000-0000-0000F1530000}"/>
    <cellStyle name="RowTitles-Detail 3 6 4 3_Tertiary Salaries Survey" xfId="21471" xr:uid="{00000000-0005-0000-0000-0000F2530000}"/>
    <cellStyle name="RowTitles-Detail 3 6 4 4" xfId="21472" xr:uid="{00000000-0005-0000-0000-0000F3530000}"/>
    <cellStyle name="RowTitles-Detail 3 6 4 5" xfId="21473" xr:uid="{00000000-0005-0000-0000-0000F4530000}"/>
    <cellStyle name="RowTitles-Detail 3 6 4 5 2" xfId="21474" xr:uid="{00000000-0005-0000-0000-0000F5530000}"/>
    <cellStyle name="RowTitles-Detail 3 6 4 5_Tertiary Salaries Survey" xfId="21475" xr:uid="{00000000-0005-0000-0000-0000F6530000}"/>
    <cellStyle name="RowTitles-Detail 3 6 4 6" xfId="21476" xr:uid="{00000000-0005-0000-0000-0000F7530000}"/>
    <cellStyle name="RowTitles-Detail 3 6 4_Tertiary Salaries Survey" xfId="21477" xr:uid="{00000000-0005-0000-0000-0000F8530000}"/>
    <cellStyle name="RowTitles-Detail 3 6 5" xfId="21478" xr:uid="{00000000-0005-0000-0000-0000F9530000}"/>
    <cellStyle name="RowTitles-Detail 3 6 5 2" xfId="21479" xr:uid="{00000000-0005-0000-0000-0000FA530000}"/>
    <cellStyle name="RowTitles-Detail 3 6 5 2 2" xfId="21480" xr:uid="{00000000-0005-0000-0000-0000FB530000}"/>
    <cellStyle name="RowTitles-Detail 3 6 5 2 2 2" xfId="21481" xr:uid="{00000000-0005-0000-0000-0000FC530000}"/>
    <cellStyle name="RowTitles-Detail 3 6 5 2 2_Tertiary Salaries Survey" xfId="21482" xr:uid="{00000000-0005-0000-0000-0000FD530000}"/>
    <cellStyle name="RowTitles-Detail 3 6 5 2 3" xfId="21483" xr:uid="{00000000-0005-0000-0000-0000FE530000}"/>
    <cellStyle name="RowTitles-Detail 3 6 5 2_Tertiary Salaries Survey" xfId="21484" xr:uid="{00000000-0005-0000-0000-0000FF530000}"/>
    <cellStyle name="RowTitles-Detail 3 6 5 3" xfId="21485" xr:uid="{00000000-0005-0000-0000-000000540000}"/>
    <cellStyle name="RowTitles-Detail 3 6 5 3 2" xfId="21486" xr:uid="{00000000-0005-0000-0000-000001540000}"/>
    <cellStyle name="RowTitles-Detail 3 6 5 3 2 2" xfId="21487" xr:uid="{00000000-0005-0000-0000-000002540000}"/>
    <cellStyle name="RowTitles-Detail 3 6 5 3 2_Tertiary Salaries Survey" xfId="21488" xr:uid="{00000000-0005-0000-0000-000003540000}"/>
    <cellStyle name="RowTitles-Detail 3 6 5 3 3" xfId="21489" xr:uid="{00000000-0005-0000-0000-000004540000}"/>
    <cellStyle name="RowTitles-Detail 3 6 5 3_Tertiary Salaries Survey" xfId="21490" xr:uid="{00000000-0005-0000-0000-000005540000}"/>
    <cellStyle name="RowTitles-Detail 3 6 5 4" xfId="21491" xr:uid="{00000000-0005-0000-0000-000006540000}"/>
    <cellStyle name="RowTitles-Detail 3 6 5 4 2" xfId="21492" xr:uid="{00000000-0005-0000-0000-000007540000}"/>
    <cellStyle name="RowTitles-Detail 3 6 5 4_Tertiary Salaries Survey" xfId="21493" xr:uid="{00000000-0005-0000-0000-000008540000}"/>
    <cellStyle name="RowTitles-Detail 3 6 5 5" xfId="21494" xr:uid="{00000000-0005-0000-0000-000009540000}"/>
    <cellStyle name="RowTitles-Detail 3 6 5_Tertiary Salaries Survey" xfId="21495" xr:uid="{00000000-0005-0000-0000-00000A540000}"/>
    <cellStyle name="RowTitles-Detail 3 6 6" xfId="21496" xr:uid="{00000000-0005-0000-0000-00000B540000}"/>
    <cellStyle name="RowTitles-Detail 3 6 6 2" xfId="21497" xr:uid="{00000000-0005-0000-0000-00000C540000}"/>
    <cellStyle name="RowTitles-Detail 3 6 6 2 2" xfId="21498" xr:uid="{00000000-0005-0000-0000-00000D540000}"/>
    <cellStyle name="RowTitles-Detail 3 6 6 2 2 2" xfId="21499" xr:uid="{00000000-0005-0000-0000-00000E540000}"/>
    <cellStyle name="RowTitles-Detail 3 6 6 2 2_Tertiary Salaries Survey" xfId="21500" xr:uid="{00000000-0005-0000-0000-00000F540000}"/>
    <cellStyle name="RowTitles-Detail 3 6 6 2 3" xfId="21501" xr:uid="{00000000-0005-0000-0000-000010540000}"/>
    <cellStyle name="RowTitles-Detail 3 6 6 2_Tertiary Salaries Survey" xfId="21502" xr:uid="{00000000-0005-0000-0000-000011540000}"/>
    <cellStyle name="RowTitles-Detail 3 6 6 3" xfId="21503" xr:uid="{00000000-0005-0000-0000-000012540000}"/>
    <cellStyle name="RowTitles-Detail 3 6 6 3 2" xfId="21504" xr:uid="{00000000-0005-0000-0000-000013540000}"/>
    <cellStyle name="RowTitles-Detail 3 6 6 3 2 2" xfId="21505" xr:uid="{00000000-0005-0000-0000-000014540000}"/>
    <cellStyle name="RowTitles-Detail 3 6 6 3 2_Tertiary Salaries Survey" xfId="21506" xr:uid="{00000000-0005-0000-0000-000015540000}"/>
    <cellStyle name="RowTitles-Detail 3 6 6 3 3" xfId="21507" xr:uid="{00000000-0005-0000-0000-000016540000}"/>
    <cellStyle name="RowTitles-Detail 3 6 6 3_Tertiary Salaries Survey" xfId="21508" xr:uid="{00000000-0005-0000-0000-000017540000}"/>
    <cellStyle name="RowTitles-Detail 3 6 6 4" xfId="21509" xr:uid="{00000000-0005-0000-0000-000018540000}"/>
    <cellStyle name="RowTitles-Detail 3 6 6 4 2" xfId="21510" xr:uid="{00000000-0005-0000-0000-000019540000}"/>
    <cellStyle name="RowTitles-Detail 3 6 6 4_Tertiary Salaries Survey" xfId="21511" xr:uid="{00000000-0005-0000-0000-00001A540000}"/>
    <cellStyle name="RowTitles-Detail 3 6 6 5" xfId="21512" xr:uid="{00000000-0005-0000-0000-00001B540000}"/>
    <cellStyle name="RowTitles-Detail 3 6 6_Tertiary Salaries Survey" xfId="21513" xr:uid="{00000000-0005-0000-0000-00001C540000}"/>
    <cellStyle name="RowTitles-Detail 3 6 7" xfId="21514" xr:uid="{00000000-0005-0000-0000-00001D540000}"/>
    <cellStyle name="RowTitles-Detail 3 6 7 2" xfId="21515" xr:uid="{00000000-0005-0000-0000-00001E540000}"/>
    <cellStyle name="RowTitles-Detail 3 6 7 2 2" xfId="21516" xr:uid="{00000000-0005-0000-0000-00001F540000}"/>
    <cellStyle name="RowTitles-Detail 3 6 7 2_Tertiary Salaries Survey" xfId="21517" xr:uid="{00000000-0005-0000-0000-000020540000}"/>
    <cellStyle name="RowTitles-Detail 3 6 7 3" xfId="21518" xr:uid="{00000000-0005-0000-0000-000021540000}"/>
    <cellStyle name="RowTitles-Detail 3 6 7_Tertiary Salaries Survey" xfId="21519" xr:uid="{00000000-0005-0000-0000-000022540000}"/>
    <cellStyle name="RowTitles-Detail 3 6 8" xfId="21520" xr:uid="{00000000-0005-0000-0000-000023540000}"/>
    <cellStyle name="RowTitles-Detail 3 6 9" xfId="21521" xr:uid="{00000000-0005-0000-0000-000024540000}"/>
    <cellStyle name="RowTitles-Detail 3 6_STUD aligned by INSTIT" xfId="21522" xr:uid="{00000000-0005-0000-0000-000025540000}"/>
    <cellStyle name="RowTitles-Detail 3 7" xfId="21523" xr:uid="{00000000-0005-0000-0000-000026540000}"/>
    <cellStyle name="RowTitles-Detail 3 7 2" xfId="21524" xr:uid="{00000000-0005-0000-0000-000027540000}"/>
    <cellStyle name="RowTitles-Detail 3 7 2 2" xfId="21525" xr:uid="{00000000-0005-0000-0000-000028540000}"/>
    <cellStyle name="RowTitles-Detail 3 7 2 2 2" xfId="21526" xr:uid="{00000000-0005-0000-0000-000029540000}"/>
    <cellStyle name="RowTitles-Detail 3 7 2 2_Tertiary Salaries Survey" xfId="21527" xr:uid="{00000000-0005-0000-0000-00002A540000}"/>
    <cellStyle name="RowTitles-Detail 3 7 2 3" xfId="21528" xr:uid="{00000000-0005-0000-0000-00002B540000}"/>
    <cellStyle name="RowTitles-Detail 3 7 2_Tertiary Salaries Survey" xfId="21529" xr:uid="{00000000-0005-0000-0000-00002C540000}"/>
    <cellStyle name="RowTitles-Detail 3 7 3" xfId="21530" xr:uid="{00000000-0005-0000-0000-00002D540000}"/>
    <cellStyle name="RowTitles-Detail 3 7 3 2" xfId="21531" xr:uid="{00000000-0005-0000-0000-00002E540000}"/>
    <cellStyle name="RowTitles-Detail 3 7 3 2 2" xfId="21532" xr:uid="{00000000-0005-0000-0000-00002F540000}"/>
    <cellStyle name="RowTitles-Detail 3 7 3 2_Tertiary Salaries Survey" xfId="21533" xr:uid="{00000000-0005-0000-0000-000030540000}"/>
    <cellStyle name="RowTitles-Detail 3 7 3 3" xfId="21534" xr:uid="{00000000-0005-0000-0000-000031540000}"/>
    <cellStyle name="RowTitles-Detail 3 7 3_Tertiary Salaries Survey" xfId="21535" xr:uid="{00000000-0005-0000-0000-000032540000}"/>
    <cellStyle name="RowTitles-Detail 3 7 4" xfId="21536" xr:uid="{00000000-0005-0000-0000-000033540000}"/>
    <cellStyle name="RowTitles-Detail 3 7 5" xfId="21537" xr:uid="{00000000-0005-0000-0000-000034540000}"/>
    <cellStyle name="RowTitles-Detail 3 7 5 2" xfId="21538" xr:uid="{00000000-0005-0000-0000-000035540000}"/>
    <cellStyle name="RowTitles-Detail 3 7 5_Tertiary Salaries Survey" xfId="21539" xr:uid="{00000000-0005-0000-0000-000036540000}"/>
    <cellStyle name="RowTitles-Detail 3 7 6" xfId="21540" xr:uid="{00000000-0005-0000-0000-000037540000}"/>
    <cellStyle name="RowTitles-Detail 3 7_Tertiary Salaries Survey" xfId="21541" xr:uid="{00000000-0005-0000-0000-000038540000}"/>
    <cellStyle name="RowTitles-Detail 3 8" xfId="21542" xr:uid="{00000000-0005-0000-0000-000039540000}"/>
    <cellStyle name="RowTitles-Detail 3 8 2" xfId="21543" xr:uid="{00000000-0005-0000-0000-00003A540000}"/>
    <cellStyle name="RowTitles-Detail 3 8 2 2" xfId="21544" xr:uid="{00000000-0005-0000-0000-00003B540000}"/>
    <cellStyle name="RowTitles-Detail 3 8 2 2 2" xfId="21545" xr:uid="{00000000-0005-0000-0000-00003C540000}"/>
    <cellStyle name="RowTitles-Detail 3 8 2 2_Tertiary Salaries Survey" xfId="21546" xr:uid="{00000000-0005-0000-0000-00003D540000}"/>
    <cellStyle name="RowTitles-Detail 3 8 2 3" xfId="21547" xr:uid="{00000000-0005-0000-0000-00003E540000}"/>
    <cellStyle name="RowTitles-Detail 3 8 2_Tertiary Salaries Survey" xfId="21548" xr:uid="{00000000-0005-0000-0000-00003F540000}"/>
    <cellStyle name="RowTitles-Detail 3 8 3" xfId="21549" xr:uid="{00000000-0005-0000-0000-000040540000}"/>
    <cellStyle name="RowTitles-Detail 3 8 3 2" xfId="21550" xr:uid="{00000000-0005-0000-0000-000041540000}"/>
    <cellStyle name="RowTitles-Detail 3 8 3 2 2" xfId="21551" xr:uid="{00000000-0005-0000-0000-000042540000}"/>
    <cellStyle name="RowTitles-Detail 3 8 3 2_Tertiary Salaries Survey" xfId="21552" xr:uid="{00000000-0005-0000-0000-000043540000}"/>
    <cellStyle name="RowTitles-Detail 3 8 3 3" xfId="21553" xr:uid="{00000000-0005-0000-0000-000044540000}"/>
    <cellStyle name="RowTitles-Detail 3 8 3_Tertiary Salaries Survey" xfId="21554" xr:uid="{00000000-0005-0000-0000-000045540000}"/>
    <cellStyle name="RowTitles-Detail 3 8 4" xfId="21555" xr:uid="{00000000-0005-0000-0000-000046540000}"/>
    <cellStyle name="RowTitles-Detail 3 8 5" xfId="21556" xr:uid="{00000000-0005-0000-0000-000047540000}"/>
    <cellStyle name="RowTitles-Detail 3 8_Tertiary Salaries Survey" xfId="21557" xr:uid="{00000000-0005-0000-0000-000048540000}"/>
    <cellStyle name="RowTitles-Detail 3 9" xfId="21558" xr:uid="{00000000-0005-0000-0000-000049540000}"/>
    <cellStyle name="RowTitles-Detail 3 9 2" xfId="21559" xr:uid="{00000000-0005-0000-0000-00004A540000}"/>
    <cellStyle name="RowTitles-Detail 3 9 2 2" xfId="21560" xr:uid="{00000000-0005-0000-0000-00004B540000}"/>
    <cellStyle name="RowTitles-Detail 3 9 2 2 2" xfId="21561" xr:uid="{00000000-0005-0000-0000-00004C540000}"/>
    <cellStyle name="RowTitles-Detail 3 9 2 2_Tertiary Salaries Survey" xfId="21562" xr:uid="{00000000-0005-0000-0000-00004D540000}"/>
    <cellStyle name="RowTitles-Detail 3 9 2 3" xfId="21563" xr:uid="{00000000-0005-0000-0000-00004E540000}"/>
    <cellStyle name="RowTitles-Detail 3 9 2_Tertiary Salaries Survey" xfId="21564" xr:uid="{00000000-0005-0000-0000-00004F540000}"/>
    <cellStyle name="RowTitles-Detail 3 9 3" xfId="21565" xr:uid="{00000000-0005-0000-0000-000050540000}"/>
    <cellStyle name="RowTitles-Detail 3 9 3 2" xfId="21566" xr:uid="{00000000-0005-0000-0000-000051540000}"/>
    <cellStyle name="RowTitles-Detail 3 9 3 2 2" xfId="21567" xr:uid="{00000000-0005-0000-0000-000052540000}"/>
    <cellStyle name="RowTitles-Detail 3 9 3 2_Tertiary Salaries Survey" xfId="21568" xr:uid="{00000000-0005-0000-0000-000053540000}"/>
    <cellStyle name="RowTitles-Detail 3 9 3 3" xfId="21569" xr:uid="{00000000-0005-0000-0000-000054540000}"/>
    <cellStyle name="RowTitles-Detail 3 9 3_Tertiary Salaries Survey" xfId="21570" xr:uid="{00000000-0005-0000-0000-000055540000}"/>
    <cellStyle name="RowTitles-Detail 3 9 4" xfId="21571" xr:uid="{00000000-0005-0000-0000-000056540000}"/>
    <cellStyle name="RowTitles-Detail 3 9 5" xfId="21572" xr:uid="{00000000-0005-0000-0000-000057540000}"/>
    <cellStyle name="RowTitles-Detail 3 9 5 2" xfId="21573" xr:uid="{00000000-0005-0000-0000-000058540000}"/>
    <cellStyle name="RowTitles-Detail 3 9 5_Tertiary Salaries Survey" xfId="21574" xr:uid="{00000000-0005-0000-0000-000059540000}"/>
    <cellStyle name="RowTitles-Detail 3 9 6" xfId="21575" xr:uid="{00000000-0005-0000-0000-00005A540000}"/>
    <cellStyle name="RowTitles-Detail 3 9_Tertiary Salaries Survey" xfId="21576" xr:uid="{00000000-0005-0000-0000-00005B540000}"/>
    <cellStyle name="RowTitles-Detail 3_STUD aligned by INSTIT" xfId="21577" xr:uid="{00000000-0005-0000-0000-00005C540000}"/>
    <cellStyle name="RowTitles-Detail 4" xfId="21578" xr:uid="{00000000-0005-0000-0000-00005D540000}"/>
    <cellStyle name="RowTitles-Detail 4 10" xfId="21579" xr:uid="{00000000-0005-0000-0000-00005E540000}"/>
    <cellStyle name="RowTitles-Detail 4 10 2" xfId="21580" xr:uid="{00000000-0005-0000-0000-00005F540000}"/>
    <cellStyle name="RowTitles-Detail 4 10 2 2" xfId="21581" xr:uid="{00000000-0005-0000-0000-000060540000}"/>
    <cellStyle name="RowTitles-Detail 4 10 2 2 2" xfId="21582" xr:uid="{00000000-0005-0000-0000-000061540000}"/>
    <cellStyle name="RowTitles-Detail 4 10 2 2_Tertiary Salaries Survey" xfId="21583" xr:uid="{00000000-0005-0000-0000-000062540000}"/>
    <cellStyle name="RowTitles-Detail 4 10 2 3" xfId="21584" xr:uid="{00000000-0005-0000-0000-000063540000}"/>
    <cellStyle name="RowTitles-Detail 4 10 2_Tertiary Salaries Survey" xfId="21585" xr:uid="{00000000-0005-0000-0000-000064540000}"/>
    <cellStyle name="RowTitles-Detail 4 10 3" xfId="21586" xr:uid="{00000000-0005-0000-0000-000065540000}"/>
    <cellStyle name="RowTitles-Detail 4 10 3 2" xfId="21587" xr:uid="{00000000-0005-0000-0000-000066540000}"/>
    <cellStyle name="RowTitles-Detail 4 10 3 2 2" xfId="21588" xr:uid="{00000000-0005-0000-0000-000067540000}"/>
    <cellStyle name="RowTitles-Detail 4 10 3 2_Tertiary Salaries Survey" xfId="21589" xr:uid="{00000000-0005-0000-0000-000068540000}"/>
    <cellStyle name="RowTitles-Detail 4 10 3 3" xfId="21590" xr:uid="{00000000-0005-0000-0000-000069540000}"/>
    <cellStyle name="RowTitles-Detail 4 10 3_Tertiary Salaries Survey" xfId="21591" xr:uid="{00000000-0005-0000-0000-00006A540000}"/>
    <cellStyle name="RowTitles-Detail 4 10 4" xfId="21592" xr:uid="{00000000-0005-0000-0000-00006B540000}"/>
    <cellStyle name="RowTitles-Detail 4 10 4 2" xfId="21593" xr:uid="{00000000-0005-0000-0000-00006C540000}"/>
    <cellStyle name="RowTitles-Detail 4 10 4_Tertiary Salaries Survey" xfId="21594" xr:uid="{00000000-0005-0000-0000-00006D540000}"/>
    <cellStyle name="RowTitles-Detail 4 10 5" xfId="21595" xr:uid="{00000000-0005-0000-0000-00006E540000}"/>
    <cellStyle name="RowTitles-Detail 4 10_Tertiary Salaries Survey" xfId="21596" xr:uid="{00000000-0005-0000-0000-00006F540000}"/>
    <cellStyle name="RowTitles-Detail 4 11" xfId="21597" xr:uid="{00000000-0005-0000-0000-000070540000}"/>
    <cellStyle name="RowTitles-Detail 4 11 2" xfId="21598" xr:uid="{00000000-0005-0000-0000-000071540000}"/>
    <cellStyle name="RowTitles-Detail 4 11 2 2" xfId="21599" xr:uid="{00000000-0005-0000-0000-000072540000}"/>
    <cellStyle name="RowTitles-Detail 4 11 2 2 2" xfId="21600" xr:uid="{00000000-0005-0000-0000-000073540000}"/>
    <cellStyle name="RowTitles-Detail 4 11 2 2_Tertiary Salaries Survey" xfId="21601" xr:uid="{00000000-0005-0000-0000-000074540000}"/>
    <cellStyle name="RowTitles-Detail 4 11 2 3" xfId="21602" xr:uid="{00000000-0005-0000-0000-000075540000}"/>
    <cellStyle name="RowTitles-Detail 4 11 2_Tertiary Salaries Survey" xfId="21603" xr:uid="{00000000-0005-0000-0000-000076540000}"/>
    <cellStyle name="RowTitles-Detail 4 11 3" xfId="21604" xr:uid="{00000000-0005-0000-0000-000077540000}"/>
    <cellStyle name="RowTitles-Detail 4 11 3 2" xfId="21605" xr:uid="{00000000-0005-0000-0000-000078540000}"/>
    <cellStyle name="RowTitles-Detail 4 11 3 2 2" xfId="21606" xr:uid="{00000000-0005-0000-0000-000079540000}"/>
    <cellStyle name="RowTitles-Detail 4 11 3 2_Tertiary Salaries Survey" xfId="21607" xr:uid="{00000000-0005-0000-0000-00007A540000}"/>
    <cellStyle name="RowTitles-Detail 4 11 3 3" xfId="21608" xr:uid="{00000000-0005-0000-0000-00007B540000}"/>
    <cellStyle name="RowTitles-Detail 4 11 3_Tertiary Salaries Survey" xfId="21609" xr:uid="{00000000-0005-0000-0000-00007C540000}"/>
    <cellStyle name="RowTitles-Detail 4 11 4" xfId="21610" xr:uid="{00000000-0005-0000-0000-00007D540000}"/>
    <cellStyle name="RowTitles-Detail 4 11 4 2" xfId="21611" xr:uid="{00000000-0005-0000-0000-00007E540000}"/>
    <cellStyle name="RowTitles-Detail 4 11 4_Tertiary Salaries Survey" xfId="21612" xr:uid="{00000000-0005-0000-0000-00007F540000}"/>
    <cellStyle name="RowTitles-Detail 4 11 5" xfId="21613" xr:uid="{00000000-0005-0000-0000-000080540000}"/>
    <cellStyle name="RowTitles-Detail 4 11_Tertiary Salaries Survey" xfId="21614" xr:uid="{00000000-0005-0000-0000-000081540000}"/>
    <cellStyle name="RowTitles-Detail 4 12" xfId="21615" xr:uid="{00000000-0005-0000-0000-000082540000}"/>
    <cellStyle name="RowTitles-Detail 4 12 2" xfId="21616" xr:uid="{00000000-0005-0000-0000-000083540000}"/>
    <cellStyle name="RowTitles-Detail 4 12 2 2" xfId="21617" xr:uid="{00000000-0005-0000-0000-000084540000}"/>
    <cellStyle name="RowTitles-Detail 4 12 2_Tertiary Salaries Survey" xfId="21618" xr:uid="{00000000-0005-0000-0000-000085540000}"/>
    <cellStyle name="RowTitles-Detail 4 12 3" xfId="21619" xr:uid="{00000000-0005-0000-0000-000086540000}"/>
    <cellStyle name="RowTitles-Detail 4 12_Tertiary Salaries Survey" xfId="21620" xr:uid="{00000000-0005-0000-0000-000087540000}"/>
    <cellStyle name="RowTitles-Detail 4 13" xfId="21621" xr:uid="{00000000-0005-0000-0000-000088540000}"/>
    <cellStyle name="RowTitles-Detail 4 14" xfId="21622" xr:uid="{00000000-0005-0000-0000-000089540000}"/>
    <cellStyle name="RowTitles-Detail 4 15" xfId="21623" xr:uid="{00000000-0005-0000-0000-00008A540000}"/>
    <cellStyle name="RowTitles-Detail 4 2" xfId="21624" xr:uid="{00000000-0005-0000-0000-00008B540000}"/>
    <cellStyle name="RowTitles-Detail 4 2 10" xfId="21625" xr:uid="{00000000-0005-0000-0000-00008C540000}"/>
    <cellStyle name="RowTitles-Detail 4 2 10 2" xfId="21626" xr:uid="{00000000-0005-0000-0000-00008D540000}"/>
    <cellStyle name="RowTitles-Detail 4 2 10 2 2" xfId="21627" xr:uid="{00000000-0005-0000-0000-00008E540000}"/>
    <cellStyle name="RowTitles-Detail 4 2 10 2 2 2" xfId="21628" xr:uid="{00000000-0005-0000-0000-00008F540000}"/>
    <cellStyle name="RowTitles-Detail 4 2 10 2 2_Tertiary Salaries Survey" xfId="21629" xr:uid="{00000000-0005-0000-0000-000090540000}"/>
    <cellStyle name="RowTitles-Detail 4 2 10 2 3" xfId="21630" xr:uid="{00000000-0005-0000-0000-000091540000}"/>
    <cellStyle name="RowTitles-Detail 4 2 10 2_Tertiary Salaries Survey" xfId="21631" xr:uid="{00000000-0005-0000-0000-000092540000}"/>
    <cellStyle name="RowTitles-Detail 4 2 10 3" xfId="21632" xr:uid="{00000000-0005-0000-0000-000093540000}"/>
    <cellStyle name="RowTitles-Detail 4 2 10 3 2" xfId="21633" xr:uid="{00000000-0005-0000-0000-000094540000}"/>
    <cellStyle name="RowTitles-Detail 4 2 10 3 2 2" xfId="21634" xr:uid="{00000000-0005-0000-0000-000095540000}"/>
    <cellStyle name="RowTitles-Detail 4 2 10 3 2_Tertiary Salaries Survey" xfId="21635" xr:uid="{00000000-0005-0000-0000-000096540000}"/>
    <cellStyle name="RowTitles-Detail 4 2 10 3 3" xfId="21636" xr:uid="{00000000-0005-0000-0000-000097540000}"/>
    <cellStyle name="RowTitles-Detail 4 2 10 3_Tertiary Salaries Survey" xfId="21637" xr:uid="{00000000-0005-0000-0000-000098540000}"/>
    <cellStyle name="RowTitles-Detail 4 2 10 4" xfId="21638" xr:uid="{00000000-0005-0000-0000-000099540000}"/>
    <cellStyle name="RowTitles-Detail 4 2 10 4 2" xfId="21639" xr:uid="{00000000-0005-0000-0000-00009A540000}"/>
    <cellStyle name="RowTitles-Detail 4 2 10 4_Tertiary Salaries Survey" xfId="21640" xr:uid="{00000000-0005-0000-0000-00009B540000}"/>
    <cellStyle name="RowTitles-Detail 4 2 10 5" xfId="21641" xr:uid="{00000000-0005-0000-0000-00009C540000}"/>
    <cellStyle name="RowTitles-Detail 4 2 10_Tertiary Salaries Survey" xfId="21642" xr:uid="{00000000-0005-0000-0000-00009D540000}"/>
    <cellStyle name="RowTitles-Detail 4 2 11" xfId="21643" xr:uid="{00000000-0005-0000-0000-00009E540000}"/>
    <cellStyle name="RowTitles-Detail 4 2 11 2" xfId="21644" xr:uid="{00000000-0005-0000-0000-00009F540000}"/>
    <cellStyle name="RowTitles-Detail 4 2 11 2 2" xfId="21645" xr:uid="{00000000-0005-0000-0000-0000A0540000}"/>
    <cellStyle name="RowTitles-Detail 4 2 11 2_Tertiary Salaries Survey" xfId="21646" xr:uid="{00000000-0005-0000-0000-0000A1540000}"/>
    <cellStyle name="RowTitles-Detail 4 2 11 3" xfId="21647" xr:uid="{00000000-0005-0000-0000-0000A2540000}"/>
    <cellStyle name="RowTitles-Detail 4 2 11_Tertiary Salaries Survey" xfId="21648" xr:uid="{00000000-0005-0000-0000-0000A3540000}"/>
    <cellStyle name="RowTitles-Detail 4 2 12" xfId="21649" xr:uid="{00000000-0005-0000-0000-0000A4540000}"/>
    <cellStyle name="RowTitles-Detail 4 2 13" xfId="21650" xr:uid="{00000000-0005-0000-0000-0000A5540000}"/>
    <cellStyle name="RowTitles-Detail 4 2 2" xfId="21651" xr:uid="{00000000-0005-0000-0000-0000A6540000}"/>
    <cellStyle name="RowTitles-Detail 4 2 2 10" xfId="21652" xr:uid="{00000000-0005-0000-0000-0000A7540000}"/>
    <cellStyle name="RowTitles-Detail 4 2 2 10 2" xfId="21653" xr:uid="{00000000-0005-0000-0000-0000A8540000}"/>
    <cellStyle name="RowTitles-Detail 4 2 2 10 2 2" xfId="21654" xr:uid="{00000000-0005-0000-0000-0000A9540000}"/>
    <cellStyle name="RowTitles-Detail 4 2 2 10 2_Tertiary Salaries Survey" xfId="21655" xr:uid="{00000000-0005-0000-0000-0000AA540000}"/>
    <cellStyle name="RowTitles-Detail 4 2 2 10 3" xfId="21656" xr:uid="{00000000-0005-0000-0000-0000AB540000}"/>
    <cellStyle name="RowTitles-Detail 4 2 2 10_Tertiary Salaries Survey" xfId="21657" xr:uid="{00000000-0005-0000-0000-0000AC540000}"/>
    <cellStyle name="RowTitles-Detail 4 2 2 11" xfId="21658" xr:uid="{00000000-0005-0000-0000-0000AD540000}"/>
    <cellStyle name="RowTitles-Detail 4 2 2 12" xfId="21659" xr:uid="{00000000-0005-0000-0000-0000AE540000}"/>
    <cellStyle name="RowTitles-Detail 4 2 2 2" xfId="21660" xr:uid="{00000000-0005-0000-0000-0000AF540000}"/>
    <cellStyle name="RowTitles-Detail 4 2 2 2 2" xfId="21661" xr:uid="{00000000-0005-0000-0000-0000B0540000}"/>
    <cellStyle name="RowTitles-Detail 4 2 2 2 2 2" xfId="21662" xr:uid="{00000000-0005-0000-0000-0000B1540000}"/>
    <cellStyle name="RowTitles-Detail 4 2 2 2 2 2 2" xfId="21663" xr:uid="{00000000-0005-0000-0000-0000B2540000}"/>
    <cellStyle name="RowTitles-Detail 4 2 2 2 2 2 2 2" xfId="21664" xr:uid="{00000000-0005-0000-0000-0000B3540000}"/>
    <cellStyle name="RowTitles-Detail 4 2 2 2 2 2 2_Tertiary Salaries Survey" xfId="21665" xr:uid="{00000000-0005-0000-0000-0000B4540000}"/>
    <cellStyle name="RowTitles-Detail 4 2 2 2 2 2 3" xfId="21666" xr:uid="{00000000-0005-0000-0000-0000B5540000}"/>
    <cellStyle name="RowTitles-Detail 4 2 2 2 2 2_Tertiary Salaries Survey" xfId="21667" xr:uid="{00000000-0005-0000-0000-0000B6540000}"/>
    <cellStyle name="RowTitles-Detail 4 2 2 2 2 3" xfId="21668" xr:uid="{00000000-0005-0000-0000-0000B7540000}"/>
    <cellStyle name="RowTitles-Detail 4 2 2 2 2 3 2" xfId="21669" xr:uid="{00000000-0005-0000-0000-0000B8540000}"/>
    <cellStyle name="RowTitles-Detail 4 2 2 2 2 3 2 2" xfId="21670" xr:uid="{00000000-0005-0000-0000-0000B9540000}"/>
    <cellStyle name="RowTitles-Detail 4 2 2 2 2 3 2_Tertiary Salaries Survey" xfId="21671" xr:uid="{00000000-0005-0000-0000-0000BA540000}"/>
    <cellStyle name="RowTitles-Detail 4 2 2 2 2 3 3" xfId="21672" xr:uid="{00000000-0005-0000-0000-0000BB540000}"/>
    <cellStyle name="RowTitles-Detail 4 2 2 2 2 3_Tertiary Salaries Survey" xfId="21673" xr:uid="{00000000-0005-0000-0000-0000BC540000}"/>
    <cellStyle name="RowTitles-Detail 4 2 2 2 2 4" xfId="21674" xr:uid="{00000000-0005-0000-0000-0000BD540000}"/>
    <cellStyle name="RowTitles-Detail 4 2 2 2 2 5" xfId="21675" xr:uid="{00000000-0005-0000-0000-0000BE540000}"/>
    <cellStyle name="RowTitles-Detail 4 2 2 2 2_Tertiary Salaries Survey" xfId="21676" xr:uid="{00000000-0005-0000-0000-0000BF540000}"/>
    <cellStyle name="RowTitles-Detail 4 2 2 2 3" xfId="21677" xr:uid="{00000000-0005-0000-0000-0000C0540000}"/>
    <cellStyle name="RowTitles-Detail 4 2 2 2 3 2" xfId="21678" xr:uid="{00000000-0005-0000-0000-0000C1540000}"/>
    <cellStyle name="RowTitles-Detail 4 2 2 2 3 2 2" xfId="21679" xr:uid="{00000000-0005-0000-0000-0000C2540000}"/>
    <cellStyle name="RowTitles-Detail 4 2 2 2 3 2 2 2" xfId="21680" xr:uid="{00000000-0005-0000-0000-0000C3540000}"/>
    <cellStyle name="RowTitles-Detail 4 2 2 2 3 2 2_Tertiary Salaries Survey" xfId="21681" xr:uid="{00000000-0005-0000-0000-0000C4540000}"/>
    <cellStyle name="RowTitles-Detail 4 2 2 2 3 2 3" xfId="21682" xr:uid="{00000000-0005-0000-0000-0000C5540000}"/>
    <cellStyle name="RowTitles-Detail 4 2 2 2 3 2_Tertiary Salaries Survey" xfId="21683" xr:uid="{00000000-0005-0000-0000-0000C6540000}"/>
    <cellStyle name="RowTitles-Detail 4 2 2 2 3 3" xfId="21684" xr:uid="{00000000-0005-0000-0000-0000C7540000}"/>
    <cellStyle name="RowTitles-Detail 4 2 2 2 3 3 2" xfId="21685" xr:uid="{00000000-0005-0000-0000-0000C8540000}"/>
    <cellStyle name="RowTitles-Detail 4 2 2 2 3 3 2 2" xfId="21686" xr:uid="{00000000-0005-0000-0000-0000C9540000}"/>
    <cellStyle name="RowTitles-Detail 4 2 2 2 3 3 2_Tertiary Salaries Survey" xfId="21687" xr:uid="{00000000-0005-0000-0000-0000CA540000}"/>
    <cellStyle name="RowTitles-Detail 4 2 2 2 3 3 3" xfId="21688" xr:uid="{00000000-0005-0000-0000-0000CB540000}"/>
    <cellStyle name="RowTitles-Detail 4 2 2 2 3 3_Tertiary Salaries Survey" xfId="21689" xr:uid="{00000000-0005-0000-0000-0000CC540000}"/>
    <cellStyle name="RowTitles-Detail 4 2 2 2 3 4" xfId="21690" xr:uid="{00000000-0005-0000-0000-0000CD540000}"/>
    <cellStyle name="RowTitles-Detail 4 2 2 2 3 5" xfId="21691" xr:uid="{00000000-0005-0000-0000-0000CE540000}"/>
    <cellStyle name="RowTitles-Detail 4 2 2 2 3 5 2" xfId="21692" xr:uid="{00000000-0005-0000-0000-0000CF540000}"/>
    <cellStyle name="RowTitles-Detail 4 2 2 2 3 5_Tertiary Salaries Survey" xfId="21693" xr:uid="{00000000-0005-0000-0000-0000D0540000}"/>
    <cellStyle name="RowTitles-Detail 4 2 2 2 3 6" xfId="21694" xr:uid="{00000000-0005-0000-0000-0000D1540000}"/>
    <cellStyle name="RowTitles-Detail 4 2 2 2 3_Tertiary Salaries Survey" xfId="21695" xr:uid="{00000000-0005-0000-0000-0000D2540000}"/>
    <cellStyle name="RowTitles-Detail 4 2 2 2 4" xfId="21696" xr:uid="{00000000-0005-0000-0000-0000D3540000}"/>
    <cellStyle name="RowTitles-Detail 4 2 2 2 4 2" xfId="21697" xr:uid="{00000000-0005-0000-0000-0000D4540000}"/>
    <cellStyle name="RowTitles-Detail 4 2 2 2 4 2 2" xfId="21698" xr:uid="{00000000-0005-0000-0000-0000D5540000}"/>
    <cellStyle name="RowTitles-Detail 4 2 2 2 4 2 2 2" xfId="21699" xr:uid="{00000000-0005-0000-0000-0000D6540000}"/>
    <cellStyle name="RowTitles-Detail 4 2 2 2 4 2 2_Tertiary Salaries Survey" xfId="21700" xr:uid="{00000000-0005-0000-0000-0000D7540000}"/>
    <cellStyle name="RowTitles-Detail 4 2 2 2 4 2 3" xfId="21701" xr:uid="{00000000-0005-0000-0000-0000D8540000}"/>
    <cellStyle name="RowTitles-Detail 4 2 2 2 4 2_Tertiary Salaries Survey" xfId="21702" xr:uid="{00000000-0005-0000-0000-0000D9540000}"/>
    <cellStyle name="RowTitles-Detail 4 2 2 2 4 3" xfId="21703" xr:uid="{00000000-0005-0000-0000-0000DA540000}"/>
    <cellStyle name="RowTitles-Detail 4 2 2 2 4 3 2" xfId="21704" xr:uid="{00000000-0005-0000-0000-0000DB540000}"/>
    <cellStyle name="RowTitles-Detail 4 2 2 2 4 3 2 2" xfId="21705" xr:uid="{00000000-0005-0000-0000-0000DC540000}"/>
    <cellStyle name="RowTitles-Detail 4 2 2 2 4 3 2_Tertiary Salaries Survey" xfId="21706" xr:uid="{00000000-0005-0000-0000-0000DD540000}"/>
    <cellStyle name="RowTitles-Detail 4 2 2 2 4 3 3" xfId="21707" xr:uid="{00000000-0005-0000-0000-0000DE540000}"/>
    <cellStyle name="RowTitles-Detail 4 2 2 2 4 3_Tertiary Salaries Survey" xfId="21708" xr:uid="{00000000-0005-0000-0000-0000DF540000}"/>
    <cellStyle name="RowTitles-Detail 4 2 2 2 4 4" xfId="21709" xr:uid="{00000000-0005-0000-0000-0000E0540000}"/>
    <cellStyle name="RowTitles-Detail 4 2 2 2 4 4 2" xfId="21710" xr:uid="{00000000-0005-0000-0000-0000E1540000}"/>
    <cellStyle name="RowTitles-Detail 4 2 2 2 4 4_Tertiary Salaries Survey" xfId="21711" xr:uid="{00000000-0005-0000-0000-0000E2540000}"/>
    <cellStyle name="RowTitles-Detail 4 2 2 2 4 5" xfId="21712" xr:uid="{00000000-0005-0000-0000-0000E3540000}"/>
    <cellStyle name="RowTitles-Detail 4 2 2 2 4_Tertiary Salaries Survey" xfId="21713" xr:uid="{00000000-0005-0000-0000-0000E4540000}"/>
    <cellStyle name="RowTitles-Detail 4 2 2 2 5" xfId="21714" xr:uid="{00000000-0005-0000-0000-0000E5540000}"/>
    <cellStyle name="RowTitles-Detail 4 2 2 2 5 2" xfId="21715" xr:uid="{00000000-0005-0000-0000-0000E6540000}"/>
    <cellStyle name="RowTitles-Detail 4 2 2 2 5 2 2" xfId="21716" xr:uid="{00000000-0005-0000-0000-0000E7540000}"/>
    <cellStyle name="RowTitles-Detail 4 2 2 2 5 2 2 2" xfId="21717" xr:uid="{00000000-0005-0000-0000-0000E8540000}"/>
    <cellStyle name="RowTitles-Detail 4 2 2 2 5 2 2_Tertiary Salaries Survey" xfId="21718" xr:uid="{00000000-0005-0000-0000-0000E9540000}"/>
    <cellStyle name="RowTitles-Detail 4 2 2 2 5 2 3" xfId="21719" xr:uid="{00000000-0005-0000-0000-0000EA540000}"/>
    <cellStyle name="RowTitles-Detail 4 2 2 2 5 2_Tertiary Salaries Survey" xfId="21720" xr:uid="{00000000-0005-0000-0000-0000EB540000}"/>
    <cellStyle name="RowTitles-Detail 4 2 2 2 5 3" xfId="21721" xr:uid="{00000000-0005-0000-0000-0000EC540000}"/>
    <cellStyle name="RowTitles-Detail 4 2 2 2 5 3 2" xfId="21722" xr:uid="{00000000-0005-0000-0000-0000ED540000}"/>
    <cellStyle name="RowTitles-Detail 4 2 2 2 5 3 2 2" xfId="21723" xr:uid="{00000000-0005-0000-0000-0000EE540000}"/>
    <cellStyle name="RowTitles-Detail 4 2 2 2 5 3 2_Tertiary Salaries Survey" xfId="21724" xr:uid="{00000000-0005-0000-0000-0000EF540000}"/>
    <cellStyle name="RowTitles-Detail 4 2 2 2 5 3 3" xfId="21725" xr:uid="{00000000-0005-0000-0000-0000F0540000}"/>
    <cellStyle name="RowTitles-Detail 4 2 2 2 5 3_Tertiary Salaries Survey" xfId="21726" xr:uid="{00000000-0005-0000-0000-0000F1540000}"/>
    <cellStyle name="RowTitles-Detail 4 2 2 2 5 4" xfId="21727" xr:uid="{00000000-0005-0000-0000-0000F2540000}"/>
    <cellStyle name="RowTitles-Detail 4 2 2 2 5 4 2" xfId="21728" xr:uid="{00000000-0005-0000-0000-0000F3540000}"/>
    <cellStyle name="RowTitles-Detail 4 2 2 2 5 4_Tertiary Salaries Survey" xfId="21729" xr:uid="{00000000-0005-0000-0000-0000F4540000}"/>
    <cellStyle name="RowTitles-Detail 4 2 2 2 5 5" xfId="21730" xr:uid="{00000000-0005-0000-0000-0000F5540000}"/>
    <cellStyle name="RowTitles-Detail 4 2 2 2 5_Tertiary Salaries Survey" xfId="21731" xr:uid="{00000000-0005-0000-0000-0000F6540000}"/>
    <cellStyle name="RowTitles-Detail 4 2 2 2 6" xfId="21732" xr:uid="{00000000-0005-0000-0000-0000F7540000}"/>
    <cellStyle name="RowTitles-Detail 4 2 2 2 6 2" xfId="21733" xr:uid="{00000000-0005-0000-0000-0000F8540000}"/>
    <cellStyle name="RowTitles-Detail 4 2 2 2 6 2 2" xfId="21734" xr:uid="{00000000-0005-0000-0000-0000F9540000}"/>
    <cellStyle name="RowTitles-Detail 4 2 2 2 6 2 2 2" xfId="21735" xr:uid="{00000000-0005-0000-0000-0000FA540000}"/>
    <cellStyle name="RowTitles-Detail 4 2 2 2 6 2 2_Tertiary Salaries Survey" xfId="21736" xr:uid="{00000000-0005-0000-0000-0000FB540000}"/>
    <cellStyle name="RowTitles-Detail 4 2 2 2 6 2 3" xfId="21737" xr:uid="{00000000-0005-0000-0000-0000FC540000}"/>
    <cellStyle name="RowTitles-Detail 4 2 2 2 6 2_Tertiary Salaries Survey" xfId="21738" xr:uid="{00000000-0005-0000-0000-0000FD540000}"/>
    <cellStyle name="RowTitles-Detail 4 2 2 2 6 3" xfId="21739" xr:uid="{00000000-0005-0000-0000-0000FE540000}"/>
    <cellStyle name="RowTitles-Detail 4 2 2 2 6 3 2" xfId="21740" xr:uid="{00000000-0005-0000-0000-0000FF540000}"/>
    <cellStyle name="RowTitles-Detail 4 2 2 2 6 3 2 2" xfId="21741" xr:uid="{00000000-0005-0000-0000-000000550000}"/>
    <cellStyle name="RowTitles-Detail 4 2 2 2 6 3 2_Tertiary Salaries Survey" xfId="21742" xr:uid="{00000000-0005-0000-0000-000001550000}"/>
    <cellStyle name="RowTitles-Detail 4 2 2 2 6 3 3" xfId="21743" xr:uid="{00000000-0005-0000-0000-000002550000}"/>
    <cellStyle name="RowTitles-Detail 4 2 2 2 6 3_Tertiary Salaries Survey" xfId="21744" xr:uid="{00000000-0005-0000-0000-000003550000}"/>
    <cellStyle name="RowTitles-Detail 4 2 2 2 6 4" xfId="21745" xr:uid="{00000000-0005-0000-0000-000004550000}"/>
    <cellStyle name="RowTitles-Detail 4 2 2 2 6 4 2" xfId="21746" xr:uid="{00000000-0005-0000-0000-000005550000}"/>
    <cellStyle name="RowTitles-Detail 4 2 2 2 6 4_Tertiary Salaries Survey" xfId="21747" xr:uid="{00000000-0005-0000-0000-000006550000}"/>
    <cellStyle name="RowTitles-Detail 4 2 2 2 6 5" xfId="21748" xr:uid="{00000000-0005-0000-0000-000007550000}"/>
    <cellStyle name="RowTitles-Detail 4 2 2 2 6_Tertiary Salaries Survey" xfId="21749" xr:uid="{00000000-0005-0000-0000-000008550000}"/>
    <cellStyle name="RowTitles-Detail 4 2 2 2 7" xfId="21750" xr:uid="{00000000-0005-0000-0000-000009550000}"/>
    <cellStyle name="RowTitles-Detail 4 2 2 2 7 2" xfId="21751" xr:uid="{00000000-0005-0000-0000-00000A550000}"/>
    <cellStyle name="RowTitles-Detail 4 2 2 2 7 2 2" xfId="21752" xr:uid="{00000000-0005-0000-0000-00000B550000}"/>
    <cellStyle name="RowTitles-Detail 4 2 2 2 7 2_Tertiary Salaries Survey" xfId="21753" xr:uid="{00000000-0005-0000-0000-00000C550000}"/>
    <cellStyle name="RowTitles-Detail 4 2 2 2 7 3" xfId="21754" xr:uid="{00000000-0005-0000-0000-00000D550000}"/>
    <cellStyle name="RowTitles-Detail 4 2 2 2 7_Tertiary Salaries Survey" xfId="21755" xr:uid="{00000000-0005-0000-0000-00000E550000}"/>
    <cellStyle name="RowTitles-Detail 4 2 2 2 8" xfId="21756" xr:uid="{00000000-0005-0000-0000-00000F550000}"/>
    <cellStyle name="RowTitles-Detail 4 2 2 2 9" xfId="21757" xr:uid="{00000000-0005-0000-0000-000010550000}"/>
    <cellStyle name="RowTitles-Detail 4 2 2 2_STUD aligned by INSTIT" xfId="21758" xr:uid="{00000000-0005-0000-0000-000011550000}"/>
    <cellStyle name="RowTitles-Detail 4 2 2 3" xfId="21759" xr:uid="{00000000-0005-0000-0000-000012550000}"/>
    <cellStyle name="RowTitles-Detail 4 2 2 3 2" xfId="21760" xr:uid="{00000000-0005-0000-0000-000013550000}"/>
    <cellStyle name="RowTitles-Detail 4 2 2 3 2 2" xfId="21761" xr:uid="{00000000-0005-0000-0000-000014550000}"/>
    <cellStyle name="RowTitles-Detail 4 2 2 3 2 2 2" xfId="21762" xr:uid="{00000000-0005-0000-0000-000015550000}"/>
    <cellStyle name="RowTitles-Detail 4 2 2 3 2 2 2 2" xfId="21763" xr:uid="{00000000-0005-0000-0000-000016550000}"/>
    <cellStyle name="RowTitles-Detail 4 2 2 3 2 2 2_Tertiary Salaries Survey" xfId="21764" xr:uid="{00000000-0005-0000-0000-000017550000}"/>
    <cellStyle name="RowTitles-Detail 4 2 2 3 2 2 3" xfId="21765" xr:uid="{00000000-0005-0000-0000-000018550000}"/>
    <cellStyle name="RowTitles-Detail 4 2 2 3 2 2_Tertiary Salaries Survey" xfId="21766" xr:uid="{00000000-0005-0000-0000-000019550000}"/>
    <cellStyle name="RowTitles-Detail 4 2 2 3 2 3" xfId="21767" xr:uid="{00000000-0005-0000-0000-00001A550000}"/>
    <cellStyle name="RowTitles-Detail 4 2 2 3 2 3 2" xfId="21768" xr:uid="{00000000-0005-0000-0000-00001B550000}"/>
    <cellStyle name="RowTitles-Detail 4 2 2 3 2 3 2 2" xfId="21769" xr:uid="{00000000-0005-0000-0000-00001C550000}"/>
    <cellStyle name="RowTitles-Detail 4 2 2 3 2 3 2_Tertiary Salaries Survey" xfId="21770" xr:uid="{00000000-0005-0000-0000-00001D550000}"/>
    <cellStyle name="RowTitles-Detail 4 2 2 3 2 3 3" xfId="21771" xr:uid="{00000000-0005-0000-0000-00001E550000}"/>
    <cellStyle name="RowTitles-Detail 4 2 2 3 2 3_Tertiary Salaries Survey" xfId="21772" xr:uid="{00000000-0005-0000-0000-00001F550000}"/>
    <cellStyle name="RowTitles-Detail 4 2 2 3 2 4" xfId="21773" xr:uid="{00000000-0005-0000-0000-000020550000}"/>
    <cellStyle name="RowTitles-Detail 4 2 2 3 2 5" xfId="21774" xr:uid="{00000000-0005-0000-0000-000021550000}"/>
    <cellStyle name="RowTitles-Detail 4 2 2 3 2 5 2" xfId="21775" xr:uid="{00000000-0005-0000-0000-000022550000}"/>
    <cellStyle name="RowTitles-Detail 4 2 2 3 2 5_Tertiary Salaries Survey" xfId="21776" xr:uid="{00000000-0005-0000-0000-000023550000}"/>
    <cellStyle name="RowTitles-Detail 4 2 2 3 2 6" xfId="21777" xr:uid="{00000000-0005-0000-0000-000024550000}"/>
    <cellStyle name="RowTitles-Detail 4 2 2 3 2_Tertiary Salaries Survey" xfId="21778" xr:uid="{00000000-0005-0000-0000-000025550000}"/>
    <cellStyle name="RowTitles-Detail 4 2 2 3 3" xfId="21779" xr:uid="{00000000-0005-0000-0000-000026550000}"/>
    <cellStyle name="RowTitles-Detail 4 2 2 3 3 2" xfId="21780" xr:uid="{00000000-0005-0000-0000-000027550000}"/>
    <cellStyle name="RowTitles-Detail 4 2 2 3 3 2 2" xfId="21781" xr:uid="{00000000-0005-0000-0000-000028550000}"/>
    <cellStyle name="RowTitles-Detail 4 2 2 3 3 2 2 2" xfId="21782" xr:uid="{00000000-0005-0000-0000-000029550000}"/>
    <cellStyle name="RowTitles-Detail 4 2 2 3 3 2 2_Tertiary Salaries Survey" xfId="21783" xr:uid="{00000000-0005-0000-0000-00002A550000}"/>
    <cellStyle name="RowTitles-Detail 4 2 2 3 3 2 3" xfId="21784" xr:uid="{00000000-0005-0000-0000-00002B550000}"/>
    <cellStyle name="RowTitles-Detail 4 2 2 3 3 2_Tertiary Salaries Survey" xfId="21785" xr:uid="{00000000-0005-0000-0000-00002C550000}"/>
    <cellStyle name="RowTitles-Detail 4 2 2 3 3 3" xfId="21786" xr:uid="{00000000-0005-0000-0000-00002D550000}"/>
    <cellStyle name="RowTitles-Detail 4 2 2 3 3 3 2" xfId="21787" xr:uid="{00000000-0005-0000-0000-00002E550000}"/>
    <cellStyle name="RowTitles-Detail 4 2 2 3 3 3 2 2" xfId="21788" xr:uid="{00000000-0005-0000-0000-00002F550000}"/>
    <cellStyle name="RowTitles-Detail 4 2 2 3 3 3 2_Tertiary Salaries Survey" xfId="21789" xr:uid="{00000000-0005-0000-0000-000030550000}"/>
    <cellStyle name="RowTitles-Detail 4 2 2 3 3 3 3" xfId="21790" xr:uid="{00000000-0005-0000-0000-000031550000}"/>
    <cellStyle name="RowTitles-Detail 4 2 2 3 3 3_Tertiary Salaries Survey" xfId="21791" xr:uid="{00000000-0005-0000-0000-000032550000}"/>
    <cellStyle name="RowTitles-Detail 4 2 2 3 3 4" xfId="21792" xr:uid="{00000000-0005-0000-0000-000033550000}"/>
    <cellStyle name="RowTitles-Detail 4 2 2 3 3 5" xfId="21793" xr:uid="{00000000-0005-0000-0000-000034550000}"/>
    <cellStyle name="RowTitles-Detail 4 2 2 3 3_Tertiary Salaries Survey" xfId="21794" xr:uid="{00000000-0005-0000-0000-000035550000}"/>
    <cellStyle name="RowTitles-Detail 4 2 2 3 4" xfId="21795" xr:uid="{00000000-0005-0000-0000-000036550000}"/>
    <cellStyle name="RowTitles-Detail 4 2 2 3 4 2" xfId="21796" xr:uid="{00000000-0005-0000-0000-000037550000}"/>
    <cellStyle name="RowTitles-Detail 4 2 2 3 4 2 2" xfId="21797" xr:uid="{00000000-0005-0000-0000-000038550000}"/>
    <cellStyle name="RowTitles-Detail 4 2 2 3 4 2 2 2" xfId="21798" xr:uid="{00000000-0005-0000-0000-000039550000}"/>
    <cellStyle name="RowTitles-Detail 4 2 2 3 4 2 2_Tertiary Salaries Survey" xfId="21799" xr:uid="{00000000-0005-0000-0000-00003A550000}"/>
    <cellStyle name="RowTitles-Detail 4 2 2 3 4 2 3" xfId="21800" xr:uid="{00000000-0005-0000-0000-00003B550000}"/>
    <cellStyle name="RowTitles-Detail 4 2 2 3 4 2_Tertiary Salaries Survey" xfId="21801" xr:uid="{00000000-0005-0000-0000-00003C550000}"/>
    <cellStyle name="RowTitles-Detail 4 2 2 3 4 3" xfId="21802" xr:uid="{00000000-0005-0000-0000-00003D550000}"/>
    <cellStyle name="RowTitles-Detail 4 2 2 3 4 3 2" xfId="21803" xr:uid="{00000000-0005-0000-0000-00003E550000}"/>
    <cellStyle name="RowTitles-Detail 4 2 2 3 4 3 2 2" xfId="21804" xr:uid="{00000000-0005-0000-0000-00003F550000}"/>
    <cellStyle name="RowTitles-Detail 4 2 2 3 4 3 2_Tertiary Salaries Survey" xfId="21805" xr:uid="{00000000-0005-0000-0000-000040550000}"/>
    <cellStyle name="RowTitles-Detail 4 2 2 3 4 3 3" xfId="21806" xr:uid="{00000000-0005-0000-0000-000041550000}"/>
    <cellStyle name="RowTitles-Detail 4 2 2 3 4 3_Tertiary Salaries Survey" xfId="21807" xr:uid="{00000000-0005-0000-0000-000042550000}"/>
    <cellStyle name="RowTitles-Detail 4 2 2 3 4 4" xfId="21808" xr:uid="{00000000-0005-0000-0000-000043550000}"/>
    <cellStyle name="RowTitles-Detail 4 2 2 3 4 4 2" xfId="21809" xr:uid="{00000000-0005-0000-0000-000044550000}"/>
    <cellStyle name="RowTitles-Detail 4 2 2 3 4 4_Tertiary Salaries Survey" xfId="21810" xr:uid="{00000000-0005-0000-0000-000045550000}"/>
    <cellStyle name="RowTitles-Detail 4 2 2 3 4 5" xfId="21811" xr:uid="{00000000-0005-0000-0000-000046550000}"/>
    <cellStyle name="RowTitles-Detail 4 2 2 3 4_Tertiary Salaries Survey" xfId="21812" xr:uid="{00000000-0005-0000-0000-000047550000}"/>
    <cellStyle name="RowTitles-Detail 4 2 2 3 5" xfId="21813" xr:uid="{00000000-0005-0000-0000-000048550000}"/>
    <cellStyle name="RowTitles-Detail 4 2 2 3 5 2" xfId="21814" xr:uid="{00000000-0005-0000-0000-000049550000}"/>
    <cellStyle name="RowTitles-Detail 4 2 2 3 5 2 2" xfId="21815" xr:uid="{00000000-0005-0000-0000-00004A550000}"/>
    <cellStyle name="RowTitles-Detail 4 2 2 3 5 2 2 2" xfId="21816" xr:uid="{00000000-0005-0000-0000-00004B550000}"/>
    <cellStyle name="RowTitles-Detail 4 2 2 3 5 2 2_Tertiary Salaries Survey" xfId="21817" xr:uid="{00000000-0005-0000-0000-00004C550000}"/>
    <cellStyle name="RowTitles-Detail 4 2 2 3 5 2 3" xfId="21818" xr:uid="{00000000-0005-0000-0000-00004D550000}"/>
    <cellStyle name="RowTitles-Detail 4 2 2 3 5 2_Tertiary Salaries Survey" xfId="21819" xr:uid="{00000000-0005-0000-0000-00004E550000}"/>
    <cellStyle name="RowTitles-Detail 4 2 2 3 5 3" xfId="21820" xr:uid="{00000000-0005-0000-0000-00004F550000}"/>
    <cellStyle name="RowTitles-Detail 4 2 2 3 5 3 2" xfId="21821" xr:uid="{00000000-0005-0000-0000-000050550000}"/>
    <cellStyle name="RowTitles-Detail 4 2 2 3 5 3 2 2" xfId="21822" xr:uid="{00000000-0005-0000-0000-000051550000}"/>
    <cellStyle name="RowTitles-Detail 4 2 2 3 5 3 2_Tertiary Salaries Survey" xfId="21823" xr:uid="{00000000-0005-0000-0000-000052550000}"/>
    <cellStyle name="RowTitles-Detail 4 2 2 3 5 3 3" xfId="21824" xr:uid="{00000000-0005-0000-0000-000053550000}"/>
    <cellStyle name="RowTitles-Detail 4 2 2 3 5 3_Tertiary Salaries Survey" xfId="21825" xr:uid="{00000000-0005-0000-0000-000054550000}"/>
    <cellStyle name="RowTitles-Detail 4 2 2 3 5 4" xfId="21826" xr:uid="{00000000-0005-0000-0000-000055550000}"/>
    <cellStyle name="RowTitles-Detail 4 2 2 3 5 4 2" xfId="21827" xr:uid="{00000000-0005-0000-0000-000056550000}"/>
    <cellStyle name="RowTitles-Detail 4 2 2 3 5 4_Tertiary Salaries Survey" xfId="21828" xr:uid="{00000000-0005-0000-0000-000057550000}"/>
    <cellStyle name="RowTitles-Detail 4 2 2 3 5 5" xfId="21829" xr:uid="{00000000-0005-0000-0000-000058550000}"/>
    <cellStyle name="RowTitles-Detail 4 2 2 3 5_Tertiary Salaries Survey" xfId="21830" xr:uid="{00000000-0005-0000-0000-000059550000}"/>
    <cellStyle name="RowTitles-Detail 4 2 2 3 6" xfId="21831" xr:uid="{00000000-0005-0000-0000-00005A550000}"/>
    <cellStyle name="RowTitles-Detail 4 2 2 3 6 2" xfId="21832" xr:uid="{00000000-0005-0000-0000-00005B550000}"/>
    <cellStyle name="RowTitles-Detail 4 2 2 3 6 2 2" xfId="21833" xr:uid="{00000000-0005-0000-0000-00005C550000}"/>
    <cellStyle name="RowTitles-Detail 4 2 2 3 6 2 2 2" xfId="21834" xr:uid="{00000000-0005-0000-0000-00005D550000}"/>
    <cellStyle name="RowTitles-Detail 4 2 2 3 6 2 2_Tertiary Salaries Survey" xfId="21835" xr:uid="{00000000-0005-0000-0000-00005E550000}"/>
    <cellStyle name="RowTitles-Detail 4 2 2 3 6 2 3" xfId="21836" xr:uid="{00000000-0005-0000-0000-00005F550000}"/>
    <cellStyle name="RowTitles-Detail 4 2 2 3 6 2_Tertiary Salaries Survey" xfId="21837" xr:uid="{00000000-0005-0000-0000-000060550000}"/>
    <cellStyle name="RowTitles-Detail 4 2 2 3 6 3" xfId="21838" xr:uid="{00000000-0005-0000-0000-000061550000}"/>
    <cellStyle name="RowTitles-Detail 4 2 2 3 6 3 2" xfId="21839" xr:uid="{00000000-0005-0000-0000-000062550000}"/>
    <cellStyle name="RowTitles-Detail 4 2 2 3 6 3 2 2" xfId="21840" xr:uid="{00000000-0005-0000-0000-000063550000}"/>
    <cellStyle name="RowTitles-Detail 4 2 2 3 6 3 2_Tertiary Salaries Survey" xfId="21841" xr:uid="{00000000-0005-0000-0000-000064550000}"/>
    <cellStyle name="RowTitles-Detail 4 2 2 3 6 3 3" xfId="21842" xr:uid="{00000000-0005-0000-0000-000065550000}"/>
    <cellStyle name="RowTitles-Detail 4 2 2 3 6 3_Tertiary Salaries Survey" xfId="21843" xr:uid="{00000000-0005-0000-0000-000066550000}"/>
    <cellStyle name="RowTitles-Detail 4 2 2 3 6 4" xfId="21844" xr:uid="{00000000-0005-0000-0000-000067550000}"/>
    <cellStyle name="RowTitles-Detail 4 2 2 3 6 4 2" xfId="21845" xr:uid="{00000000-0005-0000-0000-000068550000}"/>
    <cellStyle name="RowTitles-Detail 4 2 2 3 6 4_Tertiary Salaries Survey" xfId="21846" xr:uid="{00000000-0005-0000-0000-000069550000}"/>
    <cellStyle name="RowTitles-Detail 4 2 2 3 6 5" xfId="21847" xr:uid="{00000000-0005-0000-0000-00006A550000}"/>
    <cellStyle name="RowTitles-Detail 4 2 2 3 6_Tertiary Salaries Survey" xfId="21848" xr:uid="{00000000-0005-0000-0000-00006B550000}"/>
    <cellStyle name="RowTitles-Detail 4 2 2 3 7" xfId="21849" xr:uid="{00000000-0005-0000-0000-00006C550000}"/>
    <cellStyle name="RowTitles-Detail 4 2 2 3 7 2" xfId="21850" xr:uid="{00000000-0005-0000-0000-00006D550000}"/>
    <cellStyle name="RowTitles-Detail 4 2 2 3 7 2 2" xfId="21851" xr:uid="{00000000-0005-0000-0000-00006E550000}"/>
    <cellStyle name="RowTitles-Detail 4 2 2 3 7 2_Tertiary Salaries Survey" xfId="21852" xr:uid="{00000000-0005-0000-0000-00006F550000}"/>
    <cellStyle name="RowTitles-Detail 4 2 2 3 7 3" xfId="21853" xr:uid="{00000000-0005-0000-0000-000070550000}"/>
    <cellStyle name="RowTitles-Detail 4 2 2 3 7_Tertiary Salaries Survey" xfId="21854" xr:uid="{00000000-0005-0000-0000-000071550000}"/>
    <cellStyle name="RowTitles-Detail 4 2 2 3 8" xfId="21855" xr:uid="{00000000-0005-0000-0000-000072550000}"/>
    <cellStyle name="RowTitles-Detail 4 2 2 3 8 2" xfId="21856" xr:uid="{00000000-0005-0000-0000-000073550000}"/>
    <cellStyle name="RowTitles-Detail 4 2 2 3 8 2 2" xfId="21857" xr:uid="{00000000-0005-0000-0000-000074550000}"/>
    <cellStyle name="RowTitles-Detail 4 2 2 3 8 2_Tertiary Salaries Survey" xfId="21858" xr:uid="{00000000-0005-0000-0000-000075550000}"/>
    <cellStyle name="RowTitles-Detail 4 2 2 3 8 3" xfId="21859" xr:uid="{00000000-0005-0000-0000-000076550000}"/>
    <cellStyle name="RowTitles-Detail 4 2 2 3 8_Tertiary Salaries Survey" xfId="21860" xr:uid="{00000000-0005-0000-0000-000077550000}"/>
    <cellStyle name="RowTitles-Detail 4 2 2 3 9" xfId="21861" xr:uid="{00000000-0005-0000-0000-000078550000}"/>
    <cellStyle name="RowTitles-Detail 4 2 2 3_STUD aligned by INSTIT" xfId="21862" xr:uid="{00000000-0005-0000-0000-000079550000}"/>
    <cellStyle name="RowTitles-Detail 4 2 2 4" xfId="21863" xr:uid="{00000000-0005-0000-0000-00007A550000}"/>
    <cellStyle name="RowTitles-Detail 4 2 2 4 2" xfId="21864" xr:uid="{00000000-0005-0000-0000-00007B550000}"/>
    <cellStyle name="RowTitles-Detail 4 2 2 4 2 2" xfId="21865" xr:uid="{00000000-0005-0000-0000-00007C550000}"/>
    <cellStyle name="RowTitles-Detail 4 2 2 4 2 2 2" xfId="21866" xr:uid="{00000000-0005-0000-0000-00007D550000}"/>
    <cellStyle name="RowTitles-Detail 4 2 2 4 2 2 2 2" xfId="21867" xr:uid="{00000000-0005-0000-0000-00007E550000}"/>
    <cellStyle name="RowTitles-Detail 4 2 2 4 2 2 2_Tertiary Salaries Survey" xfId="21868" xr:uid="{00000000-0005-0000-0000-00007F550000}"/>
    <cellStyle name="RowTitles-Detail 4 2 2 4 2 2 3" xfId="21869" xr:uid="{00000000-0005-0000-0000-000080550000}"/>
    <cellStyle name="RowTitles-Detail 4 2 2 4 2 2_Tertiary Salaries Survey" xfId="21870" xr:uid="{00000000-0005-0000-0000-000081550000}"/>
    <cellStyle name="RowTitles-Detail 4 2 2 4 2 3" xfId="21871" xr:uid="{00000000-0005-0000-0000-000082550000}"/>
    <cellStyle name="RowTitles-Detail 4 2 2 4 2 3 2" xfId="21872" xr:uid="{00000000-0005-0000-0000-000083550000}"/>
    <cellStyle name="RowTitles-Detail 4 2 2 4 2 3 2 2" xfId="21873" xr:uid="{00000000-0005-0000-0000-000084550000}"/>
    <cellStyle name="RowTitles-Detail 4 2 2 4 2 3 2_Tertiary Salaries Survey" xfId="21874" xr:uid="{00000000-0005-0000-0000-000085550000}"/>
    <cellStyle name="RowTitles-Detail 4 2 2 4 2 3 3" xfId="21875" xr:uid="{00000000-0005-0000-0000-000086550000}"/>
    <cellStyle name="RowTitles-Detail 4 2 2 4 2 3_Tertiary Salaries Survey" xfId="21876" xr:uid="{00000000-0005-0000-0000-000087550000}"/>
    <cellStyle name="RowTitles-Detail 4 2 2 4 2 4" xfId="21877" xr:uid="{00000000-0005-0000-0000-000088550000}"/>
    <cellStyle name="RowTitles-Detail 4 2 2 4 2 5" xfId="21878" xr:uid="{00000000-0005-0000-0000-000089550000}"/>
    <cellStyle name="RowTitles-Detail 4 2 2 4 2 5 2" xfId="21879" xr:uid="{00000000-0005-0000-0000-00008A550000}"/>
    <cellStyle name="RowTitles-Detail 4 2 2 4 2 5_Tertiary Salaries Survey" xfId="21880" xr:uid="{00000000-0005-0000-0000-00008B550000}"/>
    <cellStyle name="RowTitles-Detail 4 2 2 4 2 6" xfId="21881" xr:uid="{00000000-0005-0000-0000-00008C550000}"/>
    <cellStyle name="RowTitles-Detail 4 2 2 4 2_Tertiary Salaries Survey" xfId="21882" xr:uid="{00000000-0005-0000-0000-00008D550000}"/>
    <cellStyle name="RowTitles-Detail 4 2 2 4 3" xfId="21883" xr:uid="{00000000-0005-0000-0000-00008E550000}"/>
    <cellStyle name="RowTitles-Detail 4 2 2 4 3 2" xfId="21884" xr:uid="{00000000-0005-0000-0000-00008F550000}"/>
    <cellStyle name="RowTitles-Detail 4 2 2 4 3 2 2" xfId="21885" xr:uid="{00000000-0005-0000-0000-000090550000}"/>
    <cellStyle name="RowTitles-Detail 4 2 2 4 3 2 2 2" xfId="21886" xr:uid="{00000000-0005-0000-0000-000091550000}"/>
    <cellStyle name="RowTitles-Detail 4 2 2 4 3 2 2_Tertiary Salaries Survey" xfId="21887" xr:uid="{00000000-0005-0000-0000-000092550000}"/>
    <cellStyle name="RowTitles-Detail 4 2 2 4 3 2 3" xfId="21888" xr:uid="{00000000-0005-0000-0000-000093550000}"/>
    <cellStyle name="RowTitles-Detail 4 2 2 4 3 2_Tertiary Salaries Survey" xfId="21889" xr:uid="{00000000-0005-0000-0000-000094550000}"/>
    <cellStyle name="RowTitles-Detail 4 2 2 4 3 3" xfId="21890" xr:uid="{00000000-0005-0000-0000-000095550000}"/>
    <cellStyle name="RowTitles-Detail 4 2 2 4 3 3 2" xfId="21891" xr:uid="{00000000-0005-0000-0000-000096550000}"/>
    <cellStyle name="RowTitles-Detail 4 2 2 4 3 3 2 2" xfId="21892" xr:uid="{00000000-0005-0000-0000-000097550000}"/>
    <cellStyle name="RowTitles-Detail 4 2 2 4 3 3 2_Tertiary Salaries Survey" xfId="21893" xr:uid="{00000000-0005-0000-0000-000098550000}"/>
    <cellStyle name="RowTitles-Detail 4 2 2 4 3 3 3" xfId="21894" xr:uid="{00000000-0005-0000-0000-000099550000}"/>
    <cellStyle name="RowTitles-Detail 4 2 2 4 3 3_Tertiary Salaries Survey" xfId="21895" xr:uid="{00000000-0005-0000-0000-00009A550000}"/>
    <cellStyle name="RowTitles-Detail 4 2 2 4 3 4" xfId="21896" xr:uid="{00000000-0005-0000-0000-00009B550000}"/>
    <cellStyle name="RowTitles-Detail 4 2 2 4 3 5" xfId="21897" xr:uid="{00000000-0005-0000-0000-00009C550000}"/>
    <cellStyle name="RowTitles-Detail 4 2 2 4 3_Tertiary Salaries Survey" xfId="21898" xr:uid="{00000000-0005-0000-0000-00009D550000}"/>
    <cellStyle name="RowTitles-Detail 4 2 2 4 4" xfId="21899" xr:uid="{00000000-0005-0000-0000-00009E550000}"/>
    <cellStyle name="RowTitles-Detail 4 2 2 4 4 2" xfId="21900" xr:uid="{00000000-0005-0000-0000-00009F550000}"/>
    <cellStyle name="RowTitles-Detail 4 2 2 4 4 2 2" xfId="21901" xr:uid="{00000000-0005-0000-0000-0000A0550000}"/>
    <cellStyle name="RowTitles-Detail 4 2 2 4 4 2 2 2" xfId="21902" xr:uid="{00000000-0005-0000-0000-0000A1550000}"/>
    <cellStyle name="RowTitles-Detail 4 2 2 4 4 2 2_Tertiary Salaries Survey" xfId="21903" xr:uid="{00000000-0005-0000-0000-0000A2550000}"/>
    <cellStyle name="RowTitles-Detail 4 2 2 4 4 2 3" xfId="21904" xr:uid="{00000000-0005-0000-0000-0000A3550000}"/>
    <cellStyle name="RowTitles-Detail 4 2 2 4 4 2_Tertiary Salaries Survey" xfId="21905" xr:uid="{00000000-0005-0000-0000-0000A4550000}"/>
    <cellStyle name="RowTitles-Detail 4 2 2 4 4 3" xfId="21906" xr:uid="{00000000-0005-0000-0000-0000A5550000}"/>
    <cellStyle name="RowTitles-Detail 4 2 2 4 4 3 2" xfId="21907" xr:uid="{00000000-0005-0000-0000-0000A6550000}"/>
    <cellStyle name="RowTitles-Detail 4 2 2 4 4 3 2 2" xfId="21908" xr:uid="{00000000-0005-0000-0000-0000A7550000}"/>
    <cellStyle name="RowTitles-Detail 4 2 2 4 4 3 2_Tertiary Salaries Survey" xfId="21909" xr:uid="{00000000-0005-0000-0000-0000A8550000}"/>
    <cellStyle name="RowTitles-Detail 4 2 2 4 4 3 3" xfId="21910" xr:uid="{00000000-0005-0000-0000-0000A9550000}"/>
    <cellStyle name="RowTitles-Detail 4 2 2 4 4 3_Tertiary Salaries Survey" xfId="21911" xr:uid="{00000000-0005-0000-0000-0000AA550000}"/>
    <cellStyle name="RowTitles-Detail 4 2 2 4 4 4" xfId="21912" xr:uid="{00000000-0005-0000-0000-0000AB550000}"/>
    <cellStyle name="RowTitles-Detail 4 2 2 4 4 5" xfId="21913" xr:uid="{00000000-0005-0000-0000-0000AC550000}"/>
    <cellStyle name="RowTitles-Detail 4 2 2 4 4 5 2" xfId="21914" xr:uid="{00000000-0005-0000-0000-0000AD550000}"/>
    <cellStyle name="RowTitles-Detail 4 2 2 4 4 5_Tertiary Salaries Survey" xfId="21915" xr:uid="{00000000-0005-0000-0000-0000AE550000}"/>
    <cellStyle name="RowTitles-Detail 4 2 2 4 4 6" xfId="21916" xr:uid="{00000000-0005-0000-0000-0000AF550000}"/>
    <cellStyle name="RowTitles-Detail 4 2 2 4 4_Tertiary Salaries Survey" xfId="21917" xr:uid="{00000000-0005-0000-0000-0000B0550000}"/>
    <cellStyle name="RowTitles-Detail 4 2 2 4 5" xfId="21918" xr:uid="{00000000-0005-0000-0000-0000B1550000}"/>
    <cellStyle name="RowTitles-Detail 4 2 2 4 5 2" xfId="21919" xr:uid="{00000000-0005-0000-0000-0000B2550000}"/>
    <cellStyle name="RowTitles-Detail 4 2 2 4 5 2 2" xfId="21920" xr:uid="{00000000-0005-0000-0000-0000B3550000}"/>
    <cellStyle name="RowTitles-Detail 4 2 2 4 5 2 2 2" xfId="21921" xr:uid="{00000000-0005-0000-0000-0000B4550000}"/>
    <cellStyle name="RowTitles-Detail 4 2 2 4 5 2 2_Tertiary Salaries Survey" xfId="21922" xr:uid="{00000000-0005-0000-0000-0000B5550000}"/>
    <cellStyle name="RowTitles-Detail 4 2 2 4 5 2 3" xfId="21923" xr:uid="{00000000-0005-0000-0000-0000B6550000}"/>
    <cellStyle name="RowTitles-Detail 4 2 2 4 5 2_Tertiary Salaries Survey" xfId="21924" xr:uid="{00000000-0005-0000-0000-0000B7550000}"/>
    <cellStyle name="RowTitles-Detail 4 2 2 4 5 3" xfId="21925" xr:uid="{00000000-0005-0000-0000-0000B8550000}"/>
    <cellStyle name="RowTitles-Detail 4 2 2 4 5 3 2" xfId="21926" xr:uid="{00000000-0005-0000-0000-0000B9550000}"/>
    <cellStyle name="RowTitles-Detail 4 2 2 4 5 3 2 2" xfId="21927" xr:uid="{00000000-0005-0000-0000-0000BA550000}"/>
    <cellStyle name="RowTitles-Detail 4 2 2 4 5 3 2_Tertiary Salaries Survey" xfId="21928" xr:uid="{00000000-0005-0000-0000-0000BB550000}"/>
    <cellStyle name="RowTitles-Detail 4 2 2 4 5 3 3" xfId="21929" xr:uid="{00000000-0005-0000-0000-0000BC550000}"/>
    <cellStyle name="RowTitles-Detail 4 2 2 4 5 3_Tertiary Salaries Survey" xfId="21930" xr:uid="{00000000-0005-0000-0000-0000BD550000}"/>
    <cellStyle name="RowTitles-Detail 4 2 2 4 5 4" xfId="21931" xr:uid="{00000000-0005-0000-0000-0000BE550000}"/>
    <cellStyle name="RowTitles-Detail 4 2 2 4 5 4 2" xfId="21932" xr:uid="{00000000-0005-0000-0000-0000BF550000}"/>
    <cellStyle name="RowTitles-Detail 4 2 2 4 5 4_Tertiary Salaries Survey" xfId="21933" xr:uid="{00000000-0005-0000-0000-0000C0550000}"/>
    <cellStyle name="RowTitles-Detail 4 2 2 4 5 5" xfId="21934" xr:uid="{00000000-0005-0000-0000-0000C1550000}"/>
    <cellStyle name="RowTitles-Detail 4 2 2 4 5_Tertiary Salaries Survey" xfId="21935" xr:uid="{00000000-0005-0000-0000-0000C2550000}"/>
    <cellStyle name="RowTitles-Detail 4 2 2 4 6" xfId="21936" xr:uid="{00000000-0005-0000-0000-0000C3550000}"/>
    <cellStyle name="RowTitles-Detail 4 2 2 4 6 2" xfId="21937" xr:uid="{00000000-0005-0000-0000-0000C4550000}"/>
    <cellStyle name="RowTitles-Detail 4 2 2 4 6 2 2" xfId="21938" xr:uid="{00000000-0005-0000-0000-0000C5550000}"/>
    <cellStyle name="RowTitles-Detail 4 2 2 4 6 2 2 2" xfId="21939" xr:uid="{00000000-0005-0000-0000-0000C6550000}"/>
    <cellStyle name="RowTitles-Detail 4 2 2 4 6 2 2_Tertiary Salaries Survey" xfId="21940" xr:uid="{00000000-0005-0000-0000-0000C7550000}"/>
    <cellStyle name="RowTitles-Detail 4 2 2 4 6 2 3" xfId="21941" xr:uid="{00000000-0005-0000-0000-0000C8550000}"/>
    <cellStyle name="RowTitles-Detail 4 2 2 4 6 2_Tertiary Salaries Survey" xfId="21942" xr:uid="{00000000-0005-0000-0000-0000C9550000}"/>
    <cellStyle name="RowTitles-Detail 4 2 2 4 6 3" xfId="21943" xr:uid="{00000000-0005-0000-0000-0000CA550000}"/>
    <cellStyle name="RowTitles-Detail 4 2 2 4 6 3 2" xfId="21944" xr:uid="{00000000-0005-0000-0000-0000CB550000}"/>
    <cellStyle name="RowTitles-Detail 4 2 2 4 6 3 2 2" xfId="21945" xr:uid="{00000000-0005-0000-0000-0000CC550000}"/>
    <cellStyle name="RowTitles-Detail 4 2 2 4 6 3 2_Tertiary Salaries Survey" xfId="21946" xr:uid="{00000000-0005-0000-0000-0000CD550000}"/>
    <cellStyle name="RowTitles-Detail 4 2 2 4 6 3 3" xfId="21947" xr:uid="{00000000-0005-0000-0000-0000CE550000}"/>
    <cellStyle name="RowTitles-Detail 4 2 2 4 6 3_Tertiary Salaries Survey" xfId="21948" xr:uid="{00000000-0005-0000-0000-0000CF550000}"/>
    <cellStyle name="RowTitles-Detail 4 2 2 4 6 4" xfId="21949" xr:uid="{00000000-0005-0000-0000-0000D0550000}"/>
    <cellStyle name="RowTitles-Detail 4 2 2 4 6 4 2" xfId="21950" xr:uid="{00000000-0005-0000-0000-0000D1550000}"/>
    <cellStyle name="RowTitles-Detail 4 2 2 4 6 4_Tertiary Salaries Survey" xfId="21951" xr:uid="{00000000-0005-0000-0000-0000D2550000}"/>
    <cellStyle name="RowTitles-Detail 4 2 2 4 6 5" xfId="21952" xr:uid="{00000000-0005-0000-0000-0000D3550000}"/>
    <cellStyle name="RowTitles-Detail 4 2 2 4 6_Tertiary Salaries Survey" xfId="21953" xr:uid="{00000000-0005-0000-0000-0000D4550000}"/>
    <cellStyle name="RowTitles-Detail 4 2 2 4 7" xfId="21954" xr:uid="{00000000-0005-0000-0000-0000D5550000}"/>
    <cellStyle name="RowTitles-Detail 4 2 2 4 7 2" xfId="21955" xr:uid="{00000000-0005-0000-0000-0000D6550000}"/>
    <cellStyle name="RowTitles-Detail 4 2 2 4 7 2 2" xfId="21956" xr:uid="{00000000-0005-0000-0000-0000D7550000}"/>
    <cellStyle name="RowTitles-Detail 4 2 2 4 7 2_Tertiary Salaries Survey" xfId="21957" xr:uid="{00000000-0005-0000-0000-0000D8550000}"/>
    <cellStyle name="RowTitles-Detail 4 2 2 4 7 3" xfId="21958" xr:uid="{00000000-0005-0000-0000-0000D9550000}"/>
    <cellStyle name="RowTitles-Detail 4 2 2 4 7_Tertiary Salaries Survey" xfId="21959" xr:uid="{00000000-0005-0000-0000-0000DA550000}"/>
    <cellStyle name="RowTitles-Detail 4 2 2 4 8" xfId="21960" xr:uid="{00000000-0005-0000-0000-0000DB550000}"/>
    <cellStyle name="RowTitles-Detail 4 2 2 4 9" xfId="21961" xr:uid="{00000000-0005-0000-0000-0000DC550000}"/>
    <cellStyle name="RowTitles-Detail 4 2 2 4_STUD aligned by INSTIT" xfId="21962" xr:uid="{00000000-0005-0000-0000-0000DD550000}"/>
    <cellStyle name="RowTitles-Detail 4 2 2 5" xfId="21963" xr:uid="{00000000-0005-0000-0000-0000DE550000}"/>
    <cellStyle name="RowTitles-Detail 4 2 2 5 2" xfId="21964" xr:uid="{00000000-0005-0000-0000-0000DF550000}"/>
    <cellStyle name="RowTitles-Detail 4 2 2 5 2 2" xfId="21965" xr:uid="{00000000-0005-0000-0000-0000E0550000}"/>
    <cellStyle name="RowTitles-Detail 4 2 2 5 2 2 2" xfId="21966" xr:uid="{00000000-0005-0000-0000-0000E1550000}"/>
    <cellStyle name="RowTitles-Detail 4 2 2 5 2 2_Tertiary Salaries Survey" xfId="21967" xr:uid="{00000000-0005-0000-0000-0000E2550000}"/>
    <cellStyle name="RowTitles-Detail 4 2 2 5 2 3" xfId="21968" xr:uid="{00000000-0005-0000-0000-0000E3550000}"/>
    <cellStyle name="RowTitles-Detail 4 2 2 5 2_Tertiary Salaries Survey" xfId="21969" xr:uid="{00000000-0005-0000-0000-0000E4550000}"/>
    <cellStyle name="RowTitles-Detail 4 2 2 5 3" xfId="21970" xr:uid="{00000000-0005-0000-0000-0000E5550000}"/>
    <cellStyle name="RowTitles-Detail 4 2 2 5 3 2" xfId="21971" xr:uid="{00000000-0005-0000-0000-0000E6550000}"/>
    <cellStyle name="RowTitles-Detail 4 2 2 5 3 2 2" xfId="21972" xr:uid="{00000000-0005-0000-0000-0000E7550000}"/>
    <cellStyle name="RowTitles-Detail 4 2 2 5 3 2_Tertiary Salaries Survey" xfId="21973" xr:uid="{00000000-0005-0000-0000-0000E8550000}"/>
    <cellStyle name="RowTitles-Detail 4 2 2 5 3 3" xfId="21974" xr:uid="{00000000-0005-0000-0000-0000E9550000}"/>
    <cellStyle name="RowTitles-Detail 4 2 2 5 3_Tertiary Salaries Survey" xfId="21975" xr:uid="{00000000-0005-0000-0000-0000EA550000}"/>
    <cellStyle name="RowTitles-Detail 4 2 2 5 4" xfId="21976" xr:uid="{00000000-0005-0000-0000-0000EB550000}"/>
    <cellStyle name="RowTitles-Detail 4 2 2 5 5" xfId="21977" xr:uid="{00000000-0005-0000-0000-0000EC550000}"/>
    <cellStyle name="RowTitles-Detail 4 2 2 5 5 2" xfId="21978" xr:uid="{00000000-0005-0000-0000-0000ED550000}"/>
    <cellStyle name="RowTitles-Detail 4 2 2 5 5_Tertiary Salaries Survey" xfId="21979" xr:uid="{00000000-0005-0000-0000-0000EE550000}"/>
    <cellStyle name="RowTitles-Detail 4 2 2 5 6" xfId="21980" xr:uid="{00000000-0005-0000-0000-0000EF550000}"/>
    <cellStyle name="RowTitles-Detail 4 2 2 5_Tertiary Salaries Survey" xfId="21981" xr:uid="{00000000-0005-0000-0000-0000F0550000}"/>
    <cellStyle name="RowTitles-Detail 4 2 2 6" xfId="21982" xr:uid="{00000000-0005-0000-0000-0000F1550000}"/>
    <cellStyle name="RowTitles-Detail 4 2 2 6 2" xfId="21983" xr:uid="{00000000-0005-0000-0000-0000F2550000}"/>
    <cellStyle name="RowTitles-Detail 4 2 2 6 2 2" xfId="21984" xr:uid="{00000000-0005-0000-0000-0000F3550000}"/>
    <cellStyle name="RowTitles-Detail 4 2 2 6 2 2 2" xfId="21985" xr:uid="{00000000-0005-0000-0000-0000F4550000}"/>
    <cellStyle name="RowTitles-Detail 4 2 2 6 2 2_Tertiary Salaries Survey" xfId="21986" xr:uid="{00000000-0005-0000-0000-0000F5550000}"/>
    <cellStyle name="RowTitles-Detail 4 2 2 6 2 3" xfId="21987" xr:uid="{00000000-0005-0000-0000-0000F6550000}"/>
    <cellStyle name="RowTitles-Detail 4 2 2 6 2_Tertiary Salaries Survey" xfId="21988" xr:uid="{00000000-0005-0000-0000-0000F7550000}"/>
    <cellStyle name="RowTitles-Detail 4 2 2 6 3" xfId="21989" xr:uid="{00000000-0005-0000-0000-0000F8550000}"/>
    <cellStyle name="RowTitles-Detail 4 2 2 6 3 2" xfId="21990" xr:uid="{00000000-0005-0000-0000-0000F9550000}"/>
    <cellStyle name="RowTitles-Detail 4 2 2 6 3 2 2" xfId="21991" xr:uid="{00000000-0005-0000-0000-0000FA550000}"/>
    <cellStyle name="RowTitles-Detail 4 2 2 6 3 2_Tertiary Salaries Survey" xfId="21992" xr:uid="{00000000-0005-0000-0000-0000FB550000}"/>
    <cellStyle name="RowTitles-Detail 4 2 2 6 3 3" xfId="21993" xr:uid="{00000000-0005-0000-0000-0000FC550000}"/>
    <cellStyle name="RowTitles-Detail 4 2 2 6 3_Tertiary Salaries Survey" xfId="21994" xr:uid="{00000000-0005-0000-0000-0000FD550000}"/>
    <cellStyle name="RowTitles-Detail 4 2 2 6 4" xfId="21995" xr:uid="{00000000-0005-0000-0000-0000FE550000}"/>
    <cellStyle name="RowTitles-Detail 4 2 2 6 5" xfId="21996" xr:uid="{00000000-0005-0000-0000-0000FF550000}"/>
    <cellStyle name="RowTitles-Detail 4 2 2 6_Tertiary Salaries Survey" xfId="21997" xr:uid="{00000000-0005-0000-0000-000000560000}"/>
    <cellStyle name="RowTitles-Detail 4 2 2 7" xfId="21998" xr:uid="{00000000-0005-0000-0000-000001560000}"/>
    <cellStyle name="RowTitles-Detail 4 2 2 7 2" xfId="21999" xr:uid="{00000000-0005-0000-0000-000002560000}"/>
    <cellStyle name="RowTitles-Detail 4 2 2 7 2 2" xfId="22000" xr:uid="{00000000-0005-0000-0000-000003560000}"/>
    <cellStyle name="RowTitles-Detail 4 2 2 7 2 2 2" xfId="22001" xr:uid="{00000000-0005-0000-0000-000004560000}"/>
    <cellStyle name="RowTitles-Detail 4 2 2 7 2 2_Tertiary Salaries Survey" xfId="22002" xr:uid="{00000000-0005-0000-0000-000005560000}"/>
    <cellStyle name="RowTitles-Detail 4 2 2 7 2 3" xfId="22003" xr:uid="{00000000-0005-0000-0000-000006560000}"/>
    <cellStyle name="RowTitles-Detail 4 2 2 7 2_Tertiary Salaries Survey" xfId="22004" xr:uid="{00000000-0005-0000-0000-000007560000}"/>
    <cellStyle name="RowTitles-Detail 4 2 2 7 3" xfId="22005" xr:uid="{00000000-0005-0000-0000-000008560000}"/>
    <cellStyle name="RowTitles-Detail 4 2 2 7 3 2" xfId="22006" xr:uid="{00000000-0005-0000-0000-000009560000}"/>
    <cellStyle name="RowTitles-Detail 4 2 2 7 3 2 2" xfId="22007" xr:uid="{00000000-0005-0000-0000-00000A560000}"/>
    <cellStyle name="RowTitles-Detail 4 2 2 7 3 2_Tertiary Salaries Survey" xfId="22008" xr:uid="{00000000-0005-0000-0000-00000B560000}"/>
    <cellStyle name="RowTitles-Detail 4 2 2 7 3 3" xfId="22009" xr:uid="{00000000-0005-0000-0000-00000C560000}"/>
    <cellStyle name="RowTitles-Detail 4 2 2 7 3_Tertiary Salaries Survey" xfId="22010" xr:uid="{00000000-0005-0000-0000-00000D560000}"/>
    <cellStyle name="RowTitles-Detail 4 2 2 7 4" xfId="22011" xr:uid="{00000000-0005-0000-0000-00000E560000}"/>
    <cellStyle name="RowTitles-Detail 4 2 2 7 5" xfId="22012" xr:uid="{00000000-0005-0000-0000-00000F560000}"/>
    <cellStyle name="RowTitles-Detail 4 2 2 7 5 2" xfId="22013" xr:uid="{00000000-0005-0000-0000-000010560000}"/>
    <cellStyle name="RowTitles-Detail 4 2 2 7 5_Tertiary Salaries Survey" xfId="22014" xr:uid="{00000000-0005-0000-0000-000011560000}"/>
    <cellStyle name="RowTitles-Detail 4 2 2 7 6" xfId="22015" xr:uid="{00000000-0005-0000-0000-000012560000}"/>
    <cellStyle name="RowTitles-Detail 4 2 2 7_Tertiary Salaries Survey" xfId="22016" xr:uid="{00000000-0005-0000-0000-000013560000}"/>
    <cellStyle name="RowTitles-Detail 4 2 2 8" xfId="22017" xr:uid="{00000000-0005-0000-0000-000014560000}"/>
    <cellStyle name="RowTitles-Detail 4 2 2 8 2" xfId="22018" xr:uid="{00000000-0005-0000-0000-000015560000}"/>
    <cellStyle name="RowTitles-Detail 4 2 2 8 2 2" xfId="22019" xr:uid="{00000000-0005-0000-0000-000016560000}"/>
    <cellStyle name="RowTitles-Detail 4 2 2 8 2 2 2" xfId="22020" xr:uid="{00000000-0005-0000-0000-000017560000}"/>
    <cellStyle name="RowTitles-Detail 4 2 2 8 2 2_Tertiary Salaries Survey" xfId="22021" xr:uid="{00000000-0005-0000-0000-000018560000}"/>
    <cellStyle name="RowTitles-Detail 4 2 2 8 2 3" xfId="22022" xr:uid="{00000000-0005-0000-0000-000019560000}"/>
    <cellStyle name="RowTitles-Detail 4 2 2 8 2_Tertiary Salaries Survey" xfId="22023" xr:uid="{00000000-0005-0000-0000-00001A560000}"/>
    <cellStyle name="RowTitles-Detail 4 2 2 8 3" xfId="22024" xr:uid="{00000000-0005-0000-0000-00001B560000}"/>
    <cellStyle name="RowTitles-Detail 4 2 2 8 3 2" xfId="22025" xr:uid="{00000000-0005-0000-0000-00001C560000}"/>
    <cellStyle name="RowTitles-Detail 4 2 2 8 3 2 2" xfId="22026" xr:uid="{00000000-0005-0000-0000-00001D560000}"/>
    <cellStyle name="RowTitles-Detail 4 2 2 8 3 2_Tertiary Salaries Survey" xfId="22027" xr:uid="{00000000-0005-0000-0000-00001E560000}"/>
    <cellStyle name="RowTitles-Detail 4 2 2 8 3 3" xfId="22028" xr:uid="{00000000-0005-0000-0000-00001F560000}"/>
    <cellStyle name="RowTitles-Detail 4 2 2 8 3_Tertiary Salaries Survey" xfId="22029" xr:uid="{00000000-0005-0000-0000-000020560000}"/>
    <cellStyle name="RowTitles-Detail 4 2 2 8 4" xfId="22030" xr:uid="{00000000-0005-0000-0000-000021560000}"/>
    <cellStyle name="RowTitles-Detail 4 2 2 8 4 2" xfId="22031" xr:uid="{00000000-0005-0000-0000-000022560000}"/>
    <cellStyle name="RowTitles-Detail 4 2 2 8 4_Tertiary Salaries Survey" xfId="22032" xr:uid="{00000000-0005-0000-0000-000023560000}"/>
    <cellStyle name="RowTitles-Detail 4 2 2 8 5" xfId="22033" xr:uid="{00000000-0005-0000-0000-000024560000}"/>
    <cellStyle name="RowTitles-Detail 4 2 2 8_Tertiary Salaries Survey" xfId="22034" xr:uid="{00000000-0005-0000-0000-000025560000}"/>
    <cellStyle name="RowTitles-Detail 4 2 2 9" xfId="22035" xr:uid="{00000000-0005-0000-0000-000026560000}"/>
    <cellStyle name="RowTitles-Detail 4 2 2 9 2" xfId="22036" xr:uid="{00000000-0005-0000-0000-000027560000}"/>
    <cellStyle name="RowTitles-Detail 4 2 2 9 2 2" xfId="22037" xr:uid="{00000000-0005-0000-0000-000028560000}"/>
    <cellStyle name="RowTitles-Detail 4 2 2 9 2 2 2" xfId="22038" xr:uid="{00000000-0005-0000-0000-000029560000}"/>
    <cellStyle name="RowTitles-Detail 4 2 2 9 2 2_Tertiary Salaries Survey" xfId="22039" xr:uid="{00000000-0005-0000-0000-00002A560000}"/>
    <cellStyle name="RowTitles-Detail 4 2 2 9 2 3" xfId="22040" xr:uid="{00000000-0005-0000-0000-00002B560000}"/>
    <cellStyle name="RowTitles-Detail 4 2 2 9 2_Tertiary Salaries Survey" xfId="22041" xr:uid="{00000000-0005-0000-0000-00002C560000}"/>
    <cellStyle name="RowTitles-Detail 4 2 2 9 3" xfId="22042" xr:uid="{00000000-0005-0000-0000-00002D560000}"/>
    <cellStyle name="RowTitles-Detail 4 2 2 9 3 2" xfId="22043" xr:uid="{00000000-0005-0000-0000-00002E560000}"/>
    <cellStyle name="RowTitles-Detail 4 2 2 9 3 2 2" xfId="22044" xr:uid="{00000000-0005-0000-0000-00002F560000}"/>
    <cellStyle name="RowTitles-Detail 4 2 2 9 3 2_Tertiary Salaries Survey" xfId="22045" xr:uid="{00000000-0005-0000-0000-000030560000}"/>
    <cellStyle name="RowTitles-Detail 4 2 2 9 3 3" xfId="22046" xr:uid="{00000000-0005-0000-0000-000031560000}"/>
    <cellStyle name="RowTitles-Detail 4 2 2 9 3_Tertiary Salaries Survey" xfId="22047" xr:uid="{00000000-0005-0000-0000-000032560000}"/>
    <cellStyle name="RowTitles-Detail 4 2 2 9 4" xfId="22048" xr:uid="{00000000-0005-0000-0000-000033560000}"/>
    <cellStyle name="RowTitles-Detail 4 2 2 9 4 2" xfId="22049" xr:uid="{00000000-0005-0000-0000-000034560000}"/>
    <cellStyle name="RowTitles-Detail 4 2 2 9 4_Tertiary Salaries Survey" xfId="22050" xr:uid="{00000000-0005-0000-0000-000035560000}"/>
    <cellStyle name="RowTitles-Detail 4 2 2 9 5" xfId="22051" xr:uid="{00000000-0005-0000-0000-000036560000}"/>
    <cellStyle name="RowTitles-Detail 4 2 2 9_Tertiary Salaries Survey" xfId="22052" xr:uid="{00000000-0005-0000-0000-000037560000}"/>
    <cellStyle name="RowTitles-Detail 4 2 2_STUD aligned by INSTIT" xfId="22053" xr:uid="{00000000-0005-0000-0000-000038560000}"/>
    <cellStyle name="RowTitles-Detail 4 2 3" xfId="22054" xr:uid="{00000000-0005-0000-0000-000039560000}"/>
    <cellStyle name="RowTitles-Detail 4 2 3 2" xfId="22055" xr:uid="{00000000-0005-0000-0000-00003A560000}"/>
    <cellStyle name="RowTitles-Detail 4 2 3 2 2" xfId="22056" xr:uid="{00000000-0005-0000-0000-00003B560000}"/>
    <cellStyle name="RowTitles-Detail 4 2 3 2 2 2" xfId="22057" xr:uid="{00000000-0005-0000-0000-00003C560000}"/>
    <cellStyle name="RowTitles-Detail 4 2 3 2 2 2 2" xfId="22058" xr:uid="{00000000-0005-0000-0000-00003D560000}"/>
    <cellStyle name="RowTitles-Detail 4 2 3 2 2 2_Tertiary Salaries Survey" xfId="22059" xr:uid="{00000000-0005-0000-0000-00003E560000}"/>
    <cellStyle name="RowTitles-Detail 4 2 3 2 2 3" xfId="22060" xr:uid="{00000000-0005-0000-0000-00003F560000}"/>
    <cellStyle name="RowTitles-Detail 4 2 3 2 2_Tertiary Salaries Survey" xfId="22061" xr:uid="{00000000-0005-0000-0000-000040560000}"/>
    <cellStyle name="RowTitles-Detail 4 2 3 2 3" xfId="22062" xr:uid="{00000000-0005-0000-0000-000041560000}"/>
    <cellStyle name="RowTitles-Detail 4 2 3 2 3 2" xfId="22063" xr:uid="{00000000-0005-0000-0000-000042560000}"/>
    <cellStyle name="RowTitles-Detail 4 2 3 2 3 2 2" xfId="22064" xr:uid="{00000000-0005-0000-0000-000043560000}"/>
    <cellStyle name="RowTitles-Detail 4 2 3 2 3 2_Tertiary Salaries Survey" xfId="22065" xr:uid="{00000000-0005-0000-0000-000044560000}"/>
    <cellStyle name="RowTitles-Detail 4 2 3 2 3 3" xfId="22066" xr:uid="{00000000-0005-0000-0000-000045560000}"/>
    <cellStyle name="RowTitles-Detail 4 2 3 2 3_Tertiary Salaries Survey" xfId="22067" xr:uid="{00000000-0005-0000-0000-000046560000}"/>
    <cellStyle name="RowTitles-Detail 4 2 3 2 4" xfId="22068" xr:uid="{00000000-0005-0000-0000-000047560000}"/>
    <cellStyle name="RowTitles-Detail 4 2 3 2 5" xfId="22069" xr:uid="{00000000-0005-0000-0000-000048560000}"/>
    <cellStyle name="RowTitles-Detail 4 2 3 2_Tertiary Salaries Survey" xfId="22070" xr:uid="{00000000-0005-0000-0000-000049560000}"/>
    <cellStyle name="RowTitles-Detail 4 2 3 3" xfId="22071" xr:uid="{00000000-0005-0000-0000-00004A560000}"/>
    <cellStyle name="RowTitles-Detail 4 2 3 3 2" xfId="22072" xr:uid="{00000000-0005-0000-0000-00004B560000}"/>
    <cellStyle name="RowTitles-Detail 4 2 3 3 2 2" xfId="22073" xr:uid="{00000000-0005-0000-0000-00004C560000}"/>
    <cellStyle name="RowTitles-Detail 4 2 3 3 2 2 2" xfId="22074" xr:uid="{00000000-0005-0000-0000-00004D560000}"/>
    <cellStyle name="RowTitles-Detail 4 2 3 3 2 2_Tertiary Salaries Survey" xfId="22075" xr:uid="{00000000-0005-0000-0000-00004E560000}"/>
    <cellStyle name="RowTitles-Detail 4 2 3 3 2 3" xfId="22076" xr:uid="{00000000-0005-0000-0000-00004F560000}"/>
    <cellStyle name="RowTitles-Detail 4 2 3 3 2_Tertiary Salaries Survey" xfId="22077" xr:uid="{00000000-0005-0000-0000-000050560000}"/>
    <cellStyle name="RowTitles-Detail 4 2 3 3 3" xfId="22078" xr:uid="{00000000-0005-0000-0000-000051560000}"/>
    <cellStyle name="RowTitles-Detail 4 2 3 3 3 2" xfId="22079" xr:uid="{00000000-0005-0000-0000-000052560000}"/>
    <cellStyle name="RowTitles-Detail 4 2 3 3 3 2 2" xfId="22080" xr:uid="{00000000-0005-0000-0000-000053560000}"/>
    <cellStyle name="RowTitles-Detail 4 2 3 3 3 2_Tertiary Salaries Survey" xfId="22081" xr:uid="{00000000-0005-0000-0000-000054560000}"/>
    <cellStyle name="RowTitles-Detail 4 2 3 3 3 3" xfId="22082" xr:uid="{00000000-0005-0000-0000-000055560000}"/>
    <cellStyle name="RowTitles-Detail 4 2 3 3 3_Tertiary Salaries Survey" xfId="22083" xr:uid="{00000000-0005-0000-0000-000056560000}"/>
    <cellStyle name="RowTitles-Detail 4 2 3 3 4" xfId="22084" xr:uid="{00000000-0005-0000-0000-000057560000}"/>
    <cellStyle name="RowTitles-Detail 4 2 3 3 5" xfId="22085" xr:uid="{00000000-0005-0000-0000-000058560000}"/>
    <cellStyle name="RowTitles-Detail 4 2 3 3 5 2" xfId="22086" xr:uid="{00000000-0005-0000-0000-000059560000}"/>
    <cellStyle name="RowTitles-Detail 4 2 3 3 5_Tertiary Salaries Survey" xfId="22087" xr:uid="{00000000-0005-0000-0000-00005A560000}"/>
    <cellStyle name="RowTitles-Detail 4 2 3 3 6" xfId="22088" xr:uid="{00000000-0005-0000-0000-00005B560000}"/>
    <cellStyle name="RowTitles-Detail 4 2 3 3_Tertiary Salaries Survey" xfId="22089" xr:uid="{00000000-0005-0000-0000-00005C560000}"/>
    <cellStyle name="RowTitles-Detail 4 2 3 4" xfId="22090" xr:uid="{00000000-0005-0000-0000-00005D560000}"/>
    <cellStyle name="RowTitles-Detail 4 2 3 4 2" xfId="22091" xr:uid="{00000000-0005-0000-0000-00005E560000}"/>
    <cellStyle name="RowTitles-Detail 4 2 3 4 2 2" xfId="22092" xr:uid="{00000000-0005-0000-0000-00005F560000}"/>
    <cellStyle name="RowTitles-Detail 4 2 3 4 2 2 2" xfId="22093" xr:uid="{00000000-0005-0000-0000-000060560000}"/>
    <cellStyle name="RowTitles-Detail 4 2 3 4 2 2_Tertiary Salaries Survey" xfId="22094" xr:uid="{00000000-0005-0000-0000-000061560000}"/>
    <cellStyle name="RowTitles-Detail 4 2 3 4 2 3" xfId="22095" xr:uid="{00000000-0005-0000-0000-000062560000}"/>
    <cellStyle name="RowTitles-Detail 4 2 3 4 2_Tertiary Salaries Survey" xfId="22096" xr:uid="{00000000-0005-0000-0000-000063560000}"/>
    <cellStyle name="RowTitles-Detail 4 2 3 4 3" xfId="22097" xr:uid="{00000000-0005-0000-0000-000064560000}"/>
    <cellStyle name="RowTitles-Detail 4 2 3 4 3 2" xfId="22098" xr:uid="{00000000-0005-0000-0000-000065560000}"/>
    <cellStyle name="RowTitles-Detail 4 2 3 4 3 2 2" xfId="22099" xr:uid="{00000000-0005-0000-0000-000066560000}"/>
    <cellStyle name="RowTitles-Detail 4 2 3 4 3 2_Tertiary Salaries Survey" xfId="22100" xr:uid="{00000000-0005-0000-0000-000067560000}"/>
    <cellStyle name="RowTitles-Detail 4 2 3 4 3 3" xfId="22101" xr:uid="{00000000-0005-0000-0000-000068560000}"/>
    <cellStyle name="RowTitles-Detail 4 2 3 4 3_Tertiary Salaries Survey" xfId="22102" xr:uid="{00000000-0005-0000-0000-000069560000}"/>
    <cellStyle name="RowTitles-Detail 4 2 3 4 4" xfId="22103" xr:uid="{00000000-0005-0000-0000-00006A560000}"/>
    <cellStyle name="RowTitles-Detail 4 2 3 4 4 2" xfId="22104" xr:uid="{00000000-0005-0000-0000-00006B560000}"/>
    <cellStyle name="RowTitles-Detail 4 2 3 4 4_Tertiary Salaries Survey" xfId="22105" xr:uid="{00000000-0005-0000-0000-00006C560000}"/>
    <cellStyle name="RowTitles-Detail 4 2 3 4 5" xfId="22106" xr:uid="{00000000-0005-0000-0000-00006D560000}"/>
    <cellStyle name="RowTitles-Detail 4 2 3 4_Tertiary Salaries Survey" xfId="22107" xr:uid="{00000000-0005-0000-0000-00006E560000}"/>
    <cellStyle name="RowTitles-Detail 4 2 3 5" xfId="22108" xr:uid="{00000000-0005-0000-0000-00006F560000}"/>
    <cellStyle name="RowTitles-Detail 4 2 3 5 2" xfId="22109" xr:uid="{00000000-0005-0000-0000-000070560000}"/>
    <cellStyle name="RowTitles-Detail 4 2 3 5 2 2" xfId="22110" xr:uid="{00000000-0005-0000-0000-000071560000}"/>
    <cellStyle name="RowTitles-Detail 4 2 3 5 2 2 2" xfId="22111" xr:uid="{00000000-0005-0000-0000-000072560000}"/>
    <cellStyle name="RowTitles-Detail 4 2 3 5 2 2_Tertiary Salaries Survey" xfId="22112" xr:uid="{00000000-0005-0000-0000-000073560000}"/>
    <cellStyle name="RowTitles-Detail 4 2 3 5 2 3" xfId="22113" xr:uid="{00000000-0005-0000-0000-000074560000}"/>
    <cellStyle name="RowTitles-Detail 4 2 3 5 2_Tertiary Salaries Survey" xfId="22114" xr:uid="{00000000-0005-0000-0000-000075560000}"/>
    <cellStyle name="RowTitles-Detail 4 2 3 5 3" xfId="22115" xr:uid="{00000000-0005-0000-0000-000076560000}"/>
    <cellStyle name="RowTitles-Detail 4 2 3 5 3 2" xfId="22116" xr:uid="{00000000-0005-0000-0000-000077560000}"/>
    <cellStyle name="RowTitles-Detail 4 2 3 5 3 2 2" xfId="22117" xr:uid="{00000000-0005-0000-0000-000078560000}"/>
    <cellStyle name="RowTitles-Detail 4 2 3 5 3 2_Tertiary Salaries Survey" xfId="22118" xr:uid="{00000000-0005-0000-0000-000079560000}"/>
    <cellStyle name="RowTitles-Detail 4 2 3 5 3 3" xfId="22119" xr:uid="{00000000-0005-0000-0000-00007A560000}"/>
    <cellStyle name="RowTitles-Detail 4 2 3 5 3_Tertiary Salaries Survey" xfId="22120" xr:uid="{00000000-0005-0000-0000-00007B560000}"/>
    <cellStyle name="RowTitles-Detail 4 2 3 5 4" xfId="22121" xr:uid="{00000000-0005-0000-0000-00007C560000}"/>
    <cellStyle name="RowTitles-Detail 4 2 3 5 4 2" xfId="22122" xr:uid="{00000000-0005-0000-0000-00007D560000}"/>
    <cellStyle name="RowTitles-Detail 4 2 3 5 4_Tertiary Salaries Survey" xfId="22123" xr:uid="{00000000-0005-0000-0000-00007E560000}"/>
    <cellStyle name="RowTitles-Detail 4 2 3 5 5" xfId="22124" xr:uid="{00000000-0005-0000-0000-00007F560000}"/>
    <cellStyle name="RowTitles-Detail 4 2 3 5_Tertiary Salaries Survey" xfId="22125" xr:uid="{00000000-0005-0000-0000-000080560000}"/>
    <cellStyle name="RowTitles-Detail 4 2 3 6" xfId="22126" xr:uid="{00000000-0005-0000-0000-000081560000}"/>
    <cellStyle name="RowTitles-Detail 4 2 3 6 2" xfId="22127" xr:uid="{00000000-0005-0000-0000-000082560000}"/>
    <cellStyle name="RowTitles-Detail 4 2 3 6 2 2" xfId="22128" xr:uid="{00000000-0005-0000-0000-000083560000}"/>
    <cellStyle name="RowTitles-Detail 4 2 3 6 2 2 2" xfId="22129" xr:uid="{00000000-0005-0000-0000-000084560000}"/>
    <cellStyle name="RowTitles-Detail 4 2 3 6 2 2_Tertiary Salaries Survey" xfId="22130" xr:uid="{00000000-0005-0000-0000-000085560000}"/>
    <cellStyle name="RowTitles-Detail 4 2 3 6 2 3" xfId="22131" xr:uid="{00000000-0005-0000-0000-000086560000}"/>
    <cellStyle name="RowTitles-Detail 4 2 3 6 2_Tertiary Salaries Survey" xfId="22132" xr:uid="{00000000-0005-0000-0000-000087560000}"/>
    <cellStyle name="RowTitles-Detail 4 2 3 6 3" xfId="22133" xr:uid="{00000000-0005-0000-0000-000088560000}"/>
    <cellStyle name="RowTitles-Detail 4 2 3 6 3 2" xfId="22134" xr:uid="{00000000-0005-0000-0000-000089560000}"/>
    <cellStyle name="RowTitles-Detail 4 2 3 6 3 2 2" xfId="22135" xr:uid="{00000000-0005-0000-0000-00008A560000}"/>
    <cellStyle name="RowTitles-Detail 4 2 3 6 3 2_Tertiary Salaries Survey" xfId="22136" xr:uid="{00000000-0005-0000-0000-00008B560000}"/>
    <cellStyle name="RowTitles-Detail 4 2 3 6 3 3" xfId="22137" xr:uid="{00000000-0005-0000-0000-00008C560000}"/>
    <cellStyle name="RowTitles-Detail 4 2 3 6 3_Tertiary Salaries Survey" xfId="22138" xr:uid="{00000000-0005-0000-0000-00008D560000}"/>
    <cellStyle name="RowTitles-Detail 4 2 3 6 4" xfId="22139" xr:uid="{00000000-0005-0000-0000-00008E560000}"/>
    <cellStyle name="RowTitles-Detail 4 2 3 6 4 2" xfId="22140" xr:uid="{00000000-0005-0000-0000-00008F560000}"/>
    <cellStyle name="RowTitles-Detail 4 2 3 6 4_Tertiary Salaries Survey" xfId="22141" xr:uid="{00000000-0005-0000-0000-000090560000}"/>
    <cellStyle name="RowTitles-Detail 4 2 3 6 5" xfId="22142" xr:uid="{00000000-0005-0000-0000-000091560000}"/>
    <cellStyle name="RowTitles-Detail 4 2 3 6_Tertiary Salaries Survey" xfId="22143" xr:uid="{00000000-0005-0000-0000-000092560000}"/>
    <cellStyle name="RowTitles-Detail 4 2 3 7" xfId="22144" xr:uid="{00000000-0005-0000-0000-000093560000}"/>
    <cellStyle name="RowTitles-Detail 4 2 3 7 2" xfId="22145" xr:uid="{00000000-0005-0000-0000-000094560000}"/>
    <cellStyle name="RowTitles-Detail 4 2 3 7 2 2" xfId="22146" xr:uid="{00000000-0005-0000-0000-000095560000}"/>
    <cellStyle name="RowTitles-Detail 4 2 3 7 2_Tertiary Salaries Survey" xfId="22147" xr:uid="{00000000-0005-0000-0000-000096560000}"/>
    <cellStyle name="RowTitles-Detail 4 2 3 7 3" xfId="22148" xr:uid="{00000000-0005-0000-0000-000097560000}"/>
    <cellStyle name="RowTitles-Detail 4 2 3 7_Tertiary Salaries Survey" xfId="22149" xr:uid="{00000000-0005-0000-0000-000098560000}"/>
    <cellStyle name="RowTitles-Detail 4 2 3 8" xfId="22150" xr:uid="{00000000-0005-0000-0000-000099560000}"/>
    <cellStyle name="RowTitles-Detail 4 2 3 9" xfId="22151" xr:uid="{00000000-0005-0000-0000-00009A560000}"/>
    <cellStyle name="RowTitles-Detail 4 2 3_STUD aligned by INSTIT" xfId="22152" xr:uid="{00000000-0005-0000-0000-00009B560000}"/>
    <cellStyle name="RowTitles-Detail 4 2 4" xfId="22153" xr:uid="{00000000-0005-0000-0000-00009C560000}"/>
    <cellStyle name="RowTitles-Detail 4 2 4 2" xfId="22154" xr:uid="{00000000-0005-0000-0000-00009D560000}"/>
    <cellStyle name="RowTitles-Detail 4 2 4 2 2" xfId="22155" xr:uid="{00000000-0005-0000-0000-00009E560000}"/>
    <cellStyle name="RowTitles-Detail 4 2 4 2 2 2" xfId="22156" xr:uid="{00000000-0005-0000-0000-00009F560000}"/>
    <cellStyle name="RowTitles-Detail 4 2 4 2 2 2 2" xfId="22157" xr:uid="{00000000-0005-0000-0000-0000A0560000}"/>
    <cellStyle name="RowTitles-Detail 4 2 4 2 2 2_Tertiary Salaries Survey" xfId="22158" xr:uid="{00000000-0005-0000-0000-0000A1560000}"/>
    <cellStyle name="RowTitles-Detail 4 2 4 2 2 3" xfId="22159" xr:uid="{00000000-0005-0000-0000-0000A2560000}"/>
    <cellStyle name="RowTitles-Detail 4 2 4 2 2_Tertiary Salaries Survey" xfId="22160" xr:uid="{00000000-0005-0000-0000-0000A3560000}"/>
    <cellStyle name="RowTitles-Detail 4 2 4 2 3" xfId="22161" xr:uid="{00000000-0005-0000-0000-0000A4560000}"/>
    <cellStyle name="RowTitles-Detail 4 2 4 2 3 2" xfId="22162" xr:uid="{00000000-0005-0000-0000-0000A5560000}"/>
    <cellStyle name="RowTitles-Detail 4 2 4 2 3 2 2" xfId="22163" xr:uid="{00000000-0005-0000-0000-0000A6560000}"/>
    <cellStyle name="RowTitles-Detail 4 2 4 2 3 2_Tertiary Salaries Survey" xfId="22164" xr:uid="{00000000-0005-0000-0000-0000A7560000}"/>
    <cellStyle name="RowTitles-Detail 4 2 4 2 3 3" xfId="22165" xr:uid="{00000000-0005-0000-0000-0000A8560000}"/>
    <cellStyle name="RowTitles-Detail 4 2 4 2 3_Tertiary Salaries Survey" xfId="22166" xr:uid="{00000000-0005-0000-0000-0000A9560000}"/>
    <cellStyle name="RowTitles-Detail 4 2 4 2 4" xfId="22167" xr:uid="{00000000-0005-0000-0000-0000AA560000}"/>
    <cellStyle name="RowTitles-Detail 4 2 4 2 5" xfId="22168" xr:uid="{00000000-0005-0000-0000-0000AB560000}"/>
    <cellStyle name="RowTitles-Detail 4 2 4 2 5 2" xfId="22169" xr:uid="{00000000-0005-0000-0000-0000AC560000}"/>
    <cellStyle name="RowTitles-Detail 4 2 4 2 5_Tertiary Salaries Survey" xfId="22170" xr:uid="{00000000-0005-0000-0000-0000AD560000}"/>
    <cellStyle name="RowTitles-Detail 4 2 4 2 6" xfId="22171" xr:uid="{00000000-0005-0000-0000-0000AE560000}"/>
    <cellStyle name="RowTitles-Detail 4 2 4 2_Tertiary Salaries Survey" xfId="22172" xr:uid="{00000000-0005-0000-0000-0000AF560000}"/>
    <cellStyle name="RowTitles-Detail 4 2 4 3" xfId="22173" xr:uid="{00000000-0005-0000-0000-0000B0560000}"/>
    <cellStyle name="RowTitles-Detail 4 2 4 3 2" xfId="22174" xr:uid="{00000000-0005-0000-0000-0000B1560000}"/>
    <cellStyle name="RowTitles-Detail 4 2 4 3 2 2" xfId="22175" xr:uid="{00000000-0005-0000-0000-0000B2560000}"/>
    <cellStyle name="RowTitles-Detail 4 2 4 3 2 2 2" xfId="22176" xr:uid="{00000000-0005-0000-0000-0000B3560000}"/>
    <cellStyle name="RowTitles-Detail 4 2 4 3 2 2_Tertiary Salaries Survey" xfId="22177" xr:uid="{00000000-0005-0000-0000-0000B4560000}"/>
    <cellStyle name="RowTitles-Detail 4 2 4 3 2 3" xfId="22178" xr:uid="{00000000-0005-0000-0000-0000B5560000}"/>
    <cellStyle name="RowTitles-Detail 4 2 4 3 2_Tertiary Salaries Survey" xfId="22179" xr:uid="{00000000-0005-0000-0000-0000B6560000}"/>
    <cellStyle name="RowTitles-Detail 4 2 4 3 3" xfId="22180" xr:uid="{00000000-0005-0000-0000-0000B7560000}"/>
    <cellStyle name="RowTitles-Detail 4 2 4 3 3 2" xfId="22181" xr:uid="{00000000-0005-0000-0000-0000B8560000}"/>
    <cellStyle name="RowTitles-Detail 4 2 4 3 3 2 2" xfId="22182" xr:uid="{00000000-0005-0000-0000-0000B9560000}"/>
    <cellStyle name="RowTitles-Detail 4 2 4 3 3 2_Tertiary Salaries Survey" xfId="22183" xr:uid="{00000000-0005-0000-0000-0000BA560000}"/>
    <cellStyle name="RowTitles-Detail 4 2 4 3 3 3" xfId="22184" xr:uid="{00000000-0005-0000-0000-0000BB560000}"/>
    <cellStyle name="RowTitles-Detail 4 2 4 3 3_Tertiary Salaries Survey" xfId="22185" xr:uid="{00000000-0005-0000-0000-0000BC560000}"/>
    <cellStyle name="RowTitles-Detail 4 2 4 3 4" xfId="22186" xr:uid="{00000000-0005-0000-0000-0000BD560000}"/>
    <cellStyle name="RowTitles-Detail 4 2 4 3 5" xfId="22187" xr:uid="{00000000-0005-0000-0000-0000BE560000}"/>
    <cellStyle name="RowTitles-Detail 4 2 4 3_Tertiary Salaries Survey" xfId="22188" xr:uid="{00000000-0005-0000-0000-0000BF560000}"/>
    <cellStyle name="RowTitles-Detail 4 2 4 4" xfId="22189" xr:uid="{00000000-0005-0000-0000-0000C0560000}"/>
    <cellStyle name="RowTitles-Detail 4 2 4 4 2" xfId="22190" xr:uid="{00000000-0005-0000-0000-0000C1560000}"/>
    <cellStyle name="RowTitles-Detail 4 2 4 4 2 2" xfId="22191" xr:uid="{00000000-0005-0000-0000-0000C2560000}"/>
    <cellStyle name="RowTitles-Detail 4 2 4 4 2 2 2" xfId="22192" xr:uid="{00000000-0005-0000-0000-0000C3560000}"/>
    <cellStyle name="RowTitles-Detail 4 2 4 4 2 2_Tertiary Salaries Survey" xfId="22193" xr:uid="{00000000-0005-0000-0000-0000C4560000}"/>
    <cellStyle name="RowTitles-Detail 4 2 4 4 2 3" xfId="22194" xr:uid="{00000000-0005-0000-0000-0000C5560000}"/>
    <cellStyle name="RowTitles-Detail 4 2 4 4 2_Tertiary Salaries Survey" xfId="22195" xr:uid="{00000000-0005-0000-0000-0000C6560000}"/>
    <cellStyle name="RowTitles-Detail 4 2 4 4 3" xfId="22196" xr:uid="{00000000-0005-0000-0000-0000C7560000}"/>
    <cellStyle name="RowTitles-Detail 4 2 4 4 3 2" xfId="22197" xr:uid="{00000000-0005-0000-0000-0000C8560000}"/>
    <cellStyle name="RowTitles-Detail 4 2 4 4 3 2 2" xfId="22198" xr:uid="{00000000-0005-0000-0000-0000C9560000}"/>
    <cellStyle name="RowTitles-Detail 4 2 4 4 3 2_Tertiary Salaries Survey" xfId="22199" xr:uid="{00000000-0005-0000-0000-0000CA560000}"/>
    <cellStyle name="RowTitles-Detail 4 2 4 4 3 3" xfId="22200" xr:uid="{00000000-0005-0000-0000-0000CB560000}"/>
    <cellStyle name="RowTitles-Detail 4 2 4 4 3_Tertiary Salaries Survey" xfId="22201" xr:uid="{00000000-0005-0000-0000-0000CC560000}"/>
    <cellStyle name="RowTitles-Detail 4 2 4 4 4" xfId="22202" xr:uid="{00000000-0005-0000-0000-0000CD560000}"/>
    <cellStyle name="RowTitles-Detail 4 2 4 4 4 2" xfId="22203" xr:uid="{00000000-0005-0000-0000-0000CE560000}"/>
    <cellStyle name="RowTitles-Detail 4 2 4 4 4_Tertiary Salaries Survey" xfId="22204" xr:uid="{00000000-0005-0000-0000-0000CF560000}"/>
    <cellStyle name="RowTitles-Detail 4 2 4 4 5" xfId="22205" xr:uid="{00000000-0005-0000-0000-0000D0560000}"/>
    <cellStyle name="RowTitles-Detail 4 2 4 4_Tertiary Salaries Survey" xfId="22206" xr:uid="{00000000-0005-0000-0000-0000D1560000}"/>
    <cellStyle name="RowTitles-Detail 4 2 4 5" xfId="22207" xr:uid="{00000000-0005-0000-0000-0000D2560000}"/>
    <cellStyle name="RowTitles-Detail 4 2 4 5 2" xfId="22208" xr:uid="{00000000-0005-0000-0000-0000D3560000}"/>
    <cellStyle name="RowTitles-Detail 4 2 4 5 2 2" xfId="22209" xr:uid="{00000000-0005-0000-0000-0000D4560000}"/>
    <cellStyle name="RowTitles-Detail 4 2 4 5 2 2 2" xfId="22210" xr:uid="{00000000-0005-0000-0000-0000D5560000}"/>
    <cellStyle name="RowTitles-Detail 4 2 4 5 2 2_Tertiary Salaries Survey" xfId="22211" xr:uid="{00000000-0005-0000-0000-0000D6560000}"/>
    <cellStyle name="RowTitles-Detail 4 2 4 5 2 3" xfId="22212" xr:uid="{00000000-0005-0000-0000-0000D7560000}"/>
    <cellStyle name="RowTitles-Detail 4 2 4 5 2_Tertiary Salaries Survey" xfId="22213" xr:uid="{00000000-0005-0000-0000-0000D8560000}"/>
    <cellStyle name="RowTitles-Detail 4 2 4 5 3" xfId="22214" xr:uid="{00000000-0005-0000-0000-0000D9560000}"/>
    <cellStyle name="RowTitles-Detail 4 2 4 5 3 2" xfId="22215" xr:uid="{00000000-0005-0000-0000-0000DA560000}"/>
    <cellStyle name="RowTitles-Detail 4 2 4 5 3 2 2" xfId="22216" xr:uid="{00000000-0005-0000-0000-0000DB560000}"/>
    <cellStyle name="RowTitles-Detail 4 2 4 5 3 2_Tertiary Salaries Survey" xfId="22217" xr:uid="{00000000-0005-0000-0000-0000DC560000}"/>
    <cellStyle name="RowTitles-Detail 4 2 4 5 3 3" xfId="22218" xr:uid="{00000000-0005-0000-0000-0000DD560000}"/>
    <cellStyle name="RowTitles-Detail 4 2 4 5 3_Tertiary Salaries Survey" xfId="22219" xr:uid="{00000000-0005-0000-0000-0000DE560000}"/>
    <cellStyle name="RowTitles-Detail 4 2 4 5 4" xfId="22220" xr:uid="{00000000-0005-0000-0000-0000DF560000}"/>
    <cellStyle name="RowTitles-Detail 4 2 4 5 4 2" xfId="22221" xr:uid="{00000000-0005-0000-0000-0000E0560000}"/>
    <cellStyle name="RowTitles-Detail 4 2 4 5 4_Tertiary Salaries Survey" xfId="22222" xr:uid="{00000000-0005-0000-0000-0000E1560000}"/>
    <cellStyle name="RowTitles-Detail 4 2 4 5 5" xfId="22223" xr:uid="{00000000-0005-0000-0000-0000E2560000}"/>
    <cellStyle name="RowTitles-Detail 4 2 4 5_Tertiary Salaries Survey" xfId="22224" xr:uid="{00000000-0005-0000-0000-0000E3560000}"/>
    <cellStyle name="RowTitles-Detail 4 2 4 6" xfId="22225" xr:uid="{00000000-0005-0000-0000-0000E4560000}"/>
    <cellStyle name="RowTitles-Detail 4 2 4 6 2" xfId="22226" xr:uid="{00000000-0005-0000-0000-0000E5560000}"/>
    <cellStyle name="RowTitles-Detail 4 2 4 6 2 2" xfId="22227" xr:uid="{00000000-0005-0000-0000-0000E6560000}"/>
    <cellStyle name="RowTitles-Detail 4 2 4 6 2 2 2" xfId="22228" xr:uid="{00000000-0005-0000-0000-0000E7560000}"/>
    <cellStyle name="RowTitles-Detail 4 2 4 6 2 2_Tertiary Salaries Survey" xfId="22229" xr:uid="{00000000-0005-0000-0000-0000E8560000}"/>
    <cellStyle name="RowTitles-Detail 4 2 4 6 2 3" xfId="22230" xr:uid="{00000000-0005-0000-0000-0000E9560000}"/>
    <cellStyle name="RowTitles-Detail 4 2 4 6 2_Tertiary Salaries Survey" xfId="22231" xr:uid="{00000000-0005-0000-0000-0000EA560000}"/>
    <cellStyle name="RowTitles-Detail 4 2 4 6 3" xfId="22232" xr:uid="{00000000-0005-0000-0000-0000EB560000}"/>
    <cellStyle name="RowTitles-Detail 4 2 4 6 3 2" xfId="22233" xr:uid="{00000000-0005-0000-0000-0000EC560000}"/>
    <cellStyle name="RowTitles-Detail 4 2 4 6 3 2 2" xfId="22234" xr:uid="{00000000-0005-0000-0000-0000ED560000}"/>
    <cellStyle name="RowTitles-Detail 4 2 4 6 3 2_Tertiary Salaries Survey" xfId="22235" xr:uid="{00000000-0005-0000-0000-0000EE560000}"/>
    <cellStyle name="RowTitles-Detail 4 2 4 6 3 3" xfId="22236" xr:uid="{00000000-0005-0000-0000-0000EF560000}"/>
    <cellStyle name="RowTitles-Detail 4 2 4 6 3_Tertiary Salaries Survey" xfId="22237" xr:uid="{00000000-0005-0000-0000-0000F0560000}"/>
    <cellStyle name="RowTitles-Detail 4 2 4 6 4" xfId="22238" xr:uid="{00000000-0005-0000-0000-0000F1560000}"/>
    <cellStyle name="RowTitles-Detail 4 2 4 6 4 2" xfId="22239" xr:uid="{00000000-0005-0000-0000-0000F2560000}"/>
    <cellStyle name="RowTitles-Detail 4 2 4 6 4_Tertiary Salaries Survey" xfId="22240" xr:uid="{00000000-0005-0000-0000-0000F3560000}"/>
    <cellStyle name="RowTitles-Detail 4 2 4 6 5" xfId="22241" xr:uid="{00000000-0005-0000-0000-0000F4560000}"/>
    <cellStyle name="RowTitles-Detail 4 2 4 6_Tertiary Salaries Survey" xfId="22242" xr:uid="{00000000-0005-0000-0000-0000F5560000}"/>
    <cellStyle name="RowTitles-Detail 4 2 4 7" xfId="22243" xr:uid="{00000000-0005-0000-0000-0000F6560000}"/>
    <cellStyle name="RowTitles-Detail 4 2 4 7 2" xfId="22244" xr:uid="{00000000-0005-0000-0000-0000F7560000}"/>
    <cellStyle name="RowTitles-Detail 4 2 4 7 2 2" xfId="22245" xr:uid="{00000000-0005-0000-0000-0000F8560000}"/>
    <cellStyle name="RowTitles-Detail 4 2 4 7 2_Tertiary Salaries Survey" xfId="22246" xr:uid="{00000000-0005-0000-0000-0000F9560000}"/>
    <cellStyle name="RowTitles-Detail 4 2 4 7 3" xfId="22247" xr:uid="{00000000-0005-0000-0000-0000FA560000}"/>
    <cellStyle name="RowTitles-Detail 4 2 4 7_Tertiary Salaries Survey" xfId="22248" xr:uid="{00000000-0005-0000-0000-0000FB560000}"/>
    <cellStyle name="RowTitles-Detail 4 2 4 8" xfId="22249" xr:uid="{00000000-0005-0000-0000-0000FC560000}"/>
    <cellStyle name="RowTitles-Detail 4 2 4 8 2" xfId="22250" xr:uid="{00000000-0005-0000-0000-0000FD560000}"/>
    <cellStyle name="RowTitles-Detail 4 2 4 8 2 2" xfId="22251" xr:uid="{00000000-0005-0000-0000-0000FE560000}"/>
    <cellStyle name="RowTitles-Detail 4 2 4 8 2_Tertiary Salaries Survey" xfId="22252" xr:uid="{00000000-0005-0000-0000-0000FF560000}"/>
    <cellStyle name="RowTitles-Detail 4 2 4 8 3" xfId="22253" xr:uid="{00000000-0005-0000-0000-000000570000}"/>
    <cellStyle name="RowTitles-Detail 4 2 4 8_Tertiary Salaries Survey" xfId="22254" xr:uid="{00000000-0005-0000-0000-000001570000}"/>
    <cellStyle name="RowTitles-Detail 4 2 4 9" xfId="22255" xr:uid="{00000000-0005-0000-0000-000002570000}"/>
    <cellStyle name="RowTitles-Detail 4 2 4_STUD aligned by INSTIT" xfId="22256" xr:uid="{00000000-0005-0000-0000-000003570000}"/>
    <cellStyle name="RowTitles-Detail 4 2 5" xfId="22257" xr:uid="{00000000-0005-0000-0000-000004570000}"/>
    <cellStyle name="RowTitles-Detail 4 2 5 2" xfId="22258" xr:uid="{00000000-0005-0000-0000-000005570000}"/>
    <cellStyle name="RowTitles-Detail 4 2 5 2 2" xfId="22259" xr:uid="{00000000-0005-0000-0000-000006570000}"/>
    <cellStyle name="RowTitles-Detail 4 2 5 2 2 2" xfId="22260" xr:uid="{00000000-0005-0000-0000-000007570000}"/>
    <cellStyle name="RowTitles-Detail 4 2 5 2 2 2 2" xfId="22261" xr:uid="{00000000-0005-0000-0000-000008570000}"/>
    <cellStyle name="RowTitles-Detail 4 2 5 2 2 2_Tertiary Salaries Survey" xfId="22262" xr:uid="{00000000-0005-0000-0000-000009570000}"/>
    <cellStyle name="RowTitles-Detail 4 2 5 2 2 3" xfId="22263" xr:uid="{00000000-0005-0000-0000-00000A570000}"/>
    <cellStyle name="RowTitles-Detail 4 2 5 2 2_Tertiary Salaries Survey" xfId="22264" xr:uid="{00000000-0005-0000-0000-00000B570000}"/>
    <cellStyle name="RowTitles-Detail 4 2 5 2 3" xfId="22265" xr:uid="{00000000-0005-0000-0000-00000C570000}"/>
    <cellStyle name="RowTitles-Detail 4 2 5 2 3 2" xfId="22266" xr:uid="{00000000-0005-0000-0000-00000D570000}"/>
    <cellStyle name="RowTitles-Detail 4 2 5 2 3 2 2" xfId="22267" xr:uid="{00000000-0005-0000-0000-00000E570000}"/>
    <cellStyle name="RowTitles-Detail 4 2 5 2 3 2_Tertiary Salaries Survey" xfId="22268" xr:uid="{00000000-0005-0000-0000-00000F570000}"/>
    <cellStyle name="RowTitles-Detail 4 2 5 2 3 3" xfId="22269" xr:uid="{00000000-0005-0000-0000-000010570000}"/>
    <cellStyle name="RowTitles-Detail 4 2 5 2 3_Tertiary Salaries Survey" xfId="22270" xr:uid="{00000000-0005-0000-0000-000011570000}"/>
    <cellStyle name="RowTitles-Detail 4 2 5 2 4" xfId="22271" xr:uid="{00000000-0005-0000-0000-000012570000}"/>
    <cellStyle name="RowTitles-Detail 4 2 5 2 5" xfId="22272" xr:uid="{00000000-0005-0000-0000-000013570000}"/>
    <cellStyle name="RowTitles-Detail 4 2 5 2 5 2" xfId="22273" xr:uid="{00000000-0005-0000-0000-000014570000}"/>
    <cellStyle name="RowTitles-Detail 4 2 5 2 5_Tertiary Salaries Survey" xfId="22274" xr:uid="{00000000-0005-0000-0000-000015570000}"/>
    <cellStyle name="RowTitles-Detail 4 2 5 2 6" xfId="22275" xr:uid="{00000000-0005-0000-0000-000016570000}"/>
    <cellStyle name="RowTitles-Detail 4 2 5 2_Tertiary Salaries Survey" xfId="22276" xr:uid="{00000000-0005-0000-0000-000017570000}"/>
    <cellStyle name="RowTitles-Detail 4 2 5 3" xfId="22277" xr:uid="{00000000-0005-0000-0000-000018570000}"/>
    <cellStyle name="RowTitles-Detail 4 2 5 3 2" xfId="22278" xr:uid="{00000000-0005-0000-0000-000019570000}"/>
    <cellStyle name="RowTitles-Detail 4 2 5 3 2 2" xfId="22279" xr:uid="{00000000-0005-0000-0000-00001A570000}"/>
    <cellStyle name="RowTitles-Detail 4 2 5 3 2 2 2" xfId="22280" xr:uid="{00000000-0005-0000-0000-00001B570000}"/>
    <cellStyle name="RowTitles-Detail 4 2 5 3 2 2_Tertiary Salaries Survey" xfId="22281" xr:uid="{00000000-0005-0000-0000-00001C570000}"/>
    <cellStyle name="RowTitles-Detail 4 2 5 3 2 3" xfId="22282" xr:uid="{00000000-0005-0000-0000-00001D570000}"/>
    <cellStyle name="RowTitles-Detail 4 2 5 3 2_Tertiary Salaries Survey" xfId="22283" xr:uid="{00000000-0005-0000-0000-00001E570000}"/>
    <cellStyle name="RowTitles-Detail 4 2 5 3 3" xfId="22284" xr:uid="{00000000-0005-0000-0000-00001F570000}"/>
    <cellStyle name="RowTitles-Detail 4 2 5 3 3 2" xfId="22285" xr:uid="{00000000-0005-0000-0000-000020570000}"/>
    <cellStyle name="RowTitles-Detail 4 2 5 3 3 2 2" xfId="22286" xr:uid="{00000000-0005-0000-0000-000021570000}"/>
    <cellStyle name="RowTitles-Detail 4 2 5 3 3 2_Tertiary Salaries Survey" xfId="22287" xr:uid="{00000000-0005-0000-0000-000022570000}"/>
    <cellStyle name="RowTitles-Detail 4 2 5 3 3 3" xfId="22288" xr:uid="{00000000-0005-0000-0000-000023570000}"/>
    <cellStyle name="RowTitles-Detail 4 2 5 3 3_Tertiary Salaries Survey" xfId="22289" xr:uid="{00000000-0005-0000-0000-000024570000}"/>
    <cellStyle name="RowTitles-Detail 4 2 5 3 4" xfId="22290" xr:uid="{00000000-0005-0000-0000-000025570000}"/>
    <cellStyle name="RowTitles-Detail 4 2 5 3 5" xfId="22291" xr:uid="{00000000-0005-0000-0000-000026570000}"/>
    <cellStyle name="RowTitles-Detail 4 2 5 3_Tertiary Salaries Survey" xfId="22292" xr:uid="{00000000-0005-0000-0000-000027570000}"/>
    <cellStyle name="RowTitles-Detail 4 2 5 4" xfId="22293" xr:uid="{00000000-0005-0000-0000-000028570000}"/>
    <cellStyle name="RowTitles-Detail 4 2 5 4 2" xfId="22294" xr:uid="{00000000-0005-0000-0000-000029570000}"/>
    <cellStyle name="RowTitles-Detail 4 2 5 4 2 2" xfId="22295" xr:uid="{00000000-0005-0000-0000-00002A570000}"/>
    <cellStyle name="RowTitles-Detail 4 2 5 4 2 2 2" xfId="22296" xr:uid="{00000000-0005-0000-0000-00002B570000}"/>
    <cellStyle name="RowTitles-Detail 4 2 5 4 2 2_Tertiary Salaries Survey" xfId="22297" xr:uid="{00000000-0005-0000-0000-00002C570000}"/>
    <cellStyle name="RowTitles-Detail 4 2 5 4 2 3" xfId="22298" xr:uid="{00000000-0005-0000-0000-00002D570000}"/>
    <cellStyle name="RowTitles-Detail 4 2 5 4 2_Tertiary Salaries Survey" xfId="22299" xr:uid="{00000000-0005-0000-0000-00002E570000}"/>
    <cellStyle name="RowTitles-Detail 4 2 5 4 3" xfId="22300" xr:uid="{00000000-0005-0000-0000-00002F570000}"/>
    <cellStyle name="RowTitles-Detail 4 2 5 4 3 2" xfId="22301" xr:uid="{00000000-0005-0000-0000-000030570000}"/>
    <cellStyle name="RowTitles-Detail 4 2 5 4 3 2 2" xfId="22302" xr:uid="{00000000-0005-0000-0000-000031570000}"/>
    <cellStyle name="RowTitles-Detail 4 2 5 4 3 2_Tertiary Salaries Survey" xfId="22303" xr:uid="{00000000-0005-0000-0000-000032570000}"/>
    <cellStyle name="RowTitles-Detail 4 2 5 4 3 3" xfId="22304" xr:uid="{00000000-0005-0000-0000-000033570000}"/>
    <cellStyle name="RowTitles-Detail 4 2 5 4 3_Tertiary Salaries Survey" xfId="22305" xr:uid="{00000000-0005-0000-0000-000034570000}"/>
    <cellStyle name="RowTitles-Detail 4 2 5 4 4" xfId="22306" xr:uid="{00000000-0005-0000-0000-000035570000}"/>
    <cellStyle name="RowTitles-Detail 4 2 5 4 5" xfId="22307" xr:uid="{00000000-0005-0000-0000-000036570000}"/>
    <cellStyle name="RowTitles-Detail 4 2 5 4 5 2" xfId="22308" xr:uid="{00000000-0005-0000-0000-000037570000}"/>
    <cellStyle name="RowTitles-Detail 4 2 5 4 5_Tertiary Salaries Survey" xfId="22309" xr:uid="{00000000-0005-0000-0000-000038570000}"/>
    <cellStyle name="RowTitles-Detail 4 2 5 4 6" xfId="22310" xr:uid="{00000000-0005-0000-0000-000039570000}"/>
    <cellStyle name="RowTitles-Detail 4 2 5 4_Tertiary Salaries Survey" xfId="22311" xr:uid="{00000000-0005-0000-0000-00003A570000}"/>
    <cellStyle name="RowTitles-Detail 4 2 5 5" xfId="22312" xr:uid="{00000000-0005-0000-0000-00003B570000}"/>
    <cellStyle name="RowTitles-Detail 4 2 5 5 2" xfId="22313" xr:uid="{00000000-0005-0000-0000-00003C570000}"/>
    <cellStyle name="RowTitles-Detail 4 2 5 5 2 2" xfId="22314" xr:uid="{00000000-0005-0000-0000-00003D570000}"/>
    <cellStyle name="RowTitles-Detail 4 2 5 5 2 2 2" xfId="22315" xr:uid="{00000000-0005-0000-0000-00003E570000}"/>
    <cellStyle name="RowTitles-Detail 4 2 5 5 2 2_Tertiary Salaries Survey" xfId="22316" xr:uid="{00000000-0005-0000-0000-00003F570000}"/>
    <cellStyle name="RowTitles-Detail 4 2 5 5 2 3" xfId="22317" xr:uid="{00000000-0005-0000-0000-000040570000}"/>
    <cellStyle name="RowTitles-Detail 4 2 5 5 2_Tertiary Salaries Survey" xfId="22318" xr:uid="{00000000-0005-0000-0000-000041570000}"/>
    <cellStyle name="RowTitles-Detail 4 2 5 5 3" xfId="22319" xr:uid="{00000000-0005-0000-0000-000042570000}"/>
    <cellStyle name="RowTitles-Detail 4 2 5 5 3 2" xfId="22320" xr:uid="{00000000-0005-0000-0000-000043570000}"/>
    <cellStyle name="RowTitles-Detail 4 2 5 5 3 2 2" xfId="22321" xr:uid="{00000000-0005-0000-0000-000044570000}"/>
    <cellStyle name="RowTitles-Detail 4 2 5 5 3 2_Tertiary Salaries Survey" xfId="22322" xr:uid="{00000000-0005-0000-0000-000045570000}"/>
    <cellStyle name="RowTitles-Detail 4 2 5 5 3 3" xfId="22323" xr:uid="{00000000-0005-0000-0000-000046570000}"/>
    <cellStyle name="RowTitles-Detail 4 2 5 5 3_Tertiary Salaries Survey" xfId="22324" xr:uid="{00000000-0005-0000-0000-000047570000}"/>
    <cellStyle name="RowTitles-Detail 4 2 5 5 4" xfId="22325" xr:uid="{00000000-0005-0000-0000-000048570000}"/>
    <cellStyle name="RowTitles-Detail 4 2 5 5 4 2" xfId="22326" xr:uid="{00000000-0005-0000-0000-000049570000}"/>
    <cellStyle name="RowTitles-Detail 4 2 5 5 4_Tertiary Salaries Survey" xfId="22327" xr:uid="{00000000-0005-0000-0000-00004A570000}"/>
    <cellStyle name="RowTitles-Detail 4 2 5 5 5" xfId="22328" xr:uid="{00000000-0005-0000-0000-00004B570000}"/>
    <cellStyle name="RowTitles-Detail 4 2 5 5_Tertiary Salaries Survey" xfId="22329" xr:uid="{00000000-0005-0000-0000-00004C570000}"/>
    <cellStyle name="RowTitles-Detail 4 2 5 6" xfId="22330" xr:uid="{00000000-0005-0000-0000-00004D570000}"/>
    <cellStyle name="RowTitles-Detail 4 2 5 6 2" xfId="22331" xr:uid="{00000000-0005-0000-0000-00004E570000}"/>
    <cellStyle name="RowTitles-Detail 4 2 5 6 2 2" xfId="22332" xr:uid="{00000000-0005-0000-0000-00004F570000}"/>
    <cellStyle name="RowTitles-Detail 4 2 5 6 2 2 2" xfId="22333" xr:uid="{00000000-0005-0000-0000-000050570000}"/>
    <cellStyle name="RowTitles-Detail 4 2 5 6 2 2_Tertiary Salaries Survey" xfId="22334" xr:uid="{00000000-0005-0000-0000-000051570000}"/>
    <cellStyle name="RowTitles-Detail 4 2 5 6 2 3" xfId="22335" xr:uid="{00000000-0005-0000-0000-000052570000}"/>
    <cellStyle name="RowTitles-Detail 4 2 5 6 2_Tertiary Salaries Survey" xfId="22336" xr:uid="{00000000-0005-0000-0000-000053570000}"/>
    <cellStyle name="RowTitles-Detail 4 2 5 6 3" xfId="22337" xr:uid="{00000000-0005-0000-0000-000054570000}"/>
    <cellStyle name="RowTitles-Detail 4 2 5 6 3 2" xfId="22338" xr:uid="{00000000-0005-0000-0000-000055570000}"/>
    <cellStyle name="RowTitles-Detail 4 2 5 6 3 2 2" xfId="22339" xr:uid="{00000000-0005-0000-0000-000056570000}"/>
    <cellStyle name="RowTitles-Detail 4 2 5 6 3 2_Tertiary Salaries Survey" xfId="22340" xr:uid="{00000000-0005-0000-0000-000057570000}"/>
    <cellStyle name="RowTitles-Detail 4 2 5 6 3 3" xfId="22341" xr:uid="{00000000-0005-0000-0000-000058570000}"/>
    <cellStyle name="RowTitles-Detail 4 2 5 6 3_Tertiary Salaries Survey" xfId="22342" xr:uid="{00000000-0005-0000-0000-000059570000}"/>
    <cellStyle name="RowTitles-Detail 4 2 5 6 4" xfId="22343" xr:uid="{00000000-0005-0000-0000-00005A570000}"/>
    <cellStyle name="RowTitles-Detail 4 2 5 6 4 2" xfId="22344" xr:uid="{00000000-0005-0000-0000-00005B570000}"/>
    <cellStyle name="RowTitles-Detail 4 2 5 6 4_Tertiary Salaries Survey" xfId="22345" xr:uid="{00000000-0005-0000-0000-00005C570000}"/>
    <cellStyle name="RowTitles-Detail 4 2 5 6 5" xfId="22346" xr:uid="{00000000-0005-0000-0000-00005D570000}"/>
    <cellStyle name="RowTitles-Detail 4 2 5 6_Tertiary Salaries Survey" xfId="22347" xr:uid="{00000000-0005-0000-0000-00005E570000}"/>
    <cellStyle name="RowTitles-Detail 4 2 5 7" xfId="22348" xr:uid="{00000000-0005-0000-0000-00005F570000}"/>
    <cellStyle name="RowTitles-Detail 4 2 5 7 2" xfId="22349" xr:uid="{00000000-0005-0000-0000-000060570000}"/>
    <cellStyle name="RowTitles-Detail 4 2 5 7 2 2" xfId="22350" xr:uid="{00000000-0005-0000-0000-000061570000}"/>
    <cellStyle name="RowTitles-Detail 4 2 5 7 2_Tertiary Salaries Survey" xfId="22351" xr:uid="{00000000-0005-0000-0000-000062570000}"/>
    <cellStyle name="RowTitles-Detail 4 2 5 7 3" xfId="22352" xr:uid="{00000000-0005-0000-0000-000063570000}"/>
    <cellStyle name="RowTitles-Detail 4 2 5 7_Tertiary Salaries Survey" xfId="22353" xr:uid="{00000000-0005-0000-0000-000064570000}"/>
    <cellStyle name="RowTitles-Detail 4 2 5 8" xfId="22354" xr:uid="{00000000-0005-0000-0000-000065570000}"/>
    <cellStyle name="RowTitles-Detail 4 2 5 9" xfId="22355" xr:uid="{00000000-0005-0000-0000-000066570000}"/>
    <cellStyle name="RowTitles-Detail 4 2 5_STUD aligned by INSTIT" xfId="22356" xr:uid="{00000000-0005-0000-0000-000067570000}"/>
    <cellStyle name="RowTitles-Detail 4 2 6" xfId="22357" xr:uid="{00000000-0005-0000-0000-000068570000}"/>
    <cellStyle name="RowTitles-Detail 4 2 6 2" xfId="22358" xr:uid="{00000000-0005-0000-0000-000069570000}"/>
    <cellStyle name="RowTitles-Detail 4 2 6 2 2" xfId="22359" xr:uid="{00000000-0005-0000-0000-00006A570000}"/>
    <cellStyle name="RowTitles-Detail 4 2 6 2 2 2" xfId="22360" xr:uid="{00000000-0005-0000-0000-00006B570000}"/>
    <cellStyle name="RowTitles-Detail 4 2 6 2 2_Tertiary Salaries Survey" xfId="22361" xr:uid="{00000000-0005-0000-0000-00006C570000}"/>
    <cellStyle name="RowTitles-Detail 4 2 6 2 3" xfId="22362" xr:uid="{00000000-0005-0000-0000-00006D570000}"/>
    <cellStyle name="RowTitles-Detail 4 2 6 2_Tertiary Salaries Survey" xfId="22363" xr:uid="{00000000-0005-0000-0000-00006E570000}"/>
    <cellStyle name="RowTitles-Detail 4 2 6 3" xfId="22364" xr:uid="{00000000-0005-0000-0000-00006F570000}"/>
    <cellStyle name="RowTitles-Detail 4 2 6 3 2" xfId="22365" xr:uid="{00000000-0005-0000-0000-000070570000}"/>
    <cellStyle name="RowTitles-Detail 4 2 6 3 2 2" xfId="22366" xr:uid="{00000000-0005-0000-0000-000071570000}"/>
    <cellStyle name="RowTitles-Detail 4 2 6 3 2_Tertiary Salaries Survey" xfId="22367" xr:uid="{00000000-0005-0000-0000-000072570000}"/>
    <cellStyle name="RowTitles-Detail 4 2 6 3 3" xfId="22368" xr:uid="{00000000-0005-0000-0000-000073570000}"/>
    <cellStyle name="RowTitles-Detail 4 2 6 3_Tertiary Salaries Survey" xfId="22369" xr:uid="{00000000-0005-0000-0000-000074570000}"/>
    <cellStyle name="RowTitles-Detail 4 2 6 4" xfId="22370" xr:uid="{00000000-0005-0000-0000-000075570000}"/>
    <cellStyle name="RowTitles-Detail 4 2 6 5" xfId="22371" xr:uid="{00000000-0005-0000-0000-000076570000}"/>
    <cellStyle name="RowTitles-Detail 4 2 6 5 2" xfId="22372" xr:uid="{00000000-0005-0000-0000-000077570000}"/>
    <cellStyle name="RowTitles-Detail 4 2 6 5_Tertiary Salaries Survey" xfId="22373" xr:uid="{00000000-0005-0000-0000-000078570000}"/>
    <cellStyle name="RowTitles-Detail 4 2 6 6" xfId="22374" xr:uid="{00000000-0005-0000-0000-000079570000}"/>
    <cellStyle name="RowTitles-Detail 4 2 6_Tertiary Salaries Survey" xfId="22375" xr:uid="{00000000-0005-0000-0000-00007A570000}"/>
    <cellStyle name="RowTitles-Detail 4 2 7" xfId="22376" xr:uid="{00000000-0005-0000-0000-00007B570000}"/>
    <cellStyle name="RowTitles-Detail 4 2 7 2" xfId="22377" xr:uid="{00000000-0005-0000-0000-00007C570000}"/>
    <cellStyle name="RowTitles-Detail 4 2 7 2 2" xfId="22378" xr:uid="{00000000-0005-0000-0000-00007D570000}"/>
    <cellStyle name="RowTitles-Detail 4 2 7 2 2 2" xfId="22379" xr:uid="{00000000-0005-0000-0000-00007E570000}"/>
    <cellStyle name="RowTitles-Detail 4 2 7 2 2_Tertiary Salaries Survey" xfId="22380" xr:uid="{00000000-0005-0000-0000-00007F570000}"/>
    <cellStyle name="RowTitles-Detail 4 2 7 2 3" xfId="22381" xr:uid="{00000000-0005-0000-0000-000080570000}"/>
    <cellStyle name="RowTitles-Detail 4 2 7 2_Tertiary Salaries Survey" xfId="22382" xr:uid="{00000000-0005-0000-0000-000081570000}"/>
    <cellStyle name="RowTitles-Detail 4 2 7 3" xfId="22383" xr:uid="{00000000-0005-0000-0000-000082570000}"/>
    <cellStyle name="RowTitles-Detail 4 2 7 3 2" xfId="22384" xr:uid="{00000000-0005-0000-0000-000083570000}"/>
    <cellStyle name="RowTitles-Detail 4 2 7 3 2 2" xfId="22385" xr:uid="{00000000-0005-0000-0000-000084570000}"/>
    <cellStyle name="RowTitles-Detail 4 2 7 3 2_Tertiary Salaries Survey" xfId="22386" xr:uid="{00000000-0005-0000-0000-000085570000}"/>
    <cellStyle name="RowTitles-Detail 4 2 7 3 3" xfId="22387" xr:uid="{00000000-0005-0000-0000-000086570000}"/>
    <cellStyle name="RowTitles-Detail 4 2 7 3_Tertiary Salaries Survey" xfId="22388" xr:uid="{00000000-0005-0000-0000-000087570000}"/>
    <cellStyle name="RowTitles-Detail 4 2 7 4" xfId="22389" xr:uid="{00000000-0005-0000-0000-000088570000}"/>
    <cellStyle name="RowTitles-Detail 4 2 7 5" xfId="22390" xr:uid="{00000000-0005-0000-0000-000089570000}"/>
    <cellStyle name="RowTitles-Detail 4 2 7_Tertiary Salaries Survey" xfId="22391" xr:uid="{00000000-0005-0000-0000-00008A570000}"/>
    <cellStyle name="RowTitles-Detail 4 2 8" xfId="22392" xr:uid="{00000000-0005-0000-0000-00008B570000}"/>
    <cellStyle name="RowTitles-Detail 4 2 8 2" xfId="22393" xr:uid="{00000000-0005-0000-0000-00008C570000}"/>
    <cellStyle name="RowTitles-Detail 4 2 8 2 2" xfId="22394" xr:uid="{00000000-0005-0000-0000-00008D570000}"/>
    <cellStyle name="RowTitles-Detail 4 2 8 2 2 2" xfId="22395" xr:uid="{00000000-0005-0000-0000-00008E570000}"/>
    <cellStyle name="RowTitles-Detail 4 2 8 2 2_Tertiary Salaries Survey" xfId="22396" xr:uid="{00000000-0005-0000-0000-00008F570000}"/>
    <cellStyle name="RowTitles-Detail 4 2 8 2 3" xfId="22397" xr:uid="{00000000-0005-0000-0000-000090570000}"/>
    <cellStyle name="RowTitles-Detail 4 2 8 2_Tertiary Salaries Survey" xfId="22398" xr:uid="{00000000-0005-0000-0000-000091570000}"/>
    <cellStyle name="RowTitles-Detail 4 2 8 3" xfId="22399" xr:uid="{00000000-0005-0000-0000-000092570000}"/>
    <cellStyle name="RowTitles-Detail 4 2 8 3 2" xfId="22400" xr:uid="{00000000-0005-0000-0000-000093570000}"/>
    <cellStyle name="RowTitles-Detail 4 2 8 3 2 2" xfId="22401" xr:uid="{00000000-0005-0000-0000-000094570000}"/>
    <cellStyle name="RowTitles-Detail 4 2 8 3 2_Tertiary Salaries Survey" xfId="22402" xr:uid="{00000000-0005-0000-0000-000095570000}"/>
    <cellStyle name="RowTitles-Detail 4 2 8 3 3" xfId="22403" xr:uid="{00000000-0005-0000-0000-000096570000}"/>
    <cellStyle name="RowTitles-Detail 4 2 8 3_Tertiary Salaries Survey" xfId="22404" xr:uid="{00000000-0005-0000-0000-000097570000}"/>
    <cellStyle name="RowTitles-Detail 4 2 8 4" xfId="22405" xr:uid="{00000000-0005-0000-0000-000098570000}"/>
    <cellStyle name="RowTitles-Detail 4 2 8 5" xfId="22406" xr:uid="{00000000-0005-0000-0000-000099570000}"/>
    <cellStyle name="RowTitles-Detail 4 2 8 5 2" xfId="22407" xr:uid="{00000000-0005-0000-0000-00009A570000}"/>
    <cellStyle name="RowTitles-Detail 4 2 8 5_Tertiary Salaries Survey" xfId="22408" xr:uid="{00000000-0005-0000-0000-00009B570000}"/>
    <cellStyle name="RowTitles-Detail 4 2 8 6" xfId="22409" xr:uid="{00000000-0005-0000-0000-00009C570000}"/>
    <cellStyle name="RowTitles-Detail 4 2 8_Tertiary Salaries Survey" xfId="22410" xr:uid="{00000000-0005-0000-0000-00009D570000}"/>
    <cellStyle name="RowTitles-Detail 4 2 9" xfId="22411" xr:uid="{00000000-0005-0000-0000-00009E570000}"/>
    <cellStyle name="RowTitles-Detail 4 2 9 2" xfId="22412" xr:uid="{00000000-0005-0000-0000-00009F570000}"/>
    <cellStyle name="RowTitles-Detail 4 2 9 2 2" xfId="22413" xr:uid="{00000000-0005-0000-0000-0000A0570000}"/>
    <cellStyle name="RowTitles-Detail 4 2 9 2 2 2" xfId="22414" xr:uid="{00000000-0005-0000-0000-0000A1570000}"/>
    <cellStyle name="RowTitles-Detail 4 2 9 2 2_Tertiary Salaries Survey" xfId="22415" xr:uid="{00000000-0005-0000-0000-0000A2570000}"/>
    <cellStyle name="RowTitles-Detail 4 2 9 2 3" xfId="22416" xr:uid="{00000000-0005-0000-0000-0000A3570000}"/>
    <cellStyle name="RowTitles-Detail 4 2 9 2_Tertiary Salaries Survey" xfId="22417" xr:uid="{00000000-0005-0000-0000-0000A4570000}"/>
    <cellStyle name="RowTitles-Detail 4 2 9 3" xfId="22418" xr:uid="{00000000-0005-0000-0000-0000A5570000}"/>
    <cellStyle name="RowTitles-Detail 4 2 9 3 2" xfId="22419" xr:uid="{00000000-0005-0000-0000-0000A6570000}"/>
    <cellStyle name="RowTitles-Detail 4 2 9 3 2 2" xfId="22420" xr:uid="{00000000-0005-0000-0000-0000A7570000}"/>
    <cellStyle name="RowTitles-Detail 4 2 9 3 2_Tertiary Salaries Survey" xfId="22421" xr:uid="{00000000-0005-0000-0000-0000A8570000}"/>
    <cellStyle name="RowTitles-Detail 4 2 9 3 3" xfId="22422" xr:uid="{00000000-0005-0000-0000-0000A9570000}"/>
    <cellStyle name="RowTitles-Detail 4 2 9 3_Tertiary Salaries Survey" xfId="22423" xr:uid="{00000000-0005-0000-0000-0000AA570000}"/>
    <cellStyle name="RowTitles-Detail 4 2 9 4" xfId="22424" xr:uid="{00000000-0005-0000-0000-0000AB570000}"/>
    <cellStyle name="RowTitles-Detail 4 2 9 4 2" xfId="22425" xr:uid="{00000000-0005-0000-0000-0000AC570000}"/>
    <cellStyle name="RowTitles-Detail 4 2 9 4_Tertiary Salaries Survey" xfId="22426" xr:uid="{00000000-0005-0000-0000-0000AD570000}"/>
    <cellStyle name="RowTitles-Detail 4 2 9 5" xfId="22427" xr:uid="{00000000-0005-0000-0000-0000AE570000}"/>
    <cellStyle name="RowTitles-Detail 4 2 9_Tertiary Salaries Survey" xfId="22428" xr:uid="{00000000-0005-0000-0000-0000AF570000}"/>
    <cellStyle name="RowTitles-Detail 4 2_STUD aligned by INSTIT" xfId="22429" xr:uid="{00000000-0005-0000-0000-0000B0570000}"/>
    <cellStyle name="RowTitles-Detail 4 3" xfId="22430" xr:uid="{00000000-0005-0000-0000-0000B1570000}"/>
    <cellStyle name="RowTitles-Detail 4 3 10" xfId="22431" xr:uid="{00000000-0005-0000-0000-0000B2570000}"/>
    <cellStyle name="RowTitles-Detail 4 3 10 2" xfId="22432" xr:uid="{00000000-0005-0000-0000-0000B3570000}"/>
    <cellStyle name="RowTitles-Detail 4 3 10 2 2" xfId="22433" xr:uid="{00000000-0005-0000-0000-0000B4570000}"/>
    <cellStyle name="RowTitles-Detail 4 3 10 2_Tertiary Salaries Survey" xfId="22434" xr:uid="{00000000-0005-0000-0000-0000B5570000}"/>
    <cellStyle name="RowTitles-Detail 4 3 10 3" xfId="22435" xr:uid="{00000000-0005-0000-0000-0000B6570000}"/>
    <cellStyle name="RowTitles-Detail 4 3 10_Tertiary Salaries Survey" xfId="22436" xr:uid="{00000000-0005-0000-0000-0000B7570000}"/>
    <cellStyle name="RowTitles-Detail 4 3 11" xfId="22437" xr:uid="{00000000-0005-0000-0000-0000B8570000}"/>
    <cellStyle name="RowTitles-Detail 4 3 12" xfId="22438" xr:uid="{00000000-0005-0000-0000-0000B9570000}"/>
    <cellStyle name="RowTitles-Detail 4 3 2" xfId="22439" xr:uid="{00000000-0005-0000-0000-0000BA570000}"/>
    <cellStyle name="RowTitles-Detail 4 3 2 2" xfId="22440" xr:uid="{00000000-0005-0000-0000-0000BB570000}"/>
    <cellStyle name="RowTitles-Detail 4 3 2 2 2" xfId="22441" xr:uid="{00000000-0005-0000-0000-0000BC570000}"/>
    <cellStyle name="RowTitles-Detail 4 3 2 2 2 2" xfId="22442" xr:uid="{00000000-0005-0000-0000-0000BD570000}"/>
    <cellStyle name="RowTitles-Detail 4 3 2 2 2 2 2" xfId="22443" xr:uid="{00000000-0005-0000-0000-0000BE570000}"/>
    <cellStyle name="RowTitles-Detail 4 3 2 2 2 2_Tertiary Salaries Survey" xfId="22444" xr:uid="{00000000-0005-0000-0000-0000BF570000}"/>
    <cellStyle name="RowTitles-Detail 4 3 2 2 2 3" xfId="22445" xr:uid="{00000000-0005-0000-0000-0000C0570000}"/>
    <cellStyle name="RowTitles-Detail 4 3 2 2 2_Tertiary Salaries Survey" xfId="22446" xr:uid="{00000000-0005-0000-0000-0000C1570000}"/>
    <cellStyle name="RowTitles-Detail 4 3 2 2 3" xfId="22447" xr:uid="{00000000-0005-0000-0000-0000C2570000}"/>
    <cellStyle name="RowTitles-Detail 4 3 2 2 3 2" xfId="22448" xr:uid="{00000000-0005-0000-0000-0000C3570000}"/>
    <cellStyle name="RowTitles-Detail 4 3 2 2 3 2 2" xfId="22449" xr:uid="{00000000-0005-0000-0000-0000C4570000}"/>
    <cellStyle name="RowTitles-Detail 4 3 2 2 3 2_Tertiary Salaries Survey" xfId="22450" xr:uid="{00000000-0005-0000-0000-0000C5570000}"/>
    <cellStyle name="RowTitles-Detail 4 3 2 2 3 3" xfId="22451" xr:uid="{00000000-0005-0000-0000-0000C6570000}"/>
    <cellStyle name="RowTitles-Detail 4 3 2 2 3_Tertiary Salaries Survey" xfId="22452" xr:uid="{00000000-0005-0000-0000-0000C7570000}"/>
    <cellStyle name="RowTitles-Detail 4 3 2 2 4" xfId="22453" xr:uid="{00000000-0005-0000-0000-0000C8570000}"/>
    <cellStyle name="RowTitles-Detail 4 3 2 2 5" xfId="22454" xr:uid="{00000000-0005-0000-0000-0000C9570000}"/>
    <cellStyle name="RowTitles-Detail 4 3 2 2_Tertiary Salaries Survey" xfId="22455" xr:uid="{00000000-0005-0000-0000-0000CA570000}"/>
    <cellStyle name="RowTitles-Detail 4 3 2 3" xfId="22456" xr:uid="{00000000-0005-0000-0000-0000CB570000}"/>
    <cellStyle name="RowTitles-Detail 4 3 2 3 2" xfId="22457" xr:uid="{00000000-0005-0000-0000-0000CC570000}"/>
    <cellStyle name="RowTitles-Detail 4 3 2 3 2 2" xfId="22458" xr:uid="{00000000-0005-0000-0000-0000CD570000}"/>
    <cellStyle name="RowTitles-Detail 4 3 2 3 2 2 2" xfId="22459" xr:uid="{00000000-0005-0000-0000-0000CE570000}"/>
    <cellStyle name="RowTitles-Detail 4 3 2 3 2 2_Tertiary Salaries Survey" xfId="22460" xr:uid="{00000000-0005-0000-0000-0000CF570000}"/>
    <cellStyle name="RowTitles-Detail 4 3 2 3 2 3" xfId="22461" xr:uid="{00000000-0005-0000-0000-0000D0570000}"/>
    <cellStyle name="RowTitles-Detail 4 3 2 3 2_Tertiary Salaries Survey" xfId="22462" xr:uid="{00000000-0005-0000-0000-0000D1570000}"/>
    <cellStyle name="RowTitles-Detail 4 3 2 3 3" xfId="22463" xr:uid="{00000000-0005-0000-0000-0000D2570000}"/>
    <cellStyle name="RowTitles-Detail 4 3 2 3 3 2" xfId="22464" xr:uid="{00000000-0005-0000-0000-0000D3570000}"/>
    <cellStyle name="RowTitles-Detail 4 3 2 3 3 2 2" xfId="22465" xr:uid="{00000000-0005-0000-0000-0000D4570000}"/>
    <cellStyle name="RowTitles-Detail 4 3 2 3 3 2_Tertiary Salaries Survey" xfId="22466" xr:uid="{00000000-0005-0000-0000-0000D5570000}"/>
    <cellStyle name="RowTitles-Detail 4 3 2 3 3 3" xfId="22467" xr:uid="{00000000-0005-0000-0000-0000D6570000}"/>
    <cellStyle name="RowTitles-Detail 4 3 2 3 3_Tertiary Salaries Survey" xfId="22468" xr:uid="{00000000-0005-0000-0000-0000D7570000}"/>
    <cellStyle name="RowTitles-Detail 4 3 2 3 4" xfId="22469" xr:uid="{00000000-0005-0000-0000-0000D8570000}"/>
    <cellStyle name="RowTitles-Detail 4 3 2 3 5" xfId="22470" xr:uid="{00000000-0005-0000-0000-0000D9570000}"/>
    <cellStyle name="RowTitles-Detail 4 3 2 3 5 2" xfId="22471" xr:uid="{00000000-0005-0000-0000-0000DA570000}"/>
    <cellStyle name="RowTitles-Detail 4 3 2 3 5_Tertiary Salaries Survey" xfId="22472" xr:uid="{00000000-0005-0000-0000-0000DB570000}"/>
    <cellStyle name="RowTitles-Detail 4 3 2 3 6" xfId="22473" xr:uid="{00000000-0005-0000-0000-0000DC570000}"/>
    <cellStyle name="RowTitles-Detail 4 3 2 3_Tertiary Salaries Survey" xfId="22474" xr:uid="{00000000-0005-0000-0000-0000DD570000}"/>
    <cellStyle name="RowTitles-Detail 4 3 2 4" xfId="22475" xr:uid="{00000000-0005-0000-0000-0000DE570000}"/>
    <cellStyle name="RowTitles-Detail 4 3 2 4 2" xfId="22476" xr:uid="{00000000-0005-0000-0000-0000DF570000}"/>
    <cellStyle name="RowTitles-Detail 4 3 2 4 2 2" xfId="22477" xr:uid="{00000000-0005-0000-0000-0000E0570000}"/>
    <cellStyle name="RowTitles-Detail 4 3 2 4 2 2 2" xfId="22478" xr:uid="{00000000-0005-0000-0000-0000E1570000}"/>
    <cellStyle name="RowTitles-Detail 4 3 2 4 2 2_Tertiary Salaries Survey" xfId="22479" xr:uid="{00000000-0005-0000-0000-0000E2570000}"/>
    <cellStyle name="RowTitles-Detail 4 3 2 4 2 3" xfId="22480" xr:uid="{00000000-0005-0000-0000-0000E3570000}"/>
    <cellStyle name="RowTitles-Detail 4 3 2 4 2_Tertiary Salaries Survey" xfId="22481" xr:uid="{00000000-0005-0000-0000-0000E4570000}"/>
    <cellStyle name="RowTitles-Detail 4 3 2 4 3" xfId="22482" xr:uid="{00000000-0005-0000-0000-0000E5570000}"/>
    <cellStyle name="RowTitles-Detail 4 3 2 4 3 2" xfId="22483" xr:uid="{00000000-0005-0000-0000-0000E6570000}"/>
    <cellStyle name="RowTitles-Detail 4 3 2 4 3 2 2" xfId="22484" xr:uid="{00000000-0005-0000-0000-0000E7570000}"/>
    <cellStyle name="RowTitles-Detail 4 3 2 4 3 2_Tertiary Salaries Survey" xfId="22485" xr:uid="{00000000-0005-0000-0000-0000E8570000}"/>
    <cellStyle name="RowTitles-Detail 4 3 2 4 3 3" xfId="22486" xr:uid="{00000000-0005-0000-0000-0000E9570000}"/>
    <cellStyle name="RowTitles-Detail 4 3 2 4 3_Tertiary Salaries Survey" xfId="22487" xr:uid="{00000000-0005-0000-0000-0000EA570000}"/>
    <cellStyle name="RowTitles-Detail 4 3 2 4 4" xfId="22488" xr:uid="{00000000-0005-0000-0000-0000EB570000}"/>
    <cellStyle name="RowTitles-Detail 4 3 2 4 4 2" xfId="22489" xr:uid="{00000000-0005-0000-0000-0000EC570000}"/>
    <cellStyle name="RowTitles-Detail 4 3 2 4 4_Tertiary Salaries Survey" xfId="22490" xr:uid="{00000000-0005-0000-0000-0000ED570000}"/>
    <cellStyle name="RowTitles-Detail 4 3 2 4 5" xfId="22491" xr:uid="{00000000-0005-0000-0000-0000EE570000}"/>
    <cellStyle name="RowTitles-Detail 4 3 2 4_Tertiary Salaries Survey" xfId="22492" xr:uid="{00000000-0005-0000-0000-0000EF570000}"/>
    <cellStyle name="RowTitles-Detail 4 3 2 5" xfId="22493" xr:uid="{00000000-0005-0000-0000-0000F0570000}"/>
    <cellStyle name="RowTitles-Detail 4 3 2 5 2" xfId="22494" xr:uid="{00000000-0005-0000-0000-0000F1570000}"/>
    <cellStyle name="RowTitles-Detail 4 3 2 5 2 2" xfId="22495" xr:uid="{00000000-0005-0000-0000-0000F2570000}"/>
    <cellStyle name="RowTitles-Detail 4 3 2 5 2 2 2" xfId="22496" xr:uid="{00000000-0005-0000-0000-0000F3570000}"/>
    <cellStyle name="RowTitles-Detail 4 3 2 5 2 2_Tertiary Salaries Survey" xfId="22497" xr:uid="{00000000-0005-0000-0000-0000F4570000}"/>
    <cellStyle name="RowTitles-Detail 4 3 2 5 2 3" xfId="22498" xr:uid="{00000000-0005-0000-0000-0000F5570000}"/>
    <cellStyle name="RowTitles-Detail 4 3 2 5 2_Tertiary Salaries Survey" xfId="22499" xr:uid="{00000000-0005-0000-0000-0000F6570000}"/>
    <cellStyle name="RowTitles-Detail 4 3 2 5 3" xfId="22500" xr:uid="{00000000-0005-0000-0000-0000F7570000}"/>
    <cellStyle name="RowTitles-Detail 4 3 2 5 3 2" xfId="22501" xr:uid="{00000000-0005-0000-0000-0000F8570000}"/>
    <cellStyle name="RowTitles-Detail 4 3 2 5 3 2 2" xfId="22502" xr:uid="{00000000-0005-0000-0000-0000F9570000}"/>
    <cellStyle name="RowTitles-Detail 4 3 2 5 3 2_Tertiary Salaries Survey" xfId="22503" xr:uid="{00000000-0005-0000-0000-0000FA570000}"/>
    <cellStyle name="RowTitles-Detail 4 3 2 5 3 3" xfId="22504" xr:uid="{00000000-0005-0000-0000-0000FB570000}"/>
    <cellStyle name="RowTitles-Detail 4 3 2 5 3_Tertiary Salaries Survey" xfId="22505" xr:uid="{00000000-0005-0000-0000-0000FC570000}"/>
    <cellStyle name="RowTitles-Detail 4 3 2 5 4" xfId="22506" xr:uid="{00000000-0005-0000-0000-0000FD570000}"/>
    <cellStyle name="RowTitles-Detail 4 3 2 5 4 2" xfId="22507" xr:uid="{00000000-0005-0000-0000-0000FE570000}"/>
    <cellStyle name="RowTitles-Detail 4 3 2 5 4_Tertiary Salaries Survey" xfId="22508" xr:uid="{00000000-0005-0000-0000-0000FF570000}"/>
    <cellStyle name="RowTitles-Detail 4 3 2 5 5" xfId="22509" xr:uid="{00000000-0005-0000-0000-000000580000}"/>
    <cellStyle name="RowTitles-Detail 4 3 2 5_Tertiary Salaries Survey" xfId="22510" xr:uid="{00000000-0005-0000-0000-000001580000}"/>
    <cellStyle name="RowTitles-Detail 4 3 2 6" xfId="22511" xr:uid="{00000000-0005-0000-0000-000002580000}"/>
    <cellStyle name="RowTitles-Detail 4 3 2 6 2" xfId="22512" xr:uid="{00000000-0005-0000-0000-000003580000}"/>
    <cellStyle name="RowTitles-Detail 4 3 2 6 2 2" xfId="22513" xr:uid="{00000000-0005-0000-0000-000004580000}"/>
    <cellStyle name="RowTitles-Detail 4 3 2 6 2 2 2" xfId="22514" xr:uid="{00000000-0005-0000-0000-000005580000}"/>
    <cellStyle name="RowTitles-Detail 4 3 2 6 2 2_Tertiary Salaries Survey" xfId="22515" xr:uid="{00000000-0005-0000-0000-000006580000}"/>
    <cellStyle name="RowTitles-Detail 4 3 2 6 2 3" xfId="22516" xr:uid="{00000000-0005-0000-0000-000007580000}"/>
    <cellStyle name="RowTitles-Detail 4 3 2 6 2_Tertiary Salaries Survey" xfId="22517" xr:uid="{00000000-0005-0000-0000-000008580000}"/>
    <cellStyle name="RowTitles-Detail 4 3 2 6 3" xfId="22518" xr:uid="{00000000-0005-0000-0000-000009580000}"/>
    <cellStyle name="RowTitles-Detail 4 3 2 6 3 2" xfId="22519" xr:uid="{00000000-0005-0000-0000-00000A580000}"/>
    <cellStyle name="RowTitles-Detail 4 3 2 6 3 2 2" xfId="22520" xr:uid="{00000000-0005-0000-0000-00000B580000}"/>
    <cellStyle name="RowTitles-Detail 4 3 2 6 3 2_Tertiary Salaries Survey" xfId="22521" xr:uid="{00000000-0005-0000-0000-00000C580000}"/>
    <cellStyle name="RowTitles-Detail 4 3 2 6 3 3" xfId="22522" xr:uid="{00000000-0005-0000-0000-00000D580000}"/>
    <cellStyle name="RowTitles-Detail 4 3 2 6 3_Tertiary Salaries Survey" xfId="22523" xr:uid="{00000000-0005-0000-0000-00000E580000}"/>
    <cellStyle name="RowTitles-Detail 4 3 2 6 4" xfId="22524" xr:uid="{00000000-0005-0000-0000-00000F580000}"/>
    <cellStyle name="RowTitles-Detail 4 3 2 6 4 2" xfId="22525" xr:uid="{00000000-0005-0000-0000-000010580000}"/>
    <cellStyle name="RowTitles-Detail 4 3 2 6 4_Tertiary Salaries Survey" xfId="22526" xr:uid="{00000000-0005-0000-0000-000011580000}"/>
    <cellStyle name="RowTitles-Detail 4 3 2 6 5" xfId="22527" xr:uid="{00000000-0005-0000-0000-000012580000}"/>
    <cellStyle name="RowTitles-Detail 4 3 2 6_Tertiary Salaries Survey" xfId="22528" xr:uid="{00000000-0005-0000-0000-000013580000}"/>
    <cellStyle name="RowTitles-Detail 4 3 2 7" xfId="22529" xr:uid="{00000000-0005-0000-0000-000014580000}"/>
    <cellStyle name="RowTitles-Detail 4 3 2 7 2" xfId="22530" xr:uid="{00000000-0005-0000-0000-000015580000}"/>
    <cellStyle name="RowTitles-Detail 4 3 2 7 2 2" xfId="22531" xr:uid="{00000000-0005-0000-0000-000016580000}"/>
    <cellStyle name="RowTitles-Detail 4 3 2 7 2_Tertiary Salaries Survey" xfId="22532" xr:uid="{00000000-0005-0000-0000-000017580000}"/>
    <cellStyle name="RowTitles-Detail 4 3 2 7 3" xfId="22533" xr:uid="{00000000-0005-0000-0000-000018580000}"/>
    <cellStyle name="RowTitles-Detail 4 3 2 7_Tertiary Salaries Survey" xfId="22534" xr:uid="{00000000-0005-0000-0000-000019580000}"/>
    <cellStyle name="RowTitles-Detail 4 3 2 8" xfId="22535" xr:uid="{00000000-0005-0000-0000-00001A580000}"/>
    <cellStyle name="RowTitles-Detail 4 3 2 9" xfId="22536" xr:uid="{00000000-0005-0000-0000-00001B580000}"/>
    <cellStyle name="RowTitles-Detail 4 3 2_STUD aligned by INSTIT" xfId="22537" xr:uid="{00000000-0005-0000-0000-00001C580000}"/>
    <cellStyle name="RowTitles-Detail 4 3 3" xfId="22538" xr:uid="{00000000-0005-0000-0000-00001D580000}"/>
    <cellStyle name="RowTitles-Detail 4 3 3 2" xfId="22539" xr:uid="{00000000-0005-0000-0000-00001E580000}"/>
    <cellStyle name="RowTitles-Detail 4 3 3 2 2" xfId="22540" xr:uid="{00000000-0005-0000-0000-00001F580000}"/>
    <cellStyle name="RowTitles-Detail 4 3 3 2 2 2" xfId="22541" xr:uid="{00000000-0005-0000-0000-000020580000}"/>
    <cellStyle name="RowTitles-Detail 4 3 3 2 2 2 2" xfId="22542" xr:uid="{00000000-0005-0000-0000-000021580000}"/>
    <cellStyle name="RowTitles-Detail 4 3 3 2 2 2_Tertiary Salaries Survey" xfId="22543" xr:uid="{00000000-0005-0000-0000-000022580000}"/>
    <cellStyle name="RowTitles-Detail 4 3 3 2 2 3" xfId="22544" xr:uid="{00000000-0005-0000-0000-000023580000}"/>
    <cellStyle name="RowTitles-Detail 4 3 3 2 2_Tertiary Salaries Survey" xfId="22545" xr:uid="{00000000-0005-0000-0000-000024580000}"/>
    <cellStyle name="RowTitles-Detail 4 3 3 2 3" xfId="22546" xr:uid="{00000000-0005-0000-0000-000025580000}"/>
    <cellStyle name="RowTitles-Detail 4 3 3 2 3 2" xfId="22547" xr:uid="{00000000-0005-0000-0000-000026580000}"/>
    <cellStyle name="RowTitles-Detail 4 3 3 2 3 2 2" xfId="22548" xr:uid="{00000000-0005-0000-0000-000027580000}"/>
    <cellStyle name="RowTitles-Detail 4 3 3 2 3 2_Tertiary Salaries Survey" xfId="22549" xr:uid="{00000000-0005-0000-0000-000028580000}"/>
    <cellStyle name="RowTitles-Detail 4 3 3 2 3 3" xfId="22550" xr:uid="{00000000-0005-0000-0000-000029580000}"/>
    <cellStyle name="RowTitles-Detail 4 3 3 2 3_Tertiary Salaries Survey" xfId="22551" xr:uid="{00000000-0005-0000-0000-00002A580000}"/>
    <cellStyle name="RowTitles-Detail 4 3 3 2 4" xfId="22552" xr:uid="{00000000-0005-0000-0000-00002B580000}"/>
    <cellStyle name="RowTitles-Detail 4 3 3 2 5" xfId="22553" xr:uid="{00000000-0005-0000-0000-00002C580000}"/>
    <cellStyle name="RowTitles-Detail 4 3 3 2 5 2" xfId="22554" xr:uid="{00000000-0005-0000-0000-00002D580000}"/>
    <cellStyle name="RowTitles-Detail 4 3 3 2 5_Tertiary Salaries Survey" xfId="22555" xr:uid="{00000000-0005-0000-0000-00002E580000}"/>
    <cellStyle name="RowTitles-Detail 4 3 3 2 6" xfId="22556" xr:uid="{00000000-0005-0000-0000-00002F580000}"/>
    <cellStyle name="RowTitles-Detail 4 3 3 2_Tertiary Salaries Survey" xfId="22557" xr:uid="{00000000-0005-0000-0000-000030580000}"/>
    <cellStyle name="RowTitles-Detail 4 3 3 3" xfId="22558" xr:uid="{00000000-0005-0000-0000-000031580000}"/>
    <cellStyle name="RowTitles-Detail 4 3 3 3 2" xfId="22559" xr:uid="{00000000-0005-0000-0000-000032580000}"/>
    <cellStyle name="RowTitles-Detail 4 3 3 3 2 2" xfId="22560" xr:uid="{00000000-0005-0000-0000-000033580000}"/>
    <cellStyle name="RowTitles-Detail 4 3 3 3 2 2 2" xfId="22561" xr:uid="{00000000-0005-0000-0000-000034580000}"/>
    <cellStyle name="RowTitles-Detail 4 3 3 3 2 2_Tertiary Salaries Survey" xfId="22562" xr:uid="{00000000-0005-0000-0000-000035580000}"/>
    <cellStyle name="RowTitles-Detail 4 3 3 3 2 3" xfId="22563" xr:uid="{00000000-0005-0000-0000-000036580000}"/>
    <cellStyle name="RowTitles-Detail 4 3 3 3 2_Tertiary Salaries Survey" xfId="22564" xr:uid="{00000000-0005-0000-0000-000037580000}"/>
    <cellStyle name="RowTitles-Detail 4 3 3 3 3" xfId="22565" xr:uid="{00000000-0005-0000-0000-000038580000}"/>
    <cellStyle name="RowTitles-Detail 4 3 3 3 3 2" xfId="22566" xr:uid="{00000000-0005-0000-0000-000039580000}"/>
    <cellStyle name="RowTitles-Detail 4 3 3 3 3 2 2" xfId="22567" xr:uid="{00000000-0005-0000-0000-00003A580000}"/>
    <cellStyle name="RowTitles-Detail 4 3 3 3 3 2_Tertiary Salaries Survey" xfId="22568" xr:uid="{00000000-0005-0000-0000-00003B580000}"/>
    <cellStyle name="RowTitles-Detail 4 3 3 3 3 3" xfId="22569" xr:uid="{00000000-0005-0000-0000-00003C580000}"/>
    <cellStyle name="RowTitles-Detail 4 3 3 3 3_Tertiary Salaries Survey" xfId="22570" xr:uid="{00000000-0005-0000-0000-00003D580000}"/>
    <cellStyle name="RowTitles-Detail 4 3 3 3 4" xfId="22571" xr:uid="{00000000-0005-0000-0000-00003E580000}"/>
    <cellStyle name="RowTitles-Detail 4 3 3 3 5" xfId="22572" xr:uid="{00000000-0005-0000-0000-00003F580000}"/>
    <cellStyle name="RowTitles-Detail 4 3 3 3_Tertiary Salaries Survey" xfId="22573" xr:uid="{00000000-0005-0000-0000-000040580000}"/>
    <cellStyle name="RowTitles-Detail 4 3 3 4" xfId="22574" xr:uid="{00000000-0005-0000-0000-000041580000}"/>
    <cellStyle name="RowTitles-Detail 4 3 3 4 2" xfId="22575" xr:uid="{00000000-0005-0000-0000-000042580000}"/>
    <cellStyle name="RowTitles-Detail 4 3 3 4 2 2" xfId="22576" xr:uid="{00000000-0005-0000-0000-000043580000}"/>
    <cellStyle name="RowTitles-Detail 4 3 3 4 2 2 2" xfId="22577" xr:uid="{00000000-0005-0000-0000-000044580000}"/>
    <cellStyle name="RowTitles-Detail 4 3 3 4 2 2_Tertiary Salaries Survey" xfId="22578" xr:uid="{00000000-0005-0000-0000-000045580000}"/>
    <cellStyle name="RowTitles-Detail 4 3 3 4 2 3" xfId="22579" xr:uid="{00000000-0005-0000-0000-000046580000}"/>
    <cellStyle name="RowTitles-Detail 4 3 3 4 2_Tertiary Salaries Survey" xfId="22580" xr:uid="{00000000-0005-0000-0000-000047580000}"/>
    <cellStyle name="RowTitles-Detail 4 3 3 4 3" xfId="22581" xr:uid="{00000000-0005-0000-0000-000048580000}"/>
    <cellStyle name="RowTitles-Detail 4 3 3 4 3 2" xfId="22582" xr:uid="{00000000-0005-0000-0000-000049580000}"/>
    <cellStyle name="RowTitles-Detail 4 3 3 4 3 2 2" xfId="22583" xr:uid="{00000000-0005-0000-0000-00004A580000}"/>
    <cellStyle name="RowTitles-Detail 4 3 3 4 3 2_Tertiary Salaries Survey" xfId="22584" xr:uid="{00000000-0005-0000-0000-00004B580000}"/>
    <cellStyle name="RowTitles-Detail 4 3 3 4 3 3" xfId="22585" xr:uid="{00000000-0005-0000-0000-00004C580000}"/>
    <cellStyle name="RowTitles-Detail 4 3 3 4 3_Tertiary Salaries Survey" xfId="22586" xr:uid="{00000000-0005-0000-0000-00004D580000}"/>
    <cellStyle name="RowTitles-Detail 4 3 3 4 4" xfId="22587" xr:uid="{00000000-0005-0000-0000-00004E580000}"/>
    <cellStyle name="RowTitles-Detail 4 3 3 4 4 2" xfId="22588" xr:uid="{00000000-0005-0000-0000-00004F580000}"/>
    <cellStyle name="RowTitles-Detail 4 3 3 4 4_Tertiary Salaries Survey" xfId="22589" xr:uid="{00000000-0005-0000-0000-000050580000}"/>
    <cellStyle name="RowTitles-Detail 4 3 3 4 5" xfId="22590" xr:uid="{00000000-0005-0000-0000-000051580000}"/>
    <cellStyle name="RowTitles-Detail 4 3 3 4_Tertiary Salaries Survey" xfId="22591" xr:uid="{00000000-0005-0000-0000-000052580000}"/>
    <cellStyle name="RowTitles-Detail 4 3 3 5" xfId="22592" xr:uid="{00000000-0005-0000-0000-000053580000}"/>
    <cellStyle name="RowTitles-Detail 4 3 3 5 2" xfId="22593" xr:uid="{00000000-0005-0000-0000-000054580000}"/>
    <cellStyle name="RowTitles-Detail 4 3 3 5 2 2" xfId="22594" xr:uid="{00000000-0005-0000-0000-000055580000}"/>
    <cellStyle name="RowTitles-Detail 4 3 3 5 2 2 2" xfId="22595" xr:uid="{00000000-0005-0000-0000-000056580000}"/>
    <cellStyle name="RowTitles-Detail 4 3 3 5 2 2_Tertiary Salaries Survey" xfId="22596" xr:uid="{00000000-0005-0000-0000-000057580000}"/>
    <cellStyle name="RowTitles-Detail 4 3 3 5 2 3" xfId="22597" xr:uid="{00000000-0005-0000-0000-000058580000}"/>
    <cellStyle name="RowTitles-Detail 4 3 3 5 2_Tertiary Salaries Survey" xfId="22598" xr:uid="{00000000-0005-0000-0000-000059580000}"/>
    <cellStyle name="RowTitles-Detail 4 3 3 5 3" xfId="22599" xr:uid="{00000000-0005-0000-0000-00005A580000}"/>
    <cellStyle name="RowTitles-Detail 4 3 3 5 3 2" xfId="22600" xr:uid="{00000000-0005-0000-0000-00005B580000}"/>
    <cellStyle name="RowTitles-Detail 4 3 3 5 3 2 2" xfId="22601" xr:uid="{00000000-0005-0000-0000-00005C580000}"/>
    <cellStyle name="RowTitles-Detail 4 3 3 5 3 2_Tertiary Salaries Survey" xfId="22602" xr:uid="{00000000-0005-0000-0000-00005D580000}"/>
    <cellStyle name="RowTitles-Detail 4 3 3 5 3 3" xfId="22603" xr:uid="{00000000-0005-0000-0000-00005E580000}"/>
    <cellStyle name="RowTitles-Detail 4 3 3 5 3_Tertiary Salaries Survey" xfId="22604" xr:uid="{00000000-0005-0000-0000-00005F580000}"/>
    <cellStyle name="RowTitles-Detail 4 3 3 5 4" xfId="22605" xr:uid="{00000000-0005-0000-0000-000060580000}"/>
    <cellStyle name="RowTitles-Detail 4 3 3 5 4 2" xfId="22606" xr:uid="{00000000-0005-0000-0000-000061580000}"/>
    <cellStyle name="RowTitles-Detail 4 3 3 5 4_Tertiary Salaries Survey" xfId="22607" xr:uid="{00000000-0005-0000-0000-000062580000}"/>
    <cellStyle name="RowTitles-Detail 4 3 3 5 5" xfId="22608" xr:uid="{00000000-0005-0000-0000-000063580000}"/>
    <cellStyle name="RowTitles-Detail 4 3 3 5_Tertiary Salaries Survey" xfId="22609" xr:uid="{00000000-0005-0000-0000-000064580000}"/>
    <cellStyle name="RowTitles-Detail 4 3 3 6" xfId="22610" xr:uid="{00000000-0005-0000-0000-000065580000}"/>
    <cellStyle name="RowTitles-Detail 4 3 3 6 2" xfId="22611" xr:uid="{00000000-0005-0000-0000-000066580000}"/>
    <cellStyle name="RowTitles-Detail 4 3 3 6 2 2" xfId="22612" xr:uid="{00000000-0005-0000-0000-000067580000}"/>
    <cellStyle name="RowTitles-Detail 4 3 3 6 2 2 2" xfId="22613" xr:uid="{00000000-0005-0000-0000-000068580000}"/>
    <cellStyle name="RowTitles-Detail 4 3 3 6 2 2_Tertiary Salaries Survey" xfId="22614" xr:uid="{00000000-0005-0000-0000-000069580000}"/>
    <cellStyle name="RowTitles-Detail 4 3 3 6 2 3" xfId="22615" xr:uid="{00000000-0005-0000-0000-00006A580000}"/>
    <cellStyle name="RowTitles-Detail 4 3 3 6 2_Tertiary Salaries Survey" xfId="22616" xr:uid="{00000000-0005-0000-0000-00006B580000}"/>
    <cellStyle name="RowTitles-Detail 4 3 3 6 3" xfId="22617" xr:uid="{00000000-0005-0000-0000-00006C580000}"/>
    <cellStyle name="RowTitles-Detail 4 3 3 6 3 2" xfId="22618" xr:uid="{00000000-0005-0000-0000-00006D580000}"/>
    <cellStyle name="RowTitles-Detail 4 3 3 6 3 2 2" xfId="22619" xr:uid="{00000000-0005-0000-0000-00006E580000}"/>
    <cellStyle name="RowTitles-Detail 4 3 3 6 3 2_Tertiary Salaries Survey" xfId="22620" xr:uid="{00000000-0005-0000-0000-00006F580000}"/>
    <cellStyle name="RowTitles-Detail 4 3 3 6 3 3" xfId="22621" xr:uid="{00000000-0005-0000-0000-000070580000}"/>
    <cellStyle name="RowTitles-Detail 4 3 3 6 3_Tertiary Salaries Survey" xfId="22622" xr:uid="{00000000-0005-0000-0000-000071580000}"/>
    <cellStyle name="RowTitles-Detail 4 3 3 6 4" xfId="22623" xr:uid="{00000000-0005-0000-0000-000072580000}"/>
    <cellStyle name="RowTitles-Detail 4 3 3 6 4 2" xfId="22624" xr:uid="{00000000-0005-0000-0000-000073580000}"/>
    <cellStyle name="RowTitles-Detail 4 3 3 6 4_Tertiary Salaries Survey" xfId="22625" xr:uid="{00000000-0005-0000-0000-000074580000}"/>
    <cellStyle name="RowTitles-Detail 4 3 3 6 5" xfId="22626" xr:uid="{00000000-0005-0000-0000-000075580000}"/>
    <cellStyle name="RowTitles-Detail 4 3 3 6_Tertiary Salaries Survey" xfId="22627" xr:uid="{00000000-0005-0000-0000-000076580000}"/>
    <cellStyle name="RowTitles-Detail 4 3 3 7" xfId="22628" xr:uid="{00000000-0005-0000-0000-000077580000}"/>
    <cellStyle name="RowTitles-Detail 4 3 3 7 2" xfId="22629" xr:uid="{00000000-0005-0000-0000-000078580000}"/>
    <cellStyle name="RowTitles-Detail 4 3 3 7 2 2" xfId="22630" xr:uid="{00000000-0005-0000-0000-000079580000}"/>
    <cellStyle name="RowTitles-Detail 4 3 3 7 2_Tertiary Salaries Survey" xfId="22631" xr:uid="{00000000-0005-0000-0000-00007A580000}"/>
    <cellStyle name="RowTitles-Detail 4 3 3 7 3" xfId="22632" xr:uid="{00000000-0005-0000-0000-00007B580000}"/>
    <cellStyle name="RowTitles-Detail 4 3 3 7_Tertiary Salaries Survey" xfId="22633" xr:uid="{00000000-0005-0000-0000-00007C580000}"/>
    <cellStyle name="RowTitles-Detail 4 3 3 8" xfId="22634" xr:uid="{00000000-0005-0000-0000-00007D580000}"/>
    <cellStyle name="RowTitles-Detail 4 3 3 8 2" xfId="22635" xr:uid="{00000000-0005-0000-0000-00007E580000}"/>
    <cellStyle name="RowTitles-Detail 4 3 3 8 2 2" xfId="22636" xr:uid="{00000000-0005-0000-0000-00007F580000}"/>
    <cellStyle name="RowTitles-Detail 4 3 3 8 2_Tertiary Salaries Survey" xfId="22637" xr:uid="{00000000-0005-0000-0000-000080580000}"/>
    <cellStyle name="RowTitles-Detail 4 3 3 8 3" xfId="22638" xr:uid="{00000000-0005-0000-0000-000081580000}"/>
    <cellStyle name="RowTitles-Detail 4 3 3 8_Tertiary Salaries Survey" xfId="22639" xr:uid="{00000000-0005-0000-0000-000082580000}"/>
    <cellStyle name="RowTitles-Detail 4 3 3 9" xfId="22640" xr:uid="{00000000-0005-0000-0000-000083580000}"/>
    <cellStyle name="RowTitles-Detail 4 3 3_STUD aligned by INSTIT" xfId="22641" xr:uid="{00000000-0005-0000-0000-000084580000}"/>
    <cellStyle name="RowTitles-Detail 4 3 4" xfId="22642" xr:uid="{00000000-0005-0000-0000-000085580000}"/>
    <cellStyle name="RowTitles-Detail 4 3 4 2" xfId="22643" xr:uid="{00000000-0005-0000-0000-000086580000}"/>
    <cellStyle name="RowTitles-Detail 4 3 4 2 2" xfId="22644" xr:uid="{00000000-0005-0000-0000-000087580000}"/>
    <cellStyle name="RowTitles-Detail 4 3 4 2 2 2" xfId="22645" xr:uid="{00000000-0005-0000-0000-000088580000}"/>
    <cellStyle name="RowTitles-Detail 4 3 4 2 2 2 2" xfId="22646" xr:uid="{00000000-0005-0000-0000-000089580000}"/>
    <cellStyle name="RowTitles-Detail 4 3 4 2 2 2_Tertiary Salaries Survey" xfId="22647" xr:uid="{00000000-0005-0000-0000-00008A580000}"/>
    <cellStyle name="RowTitles-Detail 4 3 4 2 2 3" xfId="22648" xr:uid="{00000000-0005-0000-0000-00008B580000}"/>
    <cellStyle name="RowTitles-Detail 4 3 4 2 2_Tertiary Salaries Survey" xfId="22649" xr:uid="{00000000-0005-0000-0000-00008C580000}"/>
    <cellStyle name="RowTitles-Detail 4 3 4 2 3" xfId="22650" xr:uid="{00000000-0005-0000-0000-00008D580000}"/>
    <cellStyle name="RowTitles-Detail 4 3 4 2 3 2" xfId="22651" xr:uid="{00000000-0005-0000-0000-00008E580000}"/>
    <cellStyle name="RowTitles-Detail 4 3 4 2 3 2 2" xfId="22652" xr:uid="{00000000-0005-0000-0000-00008F580000}"/>
    <cellStyle name="RowTitles-Detail 4 3 4 2 3 2_Tertiary Salaries Survey" xfId="22653" xr:uid="{00000000-0005-0000-0000-000090580000}"/>
    <cellStyle name="RowTitles-Detail 4 3 4 2 3 3" xfId="22654" xr:uid="{00000000-0005-0000-0000-000091580000}"/>
    <cellStyle name="RowTitles-Detail 4 3 4 2 3_Tertiary Salaries Survey" xfId="22655" xr:uid="{00000000-0005-0000-0000-000092580000}"/>
    <cellStyle name="RowTitles-Detail 4 3 4 2 4" xfId="22656" xr:uid="{00000000-0005-0000-0000-000093580000}"/>
    <cellStyle name="RowTitles-Detail 4 3 4 2 5" xfId="22657" xr:uid="{00000000-0005-0000-0000-000094580000}"/>
    <cellStyle name="RowTitles-Detail 4 3 4 2 5 2" xfId="22658" xr:uid="{00000000-0005-0000-0000-000095580000}"/>
    <cellStyle name="RowTitles-Detail 4 3 4 2 5_Tertiary Salaries Survey" xfId="22659" xr:uid="{00000000-0005-0000-0000-000096580000}"/>
    <cellStyle name="RowTitles-Detail 4 3 4 2 6" xfId="22660" xr:uid="{00000000-0005-0000-0000-000097580000}"/>
    <cellStyle name="RowTitles-Detail 4 3 4 2_Tertiary Salaries Survey" xfId="22661" xr:uid="{00000000-0005-0000-0000-000098580000}"/>
    <cellStyle name="RowTitles-Detail 4 3 4 3" xfId="22662" xr:uid="{00000000-0005-0000-0000-000099580000}"/>
    <cellStyle name="RowTitles-Detail 4 3 4 3 2" xfId="22663" xr:uid="{00000000-0005-0000-0000-00009A580000}"/>
    <cellStyle name="RowTitles-Detail 4 3 4 3 2 2" xfId="22664" xr:uid="{00000000-0005-0000-0000-00009B580000}"/>
    <cellStyle name="RowTitles-Detail 4 3 4 3 2 2 2" xfId="22665" xr:uid="{00000000-0005-0000-0000-00009C580000}"/>
    <cellStyle name="RowTitles-Detail 4 3 4 3 2 2_Tertiary Salaries Survey" xfId="22666" xr:uid="{00000000-0005-0000-0000-00009D580000}"/>
    <cellStyle name="RowTitles-Detail 4 3 4 3 2 3" xfId="22667" xr:uid="{00000000-0005-0000-0000-00009E580000}"/>
    <cellStyle name="RowTitles-Detail 4 3 4 3 2_Tertiary Salaries Survey" xfId="22668" xr:uid="{00000000-0005-0000-0000-00009F580000}"/>
    <cellStyle name="RowTitles-Detail 4 3 4 3 3" xfId="22669" xr:uid="{00000000-0005-0000-0000-0000A0580000}"/>
    <cellStyle name="RowTitles-Detail 4 3 4 3 3 2" xfId="22670" xr:uid="{00000000-0005-0000-0000-0000A1580000}"/>
    <cellStyle name="RowTitles-Detail 4 3 4 3 3 2 2" xfId="22671" xr:uid="{00000000-0005-0000-0000-0000A2580000}"/>
    <cellStyle name="RowTitles-Detail 4 3 4 3 3 2_Tertiary Salaries Survey" xfId="22672" xr:uid="{00000000-0005-0000-0000-0000A3580000}"/>
    <cellStyle name="RowTitles-Detail 4 3 4 3 3 3" xfId="22673" xr:uid="{00000000-0005-0000-0000-0000A4580000}"/>
    <cellStyle name="RowTitles-Detail 4 3 4 3 3_Tertiary Salaries Survey" xfId="22674" xr:uid="{00000000-0005-0000-0000-0000A5580000}"/>
    <cellStyle name="RowTitles-Detail 4 3 4 3 4" xfId="22675" xr:uid="{00000000-0005-0000-0000-0000A6580000}"/>
    <cellStyle name="RowTitles-Detail 4 3 4 3 5" xfId="22676" xr:uid="{00000000-0005-0000-0000-0000A7580000}"/>
    <cellStyle name="RowTitles-Detail 4 3 4 3_Tertiary Salaries Survey" xfId="22677" xr:uid="{00000000-0005-0000-0000-0000A8580000}"/>
    <cellStyle name="RowTitles-Detail 4 3 4 4" xfId="22678" xr:uid="{00000000-0005-0000-0000-0000A9580000}"/>
    <cellStyle name="RowTitles-Detail 4 3 4 4 2" xfId="22679" xr:uid="{00000000-0005-0000-0000-0000AA580000}"/>
    <cellStyle name="RowTitles-Detail 4 3 4 4 2 2" xfId="22680" xr:uid="{00000000-0005-0000-0000-0000AB580000}"/>
    <cellStyle name="RowTitles-Detail 4 3 4 4 2 2 2" xfId="22681" xr:uid="{00000000-0005-0000-0000-0000AC580000}"/>
    <cellStyle name="RowTitles-Detail 4 3 4 4 2 2_Tertiary Salaries Survey" xfId="22682" xr:uid="{00000000-0005-0000-0000-0000AD580000}"/>
    <cellStyle name="RowTitles-Detail 4 3 4 4 2 3" xfId="22683" xr:uid="{00000000-0005-0000-0000-0000AE580000}"/>
    <cellStyle name="RowTitles-Detail 4 3 4 4 2_Tertiary Salaries Survey" xfId="22684" xr:uid="{00000000-0005-0000-0000-0000AF580000}"/>
    <cellStyle name="RowTitles-Detail 4 3 4 4 3" xfId="22685" xr:uid="{00000000-0005-0000-0000-0000B0580000}"/>
    <cellStyle name="RowTitles-Detail 4 3 4 4 3 2" xfId="22686" xr:uid="{00000000-0005-0000-0000-0000B1580000}"/>
    <cellStyle name="RowTitles-Detail 4 3 4 4 3 2 2" xfId="22687" xr:uid="{00000000-0005-0000-0000-0000B2580000}"/>
    <cellStyle name="RowTitles-Detail 4 3 4 4 3 2_Tertiary Salaries Survey" xfId="22688" xr:uid="{00000000-0005-0000-0000-0000B3580000}"/>
    <cellStyle name="RowTitles-Detail 4 3 4 4 3 3" xfId="22689" xr:uid="{00000000-0005-0000-0000-0000B4580000}"/>
    <cellStyle name="RowTitles-Detail 4 3 4 4 3_Tertiary Salaries Survey" xfId="22690" xr:uid="{00000000-0005-0000-0000-0000B5580000}"/>
    <cellStyle name="RowTitles-Detail 4 3 4 4 4" xfId="22691" xr:uid="{00000000-0005-0000-0000-0000B6580000}"/>
    <cellStyle name="RowTitles-Detail 4 3 4 4 5" xfId="22692" xr:uid="{00000000-0005-0000-0000-0000B7580000}"/>
    <cellStyle name="RowTitles-Detail 4 3 4 4 5 2" xfId="22693" xr:uid="{00000000-0005-0000-0000-0000B8580000}"/>
    <cellStyle name="RowTitles-Detail 4 3 4 4 5_Tertiary Salaries Survey" xfId="22694" xr:uid="{00000000-0005-0000-0000-0000B9580000}"/>
    <cellStyle name="RowTitles-Detail 4 3 4 4 6" xfId="22695" xr:uid="{00000000-0005-0000-0000-0000BA580000}"/>
    <cellStyle name="RowTitles-Detail 4 3 4 4_Tertiary Salaries Survey" xfId="22696" xr:uid="{00000000-0005-0000-0000-0000BB580000}"/>
    <cellStyle name="RowTitles-Detail 4 3 4 5" xfId="22697" xr:uid="{00000000-0005-0000-0000-0000BC580000}"/>
    <cellStyle name="RowTitles-Detail 4 3 4 5 2" xfId="22698" xr:uid="{00000000-0005-0000-0000-0000BD580000}"/>
    <cellStyle name="RowTitles-Detail 4 3 4 5 2 2" xfId="22699" xr:uid="{00000000-0005-0000-0000-0000BE580000}"/>
    <cellStyle name="RowTitles-Detail 4 3 4 5 2 2 2" xfId="22700" xr:uid="{00000000-0005-0000-0000-0000BF580000}"/>
    <cellStyle name="RowTitles-Detail 4 3 4 5 2 2_Tertiary Salaries Survey" xfId="22701" xr:uid="{00000000-0005-0000-0000-0000C0580000}"/>
    <cellStyle name="RowTitles-Detail 4 3 4 5 2 3" xfId="22702" xr:uid="{00000000-0005-0000-0000-0000C1580000}"/>
    <cellStyle name="RowTitles-Detail 4 3 4 5 2_Tertiary Salaries Survey" xfId="22703" xr:uid="{00000000-0005-0000-0000-0000C2580000}"/>
    <cellStyle name="RowTitles-Detail 4 3 4 5 3" xfId="22704" xr:uid="{00000000-0005-0000-0000-0000C3580000}"/>
    <cellStyle name="RowTitles-Detail 4 3 4 5 3 2" xfId="22705" xr:uid="{00000000-0005-0000-0000-0000C4580000}"/>
    <cellStyle name="RowTitles-Detail 4 3 4 5 3 2 2" xfId="22706" xr:uid="{00000000-0005-0000-0000-0000C5580000}"/>
    <cellStyle name="RowTitles-Detail 4 3 4 5 3 2_Tertiary Salaries Survey" xfId="22707" xr:uid="{00000000-0005-0000-0000-0000C6580000}"/>
    <cellStyle name="RowTitles-Detail 4 3 4 5 3 3" xfId="22708" xr:uid="{00000000-0005-0000-0000-0000C7580000}"/>
    <cellStyle name="RowTitles-Detail 4 3 4 5 3_Tertiary Salaries Survey" xfId="22709" xr:uid="{00000000-0005-0000-0000-0000C8580000}"/>
    <cellStyle name="RowTitles-Detail 4 3 4 5 4" xfId="22710" xr:uid="{00000000-0005-0000-0000-0000C9580000}"/>
    <cellStyle name="RowTitles-Detail 4 3 4 5 4 2" xfId="22711" xr:uid="{00000000-0005-0000-0000-0000CA580000}"/>
    <cellStyle name="RowTitles-Detail 4 3 4 5 4_Tertiary Salaries Survey" xfId="22712" xr:uid="{00000000-0005-0000-0000-0000CB580000}"/>
    <cellStyle name="RowTitles-Detail 4 3 4 5 5" xfId="22713" xr:uid="{00000000-0005-0000-0000-0000CC580000}"/>
    <cellStyle name="RowTitles-Detail 4 3 4 5_Tertiary Salaries Survey" xfId="22714" xr:uid="{00000000-0005-0000-0000-0000CD580000}"/>
    <cellStyle name="RowTitles-Detail 4 3 4 6" xfId="22715" xr:uid="{00000000-0005-0000-0000-0000CE580000}"/>
    <cellStyle name="RowTitles-Detail 4 3 4 6 2" xfId="22716" xr:uid="{00000000-0005-0000-0000-0000CF580000}"/>
    <cellStyle name="RowTitles-Detail 4 3 4 6 2 2" xfId="22717" xr:uid="{00000000-0005-0000-0000-0000D0580000}"/>
    <cellStyle name="RowTitles-Detail 4 3 4 6 2 2 2" xfId="22718" xr:uid="{00000000-0005-0000-0000-0000D1580000}"/>
    <cellStyle name="RowTitles-Detail 4 3 4 6 2 2_Tertiary Salaries Survey" xfId="22719" xr:uid="{00000000-0005-0000-0000-0000D2580000}"/>
    <cellStyle name="RowTitles-Detail 4 3 4 6 2 3" xfId="22720" xr:uid="{00000000-0005-0000-0000-0000D3580000}"/>
    <cellStyle name="RowTitles-Detail 4 3 4 6 2_Tertiary Salaries Survey" xfId="22721" xr:uid="{00000000-0005-0000-0000-0000D4580000}"/>
    <cellStyle name="RowTitles-Detail 4 3 4 6 3" xfId="22722" xr:uid="{00000000-0005-0000-0000-0000D5580000}"/>
    <cellStyle name="RowTitles-Detail 4 3 4 6 3 2" xfId="22723" xr:uid="{00000000-0005-0000-0000-0000D6580000}"/>
    <cellStyle name="RowTitles-Detail 4 3 4 6 3 2 2" xfId="22724" xr:uid="{00000000-0005-0000-0000-0000D7580000}"/>
    <cellStyle name="RowTitles-Detail 4 3 4 6 3 2_Tertiary Salaries Survey" xfId="22725" xr:uid="{00000000-0005-0000-0000-0000D8580000}"/>
    <cellStyle name="RowTitles-Detail 4 3 4 6 3 3" xfId="22726" xr:uid="{00000000-0005-0000-0000-0000D9580000}"/>
    <cellStyle name="RowTitles-Detail 4 3 4 6 3_Tertiary Salaries Survey" xfId="22727" xr:uid="{00000000-0005-0000-0000-0000DA580000}"/>
    <cellStyle name="RowTitles-Detail 4 3 4 6 4" xfId="22728" xr:uid="{00000000-0005-0000-0000-0000DB580000}"/>
    <cellStyle name="RowTitles-Detail 4 3 4 6 4 2" xfId="22729" xr:uid="{00000000-0005-0000-0000-0000DC580000}"/>
    <cellStyle name="RowTitles-Detail 4 3 4 6 4_Tertiary Salaries Survey" xfId="22730" xr:uid="{00000000-0005-0000-0000-0000DD580000}"/>
    <cellStyle name="RowTitles-Detail 4 3 4 6 5" xfId="22731" xr:uid="{00000000-0005-0000-0000-0000DE580000}"/>
    <cellStyle name="RowTitles-Detail 4 3 4 6_Tertiary Salaries Survey" xfId="22732" xr:uid="{00000000-0005-0000-0000-0000DF580000}"/>
    <cellStyle name="RowTitles-Detail 4 3 4 7" xfId="22733" xr:uid="{00000000-0005-0000-0000-0000E0580000}"/>
    <cellStyle name="RowTitles-Detail 4 3 4 7 2" xfId="22734" xr:uid="{00000000-0005-0000-0000-0000E1580000}"/>
    <cellStyle name="RowTitles-Detail 4 3 4 7 2 2" xfId="22735" xr:uid="{00000000-0005-0000-0000-0000E2580000}"/>
    <cellStyle name="RowTitles-Detail 4 3 4 7 2_Tertiary Salaries Survey" xfId="22736" xr:uid="{00000000-0005-0000-0000-0000E3580000}"/>
    <cellStyle name="RowTitles-Detail 4 3 4 7 3" xfId="22737" xr:uid="{00000000-0005-0000-0000-0000E4580000}"/>
    <cellStyle name="RowTitles-Detail 4 3 4 7_Tertiary Salaries Survey" xfId="22738" xr:uid="{00000000-0005-0000-0000-0000E5580000}"/>
    <cellStyle name="RowTitles-Detail 4 3 4 8" xfId="22739" xr:uid="{00000000-0005-0000-0000-0000E6580000}"/>
    <cellStyle name="RowTitles-Detail 4 3 4 9" xfId="22740" xr:uid="{00000000-0005-0000-0000-0000E7580000}"/>
    <cellStyle name="RowTitles-Detail 4 3 4_STUD aligned by INSTIT" xfId="22741" xr:uid="{00000000-0005-0000-0000-0000E8580000}"/>
    <cellStyle name="RowTitles-Detail 4 3 5" xfId="22742" xr:uid="{00000000-0005-0000-0000-0000E9580000}"/>
    <cellStyle name="RowTitles-Detail 4 3 5 2" xfId="22743" xr:uid="{00000000-0005-0000-0000-0000EA580000}"/>
    <cellStyle name="RowTitles-Detail 4 3 5 2 2" xfId="22744" xr:uid="{00000000-0005-0000-0000-0000EB580000}"/>
    <cellStyle name="RowTitles-Detail 4 3 5 2 2 2" xfId="22745" xr:uid="{00000000-0005-0000-0000-0000EC580000}"/>
    <cellStyle name="RowTitles-Detail 4 3 5 2 2_Tertiary Salaries Survey" xfId="22746" xr:uid="{00000000-0005-0000-0000-0000ED580000}"/>
    <cellStyle name="RowTitles-Detail 4 3 5 2 3" xfId="22747" xr:uid="{00000000-0005-0000-0000-0000EE580000}"/>
    <cellStyle name="RowTitles-Detail 4 3 5 2_Tertiary Salaries Survey" xfId="22748" xr:uid="{00000000-0005-0000-0000-0000EF580000}"/>
    <cellStyle name="RowTitles-Detail 4 3 5 3" xfId="22749" xr:uid="{00000000-0005-0000-0000-0000F0580000}"/>
    <cellStyle name="RowTitles-Detail 4 3 5 3 2" xfId="22750" xr:uid="{00000000-0005-0000-0000-0000F1580000}"/>
    <cellStyle name="RowTitles-Detail 4 3 5 3 2 2" xfId="22751" xr:uid="{00000000-0005-0000-0000-0000F2580000}"/>
    <cellStyle name="RowTitles-Detail 4 3 5 3 2_Tertiary Salaries Survey" xfId="22752" xr:uid="{00000000-0005-0000-0000-0000F3580000}"/>
    <cellStyle name="RowTitles-Detail 4 3 5 3 3" xfId="22753" xr:uid="{00000000-0005-0000-0000-0000F4580000}"/>
    <cellStyle name="RowTitles-Detail 4 3 5 3_Tertiary Salaries Survey" xfId="22754" xr:uid="{00000000-0005-0000-0000-0000F5580000}"/>
    <cellStyle name="RowTitles-Detail 4 3 5 4" xfId="22755" xr:uid="{00000000-0005-0000-0000-0000F6580000}"/>
    <cellStyle name="RowTitles-Detail 4 3 5 5" xfId="22756" xr:uid="{00000000-0005-0000-0000-0000F7580000}"/>
    <cellStyle name="RowTitles-Detail 4 3 5 5 2" xfId="22757" xr:uid="{00000000-0005-0000-0000-0000F8580000}"/>
    <cellStyle name="RowTitles-Detail 4 3 5 5_Tertiary Salaries Survey" xfId="22758" xr:uid="{00000000-0005-0000-0000-0000F9580000}"/>
    <cellStyle name="RowTitles-Detail 4 3 5 6" xfId="22759" xr:uid="{00000000-0005-0000-0000-0000FA580000}"/>
    <cellStyle name="RowTitles-Detail 4 3 5_Tertiary Salaries Survey" xfId="22760" xr:uid="{00000000-0005-0000-0000-0000FB580000}"/>
    <cellStyle name="RowTitles-Detail 4 3 6" xfId="22761" xr:uid="{00000000-0005-0000-0000-0000FC580000}"/>
    <cellStyle name="RowTitles-Detail 4 3 6 2" xfId="22762" xr:uid="{00000000-0005-0000-0000-0000FD580000}"/>
    <cellStyle name="RowTitles-Detail 4 3 6 2 2" xfId="22763" xr:uid="{00000000-0005-0000-0000-0000FE580000}"/>
    <cellStyle name="RowTitles-Detail 4 3 6 2 2 2" xfId="22764" xr:uid="{00000000-0005-0000-0000-0000FF580000}"/>
    <cellStyle name="RowTitles-Detail 4 3 6 2 2_Tertiary Salaries Survey" xfId="22765" xr:uid="{00000000-0005-0000-0000-000000590000}"/>
    <cellStyle name="RowTitles-Detail 4 3 6 2 3" xfId="22766" xr:uid="{00000000-0005-0000-0000-000001590000}"/>
    <cellStyle name="RowTitles-Detail 4 3 6 2_Tertiary Salaries Survey" xfId="22767" xr:uid="{00000000-0005-0000-0000-000002590000}"/>
    <cellStyle name="RowTitles-Detail 4 3 6 3" xfId="22768" xr:uid="{00000000-0005-0000-0000-000003590000}"/>
    <cellStyle name="RowTitles-Detail 4 3 6 3 2" xfId="22769" xr:uid="{00000000-0005-0000-0000-000004590000}"/>
    <cellStyle name="RowTitles-Detail 4 3 6 3 2 2" xfId="22770" xr:uid="{00000000-0005-0000-0000-000005590000}"/>
    <cellStyle name="RowTitles-Detail 4 3 6 3 2_Tertiary Salaries Survey" xfId="22771" xr:uid="{00000000-0005-0000-0000-000006590000}"/>
    <cellStyle name="RowTitles-Detail 4 3 6 3 3" xfId="22772" xr:uid="{00000000-0005-0000-0000-000007590000}"/>
    <cellStyle name="RowTitles-Detail 4 3 6 3_Tertiary Salaries Survey" xfId="22773" xr:uid="{00000000-0005-0000-0000-000008590000}"/>
    <cellStyle name="RowTitles-Detail 4 3 6 4" xfId="22774" xr:uid="{00000000-0005-0000-0000-000009590000}"/>
    <cellStyle name="RowTitles-Detail 4 3 6 5" xfId="22775" xr:uid="{00000000-0005-0000-0000-00000A590000}"/>
    <cellStyle name="RowTitles-Detail 4 3 6_Tertiary Salaries Survey" xfId="22776" xr:uid="{00000000-0005-0000-0000-00000B590000}"/>
    <cellStyle name="RowTitles-Detail 4 3 7" xfId="22777" xr:uid="{00000000-0005-0000-0000-00000C590000}"/>
    <cellStyle name="RowTitles-Detail 4 3 7 2" xfId="22778" xr:uid="{00000000-0005-0000-0000-00000D590000}"/>
    <cellStyle name="RowTitles-Detail 4 3 7 2 2" xfId="22779" xr:uid="{00000000-0005-0000-0000-00000E590000}"/>
    <cellStyle name="RowTitles-Detail 4 3 7 2 2 2" xfId="22780" xr:uid="{00000000-0005-0000-0000-00000F590000}"/>
    <cellStyle name="RowTitles-Detail 4 3 7 2 2_Tertiary Salaries Survey" xfId="22781" xr:uid="{00000000-0005-0000-0000-000010590000}"/>
    <cellStyle name="RowTitles-Detail 4 3 7 2 3" xfId="22782" xr:uid="{00000000-0005-0000-0000-000011590000}"/>
    <cellStyle name="RowTitles-Detail 4 3 7 2_Tertiary Salaries Survey" xfId="22783" xr:uid="{00000000-0005-0000-0000-000012590000}"/>
    <cellStyle name="RowTitles-Detail 4 3 7 3" xfId="22784" xr:uid="{00000000-0005-0000-0000-000013590000}"/>
    <cellStyle name="RowTitles-Detail 4 3 7 3 2" xfId="22785" xr:uid="{00000000-0005-0000-0000-000014590000}"/>
    <cellStyle name="RowTitles-Detail 4 3 7 3 2 2" xfId="22786" xr:uid="{00000000-0005-0000-0000-000015590000}"/>
    <cellStyle name="RowTitles-Detail 4 3 7 3 2_Tertiary Salaries Survey" xfId="22787" xr:uid="{00000000-0005-0000-0000-000016590000}"/>
    <cellStyle name="RowTitles-Detail 4 3 7 3 3" xfId="22788" xr:uid="{00000000-0005-0000-0000-000017590000}"/>
    <cellStyle name="RowTitles-Detail 4 3 7 3_Tertiary Salaries Survey" xfId="22789" xr:uid="{00000000-0005-0000-0000-000018590000}"/>
    <cellStyle name="RowTitles-Detail 4 3 7 4" xfId="22790" xr:uid="{00000000-0005-0000-0000-000019590000}"/>
    <cellStyle name="RowTitles-Detail 4 3 7 5" xfId="22791" xr:uid="{00000000-0005-0000-0000-00001A590000}"/>
    <cellStyle name="RowTitles-Detail 4 3 7 5 2" xfId="22792" xr:uid="{00000000-0005-0000-0000-00001B590000}"/>
    <cellStyle name="RowTitles-Detail 4 3 7 5_Tertiary Salaries Survey" xfId="22793" xr:uid="{00000000-0005-0000-0000-00001C590000}"/>
    <cellStyle name="RowTitles-Detail 4 3 7 6" xfId="22794" xr:uid="{00000000-0005-0000-0000-00001D590000}"/>
    <cellStyle name="RowTitles-Detail 4 3 7_Tertiary Salaries Survey" xfId="22795" xr:uid="{00000000-0005-0000-0000-00001E590000}"/>
    <cellStyle name="RowTitles-Detail 4 3 8" xfId="22796" xr:uid="{00000000-0005-0000-0000-00001F590000}"/>
    <cellStyle name="RowTitles-Detail 4 3 8 2" xfId="22797" xr:uid="{00000000-0005-0000-0000-000020590000}"/>
    <cellStyle name="RowTitles-Detail 4 3 8 2 2" xfId="22798" xr:uid="{00000000-0005-0000-0000-000021590000}"/>
    <cellStyle name="RowTitles-Detail 4 3 8 2 2 2" xfId="22799" xr:uid="{00000000-0005-0000-0000-000022590000}"/>
    <cellStyle name="RowTitles-Detail 4 3 8 2 2_Tertiary Salaries Survey" xfId="22800" xr:uid="{00000000-0005-0000-0000-000023590000}"/>
    <cellStyle name="RowTitles-Detail 4 3 8 2 3" xfId="22801" xr:uid="{00000000-0005-0000-0000-000024590000}"/>
    <cellStyle name="RowTitles-Detail 4 3 8 2_Tertiary Salaries Survey" xfId="22802" xr:uid="{00000000-0005-0000-0000-000025590000}"/>
    <cellStyle name="RowTitles-Detail 4 3 8 3" xfId="22803" xr:uid="{00000000-0005-0000-0000-000026590000}"/>
    <cellStyle name="RowTitles-Detail 4 3 8 3 2" xfId="22804" xr:uid="{00000000-0005-0000-0000-000027590000}"/>
    <cellStyle name="RowTitles-Detail 4 3 8 3 2 2" xfId="22805" xr:uid="{00000000-0005-0000-0000-000028590000}"/>
    <cellStyle name="RowTitles-Detail 4 3 8 3 2_Tertiary Salaries Survey" xfId="22806" xr:uid="{00000000-0005-0000-0000-000029590000}"/>
    <cellStyle name="RowTitles-Detail 4 3 8 3 3" xfId="22807" xr:uid="{00000000-0005-0000-0000-00002A590000}"/>
    <cellStyle name="RowTitles-Detail 4 3 8 3_Tertiary Salaries Survey" xfId="22808" xr:uid="{00000000-0005-0000-0000-00002B590000}"/>
    <cellStyle name="RowTitles-Detail 4 3 8 4" xfId="22809" xr:uid="{00000000-0005-0000-0000-00002C590000}"/>
    <cellStyle name="RowTitles-Detail 4 3 8 4 2" xfId="22810" xr:uid="{00000000-0005-0000-0000-00002D590000}"/>
    <cellStyle name="RowTitles-Detail 4 3 8 4_Tertiary Salaries Survey" xfId="22811" xr:uid="{00000000-0005-0000-0000-00002E590000}"/>
    <cellStyle name="RowTitles-Detail 4 3 8 5" xfId="22812" xr:uid="{00000000-0005-0000-0000-00002F590000}"/>
    <cellStyle name="RowTitles-Detail 4 3 8_Tertiary Salaries Survey" xfId="22813" xr:uid="{00000000-0005-0000-0000-000030590000}"/>
    <cellStyle name="RowTitles-Detail 4 3 9" xfId="22814" xr:uid="{00000000-0005-0000-0000-000031590000}"/>
    <cellStyle name="RowTitles-Detail 4 3 9 2" xfId="22815" xr:uid="{00000000-0005-0000-0000-000032590000}"/>
    <cellStyle name="RowTitles-Detail 4 3 9 2 2" xfId="22816" xr:uid="{00000000-0005-0000-0000-000033590000}"/>
    <cellStyle name="RowTitles-Detail 4 3 9 2 2 2" xfId="22817" xr:uid="{00000000-0005-0000-0000-000034590000}"/>
    <cellStyle name="RowTitles-Detail 4 3 9 2 2_Tertiary Salaries Survey" xfId="22818" xr:uid="{00000000-0005-0000-0000-000035590000}"/>
    <cellStyle name="RowTitles-Detail 4 3 9 2 3" xfId="22819" xr:uid="{00000000-0005-0000-0000-000036590000}"/>
    <cellStyle name="RowTitles-Detail 4 3 9 2_Tertiary Salaries Survey" xfId="22820" xr:uid="{00000000-0005-0000-0000-000037590000}"/>
    <cellStyle name="RowTitles-Detail 4 3 9 3" xfId="22821" xr:uid="{00000000-0005-0000-0000-000038590000}"/>
    <cellStyle name="RowTitles-Detail 4 3 9 3 2" xfId="22822" xr:uid="{00000000-0005-0000-0000-000039590000}"/>
    <cellStyle name="RowTitles-Detail 4 3 9 3 2 2" xfId="22823" xr:uid="{00000000-0005-0000-0000-00003A590000}"/>
    <cellStyle name="RowTitles-Detail 4 3 9 3 2_Tertiary Salaries Survey" xfId="22824" xr:uid="{00000000-0005-0000-0000-00003B590000}"/>
    <cellStyle name="RowTitles-Detail 4 3 9 3 3" xfId="22825" xr:uid="{00000000-0005-0000-0000-00003C590000}"/>
    <cellStyle name="RowTitles-Detail 4 3 9 3_Tertiary Salaries Survey" xfId="22826" xr:uid="{00000000-0005-0000-0000-00003D590000}"/>
    <cellStyle name="RowTitles-Detail 4 3 9 4" xfId="22827" xr:uid="{00000000-0005-0000-0000-00003E590000}"/>
    <cellStyle name="RowTitles-Detail 4 3 9 4 2" xfId="22828" xr:uid="{00000000-0005-0000-0000-00003F590000}"/>
    <cellStyle name="RowTitles-Detail 4 3 9 4_Tertiary Salaries Survey" xfId="22829" xr:uid="{00000000-0005-0000-0000-000040590000}"/>
    <cellStyle name="RowTitles-Detail 4 3 9 5" xfId="22830" xr:uid="{00000000-0005-0000-0000-000041590000}"/>
    <cellStyle name="RowTitles-Detail 4 3 9_Tertiary Salaries Survey" xfId="22831" xr:uid="{00000000-0005-0000-0000-000042590000}"/>
    <cellStyle name="RowTitles-Detail 4 3_STUD aligned by INSTIT" xfId="22832" xr:uid="{00000000-0005-0000-0000-000043590000}"/>
    <cellStyle name="RowTitles-Detail 4 4" xfId="22833" xr:uid="{00000000-0005-0000-0000-000044590000}"/>
    <cellStyle name="RowTitles-Detail 4 4 2" xfId="22834" xr:uid="{00000000-0005-0000-0000-000045590000}"/>
    <cellStyle name="RowTitles-Detail 4 4 2 2" xfId="22835" xr:uid="{00000000-0005-0000-0000-000046590000}"/>
    <cellStyle name="RowTitles-Detail 4 4 2 2 2" xfId="22836" xr:uid="{00000000-0005-0000-0000-000047590000}"/>
    <cellStyle name="RowTitles-Detail 4 4 2 2 2 2" xfId="22837" xr:uid="{00000000-0005-0000-0000-000048590000}"/>
    <cellStyle name="RowTitles-Detail 4 4 2 2 2_Tertiary Salaries Survey" xfId="22838" xr:uid="{00000000-0005-0000-0000-000049590000}"/>
    <cellStyle name="RowTitles-Detail 4 4 2 2 3" xfId="22839" xr:uid="{00000000-0005-0000-0000-00004A590000}"/>
    <cellStyle name="RowTitles-Detail 4 4 2 2_Tertiary Salaries Survey" xfId="22840" xr:uid="{00000000-0005-0000-0000-00004B590000}"/>
    <cellStyle name="RowTitles-Detail 4 4 2 3" xfId="22841" xr:uid="{00000000-0005-0000-0000-00004C590000}"/>
    <cellStyle name="RowTitles-Detail 4 4 2 3 2" xfId="22842" xr:uid="{00000000-0005-0000-0000-00004D590000}"/>
    <cellStyle name="RowTitles-Detail 4 4 2 3 2 2" xfId="22843" xr:uid="{00000000-0005-0000-0000-00004E590000}"/>
    <cellStyle name="RowTitles-Detail 4 4 2 3 2_Tertiary Salaries Survey" xfId="22844" xr:uid="{00000000-0005-0000-0000-00004F590000}"/>
    <cellStyle name="RowTitles-Detail 4 4 2 3 3" xfId="22845" xr:uid="{00000000-0005-0000-0000-000050590000}"/>
    <cellStyle name="RowTitles-Detail 4 4 2 3_Tertiary Salaries Survey" xfId="22846" xr:uid="{00000000-0005-0000-0000-000051590000}"/>
    <cellStyle name="RowTitles-Detail 4 4 2 4" xfId="22847" xr:uid="{00000000-0005-0000-0000-000052590000}"/>
    <cellStyle name="RowTitles-Detail 4 4 2 5" xfId="22848" xr:uid="{00000000-0005-0000-0000-000053590000}"/>
    <cellStyle name="RowTitles-Detail 4 4 2_Tertiary Salaries Survey" xfId="22849" xr:uid="{00000000-0005-0000-0000-000054590000}"/>
    <cellStyle name="RowTitles-Detail 4 4 3" xfId="22850" xr:uid="{00000000-0005-0000-0000-000055590000}"/>
    <cellStyle name="RowTitles-Detail 4 4 3 2" xfId="22851" xr:uid="{00000000-0005-0000-0000-000056590000}"/>
    <cellStyle name="RowTitles-Detail 4 4 3 2 2" xfId="22852" xr:uid="{00000000-0005-0000-0000-000057590000}"/>
    <cellStyle name="RowTitles-Detail 4 4 3 2 2 2" xfId="22853" xr:uid="{00000000-0005-0000-0000-000058590000}"/>
    <cellStyle name="RowTitles-Detail 4 4 3 2 2_Tertiary Salaries Survey" xfId="22854" xr:uid="{00000000-0005-0000-0000-000059590000}"/>
    <cellStyle name="RowTitles-Detail 4 4 3 2 3" xfId="22855" xr:uid="{00000000-0005-0000-0000-00005A590000}"/>
    <cellStyle name="RowTitles-Detail 4 4 3 2_Tertiary Salaries Survey" xfId="22856" xr:uid="{00000000-0005-0000-0000-00005B590000}"/>
    <cellStyle name="RowTitles-Detail 4 4 3 3" xfId="22857" xr:uid="{00000000-0005-0000-0000-00005C590000}"/>
    <cellStyle name="RowTitles-Detail 4 4 3 3 2" xfId="22858" xr:uid="{00000000-0005-0000-0000-00005D590000}"/>
    <cellStyle name="RowTitles-Detail 4 4 3 3 2 2" xfId="22859" xr:uid="{00000000-0005-0000-0000-00005E590000}"/>
    <cellStyle name="RowTitles-Detail 4 4 3 3 2_Tertiary Salaries Survey" xfId="22860" xr:uid="{00000000-0005-0000-0000-00005F590000}"/>
    <cellStyle name="RowTitles-Detail 4 4 3 3 3" xfId="22861" xr:uid="{00000000-0005-0000-0000-000060590000}"/>
    <cellStyle name="RowTitles-Detail 4 4 3 3_Tertiary Salaries Survey" xfId="22862" xr:uid="{00000000-0005-0000-0000-000061590000}"/>
    <cellStyle name="RowTitles-Detail 4 4 3 4" xfId="22863" xr:uid="{00000000-0005-0000-0000-000062590000}"/>
    <cellStyle name="RowTitles-Detail 4 4 3 5" xfId="22864" xr:uid="{00000000-0005-0000-0000-000063590000}"/>
    <cellStyle name="RowTitles-Detail 4 4 3 5 2" xfId="22865" xr:uid="{00000000-0005-0000-0000-000064590000}"/>
    <cellStyle name="RowTitles-Detail 4 4 3 5_Tertiary Salaries Survey" xfId="22866" xr:uid="{00000000-0005-0000-0000-000065590000}"/>
    <cellStyle name="RowTitles-Detail 4 4 3 6" xfId="22867" xr:uid="{00000000-0005-0000-0000-000066590000}"/>
    <cellStyle name="RowTitles-Detail 4 4 3_Tertiary Salaries Survey" xfId="22868" xr:uid="{00000000-0005-0000-0000-000067590000}"/>
    <cellStyle name="RowTitles-Detail 4 4 4" xfId="22869" xr:uid="{00000000-0005-0000-0000-000068590000}"/>
    <cellStyle name="RowTitles-Detail 4 4 4 2" xfId="22870" xr:uid="{00000000-0005-0000-0000-000069590000}"/>
    <cellStyle name="RowTitles-Detail 4 4 4 2 2" xfId="22871" xr:uid="{00000000-0005-0000-0000-00006A590000}"/>
    <cellStyle name="RowTitles-Detail 4 4 4 2 2 2" xfId="22872" xr:uid="{00000000-0005-0000-0000-00006B590000}"/>
    <cellStyle name="RowTitles-Detail 4 4 4 2 2_Tertiary Salaries Survey" xfId="22873" xr:uid="{00000000-0005-0000-0000-00006C590000}"/>
    <cellStyle name="RowTitles-Detail 4 4 4 2 3" xfId="22874" xr:uid="{00000000-0005-0000-0000-00006D590000}"/>
    <cellStyle name="RowTitles-Detail 4 4 4 2_Tertiary Salaries Survey" xfId="22875" xr:uid="{00000000-0005-0000-0000-00006E590000}"/>
    <cellStyle name="RowTitles-Detail 4 4 4 3" xfId="22876" xr:uid="{00000000-0005-0000-0000-00006F590000}"/>
    <cellStyle name="RowTitles-Detail 4 4 4 3 2" xfId="22877" xr:uid="{00000000-0005-0000-0000-000070590000}"/>
    <cellStyle name="RowTitles-Detail 4 4 4 3 2 2" xfId="22878" xr:uid="{00000000-0005-0000-0000-000071590000}"/>
    <cellStyle name="RowTitles-Detail 4 4 4 3 2_Tertiary Salaries Survey" xfId="22879" xr:uid="{00000000-0005-0000-0000-000072590000}"/>
    <cellStyle name="RowTitles-Detail 4 4 4 3 3" xfId="22880" xr:uid="{00000000-0005-0000-0000-000073590000}"/>
    <cellStyle name="RowTitles-Detail 4 4 4 3_Tertiary Salaries Survey" xfId="22881" xr:uid="{00000000-0005-0000-0000-000074590000}"/>
    <cellStyle name="RowTitles-Detail 4 4 4 4" xfId="22882" xr:uid="{00000000-0005-0000-0000-000075590000}"/>
    <cellStyle name="RowTitles-Detail 4 4 4 4 2" xfId="22883" xr:uid="{00000000-0005-0000-0000-000076590000}"/>
    <cellStyle name="RowTitles-Detail 4 4 4 4_Tertiary Salaries Survey" xfId="22884" xr:uid="{00000000-0005-0000-0000-000077590000}"/>
    <cellStyle name="RowTitles-Detail 4 4 4 5" xfId="22885" xr:uid="{00000000-0005-0000-0000-000078590000}"/>
    <cellStyle name="RowTitles-Detail 4 4 4_Tertiary Salaries Survey" xfId="22886" xr:uid="{00000000-0005-0000-0000-000079590000}"/>
    <cellStyle name="RowTitles-Detail 4 4 5" xfId="22887" xr:uid="{00000000-0005-0000-0000-00007A590000}"/>
    <cellStyle name="RowTitles-Detail 4 4 5 2" xfId="22888" xr:uid="{00000000-0005-0000-0000-00007B590000}"/>
    <cellStyle name="RowTitles-Detail 4 4 5 2 2" xfId="22889" xr:uid="{00000000-0005-0000-0000-00007C590000}"/>
    <cellStyle name="RowTitles-Detail 4 4 5 2 2 2" xfId="22890" xr:uid="{00000000-0005-0000-0000-00007D590000}"/>
    <cellStyle name="RowTitles-Detail 4 4 5 2 2_Tertiary Salaries Survey" xfId="22891" xr:uid="{00000000-0005-0000-0000-00007E590000}"/>
    <cellStyle name="RowTitles-Detail 4 4 5 2 3" xfId="22892" xr:uid="{00000000-0005-0000-0000-00007F590000}"/>
    <cellStyle name="RowTitles-Detail 4 4 5 2_Tertiary Salaries Survey" xfId="22893" xr:uid="{00000000-0005-0000-0000-000080590000}"/>
    <cellStyle name="RowTitles-Detail 4 4 5 3" xfId="22894" xr:uid="{00000000-0005-0000-0000-000081590000}"/>
    <cellStyle name="RowTitles-Detail 4 4 5 3 2" xfId="22895" xr:uid="{00000000-0005-0000-0000-000082590000}"/>
    <cellStyle name="RowTitles-Detail 4 4 5 3 2 2" xfId="22896" xr:uid="{00000000-0005-0000-0000-000083590000}"/>
    <cellStyle name="RowTitles-Detail 4 4 5 3 2_Tertiary Salaries Survey" xfId="22897" xr:uid="{00000000-0005-0000-0000-000084590000}"/>
    <cellStyle name="RowTitles-Detail 4 4 5 3 3" xfId="22898" xr:uid="{00000000-0005-0000-0000-000085590000}"/>
    <cellStyle name="RowTitles-Detail 4 4 5 3_Tertiary Salaries Survey" xfId="22899" xr:uid="{00000000-0005-0000-0000-000086590000}"/>
    <cellStyle name="RowTitles-Detail 4 4 5 4" xfId="22900" xr:uid="{00000000-0005-0000-0000-000087590000}"/>
    <cellStyle name="RowTitles-Detail 4 4 5 4 2" xfId="22901" xr:uid="{00000000-0005-0000-0000-000088590000}"/>
    <cellStyle name="RowTitles-Detail 4 4 5 4_Tertiary Salaries Survey" xfId="22902" xr:uid="{00000000-0005-0000-0000-000089590000}"/>
    <cellStyle name="RowTitles-Detail 4 4 5 5" xfId="22903" xr:uid="{00000000-0005-0000-0000-00008A590000}"/>
    <cellStyle name="RowTitles-Detail 4 4 5_Tertiary Salaries Survey" xfId="22904" xr:uid="{00000000-0005-0000-0000-00008B590000}"/>
    <cellStyle name="RowTitles-Detail 4 4 6" xfId="22905" xr:uid="{00000000-0005-0000-0000-00008C590000}"/>
    <cellStyle name="RowTitles-Detail 4 4 6 2" xfId="22906" xr:uid="{00000000-0005-0000-0000-00008D590000}"/>
    <cellStyle name="RowTitles-Detail 4 4 6 2 2" xfId="22907" xr:uid="{00000000-0005-0000-0000-00008E590000}"/>
    <cellStyle name="RowTitles-Detail 4 4 6 2 2 2" xfId="22908" xr:uid="{00000000-0005-0000-0000-00008F590000}"/>
    <cellStyle name="RowTitles-Detail 4 4 6 2 2_Tertiary Salaries Survey" xfId="22909" xr:uid="{00000000-0005-0000-0000-000090590000}"/>
    <cellStyle name="RowTitles-Detail 4 4 6 2 3" xfId="22910" xr:uid="{00000000-0005-0000-0000-000091590000}"/>
    <cellStyle name="RowTitles-Detail 4 4 6 2_Tertiary Salaries Survey" xfId="22911" xr:uid="{00000000-0005-0000-0000-000092590000}"/>
    <cellStyle name="RowTitles-Detail 4 4 6 3" xfId="22912" xr:uid="{00000000-0005-0000-0000-000093590000}"/>
    <cellStyle name="RowTitles-Detail 4 4 6 3 2" xfId="22913" xr:uid="{00000000-0005-0000-0000-000094590000}"/>
    <cellStyle name="RowTitles-Detail 4 4 6 3 2 2" xfId="22914" xr:uid="{00000000-0005-0000-0000-000095590000}"/>
    <cellStyle name="RowTitles-Detail 4 4 6 3 2_Tertiary Salaries Survey" xfId="22915" xr:uid="{00000000-0005-0000-0000-000096590000}"/>
    <cellStyle name="RowTitles-Detail 4 4 6 3 3" xfId="22916" xr:uid="{00000000-0005-0000-0000-000097590000}"/>
    <cellStyle name="RowTitles-Detail 4 4 6 3_Tertiary Salaries Survey" xfId="22917" xr:uid="{00000000-0005-0000-0000-000098590000}"/>
    <cellStyle name="RowTitles-Detail 4 4 6 4" xfId="22918" xr:uid="{00000000-0005-0000-0000-000099590000}"/>
    <cellStyle name="RowTitles-Detail 4 4 6 4 2" xfId="22919" xr:uid="{00000000-0005-0000-0000-00009A590000}"/>
    <cellStyle name="RowTitles-Detail 4 4 6 4_Tertiary Salaries Survey" xfId="22920" xr:uid="{00000000-0005-0000-0000-00009B590000}"/>
    <cellStyle name="RowTitles-Detail 4 4 6 5" xfId="22921" xr:uid="{00000000-0005-0000-0000-00009C590000}"/>
    <cellStyle name="RowTitles-Detail 4 4 6_Tertiary Salaries Survey" xfId="22922" xr:uid="{00000000-0005-0000-0000-00009D590000}"/>
    <cellStyle name="RowTitles-Detail 4 4 7" xfId="22923" xr:uid="{00000000-0005-0000-0000-00009E590000}"/>
    <cellStyle name="RowTitles-Detail 4 4 7 2" xfId="22924" xr:uid="{00000000-0005-0000-0000-00009F590000}"/>
    <cellStyle name="RowTitles-Detail 4 4 7 2 2" xfId="22925" xr:uid="{00000000-0005-0000-0000-0000A0590000}"/>
    <cellStyle name="RowTitles-Detail 4 4 7 2_Tertiary Salaries Survey" xfId="22926" xr:uid="{00000000-0005-0000-0000-0000A1590000}"/>
    <cellStyle name="RowTitles-Detail 4 4 7 3" xfId="22927" xr:uid="{00000000-0005-0000-0000-0000A2590000}"/>
    <cellStyle name="RowTitles-Detail 4 4 7_Tertiary Salaries Survey" xfId="22928" xr:uid="{00000000-0005-0000-0000-0000A3590000}"/>
    <cellStyle name="RowTitles-Detail 4 4 8" xfId="22929" xr:uid="{00000000-0005-0000-0000-0000A4590000}"/>
    <cellStyle name="RowTitles-Detail 4 4 9" xfId="22930" xr:uid="{00000000-0005-0000-0000-0000A5590000}"/>
    <cellStyle name="RowTitles-Detail 4 4_STUD aligned by INSTIT" xfId="22931" xr:uid="{00000000-0005-0000-0000-0000A6590000}"/>
    <cellStyle name="RowTitles-Detail 4 5" xfId="22932" xr:uid="{00000000-0005-0000-0000-0000A7590000}"/>
    <cellStyle name="RowTitles-Detail 4 5 2" xfId="22933" xr:uid="{00000000-0005-0000-0000-0000A8590000}"/>
    <cellStyle name="RowTitles-Detail 4 5 2 2" xfId="22934" xr:uid="{00000000-0005-0000-0000-0000A9590000}"/>
    <cellStyle name="RowTitles-Detail 4 5 2 2 2" xfId="22935" xr:uid="{00000000-0005-0000-0000-0000AA590000}"/>
    <cellStyle name="RowTitles-Detail 4 5 2 2 2 2" xfId="22936" xr:uid="{00000000-0005-0000-0000-0000AB590000}"/>
    <cellStyle name="RowTitles-Detail 4 5 2 2 2_Tertiary Salaries Survey" xfId="22937" xr:uid="{00000000-0005-0000-0000-0000AC590000}"/>
    <cellStyle name="RowTitles-Detail 4 5 2 2 3" xfId="22938" xr:uid="{00000000-0005-0000-0000-0000AD590000}"/>
    <cellStyle name="RowTitles-Detail 4 5 2 2_Tertiary Salaries Survey" xfId="22939" xr:uid="{00000000-0005-0000-0000-0000AE590000}"/>
    <cellStyle name="RowTitles-Detail 4 5 2 3" xfId="22940" xr:uid="{00000000-0005-0000-0000-0000AF590000}"/>
    <cellStyle name="RowTitles-Detail 4 5 2 3 2" xfId="22941" xr:uid="{00000000-0005-0000-0000-0000B0590000}"/>
    <cellStyle name="RowTitles-Detail 4 5 2 3 2 2" xfId="22942" xr:uid="{00000000-0005-0000-0000-0000B1590000}"/>
    <cellStyle name="RowTitles-Detail 4 5 2 3 2_Tertiary Salaries Survey" xfId="22943" xr:uid="{00000000-0005-0000-0000-0000B2590000}"/>
    <cellStyle name="RowTitles-Detail 4 5 2 3 3" xfId="22944" xr:uid="{00000000-0005-0000-0000-0000B3590000}"/>
    <cellStyle name="RowTitles-Detail 4 5 2 3_Tertiary Salaries Survey" xfId="22945" xr:uid="{00000000-0005-0000-0000-0000B4590000}"/>
    <cellStyle name="RowTitles-Detail 4 5 2 4" xfId="22946" xr:uid="{00000000-0005-0000-0000-0000B5590000}"/>
    <cellStyle name="RowTitles-Detail 4 5 2 5" xfId="22947" xr:uid="{00000000-0005-0000-0000-0000B6590000}"/>
    <cellStyle name="RowTitles-Detail 4 5 2 5 2" xfId="22948" xr:uid="{00000000-0005-0000-0000-0000B7590000}"/>
    <cellStyle name="RowTitles-Detail 4 5 2 5_Tertiary Salaries Survey" xfId="22949" xr:uid="{00000000-0005-0000-0000-0000B8590000}"/>
    <cellStyle name="RowTitles-Detail 4 5 2 6" xfId="22950" xr:uid="{00000000-0005-0000-0000-0000B9590000}"/>
    <cellStyle name="RowTitles-Detail 4 5 2_Tertiary Salaries Survey" xfId="22951" xr:uid="{00000000-0005-0000-0000-0000BA590000}"/>
    <cellStyle name="RowTitles-Detail 4 5 3" xfId="22952" xr:uid="{00000000-0005-0000-0000-0000BB590000}"/>
    <cellStyle name="RowTitles-Detail 4 5 3 2" xfId="22953" xr:uid="{00000000-0005-0000-0000-0000BC590000}"/>
    <cellStyle name="RowTitles-Detail 4 5 3 2 2" xfId="22954" xr:uid="{00000000-0005-0000-0000-0000BD590000}"/>
    <cellStyle name="RowTitles-Detail 4 5 3 2 2 2" xfId="22955" xr:uid="{00000000-0005-0000-0000-0000BE590000}"/>
    <cellStyle name="RowTitles-Detail 4 5 3 2 2_Tertiary Salaries Survey" xfId="22956" xr:uid="{00000000-0005-0000-0000-0000BF590000}"/>
    <cellStyle name="RowTitles-Detail 4 5 3 2 3" xfId="22957" xr:uid="{00000000-0005-0000-0000-0000C0590000}"/>
    <cellStyle name="RowTitles-Detail 4 5 3 2_Tertiary Salaries Survey" xfId="22958" xr:uid="{00000000-0005-0000-0000-0000C1590000}"/>
    <cellStyle name="RowTitles-Detail 4 5 3 3" xfId="22959" xr:uid="{00000000-0005-0000-0000-0000C2590000}"/>
    <cellStyle name="RowTitles-Detail 4 5 3 3 2" xfId="22960" xr:uid="{00000000-0005-0000-0000-0000C3590000}"/>
    <cellStyle name="RowTitles-Detail 4 5 3 3 2 2" xfId="22961" xr:uid="{00000000-0005-0000-0000-0000C4590000}"/>
    <cellStyle name="RowTitles-Detail 4 5 3 3 2_Tertiary Salaries Survey" xfId="22962" xr:uid="{00000000-0005-0000-0000-0000C5590000}"/>
    <cellStyle name="RowTitles-Detail 4 5 3 3 3" xfId="22963" xr:uid="{00000000-0005-0000-0000-0000C6590000}"/>
    <cellStyle name="RowTitles-Detail 4 5 3 3_Tertiary Salaries Survey" xfId="22964" xr:uid="{00000000-0005-0000-0000-0000C7590000}"/>
    <cellStyle name="RowTitles-Detail 4 5 3 4" xfId="22965" xr:uid="{00000000-0005-0000-0000-0000C8590000}"/>
    <cellStyle name="RowTitles-Detail 4 5 3 5" xfId="22966" xr:uid="{00000000-0005-0000-0000-0000C9590000}"/>
    <cellStyle name="RowTitles-Detail 4 5 3_Tertiary Salaries Survey" xfId="22967" xr:uid="{00000000-0005-0000-0000-0000CA590000}"/>
    <cellStyle name="RowTitles-Detail 4 5 4" xfId="22968" xr:uid="{00000000-0005-0000-0000-0000CB590000}"/>
    <cellStyle name="RowTitles-Detail 4 5 4 2" xfId="22969" xr:uid="{00000000-0005-0000-0000-0000CC590000}"/>
    <cellStyle name="RowTitles-Detail 4 5 4 2 2" xfId="22970" xr:uid="{00000000-0005-0000-0000-0000CD590000}"/>
    <cellStyle name="RowTitles-Detail 4 5 4 2 2 2" xfId="22971" xr:uid="{00000000-0005-0000-0000-0000CE590000}"/>
    <cellStyle name="RowTitles-Detail 4 5 4 2 2_Tertiary Salaries Survey" xfId="22972" xr:uid="{00000000-0005-0000-0000-0000CF590000}"/>
    <cellStyle name="RowTitles-Detail 4 5 4 2 3" xfId="22973" xr:uid="{00000000-0005-0000-0000-0000D0590000}"/>
    <cellStyle name="RowTitles-Detail 4 5 4 2_Tertiary Salaries Survey" xfId="22974" xr:uid="{00000000-0005-0000-0000-0000D1590000}"/>
    <cellStyle name="RowTitles-Detail 4 5 4 3" xfId="22975" xr:uid="{00000000-0005-0000-0000-0000D2590000}"/>
    <cellStyle name="RowTitles-Detail 4 5 4 3 2" xfId="22976" xr:uid="{00000000-0005-0000-0000-0000D3590000}"/>
    <cellStyle name="RowTitles-Detail 4 5 4 3 2 2" xfId="22977" xr:uid="{00000000-0005-0000-0000-0000D4590000}"/>
    <cellStyle name="RowTitles-Detail 4 5 4 3 2_Tertiary Salaries Survey" xfId="22978" xr:uid="{00000000-0005-0000-0000-0000D5590000}"/>
    <cellStyle name="RowTitles-Detail 4 5 4 3 3" xfId="22979" xr:uid="{00000000-0005-0000-0000-0000D6590000}"/>
    <cellStyle name="RowTitles-Detail 4 5 4 3_Tertiary Salaries Survey" xfId="22980" xr:uid="{00000000-0005-0000-0000-0000D7590000}"/>
    <cellStyle name="RowTitles-Detail 4 5 4 4" xfId="22981" xr:uid="{00000000-0005-0000-0000-0000D8590000}"/>
    <cellStyle name="RowTitles-Detail 4 5 4 4 2" xfId="22982" xr:uid="{00000000-0005-0000-0000-0000D9590000}"/>
    <cellStyle name="RowTitles-Detail 4 5 4 4_Tertiary Salaries Survey" xfId="22983" xr:uid="{00000000-0005-0000-0000-0000DA590000}"/>
    <cellStyle name="RowTitles-Detail 4 5 4 5" xfId="22984" xr:uid="{00000000-0005-0000-0000-0000DB590000}"/>
    <cellStyle name="RowTitles-Detail 4 5 4_Tertiary Salaries Survey" xfId="22985" xr:uid="{00000000-0005-0000-0000-0000DC590000}"/>
    <cellStyle name="RowTitles-Detail 4 5 5" xfId="22986" xr:uid="{00000000-0005-0000-0000-0000DD590000}"/>
    <cellStyle name="RowTitles-Detail 4 5 5 2" xfId="22987" xr:uid="{00000000-0005-0000-0000-0000DE590000}"/>
    <cellStyle name="RowTitles-Detail 4 5 5 2 2" xfId="22988" xr:uid="{00000000-0005-0000-0000-0000DF590000}"/>
    <cellStyle name="RowTitles-Detail 4 5 5 2 2 2" xfId="22989" xr:uid="{00000000-0005-0000-0000-0000E0590000}"/>
    <cellStyle name="RowTitles-Detail 4 5 5 2 2_Tertiary Salaries Survey" xfId="22990" xr:uid="{00000000-0005-0000-0000-0000E1590000}"/>
    <cellStyle name="RowTitles-Detail 4 5 5 2 3" xfId="22991" xr:uid="{00000000-0005-0000-0000-0000E2590000}"/>
    <cellStyle name="RowTitles-Detail 4 5 5 2_Tertiary Salaries Survey" xfId="22992" xr:uid="{00000000-0005-0000-0000-0000E3590000}"/>
    <cellStyle name="RowTitles-Detail 4 5 5 3" xfId="22993" xr:uid="{00000000-0005-0000-0000-0000E4590000}"/>
    <cellStyle name="RowTitles-Detail 4 5 5 3 2" xfId="22994" xr:uid="{00000000-0005-0000-0000-0000E5590000}"/>
    <cellStyle name="RowTitles-Detail 4 5 5 3 2 2" xfId="22995" xr:uid="{00000000-0005-0000-0000-0000E6590000}"/>
    <cellStyle name="RowTitles-Detail 4 5 5 3 2_Tertiary Salaries Survey" xfId="22996" xr:uid="{00000000-0005-0000-0000-0000E7590000}"/>
    <cellStyle name="RowTitles-Detail 4 5 5 3 3" xfId="22997" xr:uid="{00000000-0005-0000-0000-0000E8590000}"/>
    <cellStyle name="RowTitles-Detail 4 5 5 3_Tertiary Salaries Survey" xfId="22998" xr:uid="{00000000-0005-0000-0000-0000E9590000}"/>
    <cellStyle name="RowTitles-Detail 4 5 5 4" xfId="22999" xr:uid="{00000000-0005-0000-0000-0000EA590000}"/>
    <cellStyle name="RowTitles-Detail 4 5 5 4 2" xfId="23000" xr:uid="{00000000-0005-0000-0000-0000EB590000}"/>
    <cellStyle name="RowTitles-Detail 4 5 5 4_Tertiary Salaries Survey" xfId="23001" xr:uid="{00000000-0005-0000-0000-0000EC590000}"/>
    <cellStyle name="RowTitles-Detail 4 5 5 5" xfId="23002" xr:uid="{00000000-0005-0000-0000-0000ED590000}"/>
    <cellStyle name="RowTitles-Detail 4 5 5_Tertiary Salaries Survey" xfId="23003" xr:uid="{00000000-0005-0000-0000-0000EE590000}"/>
    <cellStyle name="RowTitles-Detail 4 5 6" xfId="23004" xr:uid="{00000000-0005-0000-0000-0000EF590000}"/>
    <cellStyle name="RowTitles-Detail 4 5 6 2" xfId="23005" xr:uid="{00000000-0005-0000-0000-0000F0590000}"/>
    <cellStyle name="RowTitles-Detail 4 5 6 2 2" xfId="23006" xr:uid="{00000000-0005-0000-0000-0000F1590000}"/>
    <cellStyle name="RowTitles-Detail 4 5 6 2 2 2" xfId="23007" xr:uid="{00000000-0005-0000-0000-0000F2590000}"/>
    <cellStyle name="RowTitles-Detail 4 5 6 2 2_Tertiary Salaries Survey" xfId="23008" xr:uid="{00000000-0005-0000-0000-0000F3590000}"/>
    <cellStyle name="RowTitles-Detail 4 5 6 2 3" xfId="23009" xr:uid="{00000000-0005-0000-0000-0000F4590000}"/>
    <cellStyle name="RowTitles-Detail 4 5 6 2_Tertiary Salaries Survey" xfId="23010" xr:uid="{00000000-0005-0000-0000-0000F5590000}"/>
    <cellStyle name="RowTitles-Detail 4 5 6 3" xfId="23011" xr:uid="{00000000-0005-0000-0000-0000F6590000}"/>
    <cellStyle name="RowTitles-Detail 4 5 6 3 2" xfId="23012" xr:uid="{00000000-0005-0000-0000-0000F7590000}"/>
    <cellStyle name="RowTitles-Detail 4 5 6 3 2 2" xfId="23013" xr:uid="{00000000-0005-0000-0000-0000F8590000}"/>
    <cellStyle name="RowTitles-Detail 4 5 6 3 2_Tertiary Salaries Survey" xfId="23014" xr:uid="{00000000-0005-0000-0000-0000F9590000}"/>
    <cellStyle name="RowTitles-Detail 4 5 6 3 3" xfId="23015" xr:uid="{00000000-0005-0000-0000-0000FA590000}"/>
    <cellStyle name="RowTitles-Detail 4 5 6 3_Tertiary Salaries Survey" xfId="23016" xr:uid="{00000000-0005-0000-0000-0000FB590000}"/>
    <cellStyle name="RowTitles-Detail 4 5 6 4" xfId="23017" xr:uid="{00000000-0005-0000-0000-0000FC590000}"/>
    <cellStyle name="RowTitles-Detail 4 5 6 4 2" xfId="23018" xr:uid="{00000000-0005-0000-0000-0000FD590000}"/>
    <cellStyle name="RowTitles-Detail 4 5 6 4_Tertiary Salaries Survey" xfId="23019" xr:uid="{00000000-0005-0000-0000-0000FE590000}"/>
    <cellStyle name="RowTitles-Detail 4 5 6 5" xfId="23020" xr:uid="{00000000-0005-0000-0000-0000FF590000}"/>
    <cellStyle name="RowTitles-Detail 4 5 6_Tertiary Salaries Survey" xfId="23021" xr:uid="{00000000-0005-0000-0000-0000005A0000}"/>
    <cellStyle name="RowTitles-Detail 4 5 7" xfId="23022" xr:uid="{00000000-0005-0000-0000-0000015A0000}"/>
    <cellStyle name="RowTitles-Detail 4 5 7 2" xfId="23023" xr:uid="{00000000-0005-0000-0000-0000025A0000}"/>
    <cellStyle name="RowTitles-Detail 4 5 7 2 2" xfId="23024" xr:uid="{00000000-0005-0000-0000-0000035A0000}"/>
    <cellStyle name="RowTitles-Detail 4 5 7 2_Tertiary Salaries Survey" xfId="23025" xr:uid="{00000000-0005-0000-0000-0000045A0000}"/>
    <cellStyle name="RowTitles-Detail 4 5 7 3" xfId="23026" xr:uid="{00000000-0005-0000-0000-0000055A0000}"/>
    <cellStyle name="RowTitles-Detail 4 5 7_Tertiary Salaries Survey" xfId="23027" xr:uid="{00000000-0005-0000-0000-0000065A0000}"/>
    <cellStyle name="RowTitles-Detail 4 5 8" xfId="23028" xr:uid="{00000000-0005-0000-0000-0000075A0000}"/>
    <cellStyle name="RowTitles-Detail 4 5 8 2" xfId="23029" xr:uid="{00000000-0005-0000-0000-0000085A0000}"/>
    <cellStyle name="RowTitles-Detail 4 5 8 2 2" xfId="23030" xr:uid="{00000000-0005-0000-0000-0000095A0000}"/>
    <cellStyle name="RowTitles-Detail 4 5 8 2_Tertiary Salaries Survey" xfId="23031" xr:uid="{00000000-0005-0000-0000-00000A5A0000}"/>
    <cellStyle name="RowTitles-Detail 4 5 8 3" xfId="23032" xr:uid="{00000000-0005-0000-0000-00000B5A0000}"/>
    <cellStyle name="RowTitles-Detail 4 5 8_Tertiary Salaries Survey" xfId="23033" xr:uid="{00000000-0005-0000-0000-00000C5A0000}"/>
    <cellStyle name="RowTitles-Detail 4 5 9" xfId="23034" xr:uid="{00000000-0005-0000-0000-00000D5A0000}"/>
    <cellStyle name="RowTitles-Detail 4 5_STUD aligned by INSTIT" xfId="23035" xr:uid="{00000000-0005-0000-0000-00000E5A0000}"/>
    <cellStyle name="RowTitles-Detail 4 6" xfId="23036" xr:uid="{00000000-0005-0000-0000-00000F5A0000}"/>
    <cellStyle name="RowTitles-Detail 4 6 2" xfId="23037" xr:uid="{00000000-0005-0000-0000-0000105A0000}"/>
    <cellStyle name="RowTitles-Detail 4 6 2 2" xfId="23038" xr:uid="{00000000-0005-0000-0000-0000115A0000}"/>
    <cellStyle name="RowTitles-Detail 4 6 2 2 2" xfId="23039" xr:uid="{00000000-0005-0000-0000-0000125A0000}"/>
    <cellStyle name="RowTitles-Detail 4 6 2 2 2 2" xfId="23040" xr:uid="{00000000-0005-0000-0000-0000135A0000}"/>
    <cellStyle name="RowTitles-Detail 4 6 2 2 2_Tertiary Salaries Survey" xfId="23041" xr:uid="{00000000-0005-0000-0000-0000145A0000}"/>
    <cellStyle name="RowTitles-Detail 4 6 2 2 3" xfId="23042" xr:uid="{00000000-0005-0000-0000-0000155A0000}"/>
    <cellStyle name="RowTitles-Detail 4 6 2 2_Tertiary Salaries Survey" xfId="23043" xr:uid="{00000000-0005-0000-0000-0000165A0000}"/>
    <cellStyle name="RowTitles-Detail 4 6 2 3" xfId="23044" xr:uid="{00000000-0005-0000-0000-0000175A0000}"/>
    <cellStyle name="RowTitles-Detail 4 6 2 3 2" xfId="23045" xr:uid="{00000000-0005-0000-0000-0000185A0000}"/>
    <cellStyle name="RowTitles-Detail 4 6 2 3 2 2" xfId="23046" xr:uid="{00000000-0005-0000-0000-0000195A0000}"/>
    <cellStyle name="RowTitles-Detail 4 6 2 3 2_Tertiary Salaries Survey" xfId="23047" xr:uid="{00000000-0005-0000-0000-00001A5A0000}"/>
    <cellStyle name="RowTitles-Detail 4 6 2 3 3" xfId="23048" xr:uid="{00000000-0005-0000-0000-00001B5A0000}"/>
    <cellStyle name="RowTitles-Detail 4 6 2 3_Tertiary Salaries Survey" xfId="23049" xr:uid="{00000000-0005-0000-0000-00001C5A0000}"/>
    <cellStyle name="RowTitles-Detail 4 6 2 4" xfId="23050" xr:uid="{00000000-0005-0000-0000-00001D5A0000}"/>
    <cellStyle name="RowTitles-Detail 4 6 2 5" xfId="23051" xr:uid="{00000000-0005-0000-0000-00001E5A0000}"/>
    <cellStyle name="RowTitles-Detail 4 6 2 5 2" xfId="23052" xr:uid="{00000000-0005-0000-0000-00001F5A0000}"/>
    <cellStyle name="RowTitles-Detail 4 6 2 5_Tertiary Salaries Survey" xfId="23053" xr:uid="{00000000-0005-0000-0000-0000205A0000}"/>
    <cellStyle name="RowTitles-Detail 4 6 2 6" xfId="23054" xr:uid="{00000000-0005-0000-0000-0000215A0000}"/>
    <cellStyle name="RowTitles-Detail 4 6 2_Tertiary Salaries Survey" xfId="23055" xr:uid="{00000000-0005-0000-0000-0000225A0000}"/>
    <cellStyle name="RowTitles-Detail 4 6 3" xfId="23056" xr:uid="{00000000-0005-0000-0000-0000235A0000}"/>
    <cellStyle name="RowTitles-Detail 4 6 3 2" xfId="23057" xr:uid="{00000000-0005-0000-0000-0000245A0000}"/>
    <cellStyle name="RowTitles-Detail 4 6 3 2 2" xfId="23058" xr:uid="{00000000-0005-0000-0000-0000255A0000}"/>
    <cellStyle name="RowTitles-Detail 4 6 3 2 2 2" xfId="23059" xr:uid="{00000000-0005-0000-0000-0000265A0000}"/>
    <cellStyle name="RowTitles-Detail 4 6 3 2 2_Tertiary Salaries Survey" xfId="23060" xr:uid="{00000000-0005-0000-0000-0000275A0000}"/>
    <cellStyle name="RowTitles-Detail 4 6 3 2 3" xfId="23061" xr:uid="{00000000-0005-0000-0000-0000285A0000}"/>
    <cellStyle name="RowTitles-Detail 4 6 3 2_Tertiary Salaries Survey" xfId="23062" xr:uid="{00000000-0005-0000-0000-0000295A0000}"/>
    <cellStyle name="RowTitles-Detail 4 6 3 3" xfId="23063" xr:uid="{00000000-0005-0000-0000-00002A5A0000}"/>
    <cellStyle name="RowTitles-Detail 4 6 3 3 2" xfId="23064" xr:uid="{00000000-0005-0000-0000-00002B5A0000}"/>
    <cellStyle name="RowTitles-Detail 4 6 3 3 2 2" xfId="23065" xr:uid="{00000000-0005-0000-0000-00002C5A0000}"/>
    <cellStyle name="RowTitles-Detail 4 6 3 3 2_Tertiary Salaries Survey" xfId="23066" xr:uid="{00000000-0005-0000-0000-00002D5A0000}"/>
    <cellStyle name="RowTitles-Detail 4 6 3 3 3" xfId="23067" xr:uid="{00000000-0005-0000-0000-00002E5A0000}"/>
    <cellStyle name="RowTitles-Detail 4 6 3 3_Tertiary Salaries Survey" xfId="23068" xr:uid="{00000000-0005-0000-0000-00002F5A0000}"/>
    <cellStyle name="RowTitles-Detail 4 6 3 4" xfId="23069" xr:uid="{00000000-0005-0000-0000-0000305A0000}"/>
    <cellStyle name="RowTitles-Detail 4 6 3 5" xfId="23070" xr:uid="{00000000-0005-0000-0000-0000315A0000}"/>
    <cellStyle name="RowTitles-Detail 4 6 3_Tertiary Salaries Survey" xfId="23071" xr:uid="{00000000-0005-0000-0000-0000325A0000}"/>
    <cellStyle name="RowTitles-Detail 4 6 4" xfId="23072" xr:uid="{00000000-0005-0000-0000-0000335A0000}"/>
    <cellStyle name="RowTitles-Detail 4 6 4 2" xfId="23073" xr:uid="{00000000-0005-0000-0000-0000345A0000}"/>
    <cellStyle name="RowTitles-Detail 4 6 4 2 2" xfId="23074" xr:uid="{00000000-0005-0000-0000-0000355A0000}"/>
    <cellStyle name="RowTitles-Detail 4 6 4 2 2 2" xfId="23075" xr:uid="{00000000-0005-0000-0000-0000365A0000}"/>
    <cellStyle name="RowTitles-Detail 4 6 4 2 2_Tertiary Salaries Survey" xfId="23076" xr:uid="{00000000-0005-0000-0000-0000375A0000}"/>
    <cellStyle name="RowTitles-Detail 4 6 4 2 3" xfId="23077" xr:uid="{00000000-0005-0000-0000-0000385A0000}"/>
    <cellStyle name="RowTitles-Detail 4 6 4 2_Tertiary Salaries Survey" xfId="23078" xr:uid="{00000000-0005-0000-0000-0000395A0000}"/>
    <cellStyle name="RowTitles-Detail 4 6 4 3" xfId="23079" xr:uid="{00000000-0005-0000-0000-00003A5A0000}"/>
    <cellStyle name="RowTitles-Detail 4 6 4 3 2" xfId="23080" xr:uid="{00000000-0005-0000-0000-00003B5A0000}"/>
    <cellStyle name="RowTitles-Detail 4 6 4 3 2 2" xfId="23081" xr:uid="{00000000-0005-0000-0000-00003C5A0000}"/>
    <cellStyle name="RowTitles-Detail 4 6 4 3 2_Tertiary Salaries Survey" xfId="23082" xr:uid="{00000000-0005-0000-0000-00003D5A0000}"/>
    <cellStyle name="RowTitles-Detail 4 6 4 3 3" xfId="23083" xr:uid="{00000000-0005-0000-0000-00003E5A0000}"/>
    <cellStyle name="RowTitles-Detail 4 6 4 3_Tertiary Salaries Survey" xfId="23084" xr:uid="{00000000-0005-0000-0000-00003F5A0000}"/>
    <cellStyle name="RowTitles-Detail 4 6 4 4" xfId="23085" xr:uid="{00000000-0005-0000-0000-0000405A0000}"/>
    <cellStyle name="RowTitles-Detail 4 6 4 5" xfId="23086" xr:uid="{00000000-0005-0000-0000-0000415A0000}"/>
    <cellStyle name="RowTitles-Detail 4 6 4 5 2" xfId="23087" xr:uid="{00000000-0005-0000-0000-0000425A0000}"/>
    <cellStyle name="RowTitles-Detail 4 6 4 5_Tertiary Salaries Survey" xfId="23088" xr:uid="{00000000-0005-0000-0000-0000435A0000}"/>
    <cellStyle name="RowTitles-Detail 4 6 4 6" xfId="23089" xr:uid="{00000000-0005-0000-0000-0000445A0000}"/>
    <cellStyle name="RowTitles-Detail 4 6 4_Tertiary Salaries Survey" xfId="23090" xr:uid="{00000000-0005-0000-0000-0000455A0000}"/>
    <cellStyle name="RowTitles-Detail 4 6 5" xfId="23091" xr:uid="{00000000-0005-0000-0000-0000465A0000}"/>
    <cellStyle name="RowTitles-Detail 4 6 5 2" xfId="23092" xr:uid="{00000000-0005-0000-0000-0000475A0000}"/>
    <cellStyle name="RowTitles-Detail 4 6 5 2 2" xfId="23093" xr:uid="{00000000-0005-0000-0000-0000485A0000}"/>
    <cellStyle name="RowTitles-Detail 4 6 5 2 2 2" xfId="23094" xr:uid="{00000000-0005-0000-0000-0000495A0000}"/>
    <cellStyle name="RowTitles-Detail 4 6 5 2 2_Tertiary Salaries Survey" xfId="23095" xr:uid="{00000000-0005-0000-0000-00004A5A0000}"/>
    <cellStyle name="RowTitles-Detail 4 6 5 2 3" xfId="23096" xr:uid="{00000000-0005-0000-0000-00004B5A0000}"/>
    <cellStyle name="RowTitles-Detail 4 6 5 2_Tertiary Salaries Survey" xfId="23097" xr:uid="{00000000-0005-0000-0000-00004C5A0000}"/>
    <cellStyle name="RowTitles-Detail 4 6 5 3" xfId="23098" xr:uid="{00000000-0005-0000-0000-00004D5A0000}"/>
    <cellStyle name="RowTitles-Detail 4 6 5 3 2" xfId="23099" xr:uid="{00000000-0005-0000-0000-00004E5A0000}"/>
    <cellStyle name="RowTitles-Detail 4 6 5 3 2 2" xfId="23100" xr:uid="{00000000-0005-0000-0000-00004F5A0000}"/>
    <cellStyle name="RowTitles-Detail 4 6 5 3 2_Tertiary Salaries Survey" xfId="23101" xr:uid="{00000000-0005-0000-0000-0000505A0000}"/>
    <cellStyle name="RowTitles-Detail 4 6 5 3 3" xfId="23102" xr:uid="{00000000-0005-0000-0000-0000515A0000}"/>
    <cellStyle name="RowTitles-Detail 4 6 5 3_Tertiary Salaries Survey" xfId="23103" xr:uid="{00000000-0005-0000-0000-0000525A0000}"/>
    <cellStyle name="RowTitles-Detail 4 6 5 4" xfId="23104" xr:uid="{00000000-0005-0000-0000-0000535A0000}"/>
    <cellStyle name="RowTitles-Detail 4 6 5 4 2" xfId="23105" xr:uid="{00000000-0005-0000-0000-0000545A0000}"/>
    <cellStyle name="RowTitles-Detail 4 6 5 4_Tertiary Salaries Survey" xfId="23106" xr:uid="{00000000-0005-0000-0000-0000555A0000}"/>
    <cellStyle name="RowTitles-Detail 4 6 5 5" xfId="23107" xr:uid="{00000000-0005-0000-0000-0000565A0000}"/>
    <cellStyle name="RowTitles-Detail 4 6 5_Tertiary Salaries Survey" xfId="23108" xr:uid="{00000000-0005-0000-0000-0000575A0000}"/>
    <cellStyle name="RowTitles-Detail 4 6 6" xfId="23109" xr:uid="{00000000-0005-0000-0000-0000585A0000}"/>
    <cellStyle name="RowTitles-Detail 4 6 6 2" xfId="23110" xr:uid="{00000000-0005-0000-0000-0000595A0000}"/>
    <cellStyle name="RowTitles-Detail 4 6 6 2 2" xfId="23111" xr:uid="{00000000-0005-0000-0000-00005A5A0000}"/>
    <cellStyle name="RowTitles-Detail 4 6 6 2 2 2" xfId="23112" xr:uid="{00000000-0005-0000-0000-00005B5A0000}"/>
    <cellStyle name="RowTitles-Detail 4 6 6 2 2_Tertiary Salaries Survey" xfId="23113" xr:uid="{00000000-0005-0000-0000-00005C5A0000}"/>
    <cellStyle name="RowTitles-Detail 4 6 6 2 3" xfId="23114" xr:uid="{00000000-0005-0000-0000-00005D5A0000}"/>
    <cellStyle name="RowTitles-Detail 4 6 6 2_Tertiary Salaries Survey" xfId="23115" xr:uid="{00000000-0005-0000-0000-00005E5A0000}"/>
    <cellStyle name="RowTitles-Detail 4 6 6 3" xfId="23116" xr:uid="{00000000-0005-0000-0000-00005F5A0000}"/>
    <cellStyle name="RowTitles-Detail 4 6 6 3 2" xfId="23117" xr:uid="{00000000-0005-0000-0000-0000605A0000}"/>
    <cellStyle name="RowTitles-Detail 4 6 6 3 2 2" xfId="23118" xr:uid="{00000000-0005-0000-0000-0000615A0000}"/>
    <cellStyle name="RowTitles-Detail 4 6 6 3 2_Tertiary Salaries Survey" xfId="23119" xr:uid="{00000000-0005-0000-0000-0000625A0000}"/>
    <cellStyle name="RowTitles-Detail 4 6 6 3 3" xfId="23120" xr:uid="{00000000-0005-0000-0000-0000635A0000}"/>
    <cellStyle name="RowTitles-Detail 4 6 6 3_Tertiary Salaries Survey" xfId="23121" xr:uid="{00000000-0005-0000-0000-0000645A0000}"/>
    <cellStyle name="RowTitles-Detail 4 6 6 4" xfId="23122" xr:uid="{00000000-0005-0000-0000-0000655A0000}"/>
    <cellStyle name="RowTitles-Detail 4 6 6 4 2" xfId="23123" xr:uid="{00000000-0005-0000-0000-0000665A0000}"/>
    <cellStyle name="RowTitles-Detail 4 6 6 4_Tertiary Salaries Survey" xfId="23124" xr:uid="{00000000-0005-0000-0000-0000675A0000}"/>
    <cellStyle name="RowTitles-Detail 4 6 6 5" xfId="23125" xr:uid="{00000000-0005-0000-0000-0000685A0000}"/>
    <cellStyle name="RowTitles-Detail 4 6 6_Tertiary Salaries Survey" xfId="23126" xr:uid="{00000000-0005-0000-0000-0000695A0000}"/>
    <cellStyle name="RowTitles-Detail 4 6 7" xfId="23127" xr:uid="{00000000-0005-0000-0000-00006A5A0000}"/>
    <cellStyle name="RowTitles-Detail 4 6 7 2" xfId="23128" xr:uid="{00000000-0005-0000-0000-00006B5A0000}"/>
    <cellStyle name="RowTitles-Detail 4 6 7 2 2" xfId="23129" xr:uid="{00000000-0005-0000-0000-00006C5A0000}"/>
    <cellStyle name="RowTitles-Detail 4 6 7 2_Tertiary Salaries Survey" xfId="23130" xr:uid="{00000000-0005-0000-0000-00006D5A0000}"/>
    <cellStyle name="RowTitles-Detail 4 6 7 3" xfId="23131" xr:uid="{00000000-0005-0000-0000-00006E5A0000}"/>
    <cellStyle name="RowTitles-Detail 4 6 7_Tertiary Salaries Survey" xfId="23132" xr:uid="{00000000-0005-0000-0000-00006F5A0000}"/>
    <cellStyle name="RowTitles-Detail 4 6 8" xfId="23133" xr:uid="{00000000-0005-0000-0000-0000705A0000}"/>
    <cellStyle name="RowTitles-Detail 4 6 9" xfId="23134" xr:uid="{00000000-0005-0000-0000-0000715A0000}"/>
    <cellStyle name="RowTitles-Detail 4 6_STUD aligned by INSTIT" xfId="23135" xr:uid="{00000000-0005-0000-0000-0000725A0000}"/>
    <cellStyle name="RowTitles-Detail 4 7" xfId="23136" xr:uid="{00000000-0005-0000-0000-0000735A0000}"/>
    <cellStyle name="RowTitles-Detail 4 7 2" xfId="23137" xr:uid="{00000000-0005-0000-0000-0000745A0000}"/>
    <cellStyle name="RowTitles-Detail 4 7 2 2" xfId="23138" xr:uid="{00000000-0005-0000-0000-0000755A0000}"/>
    <cellStyle name="RowTitles-Detail 4 7 2 2 2" xfId="23139" xr:uid="{00000000-0005-0000-0000-0000765A0000}"/>
    <cellStyle name="RowTitles-Detail 4 7 2 2_Tertiary Salaries Survey" xfId="23140" xr:uid="{00000000-0005-0000-0000-0000775A0000}"/>
    <cellStyle name="RowTitles-Detail 4 7 2 3" xfId="23141" xr:uid="{00000000-0005-0000-0000-0000785A0000}"/>
    <cellStyle name="RowTitles-Detail 4 7 2_Tertiary Salaries Survey" xfId="23142" xr:uid="{00000000-0005-0000-0000-0000795A0000}"/>
    <cellStyle name="RowTitles-Detail 4 7 3" xfId="23143" xr:uid="{00000000-0005-0000-0000-00007A5A0000}"/>
    <cellStyle name="RowTitles-Detail 4 7 3 2" xfId="23144" xr:uid="{00000000-0005-0000-0000-00007B5A0000}"/>
    <cellStyle name="RowTitles-Detail 4 7 3 2 2" xfId="23145" xr:uid="{00000000-0005-0000-0000-00007C5A0000}"/>
    <cellStyle name="RowTitles-Detail 4 7 3 2_Tertiary Salaries Survey" xfId="23146" xr:uid="{00000000-0005-0000-0000-00007D5A0000}"/>
    <cellStyle name="RowTitles-Detail 4 7 3 3" xfId="23147" xr:uid="{00000000-0005-0000-0000-00007E5A0000}"/>
    <cellStyle name="RowTitles-Detail 4 7 3_Tertiary Salaries Survey" xfId="23148" xr:uid="{00000000-0005-0000-0000-00007F5A0000}"/>
    <cellStyle name="RowTitles-Detail 4 7 4" xfId="23149" xr:uid="{00000000-0005-0000-0000-0000805A0000}"/>
    <cellStyle name="RowTitles-Detail 4 7 5" xfId="23150" xr:uid="{00000000-0005-0000-0000-0000815A0000}"/>
    <cellStyle name="RowTitles-Detail 4 7 5 2" xfId="23151" xr:uid="{00000000-0005-0000-0000-0000825A0000}"/>
    <cellStyle name="RowTitles-Detail 4 7 5_Tertiary Salaries Survey" xfId="23152" xr:uid="{00000000-0005-0000-0000-0000835A0000}"/>
    <cellStyle name="RowTitles-Detail 4 7 6" xfId="23153" xr:uid="{00000000-0005-0000-0000-0000845A0000}"/>
    <cellStyle name="RowTitles-Detail 4 7_Tertiary Salaries Survey" xfId="23154" xr:uid="{00000000-0005-0000-0000-0000855A0000}"/>
    <cellStyle name="RowTitles-Detail 4 8" xfId="23155" xr:uid="{00000000-0005-0000-0000-0000865A0000}"/>
    <cellStyle name="RowTitles-Detail 4 8 2" xfId="23156" xr:uid="{00000000-0005-0000-0000-0000875A0000}"/>
    <cellStyle name="RowTitles-Detail 4 8 2 2" xfId="23157" xr:uid="{00000000-0005-0000-0000-0000885A0000}"/>
    <cellStyle name="RowTitles-Detail 4 8 2 2 2" xfId="23158" xr:uid="{00000000-0005-0000-0000-0000895A0000}"/>
    <cellStyle name="RowTitles-Detail 4 8 2 2_Tertiary Salaries Survey" xfId="23159" xr:uid="{00000000-0005-0000-0000-00008A5A0000}"/>
    <cellStyle name="RowTitles-Detail 4 8 2 3" xfId="23160" xr:uid="{00000000-0005-0000-0000-00008B5A0000}"/>
    <cellStyle name="RowTitles-Detail 4 8 2_Tertiary Salaries Survey" xfId="23161" xr:uid="{00000000-0005-0000-0000-00008C5A0000}"/>
    <cellStyle name="RowTitles-Detail 4 8 3" xfId="23162" xr:uid="{00000000-0005-0000-0000-00008D5A0000}"/>
    <cellStyle name="RowTitles-Detail 4 8 3 2" xfId="23163" xr:uid="{00000000-0005-0000-0000-00008E5A0000}"/>
    <cellStyle name="RowTitles-Detail 4 8 3 2 2" xfId="23164" xr:uid="{00000000-0005-0000-0000-00008F5A0000}"/>
    <cellStyle name="RowTitles-Detail 4 8 3 2_Tertiary Salaries Survey" xfId="23165" xr:uid="{00000000-0005-0000-0000-0000905A0000}"/>
    <cellStyle name="RowTitles-Detail 4 8 3 3" xfId="23166" xr:uid="{00000000-0005-0000-0000-0000915A0000}"/>
    <cellStyle name="RowTitles-Detail 4 8 3_Tertiary Salaries Survey" xfId="23167" xr:uid="{00000000-0005-0000-0000-0000925A0000}"/>
    <cellStyle name="RowTitles-Detail 4 8 4" xfId="23168" xr:uid="{00000000-0005-0000-0000-0000935A0000}"/>
    <cellStyle name="RowTitles-Detail 4 8 5" xfId="23169" xr:uid="{00000000-0005-0000-0000-0000945A0000}"/>
    <cellStyle name="RowTitles-Detail 4 8_Tertiary Salaries Survey" xfId="23170" xr:uid="{00000000-0005-0000-0000-0000955A0000}"/>
    <cellStyle name="RowTitles-Detail 4 9" xfId="23171" xr:uid="{00000000-0005-0000-0000-0000965A0000}"/>
    <cellStyle name="RowTitles-Detail 4 9 2" xfId="23172" xr:uid="{00000000-0005-0000-0000-0000975A0000}"/>
    <cellStyle name="RowTitles-Detail 4 9 2 2" xfId="23173" xr:uid="{00000000-0005-0000-0000-0000985A0000}"/>
    <cellStyle name="RowTitles-Detail 4 9 2 2 2" xfId="23174" xr:uid="{00000000-0005-0000-0000-0000995A0000}"/>
    <cellStyle name="RowTitles-Detail 4 9 2 2_Tertiary Salaries Survey" xfId="23175" xr:uid="{00000000-0005-0000-0000-00009A5A0000}"/>
    <cellStyle name="RowTitles-Detail 4 9 2 3" xfId="23176" xr:uid="{00000000-0005-0000-0000-00009B5A0000}"/>
    <cellStyle name="RowTitles-Detail 4 9 2_Tertiary Salaries Survey" xfId="23177" xr:uid="{00000000-0005-0000-0000-00009C5A0000}"/>
    <cellStyle name="RowTitles-Detail 4 9 3" xfId="23178" xr:uid="{00000000-0005-0000-0000-00009D5A0000}"/>
    <cellStyle name="RowTitles-Detail 4 9 3 2" xfId="23179" xr:uid="{00000000-0005-0000-0000-00009E5A0000}"/>
    <cellStyle name="RowTitles-Detail 4 9 3 2 2" xfId="23180" xr:uid="{00000000-0005-0000-0000-00009F5A0000}"/>
    <cellStyle name="RowTitles-Detail 4 9 3 2_Tertiary Salaries Survey" xfId="23181" xr:uid="{00000000-0005-0000-0000-0000A05A0000}"/>
    <cellStyle name="RowTitles-Detail 4 9 3 3" xfId="23182" xr:uid="{00000000-0005-0000-0000-0000A15A0000}"/>
    <cellStyle name="RowTitles-Detail 4 9 3_Tertiary Salaries Survey" xfId="23183" xr:uid="{00000000-0005-0000-0000-0000A25A0000}"/>
    <cellStyle name="RowTitles-Detail 4 9 4" xfId="23184" xr:uid="{00000000-0005-0000-0000-0000A35A0000}"/>
    <cellStyle name="RowTitles-Detail 4 9 5" xfId="23185" xr:uid="{00000000-0005-0000-0000-0000A45A0000}"/>
    <cellStyle name="RowTitles-Detail 4 9 5 2" xfId="23186" xr:uid="{00000000-0005-0000-0000-0000A55A0000}"/>
    <cellStyle name="RowTitles-Detail 4 9 5_Tertiary Salaries Survey" xfId="23187" xr:uid="{00000000-0005-0000-0000-0000A65A0000}"/>
    <cellStyle name="RowTitles-Detail 4 9 6" xfId="23188" xr:uid="{00000000-0005-0000-0000-0000A75A0000}"/>
    <cellStyle name="RowTitles-Detail 4 9_Tertiary Salaries Survey" xfId="23189" xr:uid="{00000000-0005-0000-0000-0000A85A0000}"/>
    <cellStyle name="RowTitles-Detail 4_STUD aligned by INSTIT" xfId="23190" xr:uid="{00000000-0005-0000-0000-0000A95A0000}"/>
    <cellStyle name="RowTitles-Detail 5" xfId="23191" xr:uid="{00000000-0005-0000-0000-0000AA5A0000}"/>
    <cellStyle name="RowTitles-Detail 5 2" xfId="23192" xr:uid="{00000000-0005-0000-0000-0000AB5A0000}"/>
    <cellStyle name="RowTitles-Detail 5 2 2" xfId="23193" xr:uid="{00000000-0005-0000-0000-0000AC5A0000}"/>
    <cellStyle name="RowTitles-Detail 5 2 2 2" xfId="23194" xr:uid="{00000000-0005-0000-0000-0000AD5A0000}"/>
    <cellStyle name="RowTitles-Detail 5 2 2 2 2" xfId="23195" xr:uid="{00000000-0005-0000-0000-0000AE5A0000}"/>
    <cellStyle name="RowTitles-Detail 5 2 2 2_Tertiary Salaries Survey" xfId="23196" xr:uid="{00000000-0005-0000-0000-0000AF5A0000}"/>
    <cellStyle name="RowTitles-Detail 5 2 2 3" xfId="23197" xr:uid="{00000000-0005-0000-0000-0000B05A0000}"/>
    <cellStyle name="RowTitles-Detail 5 2 2_Tertiary Salaries Survey" xfId="23198" xr:uid="{00000000-0005-0000-0000-0000B15A0000}"/>
    <cellStyle name="RowTitles-Detail 5 2 3" xfId="23199" xr:uid="{00000000-0005-0000-0000-0000B25A0000}"/>
    <cellStyle name="RowTitles-Detail 5 2 3 2" xfId="23200" xr:uid="{00000000-0005-0000-0000-0000B35A0000}"/>
    <cellStyle name="RowTitles-Detail 5 2 3 2 2" xfId="23201" xr:uid="{00000000-0005-0000-0000-0000B45A0000}"/>
    <cellStyle name="RowTitles-Detail 5 2 3 2_Tertiary Salaries Survey" xfId="23202" xr:uid="{00000000-0005-0000-0000-0000B55A0000}"/>
    <cellStyle name="RowTitles-Detail 5 2 3 3" xfId="23203" xr:uid="{00000000-0005-0000-0000-0000B65A0000}"/>
    <cellStyle name="RowTitles-Detail 5 2 3_Tertiary Salaries Survey" xfId="23204" xr:uid="{00000000-0005-0000-0000-0000B75A0000}"/>
    <cellStyle name="RowTitles-Detail 5 2 4" xfId="23205" xr:uid="{00000000-0005-0000-0000-0000B85A0000}"/>
    <cellStyle name="RowTitles-Detail 5 2 5" xfId="23206" xr:uid="{00000000-0005-0000-0000-0000B95A0000}"/>
    <cellStyle name="RowTitles-Detail 5 2_Tertiary Salaries Survey" xfId="23207" xr:uid="{00000000-0005-0000-0000-0000BA5A0000}"/>
    <cellStyle name="RowTitles-Detail 5 3" xfId="23208" xr:uid="{00000000-0005-0000-0000-0000BB5A0000}"/>
    <cellStyle name="RowTitles-Detail 5 3 2" xfId="23209" xr:uid="{00000000-0005-0000-0000-0000BC5A0000}"/>
    <cellStyle name="RowTitles-Detail 5 3 2 2" xfId="23210" xr:uid="{00000000-0005-0000-0000-0000BD5A0000}"/>
    <cellStyle name="RowTitles-Detail 5 3 2 2 2" xfId="23211" xr:uid="{00000000-0005-0000-0000-0000BE5A0000}"/>
    <cellStyle name="RowTitles-Detail 5 3 2 2_Tertiary Salaries Survey" xfId="23212" xr:uid="{00000000-0005-0000-0000-0000BF5A0000}"/>
    <cellStyle name="RowTitles-Detail 5 3 2 3" xfId="23213" xr:uid="{00000000-0005-0000-0000-0000C05A0000}"/>
    <cellStyle name="RowTitles-Detail 5 3 2_Tertiary Salaries Survey" xfId="23214" xr:uid="{00000000-0005-0000-0000-0000C15A0000}"/>
    <cellStyle name="RowTitles-Detail 5 3 3" xfId="23215" xr:uid="{00000000-0005-0000-0000-0000C25A0000}"/>
    <cellStyle name="RowTitles-Detail 5 3 3 2" xfId="23216" xr:uid="{00000000-0005-0000-0000-0000C35A0000}"/>
    <cellStyle name="RowTitles-Detail 5 3 3 2 2" xfId="23217" xr:uid="{00000000-0005-0000-0000-0000C45A0000}"/>
    <cellStyle name="RowTitles-Detail 5 3 3 2_Tertiary Salaries Survey" xfId="23218" xr:uid="{00000000-0005-0000-0000-0000C55A0000}"/>
    <cellStyle name="RowTitles-Detail 5 3 3 3" xfId="23219" xr:uid="{00000000-0005-0000-0000-0000C65A0000}"/>
    <cellStyle name="RowTitles-Detail 5 3 3_Tertiary Salaries Survey" xfId="23220" xr:uid="{00000000-0005-0000-0000-0000C75A0000}"/>
    <cellStyle name="RowTitles-Detail 5 3 4" xfId="23221" xr:uid="{00000000-0005-0000-0000-0000C85A0000}"/>
    <cellStyle name="RowTitles-Detail 5 3 5" xfId="23222" xr:uid="{00000000-0005-0000-0000-0000C95A0000}"/>
    <cellStyle name="RowTitles-Detail 5 3 5 2" xfId="23223" xr:uid="{00000000-0005-0000-0000-0000CA5A0000}"/>
    <cellStyle name="RowTitles-Detail 5 3 5_Tertiary Salaries Survey" xfId="23224" xr:uid="{00000000-0005-0000-0000-0000CB5A0000}"/>
    <cellStyle name="RowTitles-Detail 5 3 6" xfId="23225" xr:uid="{00000000-0005-0000-0000-0000CC5A0000}"/>
    <cellStyle name="RowTitles-Detail 5 3_Tertiary Salaries Survey" xfId="23226" xr:uid="{00000000-0005-0000-0000-0000CD5A0000}"/>
    <cellStyle name="RowTitles-Detail 5 4" xfId="23227" xr:uid="{00000000-0005-0000-0000-0000CE5A0000}"/>
    <cellStyle name="RowTitles-Detail 5 4 2" xfId="23228" xr:uid="{00000000-0005-0000-0000-0000CF5A0000}"/>
    <cellStyle name="RowTitles-Detail 5 4 2 2" xfId="23229" xr:uid="{00000000-0005-0000-0000-0000D05A0000}"/>
    <cellStyle name="RowTitles-Detail 5 4 2 2 2" xfId="23230" xr:uid="{00000000-0005-0000-0000-0000D15A0000}"/>
    <cellStyle name="RowTitles-Detail 5 4 2 2_Tertiary Salaries Survey" xfId="23231" xr:uid="{00000000-0005-0000-0000-0000D25A0000}"/>
    <cellStyle name="RowTitles-Detail 5 4 2 3" xfId="23232" xr:uid="{00000000-0005-0000-0000-0000D35A0000}"/>
    <cellStyle name="RowTitles-Detail 5 4 2_Tertiary Salaries Survey" xfId="23233" xr:uid="{00000000-0005-0000-0000-0000D45A0000}"/>
    <cellStyle name="RowTitles-Detail 5 4 3" xfId="23234" xr:uid="{00000000-0005-0000-0000-0000D55A0000}"/>
    <cellStyle name="RowTitles-Detail 5 4 3 2" xfId="23235" xr:uid="{00000000-0005-0000-0000-0000D65A0000}"/>
    <cellStyle name="RowTitles-Detail 5 4 3 2 2" xfId="23236" xr:uid="{00000000-0005-0000-0000-0000D75A0000}"/>
    <cellStyle name="RowTitles-Detail 5 4 3 2_Tertiary Salaries Survey" xfId="23237" xr:uid="{00000000-0005-0000-0000-0000D85A0000}"/>
    <cellStyle name="RowTitles-Detail 5 4 3 3" xfId="23238" xr:uid="{00000000-0005-0000-0000-0000D95A0000}"/>
    <cellStyle name="RowTitles-Detail 5 4 3_Tertiary Salaries Survey" xfId="23239" xr:uid="{00000000-0005-0000-0000-0000DA5A0000}"/>
    <cellStyle name="RowTitles-Detail 5 4 4" xfId="23240" xr:uid="{00000000-0005-0000-0000-0000DB5A0000}"/>
    <cellStyle name="RowTitles-Detail 5 4 4 2" xfId="23241" xr:uid="{00000000-0005-0000-0000-0000DC5A0000}"/>
    <cellStyle name="RowTitles-Detail 5 4 4_Tertiary Salaries Survey" xfId="23242" xr:uid="{00000000-0005-0000-0000-0000DD5A0000}"/>
    <cellStyle name="RowTitles-Detail 5 4 5" xfId="23243" xr:uid="{00000000-0005-0000-0000-0000DE5A0000}"/>
    <cellStyle name="RowTitles-Detail 5 4_Tertiary Salaries Survey" xfId="23244" xr:uid="{00000000-0005-0000-0000-0000DF5A0000}"/>
    <cellStyle name="RowTitles-Detail 5 5" xfId="23245" xr:uid="{00000000-0005-0000-0000-0000E05A0000}"/>
    <cellStyle name="RowTitles-Detail 5 5 2" xfId="23246" xr:uid="{00000000-0005-0000-0000-0000E15A0000}"/>
    <cellStyle name="RowTitles-Detail 5 5 2 2" xfId="23247" xr:uid="{00000000-0005-0000-0000-0000E25A0000}"/>
    <cellStyle name="RowTitles-Detail 5 5 2 2 2" xfId="23248" xr:uid="{00000000-0005-0000-0000-0000E35A0000}"/>
    <cellStyle name="RowTitles-Detail 5 5 2 2_Tertiary Salaries Survey" xfId="23249" xr:uid="{00000000-0005-0000-0000-0000E45A0000}"/>
    <cellStyle name="RowTitles-Detail 5 5 2 3" xfId="23250" xr:uid="{00000000-0005-0000-0000-0000E55A0000}"/>
    <cellStyle name="RowTitles-Detail 5 5 2_Tertiary Salaries Survey" xfId="23251" xr:uid="{00000000-0005-0000-0000-0000E65A0000}"/>
    <cellStyle name="RowTitles-Detail 5 5 3" xfId="23252" xr:uid="{00000000-0005-0000-0000-0000E75A0000}"/>
    <cellStyle name="RowTitles-Detail 5 5 3 2" xfId="23253" xr:uid="{00000000-0005-0000-0000-0000E85A0000}"/>
    <cellStyle name="RowTitles-Detail 5 5 3 2 2" xfId="23254" xr:uid="{00000000-0005-0000-0000-0000E95A0000}"/>
    <cellStyle name="RowTitles-Detail 5 5 3 2_Tertiary Salaries Survey" xfId="23255" xr:uid="{00000000-0005-0000-0000-0000EA5A0000}"/>
    <cellStyle name="RowTitles-Detail 5 5 3 3" xfId="23256" xr:uid="{00000000-0005-0000-0000-0000EB5A0000}"/>
    <cellStyle name="RowTitles-Detail 5 5 3_Tertiary Salaries Survey" xfId="23257" xr:uid="{00000000-0005-0000-0000-0000EC5A0000}"/>
    <cellStyle name="RowTitles-Detail 5 5 4" xfId="23258" xr:uid="{00000000-0005-0000-0000-0000ED5A0000}"/>
    <cellStyle name="RowTitles-Detail 5 5 4 2" xfId="23259" xr:uid="{00000000-0005-0000-0000-0000EE5A0000}"/>
    <cellStyle name="RowTitles-Detail 5 5 4_Tertiary Salaries Survey" xfId="23260" xr:uid="{00000000-0005-0000-0000-0000EF5A0000}"/>
    <cellStyle name="RowTitles-Detail 5 5 5" xfId="23261" xr:uid="{00000000-0005-0000-0000-0000F05A0000}"/>
    <cellStyle name="RowTitles-Detail 5 5_Tertiary Salaries Survey" xfId="23262" xr:uid="{00000000-0005-0000-0000-0000F15A0000}"/>
    <cellStyle name="RowTitles-Detail 5 6" xfId="23263" xr:uid="{00000000-0005-0000-0000-0000F25A0000}"/>
    <cellStyle name="RowTitles-Detail 5 6 2" xfId="23264" xr:uid="{00000000-0005-0000-0000-0000F35A0000}"/>
    <cellStyle name="RowTitles-Detail 5 6 2 2" xfId="23265" xr:uid="{00000000-0005-0000-0000-0000F45A0000}"/>
    <cellStyle name="RowTitles-Detail 5 6 2 2 2" xfId="23266" xr:uid="{00000000-0005-0000-0000-0000F55A0000}"/>
    <cellStyle name="RowTitles-Detail 5 6 2 2_Tertiary Salaries Survey" xfId="23267" xr:uid="{00000000-0005-0000-0000-0000F65A0000}"/>
    <cellStyle name="RowTitles-Detail 5 6 2 3" xfId="23268" xr:uid="{00000000-0005-0000-0000-0000F75A0000}"/>
    <cellStyle name="RowTitles-Detail 5 6 2_Tertiary Salaries Survey" xfId="23269" xr:uid="{00000000-0005-0000-0000-0000F85A0000}"/>
    <cellStyle name="RowTitles-Detail 5 6 3" xfId="23270" xr:uid="{00000000-0005-0000-0000-0000F95A0000}"/>
    <cellStyle name="RowTitles-Detail 5 6 3 2" xfId="23271" xr:uid="{00000000-0005-0000-0000-0000FA5A0000}"/>
    <cellStyle name="RowTitles-Detail 5 6 3 2 2" xfId="23272" xr:uid="{00000000-0005-0000-0000-0000FB5A0000}"/>
    <cellStyle name="RowTitles-Detail 5 6 3 2_Tertiary Salaries Survey" xfId="23273" xr:uid="{00000000-0005-0000-0000-0000FC5A0000}"/>
    <cellStyle name="RowTitles-Detail 5 6 3 3" xfId="23274" xr:uid="{00000000-0005-0000-0000-0000FD5A0000}"/>
    <cellStyle name="RowTitles-Detail 5 6 3_Tertiary Salaries Survey" xfId="23275" xr:uid="{00000000-0005-0000-0000-0000FE5A0000}"/>
    <cellStyle name="RowTitles-Detail 5 6 4" xfId="23276" xr:uid="{00000000-0005-0000-0000-0000FF5A0000}"/>
    <cellStyle name="RowTitles-Detail 5 6 4 2" xfId="23277" xr:uid="{00000000-0005-0000-0000-0000005B0000}"/>
    <cellStyle name="RowTitles-Detail 5 6 4_Tertiary Salaries Survey" xfId="23278" xr:uid="{00000000-0005-0000-0000-0000015B0000}"/>
    <cellStyle name="RowTitles-Detail 5 6 5" xfId="23279" xr:uid="{00000000-0005-0000-0000-0000025B0000}"/>
    <cellStyle name="RowTitles-Detail 5 6_Tertiary Salaries Survey" xfId="23280" xr:uid="{00000000-0005-0000-0000-0000035B0000}"/>
    <cellStyle name="RowTitles-Detail 5 7" xfId="23281" xr:uid="{00000000-0005-0000-0000-0000045B0000}"/>
    <cellStyle name="RowTitles-Detail 5 7 2" xfId="23282" xr:uid="{00000000-0005-0000-0000-0000055B0000}"/>
    <cellStyle name="RowTitles-Detail 5 7 2 2" xfId="23283" xr:uid="{00000000-0005-0000-0000-0000065B0000}"/>
    <cellStyle name="RowTitles-Detail 5 7 2_Tertiary Salaries Survey" xfId="23284" xr:uid="{00000000-0005-0000-0000-0000075B0000}"/>
    <cellStyle name="RowTitles-Detail 5 7 3" xfId="23285" xr:uid="{00000000-0005-0000-0000-0000085B0000}"/>
    <cellStyle name="RowTitles-Detail 5 7_Tertiary Salaries Survey" xfId="23286" xr:uid="{00000000-0005-0000-0000-0000095B0000}"/>
    <cellStyle name="RowTitles-Detail 5 8" xfId="23287" xr:uid="{00000000-0005-0000-0000-00000A5B0000}"/>
    <cellStyle name="RowTitles-Detail 5 9" xfId="23288" xr:uid="{00000000-0005-0000-0000-00000B5B0000}"/>
    <cellStyle name="RowTitles-Detail 5_STUD aligned by INSTIT" xfId="23289" xr:uid="{00000000-0005-0000-0000-00000C5B0000}"/>
    <cellStyle name="RowTitles-Detail 6" xfId="23290" xr:uid="{00000000-0005-0000-0000-00000D5B0000}"/>
    <cellStyle name="RowTitles-Detail 6 2" xfId="23291" xr:uid="{00000000-0005-0000-0000-00000E5B0000}"/>
    <cellStyle name="RowTitles-Detail 6 2 2" xfId="23292" xr:uid="{00000000-0005-0000-0000-00000F5B0000}"/>
    <cellStyle name="RowTitles-Detail 6 2 2 2" xfId="23293" xr:uid="{00000000-0005-0000-0000-0000105B0000}"/>
    <cellStyle name="RowTitles-Detail 6 2 2 2 2" xfId="23294" xr:uid="{00000000-0005-0000-0000-0000115B0000}"/>
    <cellStyle name="RowTitles-Detail 6 2 2 2_Tertiary Salaries Survey" xfId="23295" xr:uid="{00000000-0005-0000-0000-0000125B0000}"/>
    <cellStyle name="RowTitles-Detail 6 2 2 3" xfId="23296" xr:uid="{00000000-0005-0000-0000-0000135B0000}"/>
    <cellStyle name="RowTitles-Detail 6 2 2_Tertiary Salaries Survey" xfId="23297" xr:uid="{00000000-0005-0000-0000-0000145B0000}"/>
    <cellStyle name="RowTitles-Detail 6 2 3" xfId="23298" xr:uid="{00000000-0005-0000-0000-0000155B0000}"/>
    <cellStyle name="RowTitles-Detail 6 2 3 2" xfId="23299" xr:uid="{00000000-0005-0000-0000-0000165B0000}"/>
    <cellStyle name="RowTitles-Detail 6 2 3 2 2" xfId="23300" xr:uid="{00000000-0005-0000-0000-0000175B0000}"/>
    <cellStyle name="RowTitles-Detail 6 2 3 2_Tertiary Salaries Survey" xfId="23301" xr:uid="{00000000-0005-0000-0000-0000185B0000}"/>
    <cellStyle name="RowTitles-Detail 6 2 3 3" xfId="23302" xr:uid="{00000000-0005-0000-0000-0000195B0000}"/>
    <cellStyle name="RowTitles-Detail 6 2 3_Tertiary Salaries Survey" xfId="23303" xr:uid="{00000000-0005-0000-0000-00001A5B0000}"/>
    <cellStyle name="RowTitles-Detail 6 2 4" xfId="23304" xr:uid="{00000000-0005-0000-0000-00001B5B0000}"/>
    <cellStyle name="RowTitles-Detail 6 2 5" xfId="23305" xr:uid="{00000000-0005-0000-0000-00001C5B0000}"/>
    <cellStyle name="RowTitles-Detail 6 2 5 2" xfId="23306" xr:uid="{00000000-0005-0000-0000-00001D5B0000}"/>
    <cellStyle name="RowTitles-Detail 6 2 5_Tertiary Salaries Survey" xfId="23307" xr:uid="{00000000-0005-0000-0000-00001E5B0000}"/>
    <cellStyle name="RowTitles-Detail 6 2 6" xfId="23308" xr:uid="{00000000-0005-0000-0000-00001F5B0000}"/>
    <cellStyle name="RowTitles-Detail 6 2_Tertiary Salaries Survey" xfId="23309" xr:uid="{00000000-0005-0000-0000-0000205B0000}"/>
    <cellStyle name="RowTitles-Detail 6 3" xfId="23310" xr:uid="{00000000-0005-0000-0000-0000215B0000}"/>
    <cellStyle name="RowTitles-Detail 6 3 2" xfId="23311" xr:uid="{00000000-0005-0000-0000-0000225B0000}"/>
    <cellStyle name="RowTitles-Detail 6 3 2 2" xfId="23312" xr:uid="{00000000-0005-0000-0000-0000235B0000}"/>
    <cellStyle name="RowTitles-Detail 6 3 2 2 2" xfId="23313" xr:uid="{00000000-0005-0000-0000-0000245B0000}"/>
    <cellStyle name="RowTitles-Detail 6 3 2 2_Tertiary Salaries Survey" xfId="23314" xr:uid="{00000000-0005-0000-0000-0000255B0000}"/>
    <cellStyle name="RowTitles-Detail 6 3 2 3" xfId="23315" xr:uid="{00000000-0005-0000-0000-0000265B0000}"/>
    <cellStyle name="RowTitles-Detail 6 3 2_Tertiary Salaries Survey" xfId="23316" xr:uid="{00000000-0005-0000-0000-0000275B0000}"/>
    <cellStyle name="RowTitles-Detail 6 3 3" xfId="23317" xr:uid="{00000000-0005-0000-0000-0000285B0000}"/>
    <cellStyle name="RowTitles-Detail 6 3 3 2" xfId="23318" xr:uid="{00000000-0005-0000-0000-0000295B0000}"/>
    <cellStyle name="RowTitles-Detail 6 3 3 2 2" xfId="23319" xr:uid="{00000000-0005-0000-0000-00002A5B0000}"/>
    <cellStyle name="RowTitles-Detail 6 3 3 2_Tertiary Salaries Survey" xfId="23320" xr:uid="{00000000-0005-0000-0000-00002B5B0000}"/>
    <cellStyle name="RowTitles-Detail 6 3 3 3" xfId="23321" xr:uid="{00000000-0005-0000-0000-00002C5B0000}"/>
    <cellStyle name="RowTitles-Detail 6 3 3_Tertiary Salaries Survey" xfId="23322" xr:uid="{00000000-0005-0000-0000-00002D5B0000}"/>
    <cellStyle name="RowTitles-Detail 6 3 4" xfId="23323" xr:uid="{00000000-0005-0000-0000-00002E5B0000}"/>
    <cellStyle name="RowTitles-Detail 6 3 5" xfId="23324" xr:uid="{00000000-0005-0000-0000-00002F5B0000}"/>
    <cellStyle name="RowTitles-Detail 6 3_Tertiary Salaries Survey" xfId="23325" xr:uid="{00000000-0005-0000-0000-0000305B0000}"/>
    <cellStyle name="RowTitles-Detail 6 4" xfId="23326" xr:uid="{00000000-0005-0000-0000-0000315B0000}"/>
    <cellStyle name="RowTitles-Detail 6 4 2" xfId="23327" xr:uid="{00000000-0005-0000-0000-0000325B0000}"/>
    <cellStyle name="RowTitles-Detail 6 4 2 2" xfId="23328" xr:uid="{00000000-0005-0000-0000-0000335B0000}"/>
    <cellStyle name="RowTitles-Detail 6 4 2 2 2" xfId="23329" xr:uid="{00000000-0005-0000-0000-0000345B0000}"/>
    <cellStyle name="RowTitles-Detail 6 4 2 2_Tertiary Salaries Survey" xfId="23330" xr:uid="{00000000-0005-0000-0000-0000355B0000}"/>
    <cellStyle name="RowTitles-Detail 6 4 2 3" xfId="23331" xr:uid="{00000000-0005-0000-0000-0000365B0000}"/>
    <cellStyle name="RowTitles-Detail 6 4 2_Tertiary Salaries Survey" xfId="23332" xr:uid="{00000000-0005-0000-0000-0000375B0000}"/>
    <cellStyle name="RowTitles-Detail 6 4 3" xfId="23333" xr:uid="{00000000-0005-0000-0000-0000385B0000}"/>
    <cellStyle name="RowTitles-Detail 6 4 3 2" xfId="23334" xr:uid="{00000000-0005-0000-0000-0000395B0000}"/>
    <cellStyle name="RowTitles-Detail 6 4 3 2 2" xfId="23335" xr:uid="{00000000-0005-0000-0000-00003A5B0000}"/>
    <cellStyle name="RowTitles-Detail 6 4 3 2_Tertiary Salaries Survey" xfId="23336" xr:uid="{00000000-0005-0000-0000-00003B5B0000}"/>
    <cellStyle name="RowTitles-Detail 6 4 3 3" xfId="23337" xr:uid="{00000000-0005-0000-0000-00003C5B0000}"/>
    <cellStyle name="RowTitles-Detail 6 4 3_Tertiary Salaries Survey" xfId="23338" xr:uid="{00000000-0005-0000-0000-00003D5B0000}"/>
    <cellStyle name="RowTitles-Detail 6 4 4" xfId="23339" xr:uid="{00000000-0005-0000-0000-00003E5B0000}"/>
    <cellStyle name="RowTitles-Detail 6 4 4 2" xfId="23340" xr:uid="{00000000-0005-0000-0000-00003F5B0000}"/>
    <cellStyle name="RowTitles-Detail 6 4 4_Tertiary Salaries Survey" xfId="23341" xr:uid="{00000000-0005-0000-0000-0000405B0000}"/>
    <cellStyle name="RowTitles-Detail 6 4 5" xfId="23342" xr:uid="{00000000-0005-0000-0000-0000415B0000}"/>
    <cellStyle name="RowTitles-Detail 6 4_Tertiary Salaries Survey" xfId="23343" xr:uid="{00000000-0005-0000-0000-0000425B0000}"/>
    <cellStyle name="RowTitles-Detail 6 5" xfId="23344" xr:uid="{00000000-0005-0000-0000-0000435B0000}"/>
    <cellStyle name="RowTitles-Detail 6 5 2" xfId="23345" xr:uid="{00000000-0005-0000-0000-0000445B0000}"/>
    <cellStyle name="RowTitles-Detail 6 5 2 2" xfId="23346" xr:uid="{00000000-0005-0000-0000-0000455B0000}"/>
    <cellStyle name="RowTitles-Detail 6 5 2 2 2" xfId="23347" xr:uid="{00000000-0005-0000-0000-0000465B0000}"/>
    <cellStyle name="RowTitles-Detail 6 5 2 2_Tertiary Salaries Survey" xfId="23348" xr:uid="{00000000-0005-0000-0000-0000475B0000}"/>
    <cellStyle name="RowTitles-Detail 6 5 2 3" xfId="23349" xr:uid="{00000000-0005-0000-0000-0000485B0000}"/>
    <cellStyle name="RowTitles-Detail 6 5 2_Tertiary Salaries Survey" xfId="23350" xr:uid="{00000000-0005-0000-0000-0000495B0000}"/>
    <cellStyle name="RowTitles-Detail 6 5 3" xfId="23351" xr:uid="{00000000-0005-0000-0000-00004A5B0000}"/>
    <cellStyle name="RowTitles-Detail 6 5 3 2" xfId="23352" xr:uid="{00000000-0005-0000-0000-00004B5B0000}"/>
    <cellStyle name="RowTitles-Detail 6 5 3 2 2" xfId="23353" xr:uid="{00000000-0005-0000-0000-00004C5B0000}"/>
    <cellStyle name="RowTitles-Detail 6 5 3 2_Tertiary Salaries Survey" xfId="23354" xr:uid="{00000000-0005-0000-0000-00004D5B0000}"/>
    <cellStyle name="RowTitles-Detail 6 5 3 3" xfId="23355" xr:uid="{00000000-0005-0000-0000-00004E5B0000}"/>
    <cellStyle name="RowTitles-Detail 6 5 3_Tertiary Salaries Survey" xfId="23356" xr:uid="{00000000-0005-0000-0000-00004F5B0000}"/>
    <cellStyle name="RowTitles-Detail 6 5 4" xfId="23357" xr:uid="{00000000-0005-0000-0000-0000505B0000}"/>
    <cellStyle name="RowTitles-Detail 6 5 4 2" xfId="23358" xr:uid="{00000000-0005-0000-0000-0000515B0000}"/>
    <cellStyle name="RowTitles-Detail 6 5 4_Tertiary Salaries Survey" xfId="23359" xr:uid="{00000000-0005-0000-0000-0000525B0000}"/>
    <cellStyle name="RowTitles-Detail 6 5 5" xfId="23360" xr:uid="{00000000-0005-0000-0000-0000535B0000}"/>
    <cellStyle name="RowTitles-Detail 6 5_Tertiary Salaries Survey" xfId="23361" xr:uid="{00000000-0005-0000-0000-0000545B0000}"/>
    <cellStyle name="RowTitles-Detail 6 6" xfId="23362" xr:uid="{00000000-0005-0000-0000-0000555B0000}"/>
    <cellStyle name="RowTitles-Detail 6 6 2" xfId="23363" xr:uid="{00000000-0005-0000-0000-0000565B0000}"/>
    <cellStyle name="RowTitles-Detail 6 6 2 2" xfId="23364" xr:uid="{00000000-0005-0000-0000-0000575B0000}"/>
    <cellStyle name="RowTitles-Detail 6 6 2 2 2" xfId="23365" xr:uid="{00000000-0005-0000-0000-0000585B0000}"/>
    <cellStyle name="RowTitles-Detail 6 6 2 2_Tertiary Salaries Survey" xfId="23366" xr:uid="{00000000-0005-0000-0000-0000595B0000}"/>
    <cellStyle name="RowTitles-Detail 6 6 2 3" xfId="23367" xr:uid="{00000000-0005-0000-0000-00005A5B0000}"/>
    <cellStyle name="RowTitles-Detail 6 6 2_Tertiary Salaries Survey" xfId="23368" xr:uid="{00000000-0005-0000-0000-00005B5B0000}"/>
    <cellStyle name="RowTitles-Detail 6 6 3" xfId="23369" xr:uid="{00000000-0005-0000-0000-00005C5B0000}"/>
    <cellStyle name="RowTitles-Detail 6 6 3 2" xfId="23370" xr:uid="{00000000-0005-0000-0000-00005D5B0000}"/>
    <cellStyle name="RowTitles-Detail 6 6 3 2 2" xfId="23371" xr:uid="{00000000-0005-0000-0000-00005E5B0000}"/>
    <cellStyle name="RowTitles-Detail 6 6 3 2_Tertiary Salaries Survey" xfId="23372" xr:uid="{00000000-0005-0000-0000-00005F5B0000}"/>
    <cellStyle name="RowTitles-Detail 6 6 3 3" xfId="23373" xr:uid="{00000000-0005-0000-0000-0000605B0000}"/>
    <cellStyle name="RowTitles-Detail 6 6 3_Tertiary Salaries Survey" xfId="23374" xr:uid="{00000000-0005-0000-0000-0000615B0000}"/>
    <cellStyle name="RowTitles-Detail 6 6 4" xfId="23375" xr:uid="{00000000-0005-0000-0000-0000625B0000}"/>
    <cellStyle name="RowTitles-Detail 6 6 4 2" xfId="23376" xr:uid="{00000000-0005-0000-0000-0000635B0000}"/>
    <cellStyle name="RowTitles-Detail 6 6 4_Tertiary Salaries Survey" xfId="23377" xr:uid="{00000000-0005-0000-0000-0000645B0000}"/>
    <cellStyle name="RowTitles-Detail 6 6 5" xfId="23378" xr:uid="{00000000-0005-0000-0000-0000655B0000}"/>
    <cellStyle name="RowTitles-Detail 6 6_Tertiary Salaries Survey" xfId="23379" xr:uid="{00000000-0005-0000-0000-0000665B0000}"/>
    <cellStyle name="RowTitles-Detail 6 7" xfId="23380" xr:uid="{00000000-0005-0000-0000-0000675B0000}"/>
    <cellStyle name="RowTitles-Detail 6 7 2" xfId="23381" xr:uid="{00000000-0005-0000-0000-0000685B0000}"/>
    <cellStyle name="RowTitles-Detail 6 7 2 2" xfId="23382" xr:uid="{00000000-0005-0000-0000-0000695B0000}"/>
    <cellStyle name="RowTitles-Detail 6 7 2_Tertiary Salaries Survey" xfId="23383" xr:uid="{00000000-0005-0000-0000-00006A5B0000}"/>
    <cellStyle name="RowTitles-Detail 6 7 3" xfId="23384" xr:uid="{00000000-0005-0000-0000-00006B5B0000}"/>
    <cellStyle name="RowTitles-Detail 6 7_Tertiary Salaries Survey" xfId="23385" xr:uid="{00000000-0005-0000-0000-00006C5B0000}"/>
    <cellStyle name="RowTitles-Detail 6 8" xfId="23386" xr:uid="{00000000-0005-0000-0000-00006D5B0000}"/>
    <cellStyle name="RowTitles-Detail 6 8 2" xfId="23387" xr:uid="{00000000-0005-0000-0000-00006E5B0000}"/>
    <cellStyle name="RowTitles-Detail 6 8 2 2" xfId="23388" xr:uid="{00000000-0005-0000-0000-00006F5B0000}"/>
    <cellStyle name="RowTitles-Detail 6 8 2_Tertiary Salaries Survey" xfId="23389" xr:uid="{00000000-0005-0000-0000-0000705B0000}"/>
    <cellStyle name="RowTitles-Detail 6 8 3" xfId="23390" xr:uid="{00000000-0005-0000-0000-0000715B0000}"/>
    <cellStyle name="RowTitles-Detail 6 8_Tertiary Salaries Survey" xfId="23391" xr:uid="{00000000-0005-0000-0000-0000725B0000}"/>
    <cellStyle name="RowTitles-Detail 6 9" xfId="23392" xr:uid="{00000000-0005-0000-0000-0000735B0000}"/>
    <cellStyle name="RowTitles-Detail 6_STUD aligned by INSTIT" xfId="23393" xr:uid="{00000000-0005-0000-0000-0000745B0000}"/>
    <cellStyle name="RowTitles-Detail 7" xfId="23394" xr:uid="{00000000-0005-0000-0000-0000755B0000}"/>
    <cellStyle name="RowTitles-Detail 7 2" xfId="23395" xr:uid="{00000000-0005-0000-0000-0000765B0000}"/>
    <cellStyle name="RowTitles-Detail 7 2 2" xfId="23396" xr:uid="{00000000-0005-0000-0000-0000775B0000}"/>
    <cellStyle name="RowTitles-Detail 7 2 2 2" xfId="23397" xr:uid="{00000000-0005-0000-0000-0000785B0000}"/>
    <cellStyle name="RowTitles-Detail 7 2 2 2 2" xfId="23398" xr:uid="{00000000-0005-0000-0000-0000795B0000}"/>
    <cellStyle name="RowTitles-Detail 7 2 2 2_Tertiary Salaries Survey" xfId="23399" xr:uid="{00000000-0005-0000-0000-00007A5B0000}"/>
    <cellStyle name="RowTitles-Detail 7 2 2 3" xfId="23400" xr:uid="{00000000-0005-0000-0000-00007B5B0000}"/>
    <cellStyle name="RowTitles-Detail 7 2 2_Tertiary Salaries Survey" xfId="23401" xr:uid="{00000000-0005-0000-0000-00007C5B0000}"/>
    <cellStyle name="RowTitles-Detail 7 2 3" xfId="23402" xr:uid="{00000000-0005-0000-0000-00007D5B0000}"/>
    <cellStyle name="RowTitles-Detail 7 2 3 2" xfId="23403" xr:uid="{00000000-0005-0000-0000-00007E5B0000}"/>
    <cellStyle name="RowTitles-Detail 7 2 3 2 2" xfId="23404" xr:uid="{00000000-0005-0000-0000-00007F5B0000}"/>
    <cellStyle name="RowTitles-Detail 7 2 3 2_Tertiary Salaries Survey" xfId="23405" xr:uid="{00000000-0005-0000-0000-0000805B0000}"/>
    <cellStyle name="RowTitles-Detail 7 2 3 3" xfId="23406" xr:uid="{00000000-0005-0000-0000-0000815B0000}"/>
    <cellStyle name="RowTitles-Detail 7 2 3_Tertiary Salaries Survey" xfId="23407" xr:uid="{00000000-0005-0000-0000-0000825B0000}"/>
    <cellStyle name="RowTitles-Detail 7 2 4" xfId="23408" xr:uid="{00000000-0005-0000-0000-0000835B0000}"/>
    <cellStyle name="RowTitles-Detail 7 2 5" xfId="23409" xr:uid="{00000000-0005-0000-0000-0000845B0000}"/>
    <cellStyle name="RowTitles-Detail 7 2_Tertiary Salaries Survey" xfId="23410" xr:uid="{00000000-0005-0000-0000-0000855B0000}"/>
    <cellStyle name="RowTitles-Detail 7 3" xfId="23411" xr:uid="{00000000-0005-0000-0000-0000865B0000}"/>
    <cellStyle name="RowTitles-Detail 7 3 2" xfId="23412" xr:uid="{00000000-0005-0000-0000-0000875B0000}"/>
    <cellStyle name="RowTitles-Detail 7 3 2 2" xfId="23413" xr:uid="{00000000-0005-0000-0000-0000885B0000}"/>
    <cellStyle name="RowTitles-Detail 7 3 2 2 2" xfId="23414" xr:uid="{00000000-0005-0000-0000-0000895B0000}"/>
    <cellStyle name="RowTitles-Detail 7 3 2 2_Tertiary Salaries Survey" xfId="23415" xr:uid="{00000000-0005-0000-0000-00008A5B0000}"/>
    <cellStyle name="RowTitles-Detail 7 3 2 3" xfId="23416" xr:uid="{00000000-0005-0000-0000-00008B5B0000}"/>
    <cellStyle name="RowTitles-Detail 7 3 2_Tertiary Salaries Survey" xfId="23417" xr:uid="{00000000-0005-0000-0000-00008C5B0000}"/>
    <cellStyle name="RowTitles-Detail 7 3 3" xfId="23418" xr:uid="{00000000-0005-0000-0000-00008D5B0000}"/>
    <cellStyle name="RowTitles-Detail 7 3 3 2" xfId="23419" xr:uid="{00000000-0005-0000-0000-00008E5B0000}"/>
    <cellStyle name="RowTitles-Detail 7 3 3 2 2" xfId="23420" xr:uid="{00000000-0005-0000-0000-00008F5B0000}"/>
    <cellStyle name="RowTitles-Detail 7 3 3 2_Tertiary Salaries Survey" xfId="23421" xr:uid="{00000000-0005-0000-0000-0000905B0000}"/>
    <cellStyle name="RowTitles-Detail 7 3 3 3" xfId="23422" xr:uid="{00000000-0005-0000-0000-0000915B0000}"/>
    <cellStyle name="RowTitles-Detail 7 3 3_Tertiary Salaries Survey" xfId="23423" xr:uid="{00000000-0005-0000-0000-0000925B0000}"/>
    <cellStyle name="RowTitles-Detail 7 3 4" xfId="23424" xr:uid="{00000000-0005-0000-0000-0000935B0000}"/>
    <cellStyle name="RowTitles-Detail 7 3 4 2" xfId="23425" xr:uid="{00000000-0005-0000-0000-0000945B0000}"/>
    <cellStyle name="RowTitles-Detail 7 3 4_Tertiary Salaries Survey" xfId="23426" xr:uid="{00000000-0005-0000-0000-0000955B0000}"/>
    <cellStyle name="RowTitles-Detail 7 3 5" xfId="23427" xr:uid="{00000000-0005-0000-0000-0000965B0000}"/>
    <cellStyle name="RowTitles-Detail 7 3_Tertiary Salaries Survey" xfId="23428" xr:uid="{00000000-0005-0000-0000-0000975B0000}"/>
    <cellStyle name="RowTitles-Detail 7 4" xfId="23429" xr:uid="{00000000-0005-0000-0000-0000985B0000}"/>
    <cellStyle name="RowTitles-Detail 7 4 2" xfId="23430" xr:uid="{00000000-0005-0000-0000-0000995B0000}"/>
    <cellStyle name="RowTitles-Detail 7 4 2 2" xfId="23431" xr:uid="{00000000-0005-0000-0000-00009A5B0000}"/>
    <cellStyle name="RowTitles-Detail 7 4 2 2 2" xfId="23432" xr:uid="{00000000-0005-0000-0000-00009B5B0000}"/>
    <cellStyle name="RowTitles-Detail 7 4 2 2_Tertiary Salaries Survey" xfId="23433" xr:uid="{00000000-0005-0000-0000-00009C5B0000}"/>
    <cellStyle name="RowTitles-Detail 7 4 2 3" xfId="23434" xr:uid="{00000000-0005-0000-0000-00009D5B0000}"/>
    <cellStyle name="RowTitles-Detail 7 4 2_Tertiary Salaries Survey" xfId="23435" xr:uid="{00000000-0005-0000-0000-00009E5B0000}"/>
    <cellStyle name="RowTitles-Detail 7 4 3" xfId="23436" xr:uid="{00000000-0005-0000-0000-00009F5B0000}"/>
    <cellStyle name="RowTitles-Detail 7 4 3 2" xfId="23437" xr:uid="{00000000-0005-0000-0000-0000A05B0000}"/>
    <cellStyle name="RowTitles-Detail 7 4 3 2 2" xfId="23438" xr:uid="{00000000-0005-0000-0000-0000A15B0000}"/>
    <cellStyle name="RowTitles-Detail 7 4 3 2_Tertiary Salaries Survey" xfId="23439" xr:uid="{00000000-0005-0000-0000-0000A25B0000}"/>
    <cellStyle name="RowTitles-Detail 7 4 3 3" xfId="23440" xr:uid="{00000000-0005-0000-0000-0000A35B0000}"/>
    <cellStyle name="RowTitles-Detail 7 4 3_Tertiary Salaries Survey" xfId="23441" xr:uid="{00000000-0005-0000-0000-0000A45B0000}"/>
    <cellStyle name="RowTitles-Detail 7 4 4" xfId="23442" xr:uid="{00000000-0005-0000-0000-0000A55B0000}"/>
    <cellStyle name="RowTitles-Detail 7 4 4 2" xfId="23443" xr:uid="{00000000-0005-0000-0000-0000A65B0000}"/>
    <cellStyle name="RowTitles-Detail 7 4 4_Tertiary Salaries Survey" xfId="23444" xr:uid="{00000000-0005-0000-0000-0000A75B0000}"/>
    <cellStyle name="RowTitles-Detail 7 4 5" xfId="23445" xr:uid="{00000000-0005-0000-0000-0000A85B0000}"/>
    <cellStyle name="RowTitles-Detail 7 4_Tertiary Salaries Survey" xfId="23446" xr:uid="{00000000-0005-0000-0000-0000A95B0000}"/>
    <cellStyle name="RowTitles-Detail 7 5" xfId="23447" xr:uid="{00000000-0005-0000-0000-0000AA5B0000}"/>
    <cellStyle name="RowTitles-Detail 7 5 2" xfId="23448" xr:uid="{00000000-0005-0000-0000-0000AB5B0000}"/>
    <cellStyle name="RowTitles-Detail 7 5 2 2" xfId="23449" xr:uid="{00000000-0005-0000-0000-0000AC5B0000}"/>
    <cellStyle name="RowTitles-Detail 7 5 2 2 2" xfId="23450" xr:uid="{00000000-0005-0000-0000-0000AD5B0000}"/>
    <cellStyle name="RowTitles-Detail 7 5 2 2_Tertiary Salaries Survey" xfId="23451" xr:uid="{00000000-0005-0000-0000-0000AE5B0000}"/>
    <cellStyle name="RowTitles-Detail 7 5 2 3" xfId="23452" xr:uid="{00000000-0005-0000-0000-0000AF5B0000}"/>
    <cellStyle name="RowTitles-Detail 7 5 2_Tertiary Salaries Survey" xfId="23453" xr:uid="{00000000-0005-0000-0000-0000B05B0000}"/>
    <cellStyle name="RowTitles-Detail 7 5 3" xfId="23454" xr:uid="{00000000-0005-0000-0000-0000B15B0000}"/>
    <cellStyle name="RowTitles-Detail 7 5 3 2" xfId="23455" xr:uid="{00000000-0005-0000-0000-0000B25B0000}"/>
    <cellStyle name="RowTitles-Detail 7 5 3 2 2" xfId="23456" xr:uid="{00000000-0005-0000-0000-0000B35B0000}"/>
    <cellStyle name="RowTitles-Detail 7 5 3 2_Tertiary Salaries Survey" xfId="23457" xr:uid="{00000000-0005-0000-0000-0000B45B0000}"/>
    <cellStyle name="RowTitles-Detail 7 5 3 3" xfId="23458" xr:uid="{00000000-0005-0000-0000-0000B55B0000}"/>
    <cellStyle name="RowTitles-Detail 7 5 3_Tertiary Salaries Survey" xfId="23459" xr:uid="{00000000-0005-0000-0000-0000B65B0000}"/>
    <cellStyle name="RowTitles-Detail 7 5 4" xfId="23460" xr:uid="{00000000-0005-0000-0000-0000B75B0000}"/>
    <cellStyle name="RowTitles-Detail 7 5 4 2" xfId="23461" xr:uid="{00000000-0005-0000-0000-0000B85B0000}"/>
    <cellStyle name="RowTitles-Detail 7 5 4_Tertiary Salaries Survey" xfId="23462" xr:uid="{00000000-0005-0000-0000-0000B95B0000}"/>
    <cellStyle name="RowTitles-Detail 7 5 5" xfId="23463" xr:uid="{00000000-0005-0000-0000-0000BA5B0000}"/>
    <cellStyle name="RowTitles-Detail 7 5_Tertiary Salaries Survey" xfId="23464" xr:uid="{00000000-0005-0000-0000-0000BB5B0000}"/>
    <cellStyle name="RowTitles-Detail 7 6" xfId="23465" xr:uid="{00000000-0005-0000-0000-0000BC5B0000}"/>
    <cellStyle name="RowTitles-Detail 7 6 2" xfId="23466" xr:uid="{00000000-0005-0000-0000-0000BD5B0000}"/>
    <cellStyle name="RowTitles-Detail 7 6 2 2" xfId="23467" xr:uid="{00000000-0005-0000-0000-0000BE5B0000}"/>
    <cellStyle name="RowTitles-Detail 7 6 2 2 2" xfId="23468" xr:uid="{00000000-0005-0000-0000-0000BF5B0000}"/>
    <cellStyle name="RowTitles-Detail 7 6 2 2_Tertiary Salaries Survey" xfId="23469" xr:uid="{00000000-0005-0000-0000-0000C05B0000}"/>
    <cellStyle name="RowTitles-Detail 7 6 2 3" xfId="23470" xr:uid="{00000000-0005-0000-0000-0000C15B0000}"/>
    <cellStyle name="RowTitles-Detail 7 6 2_Tertiary Salaries Survey" xfId="23471" xr:uid="{00000000-0005-0000-0000-0000C25B0000}"/>
    <cellStyle name="RowTitles-Detail 7 6 3" xfId="23472" xr:uid="{00000000-0005-0000-0000-0000C35B0000}"/>
    <cellStyle name="RowTitles-Detail 7 6 3 2" xfId="23473" xr:uid="{00000000-0005-0000-0000-0000C45B0000}"/>
    <cellStyle name="RowTitles-Detail 7 6 3 2 2" xfId="23474" xr:uid="{00000000-0005-0000-0000-0000C55B0000}"/>
    <cellStyle name="RowTitles-Detail 7 6 3 2_Tertiary Salaries Survey" xfId="23475" xr:uid="{00000000-0005-0000-0000-0000C65B0000}"/>
    <cellStyle name="RowTitles-Detail 7 6 3 3" xfId="23476" xr:uid="{00000000-0005-0000-0000-0000C75B0000}"/>
    <cellStyle name="RowTitles-Detail 7 6 3_Tertiary Salaries Survey" xfId="23477" xr:uid="{00000000-0005-0000-0000-0000C85B0000}"/>
    <cellStyle name="RowTitles-Detail 7 6 4" xfId="23478" xr:uid="{00000000-0005-0000-0000-0000C95B0000}"/>
    <cellStyle name="RowTitles-Detail 7 6 4 2" xfId="23479" xr:uid="{00000000-0005-0000-0000-0000CA5B0000}"/>
    <cellStyle name="RowTitles-Detail 7 6 4_Tertiary Salaries Survey" xfId="23480" xr:uid="{00000000-0005-0000-0000-0000CB5B0000}"/>
    <cellStyle name="RowTitles-Detail 7 6 5" xfId="23481" xr:uid="{00000000-0005-0000-0000-0000CC5B0000}"/>
    <cellStyle name="RowTitles-Detail 7 6_Tertiary Salaries Survey" xfId="23482" xr:uid="{00000000-0005-0000-0000-0000CD5B0000}"/>
    <cellStyle name="RowTitles-Detail 7 7" xfId="23483" xr:uid="{00000000-0005-0000-0000-0000CE5B0000}"/>
    <cellStyle name="RowTitles-Detail 7 7 2" xfId="23484" xr:uid="{00000000-0005-0000-0000-0000CF5B0000}"/>
    <cellStyle name="RowTitles-Detail 7 7 2 2" xfId="23485" xr:uid="{00000000-0005-0000-0000-0000D05B0000}"/>
    <cellStyle name="RowTitles-Detail 7 7 2_Tertiary Salaries Survey" xfId="23486" xr:uid="{00000000-0005-0000-0000-0000D15B0000}"/>
    <cellStyle name="RowTitles-Detail 7 7 3" xfId="23487" xr:uid="{00000000-0005-0000-0000-0000D25B0000}"/>
    <cellStyle name="RowTitles-Detail 7 7_Tertiary Salaries Survey" xfId="23488" xr:uid="{00000000-0005-0000-0000-0000D35B0000}"/>
    <cellStyle name="RowTitles-Detail 7 8" xfId="23489" xr:uid="{00000000-0005-0000-0000-0000D45B0000}"/>
    <cellStyle name="RowTitles-Detail 7 8 2" xfId="23490" xr:uid="{00000000-0005-0000-0000-0000D55B0000}"/>
    <cellStyle name="RowTitles-Detail 7 8 2 2" xfId="23491" xr:uid="{00000000-0005-0000-0000-0000D65B0000}"/>
    <cellStyle name="RowTitles-Detail 7 8 2_Tertiary Salaries Survey" xfId="23492" xr:uid="{00000000-0005-0000-0000-0000D75B0000}"/>
    <cellStyle name="RowTitles-Detail 7 8 3" xfId="23493" xr:uid="{00000000-0005-0000-0000-0000D85B0000}"/>
    <cellStyle name="RowTitles-Detail 7 8_Tertiary Salaries Survey" xfId="23494" xr:uid="{00000000-0005-0000-0000-0000D95B0000}"/>
    <cellStyle name="RowTitles-Detail 7 9" xfId="23495" xr:uid="{00000000-0005-0000-0000-0000DA5B0000}"/>
    <cellStyle name="RowTitles-Detail 7_STUD aligned by INSTIT" xfId="23496" xr:uid="{00000000-0005-0000-0000-0000DB5B0000}"/>
    <cellStyle name="RowTitles-Detail 8" xfId="23497" xr:uid="{00000000-0005-0000-0000-0000DC5B0000}"/>
    <cellStyle name="RowTitles-Detail 8 2" xfId="23498" xr:uid="{00000000-0005-0000-0000-0000DD5B0000}"/>
    <cellStyle name="RowTitles-Detail 8 2 2" xfId="23499" xr:uid="{00000000-0005-0000-0000-0000DE5B0000}"/>
    <cellStyle name="RowTitles-Detail 8 2 2 2" xfId="23500" xr:uid="{00000000-0005-0000-0000-0000DF5B0000}"/>
    <cellStyle name="RowTitles-Detail 8 2 2_Tertiary Salaries Survey" xfId="23501" xr:uid="{00000000-0005-0000-0000-0000E05B0000}"/>
    <cellStyle name="RowTitles-Detail 8 2 3" xfId="23502" xr:uid="{00000000-0005-0000-0000-0000E15B0000}"/>
    <cellStyle name="RowTitles-Detail 8 2_Tertiary Salaries Survey" xfId="23503" xr:uid="{00000000-0005-0000-0000-0000E25B0000}"/>
    <cellStyle name="RowTitles-Detail 8 3" xfId="23504" xr:uid="{00000000-0005-0000-0000-0000E35B0000}"/>
    <cellStyle name="RowTitles-Detail 8 3 2" xfId="23505" xr:uid="{00000000-0005-0000-0000-0000E45B0000}"/>
    <cellStyle name="RowTitles-Detail 8 3 2 2" xfId="23506" xr:uid="{00000000-0005-0000-0000-0000E55B0000}"/>
    <cellStyle name="RowTitles-Detail 8 3 2_Tertiary Salaries Survey" xfId="23507" xr:uid="{00000000-0005-0000-0000-0000E65B0000}"/>
    <cellStyle name="RowTitles-Detail 8 3 3" xfId="23508" xr:uid="{00000000-0005-0000-0000-0000E75B0000}"/>
    <cellStyle name="RowTitles-Detail 8 3_Tertiary Salaries Survey" xfId="23509" xr:uid="{00000000-0005-0000-0000-0000E85B0000}"/>
    <cellStyle name="RowTitles-Detail 8 4" xfId="23510" xr:uid="{00000000-0005-0000-0000-0000E95B0000}"/>
    <cellStyle name="RowTitles-Detail 8 5" xfId="23511" xr:uid="{00000000-0005-0000-0000-0000EA5B0000}"/>
    <cellStyle name="RowTitles-Detail 8_Tertiary Salaries Survey" xfId="23512" xr:uid="{00000000-0005-0000-0000-0000EB5B0000}"/>
    <cellStyle name="RowTitles-Detail 9" xfId="23513" xr:uid="{00000000-0005-0000-0000-0000EC5B0000}"/>
    <cellStyle name="RowTitles-Detail 9 2" xfId="23514" xr:uid="{00000000-0005-0000-0000-0000ED5B0000}"/>
    <cellStyle name="RowTitles-Detail 9 2 2" xfId="23515" xr:uid="{00000000-0005-0000-0000-0000EE5B0000}"/>
    <cellStyle name="RowTitles-Detail 9 2 2 2" xfId="23516" xr:uid="{00000000-0005-0000-0000-0000EF5B0000}"/>
    <cellStyle name="RowTitles-Detail 9 2 2_Tertiary Salaries Survey" xfId="23517" xr:uid="{00000000-0005-0000-0000-0000F05B0000}"/>
    <cellStyle name="RowTitles-Detail 9 2 3" xfId="23518" xr:uid="{00000000-0005-0000-0000-0000F15B0000}"/>
    <cellStyle name="RowTitles-Detail 9 2_Tertiary Salaries Survey" xfId="23519" xr:uid="{00000000-0005-0000-0000-0000F25B0000}"/>
    <cellStyle name="RowTitles-Detail 9 3" xfId="23520" xr:uid="{00000000-0005-0000-0000-0000F35B0000}"/>
    <cellStyle name="RowTitles-Detail 9 3 2" xfId="23521" xr:uid="{00000000-0005-0000-0000-0000F45B0000}"/>
    <cellStyle name="RowTitles-Detail 9 3 2 2" xfId="23522" xr:uid="{00000000-0005-0000-0000-0000F55B0000}"/>
    <cellStyle name="RowTitles-Detail 9 3 2_Tertiary Salaries Survey" xfId="23523" xr:uid="{00000000-0005-0000-0000-0000F65B0000}"/>
    <cellStyle name="RowTitles-Detail 9 3 3" xfId="23524" xr:uid="{00000000-0005-0000-0000-0000F75B0000}"/>
    <cellStyle name="RowTitles-Detail 9 3_Tertiary Salaries Survey" xfId="23525" xr:uid="{00000000-0005-0000-0000-0000F85B0000}"/>
    <cellStyle name="RowTitles-Detail 9 4" xfId="23526" xr:uid="{00000000-0005-0000-0000-0000F95B0000}"/>
    <cellStyle name="RowTitles-Detail 9 5" xfId="23527" xr:uid="{00000000-0005-0000-0000-0000FA5B0000}"/>
    <cellStyle name="RowTitles-Detail 9 5 2" xfId="23528" xr:uid="{00000000-0005-0000-0000-0000FB5B0000}"/>
    <cellStyle name="RowTitles-Detail 9 5_Tertiary Salaries Survey" xfId="23529" xr:uid="{00000000-0005-0000-0000-0000FC5B0000}"/>
    <cellStyle name="RowTitles-Detail 9 6" xfId="23530" xr:uid="{00000000-0005-0000-0000-0000FD5B0000}"/>
    <cellStyle name="RowTitles-Detail 9_Tertiary Salaries Survey" xfId="23531" xr:uid="{00000000-0005-0000-0000-0000FE5B0000}"/>
    <cellStyle name="RowTitles-Detail_STUD aligned by INSTIT" xfId="23532" xr:uid="{00000000-0005-0000-0000-0000FF5B0000}"/>
    <cellStyle name="Salida" xfId="24090" builtinId="21" customBuiltin="1"/>
    <cellStyle name="semestre" xfId="23533" xr:uid="{00000000-0005-0000-0000-0000005C0000}"/>
    <cellStyle name="Standaard_Blad1" xfId="23534" xr:uid="{00000000-0005-0000-0000-0000015C0000}"/>
    <cellStyle name="Standard_DIAGRAM" xfId="23535" xr:uid="{00000000-0005-0000-0000-0000025C0000}"/>
    <cellStyle name="Sub_tot_e" xfId="23536" xr:uid="{00000000-0005-0000-0000-0000035C0000}"/>
    <cellStyle name="Sub-titles" xfId="23537" xr:uid="{00000000-0005-0000-0000-0000045C0000}"/>
    <cellStyle name="Sub-titles Cols" xfId="23538" xr:uid="{00000000-0005-0000-0000-0000055C0000}"/>
    <cellStyle name="Sub-titles rows" xfId="23539" xr:uid="{00000000-0005-0000-0000-0000065C0000}"/>
    <cellStyle name="Table No." xfId="23540" xr:uid="{00000000-0005-0000-0000-0000075C0000}"/>
    <cellStyle name="Table No. 2" xfId="23541" xr:uid="{00000000-0005-0000-0000-0000085C0000}"/>
    <cellStyle name="Table Title" xfId="23542" xr:uid="{00000000-0005-0000-0000-0000095C0000}"/>
    <cellStyle name="Table Title 2" xfId="23543" xr:uid="{00000000-0005-0000-0000-00000A5C0000}"/>
    <cellStyle name="TableStyleLight1" xfId="23544" xr:uid="{00000000-0005-0000-0000-00000B5C0000}"/>
    <cellStyle name="TableStyleLight1 10" xfId="23545" xr:uid="{00000000-0005-0000-0000-00000C5C0000}"/>
    <cellStyle name="TableStyleLight1 11" xfId="23546" xr:uid="{00000000-0005-0000-0000-00000D5C0000}"/>
    <cellStyle name="TableStyleLight1 12" xfId="23547" xr:uid="{00000000-0005-0000-0000-00000E5C0000}"/>
    <cellStyle name="TableStyleLight1 13" xfId="23548" xr:uid="{00000000-0005-0000-0000-00000F5C0000}"/>
    <cellStyle name="TableStyleLight1 2" xfId="23549" xr:uid="{00000000-0005-0000-0000-0000105C0000}"/>
    <cellStyle name="TableStyleLight1 2 10" xfId="23550" xr:uid="{00000000-0005-0000-0000-0000115C0000}"/>
    <cellStyle name="TableStyleLight1 2 10 2" xfId="23551" xr:uid="{00000000-0005-0000-0000-0000125C0000}"/>
    <cellStyle name="TableStyleLight1 2 10 2 2" xfId="23552" xr:uid="{00000000-0005-0000-0000-0000135C0000}"/>
    <cellStyle name="TableStyleLight1 2 10 2_Tertiary Salaries Survey" xfId="23553" xr:uid="{00000000-0005-0000-0000-0000145C0000}"/>
    <cellStyle name="TableStyleLight1 2 10 3" xfId="23554" xr:uid="{00000000-0005-0000-0000-0000155C0000}"/>
    <cellStyle name="TableStyleLight1 2 10 3 2" xfId="23555" xr:uid="{00000000-0005-0000-0000-0000165C0000}"/>
    <cellStyle name="TableStyleLight1 2 10 3_Tertiary Salaries Survey" xfId="23556" xr:uid="{00000000-0005-0000-0000-0000175C0000}"/>
    <cellStyle name="TableStyleLight1 2 10 4" xfId="23557" xr:uid="{00000000-0005-0000-0000-0000185C0000}"/>
    <cellStyle name="TableStyleLight1 2 10 5" xfId="23558" xr:uid="{00000000-0005-0000-0000-0000195C0000}"/>
    <cellStyle name="TableStyleLight1 2 10 6" xfId="23559" xr:uid="{00000000-0005-0000-0000-00001A5C0000}"/>
    <cellStyle name="TableStyleLight1 2 10_Tertiary Salaries Survey" xfId="23560" xr:uid="{00000000-0005-0000-0000-00001B5C0000}"/>
    <cellStyle name="TableStyleLight1 2 11" xfId="23561" xr:uid="{00000000-0005-0000-0000-00001C5C0000}"/>
    <cellStyle name="TableStyleLight1 2 11 2" xfId="23562" xr:uid="{00000000-0005-0000-0000-00001D5C0000}"/>
    <cellStyle name="TableStyleLight1 2 11 2 2" xfId="23563" xr:uid="{00000000-0005-0000-0000-00001E5C0000}"/>
    <cellStyle name="TableStyleLight1 2 11 2_Tertiary Salaries Survey" xfId="23564" xr:uid="{00000000-0005-0000-0000-00001F5C0000}"/>
    <cellStyle name="TableStyleLight1 2 11 3" xfId="23565" xr:uid="{00000000-0005-0000-0000-0000205C0000}"/>
    <cellStyle name="TableStyleLight1 2 11 3 2" xfId="23566" xr:uid="{00000000-0005-0000-0000-0000215C0000}"/>
    <cellStyle name="TableStyleLight1 2 11 3_Tertiary Salaries Survey" xfId="23567" xr:uid="{00000000-0005-0000-0000-0000225C0000}"/>
    <cellStyle name="TableStyleLight1 2 11 4" xfId="23568" xr:uid="{00000000-0005-0000-0000-0000235C0000}"/>
    <cellStyle name="TableStyleLight1 2 11 5" xfId="23569" xr:uid="{00000000-0005-0000-0000-0000245C0000}"/>
    <cellStyle name="TableStyleLight1 2 11 6" xfId="23570" xr:uid="{00000000-0005-0000-0000-0000255C0000}"/>
    <cellStyle name="TableStyleLight1 2 11_Tertiary Salaries Survey" xfId="23571" xr:uid="{00000000-0005-0000-0000-0000265C0000}"/>
    <cellStyle name="TableStyleLight1 2 12" xfId="23572" xr:uid="{00000000-0005-0000-0000-0000275C0000}"/>
    <cellStyle name="TableStyleLight1 2 13" xfId="23573" xr:uid="{00000000-0005-0000-0000-0000285C0000}"/>
    <cellStyle name="TableStyleLight1 2 14" xfId="23574" xr:uid="{00000000-0005-0000-0000-0000295C0000}"/>
    <cellStyle name="TableStyleLight1 2 2" xfId="23575" xr:uid="{00000000-0005-0000-0000-00002A5C0000}"/>
    <cellStyle name="TableStyleLight1 2 2 2" xfId="23576" xr:uid="{00000000-0005-0000-0000-00002B5C0000}"/>
    <cellStyle name="TableStyleLight1 2 2 2 2" xfId="23577" xr:uid="{00000000-0005-0000-0000-00002C5C0000}"/>
    <cellStyle name="TableStyleLight1 2 2 2 2 2" xfId="23578" xr:uid="{00000000-0005-0000-0000-00002D5C0000}"/>
    <cellStyle name="TableStyleLight1 2 2 2 2 3" xfId="23579" xr:uid="{00000000-0005-0000-0000-00002E5C0000}"/>
    <cellStyle name="TableStyleLight1 2 2 2 2 4" xfId="23580" xr:uid="{00000000-0005-0000-0000-00002F5C0000}"/>
    <cellStyle name="TableStyleLight1 2 2 2 2 5" xfId="23581" xr:uid="{00000000-0005-0000-0000-0000305C0000}"/>
    <cellStyle name="TableStyleLight1 2 2 2 2_Tertiary Salaries Survey" xfId="23582" xr:uid="{00000000-0005-0000-0000-0000315C0000}"/>
    <cellStyle name="TableStyleLight1 2 2 2 3" xfId="23583" xr:uid="{00000000-0005-0000-0000-0000325C0000}"/>
    <cellStyle name="TableStyleLight1 2 2 2 3 2" xfId="23584" xr:uid="{00000000-0005-0000-0000-0000335C0000}"/>
    <cellStyle name="TableStyleLight1 2 2 2 3 3" xfId="23585" xr:uid="{00000000-0005-0000-0000-0000345C0000}"/>
    <cellStyle name="TableStyleLight1 2 2 2 3 4" xfId="23586" xr:uid="{00000000-0005-0000-0000-0000355C0000}"/>
    <cellStyle name="TableStyleLight1 2 2 2 3_Tertiary Salaries Survey" xfId="23587" xr:uid="{00000000-0005-0000-0000-0000365C0000}"/>
    <cellStyle name="TableStyleLight1 2 2 2 4" xfId="23588" xr:uid="{00000000-0005-0000-0000-0000375C0000}"/>
    <cellStyle name="TableStyleLight1 2 2 2 5" xfId="23589" xr:uid="{00000000-0005-0000-0000-0000385C0000}"/>
    <cellStyle name="TableStyleLight1 2 2 2 6" xfId="23590" xr:uid="{00000000-0005-0000-0000-0000395C0000}"/>
    <cellStyle name="TableStyleLight1 2 2 2_STUD aligned by INSTIT" xfId="23591" xr:uid="{00000000-0005-0000-0000-00003A5C0000}"/>
    <cellStyle name="TableStyleLight1 2 2 3" xfId="23592" xr:uid="{00000000-0005-0000-0000-00003B5C0000}"/>
    <cellStyle name="TableStyleLight1 2 2 3 2" xfId="23593" xr:uid="{00000000-0005-0000-0000-00003C5C0000}"/>
    <cellStyle name="TableStyleLight1 2 2 3 3" xfId="23594" xr:uid="{00000000-0005-0000-0000-00003D5C0000}"/>
    <cellStyle name="TableStyleLight1 2 2 3 4" xfId="23595" xr:uid="{00000000-0005-0000-0000-00003E5C0000}"/>
    <cellStyle name="TableStyleLight1 2 2 3 5" xfId="23596" xr:uid="{00000000-0005-0000-0000-00003F5C0000}"/>
    <cellStyle name="TableStyleLight1 2 2 3_Tertiary Salaries Survey" xfId="23597" xr:uid="{00000000-0005-0000-0000-0000405C0000}"/>
    <cellStyle name="TableStyleLight1 2 2 4" xfId="23598" xr:uid="{00000000-0005-0000-0000-0000415C0000}"/>
    <cellStyle name="TableStyleLight1 2 2 4 2" xfId="23599" xr:uid="{00000000-0005-0000-0000-0000425C0000}"/>
    <cellStyle name="TableStyleLight1 2 2 4 3" xfId="23600" xr:uid="{00000000-0005-0000-0000-0000435C0000}"/>
    <cellStyle name="TableStyleLight1 2 2 4 4" xfId="23601" xr:uid="{00000000-0005-0000-0000-0000445C0000}"/>
    <cellStyle name="TableStyleLight1 2 2 4_Tertiary Salaries Survey" xfId="23602" xr:uid="{00000000-0005-0000-0000-0000455C0000}"/>
    <cellStyle name="TableStyleLight1 2 2 5" xfId="23603" xr:uid="{00000000-0005-0000-0000-0000465C0000}"/>
    <cellStyle name="TableStyleLight1 2 2 6" xfId="23604" xr:uid="{00000000-0005-0000-0000-0000475C0000}"/>
    <cellStyle name="TableStyleLight1 2 2 7" xfId="23605" xr:uid="{00000000-0005-0000-0000-0000485C0000}"/>
    <cellStyle name="TableStyleLight1 2 2_STUD aligned by INSTIT" xfId="23606" xr:uid="{00000000-0005-0000-0000-0000495C0000}"/>
    <cellStyle name="TableStyleLight1 2 3" xfId="23607" xr:uid="{00000000-0005-0000-0000-00004A5C0000}"/>
    <cellStyle name="TableStyleLight1 2 3 2" xfId="23608" xr:uid="{00000000-0005-0000-0000-00004B5C0000}"/>
    <cellStyle name="TableStyleLight1 2 3 2 2" xfId="23609" xr:uid="{00000000-0005-0000-0000-00004C5C0000}"/>
    <cellStyle name="TableStyleLight1 2 3 2 3" xfId="23610" xr:uid="{00000000-0005-0000-0000-00004D5C0000}"/>
    <cellStyle name="TableStyleLight1 2 3 2 4" xfId="23611" xr:uid="{00000000-0005-0000-0000-00004E5C0000}"/>
    <cellStyle name="TableStyleLight1 2 3 2 5" xfId="23612" xr:uid="{00000000-0005-0000-0000-00004F5C0000}"/>
    <cellStyle name="TableStyleLight1 2 3 2_Tertiary Salaries Survey" xfId="23613" xr:uid="{00000000-0005-0000-0000-0000505C0000}"/>
    <cellStyle name="TableStyleLight1 2 3 3" xfId="23614" xr:uid="{00000000-0005-0000-0000-0000515C0000}"/>
    <cellStyle name="TableStyleLight1 2 3 3 2" xfId="23615" xr:uid="{00000000-0005-0000-0000-0000525C0000}"/>
    <cellStyle name="TableStyleLight1 2 3 3 3" xfId="23616" xr:uid="{00000000-0005-0000-0000-0000535C0000}"/>
    <cellStyle name="TableStyleLight1 2 3 3 4" xfId="23617" xr:uid="{00000000-0005-0000-0000-0000545C0000}"/>
    <cellStyle name="TableStyleLight1 2 3 3_Tertiary Salaries Survey" xfId="23618" xr:uid="{00000000-0005-0000-0000-0000555C0000}"/>
    <cellStyle name="TableStyleLight1 2 3 4" xfId="23619" xr:uid="{00000000-0005-0000-0000-0000565C0000}"/>
    <cellStyle name="TableStyleLight1 2 3 5" xfId="23620" xr:uid="{00000000-0005-0000-0000-0000575C0000}"/>
    <cellStyle name="TableStyleLight1 2 3 6" xfId="23621" xr:uid="{00000000-0005-0000-0000-0000585C0000}"/>
    <cellStyle name="TableStyleLight1 2 3_STUD aligned by INSTIT" xfId="23622" xr:uid="{00000000-0005-0000-0000-0000595C0000}"/>
    <cellStyle name="TableStyleLight1 2 4" xfId="23623" xr:uid="{00000000-0005-0000-0000-00005A5C0000}"/>
    <cellStyle name="TableStyleLight1 2 4 10" xfId="23624" xr:uid="{00000000-0005-0000-0000-00005B5C0000}"/>
    <cellStyle name="TableStyleLight1 2 4 2" xfId="23625" xr:uid="{00000000-0005-0000-0000-00005C5C0000}"/>
    <cellStyle name="TableStyleLight1 2 4 2 2" xfId="23626" xr:uid="{00000000-0005-0000-0000-00005D5C0000}"/>
    <cellStyle name="TableStyleLight1 2 4 2 3" xfId="23627" xr:uid="{00000000-0005-0000-0000-00005E5C0000}"/>
    <cellStyle name="TableStyleLight1 2 4 2 4" xfId="23628" xr:uid="{00000000-0005-0000-0000-00005F5C0000}"/>
    <cellStyle name="TableStyleLight1 2 4 2 5" xfId="23629" xr:uid="{00000000-0005-0000-0000-0000605C0000}"/>
    <cellStyle name="TableStyleLight1 2 4 2_Tertiary Salaries Survey" xfId="23630" xr:uid="{00000000-0005-0000-0000-0000615C0000}"/>
    <cellStyle name="TableStyleLight1 2 4 3" xfId="23631" xr:uid="{00000000-0005-0000-0000-0000625C0000}"/>
    <cellStyle name="TableStyleLight1 2 4 3 2" xfId="23632" xr:uid="{00000000-0005-0000-0000-0000635C0000}"/>
    <cellStyle name="TableStyleLight1 2 4 3 2 2" xfId="23633" xr:uid="{00000000-0005-0000-0000-0000645C0000}"/>
    <cellStyle name="TableStyleLight1 2 4 3 2_Tertiary Salaries Survey" xfId="23634" xr:uid="{00000000-0005-0000-0000-0000655C0000}"/>
    <cellStyle name="TableStyleLight1 2 4 3 3" xfId="23635" xr:uid="{00000000-0005-0000-0000-0000665C0000}"/>
    <cellStyle name="TableStyleLight1 2 4 3 3 2" xfId="23636" xr:uid="{00000000-0005-0000-0000-0000675C0000}"/>
    <cellStyle name="TableStyleLight1 2 4 3 3_Tertiary Salaries Survey" xfId="23637" xr:uid="{00000000-0005-0000-0000-0000685C0000}"/>
    <cellStyle name="TableStyleLight1 2 4 3 4" xfId="23638" xr:uid="{00000000-0005-0000-0000-0000695C0000}"/>
    <cellStyle name="TableStyleLight1 2 4 3 5" xfId="23639" xr:uid="{00000000-0005-0000-0000-00006A5C0000}"/>
    <cellStyle name="TableStyleLight1 2 4 3 6" xfId="23640" xr:uid="{00000000-0005-0000-0000-00006B5C0000}"/>
    <cellStyle name="TableStyleLight1 2 4 3_Tertiary Salaries Survey" xfId="23641" xr:uid="{00000000-0005-0000-0000-00006C5C0000}"/>
    <cellStyle name="TableStyleLight1 2 4 4" xfId="23642" xr:uid="{00000000-0005-0000-0000-00006D5C0000}"/>
    <cellStyle name="TableStyleLight1 2 4 4 2" xfId="23643" xr:uid="{00000000-0005-0000-0000-00006E5C0000}"/>
    <cellStyle name="TableStyleLight1 2 4 4 2 2" xfId="23644" xr:uid="{00000000-0005-0000-0000-00006F5C0000}"/>
    <cellStyle name="TableStyleLight1 2 4 4 2_Tertiary Salaries Survey" xfId="23645" xr:uid="{00000000-0005-0000-0000-0000705C0000}"/>
    <cellStyle name="TableStyleLight1 2 4 4 3" xfId="23646" xr:uid="{00000000-0005-0000-0000-0000715C0000}"/>
    <cellStyle name="TableStyleLight1 2 4 4 3 2" xfId="23647" xr:uid="{00000000-0005-0000-0000-0000725C0000}"/>
    <cellStyle name="TableStyleLight1 2 4 4 3_Tertiary Salaries Survey" xfId="23648" xr:uid="{00000000-0005-0000-0000-0000735C0000}"/>
    <cellStyle name="TableStyleLight1 2 4 4 4" xfId="23649" xr:uid="{00000000-0005-0000-0000-0000745C0000}"/>
    <cellStyle name="TableStyleLight1 2 4 4 5" xfId="23650" xr:uid="{00000000-0005-0000-0000-0000755C0000}"/>
    <cellStyle name="TableStyleLight1 2 4 4 6" xfId="23651" xr:uid="{00000000-0005-0000-0000-0000765C0000}"/>
    <cellStyle name="TableStyleLight1 2 4 4_Tertiary Salaries Survey" xfId="23652" xr:uid="{00000000-0005-0000-0000-0000775C0000}"/>
    <cellStyle name="TableStyleLight1 2 4 5" xfId="23653" xr:uid="{00000000-0005-0000-0000-0000785C0000}"/>
    <cellStyle name="TableStyleLight1 2 4 5 2" xfId="23654" xr:uid="{00000000-0005-0000-0000-0000795C0000}"/>
    <cellStyle name="TableStyleLight1 2 4 5 2 2" xfId="23655" xr:uid="{00000000-0005-0000-0000-00007A5C0000}"/>
    <cellStyle name="TableStyleLight1 2 4 5 2_Tertiary Salaries Survey" xfId="23656" xr:uid="{00000000-0005-0000-0000-00007B5C0000}"/>
    <cellStyle name="TableStyleLight1 2 4 5 3" xfId="23657" xr:uid="{00000000-0005-0000-0000-00007C5C0000}"/>
    <cellStyle name="TableStyleLight1 2 4 5 3 2" xfId="23658" xr:uid="{00000000-0005-0000-0000-00007D5C0000}"/>
    <cellStyle name="TableStyleLight1 2 4 5 3_Tertiary Salaries Survey" xfId="23659" xr:uid="{00000000-0005-0000-0000-00007E5C0000}"/>
    <cellStyle name="TableStyleLight1 2 4 5 4" xfId="23660" xr:uid="{00000000-0005-0000-0000-00007F5C0000}"/>
    <cellStyle name="TableStyleLight1 2 4 5 5" xfId="23661" xr:uid="{00000000-0005-0000-0000-0000805C0000}"/>
    <cellStyle name="TableStyleLight1 2 4 5 6" xfId="23662" xr:uid="{00000000-0005-0000-0000-0000815C0000}"/>
    <cellStyle name="TableStyleLight1 2 4 5_Tertiary Salaries Survey" xfId="23663" xr:uid="{00000000-0005-0000-0000-0000825C0000}"/>
    <cellStyle name="TableStyleLight1 2 4 6" xfId="23664" xr:uid="{00000000-0005-0000-0000-0000835C0000}"/>
    <cellStyle name="TableStyleLight1 2 4 6 2" xfId="23665" xr:uid="{00000000-0005-0000-0000-0000845C0000}"/>
    <cellStyle name="TableStyleLight1 2 4 6 2 2" xfId="23666" xr:uid="{00000000-0005-0000-0000-0000855C0000}"/>
    <cellStyle name="TableStyleLight1 2 4 6 2_Tertiary Salaries Survey" xfId="23667" xr:uid="{00000000-0005-0000-0000-0000865C0000}"/>
    <cellStyle name="TableStyleLight1 2 4 6 3" xfId="23668" xr:uid="{00000000-0005-0000-0000-0000875C0000}"/>
    <cellStyle name="TableStyleLight1 2 4 6 3 2" xfId="23669" xr:uid="{00000000-0005-0000-0000-0000885C0000}"/>
    <cellStyle name="TableStyleLight1 2 4 6 3_Tertiary Salaries Survey" xfId="23670" xr:uid="{00000000-0005-0000-0000-0000895C0000}"/>
    <cellStyle name="TableStyleLight1 2 4 6 4" xfId="23671" xr:uid="{00000000-0005-0000-0000-00008A5C0000}"/>
    <cellStyle name="TableStyleLight1 2 4 6 5" xfId="23672" xr:uid="{00000000-0005-0000-0000-00008B5C0000}"/>
    <cellStyle name="TableStyleLight1 2 4 6 6" xfId="23673" xr:uid="{00000000-0005-0000-0000-00008C5C0000}"/>
    <cellStyle name="TableStyleLight1 2 4 6_Tertiary Salaries Survey" xfId="23674" xr:uid="{00000000-0005-0000-0000-00008D5C0000}"/>
    <cellStyle name="TableStyleLight1 2 4 7" xfId="23675" xr:uid="{00000000-0005-0000-0000-00008E5C0000}"/>
    <cellStyle name="TableStyleLight1 2 4 8" xfId="23676" xr:uid="{00000000-0005-0000-0000-00008F5C0000}"/>
    <cellStyle name="TableStyleLight1 2 4 9" xfId="23677" xr:uid="{00000000-0005-0000-0000-0000905C0000}"/>
    <cellStyle name="TableStyleLight1 2 4_STUD aligned by INSTIT" xfId="23678" xr:uid="{00000000-0005-0000-0000-0000915C0000}"/>
    <cellStyle name="TableStyleLight1 2 5" xfId="23679" xr:uid="{00000000-0005-0000-0000-0000925C0000}"/>
    <cellStyle name="TableStyleLight1 2 5 10" xfId="23680" xr:uid="{00000000-0005-0000-0000-0000935C0000}"/>
    <cellStyle name="TableStyleLight1 2 5 2" xfId="23681" xr:uid="{00000000-0005-0000-0000-0000945C0000}"/>
    <cellStyle name="TableStyleLight1 2 5 2 2" xfId="23682" xr:uid="{00000000-0005-0000-0000-0000955C0000}"/>
    <cellStyle name="TableStyleLight1 2 5 2 2 2" xfId="23683" xr:uid="{00000000-0005-0000-0000-0000965C0000}"/>
    <cellStyle name="TableStyleLight1 2 5 2 2_Tertiary Salaries Survey" xfId="23684" xr:uid="{00000000-0005-0000-0000-0000975C0000}"/>
    <cellStyle name="TableStyleLight1 2 5 2 3" xfId="23685" xr:uid="{00000000-0005-0000-0000-0000985C0000}"/>
    <cellStyle name="TableStyleLight1 2 5 2 3 2" xfId="23686" xr:uid="{00000000-0005-0000-0000-0000995C0000}"/>
    <cellStyle name="TableStyleLight1 2 5 2 3_Tertiary Salaries Survey" xfId="23687" xr:uid="{00000000-0005-0000-0000-00009A5C0000}"/>
    <cellStyle name="TableStyleLight1 2 5 2 4" xfId="23688" xr:uid="{00000000-0005-0000-0000-00009B5C0000}"/>
    <cellStyle name="TableStyleLight1 2 5 2 5" xfId="23689" xr:uid="{00000000-0005-0000-0000-00009C5C0000}"/>
    <cellStyle name="TableStyleLight1 2 5 2_Tertiary Salaries Survey" xfId="23690" xr:uid="{00000000-0005-0000-0000-00009D5C0000}"/>
    <cellStyle name="TableStyleLight1 2 5 3" xfId="23691" xr:uid="{00000000-0005-0000-0000-00009E5C0000}"/>
    <cellStyle name="TableStyleLight1 2 5 3 2" xfId="23692" xr:uid="{00000000-0005-0000-0000-00009F5C0000}"/>
    <cellStyle name="TableStyleLight1 2 5 3 2 2" xfId="23693" xr:uid="{00000000-0005-0000-0000-0000A05C0000}"/>
    <cellStyle name="TableStyleLight1 2 5 3 2_Tertiary Salaries Survey" xfId="23694" xr:uid="{00000000-0005-0000-0000-0000A15C0000}"/>
    <cellStyle name="TableStyleLight1 2 5 3 3" xfId="23695" xr:uid="{00000000-0005-0000-0000-0000A25C0000}"/>
    <cellStyle name="TableStyleLight1 2 5 3 3 2" xfId="23696" xr:uid="{00000000-0005-0000-0000-0000A35C0000}"/>
    <cellStyle name="TableStyleLight1 2 5 3 3_Tertiary Salaries Survey" xfId="23697" xr:uid="{00000000-0005-0000-0000-0000A45C0000}"/>
    <cellStyle name="TableStyleLight1 2 5 3 4" xfId="23698" xr:uid="{00000000-0005-0000-0000-0000A55C0000}"/>
    <cellStyle name="TableStyleLight1 2 5 3 5" xfId="23699" xr:uid="{00000000-0005-0000-0000-0000A65C0000}"/>
    <cellStyle name="TableStyleLight1 2 5 3 6" xfId="23700" xr:uid="{00000000-0005-0000-0000-0000A75C0000}"/>
    <cellStyle name="TableStyleLight1 2 5 3 7" xfId="23701" xr:uid="{00000000-0005-0000-0000-0000A85C0000}"/>
    <cellStyle name="TableStyleLight1 2 5 3_Tertiary Salaries Survey" xfId="23702" xr:uid="{00000000-0005-0000-0000-0000A95C0000}"/>
    <cellStyle name="TableStyleLight1 2 5 4" xfId="23703" xr:uid="{00000000-0005-0000-0000-0000AA5C0000}"/>
    <cellStyle name="TableStyleLight1 2 5 4 2" xfId="23704" xr:uid="{00000000-0005-0000-0000-0000AB5C0000}"/>
    <cellStyle name="TableStyleLight1 2 5 4 2 2" xfId="23705" xr:uid="{00000000-0005-0000-0000-0000AC5C0000}"/>
    <cellStyle name="TableStyleLight1 2 5 4 2_Tertiary Salaries Survey" xfId="23706" xr:uid="{00000000-0005-0000-0000-0000AD5C0000}"/>
    <cellStyle name="TableStyleLight1 2 5 4 3" xfId="23707" xr:uid="{00000000-0005-0000-0000-0000AE5C0000}"/>
    <cellStyle name="TableStyleLight1 2 5 4 3 2" xfId="23708" xr:uid="{00000000-0005-0000-0000-0000AF5C0000}"/>
    <cellStyle name="TableStyleLight1 2 5 4 3_Tertiary Salaries Survey" xfId="23709" xr:uid="{00000000-0005-0000-0000-0000B05C0000}"/>
    <cellStyle name="TableStyleLight1 2 5 4 4" xfId="23710" xr:uid="{00000000-0005-0000-0000-0000B15C0000}"/>
    <cellStyle name="TableStyleLight1 2 5 4 5" xfId="23711" xr:uid="{00000000-0005-0000-0000-0000B25C0000}"/>
    <cellStyle name="TableStyleLight1 2 5 4 6" xfId="23712" xr:uid="{00000000-0005-0000-0000-0000B35C0000}"/>
    <cellStyle name="TableStyleLight1 2 5 4_Tertiary Salaries Survey" xfId="23713" xr:uid="{00000000-0005-0000-0000-0000B45C0000}"/>
    <cellStyle name="TableStyleLight1 2 5 5" xfId="23714" xr:uid="{00000000-0005-0000-0000-0000B55C0000}"/>
    <cellStyle name="TableStyleLight1 2 5 5 2" xfId="23715" xr:uid="{00000000-0005-0000-0000-0000B65C0000}"/>
    <cellStyle name="TableStyleLight1 2 5 5 2 2" xfId="23716" xr:uid="{00000000-0005-0000-0000-0000B75C0000}"/>
    <cellStyle name="TableStyleLight1 2 5 5 2_Tertiary Salaries Survey" xfId="23717" xr:uid="{00000000-0005-0000-0000-0000B85C0000}"/>
    <cellStyle name="TableStyleLight1 2 5 5 3" xfId="23718" xr:uid="{00000000-0005-0000-0000-0000B95C0000}"/>
    <cellStyle name="TableStyleLight1 2 5 5 3 2" xfId="23719" xr:uid="{00000000-0005-0000-0000-0000BA5C0000}"/>
    <cellStyle name="TableStyleLight1 2 5 5 3_Tertiary Salaries Survey" xfId="23720" xr:uid="{00000000-0005-0000-0000-0000BB5C0000}"/>
    <cellStyle name="TableStyleLight1 2 5 5 4" xfId="23721" xr:uid="{00000000-0005-0000-0000-0000BC5C0000}"/>
    <cellStyle name="TableStyleLight1 2 5 5 5" xfId="23722" xr:uid="{00000000-0005-0000-0000-0000BD5C0000}"/>
    <cellStyle name="TableStyleLight1 2 5 5 6" xfId="23723" xr:uid="{00000000-0005-0000-0000-0000BE5C0000}"/>
    <cellStyle name="TableStyleLight1 2 5 5_Tertiary Salaries Survey" xfId="23724" xr:uid="{00000000-0005-0000-0000-0000BF5C0000}"/>
    <cellStyle name="TableStyleLight1 2 5 6" xfId="23725" xr:uid="{00000000-0005-0000-0000-0000C05C0000}"/>
    <cellStyle name="TableStyleLight1 2 5 6 2" xfId="23726" xr:uid="{00000000-0005-0000-0000-0000C15C0000}"/>
    <cellStyle name="TableStyleLight1 2 5 6 2 2" xfId="23727" xr:uid="{00000000-0005-0000-0000-0000C25C0000}"/>
    <cellStyle name="TableStyleLight1 2 5 6 2_Tertiary Salaries Survey" xfId="23728" xr:uid="{00000000-0005-0000-0000-0000C35C0000}"/>
    <cellStyle name="TableStyleLight1 2 5 6 3" xfId="23729" xr:uid="{00000000-0005-0000-0000-0000C45C0000}"/>
    <cellStyle name="TableStyleLight1 2 5 6 3 2" xfId="23730" xr:uid="{00000000-0005-0000-0000-0000C55C0000}"/>
    <cellStyle name="TableStyleLight1 2 5 6 3_Tertiary Salaries Survey" xfId="23731" xr:uid="{00000000-0005-0000-0000-0000C65C0000}"/>
    <cellStyle name="TableStyleLight1 2 5 6 4" xfId="23732" xr:uid="{00000000-0005-0000-0000-0000C75C0000}"/>
    <cellStyle name="TableStyleLight1 2 5 6 5" xfId="23733" xr:uid="{00000000-0005-0000-0000-0000C85C0000}"/>
    <cellStyle name="TableStyleLight1 2 5 6 6" xfId="23734" xr:uid="{00000000-0005-0000-0000-0000C95C0000}"/>
    <cellStyle name="TableStyleLight1 2 5 6_Tertiary Salaries Survey" xfId="23735" xr:uid="{00000000-0005-0000-0000-0000CA5C0000}"/>
    <cellStyle name="TableStyleLight1 2 5 7" xfId="23736" xr:uid="{00000000-0005-0000-0000-0000CB5C0000}"/>
    <cellStyle name="TableStyleLight1 2 5 7 2" xfId="23737" xr:uid="{00000000-0005-0000-0000-0000CC5C0000}"/>
    <cellStyle name="TableStyleLight1 2 5 7_Tertiary Salaries Survey" xfId="23738" xr:uid="{00000000-0005-0000-0000-0000CD5C0000}"/>
    <cellStyle name="TableStyleLight1 2 5 8" xfId="23739" xr:uid="{00000000-0005-0000-0000-0000CE5C0000}"/>
    <cellStyle name="TableStyleLight1 2 5 8 2" xfId="23740" xr:uid="{00000000-0005-0000-0000-0000CF5C0000}"/>
    <cellStyle name="TableStyleLight1 2 5 8_Tertiary Salaries Survey" xfId="23741" xr:uid="{00000000-0005-0000-0000-0000D05C0000}"/>
    <cellStyle name="TableStyleLight1 2 5 9" xfId="23742" xr:uid="{00000000-0005-0000-0000-0000D15C0000}"/>
    <cellStyle name="TableStyleLight1 2 5_STUD aligned by INSTIT" xfId="23743" xr:uid="{00000000-0005-0000-0000-0000D25C0000}"/>
    <cellStyle name="TableStyleLight1 2 6" xfId="23744" xr:uid="{00000000-0005-0000-0000-0000D35C0000}"/>
    <cellStyle name="TableStyleLight1 2 6 10" xfId="23745" xr:uid="{00000000-0005-0000-0000-0000D45C0000}"/>
    <cellStyle name="TableStyleLight1 2 6 2" xfId="23746" xr:uid="{00000000-0005-0000-0000-0000D55C0000}"/>
    <cellStyle name="TableStyleLight1 2 6 2 2" xfId="23747" xr:uid="{00000000-0005-0000-0000-0000D65C0000}"/>
    <cellStyle name="TableStyleLight1 2 6 2 2 2" xfId="23748" xr:uid="{00000000-0005-0000-0000-0000D75C0000}"/>
    <cellStyle name="TableStyleLight1 2 6 2 2_Tertiary Salaries Survey" xfId="23749" xr:uid="{00000000-0005-0000-0000-0000D85C0000}"/>
    <cellStyle name="TableStyleLight1 2 6 2 3" xfId="23750" xr:uid="{00000000-0005-0000-0000-0000D95C0000}"/>
    <cellStyle name="TableStyleLight1 2 6 2 3 2" xfId="23751" xr:uid="{00000000-0005-0000-0000-0000DA5C0000}"/>
    <cellStyle name="TableStyleLight1 2 6 2 3_Tertiary Salaries Survey" xfId="23752" xr:uid="{00000000-0005-0000-0000-0000DB5C0000}"/>
    <cellStyle name="TableStyleLight1 2 6 2 4" xfId="23753" xr:uid="{00000000-0005-0000-0000-0000DC5C0000}"/>
    <cellStyle name="TableStyleLight1 2 6 2 5" xfId="23754" xr:uid="{00000000-0005-0000-0000-0000DD5C0000}"/>
    <cellStyle name="TableStyleLight1 2 6 2_Tertiary Salaries Survey" xfId="23755" xr:uid="{00000000-0005-0000-0000-0000DE5C0000}"/>
    <cellStyle name="TableStyleLight1 2 6 3" xfId="23756" xr:uid="{00000000-0005-0000-0000-0000DF5C0000}"/>
    <cellStyle name="TableStyleLight1 2 6 3 2" xfId="23757" xr:uid="{00000000-0005-0000-0000-0000E05C0000}"/>
    <cellStyle name="TableStyleLight1 2 6 3 2 2" xfId="23758" xr:uid="{00000000-0005-0000-0000-0000E15C0000}"/>
    <cellStyle name="TableStyleLight1 2 6 3 2_Tertiary Salaries Survey" xfId="23759" xr:uid="{00000000-0005-0000-0000-0000E25C0000}"/>
    <cellStyle name="TableStyleLight1 2 6 3 3" xfId="23760" xr:uid="{00000000-0005-0000-0000-0000E35C0000}"/>
    <cellStyle name="TableStyleLight1 2 6 3 3 2" xfId="23761" xr:uid="{00000000-0005-0000-0000-0000E45C0000}"/>
    <cellStyle name="TableStyleLight1 2 6 3 3_Tertiary Salaries Survey" xfId="23762" xr:uid="{00000000-0005-0000-0000-0000E55C0000}"/>
    <cellStyle name="TableStyleLight1 2 6 3 4" xfId="23763" xr:uid="{00000000-0005-0000-0000-0000E65C0000}"/>
    <cellStyle name="TableStyleLight1 2 6 3 5" xfId="23764" xr:uid="{00000000-0005-0000-0000-0000E75C0000}"/>
    <cellStyle name="TableStyleLight1 2 6 3 6" xfId="23765" xr:uid="{00000000-0005-0000-0000-0000E85C0000}"/>
    <cellStyle name="TableStyleLight1 2 6 3 7" xfId="23766" xr:uid="{00000000-0005-0000-0000-0000E95C0000}"/>
    <cellStyle name="TableStyleLight1 2 6 3_Tertiary Salaries Survey" xfId="23767" xr:uid="{00000000-0005-0000-0000-0000EA5C0000}"/>
    <cellStyle name="TableStyleLight1 2 6 4" xfId="23768" xr:uid="{00000000-0005-0000-0000-0000EB5C0000}"/>
    <cellStyle name="TableStyleLight1 2 6 4 2" xfId="23769" xr:uid="{00000000-0005-0000-0000-0000EC5C0000}"/>
    <cellStyle name="TableStyleLight1 2 6 4 2 2" xfId="23770" xr:uid="{00000000-0005-0000-0000-0000ED5C0000}"/>
    <cellStyle name="TableStyleLight1 2 6 4 2_Tertiary Salaries Survey" xfId="23771" xr:uid="{00000000-0005-0000-0000-0000EE5C0000}"/>
    <cellStyle name="TableStyleLight1 2 6 4 3" xfId="23772" xr:uid="{00000000-0005-0000-0000-0000EF5C0000}"/>
    <cellStyle name="TableStyleLight1 2 6 4 3 2" xfId="23773" xr:uid="{00000000-0005-0000-0000-0000F05C0000}"/>
    <cellStyle name="TableStyleLight1 2 6 4 3_Tertiary Salaries Survey" xfId="23774" xr:uid="{00000000-0005-0000-0000-0000F15C0000}"/>
    <cellStyle name="TableStyleLight1 2 6 4 4" xfId="23775" xr:uid="{00000000-0005-0000-0000-0000F25C0000}"/>
    <cellStyle name="TableStyleLight1 2 6 4 5" xfId="23776" xr:uid="{00000000-0005-0000-0000-0000F35C0000}"/>
    <cellStyle name="TableStyleLight1 2 6 4 6" xfId="23777" xr:uid="{00000000-0005-0000-0000-0000F45C0000}"/>
    <cellStyle name="TableStyleLight1 2 6 4_Tertiary Salaries Survey" xfId="23778" xr:uid="{00000000-0005-0000-0000-0000F55C0000}"/>
    <cellStyle name="TableStyleLight1 2 6 5" xfId="23779" xr:uid="{00000000-0005-0000-0000-0000F65C0000}"/>
    <cellStyle name="TableStyleLight1 2 6 5 2" xfId="23780" xr:uid="{00000000-0005-0000-0000-0000F75C0000}"/>
    <cellStyle name="TableStyleLight1 2 6 5 2 2" xfId="23781" xr:uid="{00000000-0005-0000-0000-0000F85C0000}"/>
    <cellStyle name="TableStyleLight1 2 6 5 2_Tertiary Salaries Survey" xfId="23782" xr:uid="{00000000-0005-0000-0000-0000F95C0000}"/>
    <cellStyle name="TableStyleLight1 2 6 5 3" xfId="23783" xr:uid="{00000000-0005-0000-0000-0000FA5C0000}"/>
    <cellStyle name="TableStyleLight1 2 6 5 3 2" xfId="23784" xr:uid="{00000000-0005-0000-0000-0000FB5C0000}"/>
    <cellStyle name="TableStyleLight1 2 6 5 3_Tertiary Salaries Survey" xfId="23785" xr:uid="{00000000-0005-0000-0000-0000FC5C0000}"/>
    <cellStyle name="TableStyleLight1 2 6 5 4" xfId="23786" xr:uid="{00000000-0005-0000-0000-0000FD5C0000}"/>
    <cellStyle name="TableStyleLight1 2 6 5 5" xfId="23787" xr:uid="{00000000-0005-0000-0000-0000FE5C0000}"/>
    <cellStyle name="TableStyleLight1 2 6 5 6" xfId="23788" xr:uid="{00000000-0005-0000-0000-0000FF5C0000}"/>
    <cellStyle name="TableStyleLight1 2 6 5_Tertiary Salaries Survey" xfId="23789" xr:uid="{00000000-0005-0000-0000-0000005D0000}"/>
    <cellStyle name="TableStyleLight1 2 6 6" xfId="23790" xr:uid="{00000000-0005-0000-0000-0000015D0000}"/>
    <cellStyle name="TableStyleLight1 2 6 6 2" xfId="23791" xr:uid="{00000000-0005-0000-0000-0000025D0000}"/>
    <cellStyle name="TableStyleLight1 2 6 6 2 2" xfId="23792" xr:uid="{00000000-0005-0000-0000-0000035D0000}"/>
    <cellStyle name="TableStyleLight1 2 6 6 2_Tertiary Salaries Survey" xfId="23793" xr:uid="{00000000-0005-0000-0000-0000045D0000}"/>
    <cellStyle name="TableStyleLight1 2 6 6 3" xfId="23794" xr:uid="{00000000-0005-0000-0000-0000055D0000}"/>
    <cellStyle name="TableStyleLight1 2 6 6 3 2" xfId="23795" xr:uid="{00000000-0005-0000-0000-0000065D0000}"/>
    <cellStyle name="TableStyleLight1 2 6 6 3_Tertiary Salaries Survey" xfId="23796" xr:uid="{00000000-0005-0000-0000-0000075D0000}"/>
    <cellStyle name="TableStyleLight1 2 6 6 4" xfId="23797" xr:uid="{00000000-0005-0000-0000-0000085D0000}"/>
    <cellStyle name="TableStyleLight1 2 6 6 5" xfId="23798" xr:uid="{00000000-0005-0000-0000-0000095D0000}"/>
    <cellStyle name="TableStyleLight1 2 6 6 6" xfId="23799" xr:uid="{00000000-0005-0000-0000-00000A5D0000}"/>
    <cellStyle name="TableStyleLight1 2 6 6_Tertiary Salaries Survey" xfId="23800" xr:uid="{00000000-0005-0000-0000-00000B5D0000}"/>
    <cellStyle name="TableStyleLight1 2 6 7" xfId="23801" xr:uid="{00000000-0005-0000-0000-00000C5D0000}"/>
    <cellStyle name="TableStyleLight1 2 6 7 2" xfId="23802" xr:uid="{00000000-0005-0000-0000-00000D5D0000}"/>
    <cellStyle name="TableStyleLight1 2 6 7_Tertiary Salaries Survey" xfId="23803" xr:uid="{00000000-0005-0000-0000-00000E5D0000}"/>
    <cellStyle name="TableStyleLight1 2 6 8" xfId="23804" xr:uid="{00000000-0005-0000-0000-00000F5D0000}"/>
    <cellStyle name="TableStyleLight1 2 6 8 2" xfId="23805" xr:uid="{00000000-0005-0000-0000-0000105D0000}"/>
    <cellStyle name="TableStyleLight1 2 6 8_Tertiary Salaries Survey" xfId="23806" xr:uid="{00000000-0005-0000-0000-0000115D0000}"/>
    <cellStyle name="TableStyleLight1 2 6 9" xfId="23807" xr:uid="{00000000-0005-0000-0000-0000125D0000}"/>
    <cellStyle name="TableStyleLight1 2 6_STUD aligned by INSTIT" xfId="23808" xr:uid="{00000000-0005-0000-0000-0000135D0000}"/>
    <cellStyle name="TableStyleLight1 2 7" xfId="23809" xr:uid="{00000000-0005-0000-0000-0000145D0000}"/>
    <cellStyle name="TableStyleLight1 2 7 2" xfId="23810" xr:uid="{00000000-0005-0000-0000-0000155D0000}"/>
    <cellStyle name="TableStyleLight1 2 7 3" xfId="23811" xr:uid="{00000000-0005-0000-0000-0000165D0000}"/>
    <cellStyle name="TableStyleLight1 2 7 4" xfId="23812" xr:uid="{00000000-0005-0000-0000-0000175D0000}"/>
    <cellStyle name="TableStyleLight1 2 7 5" xfId="23813" xr:uid="{00000000-0005-0000-0000-0000185D0000}"/>
    <cellStyle name="TableStyleLight1 2 7_Tertiary Salaries Survey" xfId="23814" xr:uid="{00000000-0005-0000-0000-0000195D0000}"/>
    <cellStyle name="TableStyleLight1 2 8" xfId="23815" xr:uid="{00000000-0005-0000-0000-00001A5D0000}"/>
    <cellStyle name="TableStyleLight1 2 8 2" xfId="23816" xr:uid="{00000000-0005-0000-0000-00001B5D0000}"/>
    <cellStyle name="TableStyleLight1 2 8 2 2" xfId="23817" xr:uid="{00000000-0005-0000-0000-00001C5D0000}"/>
    <cellStyle name="TableStyleLight1 2 8 2_Tertiary Salaries Survey" xfId="23818" xr:uid="{00000000-0005-0000-0000-00001D5D0000}"/>
    <cellStyle name="TableStyleLight1 2 8 3" xfId="23819" xr:uid="{00000000-0005-0000-0000-00001E5D0000}"/>
    <cellStyle name="TableStyleLight1 2 8 3 2" xfId="23820" xr:uid="{00000000-0005-0000-0000-00001F5D0000}"/>
    <cellStyle name="TableStyleLight1 2 8 3_Tertiary Salaries Survey" xfId="23821" xr:uid="{00000000-0005-0000-0000-0000205D0000}"/>
    <cellStyle name="TableStyleLight1 2 8 4" xfId="23822" xr:uid="{00000000-0005-0000-0000-0000215D0000}"/>
    <cellStyle name="TableStyleLight1 2 8 5" xfId="23823" xr:uid="{00000000-0005-0000-0000-0000225D0000}"/>
    <cellStyle name="TableStyleLight1 2 8 6" xfId="23824" xr:uid="{00000000-0005-0000-0000-0000235D0000}"/>
    <cellStyle name="TableStyleLight1 2 8_Tertiary Salaries Survey" xfId="23825" xr:uid="{00000000-0005-0000-0000-0000245D0000}"/>
    <cellStyle name="TableStyleLight1 2 9" xfId="23826" xr:uid="{00000000-0005-0000-0000-0000255D0000}"/>
    <cellStyle name="TableStyleLight1 2 9 2" xfId="23827" xr:uid="{00000000-0005-0000-0000-0000265D0000}"/>
    <cellStyle name="TableStyleLight1 2 9 2 2" xfId="23828" xr:uid="{00000000-0005-0000-0000-0000275D0000}"/>
    <cellStyle name="TableStyleLight1 2 9 2_Tertiary Salaries Survey" xfId="23829" xr:uid="{00000000-0005-0000-0000-0000285D0000}"/>
    <cellStyle name="TableStyleLight1 2 9 3" xfId="23830" xr:uid="{00000000-0005-0000-0000-0000295D0000}"/>
    <cellStyle name="TableStyleLight1 2 9 3 2" xfId="23831" xr:uid="{00000000-0005-0000-0000-00002A5D0000}"/>
    <cellStyle name="TableStyleLight1 2 9 3_Tertiary Salaries Survey" xfId="23832" xr:uid="{00000000-0005-0000-0000-00002B5D0000}"/>
    <cellStyle name="TableStyleLight1 2 9 4" xfId="23833" xr:uid="{00000000-0005-0000-0000-00002C5D0000}"/>
    <cellStyle name="TableStyleLight1 2 9 5" xfId="23834" xr:uid="{00000000-0005-0000-0000-00002D5D0000}"/>
    <cellStyle name="TableStyleLight1 2 9 6" xfId="23835" xr:uid="{00000000-0005-0000-0000-00002E5D0000}"/>
    <cellStyle name="TableStyleLight1 2 9_Tertiary Salaries Survey" xfId="23836" xr:uid="{00000000-0005-0000-0000-00002F5D0000}"/>
    <cellStyle name="TableStyleLight1 2_STUD aligned by INSTIT" xfId="23837" xr:uid="{00000000-0005-0000-0000-0000305D0000}"/>
    <cellStyle name="TableStyleLight1 3" xfId="23838" xr:uid="{00000000-0005-0000-0000-0000315D0000}"/>
    <cellStyle name="TableStyleLight1 3 2" xfId="23839" xr:uid="{00000000-0005-0000-0000-0000325D0000}"/>
    <cellStyle name="TableStyleLight1 3 2 2" xfId="23840" xr:uid="{00000000-0005-0000-0000-0000335D0000}"/>
    <cellStyle name="TableStyleLight1 3 2 2 2" xfId="23841" xr:uid="{00000000-0005-0000-0000-0000345D0000}"/>
    <cellStyle name="TableStyleLight1 3 2 2 3" xfId="23842" xr:uid="{00000000-0005-0000-0000-0000355D0000}"/>
    <cellStyle name="TableStyleLight1 3 2 2 4" xfId="23843" xr:uid="{00000000-0005-0000-0000-0000365D0000}"/>
    <cellStyle name="TableStyleLight1 3 2 2 5" xfId="23844" xr:uid="{00000000-0005-0000-0000-0000375D0000}"/>
    <cellStyle name="TableStyleLight1 3 2 2_Tertiary Salaries Survey" xfId="23845" xr:uid="{00000000-0005-0000-0000-0000385D0000}"/>
    <cellStyle name="TableStyleLight1 3 2 3" xfId="23846" xr:uid="{00000000-0005-0000-0000-0000395D0000}"/>
    <cellStyle name="TableStyleLight1 3 2 3 2" xfId="23847" xr:uid="{00000000-0005-0000-0000-00003A5D0000}"/>
    <cellStyle name="TableStyleLight1 3 2 3 3" xfId="23848" xr:uid="{00000000-0005-0000-0000-00003B5D0000}"/>
    <cellStyle name="TableStyleLight1 3 2 3 4" xfId="23849" xr:uid="{00000000-0005-0000-0000-00003C5D0000}"/>
    <cellStyle name="TableStyleLight1 3 2 3_Tertiary Salaries Survey" xfId="23850" xr:uid="{00000000-0005-0000-0000-00003D5D0000}"/>
    <cellStyle name="TableStyleLight1 3 2 4" xfId="23851" xr:uid="{00000000-0005-0000-0000-00003E5D0000}"/>
    <cellStyle name="TableStyleLight1 3 2 5" xfId="23852" xr:uid="{00000000-0005-0000-0000-00003F5D0000}"/>
    <cellStyle name="TableStyleLight1 3 2 6" xfId="23853" xr:uid="{00000000-0005-0000-0000-0000405D0000}"/>
    <cellStyle name="TableStyleLight1 3 2_STUD aligned by INSTIT" xfId="23854" xr:uid="{00000000-0005-0000-0000-0000415D0000}"/>
    <cellStyle name="TableStyleLight1 3 3" xfId="23855" xr:uid="{00000000-0005-0000-0000-0000425D0000}"/>
    <cellStyle name="TableStyleLight1 3 3 2" xfId="23856" xr:uid="{00000000-0005-0000-0000-0000435D0000}"/>
    <cellStyle name="TableStyleLight1 3 3 3" xfId="23857" xr:uid="{00000000-0005-0000-0000-0000445D0000}"/>
    <cellStyle name="TableStyleLight1 3 3 4" xfId="23858" xr:uid="{00000000-0005-0000-0000-0000455D0000}"/>
    <cellStyle name="TableStyleLight1 3 3 5" xfId="23859" xr:uid="{00000000-0005-0000-0000-0000465D0000}"/>
    <cellStyle name="TableStyleLight1 3 3_Tertiary Salaries Survey" xfId="23860" xr:uid="{00000000-0005-0000-0000-0000475D0000}"/>
    <cellStyle name="TableStyleLight1 3 4" xfId="23861" xr:uid="{00000000-0005-0000-0000-0000485D0000}"/>
    <cellStyle name="TableStyleLight1 3 4 2" xfId="23862" xr:uid="{00000000-0005-0000-0000-0000495D0000}"/>
    <cellStyle name="TableStyleLight1 3 4 3" xfId="23863" xr:uid="{00000000-0005-0000-0000-00004A5D0000}"/>
    <cellStyle name="TableStyleLight1 3 4 4" xfId="23864" xr:uid="{00000000-0005-0000-0000-00004B5D0000}"/>
    <cellStyle name="TableStyleLight1 3 4_Tertiary Salaries Survey" xfId="23865" xr:uid="{00000000-0005-0000-0000-00004C5D0000}"/>
    <cellStyle name="TableStyleLight1 3 5" xfId="23866" xr:uid="{00000000-0005-0000-0000-00004D5D0000}"/>
    <cellStyle name="TableStyleLight1 3 6" xfId="23867" xr:uid="{00000000-0005-0000-0000-00004E5D0000}"/>
    <cellStyle name="TableStyleLight1 3 7" xfId="23868" xr:uid="{00000000-0005-0000-0000-00004F5D0000}"/>
    <cellStyle name="TableStyleLight1 3 8" xfId="23869" xr:uid="{00000000-0005-0000-0000-0000505D0000}"/>
    <cellStyle name="TableStyleLight1 3_STUD aligned by INSTIT" xfId="23870" xr:uid="{00000000-0005-0000-0000-0000515D0000}"/>
    <cellStyle name="TableStyleLight1 4" xfId="23871" xr:uid="{00000000-0005-0000-0000-0000525D0000}"/>
    <cellStyle name="TableStyleLight1 4 2" xfId="23872" xr:uid="{00000000-0005-0000-0000-0000535D0000}"/>
    <cellStyle name="TableStyleLight1 4 2 2" xfId="23873" xr:uid="{00000000-0005-0000-0000-0000545D0000}"/>
    <cellStyle name="TableStyleLight1 4 2 2 2" xfId="23874" xr:uid="{00000000-0005-0000-0000-0000555D0000}"/>
    <cellStyle name="TableStyleLight1 4 2 2 3" xfId="23875" xr:uid="{00000000-0005-0000-0000-0000565D0000}"/>
    <cellStyle name="TableStyleLight1 4 2 2 4" xfId="23876" xr:uid="{00000000-0005-0000-0000-0000575D0000}"/>
    <cellStyle name="TableStyleLight1 4 2 2 5" xfId="23877" xr:uid="{00000000-0005-0000-0000-0000585D0000}"/>
    <cellStyle name="TableStyleLight1 4 2 2_Tertiary Salaries Survey" xfId="23878" xr:uid="{00000000-0005-0000-0000-0000595D0000}"/>
    <cellStyle name="TableStyleLight1 4 2 3" xfId="23879" xr:uid="{00000000-0005-0000-0000-00005A5D0000}"/>
    <cellStyle name="TableStyleLight1 4 2 3 2" xfId="23880" xr:uid="{00000000-0005-0000-0000-00005B5D0000}"/>
    <cellStyle name="TableStyleLight1 4 2 3 3" xfId="23881" xr:uid="{00000000-0005-0000-0000-00005C5D0000}"/>
    <cellStyle name="TableStyleLight1 4 2 3 4" xfId="23882" xr:uid="{00000000-0005-0000-0000-00005D5D0000}"/>
    <cellStyle name="TableStyleLight1 4 2 3_Tertiary Salaries Survey" xfId="23883" xr:uid="{00000000-0005-0000-0000-00005E5D0000}"/>
    <cellStyle name="TableStyleLight1 4 2 4" xfId="23884" xr:uid="{00000000-0005-0000-0000-00005F5D0000}"/>
    <cellStyle name="TableStyleLight1 4 2 5" xfId="23885" xr:uid="{00000000-0005-0000-0000-0000605D0000}"/>
    <cellStyle name="TableStyleLight1 4 2 6" xfId="23886" xr:uid="{00000000-0005-0000-0000-0000615D0000}"/>
    <cellStyle name="TableStyleLight1 4 2_STUD aligned by INSTIT" xfId="23887" xr:uid="{00000000-0005-0000-0000-0000625D0000}"/>
    <cellStyle name="TableStyleLight1 4 3" xfId="23888" xr:uid="{00000000-0005-0000-0000-0000635D0000}"/>
    <cellStyle name="TableStyleLight1 4 3 2" xfId="23889" xr:uid="{00000000-0005-0000-0000-0000645D0000}"/>
    <cellStyle name="TableStyleLight1 4 3 3" xfId="23890" xr:uid="{00000000-0005-0000-0000-0000655D0000}"/>
    <cellStyle name="TableStyleLight1 4 3 4" xfId="23891" xr:uid="{00000000-0005-0000-0000-0000665D0000}"/>
    <cellStyle name="TableStyleLight1 4 3 5" xfId="23892" xr:uid="{00000000-0005-0000-0000-0000675D0000}"/>
    <cellStyle name="TableStyleLight1 4 3_Tertiary Salaries Survey" xfId="23893" xr:uid="{00000000-0005-0000-0000-0000685D0000}"/>
    <cellStyle name="TableStyleLight1 4 4" xfId="23894" xr:uid="{00000000-0005-0000-0000-0000695D0000}"/>
    <cellStyle name="TableStyleLight1 4 4 2" xfId="23895" xr:uid="{00000000-0005-0000-0000-00006A5D0000}"/>
    <cellStyle name="TableStyleLight1 4 4 3" xfId="23896" xr:uid="{00000000-0005-0000-0000-00006B5D0000}"/>
    <cellStyle name="TableStyleLight1 4 4 4" xfId="23897" xr:uid="{00000000-0005-0000-0000-00006C5D0000}"/>
    <cellStyle name="TableStyleLight1 4 4_Tertiary Salaries Survey" xfId="23898" xr:uid="{00000000-0005-0000-0000-00006D5D0000}"/>
    <cellStyle name="TableStyleLight1 4 5" xfId="23899" xr:uid="{00000000-0005-0000-0000-00006E5D0000}"/>
    <cellStyle name="TableStyleLight1 4 6" xfId="23900" xr:uid="{00000000-0005-0000-0000-00006F5D0000}"/>
    <cellStyle name="TableStyleLight1 4 7" xfId="23901" xr:uid="{00000000-0005-0000-0000-0000705D0000}"/>
    <cellStyle name="TableStyleLight1 4 8" xfId="23902" xr:uid="{00000000-0005-0000-0000-0000715D0000}"/>
    <cellStyle name="TableStyleLight1 4_STUD aligned by INSTIT" xfId="23903" xr:uid="{00000000-0005-0000-0000-0000725D0000}"/>
    <cellStyle name="TableStyleLight1 5" xfId="23904" xr:uid="{00000000-0005-0000-0000-0000735D0000}"/>
    <cellStyle name="TableStyleLight1 6" xfId="23905" xr:uid="{00000000-0005-0000-0000-0000745D0000}"/>
    <cellStyle name="TableStyleLight1 6 10" xfId="23906" xr:uid="{00000000-0005-0000-0000-0000755D0000}"/>
    <cellStyle name="TableStyleLight1 6 2" xfId="23907" xr:uid="{00000000-0005-0000-0000-0000765D0000}"/>
    <cellStyle name="TableStyleLight1 6 2 2" xfId="23908" xr:uid="{00000000-0005-0000-0000-0000775D0000}"/>
    <cellStyle name="TableStyleLight1 6 2 3" xfId="23909" xr:uid="{00000000-0005-0000-0000-0000785D0000}"/>
    <cellStyle name="TableStyleLight1 6 2 4" xfId="23910" xr:uid="{00000000-0005-0000-0000-0000795D0000}"/>
    <cellStyle name="TableStyleLight1 6 2 5" xfId="23911" xr:uid="{00000000-0005-0000-0000-00007A5D0000}"/>
    <cellStyle name="TableStyleLight1 6 2_Tertiary Salaries Survey" xfId="23912" xr:uid="{00000000-0005-0000-0000-00007B5D0000}"/>
    <cellStyle name="TableStyleLight1 6 3" xfId="23913" xr:uid="{00000000-0005-0000-0000-00007C5D0000}"/>
    <cellStyle name="TableStyleLight1 6 3 2" xfId="23914" xr:uid="{00000000-0005-0000-0000-00007D5D0000}"/>
    <cellStyle name="TableStyleLight1 6 3 2 2" xfId="23915" xr:uid="{00000000-0005-0000-0000-00007E5D0000}"/>
    <cellStyle name="TableStyleLight1 6 3 2_Tertiary Salaries Survey" xfId="23916" xr:uid="{00000000-0005-0000-0000-00007F5D0000}"/>
    <cellStyle name="TableStyleLight1 6 3 3" xfId="23917" xr:uid="{00000000-0005-0000-0000-0000805D0000}"/>
    <cellStyle name="TableStyleLight1 6 3 3 2" xfId="23918" xr:uid="{00000000-0005-0000-0000-0000815D0000}"/>
    <cellStyle name="TableStyleLight1 6 3 3_Tertiary Salaries Survey" xfId="23919" xr:uid="{00000000-0005-0000-0000-0000825D0000}"/>
    <cellStyle name="TableStyleLight1 6 3 4" xfId="23920" xr:uid="{00000000-0005-0000-0000-0000835D0000}"/>
    <cellStyle name="TableStyleLight1 6 3 5" xfId="23921" xr:uid="{00000000-0005-0000-0000-0000845D0000}"/>
    <cellStyle name="TableStyleLight1 6 3 6" xfId="23922" xr:uid="{00000000-0005-0000-0000-0000855D0000}"/>
    <cellStyle name="TableStyleLight1 6 3_Tertiary Salaries Survey" xfId="23923" xr:uid="{00000000-0005-0000-0000-0000865D0000}"/>
    <cellStyle name="TableStyleLight1 6 4" xfId="23924" xr:uid="{00000000-0005-0000-0000-0000875D0000}"/>
    <cellStyle name="TableStyleLight1 6 4 2" xfId="23925" xr:uid="{00000000-0005-0000-0000-0000885D0000}"/>
    <cellStyle name="TableStyleLight1 6 4 2 2" xfId="23926" xr:uid="{00000000-0005-0000-0000-0000895D0000}"/>
    <cellStyle name="TableStyleLight1 6 4 2_Tertiary Salaries Survey" xfId="23927" xr:uid="{00000000-0005-0000-0000-00008A5D0000}"/>
    <cellStyle name="TableStyleLight1 6 4 3" xfId="23928" xr:uid="{00000000-0005-0000-0000-00008B5D0000}"/>
    <cellStyle name="TableStyleLight1 6 4 3 2" xfId="23929" xr:uid="{00000000-0005-0000-0000-00008C5D0000}"/>
    <cellStyle name="TableStyleLight1 6 4 3_Tertiary Salaries Survey" xfId="23930" xr:uid="{00000000-0005-0000-0000-00008D5D0000}"/>
    <cellStyle name="TableStyleLight1 6 4 4" xfId="23931" xr:uid="{00000000-0005-0000-0000-00008E5D0000}"/>
    <cellStyle name="TableStyleLight1 6 4 5" xfId="23932" xr:uid="{00000000-0005-0000-0000-00008F5D0000}"/>
    <cellStyle name="TableStyleLight1 6 4 6" xfId="23933" xr:uid="{00000000-0005-0000-0000-0000905D0000}"/>
    <cellStyle name="TableStyleLight1 6 4_Tertiary Salaries Survey" xfId="23934" xr:uid="{00000000-0005-0000-0000-0000915D0000}"/>
    <cellStyle name="TableStyleLight1 6 5" xfId="23935" xr:uid="{00000000-0005-0000-0000-0000925D0000}"/>
    <cellStyle name="TableStyleLight1 6 5 2" xfId="23936" xr:uid="{00000000-0005-0000-0000-0000935D0000}"/>
    <cellStyle name="TableStyleLight1 6 5 2 2" xfId="23937" xr:uid="{00000000-0005-0000-0000-0000945D0000}"/>
    <cellStyle name="TableStyleLight1 6 5 2_Tertiary Salaries Survey" xfId="23938" xr:uid="{00000000-0005-0000-0000-0000955D0000}"/>
    <cellStyle name="TableStyleLight1 6 5 3" xfId="23939" xr:uid="{00000000-0005-0000-0000-0000965D0000}"/>
    <cellStyle name="TableStyleLight1 6 5 3 2" xfId="23940" xr:uid="{00000000-0005-0000-0000-0000975D0000}"/>
    <cellStyle name="TableStyleLight1 6 5 3_Tertiary Salaries Survey" xfId="23941" xr:uid="{00000000-0005-0000-0000-0000985D0000}"/>
    <cellStyle name="TableStyleLight1 6 5 4" xfId="23942" xr:uid="{00000000-0005-0000-0000-0000995D0000}"/>
    <cellStyle name="TableStyleLight1 6 5 5" xfId="23943" xr:uid="{00000000-0005-0000-0000-00009A5D0000}"/>
    <cellStyle name="TableStyleLight1 6 5 6" xfId="23944" xr:uid="{00000000-0005-0000-0000-00009B5D0000}"/>
    <cellStyle name="TableStyleLight1 6 5_Tertiary Salaries Survey" xfId="23945" xr:uid="{00000000-0005-0000-0000-00009C5D0000}"/>
    <cellStyle name="TableStyleLight1 6 6" xfId="23946" xr:uid="{00000000-0005-0000-0000-00009D5D0000}"/>
    <cellStyle name="TableStyleLight1 6 6 2" xfId="23947" xr:uid="{00000000-0005-0000-0000-00009E5D0000}"/>
    <cellStyle name="TableStyleLight1 6 6 2 2" xfId="23948" xr:uid="{00000000-0005-0000-0000-00009F5D0000}"/>
    <cellStyle name="TableStyleLight1 6 6 2_Tertiary Salaries Survey" xfId="23949" xr:uid="{00000000-0005-0000-0000-0000A05D0000}"/>
    <cellStyle name="TableStyleLight1 6 6 3" xfId="23950" xr:uid="{00000000-0005-0000-0000-0000A15D0000}"/>
    <cellStyle name="TableStyleLight1 6 6 3 2" xfId="23951" xr:uid="{00000000-0005-0000-0000-0000A25D0000}"/>
    <cellStyle name="TableStyleLight1 6 6 3_Tertiary Salaries Survey" xfId="23952" xr:uid="{00000000-0005-0000-0000-0000A35D0000}"/>
    <cellStyle name="TableStyleLight1 6 6 4" xfId="23953" xr:uid="{00000000-0005-0000-0000-0000A45D0000}"/>
    <cellStyle name="TableStyleLight1 6 6 5" xfId="23954" xr:uid="{00000000-0005-0000-0000-0000A55D0000}"/>
    <cellStyle name="TableStyleLight1 6 6 6" xfId="23955" xr:uid="{00000000-0005-0000-0000-0000A65D0000}"/>
    <cellStyle name="TableStyleLight1 6 6_Tertiary Salaries Survey" xfId="23956" xr:uid="{00000000-0005-0000-0000-0000A75D0000}"/>
    <cellStyle name="TableStyleLight1 6 7" xfId="23957" xr:uid="{00000000-0005-0000-0000-0000A85D0000}"/>
    <cellStyle name="TableStyleLight1 6 8" xfId="23958" xr:uid="{00000000-0005-0000-0000-0000A95D0000}"/>
    <cellStyle name="TableStyleLight1 6 9" xfId="23959" xr:uid="{00000000-0005-0000-0000-0000AA5D0000}"/>
    <cellStyle name="TableStyleLight1 6_STUD aligned by INSTIT" xfId="23960" xr:uid="{00000000-0005-0000-0000-0000AB5D0000}"/>
    <cellStyle name="TableStyleLight1 7" xfId="23961" xr:uid="{00000000-0005-0000-0000-0000AC5D0000}"/>
    <cellStyle name="TableStyleLight1 7 10" xfId="23962" xr:uid="{00000000-0005-0000-0000-0000AD5D0000}"/>
    <cellStyle name="TableStyleLight1 7 2" xfId="23963" xr:uid="{00000000-0005-0000-0000-0000AE5D0000}"/>
    <cellStyle name="TableStyleLight1 7 2 2" xfId="23964" xr:uid="{00000000-0005-0000-0000-0000AF5D0000}"/>
    <cellStyle name="TableStyleLight1 7 2 2 2" xfId="23965" xr:uid="{00000000-0005-0000-0000-0000B05D0000}"/>
    <cellStyle name="TableStyleLight1 7 2 2_Tertiary Salaries Survey" xfId="23966" xr:uid="{00000000-0005-0000-0000-0000B15D0000}"/>
    <cellStyle name="TableStyleLight1 7 2 3" xfId="23967" xr:uid="{00000000-0005-0000-0000-0000B25D0000}"/>
    <cellStyle name="TableStyleLight1 7 2 3 2" xfId="23968" xr:uid="{00000000-0005-0000-0000-0000B35D0000}"/>
    <cellStyle name="TableStyleLight1 7 2 3_Tertiary Salaries Survey" xfId="23969" xr:uid="{00000000-0005-0000-0000-0000B45D0000}"/>
    <cellStyle name="TableStyleLight1 7 2 4" xfId="23970" xr:uid="{00000000-0005-0000-0000-0000B55D0000}"/>
    <cellStyle name="TableStyleLight1 7 2 5" xfId="23971" xr:uid="{00000000-0005-0000-0000-0000B65D0000}"/>
    <cellStyle name="TableStyleLight1 7 2_Tertiary Salaries Survey" xfId="23972" xr:uid="{00000000-0005-0000-0000-0000B75D0000}"/>
    <cellStyle name="TableStyleLight1 7 3" xfId="23973" xr:uid="{00000000-0005-0000-0000-0000B85D0000}"/>
    <cellStyle name="TableStyleLight1 7 3 2" xfId="23974" xr:uid="{00000000-0005-0000-0000-0000B95D0000}"/>
    <cellStyle name="TableStyleLight1 7 3 2 2" xfId="23975" xr:uid="{00000000-0005-0000-0000-0000BA5D0000}"/>
    <cellStyle name="TableStyleLight1 7 3 2_Tertiary Salaries Survey" xfId="23976" xr:uid="{00000000-0005-0000-0000-0000BB5D0000}"/>
    <cellStyle name="TableStyleLight1 7 3 3" xfId="23977" xr:uid="{00000000-0005-0000-0000-0000BC5D0000}"/>
    <cellStyle name="TableStyleLight1 7 3 3 2" xfId="23978" xr:uid="{00000000-0005-0000-0000-0000BD5D0000}"/>
    <cellStyle name="TableStyleLight1 7 3 3_Tertiary Salaries Survey" xfId="23979" xr:uid="{00000000-0005-0000-0000-0000BE5D0000}"/>
    <cellStyle name="TableStyleLight1 7 3 4" xfId="23980" xr:uid="{00000000-0005-0000-0000-0000BF5D0000}"/>
    <cellStyle name="TableStyleLight1 7 3 5" xfId="23981" xr:uid="{00000000-0005-0000-0000-0000C05D0000}"/>
    <cellStyle name="TableStyleLight1 7 3 6" xfId="23982" xr:uid="{00000000-0005-0000-0000-0000C15D0000}"/>
    <cellStyle name="TableStyleLight1 7 3 7" xfId="23983" xr:uid="{00000000-0005-0000-0000-0000C25D0000}"/>
    <cellStyle name="TableStyleLight1 7 3_Tertiary Salaries Survey" xfId="23984" xr:uid="{00000000-0005-0000-0000-0000C35D0000}"/>
    <cellStyle name="TableStyleLight1 7 4" xfId="23985" xr:uid="{00000000-0005-0000-0000-0000C45D0000}"/>
    <cellStyle name="TableStyleLight1 7 4 2" xfId="23986" xr:uid="{00000000-0005-0000-0000-0000C55D0000}"/>
    <cellStyle name="TableStyleLight1 7 4 2 2" xfId="23987" xr:uid="{00000000-0005-0000-0000-0000C65D0000}"/>
    <cellStyle name="TableStyleLight1 7 4 2_Tertiary Salaries Survey" xfId="23988" xr:uid="{00000000-0005-0000-0000-0000C75D0000}"/>
    <cellStyle name="TableStyleLight1 7 4 3" xfId="23989" xr:uid="{00000000-0005-0000-0000-0000C85D0000}"/>
    <cellStyle name="TableStyleLight1 7 4 3 2" xfId="23990" xr:uid="{00000000-0005-0000-0000-0000C95D0000}"/>
    <cellStyle name="TableStyleLight1 7 4 3_Tertiary Salaries Survey" xfId="23991" xr:uid="{00000000-0005-0000-0000-0000CA5D0000}"/>
    <cellStyle name="TableStyleLight1 7 4 4" xfId="23992" xr:uid="{00000000-0005-0000-0000-0000CB5D0000}"/>
    <cellStyle name="TableStyleLight1 7 4 5" xfId="23993" xr:uid="{00000000-0005-0000-0000-0000CC5D0000}"/>
    <cellStyle name="TableStyleLight1 7 4 6" xfId="23994" xr:uid="{00000000-0005-0000-0000-0000CD5D0000}"/>
    <cellStyle name="TableStyleLight1 7 4_Tertiary Salaries Survey" xfId="23995" xr:uid="{00000000-0005-0000-0000-0000CE5D0000}"/>
    <cellStyle name="TableStyleLight1 7 5" xfId="23996" xr:uid="{00000000-0005-0000-0000-0000CF5D0000}"/>
    <cellStyle name="TableStyleLight1 7 5 2" xfId="23997" xr:uid="{00000000-0005-0000-0000-0000D05D0000}"/>
    <cellStyle name="TableStyleLight1 7 5 2 2" xfId="23998" xr:uid="{00000000-0005-0000-0000-0000D15D0000}"/>
    <cellStyle name="TableStyleLight1 7 5 2_Tertiary Salaries Survey" xfId="23999" xr:uid="{00000000-0005-0000-0000-0000D25D0000}"/>
    <cellStyle name="TableStyleLight1 7 5 3" xfId="24000" xr:uid="{00000000-0005-0000-0000-0000D35D0000}"/>
    <cellStyle name="TableStyleLight1 7 5 3 2" xfId="24001" xr:uid="{00000000-0005-0000-0000-0000D45D0000}"/>
    <cellStyle name="TableStyleLight1 7 5 3_Tertiary Salaries Survey" xfId="24002" xr:uid="{00000000-0005-0000-0000-0000D55D0000}"/>
    <cellStyle name="TableStyleLight1 7 5 4" xfId="24003" xr:uid="{00000000-0005-0000-0000-0000D65D0000}"/>
    <cellStyle name="TableStyleLight1 7 5 5" xfId="24004" xr:uid="{00000000-0005-0000-0000-0000D75D0000}"/>
    <cellStyle name="TableStyleLight1 7 5 6" xfId="24005" xr:uid="{00000000-0005-0000-0000-0000D85D0000}"/>
    <cellStyle name="TableStyleLight1 7 5_Tertiary Salaries Survey" xfId="24006" xr:uid="{00000000-0005-0000-0000-0000D95D0000}"/>
    <cellStyle name="TableStyleLight1 7 6" xfId="24007" xr:uid="{00000000-0005-0000-0000-0000DA5D0000}"/>
    <cellStyle name="TableStyleLight1 7 6 2" xfId="24008" xr:uid="{00000000-0005-0000-0000-0000DB5D0000}"/>
    <cellStyle name="TableStyleLight1 7 6 2 2" xfId="24009" xr:uid="{00000000-0005-0000-0000-0000DC5D0000}"/>
    <cellStyle name="TableStyleLight1 7 6 2_Tertiary Salaries Survey" xfId="24010" xr:uid="{00000000-0005-0000-0000-0000DD5D0000}"/>
    <cellStyle name="TableStyleLight1 7 6 3" xfId="24011" xr:uid="{00000000-0005-0000-0000-0000DE5D0000}"/>
    <cellStyle name="TableStyleLight1 7 6 3 2" xfId="24012" xr:uid="{00000000-0005-0000-0000-0000DF5D0000}"/>
    <cellStyle name="TableStyleLight1 7 6 3_Tertiary Salaries Survey" xfId="24013" xr:uid="{00000000-0005-0000-0000-0000E05D0000}"/>
    <cellStyle name="TableStyleLight1 7 6 4" xfId="24014" xr:uid="{00000000-0005-0000-0000-0000E15D0000}"/>
    <cellStyle name="TableStyleLight1 7 6 5" xfId="24015" xr:uid="{00000000-0005-0000-0000-0000E25D0000}"/>
    <cellStyle name="TableStyleLight1 7 6 6" xfId="24016" xr:uid="{00000000-0005-0000-0000-0000E35D0000}"/>
    <cellStyle name="TableStyleLight1 7 6_Tertiary Salaries Survey" xfId="24017" xr:uid="{00000000-0005-0000-0000-0000E45D0000}"/>
    <cellStyle name="TableStyleLight1 7 7" xfId="24018" xr:uid="{00000000-0005-0000-0000-0000E55D0000}"/>
    <cellStyle name="TableStyleLight1 7 7 2" xfId="24019" xr:uid="{00000000-0005-0000-0000-0000E65D0000}"/>
    <cellStyle name="TableStyleLight1 7 7_Tertiary Salaries Survey" xfId="24020" xr:uid="{00000000-0005-0000-0000-0000E75D0000}"/>
    <cellStyle name="TableStyleLight1 7 8" xfId="24021" xr:uid="{00000000-0005-0000-0000-0000E85D0000}"/>
    <cellStyle name="TableStyleLight1 7 8 2" xfId="24022" xr:uid="{00000000-0005-0000-0000-0000E95D0000}"/>
    <cellStyle name="TableStyleLight1 7 8_Tertiary Salaries Survey" xfId="24023" xr:uid="{00000000-0005-0000-0000-0000EA5D0000}"/>
    <cellStyle name="TableStyleLight1 7 9" xfId="24024" xr:uid="{00000000-0005-0000-0000-0000EB5D0000}"/>
    <cellStyle name="TableStyleLight1 7_STUD aligned by INSTIT" xfId="24025" xr:uid="{00000000-0005-0000-0000-0000EC5D0000}"/>
    <cellStyle name="TableStyleLight1 8" xfId="24026" xr:uid="{00000000-0005-0000-0000-0000ED5D0000}"/>
    <cellStyle name="TableStyleLight1 8 2" xfId="24027" xr:uid="{00000000-0005-0000-0000-0000EE5D0000}"/>
    <cellStyle name="TableStyleLight1 8 3" xfId="24028" xr:uid="{00000000-0005-0000-0000-0000EF5D0000}"/>
    <cellStyle name="TableStyleLight1 8 4" xfId="24029" xr:uid="{00000000-0005-0000-0000-0000F05D0000}"/>
    <cellStyle name="TableStyleLight1 8 5" xfId="24030" xr:uid="{00000000-0005-0000-0000-0000F15D0000}"/>
    <cellStyle name="TableStyleLight1 8_Tertiary Salaries Survey" xfId="24031" xr:uid="{00000000-0005-0000-0000-0000F25D0000}"/>
    <cellStyle name="TableStyleLight1 9" xfId="24032" xr:uid="{00000000-0005-0000-0000-0000F35D0000}"/>
    <cellStyle name="TableStyleLight1_STUD aligned by INSTIT" xfId="24033" xr:uid="{00000000-0005-0000-0000-0000F45D0000}"/>
    <cellStyle name="temp" xfId="24034" xr:uid="{00000000-0005-0000-0000-0000F55D0000}"/>
    <cellStyle name="temp 2" xfId="24035" xr:uid="{00000000-0005-0000-0000-0000F65D0000}"/>
    <cellStyle name="tête chapitre" xfId="24036" xr:uid="{00000000-0005-0000-0000-0000F75D0000}"/>
    <cellStyle name="TEXT" xfId="24037" xr:uid="{00000000-0005-0000-0000-0000F85D0000}"/>
    <cellStyle name="Texto de advertencia" xfId="24094" builtinId="11" customBuiltin="1"/>
    <cellStyle name="Texto explicativo" xfId="24096" builtinId="53" customBuiltin="1"/>
    <cellStyle name="title1" xfId="24038" xr:uid="{00000000-0005-0000-0000-0000F95D0000}"/>
    <cellStyle name="title1 2" xfId="24039" xr:uid="{00000000-0005-0000-0000-0000FA5D0000}"/>
    <cellStyle name="Titles" xfId="24040" xr:uid="{00000000-0005-0000-0000-0000FB5D0000}"/>
    <cellStyle name="titre" xfId="24041" xr:uid="{00000000-0005-0000-0000-0000FC5D0000}"/>
    <cellStyle name="Título" xfId="24081" builtinId="15" customBuiltin="1"/>
    <cellStyle name="Título 2" xfId="24083" builtinId="17" customBuiltin="1"/>
    <cellStyle name="Título 3" xfId="24084" builtinId="18" customBuiltin="1"/>
    <cellStyle name="Total" xfId="24097" builtinId="25" customBuiltin="1"/>
    <cellStyle name="Tusental (0)_Blad2" xfId="24042" xr:uid="{00000000-0005-0000-0000-0000FD5D0000}"/>
    <cellStyle name="Tusental 2" xfId="24043" xr:uid="{00000000-0005-0000-0000-0000FE5D0000}"/>
    <cellStyle name="Tusental_Blad2" xfId="24044" xr:uid="{00000000-0005-0000-0000-0000FF5D0000}"/>
    <cellStyle name="Valuta (0)_Blad2" xfId="24045" xr:uid="{00000000-0005-0000-0000-0000005E0000}"/>
    <cellStyle name="Valuta_Blad2" xfId="24046" xr:uid="{00000000-0005-0000-0000-0000015E0000}"/>
    <cellStyle name="Währung [0]_DIAGRAM" xfId="24047" xr:uid="{00000000-0005-0000-0000-0000025E0000}"/>
    <cellStyle name="Währung_DIAGRAM" xfId="24048" xr:uid="{00000000-0005-0000-0000-0000035E0000}"/>
    <cellStyle name="Wrapped" xfId="24049" xr:uid="{00000000-0005-0000-0000-0000045E0000}"/>
    <cellStyle name="자리수" xfId="24050" xr:uid="{00000000-0005-0000-0000-0000055E0000}"/>
    <cellStyle name="자리수0" xfId="24051" xr:uid="{00000000-0005-0000-0000-0000065E0000}"/>
    <cellStyle name="콤마 [0]_ACCOUNT" xfId="24052" xr:uid="{00000000-0005-0000-0000-0000075E0000}"/>
    <cellStyle name="콤마_ACCOUNT" xfId="24053" xr:uid="{00000000-0005-0000-0000-0000085E0000}"/>
    <cellStyle name="통화 [0]_ACCOUNT" xfId="24054" xr:uid="{00000000-0005-0000-0000-0000095E0000}"/>
    <cellStyle name="통화_ACCOUNT" xfId="24055" xr:uid="{00000000-0005-0000-0000-00000A5E0000}"/>
    <cellStyle name="퍼센트" xfId="24056" xr:uid="{00000000-0005-0000-0000-00000B5E0000}"/>
    <cellStyle name="표준 5" xfId="24057" xr:uid="{00000000-0005-0000-0000-00000C5E0000}"/>
    <cellStyle name="표준_9511REV" xfId="24058" xr:uid="{00000000-0005-0000-0000-00000D5E0000}"/>
    <cellStyle name="화폐기호" xfId="24059" xr:uid="{00000000-0005-0000-0000-00000E5E0000}"/>
    <cellStyle name="화폐기호0" xfId="24060" xr:uid="{00000000-0005-0000-0000-00000F5E0000}"/>
    <cellStyle name="標準 2" xfId="24061" xr:uid="{00000000-0005-0000-0000-0000105E0000}"/>
  </cellStyles>
  <dxfs count="319"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 style="thin">
          <color auto="1"/>
        </right>
        <top/>
        <bottom style="thin">
          <color auto="1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 style="thin">
          <color auto="1"/>
        </right>
        <top/>
        <bottom style="thin">
          <color auto="1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 style="thin">
          <color auto="1"/>
        </right>
        <top/>
        <bottom style="thin">
          <color auto="1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 style="thin">
          <color auto="1"/>
        </right>
        <top/>
        <bottom style="thin">
          <color auto="1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 style="thin">
          <color theme="1"/>
        </bottom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1"/>
        </right>
        <top style="thin">
          <color theme="1"/>
        </top>
        <bottom style="thin">
          <color theme="1"/>
        </bottom>
      </border>
    </dxf>
    <dxf>
      <border outline="0">
        <top style="thin">
          <color rgb="FF000000"/>
        </top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 style="thin">
          <color theme="1"/>
        </bottom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1"/>
        </right>
        <top style="thin">
          <color theme="1"/>
        </top>
        <bottom style="thin">
          <color theme="1"/>
        </bottom>
      </border>
    </dxf>
    <dxf>
      <border outline="0">
        <top style="thin">
          <color rgb="FF000000"/>
        </top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 style="thin">
          <color theme="1"/>
        </bottom>
      </border>
    </dxf>
    <dxf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1"/>
        </right>
        <top style="thin">
          <color theme="1"/>
        </top>
        <bottom style="thin">
          <color theme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 style="thin">
          <color theme="1"/>
        </bottom>
      </border>
    </dxf>
    <dxf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1"/>
        </right>
        <top style="thin">
          <color theme="1"/>
        </top>
        <bottom style="thin">
          <color theme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 style="thin">
          <color auto="1"/>
        </right>
        <top/>
        <bottom style="thin">
          <color auto="1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 style="thin">
          <color auto="1"/>
        </right>
        <top/>
        <bottom style="thin">
          <color auto="1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 style="thin">
          <color auto="1"/>
        </right>
        <top/>
        <bottom style="thin">
          <color auto="1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 style="thin">
          <color theme="1"/>
        </bottom>
      </border>
    </dxf>
    <dxf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1"/>
        </right>
        <top style="thin">
          <color theme="1"/>
        </top>
        <bottom style="thin">
          <color theme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 style="thin">
          <color theme="1"/>
        </bottom>
      </border>
    </dxf>
    <dxf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1"/>
        </right>
        <top style="thin">
          <color theme="1"/>
        </top>
        <bottom style="thin">
          <color theme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 style="thin">
          <color theme="1"/>
        </bottom>
      </border>
    </dxf>
    <dxf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1"/>
        </right>
        <top style="thin">
          <color theme="1"/>
        </top>
        <bottom style="thin">
          <color theme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 style="thin">
          <color theme="1"/>
        </bottom>
      </border>
    </dxf>
    <dxf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1"/>
        </right>
        <top style="thin">
          <color theme="1"/>
        </top>
        <bottom style="thin">
          <color theme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 style="thin">
          <color theme="1"/>
        </bottom>
      </border>
    </dxf>
    <dxf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1"/>
        </right>
        <top style="thin">
          <color theme="1"/>
        </top>
        <bottom style="thin">
          <color theme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 style="thin">
          <color theme="1"/>
        </bottom>
      </border>
    </dxf>
    <dxf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1"/>
        </right>
        <top style="thin">
          <color theme="1"/>
        </top>
        <bottom style="thin">
          <color theme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 style="thin">
          <color theme="1"/>
        </bottom>
      </border>
    </dxf>
    <dxf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1"/>
        </right>
        <top style="thin">
          <color theme="1"/>
        </top>
        <bottom style="thin">
          <color theme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 style="thin">
          <color theme="1"/>
        </bottom>
      </border>
    </dxf>
    <dxf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1"/>
        </right>
        <top style="thin">
          <color theme="1"/>
        </top>
        <bottom style="thin">
          <color theme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 style="thin">
          <color theme="1"/>
        </bottom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1"/>
        </right>
        <top style="thin">
          <color theme="1"/>
        </top>
        <bottom style="thin">
          <color theme="1"/>
        </bottom>
      </border>
    </dxf>
    <dxf>
      <border outline="0">
        <top style="thin">
          <color theme="1"/>
        </top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 style="thin">
          <color theme="1"/>
        </bottom>
      </border>
    </dxf>
    <dxf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1"/>
        </right>
        <top style="thin">
          <color theme="1"/>
        </top>
        <bottom style="thin">
          <color theme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 style="thin">
          <color theme="1"/>
        </bottom>
        <vertical/>
        <horizontal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 style="thin">
          <color theme="1"/>
        </bottom>
      </border>
    </dxf>
    <dxf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1"/>
        </right>
        <top style="thin">
          <color theme="1"/>
        </top>
        <bottom style="thin">
          <color theme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ill>
        <patternFill>
          <bgColor theme="9" tint="0.59996337778862885"/>
        </patternFill>
      </fill>
    </dxf>
  </dxfs>
  <tableStyles count="2" defaultTableStyle="TableStyleMedium2" defaultPivotStyle="PivotStyleLight16">
    <tableStyle name="Estilo de tabla 1" pivot="0" count="0" xr9:uid="{00000000-0011-0000-FFFF-FFFF00000000}"/>
    <tableStyle name="Estilo de tabla 2" pivot="0" count="1" xr9:uid="{00000000-0011-0000-FFFF-FFFF01000000}">
      <tableStyleElement type="wholeTable" dxfId="31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omunINCE/INDIVIDUAL/Maria%20Elisa/PISA/PISA%202022/Tablas%20PISA_%202022%20sin%20formato/Cap&#237;tulo%202/2_16%202_1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.16"/>
      <sheetName val="Hoja1"/>
      <sheetName val="Hoja2"/>
      <sheetName val="2_16 y 2_17"/>
      <sheetName val="2_15"/>
    </sheetNames>
    <sheetDataSet>
      <sheetData sheetId="0"/>
      <sheetData sheetId="1"/>
      <sheetData sheetId="2">
        <row r="54">
          <cell r="I54" t="e">
            <v>#N/A</v>
          </cell>
        </row>
      </sheetData>
      <sheetData sheetId="3"/>
      <sheetData sheetId="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B9:D73" headerRowCount="0" headerRowDxfId="317" totalsRowDxfId="315" tableBorderDxfId="316">
  <tableColumns count="3">
    <tableColumn id="1" xr3:uid="{00000000-0010-0000-0000-000001000000}" name="Columna1" totalsRowLabel="Total" dataDxfId="314"/>
    <tableColumn id="2" xr3:uid="{00000000-0010-0000-0000-000002000000}" name="Columna2" dataDxfId="313"/>
    <tableColumn id="3" xr3:uid="{00000000-0010-0000-0000-000003000000}" name="Columna3" dataDxfId="312"/>
  </tableColumns>
  <tableStyleInfo name="TableStyleMedium2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a15" displayName="Tabla15" ref="B9:D73" headerRowCount="0" headerRowDxfId="311" totalsRowDxfId="309" tableBorderDxfId="310">
  <tableColumns count="3">
    <tableColumn id="1" xr3:uid="{00000000-0010-0000-0100-000001000000}" name="Columna1" totalsRowLabel="Total" dataDxfId="308"/>
    <tableColumn id="2" xr3:uid="{00000000-0010-0000-0100-000002000000}" name="Columna2" dataDxfId="307"/>
    <tableColumn id="3" xr3:uid="{00000000-0010-0000-0100-000003000000}" name="Columna3" dataDxfId="306"/>
  </tableColumns>
  <tableStyleInfo name="TableStyleMedium2" showFirstColumn="1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abla13" displayName="Tabla13" ref="B9:C73" headerRowCount="0" headerRowDxfId="305" dataDxfId="304" totalsRowDxfId="303">
  <tableColumns count="2">
    <tableColumn id="1" xr3:uid="{00000000-0010-0000-0200-000001000000}" name="Columna1" totalsRowLabel="Total" dataDxfId="302"/>
    <tableColumn id="2" xr3:uid="{00000000-0010-0000-0200-000002000000}" name="Columna2" dataDxfId="301"/>
  </tableColumns>
  <tableStyleInfo name="TableStyleMedium2" showFirstColumn="1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abla157" displayName="Tabla157" ref="B9:D73" headerRowCount="0" headerRowDxfId="300" totalsRowDxfId="298" tableBorderDxfId="299">
  <tableColumns count="3">
    <tableColumn id="1" xr3:uid="{00000000-0010-0000-0300-000001000000}" name="Columna1" totalsRowLabel="Total" dataDxfId="297"/>
    <tableColumn id="2" xr3:uid="{00000000-0010-0000-0300-000002000000}" name="Columna2" dataDxfId="296"/>
    <tableColumn id="3" xr3:uid="{00000000-0010-0000-0300-000003000000}" name="Columna3" dataDxfId="295"/>
  </tableColumns>
  <tableStyleInfo name="TableStyleMedium2" showFirstColumn="1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4000000}" name="Tabla10" displayName="Tabla10" ref="B10:P74" headerRowCount="0" totalsRowShown="0" headerRowDxfId="294" dataDxfId="293" tableBorderDxfId="292">
  <tableColumns count="15">
    <tableColumn id="1" xr3:uid="{00000000-0010-0000-0400-000001000000}" name="Columna1" dataDxfId="291"/>
    <tableColumn id="2" xr3:uid="{00000000-0010-0000-0400-000002000000}" name="Columna2" dataDxfId="290"/>
    <tableColumn id="3" xr3:uid="{00000000-0010-0000-0400-000003000000}" name="Columna3" dataDxfId="289"/>
    <tableColumn id="4" xr3:uid="{00000000-0010-0000-0400-000004000000}" name="Columna4" dataDxfId="288"/>
    <tableColumn id="5" xr3:uid="{00000000-0010-0000-0400-000005000000}" name="Columna5" dataDxfId="287"/>
    <tableColumn id="6" xr3:uid="{00000000-0010-0000-0400-000006000000}" name="Columna6" dataDxfId="286"/>
    <tableColumn id="7" xr3:uid="{00000000-0010-0000-0400-000007000000}" name="Columna7" dataDxfId="285"/>
    <tableColumn id="8" xr3:uid="{00000000-0010-0000-0400-000008000000}" name="Columna8" dataDxfId="284"/>
    <tableColumn id="9" xr3:uid="{00000000-0010-0000-0400-000009000000}" name="Columna9" dataDxfId="283"/>
    <tableColumn id="10" xr3:uid="{00000000-0010-0000-0400-00000A000000}" name="Columna10" dataDxfId="282"/>
    <tableColumn id="11" xr3:uid="{00000000-0010-0000-0400-00000B000000}" name="Columna11" dataDxfId="281"/>
    <tableColumn id="12" xr3:uid="{00000000-0010-0000-0400-00000C000000}" name="Columna12" dataDxfId="280"/>
    <tableColumn id="13" xr3:uid="{00000000-0010-0000-0400-00000D000000}" name="Columna13" dataDxfId="279"/>
    <tableColumn id="14" xr3:uid="{00000000-0010-0000-0400-00000E000000}" name="Columna14" dataDxfId="278"/>
    <tableColumn id="15" xr3:uid="{00000000-0010-0000-0400-00000F000000}" name="Columna15" dataDxfId="277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5000000}" name="Tabla18" displayName="Tabla18" ref="B9:D73" headerRowCount="0" headerRowDxfId="276" totalsRowDxfId="274" tableBorderDxfId="275">
  <tableColumns count="3">
    <tableColumn id="1" xr3:uid="{00000000-0010-0000-0500-000001000000}" name="Columna1" totalsRowLabel="Total" dataDxfId="273"/>
    <tableColumn id="2" xr3:uid="{00000000-0010-0000-0500-000002000000}" name="Columna2" dataDxfId="272"/>
    <tableColumn id="3" xr3:uid="{00000000-0010-0000-0500-000003000000}" name="Columna3" dataDxfId="271"/>
  </tableColumns>
  <tableStyleInfo name="TableStyleMedium2" showFirstColumn="1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6000000}" name="Tabla189" displayName="Tabla189" ref="B9:D73" headerRowCount="0" headerRowDxfId="270" totalsRowDxfId="268" tableBorderDxfId="269">
  <tableColumns count="3">
    <tableColumn id="1" xr3:uid="{00000000-0010-0000-0600-000001000000}" name="Columna1" totalsRowLabel="Total" dataDxfId="267"/>
    <tableColumn id="2" xr3:uid="{00000000-0010-0000-0600-000002000000}" name="Columna2" dataDxfId="266"/>
    <tableColumn id="3" xr3:uid="{00000000-0010-0000-0600-000003000000}" name="Columna3" dataDxfId="265"/>
  </tableColumns>
  <tableStyleInfo name="TableStyleMedium2" showFirstColumn="1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7000000}" name="Tabla18910" displayName="Tabla18910" ref="B9:D73" headerRowCount="0" headerRowDxfId="264" totalsRowDxfId="262" tableBorderDxfId="263">
  <tableColumns count="3">
    <tableColumn id="1" xr3:uid="{00000000-0010-0000-0700-000001000000}" name="Columna1" totalsRowLabel="Total" dataDxfId="261"/>
    <tableColumn id="2" xr3:uid="{00000000-0010-0000-0700-000002000000}" name="Columna2" dataDxfId="260"/>
    <tableColumn id="3" xr3:uid="{00000000-0010-0000-0700-000003000000}" name="Columna3" dataDxfId="259"/>
  </tableColumns>
  <tableStyleInfo name="TableStyleMedium2" showFirstColumn="1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891017" displayName="Tabla1891017" ref="B9:D73" headerRowCount="0" headerRowDxfId="258" totalsRowDxfId="256" tableBorderDxfId="257">
  <tableColumns count="3">
    <tableColumn id="1" xr3:uid="{00000000-0010-0000-0800-000001000000}" name="Columna1" totalsRowLabel="Total" dataDxfId="255"/>
    <tableColumn id="2" xr3:uid="{00000000-0010-0000-0800-000002000000}" name="Columna2" dataDxfId="254"/>
    <tableColumn id="3" xr3:uid="{00000000-0010-0000-0800-000003000000}" name="Columna3" dataDxfId="253"/>
  </tableColumns>
  <tableStyleInfo name="TableStyleMedium2" showFirstColumn="1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09000000}" name="Tabla189101718" displayName="Tabla189101718" ref="B9:D73" headerRowCount="0" headerRowDxfId="252" totalsRowDxfId="250" tableBorderDxfId="251">
  <tableColumns count="3">
    <tableColumn id="1" xr3:uid="{00000000-0010-0000-0900-000001000000}" name="Columna1" totalsRowLabel="Total" dataDxfId="249"/>
    <tableColumn id="2" xr3:uid="{00000000-0010-0000-0900-000002000000}" name="Columna2" dataDxfId="248"/>
    <tableColumn id="3" xr3:uid="{00000000-0010-0000-0900-000003000000}" name="Columna3" dataDxfId="247"/>
  </tableColumns>
  <tableStyleInfo name="TableStyleMedium2" showFirstColumn="1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0A000000}" name="Tabla18910171819" displayName="Tabla18910171819" ref="B9:D73" headerRowCount="0" headerRowDxfId="246" totalsRowDxfId="244" tableBorderDxfId="245">
  <tableColumns count="3">
    <tableColumn id="1" xr3:uid="{00000000-0010-0000-0A00-000001000000}" name="Columna1" totalsRowLabel="Total" dataDxfId="243"/>
    <tableColumn id="2" xr3:uid="{00000000-0010-0000-0A00-000002000000}" name="Columna2" dataDxfId="242"/>
    <tableColumn id="3" xr3:uid="{00000000-0010-0000-0A00-000003000000}" name="Columna3" dataDxfId="241"/>
  </tableColumns>
  <tableStyleInfo name="TableStyleMedium2" showFirstColumn="1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0B000000}" name="Tabla1891017181920" displayName="Tabla1891017181920" ref="B9:D73" headerRowCount="0" headerRowDxfId="240" totalsRowDxfId="238" tableBorderDxfId="239">
  <tableColumns count="3">
    <tableColumn id="1" xr3:uid="{00000000-0010-0000-0B00-000001000000}" name="Columna1" totalsRowLabel="Total" dataDxfId="237"/>
    <tableColumn id="2" xr3:uid="{00000000-0010-0000-0B00-000002000000}" name="Columna2" dataDxfId="236"/>
    <tableColumn id="3" xr3:uid="{00000000-0010-0000-0B00-000003000000}" name="Columna3" dataDxfId="235"/>
  </tableColumns>
  <tableStyleInfo name="TableStyleMedium2" showFirstColumn="1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C000000}" name="Tabla189101718192021" displayName="Tabla189101718192021" ref="B9:D73" headerRowCount="0" headerRowDxfId="234" totalsRowDxfId="232" tableBorderDxfId="233">
  <tableColumns count="3">
    <tableColumn id="1" xr3:uid="{00000000-0010-0000-0C00-000001000000}" name="Columna1" totalsRowLabel="Total" dataDxfId="231"/>
    <tableColumn id="2" xr3:uid="{00000000-0010-0000-0C00-000002000000}" name="Columna2" dataDxfId="230"/>
    <tableColumn id="3" xr3:uid="{00000000-0010-0000-0C00-000003000000}" name="Columna3" dataDxfId="229"/>
  </tableColumns>
  <tableStyleInfo name="TableStyleMedium2" showFirstColumn="1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D000000}" name="Tabla54" displayName="Tabla54" ref="B10:J12" headerRowCount="0" totalsRowShown="0" headerRowDxfId="228" dataDxfId="226" headerRowBorderDxfId="227" tableBorderDxfId="225" totalsRowBorderDxfId="224">
  <tableColumns count="9">
    <tableColumn id="1" xr3:uid="{00000000-0010-0000-0D00-000001000000}" name="Columna1" headerRowDxfId="223" dataDxfId="222"/>
    <tableColumn id="2" xr3:uid="{00000000-0010-0000-0D00-000002000000}" name="Columna2" headerRowDxfId="221" dataDxfId="220"/>
    <tableColumn id="3" xr3:uid="{00000000-0010-0000-0D00-000003000000}" name="Columna3" headerRowDxfId="219" dataDxfId="218"/>
    <tableColumn id="6" xr3:uid="{00000000-0010-0000-0D00-000006000000}" name="Columna6" headerRowDxfId="217" dataDxfId="216"/>
    <tableColumn id="7" xr3:uid="{00000000-0010-0000-0D00-000007000000}" name="Columna7" headerRowDxfId="215" dataDxfId="214"/>
    <tableColumn id="10" xr3:uid="{00000000-0010-0000-0D00-00000A000000}" name="Columna10" headerRowDxfId="213" dataDxfId="212"/>
    <tableColumn id="11" xr3:uid="{00000000-0010-0000-0D00-00000B000000}" name="Columna11" headerRowDxfId="211" dataDxfId="210"/>
    <tableColumn id="14" xr3:uid="{00000000-0010-0000-0D00-00000E000000}" name="Columna14" headerRowDxfId="209" dataDxfId="208"/>
    <tableColumn id="15" xr3:uid="{00000000-0010-0000-0D00-00000F000000}" name="Columna15" headerRowDxfId="207" dataDxfId="206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0E000000}" name="Tabla5424" displayName="Tabla5424" ref="B10:N74" headerRowCount="0" totalsRowShown="0" headerRowDxfId="205" dataDxfId="203" headerRowBorderDxfId="204" tableBorderDxfId="202" totalsRowBorderDxfId="201">
  <tableColumns count="13">
    <tableColumn id="1" xr3:uid="{00000000-0010-0000-0E00-000001000000}" name="Columna1" headerRowDxfId="200" dataDxfId="199"/>
    <tableColumn id="2" xr3:uid="{00000000-0010-0000-0E00-000002000000}" name="Columna2" headerRowDxfId="198" dataDxfId="197"/>
    <tableColumn id="3" xr3:uid="{00000000-0010-0000-0E00-000003000000}" name="Columna3" headerRowDxfId="196" dataDxfId="195"/>
    <tableColumn id="6" xr3:uid="{00000000-0010-0000-0E00-000006000000}" name="Columna6" headerRowDxfId="194" dataDxfId="193"/>
    <tableColumn id="7" xr3:uid="{00000000-0010-0000-0E00-000007000000}" name="Columna7" headerRowDxfId="192" dataDxfId="191"/>
    <tableColumn id="10" xr3:uid="{00000000-0010-0000-0E00-00000A000000}" name="Columna10" headerRowDxfId="190" dataDxfId="189"/>
    <tableColumn id="11" xr3:uid="{00000000-0010-0000-0E00-00000B000000}" name="Columna11" headerRowDxfId="188" dataDxfId="187"/>
    <tableColumn id="14" xr3:uid="{00000000-0010-0000-0E00-00000E000000}" name="Columna14" headerRowDxfId="186" dataDxfId="185"/>
    <tableColumn id="15" xr3:uid="{00000000-0010-0000-0E00-00000F000000}" name="Columna15" headerRowDxfId="184" dataDxfId="183"/>
    <tableColumn id="4" xr3:uid="{00000000-0010-0000-0E00-000004000000}" name="Columna4" headerRowDxfId="182" dataDxfId="181">
      <calculatedColumnFormula>IF(I10="","",C10-I10)</calculatedColumnFormula>
    </tableColumn>
    <tableColumn id="5" xr3:uid="{00000000-0010-0000-0E00-000005000000}" name="Columna5" headerRowDxfId="180" dataDxfId="179">
      <calculatedColumnFormula>IF(J10="","",SQRT(D10^2+J10^2))</calculatedColumnFormula>
    </tableColumn>
    <tableColumn id="8" xr3:uid="{00000000-0010-0000-0E00-000008000000}" name="Columna8" headerRowDxfId="178" dataDxfId="177">
      <calculatedColumnFormula>IF(E10="","",C10-E10)</calculatedColumnFormula>
    </tableColumn>
    <tableColumn id="9" xr3:uid="{00000000-0010-0000-0E00-000009000000}" name="Columna9" headerRowDxfId="176" dataDxfId="175">
      <calculatedColumnFormula>IF(E10="","",SQRT(D10^2+F10^2))</calculatedColumnFormula>
    </tableColumn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F000000}" name="Tabla54244" displayName="Tabla54244" ref="B10:F11" headerRowCount="0" totalsRowShown="0" headerRowDxfId="174" dataDxfId="172" headerRowBorderDxfId="173" tableBorderDxfId="171" totalsRowBorderDxfId="170">
  <tableColumns count="5">
    <tableColumn id="1" xr3:uid="{00000000-0010-0000-0F00-000001000000}" name="Columna1" headerRowDxfId="169" dataDxfId="168"/>
    <tableColumn id="2" xr3:uid="{00000000-0010-0000-0F00-000002000000}" name="Columna2" headerRowDxfId="167" dataDxfId="166"/>
    <tableColumn id="3" xr3:uid="{00000000-0010-0000-0F00-000003000000}" name="Columna3" headerRowDxfId="165" dataDxfId="164"/>
    <tableColumn id="6" xr3:uid="{00000000-0010-0000-0F00-000006000000}" name="Columna6" headerRowDxfId="163" dataDxfId="162"/>
    <tableColumn id="7" xr3:uid="{00000000-0010-0000-0F00-000007000000}" name="Columna7" headerRowDxfId="161" dataDxfId="160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10000000}" name="Tabla16" displayName="Tabla16" ref="B9:D73" headerRowCount="0" headerRowDxfId="159" totalsRowDxfId="157" tableBorderDxfId="158">
  <tableColumns count="3">
    <tableColumn id="1" xr3:uid="{00000000-0010-0000-1000-000001000000}" name="Columna1" totalsRowLabel="Total" dataDxfId="156"/>
    <tableColumn id="2" xr3:uid="{00000000-0010-0000-1000-000002000000}" name="Columna2" dataDxfId="155"/>
    <tableColumn id="3" xr3:uid="{00000000-0010-0000-1000-000003000000}" name="Columna3" dataDxfId="154"/>
  </tableColumns>
  <tableStyleInfo name="TableStyleMedium2" showFirstColumn="1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11000000}" name="Tabla1612" displayName="Tabla1612" ref="B9:D73" headerRowCount="0" headerRowDxfId="153" totalsRowDxfId="151" tableBorderDxfId="152">
  <tableColumns count="3">
    <tableColumn id="1" xr3:uid="{00000000-0010-0000-1100-000001000000}" name="Columna1" totalsRowLabel="Total" dataDxfId="150"/>
    <tableColumn id="2" xr3:uid="{00000000-0010-0000-1100-000002000000}" name="Columna2" dataDxfId="149"/>
    <tableColumn id="3" xr3:uid="{00000000-0010-0000-1100-000003000000}" name="Columna3" dataDxfId="148"/>
  </tableColumns>
  <tableStyleInfo name="TableStyleMedium2" showFirstColumn="1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12000000}" name="Tabla1013" displayName="Tabla1013" ref="B10:R74" headerRowCount="0" totalsRowShown="0" headerRowDxfId="147" dataDxfId="146" tableBorderDxfId="145">
  <tableColumns count="17">
    <tableColumn id="1" xr3:uid="{00000000-0010-0000-1200-000001000000}" name="Columna1" dataDxfId="144"/>
    <tableColumn id="2" xr3:uid="{00000000-0010-0000-1200-000002000000}" name="Columna2" dataDxfId="143"/>
    <tableColumn id="3" xr3:uid="{00000000-0010-0000-1200-000003000000}" name="Columna3" dataDxfId="142"/>
    <tableColumn id="16" xr3:uid="{00000000-0010-0000-1200-000010000000}" name="Columna16" dataDxfId="141"/>
    <tableColumn id="17" xr3:uid="{00000000-0010-0000-1200-000011000000}" name="Columna17" dataDxfId="140"/>
    <tableColumn id="4" xr3:uid="{00000000-0010-0000-1200-000004000000}" name="Columna4" dataDxfId="139"/>
    <tableColumn id="5" xr3:uid="{00000000-0010-0000-1200-000005000000}" name="Columna5" dataDxfId="138"/>
    <tableColumn id="6" xr3:uid="{00000000-0010-0000-1200-000006000000}" name="Columna6" dataDxfId="137"/>
    <tableColumn id="7" xr3:uid="{00000000-0010-0000-1200-000007000000}" name="Columna7" dataDxfId="136"/>
    <tableColumn id="8" xr3:uid="{00000000-0010-0000-1200-000008000000}" name="Columna8" dataDxfId="135"/>
    <tableColumn id="9" xr3:uid="{00000000-0010-0000-1200-000009000000}" name="Columna9" dataDxfId="134"/>
    <tableColumn id="10" xr3:uid="{00000000-0010-0000-1200-00000A000000}" name="Columna10" dataDxfId="133"/>
    <tableColumn id="11" xr3:uid="{00000000-0010-0000-1200-00000B000000}" name="Columna11" dataDxfId="132"/>
    <tableColumn id="12" xr3:uid="{00000000-0010-0000-1200-00000C000000}" name="Columna12" dataDxfId="131"/>
    <tableColumn id="13" xr3:uid="{00000000-0010-0000-1200-00000D000000}" name="Columna13" dataDxfId="130"/>
    <tableColumn id="14" xr3:uid="{00000000-0010-0000-1200-00000E000000}" name="Columna14" dataDxfId="129"/>
    <tableColumn id="15" xr3:uid="{00000000-0010-0000-1200-00000F000000}" name="Columna15" dataDxfId="128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13000000}" name="Tabla101314" displayName="Tabla101314" ref="B10:R74" headerRowCount="0" totalsRowShown="0" headerRowDxfId="127" dataDxfId="126" tableBorderDxfId="125">
  <tableColumns count="17">
    <tableColumn id="1" xr3:uid="{00000000-0010-0000-1300-000001000000}" name="Columna1" dataDxfId="124"/>
    <tableColumn id="2" xr3:uid="{00000000-0010-0000-1300-000002000000}" name="Columna2" dataDxfId="123"/>
    <tableColumn id="3" xr3:uid="{00000000-0010-0000-1300-000003000000}" name="Columna3" dataDxfId="122"/>
    <tableColumn id="16" xr3:uid="{00000000-0010-0000-1300-000010000000}" name="Columna16" dataDxfId="121"/>
    <tableColumn id="17" xr3:uid="{00000000-0010-0000-1300-000011000000}" name="Columna17" dataDxfId="120"/>
    <tableColumn id="4" xr3:uid="{00000000-0010-0000-1300-000004000000}" name="Columna4" dataDxfId="119"/>
    <tableColumn id="5" xr3:uid="{00000000-0010-0000-1300-000005000000}" name="Columna5" dataDxfId="118"/>
    <tableColumn id="6" xr3:uid="{00000000-0010-0000-1300-000006000000}" name="Columna6" dataDxfId="117"/>
    <tableColumn id="7" xr3:uid="{00000000-0010-0000-1300-000007000000}" name="Columna7" dataDxfId="116"/>
    <tableColumn id="8" xr3:uid="{00000000-0010-0000-1300-000008000000}" name="Columna8" dataDxfId="115"/>
    <tableColumn id="9" xr3:uid="{00000000-0010-0000-1300-000009000000}" name="Columna9" dataDxfId="114"/>
    <tableColumn id="10" xr3:uid="{00000000-0010-0000-1300-00000A000000}" name="Columna10" dataDxfId="113"/>
    <tableColumn id="11" xr3:uid="{00000000-0010-0000-1300-00000B000000}" name="Columna11" dataDxfId="112"/>
    <tableColumn id="12" xr3:uid="{00000000-0010-0000-1300-00000C000000}" name="Columna12" dataDxfId="111"/>
    <tableColumn id="13" xr3:uid="{00000000-0010-0000-1300-00000D000000}" name="Columna13" dataDxfId="110"/>
    <tableColumn id="14" xr3:uid="{00000000-0010-0000-1300-00000E000000}" name="Columna14" dataDxfId="109"/>
    <tableColumn id="15" xr3:uid="{00000000-0010-0000-1300-00000F000000}" name="Columna15" dataDxfId="108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14000000}" name="Tabla5415" displayName="Tabla5415" ref="B10:J12" headerRowCount="0" totalsRowShown="0" headerRowDxfId="107" dataDxfId="105" headerRowBorderDxfId="106" tableBorderDxfId="104" totalsRowBorderDxfId="103">
  <tableColumns count="9">
    <tableColumn id="1" xr3:uid="{00000000-0010-0000-1400-000001000000}" name="Columna1" headerRowDxfId="102" dataDxfId="101"/>
    <tableColumn id="2" xr3:uid="{00000000-0010-0000-1400-000002000000}" name="Columna2" headerRowDxfId="100" dataDxfId="99"/>
    <tableColumn id="3" xr3:uid="{00000000-0010-0000-1400-000003000000}" name="Columna3" headerRowDxfId="98" dataDxfId="97"/>
    <tableColumn id="6" xr3:uid="{00000000-0010-0000-1400-000006000000}" name="Columna6" headerRowDxfId="96" dataDxfId="95"/>
    <tableColumn id="7" xr3:uid="{00000000-0010-0000-1400-000007000000}" name="Columna7" headerRowDxfId="94" dataDxfId="93"/>
    <tableColumn id="10" xr3:uid="{00000000-0010-0000-1400-00000A000000}" name="Columna10" headerRowDxfId="92" dataDxfId="91"/>
    <tableColumn id="11" xr3:uid="{00000000-0010-0000-1400-00000B000000}" name="Columna11" headerRowDxfId="90" dataDxfId="89"/>
    <tableColumn id="14" xr3:uid="{00000000-0010-0000-1400-00000E000000}" name="Columna14" headerRowDxfId="88" dataDxfId="87"/>
    <tableColumn id="15" xr3:uid="{00000000-0010-0000-1400-00000F000000}" name="Columna15" headerRowDxfId="86" dataDxfId="85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15000000}" name="Tabla542416" displayName="Tabla542416" ref="B10:N74" headerRowCount="0" totalsRowShown="0" headerRowDxfId="84" dataDxfId="82" headerRowBorderDxfId="83" tableBorderDxfId="81" totalsRowBorderDxfId="80">
  <tableColumns count="13">
    <tableColumn id="1" xr3:uid="{00000000-0010-0000-1500-000001000000}" name="Columna1" headerRowDxfId="79" dataDxfId="78"/>
    <tableColumn id="2" xr3:uid="{00000000-0010-0000-1500-000002000000}" name="Columna2" headerRowDxfId="77" dataDxfId="76"/>
    <tableColumn id="3" xr3:uid="{00000000-0010-0000-1500-000003000000}" name="Columna3" headerRowDxfId="75" dataDxfId="74"/>
    <tableColumn id="6" xr3:uid="{00000000-0010-0000-1500-000006000000}" name="Columna6" headerRowDxfId="73" dataDxfId="72"/>
    <tableColumn id="7" xr3:uid="{00000000-0010-0000-1500-000007000000}" name="Columna7" headerRowDxfId="71" dataDxfId="70"/>
    <tableColumn id="10" xr3:uid="{00000000-0010-0000-1500-00000A000000}" name="Columna10" headerRowDxfId="69" dataDxfId="68"/>
    <tableColumn id="11" xr3:uid="{00000000-0010-0000-1500-00000B000000}" name="Columna11" headerRowDxfId="67" dataDxfId="66"/>
    <tableColumn id="14" xr3:uid="{00000000-0010-0000-1500-00000E000000}" name="Columna14" headerRowDxfId="65" dataDxfId="64"/>
    <tableColumn id="15" xr3:uid="{00000000-0010-0000-1500-00000F000000}" name="Columna15" headerRowDxfId="63" dataDxfId="62"/>
    <tableColumn id="4" xr3:uid="{00000000-0010-0000-1500-000004000000}" name="Columna4" headerRowDxfId="61" dataDxfId="60">
      <calculatedColumnFormula>IF(I10="","",C10-I10)</calculatedColumnFormula>
    </tableColumn>
    <tableColumn id="5" xr3:uid="{00000000-0010-0000-1500-000005000000}" name="Columna5" headerRowDxfId="59" dataDxfId="58">
      <calculatedColumnFormula>IF(J10="","",SQRT(D10^2+J10^2))</calculatedColumnFormula>
    </tableColumn>
    <tableColumn id="8" xr3:uid="{00000000-0010-0000-1500-000008000000}" name="Columna8" headerRowDxfId="57" dataDxfId="56">
      <calculatedColumnFormula>IF(E10="","",C10-E10)</calculatedColumnFormula>
    </tableColumn>
    <tableColumn id="9" xr3:uid="{00000000-0010-0000-1500-000009000000}" name="Columna9" headerRowDxfId="55" dataDxfId="54">
      <calculatedColumnFormula>IF(E10="","",SQRT(D10^2+F10^2))</calculatedColumnFormula>
    </tableColumn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6000000}" name="Tabla541522" displayName="Tabla541522" ref="B10:J12" headerRowCount="0" totalsRowShown="0" headerRowDxfId="53" dataDxfId="51" headerRowBorderDxfId="52" tableBorderDxfId="50" totalsRowBorderDxfId="49">
  <tableColumns count="9">
    <tableColumn id="1" xr3:uid="{00000000-0010-0000-1600-000001000000}" name="Columna1" headerRowDxfId="48" dataDxfId="47"/>
    <tableColumn id="2" xr3:uid="{00000000-0010-0000-1600-000002000000}" name="Columna2" headerRowDxfId="46" dataDxfId="45"/>
    <tableColumn id="3" xr3:uid="{00000000-0010-0000-1600-000003000000}" name="Columna3" headerRowDxfId="44" dataDxfId="43"/>
    <tableColumn id="6" xr3:uid="{00000000-0010-0000-1600-000006000000}" name="Columna6" headerRowDxfId="42" dataDxfId="41"/>
    <tableColumn id="7" xr3:uid="{00000000-0010-0000-1600-000007000000}" name="Columna7" headerRowDxfId="40" dataDxfId="39"/>
    <tableColumn id="10" xr3:uid="{00000000-0010-0000-1600-00000A000000}" name="Columna10" headerRowDxfId="38" dataDxfId="37"/>
    <tableColumn id="11" xr3:uid="{00000000-0010-0000-1600-00000B000000}" name="Columna11" headerRowDxfId="36" dataDxfId="35"/>
    <tableColumn id="14" xr3:uid="{00000000-0010-0000-1600-00000E000000}" name="Columna14" headerRowDxfId="34" dataDxfId="33"/>
    <tableColumn id="15" xr3:uid="{00000000-0010-0000-1600-00000F000000}" name="Columna15" headerRowDxfId="32" dataDxfId="31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abla54241625" displayName="Tabla54241625" ref="B10:N74" headerRowCount="0" totalsRowShown="0" headerRowDxfId="30" dataDxfId="28" headerRowBorderDxfId="29" tableBorderDxfId="27" totalsRowBorderDxfId="26">
  <tableColumns count="13">
    <tableColumn id="1" xr3:uid="{00000000-0010-0000-1700-000001000000}" name="Columna1" headerRowDxfId="25" dataDxfId="24"/>
    <tableColumn id="2" xr3:uid="{00000000-0010-0000-1700-000002000000}" name="Columna2" headerRowDxfId="23" dataDxfId="22"/>
    <tableColumn id="3" xr3:uid="{00000000-0010-0000-1700-000003000000}" name="Columna3" headerRowDxfId="21" dataDxfId="20"/>
    <tableColumn id="6" xr3:uid="{00000000-0010-0000-1700-000006000000}" name="Columna6" headerRowDxfId="19" dataDxfId="18"/>
    <tableColumn id="7" xr3:uid="{00000000-0010-0000-1700-000007000000}" name="Columna7" headerRowDxfId="17" dataDxfId="16"/>
    <tableColumn id="10" xr3:uid="{00000000-0010-0000-1700-00000A000000}" name="Columna10" headerRowDxfId="15" dataDxfId="14"/>
    <tableColumn id="11" xr3:uid="{00000000-0010-0000-1700-00000B000000}" name="Columna11" headerRowDxfId="13" dataDxfId="12"/>
    <tableColumn id="14" xr3:uid="{00000000-0010-0000-1700-00000E000000}" name="Columna14" headerRowDxfId="11" dataDxfId="10"/>
    <tableColumn id="15" xr3:uid="{00000000-0010-0000-1700-00000F000000}" name="Columna15" headerRowDxfId="9" dataDxfId="8"/>
    <tableColumn id="4" xr3:uid="{00000000-0010-0000-1700-000004000000}" name="Columna4" headerRowDxfId="7" dataDxfId="6"/>
    <tableColumn id="5" xr3:uid="{00000000-0010-0000-1700-000005000000}" name="Columna5" headerRowDxfId="5" dataDxfId="4"/>
    <tableColumn id="8" xr3:uid="{00000000-0010-0000-1700-000008000000}" name="Columna8" headerRowDxfId="3" dataDxfId="2"/>
    <tableColumn id="9" xr3:uid="{00000000-0010-0000-1700-000009000000}" name="Columna9" headerRowDxfId="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XFD35"/>
  <sheetViews>
    <sheetView zoomScaleNormal="100" workbookViewId="0">
      <selection activeCell="A7" sqref="A7"/>
    </sheetView>
  </sheetViews>
  <sheetFormatPr baseColWidth="10" defaultColWidth="11.44140625" defaultRowHeight="14.4"/>
  <cols>
    <col min="1" max="1" width="18.33203125" style="8" customWidth="1"/>
    <col min="2" max="2" width="138.88671875" style="8" customWidth="1"/>
    <col min="3" max="16384" width="11.44140625" style="8"/>
  </cols>
  <sheetData>
    <row r="2" spans="1:4" ht="21">
      <c r="A2" s="12" t="s">
        <v>90</v>
      </c>
      <c r="B2" s="66" t="s">
        <v>60</v>
      </c>
      <c r="C2" s="66"/>
      <c r="D2" s="66"/>
    </row>
    <row r="3" spans="1:4" ht="18">
      <c r="A3" s="10"/>
      <c r="B3" s="10"/>
    </row>
    <row r="4" spans="1:4" ht="15.6">
      <c r="A4" s="17" t="s">
        <v>100</v>
      </c>
      <c r="B4" s="15"/>
      <c r="C4" s="15"/>
      <c r="D4" s="15"/>
    </row>
    <row r="6" spans="1:4" ht="15.6">
      <c r="A6" s="68" t="s">
        <v>101</v>
      </c>
      <c r="B6" s="68"/>
      <c r="C6" s="15"/>
      <c r="D6" s="15"/>
    </row>
    <row r="7" spans="1:4">
      <c r="A7" s="4" t="s">
        <v>59</v>
      </c>
      <c r="B7" s="67" t="s">
        <v>80</v>
      </c>
      <c r="C7" s="67"/>
      <c r="D7" s="67"/>
    </row>
    <row r="8" spans="1:4">
      <c r="A8" s="4" t="s">
        <v>61</v>
      </c>
      <c r="B8" s="67" t="s">
        <v>92</v>
      </c>
      <c r="C8" s="67"/>
      <c r="D8" s="67"/>
    </row>
    <row r="9" spans="1:4">
      <c r="A9" s="4" t="s">
        <v>62</v>
      </c>
      <c r="B9" s="67" t="s">
        <v>95</v>
      </c>
      <c r="C9" s="67"/>
      <c r="D9" s="67"/>
    </row>
    <row r="10" spans="1:4">
      <c r="A10" s="4" t="s">
        <v>63</v>
      </c>
      <c r="B10" s="67" t="s">
        <v>98</v>
      </c>
      <c r="C10" s="67"/>
      <c r="D10" s="67"/>
    </row>
    <row r="11" spans="1:4">
      <c r="A11" s="4" t="s">
        <v>65</v>
      </c>
      <c r="B11" s="67" t="s">
        <v>103</v>
      </c>
      <c r="C11" s="67"/>
      <c r="D11" s="67"/>
    </row>
    <row r="12" spans="1:4">
      <c r="A12" s="4" t="s">
        <v>67</v>
      </c>
      <c r="B12" s="67" t="s">
        <v>104</v>
      </c>
      <c r="C12" s="67"/>
      <c r="D12" s="67"/>
    </row>
    <row r="13" spans="1:4">
      <c r="A13" s="4" t="s">
        <v>66</v>
      </c>
      <c r="B13" s="67" t="s">
        <v>106</v>
      </c>
      <c r="C13" s="67"/>
      <c r="D13" s="67"/>
    </row>
    <row r="14" spans="1:4">
      <c r="A14" s="4" t="s">
        <v>68</v>
      </c>
      <c r="B14" s="67" t="s">
        <v>108</v>
      </c>
      <c r="C14" s="67"/>
      <c r="D14" s="67"/>
    </row>
    <row r="15" spans="1:4">
      <c r="A15" s="4" t="s">
        <v>69</v>
      </c>
      <c r="B15" s="67" t="s">
        <v>110</v>
      </c>
      <c r="C15" s="67"/>
      <c r="D15" s="67"/>
    </row>
    <row r="16" spans="1:4">
      <c r="A16" s="4" t="s">
        <v>114</v>
      </c>
      <c r="B16" s="67" t="s">
        <v>112</v>
      </c>
      <c r="C16" s="67" t="s">
        <v>112</v>
      </c>
      <c r="D16" s="67" t="s">
        <v>112</v>
      </c>
    </row>
    <row r="17" spans="1:16384">
      <c r="A17" s="4" t="s">
        <v>118</v>
      </c>
      <c r="B17" s="67" t="s">
        <v>115</v>
      </c>
      <c r="C17" s="67"/>
      <c r="D17" s="67"/>
    </row>
    <row r="18" spans="1:16384">
      <c r="A18" s="4" t="s">
        <v>124</v>
      </c>
      <c r="B18" s="67" t="s">
        <v>120</v>
      </c>
      <c r="C18" s="67"/>
      <c r="D18" s="67"/>
    </row>
    <row r="19" spans="1:16384">
      <c r="A19" s="4" t="s">
        <v>125</v>
      </c>
      <c r="B19" s="67" t="s">
        <v>122</v>
      </c>
      <c r="C19" s="67"/>
      <c r="D19" s="67"/>
    </row>
    <row r="20" spans="1:16384">
      <c r="A20" s="4" t="s">
        <v>129</v>
      </c>
      <c r="B20" s="67" t="s">
        <v>126</v>
      </c>
      <c r="C20" s="67"/>
      <c r="D20" s="67"/>
    </row>
    <row r="21" spans="1:16384">
      <c r="A21" s="4" t="s">
        <v>136</v>
      </c>
      <c r="B21" s="67" t="s">
        <v>130</v>
      </c>
      <c r="C21" s="67"/>
      <c r="D21" s="67"/>
    </row>
    <row r="22" spans="1:16384">
      <c r="A22" s="62" t="s">
        <v>147</v>
      </c>
      <c r="B22" s="67" t="s">
        <v>138</v>
      </c>
      <c r="C22" s="67"/>
      <c r="D22" s="67"/>
    </row>
    <row r="23" spans="1:16384">
      <c r="A23" s="69"/>
      <c r="B23" s="69"/>
      <c r="C23" s="69"/>
      <c r="D23" s="6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  <c r="CY23" s="9"/>
      <c r="CZ23" s="9"/>
      <c r="DA23" s="9"/>
      <c r="DB23" s="9"/>
      <c r="DC23" s="9"/>
      <c r="DD23" s="9"/>
      <c r="DE23" s="9"/>
      <c r="DF23" s="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  <c r="EM23" s="9"/>
      <c r="EN23" s="9"/>
      <c r="EO23" s="9"/>
      <c r="EP23" s="9"/>
      <c r="EQ23" s="9"/>
      <c r="ER23" s="9"/>
      <c r="ES23" s="9"/>
      <c r="ET23" s="9"/>
      <c r="EU23" s="9"/>
      <c r="EV23" s="9"/>
      <c r="EW23" s="9"/>
      <c r="EX23" s="9"/>
      <c r="EY23" s="9"/>
      <c r="EZ23" s="9"/>
      <c r="FA23" s="9"/>
      <c r="FB23" s="9"/>
      <c r="FC23" s="9"/>
      <c r="FD23" s="9"/>
      <c r="FE23" s="9"/>
      <c r="FF23" s="9"/>
      <c r="FG23" s="9"/>
      <c r="FH23" s="9"/>
      <c r="FI23" s="9"/>
      <c r="FJ23" s="9"/>
      <c r="FK23" s="9"/>
      <c r="FL23" s="9"/>
      <c r="FM23" s="9"/>
      <c r="FN23" s="9"/>
      <c r="FO23" s="9"/>
      <c r="FP23" s="9"/>
      <c r="FQ23" s="9"/>
      <c r="FR23" s="9"/>
      <c r="FS23" s="9"/>
      <c r="FT23" s="9"/>
      <c r="FU23" s="9"/>
      <c r="FV23" s="9"/>
      <c r="FW23" s="9"/>
      <c r="FX23" s="9"/>
      <c r="FY23" s="9"/>
      <c r="FZ23" s="9"/>
      <c r="GA23" s="9"/>
      <c r="GB23" s="9"/>
      <c r="GC23" s="9"/>
      <c r="GD23" s="9"/>
      <c r="GE23" s="9"/>
      <c r="GF23" s="9"/>
      <c r="GG23" s="9"/>
      <c r="GH23" s="9"/>
      <c r="GI23" s="9"/>
      <c r="GJ23" s="9"/>
      <c r="GK23" s="9"/>
      <c r="GL23" s="9"/>
      <c r="GM23" s="9"/>
      <c r="GN23" s="9"/>
      <c r="GO23" s="9"/>
      <c r="GP23" s="9"/>
      <c r="GQ23" s="9"/>
      <c r="GR23" s="9"/>
      <c r="GS23" s="9"/>
      <c r="GT23" s="9"/>
      <c r="GU23" s="9"/>
      <c r="GV23" s="9"/>
      <c r="GW23" s="9"/>
      <c r="GX23" s="9"/>
      <c r="GY23" s="9"/>
      <c r="GZ23" s="9"/>
      <c r="HA23" s="9"/>
      <c r="HB23" s="9"/>
      <c r="HC23" s="9"/>
      <c r="HD23" s="9"/>
      <c r="HE23" s="9"/>
      <c r="HF23" s="9"/>
      <c r="HG23" s="9"/>
      <c r="HH23" s="9"/>
      <c r="HI23" s="9"/>
      <c r="HJ23" s="9"/>
      <c r="HK23" s="9"/>
      <c r="HL23" s="9"/>
      <c r="HM23" s="9"/>
      <c r="HN23" s="9"/>
      <c r="HO23" s="9"/>
      <c r="HP23" s="9"/>
      <c r="HQ23" s="9"/>
      <c r="HR23" s="9"/>
      <c r="HS23" s="9"/>
      <c r="HT23" s="9"/>
      <c r="HU23" s="9"/>
      <c r="HV23" s="9"/>
      <c r="HW23" s="9"/>
      <c r="HX23" s="9"/>
      <c r="HY23" s="9"/>
      <c r="HZ23" s="9"/>
      <c r="IA23" s="9"/>
      <c r="IB23" s="9"/>
      <c r="IC23" s="9"/>
      <c r="ID23" s="9"/>
      <c r="IE23" s="9"/>
      <c r="IF23" s="9"/>
      <c r="IG23" s="9"/>
      <c r="IH23" s="9"/>
      <c r="II23" s="9"/>
      <c r="IJ23" s="9"/>
      <c r="IK23" s="9"/>
      <c r="IL23" s="9"/>
      <c r="IM23" s="9"/>
      <c r="IN23" s="9"/>
      <c r="IO23" s="9"/>
      <c r="IP23" s="9"/>
      <c r="IQ23" s="9"/>
      <c r="IR23" s="9"/>
      <c r="IS23" s="9"/>
      <c r="IT23" s="9"/>
      <c r="IU23" s="9"/>
      <c r="IV23" s="9"/>
      <c r="IW23" s="9"/>
      <c r="IX23" s="9"/>
      <c r="IY23" s="9"/>
      <c r="IZ23" s="9"/>
      <c r="JA23" s="9"/>
      <c r="JB23" s="9"/>
      <c r="JC23" s="9"/>
      <c r="JD23" s="9"/>
      <c r="JE23" s="9"/>
      <c r="JF23" s="9"/>
      <c r="JG23" s="9"/>
      <c r="JH23" s="9"/>
      <c r="JI23" s="9"/>
      <c r="JJ23" s="9"/>
      <c r="JK23" s="9"/>
      <c r="JL23" s="9"/>
      <c r="JM23" s="9"/>
      <c r="JN23" s="9"/>
      <c r="JO23" s="9"/>
      <c r="JP23" s="9"/>
      <c r="JQ23" s="9"/>
      <c r="JR23" s="9"/>
      <c r="JS23" s="9"/>
      <c r="JT23" s="9"/>
      <c r="JU23" s="9"/>
      <c r="JV23" s="9"/>
      <c r="JW23" s="9"/>
      <c r="JX23" s="9"/>
      <c r="JY23" s="9"/>
      <c r="JZ23" s="9"/>
      <c r="KA23" s="9"/>
      <c r="KB23" s="9"/>
      <c r="KC23" s="9"/>
      <c r="KD23" s="9"/>
      <c r="KE23" s="9"/>
      <c r="KF23" s="9"/>
      <c r="KG23" s="9"/>
      <c r="KH23" s="9"/>
      <c r="KI23" s="9"/>
      <c r="KJ23" s="9"/>
      <c r="KK23" s="9"/>
      <c r="KL23" s="9"/>
      <c r="KM23" s="9"/>
      <c r="KN23" s="9"/>
      <c r="KO23" s="9"/>
      <c r="KP23" s="9"/>
      <c r="KQ23" s="9"/>
      <c r="KR23" s="9"/>
      <c r="KS23" s="9"/>
      <c r="KT23" s="9"/>
      <c r="KU23" s="9"/>
      <c r="KV23" s="9"/>
      <c r="KW23" s="9"/>
      <c r="KX23" s="9"/>
      <c r="KY23" s="9"/>
      <c r="KZ23" s="9"/>
      <c r="LA23" s="9"/>
      <c r="LB23" s="9"/>
      <c r="LC23" s="9"/>
      <c r="LD23" s="9"/>
      <c r="LE23" s="9"/>
      <c r="LF23" s="9"/>
      <c r="LG23" s="9"/>
      <c r="LH23" s="9"/>
      <c r="LI23" s="9"/>
      <c r="LJ23" s="9"/>
      <c r="LK23" s="9"/>
      <c r="LL23" s="9"/>
      <c r="LM23" s="9"/>
      <c r="LN23" s="9"/>
      <c r="LO23" s="9"/>
      <c r="LP23" s="9"/>
      <c r="LQ23" s="9"/>
      <c r="LR23" s="9"/>
      <c r="LS23" s="9"/>
      <c r="LT23" s="9"/>
      <c r="LU23" s="9"/>
      <c r="LV23" s="9"/>
      <c r="LW23" s="9"/>
      <c r="LX23" s="9"/>
      <c r="LY23" s="9"/>
      <c r="LZ23" s="9"/>
      <c r="MA23" s="9"/>
      <c r="MB23" s="9"/>
      <c r="MC23" s="9"/>
      <c r="MD23" s="9"/>
      <c r="ME23" s="9"/>
      <c r="MF23" s="9"/>
      <c r="MG23" s="9"/>
      <c r="MH23" s="9"/>
      <c r="MI23" s="9"/>
      <c r="MJ23" s="9"/>
      <c r="MK23" s="9"/>
      <c r="ML23" s="9"/>
      <c r="MM23" s="9"/>
      <c r="MN23" s="9"/>
      <c r="MO23" s="9"/>
      <c r="MP23" s="9"/>
      <c r="MQ23" s="9"/>
      <c r="MR23" s="9"/>
      <c r="MS23" s="9"/>
      <c r="MT23" s="9"/>
      <c r="MU23" s="9"/>
      <c r="MV23" s="9"/>
      <c r="MW23" s="9"/>
      <c r="MX23" s="9"/>
      <c r="MY23" s="9"/>
      <c r="MZ23" s="9"/>
      <c r="NA23" s="9"/>
      <c r="NB23" s="9"/>
      <c r="NC23" s="9"/>
      <c r="ND23" s="9"/>
      <c r="NE23" s="9"/>
      <c r="NF23" s="9"/>
      <c r="NG23" s="9"/>
      <c r="NH23" s="9"/>
      <c r="NI23" s="9"/>
      <c r="NJ23" s="9"/>
      <c r="NK23" s="9"/>
      <c r="NL23" s="9"/>
      <c r="NM23" s="9"/>
      <c r="NN23" s="9"/>
      <c r="NO23" s="9"/>
      <c r="NP23" s="9"/>
      <c r="NQ23" s="9"/>
      <c r="NR23" s="9"/>
      <c r="NS23" s="9"/>
      <c r="NT23" s="9"/>
      <c r="NU23" s="9"/>
      <c r="NV23" s="9"/>
      <c r="NW23" s="9"/>
      <c r="NX23" s="9"/>
      <c r="NY23" s="9"/>
      <c r="NZ23" s="9"/>
      <c r="OA23" s="9"/>
      <c r="OB23" s="9"/>
      <c r="OC23" s="9"/>
      <c r="OD23" s="9"/>
      <c r="OE23" s="9"/>
      <c r="OF23" s="9"/>
      <c r="OG23" s="9"/>
      <c r="OH23" s="9"/>
      <c r="OI23" s="9"/>
      <c r="OJ23" s="9"/>
      <c r="OK23" s="9"/>
      <c r="OL23" s="9"/>
      <c r="OM23" s="9"/>
      <c r="ON23" s="9"/>
      <c r="OO23" s="9"/>
      <c r="OP23" s="9"/>
      <c r="OQ23" s="9"/>
      <c r="OR23" s="9"/>
      <c r="OS23" s="9"/>
      <c r="OT23" s="9"/>
      <c r="OU23" s="9"/>
      <c r="OV23" s="9"/>
      <c r="OW23" s="9"/>
      <c r="OX23" s="9"/>
      <c r="OY23" s="9"/>
      <c r="OZ23" s="9"/>
      <c r="PA23" s="9"/>
      <c r="PB23" s="9"/>
      <c r="PC23" s="9"/>
      <c r="PD23" s="9"/>
      <c r="PE23" s="9"/>
      <c r="PF23" s="9"/>
      <c r="PG23" s="9"/>
      <c r="PH23" s="9"/>
      <c r="PI23" s="9"/>
      <c r="PJ23" s="9"/>
      <c r="PK23" s="9"/>
      <c r="PL23" s="9"/>
      <c r="PM23" s="9"/>
      <c r="PN23" s="9"/>
      <c r="PO23" s="9"/>
      <c r="PP23" s="9"/>
      <c r="PQ23" s="9"/>
      <c r="PR23" s="9"/>
      <c r="PS23" s="9"/>
      <c r="PT23" s="9"/>
      <c r="PU23" s="9"/>
      <c r="PV23" s="9"/>
      <c r="PW23" s="9"/>
      <c r="PX23" s="9"/>
      <c r="PY23" s="9"/>
      <c r="PZ23" s="9"/>
      <c r="QA23" s="9"/>
      <c r="QB23" s="9"/>
      <c r="QC23" s="9"/>
      <c r="QD23" s="9"/>
      <c r="QE23" s="9"/>
      <c r="QF23" s="9"/>
      <c r="QG23" s="9"/>
      <c r="QH23" s="9"/>
      <c r="QI23" s="9"/>
      <c r="QJ23" s="9"/>
      <c r="QK23" s="9"/>
      <c r="QL23" s="9"/>
      <c r="QM23" s="9"/>
      <c r="QN23" s="9"/>
      <c r="QO23" s="9"/>
      <c r="QP23" s="9"/>
      <c r="QQ23" s="9"/>
      <c r="QR23" s="9"/>
      <c r="QS23" s="9"/>
      <c r="QT23" s="9"/>
      <c r="QU23" s="9"/>
      <c r="QV23" s="9"/>
      <c r="QW23" s="9"/>
      <c r="QX23" s="9"/>
      <c r="QY23" s="9"/>
      <c r="QZ23" s="9"/>
      <c r="RA23" s="9"/>
      <c r="RB23" s="9"/>
      <c r="RC23" s="9"/>
      <c r="RD23" s="9"/>
      <c r="RE23" s="9"/>
      <c r="RF23" s="9"/>
      <c r="RG23" s="9"/>
      <c r="RH23" s="9"/>
      <c r="RI23" s="9"/>
      <c r="RJ23" s="9"/>
      <c r="RK23" s="9"/>
      <c r="RL23" s="9"/>
      <c r="RM23" s="9"/>
      <c r="RN23" s="9"/>
      <c r="RO23" s="9"/>
      <c r="RP23" s="9"/>
      <c r="RQ23" s="9"/>
      <c r="RR23" s="9"/>
      <c r="RS23" s="9"/>
      <c r="RT23" s="9"/>
      <c r="RU23" s="9"/>
      <c r="RV23" s="9"/>
      <c r="RW23" s="9"/>
      <c r="RX23" s="9"/>
      <c r="RY23" s="9"/>
      <c r="RZ23" s="9"/>
      <c r="SA23" s="9"/>
      <c r="SB23" s="9"/>
      <c r="SC23" s="9"/>
      <c r="SD23" s="9"/>
      <c r="SE23" s="9"/>
      <c r="SF23" s="9"/>
      <c r="SG23" s="9"/>
      <c r="SH23" s="9"/>
      <c r="SI23" s="9"/>
      <c r="SJ23" s="9"/>
      <c r="SK23" s="9"/>
      <c r="SL23" s="9"/>
      <c r="SM23" s="9"/>
      <c r="SN23" s="9"/>
      <c r="SO23" s="9"/>
      <c r="SP23" s="9"/>
      <c r="SQ23" s="9"/>
      <c r="SR23" s="9"/>
      <c r="SS23" s="9"/>
      <c r="ST23" s="9"/>
      <c r="SU23" s="9"/>
      <c r="SV23" s="9"/>
      <c r="SW23" s="9"/>
      <c r="SX23" s="9"/>
      <c r="SY23" s="9"/>
      <c r="SZ23" s="9"/>
      <c r="TA23" s="9"/>
      <c r="TB23" s="9"/>
      <c r="TC23" s="9"/>
      <c r="TD23" s="9"/>
      <c r="TE23" s="9"/>
      <c r="TF23" s="9"/>
      <c r="TG23" s="9"/>
      <c r="TH23" s="9"/>
      <c r="TI23" s="9"/>
      <c r="TJ23" s="9"/>
      <c r="TK23" s="9"/>
      <c r="TL23" s="9"/>
      <c r="TM23" s="9"/>
      <c r="TN23" s="9"/>
      <c r="TO23" s="9"/>
      <c r="TP23" s="9"/>
      <c r="TQ23" s="9"/>
      <c r="TR23" s="9"/>
      <c r="TS23" s="9"/>
      <c r="TT23" s="9"/>
      <c r="TU23" s="9"/>
      <c r="TV23" s="9"/>
      <c r="TW23" s="9"/>
      <c r="TX23" s="9"/>
      <c r="TY23" s="9"/>
      <c r="TZ23" s="9"/>
      <c r="UA23" s="9"/>
      <c r="UB23" s="9"/>
      <c r="UC23" s="9"/>
      <c r="UD23" s="9"/>
      <c r="UE23" s="9"/>
      <c r="UF23" s="9"/>
      <c r="UG23" s="9"/>
      <c r="UH23" s="9"/>
      <c r="UI23" s="9"/>
      <c r="UJ23" s="9"/>
      <c r="UK23" s="9"/>
      <c r="UL23" s="9"/>
      <c r="UM23" s="9"/>
      <c r="UN23" s="9"/>
      <c r="UO23" s="9"/>
      <c r="UP23" s="9"/>
      <c r="UQ23" s="9"/>
      <c r="UR23" s="9"/>
      <c r="US23" s="9"/>
      <c r="UT23" s="9"/>
      <c r="UU23" s="9"/>
      <c r="UV23" s="9"/>
      <c r="UW23" s="9"/>
      <c r="UX23" s="9"/>
      <c r="UY23" s="9"/>
      <c r="UZ23" s="9"/>
      <c r="VA23" s="9"/>
      <c r="VB23" s="9"/>
      <c r="VC23" s="9"/>
      <c r="VD23" s="9"/>
      <c r="VE23" s="9"/>
      <c r="VF23" s="9"/>
      <c r="VG23" s="9"/>
      <c r="VH23" s="9"/>
      <c r="VI23" s="9"/>
      <c r="VJ23" s="9"/>
      <c r="VK23" s="9"/>
      <c r="VL23" s="9"/>
      <c r="VM23" s="9"/>
      <c r="VN23" s="9"/>
      <c r="VO23" s="9"/>
      <c r="VP23" s="9"/>
      <c r="VQ23" s="9"/>
      <c r="VR23" s="9"/>
      <c r="VS23" s="9"/>
      <c r="VT23" s="9"/>
      <c r="VU23" s="9"/>
      <c r="VV23" s="9"/>
      <c r="VW23" s="9"/>
      <c r="VX23" s="9"/>
      <c r="VY23" s="9"/>
      <c r="VZ23" s="9"/>
      <c r="WA23" s="9"/>
      <c r="WB23" s="9"/>
      <c r="WC23" s="9"/>
      <c r="WD23" s="9"/>
      <c r="WE23" s="9"/>
      <c r="WF23" s="9"/>
      <c r="WG23" s="9"/>
      <c r="WH23" s="9"/>
      <c r="WI23" s="9"/>
      <c r="WJ23" s="9"/>
      <c r="WK23" s="9"/>
      <c r="WL23" s="9"/>
      <c r="WM23" s="9"/>
      <c r="WN23" s="9"/>
      <c r="WO23" s="9"/>
      <c r="WP23" s="9"/>
      <c r="WQ23" s="9"/>
      <c r="WR23" s="9"/>
      <c r="WS23" s="9"/>
      <c r="WT23" s="9"/>
      <c r="WU23" s="9"/>
      <c r="WV23" s="9"/>
      <c r="WW23" s="9"/>
      <c r="WX23" s="9"/>
      <c r="WY23" s="9"/>
      <c r="WZ23" s="9"/>
      <c r="XA23" s="9"/>
      <c r="XB23" s="9"/>
      <c r="XC23" s="9"/>
      <c r="XD23" s="9"/>
      <c r="XE23" s="9"/>
      <c r="XF23" s="9"/>
      <c r="XG23" s="9"/>
      <c r="XH23" s="9"/>
      <c r="XI23" s="9"/>
      <c r="XJ23" s="9"/>
      <c r="XK23" s="9"/>
      <c r="XL23" s="9"/>
      <c r="XM23" s="9"/>
      <c r="XN23" s="9"/>
      <c r="XO23" s="9"/>
      <c r="XP23" s="9"/>
      <c r="XQ23" s="9"/>
      <c r="XR23" s="9"/>
      <c r="XS23" s="9"/>
      <c r="XT23" s="9"/>
      <c r="XU23" s="9"/>
      <c r="XV23" s="9"/>
      <c r="XW23" s="9"/>
      <c r="XX23" s="9"/>
      <c r="XY23" s="9"/>
      <c r="XZ23" s="9"/>
      <c r="YA23" s="9"/>
      <c r="YB23" s="9"/>
      <c r="YC23" s="9"/>
      <c r="YD23" s="9"/>
      <c r="YE23" s="9"/>
      <c r="YF23" s="9"/>
      <c r="YG23" s="9"/>
      <c r="YH23" s="9"/>
      <c r="YI23" s="9"/>
      <c r="YJ23" s="9"/>
      <c r="YK23" s="9"/>
      <c r="YL23" s="9"/>
      <c r="YM23" s="9"/>
      <c r="YN23" s="9"/>
      <c r="YO23" s="9"/>
      <c r="YP23" s="9"/>
      <c r="YQ23" s="9"/>
      <c r="YR23" s="9"/>
      <c r="YS23" s="9"/>
      <c r="YT23" s="9"/>
      <c r="YU23" s="9"/>
      <c r="YV23" s="9"/>
      <c r="YW23" s="9"/>
      <c r="YX23" s="9"/>
      <c r="YY23" s="9"/>
      <c r="YZ23" s="9"/>
      <c r="ZA23" s="9"/>
      <c r="ZB23" s="9"/>
      <c r="ZC23" s="9"/>
      <c r="ZD23" s="9"/>
      <c r="ZE23" s="9"/>
      <c r="ZF23" s="9"/>
      <c r="ZG23" s="9"/>
      <c r="ZH23" s="9"/>
      <c r="ZI23" s="9"/>
      <c r="ZJ23" s="9"/>
      <c r="ZK23" s="9"/>
      <c r="ZL23" s="9"/>
      <c r="ZM23" s="9"/>
      <c r="ZN23" s="9"/>
      <c r="ZO23" s="9"/>
      <c r="ZP23" s="9"/>
      <c r="ZQ23" s="9"/>
      <c r="ZR23" s="9"/>
      <c r="ZS23" s="9"/>
      <c r="ZT23" s="9"/>
      <c r="ZU23" s="9"/>
      <c r="ZV23" s="9"/>
      <c r="ZW23" s="9"/>
      <c r="ZX23" s="9"/>
      <c r="ZY23" s="9"/>
      <c r="ZZ23" s="9"/>
      <c r="AAA23" s="9"/>
      <c r="AAB23" s="9"/>
      <c r="AAC23" s="9"/>
      <c r="AAD23" s="9"/>
      <c r="AAE23" s="9"/>
      <c r="AAF23" s="9"/>
      <c r="AAG23" s="9"/>
      <c r="AAH23" s="9"/>
      <c r="AAI23" s="9"/>
      <c r="AAJ23" s="9"/>
      <c r="AAK23" s="9"/>
      <c r="AAL23" s="9"/>
      <c r="AAM23" s="9"/>
      <c r="AAN23" s="9"/>
      <c r="AAO23" s="9"/>
      <c r="AAP23" s="9"/>
      <c r="AAQ23" s="9"/>
      <c r="AAR23" s="9"/>
      <c r="AAS23" s="9"/>
      <c r="AAT23" s="9"/>
      <c r="AAU23" s="9"/>
      <c r="AAV23" s="9"/>
      <c r="AAW23" s="9"/>
      <c r="AAX23" s="9"/>
      <c r="AAY23" s="9"/>
      <c r="AAZ23" s="9"/>
      <c r="ABA23" s="9"/>
      <c r="ABB23" s="9"/>
      <c r="ABC23" s="9"/>
      <c r="ABD23" s="9"/>
      <c r="ABE23" s="9"/>
      <c r="ABF23" s="9"/>
      <c r="ABG23" s="9"/>
      <c r="ABH23" s="9"/>
      <c r="ABI23" s="9"/>
      <c r="ABJ23" s="9"/>
      <c r="ABK23" s="9"/>
      <c r="ABL23" s="9"/>
      <c r="ABM23" s="9"/>
      <c r="ABN23" s="9"/>
      <c r="ABO23" s="9"/>
      <c r="ABP23" s="9"/>
      <c r="ABQ23" s="9"/>
      <c r="ABR23" s="9"/>
      <c r="ABS23" s="9"/>
      <c r="ABT23" s="9"/>
      <c r="ABU23" s="9"/>
      <c r="ABV23" s="9"/>
      <c r="ABW23" s="9"/>
      <c r="ABX23" s="9"/>
      <c r="ABY23" s="9"/>
      <c r="ABZ23" s="9"/>
      <c r="ACA23" s="9"/>
      <c r="ACB23" s="9"/>
      <c r="ACC23" s="9"/>
      <c r="ACD23" s="9"/>
      <c r="ACE23" s="9"/>
      <c r="ACF23" s="9"/>
      <c r="ACG23" s="9"/>
      <c r="ACH23" s="9"/>
      <c r="ACI23" s="9"/>
      <c r="ACJ23" s="9"/>
      <c r="ACK23" s="9"/>
      <c r="ACL23" s="9"/>
      <c r="ACM23" s="9"/>
      <c r="ACN23" s="9"/>
      <c r="ACO23" s="9"/>
      <c r="ACP23" s="9"/>
      <c r="ACQ23" s="9"/>
      <c r="ACR23" s="9"/>
      <c r="ACS23" s="9"/>
      <c r="ACT23" s="9"/>
      <c r="ACU23" s="9"/>
      <c r="ACV23" s="9"/>
      <c r="ACW23" s="9"/>
      <c r="ACX23" s="9"/>
      <c r="ACY23" s="9"/>
      <c r="ACZ23" s="9"/>
      <c r="ADA23" s="9"/>
      <c r="ADB23" s="9"/>
      <c r="ADC23" s="9"/>
      <c r="ADD23" s="9"/>
      <c r="ADE23" s="9"/>
      <c r="ADF23" s="9"/>
      <c r="ADG23" s="9"/>
      <c r="ADH23" s="9"/>
      <c r="ADI23" s="9"/>
      <c r="ADJ23" s="9"/>
      <c r="ADK23" s="9"/>
      <c r="ADL23" s="9"/>
      <c r="ADM23" s="9"/>
      <c r="ADN23" s="9"/>
      <c r="ADO23" s="9"/>
      <c r="ADP23" s="9"/>
      <c r="ADQ23" s="9"/>
      <c r="ADR23" s="9"/>
      <c r="ADS23" s="9"/>
      <c r="ADT23" s="9"/>
      <c r="ADU23" s="9"/>
      <c r="ADV23" s="9"/>
      <c r="ADW23" s="9"/>
      <c r="ADX23" s="9"/>
      <c r="ADY23" s="9"/>
      <c r="ADZ23" s="9"/>
      <c r="AEA23" s="9"/>
      <c r="AEB23" s="9"/>
      <c r="AEC23" s="9"/>
      <c r="AED23" s="9"/>
      <c r="AEE23" s="9"/>
      <c r="AEF23" s="9"/>
      <c r="AEG23" s="9"/>
      <c r="AEH23" s="9"/>
      <c r="AEI23" s="9"/>
      <c r="AEJ23" s="9"/>
      <c r="AEK23" s="9"/>
      <c r="AEL23" s="9"/>
      <c r="AEM23" s="9"/>
      <c r="AEN23" s="9"/>
      <c r="AEO23" s="9"/>
      <c r="AEP23" s="9"/>
      <c r="AEQ23" s="9"/>
      <c r="AER23" s="9"/>
      <c r="AES23" s="9"/>
      <c r="AET23" s="9"/>
      <c r="AEU23" s="9"/>
      <c r="AEV23" s="9"/>
      <c r="AEW23" s="9"/>
      <c r="AEX23" s="9"/>
      <c r="AEY23" s="9"/>
      <c r="AEZ23" s="9"/>
      <c r="AFA23" s="9"/>
      <c r="AFB23" s="9"/>
      <c r="AFC23" s="9"/>
      <c r="AFD23" s="9"/>
      <c r="AFE23" s="9"/>
      <c r="AFF23" s="9"/>
      <c r="AFG23" s="9"/>
      <c r="AFH23" s="9"/>
      <c r="AFI23" s="9"/>
      <c r="AFJ23" s="9"/>
      <c r="AFK23" s="9"/>
      <c r="AFL23" s="9"/>
      <c r="AFM23" s="9"/>
      <c r="AFN23" s="9"/>
      <c r="AFO23" s="9"/>
      <c r="AFP23" s="9"/>
      <c r="AFQ23" s="9"/>
      <c r="AFR23" s="9"/>
      <c r="AFS23" s="9"/>
      <c r="AFT23" s="9"/>
      <c r="AFU23" s="9"/>
      <c r="AFV23" s="9"/>
      <c r="AFW23" s="9"/>
      <c r="AFX23" s="9"/>
      <c r="AFY23" s="9"/>
      <c r="AFZ23" s="9"/>
      <c r="AGA23" s="9"/>
      <c r="AGB23" s="9"/>
      <c r="AGC23" s="9"/>
      <c r="AGD23" s="9"/>
      <c r="AGE23" s="9"/>
      <c r="AGF23" s="9"/>
      <c r="AGG23" s="9"/>
      <c r="AGH23" s="9"/>
      <c r="AGI23" s="9"/>
      <c r="AGJ23" s="9"/>
      <c r="AGK23" s="9"/>
      <c r="AGL23" s="9"/>
      <c r="AGM23" s="9"/>
      <c r="AGN23" s="9"/>
      <c r="AGO23" s="9"/>
      <c r="AGP23" s="9"/>
      <c r="AGQ23" s="9"/>
      <c r="AGR23" s="9"/>
      <c r="AGS23" s="9"/>
      <c r="AGT23" s="9"/>
      <c r="AGU23" s="9"/>
      <c r="AGV23" s="9"/>
      <c r="AGW23" s="9"/>
      <c r="AGX23" s="9"/>
      <c r="AGY23" s="9"/>
      <c r="AGZ23" s="9"/>
      <c r="AHA23" s="9"/>
      <c r="AHB23" s="9"/>
      <c r="AHC23" s="9"/>
      <c r="AHD23" s="9"/>
      <c r="AHE23" s="9"/>
      <c r="AHF23" s="9"/>
      <c r="AHG23" s="9"/>
      <c r="AHH23" s="9"/>
      <c r="AHI23" s="9"/>
      <c r="AHJ23" s="9"/>
      <c r="AHK23" s="9"/>
      <c r="AHL23" s="9"/>
      <c r="AHM23" s="9"/>
      <c r="AHN23" s="9"/>
      <c r="AHO23" s="9"/>
      <c r="AHP23" s="9"/>
      <c r="AHQ23" s="9"/>
      <c r="AHR23" s="9"/>
      <c r="AHS23" s="9"/>
      <c r="AHT23" s="9"/>
      <c r="AHU23" s="9"/>
      <c r="AHV23" s="9"/>
      <c r="AHW23" s="9"/>
      <c r="AHX23" s="9"/>
      <c r="AHY23" s="9"/>
      <c r="AHZ23" s="9"/>
      <c r="AIA23" s="9"/>
      <c r="AIB23" s="9"/>
      <c r="AIC23" s="9"/>
      <c r="AID23" s="9"/>
      <c r="AIE23" s="9"/>
      <c r="AIF23" s="9"/>
      <c r="AIG23" s="9"/>
      <c r="AIH23" s="9"/>
      <c r="AII23" s="9"/>
      <c r="AIJ23" s="9"/>
      <c r="AIK23" s="9"/>
      <c r="AIL23" s="9"/>
      <c r="AIM23" s="9"/>
      <c r="AIN23" s="9"/>
      <c r="AIO23" s="9"/>
      <c r="AIP23" s="9"/>
      <c r="AIQ23" s="9"/>
      <c r="AIR23" s="9"/>
      <c r="AIS23" s="9"/>
      <c r="AIT23" s="9"/>
      <c r="AIU23" s="9"/>
      <c r="AIV23" s="9"/>
      <c r="AIW23" s="9"/>
      <c r="AIX23" s="9"/>
      <c r="AIY23" s="9"/>
      <c r="AIZ23" s="9"/>
      <c r="AJA23" s="9"/>
      <c r="AJB23" s="9"/>
      <c r="AJC23" s="9"/>
      <c r="AJD23" s="9"/>
      <c r="AJE23" s="9"/>
      <c r="AJF23" s="9"/>
      <c r="AJG23" s="9"/>
      <c r="AJH23" s="9"/>
      <c r="AJI23" s="9"/>
      <c r="AJJ23" s="9"/>
      <c r="AJK23" s="9"/>
      <c r="AJL23" s="9"/>
      <c r="AJM23" s="9"/>
      <c r="AJN23" s="9"/>
      <c r="AJO23" s="9"/>
      <c r="AJP23" s="9"/>
      <c r="AJQ23" s="9"/>
      <c r="AJR23" s="9"/>
      <c r="AJS23" s="9"/>
      <c r="AJT23" s="9"/>
      <c r="AJU23" s="9"/>
      <c r="AJV23" s="9"/>
      <c r="AJW23" s="9"/>
      <c r="AJX23" s="9"/>
      <c r="AJY23" s="9"/>
      <c r="AJZ23" s="9"/>
      <c r="AKA23" s="9"/>
      <c r="AKB23" s="9"/>
      <c r="AKC23" s="9"/>
      <c r="AKD23" s="9"/>
      <c r="AKE23" s="9"/>
      <c r="AKF23" s="9"/>
      <c r="AKG23" s="9"/>
      <c r="AKH23" s="9"/>
      <c r="AKI23" s="9"/>
      <c r="AKJ23" s="9"/>
      <c r="AKK23" s="9"/>
      <c r="AKL23" s="9"/>
      <c r="AKM23" s="9"/>
      <c r="AKN23" s="9"/>
      <c r="AKO23" s="9"/>
      <c r="AKP23" s="9"/>
      <c r="AKQ23" s="9"/>
      <c r="AKR23" s="9"/>
      <c r="AKS23" s="9"/>
      <c r="AKT23" s="9"/>
      <c r="AKU23" s="9"/>
      <c r="AKV23" s="9"/>
      <c r="AKW23" s="9"/>
      <c r="AKX23" s="9"/>
      <c r="AKY23" s="9"/>
      <c r="AKZ23" s="9"/>
      <c r="ALA23" s="9"/>
      <c r="ALB23" s="9"/>
      <c r="ALC23" s="9"/>
      <c r="ALD23" s="9"/>
      <c r="ALE23" s="9"/>
      <c r="ALF23" s="9"/>
      <c r="ALG23" s="9"/>
      <c r="ALH23" s="9"/>
      <c r="ALI23" s="9"/>
      <c r="ALJ23" s="9"/>
      <c r="ALK23" s="9"/>
      <c r="ALL23" s="9"/>
      <c r="ALM23" s="9"/>
      <c r="ALN23" s="9"/>
      <c r="ALO23" s="9"/>
      <c r="ALP23" s="9"/>
      <c r="ALQ23" s="9"/>
      <c r="ALR23" s="9"/>
      <c r="ALS23" s="9"/>
      <c r="ALT23" s="9"/>
      <c r="ALU23" s="9"/>
      <c r="ALV23" s="9"/>
      <c r="ALW23" s="9"/>
      <c r="ALX23" s="9"/>
      <c r="ALY23" s="9"/>
      <c r="ALZ23" s="9"/>
      <c r="AMA23" s="9"/>
      <c r="AMB23" s="9"/>
      <c r="AMC23" s="9"/>
      <c r="AMD23" s="9"/>
      <c r="AME23" s="9"/>
      <c r="AMF23" s="9"/>
      <c r="AMG23" s="9"/>
      <c r="AMH23" s="9"/>
      <c r="AMI23" s="9"/>
      <c r="AMJ23" s="9"/>
      <c r="AMK23" s="9"/>
      <c r="AML23" s="9"/>
      <c r="AMM23" s="9"/>
      <c r="AMN23" s="9"/>
      <c r="AMO23" s="9"/>
      <c r="AMP23" s="9"/>
      <c r="AMQ23" s="9"/>
      <c r="AMR23" s="9"/>
      <c r="AMS23" s="9"/>
      <c r="AMT23" s="9"/>
      <c r="AMU23" s="9"/>
      <c r="AMV23" s="9"/>
      <c r="AMW23" s="9"/>
      <c r="AMX23" s="9"/>
      <c r="AMY23" s="9"/>
      <c r="AMZ23" s="9"/>
      <c r="ANA23" s="9"/>
      <c r="ANB23" s="9"/>
      <c r="ANC23" s="9"/>
      <c r="AND23" s="9"/>
      <c r="ANE23" s="9"/>
      <c r="ANF23" s="9"/>
      <c r="ANG23" s="9"/>
      <c r="ANH23" s="9"/>
      <c r="ANI23" s="9"/>
      <c r="ANJ23" s="9"/>
      <c r="ANK23" s="9"/>
      <c r="ANL23" s="9"/>
      <c r="ANM23" s="9"/>
      <c r="ANN23" s="9"/>
      <c r="ANO23" s="9"/>
      <c r="ANP23" s="9"/>
      <c r="ANQ23" s="9"/>
      <c r="ANR23" s="9"/>
      <c r="ANS23" s="9"/>
      <c r="ANT23" s="9"/>
      <c r="ANU23" s="9"/>
      <c r="ANV23" s="9"/>
      <c r="ANW23" s="9"/>
      <c r="ANX23" s="9"/>
      <c r="ANY23" s="9"/>
      <c r="ANZ23" s="9"/>
      <c r="AOA23" s="9"/>
      <c r="AOB23" s="9"/>
      <c r="AOC23" s="9"/>
      <c r="AOD23" s="9"/>
      <c r="AOE23" s="9"/>
      <c r="AOF23" s="9"/>
      <c r="AOG23" s="9"/>
      <c r="AOH23" s="9"/>
      <c r="AOI23" s="9"/>
      <c r="AOJ23" s="9"/>
      <c r="AOK23" s="9"/>
      <c r="AOL23" s="9"/>
      <c r="AOM23" s="9"/>
      <c r="AON23" s="9"/>
      <c r="AOO23" s="9"/>
      <c r="AOP23" s="9"/>
      <c r="AOQ23" s="9"/>
      <c r="AOR23" s="9"/>
      <c r="AOS23" s="9"/>
      <c r="AOT23" s="9"/>
      <c r="AOU23" s="9"/>
      <c r="AOV23" s="9"/>
      <c r="AOW23" s="9"/>
      <c r="AOX23" s="9"/>
      <c r="AOY23" s="9"/>
      <c r="AOZ23" s="9"/>
      <c r="APA23" s="9"/>
      <c r="APB23" s="9"/>
      <c r="APC23" s="9"/>
      <c r="APD23" s="9"/>
      <c r="APE23" s="9"/>
      <c r="APF23" s="9"/>
      <c r="APG23" s="9"/>
      <c r="APH23" s="9"/>
      <c r="API23" s="9"/>
      <c r="APJ23" s="9"/>
      <c r="APK23" s="9"/>
      <c r="APL23" s="9"/>
      <c r="APM23" s="9"/>
      <c r="APN23" s="9"/>
      <c r="APO23" s="9"/>
      <c r="APP23" s="9"/>
      <c r="APQ23" s="9"/>
      <c r="APR23" s="9"/>
      <c r="APS23" s="9"/>
      <c r="APT23" s="9"/>
      <c r="APU23" s="9"/>
      <c r="APV23" s="9"/>
      <c r="APW23" s="9"/>
      <c r="APX23" s="9"/>
      <c r="APY23" s="9"/>
      <c r="APZ23" s="9"/>
      <c r="AQA23" s="9"/>
      <c r="AQB23" s="9"/>
      <c r="AQC23" s="9"/>
      <c r="AQD23" s="9"/>
      <c r="AQE23" s="9"/>
      <c r="AQF23" s="9"/>
      <c r="AQG23" s="9"/>
      <c r="AQH23" s="9"/>
      <c r="AQI23" s="9"/>
      <c r="AQJ23" s="9"/>
      <c r="AQK23" s="9"/>
      <c r="AQL23" s="9"/>
      <c r="AQM23" s="9"/>
      <c r="AQN23" s="9"/>
      <c r="AQO23" s="9"/>
      <c r="AQP23" s="9"/>
      <c r="AQQ23" s="9"/>
      <c r="AQR23" s="9"/>
      <c r="AQS23" s="9"/>
      <c r="AQT23" s="9"/>
      <c r="AQU23" s="9"/>
      <c r="AQV23" s="9"/>
      <c r="AQW23" s="9"/>
      <c r="AQX23" s="9"/>
      <c r="AQY23" s="9"/>
      <c r="AQZ23" s="9"/>
      <c r="ARA23" s="9"/>
      <c r="ARB23" s="9"/>
      <c r="ARC23" s="9"/>
      <c r="ARD23" s="9"/>
      <c r="ARE23" s="9"/>
      <c r="ARF23" s="9"/>
      <c r="ARG23" s="9"/>
      <c r="ARH23" s="9"/>
      <c r="ARI23" s="9"/>
      <c r="ARJ23" s="9"/>
      <c r="ARK23" s="9"/>
      <c r="ARL23" s="9"/>
      <c r="ARM23" s="9"/>
      <c r="ARN23" s="9"/>
      <c r="ARO23" s="9"/>
      <c r="ARP23" s="9"/>
      <c r="ARQ23" s="9"/>
      <c r="ARR23" s="9"/>
      <c r="ARS23" s="9"/>
      <c r="ART23" s="9"/>
      <c r="ARU23" s="9"/>
      <c r="ARV23" s="9"/>
      <c r="ARW23" s="9"/>
      <c r="ARX23" s="9"/>
      <c r="ARY23" s="9"/>
      <c r="ARZ23" s="9"/>
      <c r="ASA23" s="9"/>
      <c r="ASB23" s="9"/>
      <c r="ASC23" s="9"/>
      <c r="ASD23" s="9"/>
      <c r="ASE23" s="9"/>
      <c r="ASF23" s="9"/>
      <c r="ASG23" s="9"/>
      <c r="ASH23" s="9"/>
      <c r="ASI23" s="9"/>
      <c r="ASJ23" s="9"/>
      <c r="ASK23" s="9"/>
      <c r="ASL23" s="9"/>
      <c r="ASM23" s="9"/>
      <c r="ASN23" s="9"/>
      <c r="ASO23" s="9"/>
      <c r="ASP23" s="9"/>
      <c r="ASQ23" s="9"/>
      <c r="ASR23" s="9"/>
      <c r="ASS23" s="9"/>
      <c r="AST23" s="9"/>
      <c r="ASU23" s="9"/>
      <c r="ASV23" s="9"/>
      <c r="ASW23" s="9"/>
      <c r="ASX23" s="9"/>
      <c r="ASY23" s="9"/>
      <c r="ASZ23" s="9"/>
      <c r="ATA23" s="9"/>
      <c r="ATB23" s="9"/>
      <c r="ATC23" s="9"/>
      <c r="ATD23" s="9"/>
      <c r="ATE23" s="9"/>
      <c r="ATF23" s="9"/>
      <c r="ATG23" s="9"/>
      <c r="ATH23" s="9"/>
      <c r="ATI23" s="9"/>
      <c r="ATJ23" s="9"/>
      <c r="ATK23" s="9"/>
      <c r="ATL23" s="9"/>
      <c r="ATM23" s="9"/>
      <c r="ATN23" s="9"/>
      <c r="ATO23" s="9"/>
      <c r="ATP23" s="9"/>
      <c r="ATQ23" s="9"/>
      <c r="ATR23" s="9"/>
      <c r="ATS23" s="9"/>
      <c r="ATT23" s="9"/>
      <c r="ATU23" s="9"/>
      <c r="ATV23" s="9"/>
      <c r="ATW23" s="9"/>
      <c r="ATX23" s="9"/>
      <c r="ATY23" s="9"/>
      <c r="ATZ23" s="9"/>
      <c r="AUA23" s="9"/>
      <c r="AUB23" s="9"/>
      <c r="AUC23" s="9"/>
      <c r="AUD23" s="9"/>
      <c r="AUE23" s="9"/>
      <c r="AUF23" s="9"/>
      <c r="AUG23" s="9"/>
      <c r="AUH23" s="9"/>
      <c r="AUI23" s="9"/>
      <c r="AUJ23" s="9"/>
      <c r="AUK23" s="9"/>
      <c r="AUL23" s="9"/>
      <c r="AUM23" s="9"/>
      <c r="AUN23" s="9"/>
      <c r="AUO23" s="9"/>
      <c r="AUP23" s="9"/>
      <c r="AUQ23" s="9"/>
      <c r="AUR23" s="9"/>
      <c r="AUS23" s="9"/>
      <c r="AUT23" s="9"/>
      <c r="AUU23" s="9"/>
      <c r="AUV23" s="9"/>
      <c r="AUW23" s="9"/>
      <c r="AUX23" s="9"/>
      <c r="AUY23" s="9"/>
      <c r="AUZ23" s="9"/>
      <c r="AVA23" s="9"/>
      <c r="AVB23" s="9"/>
      <c r="AVC23" s="9"/>
      <c r="AVD23" s="9"/>
      <c r="AVE23" s="9"/>
      <c r="AVF23" s="9"/>
      <c r="AVG23" s="9"/>
      <c r="AVH23" s="9"/>
      <c r="AVI23" s="9"/>
      <c r="AVJ23" s="9"/>
      <c r="AVK23" s="9"/>
      <c r="AVL23" s="9"/>
      <c r="AVM23" s="9"/>
      <c r="AVN23" s="9"/>
      <c r="AVO23" s="9"/>
      <c r="AVP23" s="9"/>
      <c r="AVQ23" s="9"/>
      <c r="AVR23" s="9"/>
      <c r="AVS23" s="9"/>
      <c r="AVT23" s="9"/>
      <c r="AVU23" s="9"/>
      <c r="AVV23" s="9"/>
      <c r="AVW23" s="9"/>
      <c r="AVX23" s="9"/>
      <c r="AVY23" s="9"/>
      <c r="AVZ23" s="9"/>
      <c r="AWA23" s="9"/>
      <c r="AWB23" s="9"/>
      <c r="AWC23" s="9"/>
      <c r="AWD23" s="9"/>
      <c r="AWE23" s="9"/>
      <c r="AWF23" s="9"/>
      <c r="AWG23" s="9"/>
      <c r="AWH23" s="9"/>
      <c r="AWI23" s="9"/>
      <c r="AWJ23" s="9"/>
      <c r="AWK23" s="9"/>
      <c r="AWL23" s="9"/>
      <c r="AWM23" s="9"/>
      <c r="AWN23" s="9"/>
      <c r="AWO23" s="9"/>
      <c r="AWP23" s="9"/>
      <c r="AWQ23" s="9"/>
      <c r="AWR23" s="9"/>
      <c r="AWS23" s="9"/>
      <c r="AWT23" s="9"/>
      <c r="AWU23" s="9"/>
      <c r="AWV23" s="9"/>
      <c r="AWW23" s="9"/>
      <c r="AWX23" s="9"/>
      <c r="AWY23" s="9"/>
      <c r="AWZ23" s="9"/>
      <c r="AXA23" s="9"/>
      <c r="AXB23" s="9"/>
      <c r="AXC23" s="9"/>
      <c r="AXD23" s="9"/>
      <c r="AXE23" s="9"/>
      <c r="AXF23" s="9"/>
      <c r="AXG23" s="9"/>
      <c r="AXH23" s="9"/>
      <c r="AXI23" s="9"/>
      <c r="AXJ23" s="9"/>
      <c r="AXK23" s="9"/>
      <c r="AXL23" s="9"/>
      <c r="AXM23" s="9"/>
      <c r="AXN23" s="9"/>
      <c r="AXO23" s="9"/>
      <c r="AXP23" s="9"/>
      <c r="AXQ23" s="9"/>
      <c r="AXR23" s="9"/>
      <c r="AXS23" s="9"/>
      <c r="AXT23" s="9"/>
      <c r="AXU23" s="9"/>
      <c r="AXV23" s="9"/>
      <c r="AXW23" s="9"/>
      <c r="AXX23" s="9"/>
      <c r="AXY23" s="9"/>
      <c r="AXZ23" s="9"/>
      <c r="AYA23" s="9"/>
      <c r="AYB23" s="9"/>
      <c r="AYC23" s="9"/>
      <c r="AYD23" s="9"/>
      <c r="AYE23" s="9"/>
      <c r="AYF23" s="9"/>
      <c r="AYG23" s="9"/>
      <c r="AYH23" s="9"/>
      <c r="AYI23" s="9"/>
      <c r="AYJ23" s="9"/>
      <c r="AYK23" s="9"/>
      <c r="AYL23" s="9"/>
      <c r="AYM23" s="9"/>
      <c r="AYN23" s="9"/>
      <c r="AYO23" s="9"/>
      <c r="AYP23" s="9"/>
      <c r="AYQ23" s="9"/>
      <c r="AYR23" s="9"/>
      <c r="AYS23" s="9"/>
      <c r="AYT23" s="9"/>
      <c r="AYU23" s="9"/>
      <c r="AYV23" s="9"/>
      <c r="AYW23" s="9"/>
      <c r="AYX23" s="9"/>
      <c r="AYY23" s="9"/>
      <c r="AYZ23" s="9"/>
      <c r="AZA23" s="9"/>
      <c r="AZB23" s="9"/>
      <c r="AZC23" s="9"/>
      <c r="AZD23" s="9"/>
      <c r="AZE23" s="9"/>
      <c r="AZF23" s="9"/>
      <c r="AZG23" s="9"/>
      <c r="AZH23" s="9"/>
      <c r="AZI23" s="9"/>
      <c r="AZJ23" s="9"/>
      <c r="AZK23" s="9"/>
      <c r="AZL23" s="9"/>
      <c r="AZM23" s="9"/>
      <c r="AZN23" s="9"/>
      <c r="AZO23" s="9"/>
      <c r="AZP23" s="9"/>
      <c r="AZQ23" s="9"/>
      <c r="AZR23" s="9"/>
      <c r="AZS23" s="9"/>
      <c r="AZT23" s="9"/>
      <c r="AZU23" s="9"/>
      <c r="AZV23" s="9"/>
      <c r="AZW23" s="9"/>
      <c r="AZX23" s="9"/>
      <c r="AZY23" s="9"/>
      <c r="AZZ23" s="9"/>
      <c r="BAA23" s="9"/>
      <c r="BAB23" s="9"/>
      <c r="BAC23" s="9"/>
      <c r="BAD23" s="9"/>
      <c r="BAE23" s="9"/>
      <c r="BAF23" s="9"/>
      <c r="BAG23" s="9"/>
      <c r="BAH23" s="9"/>
      <c r="BAI23" s="9"/>
      <c r="BAJ23" s="9"/>
      <c r="BAK23" s="9"/>
      <c r="BAL23" s="9"/>
      <c r="BAM23" s="9"/>
      <c r="BAN23" s="9"/>
      <c r="BAO23" s="9"/>
      <c r="BAP23" s="9"/>
      <c r="BAQ23" s="9"/>
      <c r="BAR23" s="9"/>
      <c r="BAS23" s="9"/>
      <c r="BAT23" s="9"/>
      <c r="BAU23" s="9"/>
      <c r="BAV23" s="9"/>
      <c r="BAW23" s="9"/>
      <c r="BAX23" s="9"/>
      <c r="BAY23" s="9"/>
      <c r="BAZ23" s="9"/>
      <c r="BBA23" s="9"/>
      <c r="BBB23" s="9"/>
      <c r="BBC23" s="9"/>
      <c r="BBD23" s="9"/>
      <c r="BBE23" s="9"/>
      <c r="BBF23" s="9"/>
      <c r="BBG23" s="9"/>
      <c r="BBH23" s="9"/>
      <c r="BBI23" s="9"/>
      <c r="BBJ23" s="9"/>
      <c r="BBK23" s="9"/>
      <c r="BBL23" s="9"/>
      <c r="BBM23" s="9"/>
      <c r="BBN23" s="9"/>
      <c r="BBO23" s="9"/>
      <c r="BBP23" s="9"/>
      <c r="BBQ23" s="9"/>
      <c r="BBR23" s="9"/>
      <c r="BBS23" s="9"/>
      <c r="BBT23" s="9"/>
      <c r="BBU23" s="9"/>
      <c r="BBV23" s="9"/>
      <c r="BBW23" s="9"/>
      <c r="BBX23" s="9"/>
      <c r="BBY23" s="9"/>
      <c r="BBZ23" s="9"/>
      <c r="BCA23" s="9"/>
      <c r="BCB23" s="9"/>
      <c r="BCC23" s="9"/>
      <c r="BCD23" s="9"/>
      <c r="BCE23" s="9"/>
      <c r="BCF23" s="9"/>
      <c r="BCG23" s="9"/>
      <c r="BCH23" s="9"/>
      <c r="BCI23" s="9"/>
      <c r="BCJ23" s="9"/>
      <c r="BCK23" s="9"/>
      <c r="BCL23" s="9"/>
      <c r="BCM23" s="9"/>
      <c r="BCN23" s="9"/>
      <c r="BCO23" s="9"/>
      <c r="BCP23" s="9"/>
      <c r="BCQ23" s="9"/>
      <c r="BCR23" s="9"/>
      <c r="BCS23" s="9"/>
      <c r="BCT23" s="9"/>
      <c r="BCU23" s="9"/>
      <c r="BCV23" s="9"/>
      <c r="BCW23" s="9"/>
      <c r="BCX23" s="9"/>
      <c r="BCY23" s="9"/>
      <c r="BCZ23" s="9"/>
      <c r="BDA23" s="9"/>
      <c r="BDB23" s="9"/>
      <c r="BDC23" s="9"/>
      <c r="BDD23" s="9"/>
      <c r="BDE23" s="9"/>
      <c r="BDF23" s="9"/>
      <c r="BDG23" s="9"/>
      <c r="BDH23" s="9"/>
      <c r="BDI23" s="9"/>
      <c r="BDJ23" s="9"/>
      <c r="BDK23" s="9"/>
      <c r="BDL23" s="9"/>
      <c r="BDM23" s="9"/>
      <c r="BDN23" s="9"/>
      <c r="BDO23" s="9"/>
      <c r="BDP23" s="9"/>
      <c r="BDQ23" s="9"/>
      <c r="BDR23" s="9"/>
      <c r="BDS23" s="9"/>
      <c r="BDT23" s="9"/>
      <c r="BDU23" s="9"/>
      <c r="BDV23" s="9"/>
      <c r="BDW23" s="9"/>
      <c r="BDX23" s="9"/>
      <c r="BDY23" s="9"/>
      <c r="BDZ23" s="9"/>
      <c r="BEA23" s="9"/>
      <c r="BEB23" s="9"/>
      <c r="BEC23" s="9"/>
      <c r="BED23" s="9"/>
      <c r="BEE23" s="9"/>
      <c r="BEF23" s="9"/>
      <c r="BEG23" s="9"/>
      <c r="BEH23" s="9"/>
      <c r="BEI23" s="9"/>
      <c r="BEJ23" s="9"/>
      <c r="BEK23" s="9"/>
      <c r="BEL23" s="9"/>
      <c r="BEM23" s="9"/>
      <c r="BEN23" s="9"/>
      <c r="BEO23" s="9"/>
      <c r="BEP23" s="9"/>
      <c r="BEQ23" s="9"/>
      <c r="BER23" s="9"/>
      <c r="BES23" s="9"/>
      <c r="BET23" s="9"/>
      <c r="BEU23" s="9"/>
      <c r="BEV23" s="9"/>
      <c r="BEW23" s="9"/>
      <c r="BEX23" s="9"/>
      <c r="BEY23" s="9"/>
      <c r="BEZ23" s="9"/>
      <c r="BFA23" s="9"/>
      <c r="BFB23" s="9"/>
      <c r="BFC23" s="9"/>
      <c r="BFD23" s="9"/>
      <c r="BFE23" s="9"/>
      <c r="BFF23" s="9"/>
      <c r="BFG23" s="9"/>
      <c r="BFH23" s="9"/>
      <c r="BFI23" s="9"/>
      <c r="BFJ23" s="9"/>
      <c r="BFK23" s="9"/>
      <c r="BFL23" s="9"/>
      <c r="BFM23" s="9"/>
      <c r="BFN23" s="9"/>
      <c r="BFO23" s="9"/>
      <c r="BFP23" s="9"/>
      <c r="BFQ23" s="9"/>
      <c r="BFR23" s="9"/>
      <c r="BFS23" s="9"/>
      <c r="BFT23" s="9"/>
      <c r="BFU23" s="9"/>
      <c r="BFV23" s="9"/>
      <c r="BFW23" s="9"/>
      <c r="BFX23" s="9"/>
      <c r="BFY23" s="9"/>
      <c r="BFZ23" s="9"/>
      <c r="BGA23" s="9"/>
      <c r="BGB23" s="9"/>
      <c r="BGC23" s="9"/>
      <c r="BGD23" s="9"/>
      <c r="BGE23" s="9"/>
      <c r="BGF23" s="9"/>
      <c r="BGG23" s="9"/>
      <c r="BGH23" s="9"/>
      <c r="BGI23" s="9"/>
      <c r="BGJ23" s="9"/>
      <c r="BGK23" s="9"/>
      <c r="BGL23" s="9"/>
      <c r="BGM23" s="9"/>
      <c r="BGN23" s="9"/>
      <c r="BGO23" s="9"/>
      <c r="BGP23" s="9"/>
      <c r="BGQ23" s="9"/>
      <c r="BGR23" s="9"/>
      <c r="BGS23" s="9"/>
      <c r="BGT23" s="9"/>
      <c r="BGU23" s="9"/>
      <c r="BGV23" s="9"/>
      <c r="BGW23" s="9"/>
      <c r="BGX23" s="9"/>
      <c r="BGY23" s="9"/>
      <c r="BGZ23" s="9"/>
      <c r="BHA23" s="9"/>
      <c r="BHB23" s="9"/>
      <c r="BHC23" s="9"/>
      <c r="BHD23" s="9"/>
      <c r="BHE23" s="9"/>
      <c r="BHF23" s="9"/>
      <c r="BHG23" s="9"/>
      <c r="BHH23" s="9"/>
      <c r="BHI23" s="9"/>
      <c r="BHJ23" s="9"/>
      <c r="BHK23" s="9"/>
      <c r="BHL23" s="9"/>
      <c r="BHM23" s="9"/>
      <c r="BHN23" s="9"/>
      <c r="BHO23" s="9"/>
      <c r="BHP23" s="9"/>
      <c r="BHQ23" s="9"/>
      <c r="BHR23" s="9"/>
      <c r="BHS23" s="9"/>
      <c r="BHT23" s="9"/>
      <c r="BHU23" s="9"/>
      <c r="BHV23" s="9"/>
      <c r="BHW23" s="9"/>
      <c r="BHX23" s="9"/>
      <c r="BHY23" s="9"/>
      <c r="BHZ23" s="9"/>
      <c r="BIA23" s="9"/>
      <c r="BIB23" s="9"/>
      <c r="BIC23" s="9"/>
      <c r="BID23" s="9"/>
      <c r="BIE23" s="9"/>
      <c r="BIF23" s="9"/>
      <c r="BIG23" s="9"/>
      <c r="BIH23" s="9"/>
      <c r="BII23" s="9"/>
      <c r="BIJ23" s="9"/>
      <c r="BIK23" s="9"/>
      <c r="BIL23" s="9"/>
      <c r="BIM23" s="9"/>
      <c r="BIN23" s="9"/>
      <c r="BIO23" s="9"/>
      <c r="BIP23" s="9"/>
      <c r="BIQ23" s="9"/>
      <c r="BIR23" s="9"/>
      <c r="BIS23" s="9"/>
      <c r="BIT23" s="9"/>
      <c r="BIU23" s="9"/>
      <c r="BIV23" s="9"/>
      <c r="BIW23" s="9"/>
      <c r="BIX23" s="9"/>
      <c r="BIY23" s="9"/>
      <c r="BIZ23" s="9"/>
      <c r="BJA23" s="9"/>
      <c r="BJB23" s="9"/>
      <c r="BJC23" s="9"/>
      <c r="BJD23" s="9"/>
      <c r="BJE23" s="9"/>
      <c r="BJF23" s="9"/>
      <c r="BJG23" s="9"/>
      <c r="BJH23" s="9"/>
      <c r="BJI23" s="9"/>
      <c r="BJJ23" s="9"/>
      <c r="BJK23" s="9"/>
      <c r="BJL23" s="9"/>
      <c r="BJM23" s="9"/>
      <c r="BJN23" s="9"/>
      <c r="BJO23" s="9"/>
      <c r="BJP23" s="9"/>
      <c r="BJQ23" s="9"/>
      <c r="BJR23" s="9"/>
      <c r="BJS23" s="9"/>
      <c r="BJT23" s="9"/>
      <c r="BJU23" s="9"/>
      <c r="BJV23" s="9"/>
      <c r="BJW23" s="9"/>
      <c r="BJX23" s="9"/>
      <c r="BJY23" s="9"/>
      <c r="BJZ23" s="9"/>
      <c r="BKA23" s="9"/>
      <c r="BKB23" s="9"/>
      <c r="BKC23" s="9"/>
      <c r="BKD23" s="9"/>
      <c r="BKE23" s="9"/>
      <c r="BKF23" s="9"/>
      <c r="BKG23" s="9"/>
      <c r="BKH23" s="9"/>
      <c r="BKI23" s="9"/>
      <c r="BKJ23" s="9"/>
      <c r="BKK23" s="9"/>
      <c r="BKL23" s="9"/>
      <c r="BKM23" s="9"/>
      <c r="BKN23" s="9"/>
      <c r="BKO23" s="9"/>
      <c r="BKP23" s="9"/>
      <c r="BKQ23" s="9"/>
      <c r="BKR23" s="9"/>
      <c r="BKS23" s="9"/>
      <c r="BKT23" s="9"/>
      <c r="BKU23" s="9"/>
      <c r="BKV23" s="9"/>
      <c r="BKW23" s="9"/>
      <c r="BKX23" s="9"/>
      <c r="BKY23" s="9"/>
      <c r="BKZ23" s="9"/>
      <c r="BLA23" s="9"/>
      <c r="BLB23" s="9"/>
      <c r="BLC23" s="9"/>
      <c r="BLD23" s="9"/>
      <c r="BLE23" s="9"/>
      <c r="BLF23" s="9"/>
      <c r="BLG23" s="9"/>
      <c r="BLH23" s="9"/>
      <c r="BLI23" s="9"/>
      <c r="BLJ23" s="9"/>
      <c r="BLK23" s="9"/>
      <c r="BLL23" s="9"/>
      <c r="BLM23" s="9"/>
      <c r="BLN23" s="9"/>
      <c r="BLO23" s="9"/>
      <c r="BLP23" s="9"/>
      <c r="BLQ23" s="9"/>
      <c r="BLR23" s="9"/>
      <c r="BLS23" s="9"/>
      <c r="BLT23" s="9"/>
      <c r="BLU23" s="9"/>
      <c r="BLV23" s="9"/>
      <c r="BLW23" s="9"/>
      <c r="BLX23" s="9"/>
      <c r="BLY23" s="9"/>
      <c r="BLZ23" s="9"/>
      <c r="BMA23" s="9"/>
      <c r="BMB23" s="9"/>
      <c r="BMC23" s="9"/>
      <c r="BMD23" s="9"/>
      <c r="BME23" s="9"/>
      <c r="BMF23" s="9"/>
      <c r="BMG23" s="9"/>
      <c r="BMH23" s="9"/>
      <c r="BMI23" s="9"/>
      <c r="BMJ23" s="9"/>
      <c r="BMK23" s="9"/>
      <c r="BML23" s="9"/>
      <c r="BMM23" s="9"/>
      <c r="BMN23" s="9"/>
      <c r="BMO23" s="9"/>
      <c r="BMP23" s="9"/>
      <c r="BMQ23" s="9"/>
      <c r="BMR23" s="9"/>
      <c r="BMS23" s="9"/>
      <c r="BMT23" s="9"/>
      <c r="BMU23" s="9"/>
      <c r="BMV23" s="9"/>
      <c r="BMW23" s="9"/>
      <c r="BMX23" s="9"/>
      <c r="BMY23" s="9"/>
      <c r="BMZ23" s="9"/>
      <c r="BNA23" s="9"/>
      <c r="BNB23" s="9"/>
      <c r="BNC23" s="9"/>
      <c r="BND23" s="9"/>
      <c r="BNE23" s="9"/>
      <c r="BNF23" s="9"/>
      <c r="BNG23" s="9"/>
      <c r="BNH23" s="9"/>
      <c r="BNI23" s="9"/>
      <c r="BNJ23" s="9"/>
      <c r="BNK23" s="9"/>
      <c r="BNL23" s="9"/>
      <c r="BNM23" s="9"/>
      <c r="BNN23" s="9"/>
      <c r="BNO23" s="9"/>
      <c r="BNP23" s="9"/>
      <c r="BNQ23" s="9"/>
      <c r="BNR23" s="9"/>
      <c r="BNS23" s="9"/>
      <c r="BNT23" s="9"/>
      <c r="BNU23" s="9"/>
      <c r="BNV23" s="9"/>
      <c r="BNW23" s="9"/>
      <c r="BNX23" s="9"/>
      <c r="BNY23" s="9"/>
      <c r="BNZ23" s="9"/>
      <c r="BOA23" s="9"/>
      <c r="BOB23" s="9"/>
      <c r="BOC23" s="9"/>
      <c r="BOD23" s="9"/>
      <c r="BOE23" s="9"/>
      <c r="BOF23" s="9"/>
      <c r="BOG23" s="9"/>
      <c r="BOH23" s="9"/>
      <c r="BOI23" s="9"/>
      <c r="BOJ23" s="9"/>
      <c r="BOK23" s="9"/>
      <c r="BOL23" s="9"/>
      <c r="BOM23" s="9"/>
      <c r="BON23" s="9"/>
      <c r="BOO23" s="9"/>
      <c r="BOP23" s="9"/>
      <c r="BOQ23" s="9"/>
      <c r="BOR23" s="9"/>
      <c r="BOS23" s="9"/>
      <c r="BOT23" s="9"/>
      <c r="BOU23" s="9"/>
      <c r="BOV23" s="9"/>
      <c r="BOW23" s="9"/>
      <c r="BOX23" s="9"/>
      <c r="BOY23" s="9"/>
      <c r="BOZ23" s="9"/>
      <c r="BPA23" s="9"/>
      <c r="BPB23" s="9"/>
      <c r="BPC23" s="9"/>
      <c r="BPD23" s="9"/>
      <c r="BPE23" s="9"/>
      <c r="BPF23" s="9"/>
      <c r="BPG23" s="9"/>
      <c r="BPH23" s="9"/>
      <c r="BPI23" s="9"/>
      <c r="BPJ23" s="9"/>
      <c r="BPK23" s="9"/>
      <c r="BPL23" s="9"/>
      <c r="BPM23" s="9"/>
      <c r="BPN23" s="9"/>
      <c r="BPO23" s="9"/>
      <c r="BPP23" s="9"/>
      <c r="BPQ23" s="9"/>
      <c r="BPR23" s="9"/>
      <c r="BPS23" s="9"/>
      <c r="BPT23" s="9"/>
      <c r="BPU23" s="9"/>
      <c r="BPV23" s="9"/>
      <c r="BPW23" s="9"/>
      <c r="BPX23" s="9"/>
      <c r="BPY23" s="9"/>
      <c r="BPZ23" s="9"/>
      <c r="BQA23" s="9"/>
      <c r="BQB23" s="9"/>
      <c r="BQC23" s="9"/>
      <c r="BQD23" s="9"/>
      <c r="BQE23" s="9"/>
      <c r="BQF23" s="9"/>
      <c r="BQG23" s="9"/>
      <c r="BQH23" s="9"/>
      <c r="BQI23" s="9"/>
      <c r="BQJ23" s="9"/>
      <c r="BQK23" s="9"/>
      <c r="BQL23" s="9"/>
      <c r="BQM23" s="9"/>
      <c r="BQN23" s="9"/>
      <c r="BQO23" s="9"/>
      <c r="BQP23" s="9"/>
      <c r="BQQ23" s="9"/>
      <c r="BQR23" s="9"/>
      <c r="BQS23" s="9"/>
      <c r="BQT23" s="9"/>
      <c r="BQU23" s="9"/>
      <c r="BQV23" s="9"/>
      <c r="BQW23" s="9"/>
      <c r="BQX23" s="9"/>
      <c r="BQY23" s="9"/>
      <c r="BQZ23" s="9"/>
      <c r="BRA23" s="9"/>
      <c r="BRB23" s="9"/>
      <c r="BRC23" s="9"/>
      <c r="BRD23" s="9"/>
      <c r="BRE23" s="9"/>
      <c r="BRF23" s="9"/>
      <c r="BRG23" s="9"/>
      <c r="BRH23" s="9"/>
      <c r="BRI23" s="9"/>
      <c r="BRJ23" s="9"/>
      <c r="BRK23" s="9"/>
      <c r="BRL23" s="9"/>
      <c r="BRM23" s="9"/>
      <c r="BRN23" s="9"/>
      <c r="BRO23" s="9"/>
      <c r="BRP23" s="9"/>
      <c r="BRQ23" s="9"/>
      <c r="BRR23" s="9"/>
      <c r="BRS23" s="9"/>
      <c r="BRT23" s="9"/>
      <c r="BRU23" s="9"/>
      <c r="BRV23" s="9"/>
      <c r="BRW23" s="9"/>
      <c r="BRX23" s="9"/>
      <c r="BRY23" s="9"/>
      <c r="BRZ23" s="9"/>
      <c r="BSA23" s="9"/>
      <c r="BSB23" s="9"/>
      <c r="BSC23" s="9"/>
      <c r="BSD23" s="9"/>
      <c r="BSE23" s="9"/>
      <c r="BSF23" s="9"/>
      <c r="BSG23" s="9"/>
      <c r="BSH23" s="9"/>
      <c r="BSI23" s="9"/>
      <c r="BSJ23" s="9"/>
      <c r="BSK23" s="9"/>
      <c r="BSL23" s="9"/>
      <c r="BSM23" s="9"/>
      <c r="BSN23" s="9"/>
      <c r="BSO23" s="9"/>
      <c r="BSP23" s="9"/>
      <c r="BSQ23" s="9"/>
      <c r="BSR23" s="9"/>
      <c r="BSS23" s="9"/>
      <c r="BST23" s="9"/>
      <c r="BSU23" s="9"/>
      <c r="BSV23" s="9"/>
      <c r="BSW23" s="9"/>
      <c r="BSX23" s="9"/>
      <c r="BSY23" s="9"/>
      <c r="BSZ23" s="9"/>
      <c r="BTA23" s="9"/>
      <c r="BTB23" s="9"/>
      <c r="BTC23" s="9"/>
      <c r="BTD23" s="9"/>
      <c r="BTE23" s="9"/>
      <c r="BTF23" s="9"/>
      <c r="BTG23" s="9"/>
      <c r="BTH23" s="9"/>
      <c r="BTI23" s="9"/>
      <c r="BTJ23" s="9"/>
      <c r="BTK23" s="9"/>
      <c r="BTL23" s="9"/>
      <c r="BTM23" s="9"/>
      <c r="BTN23" s="9"/>
      <c r="BTO23" s="9"/>
      <c r="BTP23" s="9"/>
      <c r="BTQ23" s="9"/>
      <c r="BTR23" s="9"/>
      <c r="BTS23" s="9"/>
      <c r="BTT23" s="9"/>
      <c r="BTU23" s="9"/>
      <c r="BTV23" s="9"/>
      <c r="BTW23" s="9"/>
      <c r="BTX23" s="9"/>
      <c r="BTY23" s="9"/>
      <c r="BTZ23" s="9"/>
      <c r="BUA23" s="9"/>
      <c r="BUB23" s="9"/>
      <c r="BUC23" s="9"/>
      <c r="BUD23" s="9"/>
      <c r="BUE23" s="9"/>
      <c r="BUF23" s="9"/>
      <c r="BUG23" s="9"/>
      <c r="BUH23" s="9"/>
      <c r="BUI23" s="9"/>
      <c r="BUJ23" s="9"/>
      <c r="BUK23" s="9"/>
      <c r="BUL23" s="9"/>
      <c r="BUM23" s="9"/>
      <c r="BUN23" s="9"/>
      <c r="BUO23" s="9"/>
      <c r="BUP23" s="9"/>
      <c r="BUQ23" s="9"/>
      <c r="BUR23" s="9"/>
      <c r="BUS23" s="9"/>
      <c r="BUT23" s="9"/>
      <c r="BUU23" s="9"/>
      <c r="BUV23" s="9"/>
      <c r="BUW23" s="9"/>
      <c r="BUX23" s="9"/>
      <c r="BUY23" s="9"/>
      <c r="BUZ23" s="9"/>
      <c r="BVA23" s="9"/>
      <c r="BVB23" s="9"/>
      <c r="BVC23" s="9"/>
      <c r="BVD23" s="9"/>
      <c r="BVE23" s="9"/>
      <c r="BVF23" s="9"/>
      <c r="BVG23" s="9"/>
      <c r="BVH23" s="9"/>
      <c r="BVI23" s="9"/>
      <c r="BVJ23" s="9"/>
      <c r="BVK23" s="9"/>
      <c r="BVL23" s="9"/>
      <c r="BVM23" s="9"/>
      <c r="BVN23" s="9"/>
      <c r="BVO23" s="9"/>
      <c r="BVP23" s="9"/>
      <c r="BVQ23" s="9"/>
      <c r="BVR23" s="9"/>
      <c r="BVS23" s="9"/>
      <c r="BVT23" s="9"/>
      <c r="BVU23" s="9"/>
      <c r="BVV23" s="9"/>
      <c r="BVW23" s="9"/>
      <c r="BVX23" s="9"/>
      <c r="BVY23" s="9"/>
      <c r="BVZ23" s="9"/>
      <c r="BWA23" s="9"/>
      <c r="BWB23" s="9"/>
      <c r="BWC23" s="9"/>
      <c r="BWD23" s="9"/>
      <c r="BWE23" s="9"/>
      <c r="BWF23" s="9"/>
      <c r="BWG23" s="9"/>
      <c r="BWH23" s="9"/>
      <c r="BWI23" s="9"/>
      <c r="BWJ23" s="9"/>
      <c r="BWK23" s="9"/>
      <c r="BWL23" s="9"/>
      <c r="BWM23" s="9"/>
      <c r="BWN23" s="9"/>
      <c r="BWO23" s="9"/>
      <c r="BWP23" s="9"/>
      <c r="BWQ23" s="9"/>
      <c r="BWR23" s="9"/>
      <c r="BWS23" s="9"/>
      <c r="BWT23" s="9"/>
      <c r="BWU23" s="9"/>
      <c r="BWV23" s="9"/>
      <c r="BWW23" s="9"/>
      <c r="BWX23" s="9"/>
      <c r="BWY23" s="9"/>
      <c r="BWZ23" s="9"/>
      <c r="BXA23" s="9"/>
      <c r="BXB23" s="9"/>
      <c r="BXC23" s="9"/>
      <c r="BXD23" s="9"/>
      <c r="BXE23" s="9"/>
      <c r="BXF23" s="9"/>
      <c r="BXG23" s="9"/>
      <c r="BXH23" s="9"/>
      <c r="BXI23" s="9"/>
      <c r="BXJ23" s="9"/>
      <c r="BXK23" s="9"/>
      <c r="BXL23" s="9"/>
      <c r="BXM23" s="9"/>
      <c r="BXN23" s="9"/>
      <c r="BXO23" s="9"/>
      <c r="BXP23" s="9"/>
      <c r="BXQ23" s="9"/>
      <c r="BXR23" s="9"/>
      <c r="BXS23" s="9"/>
      <c r="BXT23" s="9"/>
      <c r="BXU23" s="9"/>
      <c r="BXV23" s="9"/>
      <c r="BXW23" s="9"/>
      <c r="BXX23" s="9"/>
      <c r="BXY23" s="9"/>
      <c r="BXZ23" s="9"/>
      <c r="BYA23" s="9"/>
      <c r="BYB23" s="9"/>
      <c r="BYC23" s="9"/>
      <c r="BYD23" s="9"/>
      <c r="BYE23" s="9"/>
      <c r="BYF23" s="9"/>
      <c r="BYG23" s="9"/>
      <c r="BYH23" s="9"/>
      <c r="BYI23" s="9"/>
      <c r="BYJ23" s="9"/>
      <c r="BYK23" s="9"/>
      <c r="BYL23" s="9"/>
      <c r="BYM23" s="9"/>
      <c r="BYN23" s="9"/>
      <c r="BYO23" s="9"/>
      <c r="BYP23" s="9"/>
      <c r="BYQ23" s="9"/>
      <c r="BYR23" s="9"/>
      <c r="BYS23" s="9"/>
      <c r="BYT23" s="9"/>
      <c r="BYU23" s="9"/>
      <c r="BYV23" s="9"/>
      <c r="BYW23" s="9"/>
      <c r="BYX23" s="9"/>
      <c r="BYY23" s="9"/>
      <c r="BYZ23" s="9"/>
      <c r="BZA23" s="9"/>
      <c r="BZB23" s="9"/>
      <c r="BZC23" s="9"/>
      <c r="BZD23" s="9"/>
      <c r="BZE23" s="9"/>
      <c r="BZF23" s="9"/>
      <c r="BZG23" s="9"/>
      <c r="BZH23" s="9"/>
      <c r="BZI23" s="9"/>
      <c r="BZJ23" s="9"/>
      <c r="BZK23" s="9"/>
      <c r="BZL23" s="9"/>
      <c r="BZM23" s="9"/>
      <c r="BZN23" s="9"/>
      <c r="BZO23" s="9"/>
      <c r="BZP23" s="9"/>
      <c r="BZQ23" s="9"/>
      <c r="BZR23" s="9"/>
      <c r="BZS23" s="9"/>
      <c r="BZT23" s="9"/>
      <c r="BZU23" s="9"/>
      <c r="BZV23" s="9"/>
      <c r="BZW23" s="9"/>
      <c r="BZX23" s="9"/>
      <c r="BZY23" s="9"/>
      <c r="BZZ23" s="9"/>
      <c r="CAA23" s="9"/>
      <c r="CAB23" s="9"/>
      <c r="CAC23" s="9"/>
      <c r="CAD23" s="9"/>
      <c r="CAE23" s="9"/>
      <c r="CAF23" s="9"/>
      <c r="CAG23" s="9"/>
      <c r="CAH23" s="9"/>
      <c r="CAI23" s="9"/>
      <c r="CAJ23" s="9"/>
      <c r="CAK23" s="9"/>
      <c r="CAL23" s="9"/>
      <c r="CAM23" s="9"/>
      <c r="CAN23" s="9"/>
      <c r="CAO23" s="9"/>
      <c r="CAP23" s="9"/>
      <c r="CAQ23" s="9"/>
      <c r="CAR23" s="9"/>
      <c r="CAS23" s="9"/>
      <c r="CAT23" s="9"/>
      <c r="CAU23" s="9"/>
      <c r="CAV23" s="9"/>
      <c r="CAW23" s="9"/>
      <c r="CAX23" s="9"/>
      <c r="CAY23" s="9"/>
      <c r="CAZ23" s="9"/>
      <c r="CBA23" s="9"/>
      <c r="CBB23" s="9"/>
      <c r="CBC23" s="9"/>
      <c r="CBD23" s="9"/>
      <c r="CBE23" s="9"/>
      <c r="CBF23" s="9"/>
      <c r="CBG23" s="9"/>
      <c r="CBH23" s="9"/>
      <c r="CBI23" s="9"/>
      <c r="CBJ23" s="9"/>
      <c r="CBK23" s="9"/>
      <c r="CBL23" s="9"/>
      <c r="CBM23" s="9"/>
      <c r="CBN23" s="9"/>
      <c r="CBO23" s="9"/>
      <c r="CBP23" s="9"/>
      <c r="CBQ23" s="9"/>
      <c r="CBR23" s="9"/>
      <c r="CBS23" s="9"/>
      <c r="CBT23" s="9"/>
      <c r="CBU23" s="9"/>
      <c r="CBV23" s="9"/>
      <c r="CBW23" s="9"/>
      <c r="CBX23" s="9"/>
      <c r="CBY23" s="9"/>
      <c r="CBZ23" s="9"/>
      <c r="CCA23" s="9"/>
      <c r="CCB23" s="9"/>
      <c r="CCC23" s="9"/>
      <c r="CCD23" s="9"/>
      <c r="CCE23" s="9"/>
      <c r="CCF23" s="9"/>
      <c r="CCG23" s="9"/>
      <c r="CCH23" s="9"/>
      <c r="CCI23" s="9"/>
      <c r="CCJ23" s="9"/>
      <c r="CCK23" s="9"/>
      <c r="CCL23" s="9"/>
      <c r="CCM23" s="9"/>
      <c r="CCN23" s="9"/>
      <c r="CCO23" s="9"/>
      <c r="CCP23" s="9"/>
      <c r="CCQ23" s="9"/>
      <c r="CCR23" s="9"/>
      <c r="CCS23" s="9"/>
      <c r="CCT23" s="9"/>
      <c r="CCU23" s="9"/>
      <c r="CCV23" s="9"/>
      <c r="CCW23" s="9"/>
      <c r="CCX23" s="9"/>
      <c r="CCY23" s="9"/>
      <c r="CCZ23" s="9"/>
      <c r="CDA23" s="9"/>
      <c r="CDB23" s="9"/>
      <c r="CDC23" s="9"/>
      <c r="CDD23" s="9"/>
      <c r="CDE23" s="9"/>
      <c r="CDF23" s="9"/>
      <c r="CDG23" s="9"/>
      <c r="CDH23" s="9"/>
      <c r="CDI23" s="9"/>
      <c r="CDJ23" s="9"/>
      <c r="CDK23" s="9"/>
      <c r="CDL23" s="9"/>
      <c r="CDM23" s="9"/>
      <c r="CDN23" s="9"/>
      <c r="CDO23" s="9"/>
      <c r="CDP23" s="9"/>
      <c r="CDQ23" s="9"/>
      <c r="CDR23" s="9"/>
      <c r="CDS23" s="9"/>
      <c r="CDT23" s="9"/>
      <c r="CDU23" s="9"/>
      <c r="CDV23" s="9"/>
      <c r="CDW23" s="9"/>
      <c r="CDX23" s="9"/>
      <c r="CDY23" s="9"/>
      <c r="CDZ23" s="9"/>
      <c r="CEA23" s="9"/>
      <c r="CEB23" s="9"/>
      <c r="CEC23" s="9"/>
      <c r="CED23" s="9"/>
      <c r="CEE23" s="9"/>
      <c r="CEF23" s="9"/>
      <c r="CEG23" s="9"/>
      <c r="CEH23" s="9"/>
      <c r="CEI23" s="9"/>
      <c r="CEJ23" s="9"/>
      <c r="CEK23" s="9"/>
      <c r="CEL23" s="9"/>
      <c r="CEM23" s="9"/>
      <c r="CEN23" s="9"/>
      <c r="CEO23" s="9"/>
      <c r="CEP23" s="9"/>
      <c r="CEQ23" s="9"/>
      <c r="CER23" s="9"/>
      <c r="CES23" s="9"/>
      <c r="CET23" s="9"/>
      <c r="CEU23" s="9"/>
      <c r="CEV23" s="9"/>
      <c r="CEW23" s="9"/>
      <c r="CEX23" s="9"/>
      <c r="CEY23" s="9"/>
      <c r="CEZ23" s="9"/>
      <c r="CFA23" s="9"/>
      <c r="CFB23" s="9"/>
      <c r="CFC23" s="9"/>
      <c r="CFD23" s="9"/>
      <c r="CFE23" s="9"/>
      <c r="CFF23" s="9"/>
      <c r="CFG23" s="9"/>
      <c r="CFH23" s="9"/>
      <c r="CFI23" s="9"/>
      <c r="CFJ23" s="9"/>
      <c r="CFK23" s="9"/>
      <c r="CFL23" s="9"/>
      <c r="CFM23" s="9"/>
      <c r="CFN23" s="9"/>
      <c r="CFO23" s="9"/>
      <c r="CFP23" s="9"/>
      <c r="CFQ23" s="9"/>
      <c r="CFR23" s="9"/>
      <c r="CFS23" s="9"/>
      <c r="CFT23" s="9"/>
      <c r="CFU23" s="9"/>
      <c r="CFV23" s="9"/>
      <c r="CFW23" s="9"/>
      <c r="CFX23" s="9"/>
      <c r="CFY23" s="9"/>
      <c r="CFZ23" s="9"/>
      <c r="CGA23" s="9"/>
      <c r="CGB23" s="9"/>
      <c r="CGC23" s="9"/>
      <c r="CGD23" s="9"/>
      <c r="CGE23" s="9"/>
      <c r="CGF23" s="9"/>
      <c r="CGG23" s="9"/>
      <c r="CGH23" s="9"/>
      <c r="CGI23" s="9"/>
      <c r="CGJ23" s="9"/>
      <c r="CGK23" s="9"/>
      <c r="CGL23" s="9"/>
      <c r="CGM23" s="9"/>
      <c r="CGN23" s="9"/>
      <c r="CGO23" s="9"/>
      <c r="CGP23" s="9"/>
      <c r="CGQ23" s="9"/>
      <c r="CGR23" s="9"/>
      <c r="CGS23" s="9"/>
      <c r="CGT23" s="9"/>
      <c r="CGU23" s="9"/>
      <c r="CGV23" s="9"/>
      <c r="CGW23" s="9"/>
      <c r="CGX23" s="9"/>
      <c r="CGY23" s="9"/>
      <c r="CGZ23" s="9"/>
      <c r="CHA23" s="9"/>
      <c r="CHB23" s="9"/>
      <c r="CHC23" s="9"/>
      <c r="CHD23" s="9"/>
      <c r="CHE23" s="9"/>
      <c r="CHF23" s="9"/>
      <c r="CHG23" s="9"/>
      <c r="CHH23" s="9"/>
      <c r="CHI23" s="9"/>
      <c r="CHJ23" s="9"/>
      <c r="CHK23" s="9"/>
      <c r="CHL23" s="9"/>
      <c r="CHM23" s="9"/>
      <c r="CHN23" s="9"/>
      <c r="CHO23" s="9"/>
      <c r="CHP23" s="9"/>
      <c r="CHQ23" s="9"/>
      <c r="CHR23" s="9"/>
      <c r="CHS23" s="9"/>
      <c r="CHT23" s="9"/>
      <c r="CHU23" s="9"/>
      <c r="CHV23" s="9"/>
      <c r="CHW23" s="9"/>
      <c r="CHX23" s="9"/>
      <c r="CHY23" s="9"/>
      <c r="CHZ23" s="9"/>
      <c r="CIA23" s="9"/>
      <c r="CIB23" s="9"/>
      <c r="CIC23" s="9"/>
      <c r="CID23" s="9"/>
      <c r="CIE23" s="9"/>
      <c r="CIF23" s="9"/>
      <c r="CIG23" s="9"/>
      <c r="CIH23" s="9"/>
      <c r="CII23" s="9"/>
      <c r="CIJ23" s="9"/>
      <c r="CIK23" s="9"/>
      <c r="CIL23" s="9"/>
      <c r="CIM23" s="9"/>
      <c r="CIN23" s="9"/>
      <c r="CIO23" s="9"/>
      <c r="CIP23" s="9"/>
      <c r="CIQ23" s="9"/>
      <c r="CIR23" s="9"/>
      <c r="CIS23" s="9"/>
      <c r="CIT23" s="9"/>
      <c r="CIU23" s="9"/>
      <c r="CIV23" s="9"/>
      <c r="CIW23" s="9"/>
      <c r="CIX23" s="9"/>
      <c r="CIY23" s="9"/>
      <c r="CIZ23" s="9"/>
      <c r="CJA23" s="9"/>
      <c r="CJB23" s="9"/>
      <c r="CJC23" s="9"/>
      <c r="CJD23" s="9"/>
      <c r="CJE23" s="9"/>
      <c r="CJF23" s="9"/>
      <c r="CJG23" s="9"/>
      <c r="CJH23" s="9"/>
      <c r="CJI23" s="9"/>
      <c r="CJJ23" s="9"/>
      <c r="CJK23" s="9"/>
      <c r="CJL23" s="9"/>
      <c r="CJM23" s="9"/>
      <c r="CJN23" s="9"/>
      <c r="CJO23" s="9"/>
      <c r="CJP23" s="9"/>
      <c r="CJQ23" s="9"/>
      <c r="CJR23" s="9"/>
      <c r="CJS23" s="9"/>
      <c r="CJT23" s="9"/>
      <c r="CJU23" s="9"/>
      <c r="CJV23" s="9"/>
      <c r="CJW23" s="9"/>
      <c r="CJX23" s="9"/>
      <c r="CJY23" s="9"/>
      <c r="CJZ23" s="9"/>
      <c r="CKA23" s="9"/>
      <c r="CKB23" s="9"/>
      <c r="CKC23" s="9"/>
      <c r="CKD23" s="9"/>
      <c r="CKE23" s="9"/>
      <c r="CKF23" s="9"/>
      <c r="CKG23" s="9"/>
      <c r="CKH23" s="9"/>
      <c r="CKI23" s="9"/>
      <c r="CKJ23" s="9"/>
      <c r="CKK23" s="9"/>
      <c r="CKL23" s="9"/>
      <c r="CKM23" s="9"/>
      <c r="CKN23" s="9"/>
      <c r="CKO23" s="9"/>
      <c r="CKP23" s="9"/>
      <c r="CKQ23" s="9"/>
      <c r="CKR23" s="9"/>
      <c r="CKS23" s="9"/>
      <c r="CKT23" s="9"/>
      <c r="CKU23" s="9"/>
      <c r="CKV23" s="9"/>
      <c r="CKW23" s="9"/>
      <c r="CKX23" s="9"/>
      <c r="CKY23" s="9"/>
      <c r="CKZ23" s="9"/>
      <c r="CLA23" s="9"/>
      <c r="CLB23" s="9"/>
      <c r="CLC23" s="9"/>
      <c r="CLD23" s="9"/>
      <c r="CLE23" s="9"/>
      <c r="CLF23" s="9"/>
      <c r="CLG23" s="9"/>
      <c r="CLH23" s="9"/>
      <c r="CLI23" s="9"/>
      <c r="CLJ23" s="9"/>
      <c r="CLK23" s="9"/>
      <c r="CLL23" s="9"/>
      <c r="CLM23" s="9"/>
      <c r="CLN23" s="9"/>
      <c r="CLO23" s="9"/>
      <c r="CLP23" s="9"/>
      <c r="CLQ23" s="9"/>
      <c r="CLR23" s="9"/>
      <c r="CLS23" s="9"/>
      <c r="CLT23" s="9"/>
      <c r="CLU23" s="9"/>
      <c r="CLV23" s="9"/>
      <c r="CLW23" s="9"/>
      <c r="CLX23" s="9"/>
      <c r="CLY23" s="9"/>
      <c r="CLZ23" s="9"/>
      <c r="CMA23" s="9"/>
      <c r="CMB23" s="9"/>
      <c r="CMC23" s="9"/>
      <c r="CMD23" s="9"/>
      <c r="CME23" s="9"/>
      <c r="CMF23" s="9"/>
      <c r="CMG23" s="9"/>
      <c r="CMH23" s="9"/>
      <c r="CMI23" s="9"/>
      <c r="CMJ23" s="9"/>
      <c r="CMK23" s="9"/>
      <c r="CML23" s="9"/>
      <c r="CMM23" s="9"/>
      <c r="CMN23" s="9"/>
      <c r="CMO23" s="9"/>
      <c r="CMP23" s="9"/>
      <c r="CMQ23" s="9"/>
      <c r="CMR23" s="9"/>
      <c r="CMS23" s="9"/>
      <c r="CMT23" s="9"/>
      <c r="CMU23" s="9"/>
      <c r="CMV23" s="9"/>
      <c r="CMW23" s="9"/>
      <c r="CMX23" s="9"/>
      <c r="CMY23" s="9"/>
      <c r="CMZ23" s="9"/>
      <c r="CNA23" s="9"/>
      <c r="CNB23" s="9"/>
      <c r="CNC23" s="9"/>
      <c r="CND23" s="9"/>
      <c r="CNE23" s="9"/>
      <c r="CNF23" s="9"/>
      <c r="CNG23" s="9"/>
      <c r="CNH23" s="9"/>
      <c r="CNI23" s="9"/>
      <c r="CNJ23" s="9"/>
      <c r="CNK23" s="9"/>
      <c r="CNL23" s="9"/>
      <c r="CNM23" s="9"/>
      <c r="CNN23" s="9"/>
      <c r="CNO23" s="9"/>
      <c r="CNP23" s="9"/>
      <c r="CNQ23" s="9"/>
      <c r="CNR23" s="9"/>
      <c r="CNS23" s="9"/>
      <c r="CNT23" s="9"/>
      <c r="CNU23" s="9"/>
      <c r="CNV23" s="9"/>
      <c r="CNW23" s="9"/>
      <c r="CNX23" s="9"/>
      <c r="CNY23" s="9"/>
      <c r="CNZ23" s="9"/>
      <c r="COA23" s="9"/>
      <c r="COB23" s="9"/>
      <c r="COC23" s="9"/>
      <c r="COD23" s="9"/>
      <c r="COE23" s="9"/>
      <c r="COF23" s="9"/>
      <c r="COG23" s="9"/>
      <c r="COH23" s="9"/>
      <c r="COI23" s="9"/>
      <c r="COJ23" s="9"/>
      <c r="COK23" s="9"/>
      <c r="COL23" s="9"/>
      <c r="COM23" s="9"/>
      <c r="CON23" s="9"/>
      <c r="COO23" s="9"/>
      <c r="COP23" s="9"/>
      <c r="COQ23" s="9"/>
      <c r="COR23" s="9"/>
      <c r="COS23" s="9"/>
      <c r="COT23" s="9"/>
      <c r="COU23" s="9"/>
      <c r="COV23" s="9"/>
      <c r="COW23" s="9"/>
      <c r="COX23" s="9"/>
      <c r="COY23" s="9"/>
      <c r="COZ23" s="9"/>
      <c r="CPA23" s="9"/>
      <c r="CPB23" s="9"/>
      <c r="CPC23" s="9"/>
      <c r="CPD23" s="9"/>
      <c r="CPE23" s="9"/>
      <c r="CPF23" s="9"/>
      <c r="CPG23" s="9"/>
      <c r="CPH23" s="9"/>
      <c r="CPI23" s="9"/>
      <c r="CPJ23" s="9"/>
      <c r="CPK23" s="9"/>
      <c r="CPL23" s="9"/>
      <c r="CPM23" s="9"/>
      <c r="CPN23" s="9"/>
      <c r="CPO23" s="9"/>
      <c r="CPP23" s="9"/>
      <c r="CPQ23" s="9"/>
      <c r="CPR23" s="9"/>
      <c r="CPS23" s="9"/>
      <c r="CPT23" s="9"/>
      <c r="CPU23" s="9"/>
      <c r="CPV23" s="9"/>
      <c r="CPW23" s="9"/>
      <c r="CPX23" s="9"/>
      <c r="CPY23" s="9"/>
      <c r="CPZ23" s="9"/>
      <c r="CQA23" s="9"/>
      <c r="CQB23" s="9"/>
      <c r="CQC23" s="9"/>
      <c r="CQD23" s="9"/>
      <c r="CQE23" s="9"/>
      <c r="CQF23" s="9"/>
      <c r="CQG23" s="9"/>
      <c r="CQH23" s="9"/>
      <c r="CQI23" s="9"/>
      <c r="CQJ23" s="9"/>
      <c r="CQK23" s="9"/>
      <c r="CQL23" s="9"/>
      <c r="CQM23" s="9"/>
      <c r="CQN23" s="9"/>
      <c r="CQO23" s="9"/>
      <c r="CQP23" s="9"/>
      <c r="CQQ23" s="9"/>
      <c r="CQR23" s="9"/>
      <c r="CQS23" s="9"/>
      <c r="CQT23" s="9"/>
      <c r="CQU23" s="9"/>
      <c r="CQV23" s="9"/>
      <c r="CQW23" s="9"/>
      <c r="CQX23" s="9"/>
      <c r="CQY23" s="9"/>
      <c r="CQZ23" s="9"/>
      <c r="CRA23" s="9"/>
      <c r="CRB23" s="9"/>
      <c r="CRC23" s="9"/>
      <c r="CRD23" s="9"/>
      <c r="CRE23" s="9"/>
      <c r="CRF23" s="9"/>
      <c r="CRG23" s="9"/>
      <c r="CRH23" s="9"/>
      <c r="CRI23" s="9"/>
      <c r="CRJ23" s="9"/>
      <c r="CRK23" s="9"/>
      <c r="CRL23" s="9"/>
      <c r="CRM23" s="9"/>
      <c r="CRN23" s="9"/>
      <c r="CRO23" s="9"/>
      <c r="CRP23" s="9"/>
      <c r="CRQ23" s="9"/>
      <c r="CRR23" s="9"/>
      <c r="CRS23" s="9"/>
      <c r="CRT23" s="9"/>
      <c r="CRU23" s="9"/>
      <c r="CRV23" s="9"/>
      <c r="CRW23" s="9"/>
      <c r="CRX23" s="9"/>
      <c r="CRY23" s="9"/>
      <c r="CRZ23" s="9"/>
      <c r="CSA23" s="9"/>
      <c r="CSB23" s="9"/>
      <c r="CSC23" s="9"/>
      <c r="CSD23" s="9"/>
      <c r="CSE23" s="9"/>
      <c r="CSF23" s="9"/>
      <c r="CSG23" s="9"/>
      <c r="CSH23" s="9"/>
      <c r="CSI23" s="9"/>
      <c r="CSJ23" s="9"/>
      <c r="CSK23" s="9"/>
      <c r="CSL23" s="9"/>
      <c r="CSM23" s="9"/>
      <c r="CSN23" s="9"/>
      <c r="CSO23" s="9"/>
      <c r="CSP23" s="9"/>
      <c r="CSQ23" s="9"/>
      <c r="CSR23" s="9"/>
      <c r="CSS23" s="9"/>
      <c r="CST23" s="9"/>
      <c r="CSU23" s="9"/>
      <c r="CSV23" s="9"/>
      <c r="CSW23" s="9"/>
      <c r="CSX23" s="9"/>
      <c r="CSY23" s="9"/>
      <c r="CSZ23" s="9"/>
      <c r="CTA23" s="9"/>
      <c r="CTB23" s="9"/>
      <c r="CTC23" s="9"/>
      <c r="CTD23" s="9"/>
      <c r="CTE23" s="9"/>
      <c r="CTF23" s="9"/>
      <c r="CTG23" s="9"/>
      <c r="CTH23" s="9"/>
      <c r="CTI23" s="9"/>
      <c r="CTJ23" s="9"/>
      <c r="CTK23" s="9"/>
      <c r="CTL23" s="9"/>
      <c r="CTM23" s="9"/>
      <c r="CTN23" s="9"/>
      <c r="CTO23" s="9"/>
      <c r="CTP23" s="9"/>
      <c r="CTQ23" s="9"/>
      <c r="CTR23" s="9"/>
      <c r="CTS23" s="9"/>
      <c r="CTT23" s="9"/>
      <c r="CTU23" s="9"/>
      <c r="CTV23" s="9"/>
      <c r="CTW23" s="9"/>
      <c r="CTX23" s="9"/>
      <c r="CTY23" s="9"/>
      <c r="CTZ23" s="9"/>
      <c r="CUA23" s="9"/>
      <c r="CUB23" s="9"/>
      <c r="CUC23" s="9"/>
      <c r="CUD23" s="9"/>
      <c r="CUE23" s="9"/>
      <c r="CUF23" s="9"/>
      <c r="CUG23" s="9"/>
      <c r="CUH23" s="9"/>
      <c r="CUI23" s="9"/>
      <c r="CUJ23" s="9"/>
      <c r="CUK23" s="9"/>
      <c r="CUL23" s="9"/>
      <c r="CUM23" s="9"/>
      <c r="CUN23" s="9"/>
      <c r="CUO23" s="9"/>
      <c r="CUP23" s="9"/>
      <c r="CUQ23" s="9"/>
      <c r="CUR23" s="9"/>
      <c r="CUS23" s="9"/>
      <c r="CUT23" s="9"/>
      <c r="CUU23" s="9"/>
      <c r="CUV23" s="9"/>
      <c r="CUW23" s="9"/>
      <c r="CUX23" s="9"/>
      <c r="CUY23" s="9"/>
      <c r="CUZ23" s="9"/>
      <c r="CVA23" s="9"/>
      <c r="CVB23" s="9"/>
      <c r="CVC23" s="9"/>
      <c r="CVD23" s="9"/>
      <c r="CVE23" s="9"/>
      <c r="CVF23" s="9"/>
      <c r="CVG23" s="9"/>
      <c r="CVH23" s="9"/>
      <c r="CVI23" s="9"/>
      <c r="CVJ23" s="9"/>
      <c r="CVK23" s="9"/>
      <c r="CVL23" s="9"/>
      <c r="CVM23" s="9"/>
      <c r="CVN23" s="9"/>
      <c r="CVO23" s="9"/>
      <c r="CVP23" s="9"/>
      <c r="CVQ23" s="9"/>
      <c r="CVR23" s="9"/>
      <c r="CVS23" s="9"/>
      <c r="CVT23" s="9"/>
      <c r="CVU23" s="9"/>
      <c r="CVV23" s="9"/>
      <c r="CVW23" s="9"/>
      <c r="CVX23" s="9"/>
      <c r="CVY23" s="9"/>
      <c r="CVZ23" s="9"/>
      <c r="CWA23" s="9"/>
      <c r="CWB23" s="9"/>
      <c r="CWC23" s="9"/>
      <c r="CWD23" s="9"/>
      <c r="CWE23" s="9"/>
      <c r="CWF23" s="9"/>
      <c r="CWG23" s="9"/>
      <c r="CWH23" s="9"/>
      <c r="CWI23" s="9"/>
      <c r="CWJ23" s="9"/>
      <c r="CWK23" s="9"/>
      <c r="CWL23" s="9"/>
      <c r="CWM23" s="9"/>
      <c r="CWN23" s="9"/>
      <c r="CWO23" s="9"/>
      <c r="CWP23" s="9"/>
      <c r="CWQ23" s="9"/>
      <c r="CWR23" s="9"/>
      <c r="CWS23" s="9"/>
      <c r="CWT23" s="9"/>
      <c r="CWU23" s="9"/>
      <c r="CWV23" s="9"/>
      <c r="CWW23" s="9"/>
      <c r="CWX23" s="9"/>
      <c r="CWY23" s="9"/>
      <c r="CWZ23" s="9"/>
      <c r="CXA23" s="9"/>
      <c r="CXB23" s="9"/>
      <c r="CXC23" s="9"/>
      <c r="CXD23" s="9"/>
      <c r="CXE23" s="9"/>
      <c r="CXF23" s="9"/>
      <c r="CXG23" s="9"/>
      <c r="CXH23" s="9"/>
      <c r="CXI23" s="9"/>
      <c r="CXJ23" s="9"/>
      <c r="CXK23" s="9"/>
      <c r="CXL23" s="9"/>
      <c r="CXM23" s="9"/>
      <c r="CXN23" s="9"/>
      <c r="CXO23" s="9"/>
      <c r="CXP23" s="9"/>
      <c r="CXQ23" s="9"/>
      <c r="CXR23" s="9"/>
      <c r="CXS23" s="9"/>
      <c r="CXT23" s="9"/>
      <c r="CXU23" s="9"/>
      <c r="CXV23" s="9"/>
      <c r="CXW23" s="9"/>
      <c r="CXX23" s="9"/>
      <c r="CXY23" s="9"/>
      <c r="CXZ23" s="9"/>
      <c r="CYA23" s="9"/>
      <c r="CYB23" s="9"/>
      <c r="CYC23" s="9"/>
      <c r="CYD23" s="9"/>
      <c r="CYE23" s="9"/>
      <c r="CYF23" s="9"/>
      <c r="CYG23" s="9"/>
      <c r="CYH23" s="9"/>
      <c r="CYI23" s="9"/>
      <c r="CYJ23" s="9"/>
      <c r="CYK23" s="9"/>
      <c r="CYL23" s="9"/>
      <c r="CYM23" s="9"/>
      <c r="CYN23" s="9"/>
      <c r="CYO23" s="9"/>
      <c r="CYP23" s="9"/>
      <c r="CYQ23" s="9"/>
      <c r="CYR23" s="9"/>
      <c r="CYS23" s="9"/>
      <c r="CYT23" s="9"/>
      <c r="CYU23" s="9"/>
      <c r="CYV23" s="9"/>
      <c r="CYW23" s="9"/>
      <c r="CYX23" s="9"/>
      <c r="CYY23" s="9"/>
      <c r="CYZ23" s="9"/>
      <c r="CZA23" s="9"/>
      <c r="CZB23" s="9"/>
      <c r="CZC23" s="9"/>
      <c r="CZD23" s="9"/>
      <c r="CZE23" s="9"/>
      <c r="CZF23" s="9"/>
      <c r="CZG23" s="9"/>
      <c r="CZH23" s="9"/>
      <c r="CZI23" s="9"/>
      <c r="CZJ23" s="9"/>
      <c r="CZK23" s="9"/>
      <c r="CZL23" s="9"/>
      <c r="CZM23" s="9"/>
      <c r="CZN23" s="9"/>
      <c r="CZO23" s="9"/>
      <c r="CZP23" s="9"/>
      <c r="CZQ23" s="9"/>
      <c r="CZR23" s="9"/>
      <c r="CZS23" s="9"/>
      <c r="CZT23" s="9"/>
      <c r="CZU23" s="9"/>
      <c r="CZV23" s="9"/>
      <c r="CZW23" s="9"/>
      <c r="CZX23" s="9"/>
      <c r="CZY23" s="9"/>
      <c r="CZZ23" s="9"/>
      <c r="DAA23" s="9"/>
      <c r="DAB23" s="9"/>
      <c r="DAC23" s="9"/>
      <c r="DAD23" s="9"/>
      <c r="DAE23" s="9"/>
      <c r="DAF23" s="9"/>
      <c r="DAG23" s="9"/>
      <c r="DAH23" s="9"/>
      <c r="DAI23" s="9"/>
      <c r="DAJ23" s="9"/>
      <c r="DAK23" s="9"/>
      <c r="DAL23" s="9"/>
      <c r="DAM23" s="9"/>
      <c r="DAN23" s="9"/>
      <c r="DAO23" s="9"/>
      <c r="DAP23" s="9"/>
      <c r="DAQ23" s="9"/>
      <c r="DAR23" s="9"/>
      <c r="DAS23" s="9"/>
      <c r="DAT23" s="9"/>
      <c r="DAU23" s="9"/>
      <c r="DAV23" s="9"/>
      <c r="DAW23" s="9"/>
      <c r="DAX23" s="9"/>
      <c r="DAY23" s="9"/>
      <c r="DAZ23" s="9"/>
      <c r="DBA23" s="9"/>
      <c r="DBB23" s="9"/>
      <c r="DBC23" s="9"/>
      <c r="DBD23" s="9"/>
      <c r="DBE23" s="9"/>
      <c r="DBF23" s="9"/>
      <c r="DBG23" s="9"/>
      <c r="DBH23" s="9"/>
      <c r="DBI23" s="9"/>
      <c r="DBJ23" s="9"/>
      <c r="DBK23" s="9"/>
      <c r="DBL23" s="9"/>
      <c r="DBM23" s="9"/>
      <c r="DBN23" s="9"/>
      <c r="DBO23" s="9"/>
      <c r="DBP23" s="9"/>
      <c r="DBQ23" s="9"/>
      <c r="DBR23" s="9"/>
      <c r="DBS23" s="9"/>
      <c r="DBT23" s="9"/>
      <c r="DBU23" s="9"/>
      <c r="DBV23" s="9"/>
      <c r="DBW23" s="9"/>
      <c r="DBX23" s="9"/>
      <c r="DBY23" s="9"/>
      <c r="DBZ23" s="9"/>
      <c r="DCA23" s="9"/>
      <c r="DCB23" s="9"/>
      <c r="DCC23" s="9"/>
      <c r="DCD23" s="9"/>
      <c r="DCE23" s="9"/>
      <c r="DCF23" s="9"/>
      <c r="DCG23" s="9"/>
      <c r="DCH23" s="9"/>
      <c r="DCI23" s="9"/>
      <c r="DCJ23" s="9"/>
      <c r="DCK23" s="9"/>
      <c r="DCL23" s="9"/>
      <c r="DCM23" s="9"/>
      <c r="DCN23" s="9"/>
      <c r="DCO23" s="9"/>
      <c r="DCP23" s="9"/>
      <c r="DCQ23" s="9"/>
      <c r="DCR23" s="9"/>
      <c r="DCS23" s="9"/>
      <c r="DCT23" s="9"/>
      <c r="DCU23" s="9"/>
      <c r="DCV23" s="9"/>
      <c r="DCW23" s="9"/>
      <c r="DCX23" s="9"/>
      <c r="DCY23" s="9"/>
      <c r="DCZ23" s="9"/>
      <c r="DDA23" s="9"/>
      <c r="DDB23" s="9"/>
      <c r="DDC23" s="9"/>
      <c r="DDD23" s="9"/>
      <c r="DDE23" s="9"/>
      <c r="DDF23" s="9"/>
      <c r="DDG23" s="9"/>
      <c r="DDH23" s="9"/>
      <c r="DDI23" s="9"/>
      <c r="DDJ23" s="9"/>
      <c r="DDK23" s="9"/>
      <c r="DDL23" s="9"/>
      <c r="DDM23" s="9"/>
      <c r="DDN23" s="9"/>
      <c r="DDO23" s="9"/>
      <c r="DDP23" s="9"/>
      <c r="DDQ23" s="9"/>
      <c r="DDR23" s="9"/>
      <c r="DDS23" s="9"/>
      <c r="DDT23" s="9"/>
      <c r="DDU23" s="9"/>
      <c r="DDV23" s="9"/>
      <c r="DDW23" s="9"/>
      <c r="DDX23" s="9"/>
      <c r="DDY23" s="9"/>
      <c r="DDZ23" s="9"/>
      <c r="DEA23" s="9"/>
      <c r="DEB23" s="9"/>
      <c r="DEC23" s="9"/>
      <c r="DED23" s="9"/>
      <c r="DEE23" s="9"/>
      <c r="DEF23" s="9"/>
      <c r="DEG23" s="9"/>
      <c r="DEH23" s="9"/>
      <c r="DEI23" s="9"/>
      <c r="DEJ23" s="9"/>
      <c r="DEK23" s="9"/>
      <c r="DEL23" s="9"/>
      <c r="DEM23" s="9"/>
      <c r="DEN23" s="9"/>
      <c r="DEO23" s="9"/>
      <c r="DEP23" s="9"/>
      <c r="DEQ23" s="9"/>
      <c r="DER23" s="9"/>
      <c r="DES23" s="9"/>
      <c r="DET23" s="9"/>
      <c r="DEU23" s="9"/>
      <c r="DEV23" s="9"/>
      <c r="DEW23" s="9"/>
      <c r="DEX23" s="9"/>
      <c r="DEY23" s="9"/>
      <c r="DEZ23" s="9"/>
      <c r="DFA23" s="9"/>
      <c r="DFB23" s="9"/>
      <c r="DFC23" s="9"/>
      <c r="DFD23" s="9"/>
      <c r="DFE23" s="9"/>
      <c r="DFF23" s="9"/>
      <c r="DFG23" s="9"/>
      <c r="DFH23" s="9"/>
      <c r="DFI23" s="9"/>
      <c r="DFJ23" s="9"/>
      <c r="DFK23" s="9"/>
      <c r="DFL23" s="9"/>
      <c r="DFM23" s="9"/>
      <c r="DFN23" s="9"/>
      <c r="DFO23" s="9"/>
      <c r="DFP23" s="9"/>
      <c r="DFQ23" s="9"/>
      <c r="DFR23" s="9"/>
      <c r="DFS23" s="9"/>
      <c r="DFT23" s="9"/>
      <c r="DFU23" s="9"/>
      <c r="DFV23" s="9"/>
      <c r="DFW23" s="9"/>
      <c r="DFX23" s="9"/>
      <c r="DFY23" s="9"/>
      <c r="DFZ23" s="9"/>
      <c r="DGA23" s="9"/>
      <c r="DGB23" s="9"/>
      <c r="DGC23" s="9"/>
      <c r="DGD23" s="9"/>
      <c r="DGE23" s="9"/>
      <c r="DGF23" s="9"/>
      <c r="DGG23" s="9"/>
      <c r="DGH23" s="9"/>
      <c r="DGI23" s="9"/>
      <c r="DGJ23" s="9"/>
      <c r="DGK23" s="9"/>
      <c r="DGL23" s="9"/>
      <c r="DGM23" s="9"/>
      <c r="DGN23" s="9"/>
      <c r="DGO23" s="9"/>
      <c r="DGP23" s="9"/>
      <c r="DGQ23" s="9"/>
      <c r="DGR23" s="9"/>
      <c r="DGS23" s="9"/>
      <c r="DGT23" s="9"/>
      <c r="DGU23" s="9"/>
      <c r="DGV23" s="9"/>
      <c r="DGW23" s="9"/>
      <c r="DGX23" s="9"/>
      <c r="DGY23" s="9"/>
      <c r="DGZ23" s="9"/>
      <c r="DHA23" s="9"/>
      <c r="DHB23" s="9"/>
      <c r="DHC23" s="9"/>
      <c r="DHD23" s="9"/>
      <c r="DHE23" s="9"/>
      <c r="DHF23" s="9"/>
      <c r="DHG23" s="9"/>
      <c r="DHH23" s="9"/>
      <c r="DHI23" s="9"/>
      <c r="DHJ23" s="9"/>
      <c r="DHK23" s="9"/>
      <c r="DHL23" s="9"/>
      <c r="DHM23" s="9"/>
      <c r="DHN23" s="9"/>
      <c r="DHO23" s="9"/>
      <c r="DHP23" s="9"/>
      <c r="DHQ23" s="9"/>
      <c r="DHR23" s="9"/>
      <c r="DHS23" s="9"/>
      <c r="DHT23" s="9"/>
      <c r="DHU23" s="9"/>
      <c r="DHV23" s="9"/>
      <c r="DHW23" s="9"/>
      <c r="DHX23" s="9"/>
      <c r="DHY23" s="9"/>
      <c r="DHZ23" s="9"/>
      <c r="DIA23" s="9"/>
      <c r="DIB23" s="9"/>
      <c r="DIC23" s="9"/>
      <c r="DID23" s="9"/>
      <c r="DIE23" s="9"/>
      <c r="DIF23" s="9"/>
      <c r="DIG23" s="9"/>
      <c r="DIH23" s="9"/>
      <c r="DII23" s="9"/>
      <c r="DIJ23" s="9"/>
      <c r="DIK23" s="9"/>
      <c r="DIL23" s="9"/>
      <c r="DIM23" s="9"/>
      <c r="DIN23" s="9"/>
      <c r="DIO23" s="9"/>
      <c r="DIP23" s="9"/>
      <c r="DIQ23" s="9"/>
      <c r="DIR23" s="9"/>
      <c r="DIS23" s="9"/>
      <c r="DIT23" s="9"/>
      <c r="DIU23" s="9"/>
      <c r="DIV23" s="9"/>
      <c r="DIW23" s="9"/>
      <c r="DIX23" s="9"/>
      <c r="DIY23" s="9"/>
      <c r="DIZ23" s="9"/>
      <c r="DJA23" s="9"/>
      <c r="DJB23" s="9"/>
      <c r="DJC23" s="9"/>
      <c r="DJD23" s="9"/>
      <c r="DJE23" s="9"/>
      <c r="DJF23" s="9"/>
      <c r="DJG23" s="9"/>
      <c r="DJH23" s="9"/>
      <c r="DJI23" s="9"/>
      <c r="DJJ23" s="9"/>
      <c r="DJK23" s="9"/>
      <c r="DJL23" s="9"/>
      <c r="DJM23" s="9"/>
      <c r="DJN23" s="9"/>
      <c r="DJO23" s="9"/>
      <c r="DJP23" s="9"/>
      <c r="DJQ23" s="9"/>
      <c r="DJR23" s="9"/>
      <c r="DJS23" s="9"/>
      <c r="DJT23" s="9"/>
      <c r="DJU23" s="9"/>
      <c r="DJV23" s="9"/>
      <c r="DJW23" s="9"/>
      <c r="DJX23" s="9"/>
      <c r="DJY23" s="9"/>
      <c r="DJZ23" s="9"/>
      <c r="DKA23" s="9"/>
      <c r="DKB23" s="9"/>
      <c r="DKC23" s="9"/>
      <c r="DKD23" s="9"/>
      <c r="DKE23" s="9"/>
      <c r="DKF23" s="9"/>
      <c r="DKG23" s="9"/>
      <c r="DKH23" s="9"/>
      <c r="DKI23" s="9"/>
      <c r="DKJ23" s="9"/>
      <c r="DKK23" s="9"/>
      <c r="DKL23" s="9"/>
      <c r="DKM23" s="9"/>
      <c r="DKN23" s="9"/>
      <c r="DKO23" s="9"/>
      <c r="DKP23" s="9"/>
      <c r="DKQ23" s="9"/>
      <c r="DKR23" s="9"/>
      <c r="DKS23" s="9"/>
      <c r="DKT23" s="9"/>
      <c r="DKU23" s="9"/>
      <c r="DKV23" s="9"/>
      <c r="DKW23" s="9"/>
      <c r="DKX23" s="9"/>
      <c r="DKY23" s="9"/>
      <c r="DKZ23" s="9"/>
      <c r="DLA23" s="9"/>
      <c r="DLB23" s="9"/>
      <c r="DLC23" s="9"/>
      <c r="DLD23" s="9"/>
      <c r="DLE23" s="9"/>
      <c r="DLF23" s="9"/>
      <c r="DLG23" s="9"/>
      <c r="DLH23" s="9"/>
      <c r="DLI23" s="9"/>
      <c r="DLJ23" s="9"/>
      <c r="DLK23" s="9"/>
      <c r="DLL23" s="9"/>
      <c r="DLM23" s="9"/>
      <c r="DLN23" s="9"/>
      <c r="DLO23" s="9"/>
      <c r="DLP23" s="9"/>
      <c r="DLQ23" s="9"/>
      <c r="DLR23" s="9"/>
      <c r="DLS23" s="9"/>
      <c r="DLT23" s="9"/>
      <c r="DLU23" s="9"/>
      <c r="DLV23" s="9"/>
      <c r="DLW23" s="9"/>
      <c r="DLX23" s="9"/>
      <c r="DLY23" s="9"/>
      <c r="DLZ23" s="9"/>
      <c r="DMA23" s="9"/>
      <c r="DMB23" s="9"/>
      <c r="DMC23" s="9"/>
      <c r="DMD23" s="9"/>
      <c r="DME23" s="9"/>
      <c r="DMF23" s="9"/>
      <c r="DMG23" s="9"/>
      <c r="DMH23" s="9"/>
      <c r="DMI23" s="9"/>
      <c r="DMJ23" s="9"/>
      <c r="DMK23" s="9"/>
      <c r="DML23" s="9"/>
      <c r="DMM23" s="9"/>
      <c r="DMN23" s="9"/>
      <c r="DMO23" s="9"/>
      <c r="DMP23" s="9"/>
      <c r="DMQ23" s="9"/>
      <c r="DMR23" s="9"/>
      <c r="DMS23" s="9"/>
      <c r="DMT23" s="9"/>
      <c r="DMU23" s="9"/>
      <c r="DMV23" s="9"/>
      <c r="DMW23" s="9"/>
      <c r="DMX23" s="9"/>
      <c r="DMY23" s="9"/>
      <c r="DMZ23" s="9"/>
      <c r="DNA23" s="9"/>
      <c r="DNB23" s="9"/>
      <c r="DNC23" s="9"/>
      <c r="DND23" s="9"/>
      <c r="DNE23" s="9"/>
      <c r="DNF23" s="9"/>
      <c r="DNG23" s="9"/>
      <c r="DNH23" s="9"/>
      <c r="DNI23" s="9"/>
      <c r="DNJ23" s="9"/>
      <c r="DNK23" s="9"/>
      <c r="DNL23" s="9"/>
      <c r="DNM23" s="9"/>
      <c r="DNN23" s="9"/>
      <c r="DNO23" s="9"/>
      <c r="DNP23" s="9"/>
      <c r="DNQ23" s="9"/>
      <c r="DNR23" s="9"/>
      <c r="DNS23" s="9"/>
      <c r="DNT23" s="9"/>
      <c r="DNU23" s="9"/>
      <c r="DNV23" s="9"/>
      <c r="DNW23" s="9"/>
      <c r="DNX23" s="9"/>
      <c r="DNY23" s="9"/>
      <c r="DNZ23" s="9"/>
      <c r="DOA23" s="9"/>
      <c r="DOB23" s="9"/>
      <c r="DOC23" s="9"/>
      <c r="DOD23" s="9"/>
      <c r="DOE23" s="9"/>
      <c r="DOF23" s="9"/>
      <c r="DOG23" s="9"/>
      <c r="DOH23" s="9"/>
      <c r="DOI23" s="9"/>
      <c r="DOJ23" s="9"/>
      <c r="DOK23" s="9"/>
      <c r="DOL23" s="9"/>
      <c r="DOM23" s="9"/>
      <c r="DON23" s="9"/>
      <c r="DOO23" s="9"/>
      <c r="DOP23" s="9"/>
      <c r="DOQ23" s="9"/>
      <c r="DOR23" s="9"/>
      <c r="DOS23" s="9"/>
      <c r="DOT23" s="9"/>
      <c r="DOU23" s="9"/>
      <c r="DOV23" s="9"/>
      <c r="DOW23" s="9"/>
      <c r="DOX23" s="9"/>
      <c r="DOY23" s="9"/>
      <c r="DOZ23" s="9"/>
      <c r="DPA23" s="9"/>
      <c r="DPB23" s="9"/>
      <c r="DPC23" s="9"/>
      <c r="DPD23" s="9"/>
      <c r="DPE23" s="9"/>
      <c r="DPF23" s="9"/>
      <c r="DPG23" s="9"/>
      <c r="DPH23" s="9"/>
      <c r="DPI23" s="9"/>
      <c r="DPJ23" s="9"/>
      <c r="DPK23" s="9"/>
      <c r="DPL23" s="9"/>
      <c r="DPM23" s="9"/>
      <c r="DPN23" s="9"/>
      <c r="DPO23" s="9"/>
      <c r="DPP23" s="9"/>
      <c r="DPQ23" s="9"/>
      <c r="DPR23" s="9"/>
      <c r="DPS23" s="9"/>
      <c r="DPT23" s="9"/>
      <c r="DPU23" s="9"/>
      <c r="DPV23" s="9"/>
      <c r="DPW23" s="9"/>
      <c r="DPX23" s="9"/>
      <c r="DPY23" s="9"/>
      <c r="DPZ23" s="9"/>
      <c r="DQA23" s="9"/>
      <c r="DQB23" s="9"/>
      <c r="DQC23" s="9"/>
      <c r="DQD23" s="9"/>
      <c r="DQE23" s="9"/>
      <c r="DQF23" s="9"/>
      <c r="DQG23" s="9"/>
      <c r="DQH23" s="9"/>
      <c r="DQI23" s="9"/>
      <c r="DQJ23" s="9"/>
      <c r="DQK23" s="9"/>
      <c r="DQL23" s="9"/>
      <c r="DQM23" s="9"/>
      <c r="DQN23" s="9"/>
      <c r="DQO23" s="9"/>
      <c r="DQP23" s="9"/>
      <c r="DQQ23" s="9"/>
      <c r="DQR23" s="9"/>
      <c r="DQS23" s="9"/>
      <c r="DQT23" s="9"/>
      <c r="DQU23" s="9"/>
      <c r="DQV23" s="9"/>
      <c r="DQW23" s="9"/>
      <c r="DQX23" s="9"/>
      <c r="DQY23" s="9"/>
      <c r="DQZ23" s="9"/>
      <c r="DRA23" s="9"/>
      <c r="DRB23" s="9"/>
      <c r="DRC23" s="9"/>
      <c r="DRD23" s="9"/>
      <c r="DRE23" s="9"/>
      <c r="DRF23" s="9"/>
      <c r="DRG23" s="9"/>
      <c r="DRH23" s="9"/>
      <c r="DRI23" s="9"/>
      <c r="DRJ23" s="9"/>
      <c r="DRK23" s="9"/>
      <c r="DRL23" s="9"/>
      <c r="DRM23" s="9"/>
      <c r="DRN23" s="9"/>
      <c r="DRO23" s="9"/>
      <c r="DRP23" s="9"/>
      <c r="DRQ23" s="9"/>
      <c r="DRR23" s="9"/>
      <c r="DRS23" s="9"/>
      <c r="DRT23" s="9"/>
      <c r="DRU23" s="9"/>
      <c r="DRV23" s="9"/>
      <c r="DRW23" s="9"/>
      <c r="DRX23" s="9"/>
      <c r="DRY23" s="9"/>
      <c r="DRZ23" s="9"/>
      <c r="DSA23" s="9"/>
      <c r="DSB23" s="9"/>
      <c r="DSC23" s="9"/>
      <c r="DSD23" s="9"/>
      <c r="DSE23" s="9"/>
      <c r="DSF23" s="9"/>
      <c r="DSG23" s="9"/>
      <c r="DSH23" s="9"/>
      <c r="DSI23" s="9"/>
      <c r="DSJ23" s="9"/>
      <c r="DSK23" s="9"/>
      <c r="DSL23" s="9"/>
      <c r="DSM23" s="9"/>
      <c r="DSN23" s="9"/>
      <c r="DSO23" s="9"/>
      <c r="DSP23" s="9"/>
      <c r="DSQ23" s="9"/>
      <c r="DSR23" s="9"/>
      <c r="DSS23" s="9"/>
      <c r="DST23" s="9"/>
      <c r="DSU23" s="9"/>
      <c r="DSV23" s="9"/>
      <c r="DSW23" s="9"/>
      <c r="DSX23" s="9"/>
      <c r="DSY23" s="9"/>
      <c r="DSZ23" s="9"/>
      <c r="DTA23" s="9"/>
      <c r="DTB23" s="9"/>
      <c r="DTC23" s="9"/>
      <c r="DTD23" s="9"/>
      <c r="DTE23" s="9"/>
      <c r="DTF23" s="9"/>
      <c r="DTG23" s="9"/>
      <c r="DTH23" s="9"/>
      <c r="DTI23" s="9"/>
      <c r="DTJ23" s="9"/>
      <c r="DTK23" s="9"/>
      <c r="DTL23" s="9"/>
      <c r="DTM23" s="9"/>
      <c r="DTN23" s="9"/>
      <c r="DTO23" s="9"/>
      <c r="DTP23" s="9"/>
      <c r="DTQ23" s="9"/>
      <c r="DTR23" s="9"/>
      <c r="DTS23" s="9"/>
      <c r="DTT23" s="9"/>
      <c r="DTU23" s="9"/>
      <c r="DTV23" s="9"/>
      <c r="DTW23" s="9"/>
      <c r="DTX23" s="9"/>
      <c r="DTY23" s="9"/>
      <c r="DTZ23" s="9"/>
      <c r="DUA23" s="9"/>
      <c r="DUB23" s="9"/>
      <c r="DUC23" s="9"/>
      <c r="DUD23" s="9"/>
      <c r="DUE23" s="9"/>
      <c r="DUF23" s="9"/>
      <c r="DUG23" s="9"/>
      <c r="DUH23" s="9"/>
      <c r="DUI23" s="9"/>
      <c r="DUJ23" s="9"/>
      <c r="DUK23" s="9"/>
      <c r="DUL23" s="9"/>
      <c r="DUM23" s="9"/>
      <c r="DUN23" s="9"/>
      <c r="DUO23" s="9"/>
      <c r="DUP23" s="9"/>
      <c r="DUQ23" s="9"/>
      <c r="DUR23" s="9"/>
      <c r="DUS23" s="9"/>
      <c r="DUT23" s="9"/>
      <c r="DUU23" s="9"/>
      <c r="DUV23" s="9"/>
      <c r="DUW23" s="9"/>
      <c r="DUX23" s="9"/>
      <c r="DUY23" s="9"/>
      <c r="DUZ23" s="9"/>
      <c r="DVA23" s="9"/>
      <c r="DVB23" s="9"/>
      <c r="DVC23" s="9"/>
      <c r="DVD23" s="9"/>
      <c r="DVE23" s="9"/>
      <c r="DVF23" s="9"/>
      <c r="DVG23" s="9"/>
      <c r="DVH23" s="9"/>
      <c r="DVI23" s="9"/>
      <c r="DVJ23" s="9"/>
      <c r="DVK23" s="9"/>
      <c r="DVL23" s="9"/>
      <c r="DVM23" s="9"/>
      <c r="DVN23" s="9"/>
      <c r="DVO23" s="9"/>
      <c r="DVP23" s="9"/>
      <c r="DVQ23" s="9"/>
      <c r="DVR23" s="9"/>
      <c r="DVS23" s="9"/>
      <c r="DVT23" s="9"/>
      <c r="DVU23" s="9"/>
      <c r="DVV23" s="9"/>
      <c r="DVW23" s="9"/>
      <c r="DVX23" s="9"/>
      <c r="DVY23" s="9"/>
      <c r="DVZ23" s="9"/>
      <c r="DWA23" s="9"/>
      <c r="DWB23" s="9"/>
      <c r="DWC23" s="9"/>
      <c r="DWD23" s="9"/>
      <c r="DWE23" s="9"/>
      <c r="DWF23" s="9"/>
      <c r="DWG23" s="9"/>
      <c r="DWH23" s="9"/>
      <c r="DWI23" s="9"/>
      <c r="DWJ23" s="9"/>
      <c r="DWK23" s="9"/>
      <c r="DWL23" s="9"/>
      <c r="DWM23" s="9"/>
      <c r="DWN23" s="9"/>
      <c r="DWO23" s="9"/>
      <c r="DWP23" s="9"/>
      <c r="DWQ23" s="9"/>
      <c r="DWR23" s="9"/>
      <c r="DWS23" s="9"/>
      <c r="DWT23" s="9"/>
      <c r="DWU23" s="9"/>
      <c r="DWV23" s="9"/>
      <c r="DWW23" s="9"/>
      <c r="DWX23" s="9"/>
      <c r="DWY23" s="9"/>
      <c r="DWZ23" s="9"/>
      <c r="DXA23" s="9"/>
      <c r="DXB23" s="9"/>
      <c r="DXC23" s="9"/>
      <c r="DXD23" s="9"/>
      <c r="DXE23" s="9"/>
      <c r="DXF23" s="9"/>
      <c r="DXG23" s="9"/>
      <c r="DXH23" s="9"/>
      <c r="DXI23" s="9"/>
      <c r="DXJ23" s="9"/>
      <c r="DXK23" s="9"/>
      <c r="DXL23" s="9"/>
      <c r="DXM23" s="9"/>
      <c r="DXN23" s="9"/>
      <c r="DXO23" s="9"/>
      <c r="DXP23" s="9"/>
      <c r="DXQ23" s="9"/>
      <c r="DXR23" s="9"/>
      <c r="DXS23" s="9"/>
      <c r="DXT23" s="9"/>
      <c r="DXU23" s="9"/>
      <c r="DXV23" s="9"/>
      <c r="DXW23" s="9"/>
      <c r="DXX23" s="9"/>
      <c r="DXY23" s="9"/>
      <c r="DXZ23" s="9"/>
      <c r="DYA23" s="9"/>
      <c r="DYB23" s="9"/>
      <c r="DYC23" s="9"/>
      <c r="DYD23" s="9"/>
      <c r="DYE23" s="9"/>
      <c r="DYF23" s="9"/>
      <c r="DYG23" s="9"/>
      <c r="DYH23" s="9"/>
      <c r="DYI23" s="9"/>
      <c r="DYJ23" s="9"/>
      <c r="DYK23" s="9"/>
      <c r="DYL23" s="9"/>
      <c r="DYM23" s="9"/>
      <c r="DYN23" s="9"/>
      <c r="DYO23" s="9"/>
      <c r="DYP23" s="9"/>
      <c r="DYQ23" s="9"/>
      <c r="DYR23" s="9"/>
      <c r="DYS23" s="9"/>
      <c r="DYT23" s="9"/>
      <c r="DYU23" s="9"/>
      <c r="DYV23" s="9"/>
      <c r="DYW23" s="9"/>
      <c r="DYX23" s="9"/>
      <c r="DYY23" s="9"/>
      <c r="DYZ23" s="9"/>
      <c r="DZA23" s="9"/>
      <c r="DZB23" s="9"/>
      <c r="DZC23" s="9"/>
      <c r="DZD23" s="9"/>
      <c r="DZE23" s="9"/>
      <c r="DZF23" s="9"/>
      <c r="DZG23" s="9"/>
      <c r="DZH23" s="9"/>
      <c r="DZI23" s="9"/>
      <c r="DZJ23" s="9"/>
      <c r="DZK23" s="9"/>
      <c r="DZL23" s="9"/>
      <c r="DZM23" s="9"/>
      <c r="DZN23" s="9"/>
      <c r="DZO23" s="9"/>
      <c r="DZP23" s="9"/>
      <c r="DZQ23" s="9"/>
      <c r="DZR23" s="9"/>
      <c r="DZS23" s="9"/>
      <c r="DZT23" s="9"/>
      <c r="DZU23" s="9"/>
      <c r="DZV23" s="9"/>
      <c r="DZW23" s="9"/>
      <c r="DZX23" s="9"/>
      <c r="DZY23" s="9"/>
      <c r="DZZ23" s="9"/>
      <c r="EAA23" s="9"/>
      <c r="EAB23" s="9"/>
      <c r="EAC23" s="9"/>
      <c r="EAD23" s="9"/>
      <c r="EAE23" s="9"/>
      <c r="EAF23" s="9"/>
      <c r="EAG23" s="9"/>
      <c r="EAH23" s="9"/>
      <c r="EAI23" s="9"/>
      <c r="EAJ23" s="9"/>
      <c r="EAK23" s="9"/>
      <c r="EAL23" s="9"/>
      <c r="EAM23" s="9"/>
      <c r="EAN23" s="9"/>
      <c r="EAO23" s="9"/>
      <c r="EAP23" s="9"/>
      <c r="EAQ23" s="9"/>
      <c r="EAR23" s="9"/>
      <c r="EAS23" s="9"/>
      <c r="EAT23" s="9"/>
      <c r="EAU23" s="9"/>
      <c r="EAV23" s="9"/>
      <c r="EAW23" s="9"/>
      <c r="EAX23" s="9"/>
      <c r="EAY23" s="9"/>
      <c r="EAZ23" s="9"/>
      <c r="EBA23" s="9"/>
      <c r="EBB23" s="9"/>
      <c r="EBC23" s="9"/>
      <c r="EBD23" s="9"/>
      <c r="EBE23" s="9"/>
      <c r="EBF23" s="9"/>
      <c r="EBG23" s="9"/>
      <c r="EBH23" s="9"/>
      <c r="EBI23" s="9"/>
      <c r="EBJ23" s="9"/>
      <c r="EBK23" s="9"/>
      <c r="EBL23" s="9"/>
      <c r="EBM23" s="9"/>
      <c r="EBN23" s="9"/>
      <c r="EBO23" s="9"/>
      <c r="EBP23" s="9"/>
      <c r="EBQ23" s="9"/>
      <c r="EBR23" s="9"/>
      <c r="EBS23" s="9"/>
      <c r="EBT23" s="9"/>
      <c r="EBU23" s="9"/>
      <c r="EBV23" s="9"/>
      <c r="EBW23" s="9"/>
      <c r="EBX23" s="9"/>
      <c r="EBY23" s="9"/>
      <c r="EBZ23" s="9"/>
      <c r="ECA23" s="9"/>
      <c r="ECB23" s="9"/>
      <c r="ECC23" s="9"/>
      <c r="ECD23" s="9"/>
      <c r="ECE23" s="9"/>
      <c r="ECF23" s="9"/>
      <c r="ECG23" s="9"/>
      <c r="ECH23" s="9"/>
      <c r="ECI23" s="9"/>
      <c r="ECJ23" s="9"/>
      <c r="ECK23" s="9"/>
      <c r="ECL23" s="9"/>
      <c r="ECM23" s="9"/>
      <c r="ECN23" s="9"/>
      <c r="ECO23" s="9"/>
      <c r="ECP23" s="9"/>
      <c r="ECQ23" s="9"/>
      <c r="ECR23" s="9"/>
      <c r="ECS23" s="9"/>
      <c r="ECT23" s="9"/>
      <c r="ECU23" s="9"/>
      <c r="ECV23" s="9"/>
      <c r="ECW23" s="9"/>
      <c r="ECX23" s="9"/>
      <c r="ECY23" s="9"/>
      <c r="ECZ23" s="9"/>
      <c r="EDA23" s="9"/>
      <c r="EDB23" s="9"/>
      <c r="EDC23" s="9"/>
      <c r="EDD23" s="9"/>
      <c r="EDE23" s="9"/>
      <c r="EDF23" s="9"/>
      <c r="EDG23" s="9"/>
      <c r="EDH23" s="9"/>
      <c r="EDI23" s="9"/>
      <c r="EDJ23" s="9"/>
      <c r="EDK23" s="9"/>
      <c r="EDL23" s="9"/>
      <c r="EDM23" s="9"/>
      <c r="EDN23" s="9"/>
      <c r="EDO23" s="9"/>
      <c r="EDP23" s="9"/>
      <c r="EDQ23" s="9"/>
      <c r="EDR23" s="9"/>
      <c r="EDS23" s="9"/>
      <c r="EDT23" s="9"/>
      <c r="EDU23" s="9"/>
      <c r="EDV23" s="9"/>
      <c r="EDW23" s="9"/>
      <c r="EDX23" s="9"/>
      <c r="EDY23" s="9"/>
      <c r="EDZ23" s="9"/>
      <c r="EEA23" s="9"/>
      <c r="EEB23" s="9"/>
      <c r="EEC23" s="9"/>
      <c r="EED23" s="9"/>
      <c r="EEE23" s="9"/>
      <c r="EEF23" s="9"/>
      <c r="EEG23" s="9"/>
      <c r="EEH23" s="9"/>
      <c r="EEI23" s="9"/>
      <c r="EEJ23" s="9"/>
      <c r="EEK23" s="9"/>
      <c r="EEL23" s="9"/>
      <c r="EEM23" s="9"/>
      <c r="EEN23" s="9"/>
      <c r="EEO23" s="9"/>
      <c r="EEP23" s="9"/>
      <c r="EEQ23" s="9"/>
      <c r="EER23" s="9"/>
      <c r="EES23" s="9"/>
      <c r="EET23" s="9"/>
      <c r="EEU23" s="9"/>
      <c r="EEV23" s="9"/>
      <c r="EEW23" s="9"/>
      <c r="EEX23" s="9"/>
      <c r="EEY23" s="9"/>
      <c r="EEZ23" s="9"/>
      <c r="EFA23" s="9"/>
      <c r="EFB23" s="9"/>
      <c r="EFC23" s="9"/>
      <c r="EFD23" s="9"/>
      <c r="EFE23" s="9"/>
      <c r="EFF23" s="9"/>
      <c r="EFG23" s="9"/>
      <c r="EFH23" s="9"/>
      <c r="EFI23" s="9"/>
      <c r="EFJ23" s="9"/>
      <c r="EFK23" s="9"/>
      <c r="EFL23" s="9"/>
      <c r="EFM23" s="9"/>
      <c r="EFN23" s="9"/>
      <c r="EFO23" s="9"/>
      <c r="EFP23" s="9"/>
      <c r="EFQ23" s="9"/>
      <c r="EFR23" s="9"/>
      <c r="EFS23" s="9"/>
      <c r="EFT23" s="9"/>
      <c r="EFU23" s="9"/>
      <c r="EFV23" s="9"/>
      <c r="EFW23" s="9"/>
      <c r="EFX23" s="9"/>
      <c r="EFY23" s="9"/>
      <c r="EFZ23" s="9"/>
      <c r="EGA23" s="9"/>
      <c r="EGB23" s="9"/>
      <c r="EGC23" s="9"/>
      <c r="EGD23" s="9"/>
      <c r="EGE23" s="9"/>
      <c r="EGF23" s="9"/>
      <c r="EGG23" s="9"/>
      <c r="EGH23" s="9"/>
      <c r="EGI23" s="9"/>
      <c r="EGJ23" s="9"/>
      <c r="EGK23" s="9"/>
      <c r="EGL23" s="9"/>
      <c r="EGM23" s="9"/>
      <c r="EGN23" s="9"/>
      <c r="EGO23" s="9"/>
      <c r="EGP23" s="9"/>
      <c r="EGQ23" s="9"/>
      <c r="EGR23" s="9"/>
      <c r="EGS23" s="9"/>
      <c r="EGT23" s="9"/>
      <c r="EGU23" s="9"/>
      <c r="EGV23" s="9"/>
      <c r="EGW23" s="9"/>
      <c r="EGX23" s="9"/>
      <c r="EGY23" s="9"/>
      <c r="EGZ23" s="9"/>
      <c r="EHA23" s="9"/>
      <c r="EHB23" s="9"/>
      <c r="EHC23" s="9"/>
      <c r="EHD23" s="9"/>
      <c r="EHE23" s="9"/>
      <c r="EHF23" s="9"/>
      <c r="EHG23" s="9"/>
      <c r="EHH23" s="9"/>
      <c r="EHI23" s="9"/>
      <c r="EHJ23" s="9"/>
      <c r="EHK23" s="9"/>
      <c r="EHL23" s="9"/>
      <c r="EHM23" s="9"/>
      <c r="EHN23" s="9"/>
      <c r="EHO23" s="9"/>
      <c r="EHP23" s="9"/>
      <c r="EHQ23" s="9"/>
      <c r="EHR23" s="9"/>
      <c r="EHS23" s="9"/>
      <c r="EHT23" s="9"/>
      <c r="EHU23" s="9"/>
      <c r="EHV23" s="9"/>
      <c r="EHW23" s="9"/>
      <c r="EHX23" s="9"/>
      <c r="EHY23" s="9"/>
      <c r="EHZ23" s="9"/>
      <c r="EIA23" s="9"/>
      <c r="EIB23" s="9"/>
      <c r="EIC23" s="9"/>
      <c r="EID23" s="9"/>
      <c r="EIE23" s="9"/>
      <c r="EIF23" s="9"/>
      <c r="EIG23" s="9"/>
      <c r="EIH23" s="9"/>
      <c r="EII23" s="9"/>
      <c r="EIJ23" s="9"/>
      <c r="EIK23" s="9"/>
      <c r="EIL23" s="9"/>
      <c r="EIM23" s="9"/>
      <c r="EIN23" s="9"/>
      <c r="EIO23" s="9"/>
      <c r="EIP23" s="9"/>
      <c r="EIQ23" s="9"/>
      <c r="EIR23" s="9"/>
      <c r="EIS23" s="9"/>
      <c r="EIT23" s="9"/>
      <c r="EIU23" s="9"/>
      <c r="EIV23" s="9"/>
      <c r="EIW23" s="9"/>
      <c r="EIX23" s="9"/>
      <c r="EIY23" s="9"/>
      <c r="EIZ23" s="9"/>
      <c r="EJA23" s="9"/>
      <c r="EJB23" s="9"/>
      <c r="EJC23" s="9"/>
      <c r="EJD23" s="9"/>
      <c r="EJE23" s="9"/>
      <c r="EJF23" s="9"/>
      <c r="EJG23" s="9"/>
      <c r="EJH23" s="9"/>
      <c r="EJI23" s="9"/>
      <c r="EJJ23" s="9"/>
      <c r="EJK23" s="9"/>
      <c r="EJL23" s="9"/>
      <c r="EJM23" s="9"/>
      <c r="EJN23" s="9"/>
      <c r="EJO23" s="9"/>
      <c r="EJP23" s="9"/>
      <c r="EJQ23" s="9"/>
      <c r="EJR23" s="9"/>
      <c r="EJS23" s="9"/>
      <c r="EJT23" s="9"/>
      <c r="EJU23" s="9"/>
      <c r="EJV23" s="9"/>
      <c r="EJW23" s="9"/>
      <c r="EJX23" s="9"/>
      <c r="EJY23" s="9"/>
      <c r="EJZ23" s="9"/>
      <c r="EKA23" s="9"/>
      <c r="EKB23" s="9"/>
      <c r="EKC23" s="9"/>
      <c r="EKD23" s="9"/>
      <c r="EKE23" s="9"/>
      <c r="EKF23" s="9"/>
      <c r="EKG23" s="9"/>
      <c r="EKH23" s="9"/>
      <c r="EKI23" s="9"/>
      <c r="EKJ23" s="9"/>
      <c r="EKK23" s="9"/>
      <c r="EKL23" s="9"/>
      <c r="EKM23" s="9"/>
      <c r="EKN23" s="9"/>
      <c r="EKO23" s="9"/>
      <c r="EKP23" s="9"/>
      <c r="EKQ23" s="9"/>
      <c r="EKR23" s="9"/>
      <c r="EKS23" s="9"/>
      <c r="EKT23" s="9"/>
      <c r="EKU23" s="9"/>
      <c r="EKV23" s="9"/>
      <c r="EKW23" s="9"/>
      <c r="EKX23" s="9"/>
      <c r="EKY23" s="9"/>
      <c r="EKZ23" s="9"/>
      <c r="ELA23" s="9"/>
      <c r="ELB23" s="9"/>
      <c r="ELC23" s="9"/>
      <c r="ELD23" s="9"/>
      <c r="ELE23" s="9"/>
      <c r="ELF23" s="9"/>
      <c r="ELG23" s="9"/>
      <c r="ELH23" s="9"/>
      <c r="ELI23" s="9"/>
      <c r="ELJ23" s="9"/>
      <c r="ELK23" s="9"/>
      <c r="ELL23" s="9"/>
      <c r="ELM23" s="9"/>
      <c r="ELN23" s="9"/>
      <c r="ELO23" s="9"/>
      <c r="ELP23" s="9"/>
      <c r="ELQ23" s="9"/>
      <c r="ELR23" s="9"/>
      <c r="ELS23" s="9"/>
      <c r="ELT23" s="9"/>
      <c r="ELU23" s="9"/>
      <c r="ELV23" s="9"/>
      <c r="ELW23" s="9"/>
      <c r="ELX23" s="9"/>
      <c r="ELY23" s="9"/>
      <c r="ELZ23" s="9"/>
      <c r="EMA23" s="9"/>
      <c r="EMB23" s="9"/>
      <c r="EMC23" s="9"/>
      <c r="EMD23" s="9"/>
      <c r="EME23" s="9"/>
      <c r="EMF23" s="9"/>
      <c r="EMG23" s="9"/>
      <c r="EMH23" s="9"/>
      <c r="EMI23" s="9"/>
      <c r="EMJ23" s="9"/>
      <c r="EMK23" s="9"/>
      <c r="EML23" s="9"/>
      <c r="EMM23" s="9"/>
      <c r="EMN23" s="9"/>
      <c r="EMO23" s="9"/>
      <c r="EMP23" s="9"/>
      <c r="EMQ23" s="9"/>
      <c r="EMR23" s="9"/>
      <c r="EMS23" s="9"/>
      <c r="EMT23" s="9"/>
      <c r="EMU23" s="9"/>
      <c r="EMV23" s="9"/>
      <c r="EMW23" s="9"/>
      <c r="EMX23" s="9"/>
      <c r="EMY23" s="9"/>
      <c r="EMZ23" s="9"/>
      <c r="ENA23" s="9"/>
      <c r="ENB23" s="9"/>
      <c r="ENC23" s="9"/>
      <c r="END23" s="9"/>
      <c r="ENE23" s="9"/>
      <c r="ENF23" s="9"/>
      <c r="ENG23" s="9"/>
      <c r="ENH23" s="9"/>
      <c r="ENI23" s="9"/>
      <c r="ENJ23" s="9"/>
      <c r="ENK23" s="9"/>
      <c r="ENL23" s="9"/>
      <c r="ENM23" s="9"/>
      <c r="ENN23" s="9"/>
      <c r="ENO23" s="9"/>
      <c r="ENP23" s="9"/>
      <c r="ENQ23" s="9"/>
      <c r="ENR23" s="9"/>
      <c r="ENS23" s="9"/>
      <c r="ENT23" s="9"/>
      <c r="ENU23" s="9"/>
      <c r="ENV23" s="9"/>
      <c r="ENW23" s="9"/>
      <c r="ENX23" s="9"/>
      <c r="ENY23" s="9"/>
      <c r="ENZ23" s="9"/>
      <c r="EOA23" s="9"/>
      <c r="EOB23" s="9"/>
      <c r="EOC23" s="9"/>
      <c r="EOD23" s="9"/>
      <c r="EOE23" s="9"/>
      <c r="EOF23" s="9"/>
      <c r="EOG23" s="9"/>
      <c r="EOH23" s="9"/>
      <c r="EOI23" s="9"/>
      <c r="EOJ23" s="9"/>
      <c r="EOK23" s="9"/>
      <c r="EOL23" s="9"/>
      <c r="EOM23" s="9"/>
      <c r="EON23" s="9"/>
      <c r="EOO23" s="9"/>
      <c r="EOP23" s="9"/>
      <c r="EOQ23" s="9"/>
      <c r="EOR23" s="9"/>
      <c r="EOS23" s="9"/>
      <c r="EOT23" s="9"/>
      <c r="EOU23" s="9"/>
      <c r="EOV23" s="9"/>
      <c r="EOW23" s="9"/>
      <c r="EOX23" s="9"/>
      <c r="EOY23" s="9"/>
      <c r="EOZ23" s="9"/>
      <c r="EPA23" s="9"/>
      <c r="EPB23" s="9"/>
      <c r="EPC23" s="9"/>
      <c r="EPD23" s="9"/>
      <c r="EPE23" s="9"/>
      <c r="EPF23" s="9"/>
      <c r="EPG23" s="9"/>
      <c r="EPH23" s="9"/>
      <c r="EPI23" s="9"/>
      <c r="EPJ23" s="9"/>
      <c r="EPK23" s="9"/>
      <c r="EPL23" s="9"/>
      <c r="EPM23" s="9"/>
      <c r="EPN23" s="9"/>
      <c r="EPO23" s="9"/>
      <c r="EPP23" s="9"/>
      <c r="EPQ23" s="9"/>
      <c r="EPR23" s="9"/>
      <c r="EPS23" s="9"/>
      <c r="EPT23" s="9"/>
      <c r="EPU23" s="9"/>
      <c r="EPV23" s="9"/>
      <c r="EPW23" s="9"/>
      <c r="EPX23" s="9"/>
      <c r="EPY23" s="9"/>
      <c r="EPZ23" s="9"/>
      <c r="EQA23" s="9"/>
      <c r="EQB23" s="9"/>
      <c r="EQC23" s="9"/>
      <c r="EQD23" s="9"/>
      <c r="EQE23" s="9"/>
      <c r="EQF23" s="9"/>
      <c r="EQG23" s="9"/>
      <c r="EQH23" s="9"/>
      <c r="EQI23" s="9"/>
      <c r="EQJ23" s="9"/>
      <c r="EQK23" s="9"/>
      <c r="EQL23" s="9"/>
      <c r="EQM23" s="9"/>
      <c r="EQN23" s="9"/>
      <c r="EQO23" s="9"/>
      <c r="EQP23" s="9"/>
      <c r="EQQ23" s="9"/>
      <c r="EQR23" s="9"/>
      <c r="EQS23" s="9"/>
      <c r="EQT23" s="9"/>
      <c r="EQU23" s="9"/>
      <c r="EQV23" s="9"/>
      <c r="EQW23" s="9"/>
      <c r="EQX23" s="9"/>
      <c r="EQY23" s="9"/>
      <c r="EQZ23" s="9"/>
      <c r="ERA23" s="9"/>
      <c r="ERB23" s="9"/>
      <c r="ERC23" s="9"/>
      <c r="ERD23" s="9"/>
      <c r="ERE23" s="9"/>
      <c r="ERF23" s="9"/>
      <c r="ERG23" s="9"/>
      <c r="ERH23" s="9"/>
      <c r="ERI23" s="9"/>
      <c r="ERJ23" s="9"/>
      <c r="ERK23" s="9"/>
      <c r="ERL23" s="9"/>
      <c r="ERM23" s="9"/>
      <c r="ERN23" s="9"/>
      <c r="ERO23" s="9"/>
      <c r="ERP23" s="9"/>
      <c r="ERQ23" s="9"/>
      <c r="ERR23" s="9"/>
      <c r="ERS23" s="9"/>
      <c r="ERT23" s="9"/>
      <c r="ERU23" s="9"/>
      <c r="ERV23" s="9"/>
      <c r="ERW23" s="9"/>
      <c r="ERX23" s="9"/>
      <c r="ERY23" s="9"/>
      <c r="ERZ23" s="9"/>
      <c r="ESA23" s="9"/>
      <c r="ESB23" s="9"/>
      <c r="ESC23" s="9"/>
      <c r="ESD23" s="9"/>
      <c r="ESE23" s="9"/>
      <c r="ESF23" s="9"/>
      <c r="ESG23" s="9"/>
      <c r="ESH23" s="9"/>
      <c r="ESI23" s="9"/>
      <c r="ESJ23" s="9"/>
      <c r="ESK23" s="9"/>
      <c r="ESL23" s="9"/>
      <c r="ESM23" s="9"/>
      <c r="ESN23" s="9"/>
      <c r="ESO23" s="9"/>
      <c r="ESP23" s="9"/>
      <c r="ESQ23" s="9"/>
      <c r="ESR23" s="9"/>
      <c r="ESS23" s="9"/>
      <c r="EST23" s="9"/>
      <c r="ESU23" s="9"/>
      <c r="ESV23" s="9"/>
      <c r="ESW23" s="9"/>
      <c r="ESX23" s="9"/>
      <c r="ESY23" s="9"/>
      <c r="ESZ23" s="9"/>
      <c r="ETA23" s="9"/>
      <c r="ETB23" s="9"/>
      <c r="ETC23" s="9"/>
      <c r="ETD23" s="9"/>
      <c r="ETE23" s="9"/>
      <c r="ETF23" s="9"/>
      <c r="ETG23" s="9"/>
      <c r="ETH23" s="9"/>
      <c r="ETI23" s="9"/>
      <c r="ETJ23" s="9"/>
      <c r="ETK23" s="9"/>
      <c r="ETL23" s="9"/>
      <c r="ETM23" s="9"/>
      <c r="ETN23" s="9"/>
      <c r="ETO23" s="9"/>
      <c r="ETP23" s="9"/>
      <c r="ETQ23" s="9"/>
      <c r="ETR23" s="9"/>
      <c r="ETS23" s="9"/>
      <c r="ETT23" s="9"/>
      <c r="ETU23" s="9"/>
      <c r="ETV23" s="9"/>
      <c r="ETW23" s="9"/>
      <c r="ETX23" s="9"/>
      <c r="ETY23" s="9"/>
      <c r="ETZ23" s="9"/>
      <c r="EUA23" s="9"/>
      <c r="EUB23" s="9"/>
      <c r="EUC23" s="9"/>
      <c r="EUD23" s="9"/>
      <c r="EUE23" s="9"/>
      <c r="EUF23" s="9"/>
      <c r="EUG23" s="9"/>
      <c r="EUH23" s="9"/>
      <c r="EUI23" s="9"/>
      <c r="EUJ23" s="9"/>
      <c r="EUK23" s="9"/>
      <c r="EUL23" s="9"/>
      <c r="EUM23" s="9"/>
      <c r="EUN23" s="9"/>
      <c r="EUO23" s="9"/>
      <c r="EUP23" s="9"/>
      <c r="EUQ23" s="9"/>
      <c r="EUR23" s="9"/>
      <c r="EUS23" s="9"/>
      <c r="EUT23" s="9"/>
      <c r="EUU23" s="9"/>
      <c r="EUV23" s="9"/>
      <c r="EUW23" s="9"/>
      <c r="EUX23" s="9"/>
      <c r="EUY23" s="9"/>
      <c r="EUZ23" s="9"/>
      <c r="EVA23" s="9"/>
      <c r="EVB23" s="9"/>
      <c r="EVC23" s="9"/>
      <c r="EVD23" s="9"/>
      <c r="EVE23" s="9"/>
      <c r="EVF23" s="9"/>
      <c r="EVG23" s="9"/>
      <c r="EVH23" s="9"/>
      <c r="EVI23" s="9"/>
      <c r="EVJ23" s="9"/>
      <c r="EVK23" s="9"/>
      <c r="EVL23" s="9"/>
      <c r="EVM23" s="9"/>
      <c r="EVN23" s="9"/>
      <c r="EVO23" s="9"/>
      <c r="EVP23" s="9"/>
      <c r="EVQ23" s="9"/>
      <c r="EVR23" s="9"/>
      <c r="EVS23" s="9"/>
      <c r="EVT23" s="9"/>
      <c r="EVU23" s="9"/>
      <c r="EVV23" s="9"/>
      <c r="EVW23" s="9"/>
      <c r="EVX23" s="9"/>
      <c r="EVY23" s="9"/>
      <c r="EVZ23" s="9"/>
      <c r="EWA23" s="9"/>
      <c r="EWB23" s="9"/>
      <c r="EWC23" s="9"/>
      <c r="EWD23" s="9"/>
      <c r="EWE23" s="9"/>
      <c r="EWF23" s="9"/>
      <c r="EWG23" s="9"/>
      <c r="EWH23" s="9"/>
      <c r="EWI23" s="9"/>
      <c r="EWJ23" s="9"/>
      <c r="EWK23" s="9"/>
      <c r="EWL23" s="9"/>
      <c r="EWM23" s="9"/>
      <c r="EWN23" s="9"/>
      <c r="EWO23" s="9"/>
      <c r="EWP23" s="9"/>
      <c r="EWQ23" s="9"/>
      <c r="EWR23" s="9"/>
      <c r="EWS23" s="9"/>
      <c r="EWT23" s="9"/>
      <c r="EWU23" s="9"/>
      <c r="EWV23" s="9"/>
      <c r="EWW23" s="9"/>
      <c r="EWX23" s="9"/>
      <c r="EWY23" s="9"/>
      <c r="EWZ23" s="9"/>
      <c r="EXA23" s="9"/>
      <c r="EXB23" s="9"/>
      <c r="EXC23" s="9"/>
      <c r="EXD23" s="9"/>
      <c r="EXE23" s="9"/>
      <c r="EXF23" s="9"/>
      <c r="EXG23" s="9"/>
      <c r="EXH23" s="9"/>
      <c r="EXI23" s="9"/>
      <c r="EXJ23" s="9"/>
      <c r="EXK23" s="9"/>
      <c r="EXL23" s="9"/>
      <c r="EXM23" s="9"/>
      <c r="EXN23" s="9"/>
      <c r="EXO23" s="9"/>
      <c r="EXP23" s="9"/>
      <c r="EXQ23" s="9"/>
      <c r="EXR23" s="9"/>
      <c r="EXS23" s="9"/>
      <c r="EXT23" s="9"/>
      <c r="EXU23" s="9"/>
      <c r="EXV23" s="9"/>
      <c r="EXW23" s="9"/>
      <c r="EXX23" s="9"/>
      <c r="EXY23" s="9"/>
      <c r="EXZ23" s="9"/>
      <c r="EYA23" s="9"/>
      <c r="EYB23" s="9"/>
      <c r="EYC23" s="9"/>
      <c r="EYD23" s="9"/>
      <c r="EYE23" s="9"/>
      <c r="EYF23" s="9"/>
      <c r="EYG23" s="9"/>
      <c r="EYH23" s="9"/>
      <c r="EYI23" s="9"/>
      <c r="EYJ23" s="9"/>
      <c r="EYK23" s="9"/>
      <c r="EYL23" s="9"/>
      <c r="EYM23" s="9"/>
      <c r="EYN23" s="9"/>
      <c r="EYO23" s="9"/>
      <c r="EYP23" s="9"/>
      <c r="EYQ23" s="9"/>
      <c r="EYR23" s="9"/>
      <c r="EYS23" s="9"/>
      <c r="EYT23" s="9"/>
      <c r="EYU23" s="9"/>
      <c r="EYV23" s="9"/>
      <c r="EYW23" s="9"/>
      <c r="EYX23" s="9"/>
      <c r="EYY23" s="9"/>
      <c r="EYZ23" s="9"/>
      <c r="EZA23" s="9"/>
      <c r="EZB23" s="9"/>
      <c r="EZC23" s="9"/>
      <c r="EZD23" s="9"/>
      <c r="EZE23" s="9"/>
      <c r="EZF23" s="9"/>
      <c r="EZG23" s="9"/>
      <c r="EZH23" s="9"/>
      <c r="EZI23" s="9"/>
      <c r="EZJ23" s="9"/>
      <c r="EZK23" s="9"/>
      <c r="EZL23" s="9"/>
      <c r="EZM23" s="9"/>
      <c r="EZN23" s="9"/>
      <c r="EZO23" s="9"/>
      <c r="EZP23" s="9"/>
      <c r="EZQ23" s="9"/>
      <c r="EZR23" s="9"/>
      <c r="EZS23" s="9"/>
      <c r="EZT23" s="9"/>
      <c r="EZU23" s="9"/>
      <c r="EZV23" s="9"/>
      <c r="EZW23" s="9"/>
      <c r="EZX23" s="9"/>
      <c r="EZY23" s="9"/>
      <c r="EZZ23" s="9"/>
      <c r="FAA23" s="9"/>
      <c r="FAB23" s="9"/>
      <c r="FAC23" s="9"/>
      <c r="FAD23" s="9"/>
      <c r="FAE23" s="9"/>
      <c r="FAF23" s="9"/>
      <c r="FAG23" s="9"/>
      <c r="FAH23" s="9"/>
      <c r="FAI23" s="9"/>
      <c r="FAJ23" s="9"/>
      <c r="FAK23" s="9"/>
      <c r="FAL23" s="9"/>
      <c r="FAM23" s="9"/>
      <c r="FAN23" s="9"/>
      <c r="FAO23" s="9"/>
      <c r="FAP23" s="9"/>
      <c r="FAQ23" s="9"/>
      <c r="FAR23" s="9"/>
      <c r="FAS23" s="9"/>
      <c r="FAT23" s="9"/>
      <c r="FAU23" s="9"/>
      <c r="FAV23" s="9"/>
      <c r="FAW23" s="9"/>
      <c r="FAX23" s="9"/>
      <c r="FAY23" s="9"/>
      <c r="FAZ23" s="9"/>
      <c r="FBA23" s="9"/>
      <c r="FBB23" s="9"/>
      <c r="FBC23" s="9"/>
      <c r="FBD23" s="9"/>
      <c r="FBE23" s="9"/>
      <c r="FBF23" s="9"/>
      <c r="FBG23" s="9"/>
      <c r="FBH23" s="9"/>
      <c r="FBI23" s="9"/>
      <c r="FBJ23" s="9"/>
      <c r="FBK23" s="9"/>
      <c r="FBL23" s="9"/>
      <c r="FBM23" s="9"/>
      <c r="FBN23" s="9"/>
      <c r="FBO23" s="9"/>
      <c r="FBP23" s="9"/>
      <c r="FBQ23" s="9"/>
      <c r="FBR23" s="9"/>
      <c r="FBS23" s="9"/>
      <c r="FBT23" s="9"/>
      <c r="FBU23" s="9"/>
      <c r="FBV23" s="9"/>
      <c r="FBW23" s="9"/>
      <c r="FBX23" s="9"/>
      <c r="FBY23" s="9"/>
      <c r="FBZ23" s="9"/>
      <c r="FCA23" s="9"/>
      <c r="FCB23" s="9"/>
      <c r="FCC23" s="9"/>
      <c r="FCD23" s="9"/>
      <c r="FCE23" s="9"/>
      <c r="FCF23" s="9"/>
      <c r="FCG23" s="9"/>
      <c r="FCH23" s="9"/>
      <c r="FCI23" s="9"/>
      <c r="FCJ23" s="9"/>
      <c r="FCK23" s="9"/>
      <c r="FCL23" s="9"/>
      <c r="FCM23" s="9"/>
      <c r="FCN23" s="9"/>
      <c r="FCO23" s="9"/>
      <c r="FCP23" s="9"/>
      <c r="FCQ23" s="9"/>
      <c r="FCR23" s="9"/>
      <c r="FCS23" s="9"/>
      <c r="FCT23" s="9"/>
      <c r="FCU23" s="9"/>
      <c r="FCV23" s="9"/>
      <c r="FCW23" s="9"/>
      <c r="FCX23" s="9"/>
      <c r="FCY23" s="9"/>
      <c r="FCZ23" s="9"/>
      <c r="FDA23" s="9"/>
      <c r="FDB23" s="9"/>
      <c r="FDC23" s="9"/>
      <c r="FDD23" s="9"/>
      <c r="FDE23" s="9"/>
      <c r="FDF23" s="9"/>
      <c r="FDG23" s="9"/>
      <c r="FDH23" s="9"/>
      <c r="FDI23" s="9"/>
      <c r="FDJ23" s="9"/>
      <c r="FDK23" s="9"/>
      <c r="FDL23" s="9"/>
      <c r="FDM23" s="9"/>
      <c r="FDN23" s="9"/>
      <c r="FDO23" s="9"/>
      <c r="FDP23" s="9"/>
      <c r="FDQ23" s="9"/>
      <c r="FDR23" s="9"/>
      <c r="FDS23" s="9"/>
      <c r="FDT23" s="9"/>
      <c r="FDU23" s="9"/>
      <c r="FDV23" s="9"/>
      <c r="FDW23" s="9"/>
      <c r="FDX23" s="9"/>
      <c r="FDY23" s="9"/>
      <c r="FDZ23" s="9"/>
      <c r="FEA23" s="9"/>
      <c r="FEB23" s="9"/>
      <c r="FEC23" s="9"/>
      <c r="FED23" s="9"/>
      <c r="FEE23" s="9"/>
      <c r="FEF23" s="9"/>
      <c r="FEG23" s="9"/>
      <c r="FEH23" s="9"/>
      <c r="FEI23" s="9"/>
      <c r="FEJ23" s="9"/>
      <c r="FEK23" s="9"/>
      <c r="FEL23" s="9"/>
      <c r="FEM23" s="9"/>
      <c r="FEN23" s="9"/>
      <c r="FEO23" s="9"/>
      <c r="FEP23" s="9"/>
      <c r="FEQ23" s="9"/>
      <c r="FER23" s="9"/>
      <c r="FES23" s="9"/>
      <c r="FET23" s="9"/>
      <c r="FEU23" s="9"/>
      <c r="FEV23" s="9"/>
      <c r="FEW23" s="9"/>
      <c r="FEX23" s="9"/>
      <c r="FEY23" s="9"/>
      <c r="FEZ23" s="9"/>
      <c r="FFA23" s="9"/>
      <c r="FFB23" s="9"/>
      <c r="FFC23" s="9"/>
      <c r="FFD23" s="9"/>
      <c r="FFE23" s="9"/>
      <c r="FFF23" s="9"/>
      <c r="FFG23" s="9"/>
      <c r="FFH23" s="9"/>
      <c r="FFI23" s="9"/>
      <c r="FFJ23" s="9"/>
      <c r="FFK23" s="9"/>
      <c r="FFL23" s="9"/>
      <c r="FFM23" s="9"/>
      <c r="FFN23" s="9"/>
      <c r="FFO23" s="9"/>
      <c r="FFP23" s="9"/>
      <c r="FFQ23" s="9"/>
      <c r="FFR23" s="9"/>
      <c r="FFS23" s="9"/>
      <c r="FFT23" s="9"/>
      <c r="FFU23" s="9"/>
      <c r="FFV23" s="9"/>
      <c r="FFW23" s="9"/>
      <c r="FFX23" s="9"/>
      <c r="FFY23" s="9"/>
      <c r="FFZ23" s="9"/>
      <c r="FGA23" s="9"/>
      <c r="FGB23" s="9"/>
      <c r="FGC23" s="9"/>
      <c r="FGD23" s="9"/>
      <c r="FGE23" s="9"/>
      <c r="FGF23" s="9"/>
      <c r="FGG23" s="9"/>
      <c r="FGH23" s="9"/>
      <c r="FGI23" s="9"/>
      <c r="FGJ23" s="9"/>
      <c r="FGK23" s="9"/>
      <c r="FGL23" s="9"/>
      <c r="FGM23" s="9"/>
      <c r="FGN23" s="9"/>
      <c r="FGO23" s="9"/>
      <c r="FGP23" s="9"/>
      <c r="FGQ23" s="9"/>
      <c r="FGR23" s="9"/>
      <c r="FGS23" s="9"/>
      <c r="FGT23" s="9"/>
      <c r="FGU23" s="9"/>
      <c r="FGV23" s="9"/>
      <c r="FGW23" s="9"/>
      <c r="FGX23" s="9"/>
      <c r="FGY23" s="9"/>
      <c r="FGZ23" s="9"/>
      <c r="FHA23" s="9"/>
      <c r="FHB23" s="9"/>
      <c r="FHC23" s="9"/>
      <c r="FHD23" s="9"/>
      <c r="FHE23" s="9"/>
      <c r="FHF23" s="9"/>
      <c r="FHG23" s="9"/>
      <c r="FHH23" s="9"/>
      <c r="FHI23" s="9"/>
      <c r="FHJ23" s="9"/>
      <c r="FHK23" s="9"/>
      <c r="FHL23" s="9"/>
      <c r="FHM23" s="9"/>
      <c r="FHN23" s="9"/>
      <c r="FHO23" s="9"/>
      <c r="FHP23" s="9"/>
      <c r="FHQ23" s="9"/>
      <c r="FHR23" s="9"/>
      <c r="FHS23" s="9"/>
      <c r="FHT23" s="9"/>
      <c r="FHU23" s="9"/>
      <c r="FHV23" s="9"/>
      <c r="FHW23" s="9"/>
      <c r="FHX23" s="9"/>
      <c r="FHY23" s="9"/>
      <c r="FHZ23" s="9"/>
      <c r="FIA23" s="9"/>
      <c r="FIB23" s="9"/>
      <c r="FIC23" s="9"/>
      <c r="FID23" s="9"/>
      <c r="FIE23" s="9"/>
      <c r="FIF23" s="9"/>
      <c r="FIG23" s="9"/>
      <c r="FIH23" s="9"/>
      <c r="FII23" s="9"/>
      <c r="FIJ23" s="9"/>
      <c r="FIK23" s="9"/>
      <c r="FIL23" s="9"/>
      <c r="FIM23" s="9"/>
      <c r="FIN23" s="9"/>
      <c r="FIO23" s="9"/>
      <c r="FIP23" s="9"/>
      <c r="FIQ23" s="9"/>
      <c r="FIR23" s="9"/>
      <c r="FIS23" s="9"/>
      <c r="FIT23" s="9"/>
      <c r="FIU23" s="9"/>
      <c r="FIV23" s="9"/>
      <c r="FIW23" s="9"/>
      <c r="FIX23" s="9"/>
      <c r="FIY23" s="9"/>
      <c r="FIZ23" s="9"/>
      <c r="FJA23" s="9"/>
      <c r="FJB23" s="9"/>
      <c r="FJC23" s="9"/>
      <c r="FJD23" s="9"/>
      <c r="FJE23" s="9"/>
      <c r="FJF23" s="9"/>
      <c r="FJG23" s="9"/>
      <c r="FJH23" s="9"/>
      <c r="FJI23" s="9"/>
      <c r="FJJ23" s="9"/>
      <c r="FJK23" s="9"/>
      <c r="FJL23" s="9"/>
      <c r="FJM23" s="9"/>
      <c r="FJN23" s="9"/>
      <c r="FJO23" s="9"/>
      <c r="FJP23" s="9"/>
      <c r="FJQ23" s="9"/>
      <c r="FJR23" s="9"/>
      <c r="FJS23" s="9"/>
      <c r="FJT23" s="9"/>
      <c r="FJU23" s="9"/>
      <c r="FJV23" s="9"/>
      <c r="FJW23" s="9"/>
      <c r="FJX23" s="9"/>
      <c r="FJY23" s="9"/>
      <c r="FJZ23" s="9"/>
      <c r="FKA23" s="9"/>
      <c r="FKB23" s="9"/>
      <c r="FKC23" s="9"/>
      <c r="FKD23" s="9"/>
      <c r="FKE23" s="9"/>
      <c r="FKF23" s="9"/>
      <c r="FKG23" s="9"/>
      <c r="FKH23" s="9"/>
      <c r="FKI23" s="9"/>
      <c r="FKJ23" s="9"/>
      <c r="FKK23" s="9"/>
      <c r="FKL23" s="9"/>
      <c r="FKM23" s="9"/>
      <c r="FKN23" s="9"/>
      <c r="FKO23" s="9"/>
      <c r="FKP23" s="9"/>
      <c r="FKQ23" s="9"/>
      <c r="FKR23" s="9"/>
      <c r="FKS23" s="9"/>
      <c r="FKT23" s="9"/>
      <c r="FKU23" s="9"/>
      <c r="FKV23" s="9"/>
      <c r="FKW23" s="9"/>
      <c r="FKX23" s="9"/>
      <c r="FKY23" s="9"/>
      <c r="FKZ23" s="9"/>
      <c r="FLA23" s="9"/>
      <c r="FLB23" s="9"/>
      <c r="FLC23" s="9"/>
      <c r="FLD23" s="9"/>
      <c r="FLE23" s="9"/>
      <c r="FLF23" s="9"/>
      <c r="FLG23" s="9"/>
      <c r="FLH23" s="9"/>
      <c r="FLI23" s="9"/>
      <c r="FLJ23" s="9"/>
      <c r="FLK23" s="9"/>
      <c r="FLL23" s="9"/>
      <c r="FLM23" s="9"/>
      <c r="FLN23" s="9"/>
      <c r="FLO23" s="9"/>
      <c r="FLP23" s="9"/>
      <c r="FLQ23" s="9"/>
      <c r="FLR23" s="9"/>
      <c r="FLS23" s="9"/>
      <c r="FLT23" s="9"/>
      <c r="FLU23" s="9"/>
      <c r="FLV23" s="9"/>
      <c r="FLW23" s="9"/>
      <c r="FLX23" s="9"/>
      <c r="FLY23" s="9"/>
      <c r="FLZ23" s="9"/>
      <c r="FMA23" s="9"/>
      <c r="FMB23" s="9"/>
      <c r="FMC23" s="9"/>
      <c r="FMD23" s="9"/>
      <c r="FME23" s="9"/>
      <c r="FMF23" s="9"/>
      <c r="FMG23" s="9"/>
      <c r="FMH23" s="9"/>
      <c r="FMI23" s="9"/>
      <c r="FMJ23" s="9"/>
      <c r="FMK23" s="9"/>
      <c r="FML23" s="9"/>
      <c r="FMM23" s="9"/>
      <c r="FMN23" s="9"/>
      <c r="FMO23" s="9"/>
      <c r="FMP23" s="9"/>
      <c r="FMQ23" s="9"/>
      <c r="FMR23" s="9"/>
      <c r="FMS23" s="9"/>
      <c r="FMT23" s="9"/>
      <c r="FMU23" s="9"/>
      <c r="FMV23" s="9"/>
      <c r="FMW23" s="9"/>
      <c r="FMX23" s="9"/>
      <c r="FMY23" s="9"/>
      <c r="FMZ23" s="9"/>
      <c r="FNA23" s="9"/>
      <c r="FNB23" s="9"/>
      <c r="FNC23" s="9"/>
      <c r="FND23" s="9"/>
      <c r="FNE23" s="9"/>
      <c r="FNF23" s="9"/>
      <c r="FNG23" s="9"/>
      <c r="FNH23" s="9"/>
      <c r="FNI23" s="9"/>
      <c r="FNJ23" s="9"/>
      <c r="FNK23" s="9"/>
      <c r="FNL23" s="9"/>
      <c r="FNM23" s="9"/>
      <c r="FNN23" s="9"/>
      <c r="FNO23" s="9"/>
      <c r="FNP23" s="9"/>
      <c r="FNQ23" s="9"/>
      <c r="FNR23" s="9"/>
      <c r="FNS23" s="9"/>
      <c r="FNT23" s="9"/>
      <c r="FNU23" s="9"/>
      <c r="FNV23" s="9"/>
      <c r="FNW23" s="9"/>
      <c r="FNX23" s="9"/>
      <c r="FNY23" s="9"/>
      <c r="FNZ23" s="9"/>
      <c r="FOA23" s="9"/>
      <c r="FOB23" s="9"/>
      <c r="FOC23" s="9"/>
      <c r="FOD23" s="9"/>
      <c r="FOE23" s="9"/>
      <c r="FOF23" s="9"/>
      <c r="FOG23" s="9"/>
      <c r="FOH23" s="9"/>
      <c r="FOI23" s="9"/>
      <c r="FOJ23" s="9"/>
      <c r="FOK23" s="9"/>
      <c r="FOL23" s="9"/>
      <c r="FOM23" s="9"/>
      <c r="FON23" s="9"/>
      <c r="FOO23" s="9"/>
      <c r="FOP23" s="9"/>
      <c r="FOQ23" s="9"/>
      <c r="FOR23" s="9"/>
      <c r="FOS23" s="9"/>
      <c r="FOT23" s="9"/>
      <c r="FOU23" s="9"/>
      <c r="FOV23" s="9"/>
      <c r="FOW23" s="9"/>
      <c r="FOX23" s="9"/>
      <c r="FOY23" s="9"/>
      <c r="FOZ23" s="9"/>
      <c r="FPA23" s="9"/>
      <c r="FPB23" s="9"/>
      <c r="FPC23" s="9"/>
      <c r="FPD23" s="9"/>
      <c r="FPE23" s="9"/>
      <c r="FPF23" s="9"/>
      <c r="FPG23" s="9"/>
      <c r="FPH23" s="9"/>
      <c r="FPI23" s="9"/>
      <c r="FPJ23" s="9"/>
      <c r="FPK23" s="9"/>
      <c r="FPL23" s="9"/>
      <c r="FPM23" s="9"/>
      <c r="FPN23" s="9"/>
      <c r="FPO23" s="9"/>
      <c r="FPP23" s="9"/>
      <c r="FPQ23" s="9"/>
      <c r="FPR23" s="9"/>
      <c r="FPS23" s="9"/>
      <c r="FPT23" s="9"/>
      <c r="FPU23" s="9"/>
      <c r="FPV23" s="9"/>
      <c r="FPW23" s="9"/>
      <c r="FPX23" s="9"/>
      <c r="FPY23" s="9"/>
      <c r="FPZ23" s="9"/>
      <c r="FQA23" s="9"/>
      <c r="FQB23" s="9"/>
      <c r="FQC23" s="9"/>
      <c r="FQD23" s="9"/>
      <c r="FQE23" s="9"/>
      <c r="FQF23" s="9"/>
      <c r="FQG23" s="9"/>
      <c r="FQH23" s="9"/>
      <c r="FQI23" s="9"/>
      <c r="FQJ23" s="9"/>
      <c r="FQK23" s="9"/>
      <c r="FQL23" s="9"/>
      <c r="FQM23" s="9"/>
      <c r="FQN23" s="9"/>
      <c r="FQO23" s="9"/>
      <c r="FQP23" s="9"/>
      <c r="FQQ23" s="9"/>
      <c r="FQR23" s="9"/>
      <c r="FQS23" s="9"/>
      <c r="FQT23" s="9"/>
      <c r="FQU23" s="9"/>
      <c r="FQV23" s="9"/>
      <c r="FQW23" s="9"/>
      <c r="FQX23" s="9"/>
      <c r="FQY23" s="9"/>
      <c r="FQZ23" s="9"/>
      <c r="FRA23" s="9"/>
      <c r="FRB23" s="9"/>
      <c r="FRC23" s="9"/>
      <c r="FRD23" s="9"/>
      <c r="FRE23" s="9"/>
      <c r="FRF23" s="9"/>
      <c r="FRG23" s="9"/>
      <c r="FRH23" s="9"/>
      <c r="FRI23" s="9"/>
      <c r="FRJ23" s="9"/>
      <c r="FRK23" s="9"/>
      <c r="FRL23" s="9"/>
      <c r="FRM23" s="9"/>
      <c r="FRN23" s="9"/>
      <c r="FRO23" s="9"/>
      <c r="FRP23" s="9"/>
      <c r="FRQ23" s="9"/>
      <c r="FRR23" s="9"/>
      <c r="FRS23" s="9"/>
      <c r="FRT23" s="9"/>
      <c r="FRU23" s="9"/>
      <c r="FRV23" s="9"/>
      <c r="FRW23" s="9"/>
      <c r="FRX23" s="9"/>
      <c r="FRY23" s="9"/>
      <c r="FRZ23" s="9"/>
      <c r="FSA23" s="9"/>
      <c r="FSB23" s="9"/>
      <c r="FSC23" s="9"/>
      <c r="FSD23" s="9"/>
      <c r="FSE23" s="9"/>
      <c r="FSF23" s="9"/>
      <c r="FSG23" s="9"/>
      <c r="FSH23" s="9"/>
      <c r="FSI23" s="9"/>
      <c r="FSJ23" s="9"/>
      <c r="FSK23" s="9"/>
      <c r="FSL23" s="9"/>
      <c r="FSM23" s="9"/>
      <c r="FSN23" s="9"/>
      <c r="FSO23" s="9"/>
      <c r="FSP23" s="9"/>
      <c r="FSQ23" s="9"/>
      <c r="FSR23" s="9"/>
      <c r="FSS23" s="9"/>
      <c r="FST23" s="9"/>
      <c r="FSU23" s="9"/>
      <c r="FSV23" s="9"/>
      <c r="FSW23" s="9"/>
      <c r="FSX23" s="9"/>
      <c r="FSY23" s="9"/>
      <c r="FSZ23" s="9"/>
      <c r="FTA23" s="9"/>
      <c r="FTB23" s="9"/>
      <c r="FTC23" s="9"/>
      <c r="FTD23" s="9"/>
      <c r="FTE23" s="9"/>
      <c r="FTF23" s="9"/>
      <c r="FTG23" s="9"/>
      <c r="FTH23" s="9"/>
      <c r="FTI23" s="9"/>
      <c r="FTJ23" s="9"/>
      <c r="FTK23" s="9"/>
      <c r="FTL23" s="9"/>
      <c r="FTM23" s="9"/>
      <c r="FTN23" s="9"/>
      <c r="FTO23" s="9"/>
      <c r="FTP23" s="9"/>
      <c r="FTQ23" s="9"/>
      <c r="FTR23" s="9"/>
      <c r="FTS23" s="9"/>
      <c r="FTT23" s="9"/>
      <c r="FTU23" s="9"/>
      <c r="FTV23" s="9"/>
      <c r="FTW23" s="9"/>
      <c r="FTX23" s="9"/>
      <c r="FTY23" s="9"/>
      <c r="FTZ23" s="9"/>
      <c r="FUA23" s="9"/>
      <c r="FUB23" s="9"/>
      <c r="FUC23" s="9"/>
      <c r="FUD23" s="9"/>
      <c r="FUE23" s="9"/>
      <c r="FUF23" s="9"/>
      <c r="FUG23" s="9"/>
      <c r="FUH23" s="9"/>
      <c r="FUI23" s="9"/>
      <c r="FUJ23" s="9"/>
      <c r="FUK23" s="9"/>
      <c r="FUL23" s="9"/>
      <c r="FUM23" s="9"/>
      <c r="FUN23" s="9"/>
      <c r="FUO23" s="9"/>
      <c r="FUP23" s="9"/>
      <c r="FUQ23" s="9"/>
      <c r="FUR23" s="9"/>
      <c r="FUS23" s="9"/>
      <c r="FUT23" s="9"/>
      <c r="FUU23" s="9"/>
      <c r="FUV23" s="9"/>
      <c r="FUW23" s="9"/>
      <c r="FUX23" s="9"/>
      <c r="FUY23" s="9"/>
      <c r="FUZ23" s="9"/>
      <c r="FVA23" s="9"/>
      <c r="FVB23" s="9"/>
      <c r="FVC23" s="9"/>
      <c r="FVD23" s="9"/>
      <c r="FVE23" s="9"/>
      <c r="FVF23" s="9"/>
      <c r="FVG23" s="9"/>
      <c r="FVH23" s="9"/>
      <c r="FVI23" s="9"/>
      <c r="FVJ23" s="9"/>
      <c r="FVK23" s="9"/>
      <c r="FVL23" s="9"/>
      <c r="FVM23" s="9"/>
      <c r="FVN23" s="9"/>
      <c r="FVO23" s="9"/>
      <c r="FVP23" s="9"/>
      <c r="FVQ23" s="9"/>
      <c r="FVR23" s="9"/>
      <c r="FVS23" s="9"/>
      <c r="FVT23" s="9"/>
      <c r="FVU23" s="9"/>
      <c r="FVV23" s="9"/>
      <c r="FVW23" s="9"/>
      <c r="FVX23" s="9"/>
      <c r="FVY23" s="9"/>
      <c r="FVZ23" s="9"/>
      <c r="FWA23" s="9"/>
      <c r="FWB23" s="9"/>
      <c r="FWC23" s="9"/>
      <c r="FWD23" s="9"/>
      <c r="FWE23" s="9"/>
      <c r="FWF23" s="9"/>
      <c r="FWG23" s="9"/>
      <c r="FWH23" s="9"/>
      <c r="FWI23" s="9"/>
      <c r="FWJ23" s="9"/>
      <c r="FWK23" s="9"/>
      <c r="FWL23" s="9"/>
      <c r="FWM23" s="9"/>
      <c r="FWN23" s="9"/>
      <c r="FWO23" s="9"/>
      <c r="FWP23" s="9"/>
      <c r="FWQ23" s="9"/>
      <c r="FWR23" s="9"/>
      <c r="FWS23" s="9"/>
      <c r="FWT23" s="9"/>
      <c r="FWU23" s="9"/>
      <c r="FWV23" s="9"/>
      <c r="FWW23" s="9"/>
      <c r="FWX23" s="9"/>
      <c r="FWY23" s="9"/>
      <c r="FWZ23" s="9"/>
      <c r="FXA23" s="9"/>
      <c r="FXB23" s="9"/>
      <c r="FXC23" s="9"/>
      <c r="FXD23" s="9"/>
      <c r="FXE23" s="9"/>
      <c r="FXF23" s="9"/>
      <c r="FXG23" s="9"/>
      <c r="FXH23" s="9"/>
      <c r="FXI23" s="9"/>
      <c r="FXJ23" s="9"/>
      <c r="FXK23" s="9"/>
      <c r="FXL23" s="9"/>
      <c r="FXM23" s="9"/>
      <c r="FXN23" s="9"/>
      <c r="FXO23" s="9"/>
      <c r="FXP23" s="9"/>
      <c r="FXQ23" s="9"/>
      <c r="FXR23" s="9"/>
      <c r="FXS23" s="9"/>
      <c r="FXT23" s="9"/>
      <c r="FXU23" s="9"/>
      <c r="FXV23" s="9"/>
      <c r="FXW23" s="9"/>
      <c r="FXX23" s="9"/>
      <c r="FXY23" s="9"/>
      <c r="FXZ23" s="9"/>
      <c r="FYA23" s="9"/>
      <c r="FYB23" s="9"/>
      <c r="FYC23" s="9"/>
      <c r="FYD23" s="9"/>
      <c r="FYE23" s="9"/>
      <c r="FYF23" s="9"/>
      <c r="FYG23" s="9"/>
      <c r="FYH23" s="9"/>
      <c r="FYI23" s="9"/>
      <c r="FYJ23" s="9"/>
      <c r="FYK23" s="9"/>
      <c r="FYL23" s="9"/>
      <c r="FYM23" s="9"/>
      <c r="FYN23" s="9"/>
      <c r="FYO23" s="9"/>
      <c r="FYP23" s="9"/>
      <c r="FYQ23" s="9"/>
      <c r="FYR23" s="9"/>
      <c r="FYS23" s="9"/>
      <c r="FYT23" s="9"/>
      <c r="FYU23" s="9"/>
      <c r="FYV23" s="9"/>
      <c r="FYW23" s="9"/>
      <c r="FYX23" s="9"/>
      <c r="FYY23" s="9"/>
      <c r="FYZ23" s="9"/>
      <c r="FZA23" s="9"/>
      <c r="FZB23" s="9"/>
      <c r="FZC23" s="9"/>
      <c r="FZD23" s="9"/>
      <c r="FZE23" s="9"/>
      <c r="FZF23" s="9"/>
      <c r="FZG23" s="9"/>
      <c r="FZH23" s="9"/>
      <c r="FZI23" s="9"/>
      <c r="FZJ23" s="9"/>
      <c r="FZK23" s="9"/>
      <c r="FZL23" s="9"/>
      <c r="FZM23" s="9"/>
      <c r="FZN23" s="9"/>
      <c r="FZO23" s="9"/>
      <c r="FZP23" s="9"/>
      <c r="FZQ23" s="9"/>
      <c r="FZR23" s="9"/>
      <c r="FZS23" s="9"/>
      <c r="FZT23" s="9"/>
      <c r="FZU23" s="9"/>
      <c r="FZV23" s="9"/>
      <c r="FZW23" s="9"/>
      <c r="FZX23" s="9"/>
      <c r="FZY23" s="9"/>
      <c r="FZZ23" s="9"/>
      <c r="GAA23" s="9"/>
      <c r="GAB23" s="9"/>
      <c r="GAC23" s="9"/>
      <c r="GAD23" s="9"/>
      <c r="GAE23" s="9"/>
      <c r="GAF23" s="9"/>
      <c r="GAG23" s="9"/>
      <c r="GAH23" s="9"/>
      <c r="GAI23" s="9"/>
      <c r="GAJ23" s="9"/>
      <c r="GAK23" s="9"/>
      <c r="GAL23" s="9"/>
      <c r="GAM23" s="9"/>
      <c r="GAN23" s="9"/>
      <c r="GAO23" s="9"/>
      <c r="GAP23" s="9"/>
      <c r="GAQ23" s="9"/>
      <c r="GAR23" s="9"/>
      <c r="GAS23" s="9"/>
      <c r="GAT23" s="9"/>
      <c r="GAU23" s="9"/>
      <c r="GAV23" s="9"/>
      <c r="GAW23" s="9"/>
      <c r="GAX23" s="9"/>
      <c r="GAY23" s="9"/>
      <c r="GAZ23" s="9"/>
      <c r="GBA23" s="9"/>
      <c r="GBB23" s="9"/>
      <c r="GBC23" s="9"/>
      <c r="GBD23" s="9"/>
      <c r="GBE23" s="9"/>
      <c r="GBF23" s="9"/>
      <c r="GBG23" s="9"/>
      <c r="GBH23" s="9"/>
      <c r="GBI23" s="9"/>
      <c r="GBJ23" s="9"/>
      <c r="GBK23" s="9"/>
      <c r="GBL23" s="9"/>
      <c r="GBM23" s="9"/>
      <c r="GBN23" s="9"/>
      <c r="GBO23" s="9"/>
      <c r="GBP23" s="9"/>
      <c r="GBQ23" s="9"/>
      <c r="GBR23" s="9"/>
      <c r="GBS23" s="9"/>
      <c r="GBT23" s="9"/>
      <c r="GBU23" s="9"/>
      <c r="GBV23" s="9"/>
      <c r="GBW23" s="9"/>
      <c r="GBX23" s="9"/>
      <c r="GBY23" s="9"/>
      <c r="GBZ23" s="9"/>
      <c r="GCA23" s="9"/>
      <c r="GCB23" s="9"/>
      <c r="GCC23" s="9"/>
      <c r="GCD23" s="9"/>
      <c r="GCE23" s="9"/>
      <c r="GCF23" s="9"/>
      <c r="GCG23" s="9"/>
      <c r="GCH23" s="9"/>
      <c r="GCI23" s="9"/>
      <c r="GCJ23" s="9"/>
      <c r="GCK23" s="9"/>
      <c r="GCL23" s="9"/>
      <c r="GCM23" s="9"/>
      <c r="GCN23" s="9"/>
      <c r="GCO23" s="9"/>
      <c r="GCP23" s="9"/>
      <c r="GCQ23" s="9"/>
      <c r="GCR23" s="9"/>
      <c r="GCS23" s="9"/>
      <c r="GCT23" s="9"/>
      <c r="GCU23" s="9"/>
      <c r="GCV23" s="9"/>
      <c r="GCW23" s="9"/>
      <c r="GCX23" s="9"/>
      <c r="GCY23" s="9"/>
      <c r="GCZ23" s="9"/>
      <c r="GDA23" s="9"/>
      <c r="GDB23" s="9"/>
      <c r="GDC23" s="9"/>
      <c r="GDD23" s="9"/>
      <c r="GDE23" s="9"/>
      <c r="GDF23" s="9"/>
      <c r="GDG23" s="9"/>
      <c r="GDH23" s="9"/>
      <c r="GDI23" s="9"/>
      <c r="GDJ23" s="9"/>
      <c r="GDK23" s="9"/>
      <c r="GDL23" s="9"/>
      <c r="GDM23" s="9"/>
      <c r="GDN23" s="9"/>
      <c r="GDO23" s="9"/>
      <c r="GDP23" s="9"/>
      <c r="GDQ23" s="9"/>
      <c r="GDR23" s="9"/>
      <c r="GDS23" s="9"/>
      <c r="GDT23" s="9"/>
      <c r="GDU23" s="9"/>
      <c r="GDV23" s="9"/>
      <c r="GDW23" s="9"/>
      <c r="GDX23" s="9"/>
      <c r="GDY23" s="9"/>
      <c r="GDZ23" s="9"/>
      <c r="GEA23" s="9"/>
      <c r="GEB23" s="9"/>
      <c r="GEC23" s="9"/>
      <c r="GED23" s="9"/>
      <c r="GEE23" s="9"/>
      <c r="GEF23" s="9"/>
      <c r="GEG23" s="9"/>
      <c r="GEH23" s="9"/>
      <c r="GEI23" s="9"/>
      <c r="GEJ23" s="9"/>
      <c r="GEK23" s="9"/>
      <c r="GEL23" s="9"/>
      <c r="GEM23" s="9"/>
      <c r="GEN23" s="9"/>
      <c r="GEO23" s="9"/>
      <c r="GEP23" s="9"/>
      <c r="GEQ23" s="9"/>
      <c r="GER23" s="9"/>
      <c r="GES23" s="9"/>
      <c r="GET23" s="9"/>
      <c r="GEU23" s="9"/>
      <c r="GEV23" s="9"/>
      <c r="GEW23" s="9"/>
      <c r="GEX23" s="9"/>
      <c r="GEY23" s="9"/>
      <c r="GEZ23" s="9"/>
      <c r="GFA23" s="9"/>
      <c r="GFB23" s="9"/>
      <c r="GFC23" s="9"/>
      <c r="GFD23" s="9"/>
      <c r="GFE23" s="9"/>
      <c r="GFF23" s="9"/>
      <c r="GFG23" s="9"/>
      <c r="GFH23" s="9"/>
      <c r="GFI23" s="9"/>
      <c r="GFJ23" s="9"/>
      <c r="GFK23" s="9"/>
      <c r="GFL23" s="9"/>
      <c r="GFM23" s="9"/>
      <c r="GFN23" s="9"/>
      <c r="GFO23" s="9"/>
      <c r="GFP23" s="9"/>
      <c r="GFQ23" s="9"/>
      <c r="GFR23" s="9"/>
      <c r="GFS23" s="9"/>
      <c r="GFT23" s="9"/>
      <c r="GFU23" s="9"/>
      <c r="GFV23" s="9"/>
      <c r="GFW23" s="9"/>
      <c r="GFX23" s="9"/>
      <c r="GFY23" s="9"/>
      <c r="GFZ23" s="9"/>
      <c r="GGA23" s="9"/>
      <c r="GGB23" s="9"/>
      <c r="GGC23" s="9"/>
      <c r="GGD23" s="9"/>
      <c r="GGE23" s="9"/>
      <c r="GGF23" s="9"/>
      <c r="GGG23" s="9"/>
      <c r="GGH23" s="9"/>
      <c r="GGI23" s="9"/>
      <c r="GGJ23" s="9"/>
      <c r="GGK23" s="9"/>
      <c r="GGL23" s="9"/>
      <c r="GGM23" s="9"/>
      <c r="GGN23" s="9"/>
      <c r="GGO23" s="9"/>
      <c r="GGP23" s="9"/>
      <c r="GGQ23" s="9"/>
      <c r="GGR23" s="9"/>
      <c r="GGS23" s="9"/>
      <c r="GGT23" s="9"/>
      <c r="GGU23" s="9"/>
      <c r="GGV23" s="9"/>
      <c r="GGW23" s="9"/>
      <c r="GGX23" s="9"/>
      <c r="GGY23" s="9"/>
      <c r="GGZ23" s="9"/>
      <c r="GHA23" s="9"/>
      <c r="GHB23" s="9"/>
      <c r="GHC23" s="9"/>
      <c r="GHD23" s="9"/>
      <c r="GHE23" s="9"/>
      <c r="GHF23" s="9"/>
      <c r="GHG23" s="9"/>
      <c r="GHH23" s="9"/>
      <c r="GHI23" s="9"/>
      <c r="GHJ23" s="9"/>
      <c r="GHK23" s="9"/>
      <c r="GHL23" s="9"/>
      <c r="GHM23" s="9"/>
      <c r="GHN23" s="9"/>
      <c r="GHO23" s="9"/>
      <c r="GHP23" s="9"/>
      <c r="GHQ23" s="9"/>
      <c r="GHR23" s="9"/>
      <c r="GHS23" s="9"/>
      <c r="GHT23" s="9"/>
      <c r="GHU23" s="9"/>
      <c r="GHV23" s="9"/>
      <c r="GHW23" s="9"/>
      <c r="GHX23" s="9"/>
      <c r="GHY23" s="9"/>
      <c r="GHZ23" s="9"/>
      <c r="GIA23" s="9"/>
      <c r="GIB23" s="9"/>
      <c r="GIC23" s="9"/>
      <c r="GID23" s="9"/>
      <c r="GIE23" s="9"/>
      <c r="GIF23" s="9"/>
      <c r="GIG23" s="9"/>
      <c r="GIH23" s="9"/>
      <c r="GII23" s="9"/>
      <c r="GIJ23" s="9"/>
      <c r="GIK23" s="9"/>
      <c r="GIL23" s="9"/>
      <c r="GIM23" s="9"/>
      <c r="GIN23" s="9"/>
      <c r="GIO23" s="9"/>
      <c r="GIP23" s="9"/>
      <c r="GIQ23" s="9"/>
      <c r="GIR23" s="9"/>
      <c r="GIS23" s="9"/>
      <c r="GIT23" s="9"/>
      <c r="GIU23" s="9"/>
      <c r="GIV23" s="9"/>
      <c r="GIW23" s="9"/>
      <c r="GIX23" s="9"/>
      <c r="GIY23" s="9"/>
      <c r="GIZ23" s="9"/>
      <c r="GJA23" s="9"/>
      <c r="GJB23" s="9"/>
      <c r="GJC23" s="9"/>
      <c r="GJD23" s="9"/>
      <c r="GJE23" s="9"/>
      <c r="GJF23" s="9"/>
      <c r="GJG23" s="9"/>
      <c r="GJH23" s="9"/>
      <c r="GJI23" s="9"/>
      <c r="GJJ23" s="9"/>
      <c r="GJK23" s="9"/>
      <c r="GJL23" s="9"/>
      <c r="GJM23" s="9"/>
      <c r="GJN23" s="9"/>
      <c r="GJO23" s="9"/>
      <c r="GJP23" s="9"/>
      <c r="GJQ23" s="9"/>
      <c r="GJR23" s="9"/>
      <c r="GJS23" s="9"/>
      <c r="GJT23" s="9"/>
      <c r="GJU23" s="9"/>
      <c r="GJV23" s="9"/>
      <c r="GJW23" s="9"/>
      <c r="GJX23" s="9"/>
      <c r="GJY23" s="9"/>
      <c r="GJZ23" s="9"/>
      <c r="GKA23" s="9"/>
      <c r="GKB23" s="9"/>
      <c r="GKC23" s="9"/>
      <c r="GKD23" s="9"/>
      <c r="GKE23" s="9"/>
      <c r="GKF23" s="9"/>
      <c r="GKG23" s="9"/>
      <c r="GKH23" s="9"/>
      <c r="GKI23" s="9"/>
      <c r="GKJ23" s="9"/>
      <c r="GKK23" s="9"/>
      <c r="GKL23" s="9"/>
      <c r="GKM23" s="9"/>
      <c r="GKN23" s="9"/>
      <c r="GKO23" s="9"/>
      <c r="GKP23" s="9"/>
      <c r="GKQ23" s="9"/>
      <c r="GKR23" s="9"/>
      <c r="GKS23" s="9"/>
      <c r="GKT23" s="9"/>
      <c r="GKU23" s="9"/>
      <c r="GKV23" s="9"/>
      <c r="GKW23" s="9"/>
      <c r="GKX23" s="9"/>
      <c r="GKY23" s="9"/>
      <c r="GKZ23" s="9"/>
      <c r="GLA23" s="9"/>
      <c r="GLB23" s="9"/>
      <c r="GLC23" s="9"/>
      <c r="GLD23" s="9"/>
      <c r="GLE23" s="9"/>
      <c r="GLF23" s="9"/>
      <c r="GLG23" s="9"/>
      <c r="GLH23" s="9"/>
      <c r="GLI23" s="9"/>
      <c r="GLJ23" s="9"/>
      <c r="GLK23" s="9"/>
      <c r="GLL23" s="9"/>
      <c r="GLM23" s="9"/>
      <c r="GLN23" s="9"/>
      <c r="GLO23" s="9"/>
      <c r="GLP23" s="9"/>
      <c r="GLQ23" s="9"/>
      <c r="GLR23" s="9"/>
      <c r="GLS23" s="9"/>
      <c r="GLT23" s="9"/>
      <c r="GLU23" s="9"/>
      <c r="GLV23" s="9"/>
      <c r="GLW23" s="9"/>
      <c r="GLX23" s="9"/>
      <c r="GLY23" s="9"/>
      <c r="GLZ23" s="9"/>
      <c r="GMA23" s="9"/>
      <c r="GMB23" s="9"/>
      <c r="GMC23" s="9"/>
      <c r="GMD23" s="9"/>
      <c r="GME23" s="9"/>
      <c r="GMF23" s="9"/>
      <c r="GMG23" s="9"/>
      <c r="GMH23" s="9"/>
      <c r="GMI23" s="9"/>
      <c r="GMJ23" s="9"/>
      <c r="GMK23" s="9"/>
      <c r="GML23" s="9"/>
      <c r="GMM23" s="9"/>
      <c r="GMN23" s="9"/>
      <c r="GMO23" s="9"/>
      <c r="GMP23" s="9"/>
      <c r="GMQ23" s="9"/>
      <c r="GMR23" s="9"/>
      <c r="GMS23" s="9"/>
      <c r="GMT23" s="9"/>
      <c r="GMU23" s="9"/>
      <c r="GMV23" s="9"/>
      <c r="GMW23" s="9"/>
      <c r="GMX23" s="9"/>
      <c r="GMY23" s="9"/>
      <c r="GMZ23" s="9"/>
      <c r="GNA23" s="9"/>
      <c r="GNB23" s="9"/>
      <c r="GNC23" s="9"/>
      <c r="GND23" s="9"/>
      <c r="GNE23" s="9"/>
      <c r="GNF23" s="9"/>
      <c r="GNG23" s="9"/>
      <c r="GNH23" s="9"/>
      <c r="GNI23" s="9"/>
      <c r="GNJ23" s="9"/>
      <c r="GNK23" s="9"/>
      <c r="GNL23" s="9"/>
      <c r="GNM23" s="9"/>
      <c r="GNN23" s="9"/>
      <c r="GNO23" s="9"/>
      <c r="GNP23" s="9"/>
      <c r="GNQ23" s="9"/>
      <c r="GNR23" s="9"/>
      <c r="GNS23" s="9"/>
      <c r="GNT23" s="9"/>
      <c r="GNU23" s="9"/>
      <c r="GNV23" s="9"/>
      <c r="GNW23" s="9"/>
      <c r="GNX23" s="9"/>
      <c r="GNY23" s="9"/>
      <c r="GNZ23" s="9"/>
      <c r="GOA23" s="9"/>
      <c r="GOB23" s="9"/>
      <c r="GOC23" s="9"/>
      <c r="GOD23" s="9"/>
      <c r="GOE23" s="9"/>
      <c r="GOF23" s="9"/>
      <c r="GOG23" s="9"/>
      <c r="GOH23" s="9"/>
      <c r="GOI23" s="9"/>
      <c r="GOJ23" s="9"/>
      <c r="GOK23" s="9"/>
      <c r="GOL23" s="9"/>
      <c r="GOM23" s="9"/>
      <c r="GON23" s="9"/>
      <c r="GOO23" s="9"/>
      <c r="GOP23" s="9"/>
      <c r="GOQ23" s="9"/>
      <c r="GOR23" s="9"/>
      <c r="GOS23" s="9"/>
      <c r="GOT23" s="9"/>
      <c r="GOU23" s="9"/>
      <c r="GOV23" s="9"/>
      <c r="GOW23" s="9"/>
      <c r="GOX23" s="9"/>
      <c r="GOY23" s="9"/>
      <c r="GOZ23" s="9"/>
      <c r="GPA23" s="9"/>
      <c r="GPB23" s="9"/>
      <c r="GPC23" s="9"/>
      <c r="GPD23" s="9"/>
      <c r="GPE23" s="9"/>
      <c r="GPF23" s="9"/>
      <c r="GPG23" s="9"/>
      <c r="GPH23" s="9"/>
      <c r="GPI23" s="9"/>
      <c r="GPJ23" s="9"/>
      <c r="GPK23" s="9"/>
      <c r="GPL23" s="9"/>
      <c r="GPM23" s="9"/>
      <c r="GPN23" s="9"/>
      <c r="GPO23" s="9"/>
      <c r="GPP23" s="9"/>
      <c r="GPQ23" s="9"/>
      <c r="GPR23" s="9"/>
      <c r="GPS23" s="9"/>
      <c r="GPT23" s="9"/>
      <c r="GPU23" s="9"/>
      <c r="GPV23" s="9"/>
      <c r="GPW23" s="9"/>
      <c r="GPX23" s="9"/>
      <c r="GPY23" s="9"/>
      <c r="GPZ23" s="9"/>
      <c r="GQA23" s="9"/>
      <c r="GQB23" s="9"/>
      <c r="GQC23" s="9"/>
      <c r="GQD23" s="9"/>
      <c r="GQE23" s="9"/>
      <c r="GQF23" s="9"/>
      <c r="GQG23" s="9"/>
      <c r="GQH23" s="9"/>
      <c r="GQI23" s="9"/>
      <c r="GQJ23" s="9"/>
      <c r="GQK23" s="9"/>
      <c r="GQL23" s="9"/>
      <c r="GQM23" s="9"/>
      <c r="GQN23" s="9"/>
      <c r="GQO23" s="9"/>
      <c r="GQP23" s="9"/>
      <c r="GQQ23" s="9"/>
      <c r="GQR23" s="9"/>
      <c r="GQS23" s="9"/>
      <c r="GQT23" s="9"/>
      <c r="GQU23" s="9"/>
      <c r="GQV23" s="9"/>
      <c r="GQW23" s="9"/>
      <c r="GQX23" s="9"/>
      <c r="GQY23" s="9"/>
      <c r="GQZ23" s="9"/>
      <c r="GRA23" s="9"/>
      <c r="GRB23" s="9"/>
      <c r="GRC23" s="9"/>
      <c r="GRD23" s="9"/>
      <c r="GRE23" s="9"/>
      <c r="GRF23" s="9"/>
      <c r="GRG23" s="9"/>
      <c r="GRH23" s="9"/>
      <c r="GRI23" s="9"/>
      <c r="GRJ23" s="9"/>
      <c r="GRK23" s="9"/>
      <c r="GRL23" s="9"/>
      <c r="GRM23" s="9"/>
      <c r="GRN23" s="9"/>
      <c r="GRO23" s="9"/>
      <c r="GRP23" s="9"/>
      <c r="GRQ23" s="9"/>
      <c r="GRR23" s="9"/>
      <c r="GRS23" s="9"/>
      <c r="GRT23" s="9"/>
      <c r="GRU23" s="9"/>
      <c r="GRV23" s="9"/>
      <c r="GRW23" s="9"/>
      <c r="GRX23" s="9"/>
      <c r="GRY23" s="9"/>
      <c r="GRZ23" s="9"/>
      <c r="GSA23" s="9"/>
      <c r="GSB23" s="9"/>
      <c r="GSC23" s="9"/>
      <c r="GSD23" s="9"/>
      <c r="GSE23" s="9"/>
      <c r="GSF23" s="9"/>
      <c r="GSG23" s="9"/>
      <c r="GSH23" s="9"/>
      <c r="GSI23" s="9"/>
      <c r="GSJ23" s="9"/>
      <c r="GSK23" s="9"/>
      <c r="GSL23" s="9"/>
      <c r="GSM23" s="9"/>
      <c r="GSN23" s="9"/>
      <c r="GSO23" s="9"/>
      <c r="GSP23" s="9"/>
      <c r="GSQ23" s="9"/>
      <c r="GSR23" s="9"/>
      <c r="GSS23" s="9"/>
      <c r="GST23" s="9"/>
      <c r="GSU23" s="9"/>
      <c r="GSV23" s="9"/>
      <c r="GSW23" s="9"/>
      <c r="GSX23" s="9"/>
      <c r="GSY23" s="9"/>
      <c r="GSZ23" s="9"/>
      <c r="GTA23" s="9"/>
      <c r="GTB23" s="9"/>
      <c r="GTC23" s="9"/>
      <c r="GTD23" s="9"/>
      <c r="GTE23" s="9"/>
      <c r="GTF23" s="9"/>
      <c r="GTG23" s="9"/>
      <c r="GTH23" s="9"/>
      <c r="GTI23" s="9"/>
      <c r="GTJ23" s="9"/>
      <c r="GTK23" s="9"/>
      <c r="GTL23" s="9"/>
      <c r="GTM23" s="9"/>
      <c r="GTN23" s="9"/>
      <c r="GTO23" s="9"/>
      <c r="GTP23" s="9"/>
      <c r="GTQ23" s="9"/>
      <c r="GTR23" s="9"/>
      <c r="GTS23" s="9"/>
      <c r="GTT23" s="9"/>
      <c r="GTU23" s="9"/>
      <c r="GTV23" s="9"/>
      <c r="GTW23" s="9"/>
      <c r="GTX23" s="9"/>
      <c r="GTY23" s="9"/>
      <c r="GTZ23" s="9"/>
      <c r="GUA23" s="9"/>
      <c r="GUB23" s="9"/>
      <c r="GUC23" s="9"/>
      <c r="GUD23" s="9"/>
      <c r="GUE23" s="9"/>
      <c r="GUF23" s="9"/>
      <c r="GUG23" s="9"/>
      <c r="GUH23" s="9"/>
      <c r="GUI23" s="9"/>
      <c r="GUJ23" s="9"/>
      <c r="GUK23" s="9"/>
      <c r="GUL23" s="9"/>
      <c r="GUM23" s="9"/>
      <c r="GUN23" s="9"/>
      <c r="GUO23" s="9"/>
      <c r="GUP23" s="9"/>
      <c r="GUQ23" s="9"/>
      <c r="GUR23" s="9"/>
      <c r="GUS23" s="9"/>
      <c r="GUT23" s="9"/>
      <c r="GUU23" s="9"/>
      <c r="GUV23" s="9"/>
      <c r="GUW23" s="9"/>
      <c r="GUX23" s="9"/>
      <c r="GUY23" s="9"/>
      <c r="GUZ23" s="9"/>
      <c r="GVA23" s="9"/>
      <c r="GVB23" s="9"/>
      <c r="GVC23" s="9"/>
      <c r="GVD23" s="9"/>
      <c r="GVE23" s="9"/>
      <c r="GVF23" s="9"/>
      <c r="GVG23" s="9"/>
      <c r="GVH23" s="9"/>
      <c r="GVI23" s="9"/>
      <c r="GVJ23" s="9"/>
      <c r="GVK23" s="9"/>
      <c r="GVL23" s="9"/>
      <c r="GVM23" s="9"/>
      <c r="GVN23" s="9"/>
      <c r="GVO23" s="9"/>
      <c r="GVP23" s="9"/>
      <c r="GVQ23" s="9"/>
      <c r="GVR23" s="9"/>
      <c r="GVS23" s="9"/>
      <c r="GVT23" s="9"/>
      <c r="GVU23" s="9"/>
      <c r="GVV23" s="9"/>
      <c r="GVW23" s="9"/>
      <c r="GVX23" s="9"/>
      <c r="GVY23" s="9"/>
      <c r="GVZ23" s="9"/>
      <c r="GWA23" s="9"/>
      <c r="GWB23" s="9"/>
      <c r="GWC23" s="9"/>
      <c r="GWD23" s="9"/>
      <c r="GWE23" s="9"/>
      <c r="GWF23" s="9"/>
      <c r="GWG23" s="9"/>
      <c r="GWH23" s="9"/>
      <c r="GWI23" s="9"/>
      <c r="GWJ23" s="9"/>
      <c r="GWK23" s="9"/>
      <c r="GWL23" s="9"/>
      <c r="GWM23" s="9"/>
      <c r="GWN23" s="9"/>
      <c r="GWO23" s="9"/>
      <c r="GWP23" s="9"/>
      <c r="GWQ23" s="9"/>
      <c r="GWR23" s="9"/>
      <c r="GWS23" s="9"/>
      <c r="GWT23" s="9"/>
      <c r="GWU23" s="9"/>
      <c r="GWV23" s="9"/>
      <c r="GWW23" s="9"/>
      <c r="GWX23" s="9"/>
      <c r="GWY23" s="9"/>
      <c r="GWZ23" s="9"/>
      <c r="GXA23" s="9"/>
      <c r="GXB23" s="9"/>
      <c r="GXC23" s="9"/>
      <c r="GXD23" s="9"/>
      <c r="GXE23" s="9"/>
      <c r="GXF23" s="9"/>
      <c r="GXG23" s="9"/>
      <c r="GXH23" s="9"/>
      <c r="GXI23" s="9"/>
      <c r="GXJ23" s="9"/>
      <c r="GXK23" s="9"/>
      <c r="GXL23" s="9"/>
      <c r="GXM23" s="9"/>
      <c r="GXN23" s="9"/>
      <c r="GXO23" s="9"/>
      <c r="GXP23" s="9"/>
      <c r="GXQ23" s="9"/>
      <c r="GXR23" s="9"/>
      <c r="GXS23" s="9"/>
      <c r="GXT23" s="9"/>
      <c r="GXU23" s="9"/>
      <c r="GXV23" s="9"/>
      <c r="GXW23" s="9"/>
      <c r="GXX23" s="9"/>
      <c r="GXY23" s="9"/>
      <c r="GXZ23" s="9"/>
      <c r="GYA23" s="9"/>
      <c r="GYB23" s="9"/>
      <c r="GYC23" s="9"/>
      <c r="GYD23" s="9"/>
      <c r="GYE23" s="9"/>
      <c r="GYF23" s="9"/>
      <c r="GYG23" s="9"/>
      <c r="GYH23" s="9"/>
      <c r="GYI23" s="9"/>
      <c r="GYJ23" s="9"/>
      <c r="GYK23" s="9"/>
      <c r="GYL23" s="9"/>
      <c r="GYM23" s="9"/>
      <c r="GYN23" s="9"/>
      <c r="GYO23" s="9"/>
      <c r="GYP23" s="9"/>
      <c r="GYQ23" s="9"/>
      <c r="GYR23" s="9"/>
      <c r="GYS23" s="9"/>
      <c r="GYT23" s="9"/>
      <c r="GYU23" s="9"/>
      <c r="GYV23" s="9"/>
      <c r="GYW23" s="9"/>
      <c r="GYX23" s="9"/>
      <c r="GYY23" s="9"/>
      <c r="GYZ23" s="9"/>
      <c r="GZA23" s="9"/>
      <c r="GZB23" s="9"/>
      <c r="GZC23" s="9"/>
      <c r="GZD23" s="9"/>
      <c r="GZE23" s="9"/>
      <c r="GZF23" s="9"/>
      <c r="GZG23" s="9"/>
      <c r="GZH23" s="9"/>
      <c r="GZI23" s="9"/>
      <c r="GZJ23" s="9"/>
      <c r="GZK23" s="9"/>
      <c r="GZL23" s="9"/>
      <c r="GZM23" s="9"/>
      <c r="GZN23" s="9"/>
      <c r="GZO23" s="9"/>
      <c r="GZP23" s="9"/>
      <c r="GZQ23" s="9"/>
      <c r="GZR23" s="9"/>
      <c r="GZS23" s="9"/>
      <c r="GZT23" s="9"/>
      <c r="GZU23" s="9"/>
      <c r="GZV23" s="9"/>
      <c r="GZW23" s="9"/>
      <c r="GZX23" s="9"/>
      <c r="GZY23" s="9"/>
      <c r="GZZ23" s="9"/>
      <c r="HAA23" s="9"/>
      <c r="HAB23" s="9"/>
      <c r="HAC23" s="9"/>
      <c r="HAD23" s="9"/>
      <c r="HAE23" s="9"/>
      <c r="HAF23" s="9"/>
      <c r="HAG23" s="9"/>
      <c r="HAH23" s="9"/>
      <c r="HAI23" s="9"/>
      <c r="HAJ23" s="9"/>
      <c r="HAK23" s="9"/>
      <c r="HAL23" s="9"/>
      <c r="HAM23" s="9"/>
      <c r="HAN23" s="9"/>
      <c r="HAO23" s="9"/>
      <c r="HAP23" s="9"/>
      <c r="HAQ23" s="9"/>
      <c r="HAR23" s="9"/>
      <c r="HAS23" s="9"/>
      <c r="HAT23" s="9"/>
      <c r="HAU23" s="9"/>
      <c r="HAV23" s="9"/>
      <c r="HAW23" s="9"/>
      <c r="HAX23" s="9"/>
      <c r="HAY23" s="9"/>
      <c r="HAZ23" s="9"/>
      <c r="HBA23" s="9"/>
      <c r="HBB23" s="9"/>
      <c r="HBC23" s="9"/>
      <c r="HBD23" s="9"/>
      <c r="HBE23" s="9"/>
      <c r="HBF23" s="9"/>
      <c r="HBG23" s="9"/>
      <c r="HBH23" s="9"/>
      <c r="HBI23" s="9"/>
      <c r="HBJ23" s="9"/>
      <c r="HBK23" s="9"/>
      <c r="HBL23" s="9"/>
      <c r="HBM23" s="9"/>
      <c r="HBN23" s="9"/>
      <c r="HBO23" s="9"/>
      <c r="HBP23" s="9"/>
      <c r="HBQ23" s="9"/>
      <c r="HBR23" s="9"/>
      <c r="HBS23" s="9"/>
      <c r="HBT23" s="9"/>
      <c r="HBU23" s="9"/>
      <c r="HBV23" s="9"/>
      <c r="HBW23" s="9"/>
      <c r="HBX23" s="9"/>
      <c r="HBY23" s="9"/>
      <c r="HBZ23" s="9"/>
      <c r="HCA23" s="9"/>
      <c r="HCB23" s="9"/>
      <c r="HCC23" s="9"/>
      <c r="HCD23" s="9"/>
      <c r="HCE23" s="9"/>
      <c r="HCF23" s="9"/>
      <c r="HCG23" s="9"/>
      <c r="HCH23" s="9"/>
      <c r="HCI23" s="9"/>
      <c r="HCJ23" s="9"/>
      <c r="HCK23" s="9"/>
      <c r="HCL23" s="9"/>
      <c r="HCM23" s="9"/>
      <c r="HCN23" s="9"/>
      <c r="HCO23" s="9"/>
      <c r="HCP23" s="9"/>
      <c r="HCQ23" s="9"/>
      <c r="HCR23" s="9"/>
      <c r="HCS23" s="9"/>
      <c r="HCT23" s="9"/>
      <c r="HCU23" s="9"/>
      <c r="HCV23" s="9"/>
      <c r="HCW23" s="9"/>
      <c r="HCX23" s="9"/>
      <c r="HCY23" s="9"/>
      <c r="HCZ23" s="9"/>
      <c r="HDA23" s="9"/>
      <c r="HDB23" s="9"/>
      <c r="HDC23" s="9"/>
      <c r="HDD23" s="9"/>
      <c r="HDE23" s="9"/>
      <c r="HDF23" s="9"/>
      <c r="HDG23" s="9"/>
      <c r="HDH23" s="9"/>
      <c r="HDI23" s="9"/>
      <c r="HDJ23" s="9"/>
      <c r="HDK23" s="9"/>
      <c r="HDL23" s="9"/>
      <c r="HDM23" s="9"/>
      <c r="HDN23" s="9"/>
      <c r="HDO23" s="9"/>
      <c r="HDP23" s="9"/>
      <c r="HDQ23" s="9"/>
      <c r="HDR23" s="9"/>
      <c r="HDS23" s="9"/>
      <c r="HDT23" s="9"/>
      <c r="HDU23" s="9"/>
      <c r="HDV23" s="9"/>
      <c r="HDW23" s="9"/>
      <c r="HDX23" s="9"/>
      <c r="HDY23" s="9"/>
      <c r="HDZ23" s="9"/>
      <c r="HEA23" s="9"/>
      <c r="HEB23" s="9"/>
      <c r="HEC23" s="9"/>
      <c r="HED23" s="9"/>
      <c r="HEE23" s="9"/>
      <c r="HEF23" s="9"/>
      <c r="HEG23" s="9"/>
      <c r="HEH23" s="9"/>
      <c r="HEI23" s="9"/>
      <c r="HEJ23" s="9"/>
      <c r="HEK23" s="9"/>
      <c r="HEL23" s="9"/>
      <c r="HEM23" s="9"/>
      <c r="HEN23" s="9"/>
      <c r="HEO23" s="9"/>
      <c r="HEP23" s="9"/>
      <c r="HEQ23" s="9"/>
      <c r="HER23" s="9"/>
      <c r="HES23" s="9"/>
      <c r="HET23" s="9"/>
      <c r="HEU23" s="9"/>
      <c r="HEV23" s="9"/>
      <c r="HEW23" s="9"/>
      <c r="HEX23" s="9"/>
      <c r="HEY23" s="9"/>
      <c r="HEZ23" s="9"/>
      <c r="HFA23" s="9"/>
      <c r="HFB23" s="9"/>
      <c r="HFC23" s="9"/>
      <c r="HFD23" s="9"/>
      <c r="HFE23" s="9"/>
      <c r="HFF23" s="9"/>
      <c r="HFG23" s="9"/>
      <c r="HFH23" s="9"/>
      <c r="HFI23" s="9"/>
      <c r="HFJ23" s="9"/>
      <c r="HFK23" s="9"/>
      <c r="HFL23" s="9"/>
      <c r="HFM23" s="9"/>
      <c r="HFN23" s="9"/>
      <c r="HFO23" s="9"/>
      <c r="HFP23" s="9"/>
      <c r="HFQ23" s="9"/>
      <c r="HFR23" s="9"/>
      <c r="HFS23" s="9"/>
      <c r="HFT23" s="9"/>
      <c r="HFU23" s="9"/>
      <c r="HFV23" s="9"/>
      <c r="HFW23" s="9"/>
      <c r="HFX23" s="9"/>
      <c r="HFY23" s="9"/>
      <c r="HFZ23" s="9"/>
      <c r="HGA23" s="9"/>
      <c r="HGB23" s="9"/>
      <c r="HGC23" s="9"/>
      <c r="HGD23" s="9"/>
      <c r="HGE23" s="9"/>
      <c r="HGF23" s="9"/>
      <c r="HGG23" s="9"/>
      <c r="HGH23" s="9"/>
      <c r="HGI23" s="9"/>
      <c r="HGJ23" s="9"/>
      <c r="HGK23" s="9"/>
      <c r="HGL23" s="9"/>
      <c r="HGM23" s="9"/>
      <c r="HGN23" s="9"/>
      <c r="HGO23" s="9"/>
      <c r="HGP23" s="9"/>
      <c r="HGQ23" s="9"/>
      <c r="HGR23" s="9"/>
      <c r="HGS23" s="9"/>
      <c r="HGT23" s="9"/>
      <c r="HGU23" s="9"/>
      <c r="HGV23" s="9"/>
      <c r="HGW23" s="9"/>
      <c r="HGX23" s="9"/>
      <c r="HGY23" s="9"/>
      <c r="HGZ23" s="9"/>
      <c r="HHA23" s="9"/>
      <c r="HHB23" s="9"/>
      <c r="HHC23" s="9"/>
      <c r="HHD23" s="9"/>
      <c r="HHE23" s="9"/>
      <c r="HHF23" s="9"/>
      <c r="HHG23" s="9"/>
      <c r="HHH23" s="9"/>
      <c r="HHI23" s="9"/>
      <c r="HHJ23" s="9"/>
      <c r="HHK23" s="9"/>
      <c r="HHL23" s="9"/>
      <c r="HHM23" s="9"/>
      <c r="HHN23" s="9"/>
      <c r="HHO23" s="9"/>
      <c r="HHP23" s="9"/>
      <c r="HHQ23" s="9"/>
      <c r="HHR23" s="9"/>
      <c r="HHS23" s="9"/>
      <c r="HHT23" s="9"/>
      <c r="HHU23" s="9"/>
      <c r="HHV23" s="9"/>
      <c r="HHW23" s="9"/>
      <c r="HHX23" s="9"/>
      <c r="HHY23" s="9"/>
      <c r="HHZ23" s="9"/>
      <c r="HIA23" s="9"/>
      <c r="HIB23" s="9"/>
      <c r="HIC23" s="9"/>
      <c r="HID23" s="9"/>
      <c r="HIE23" s="9"/>
      <c r="HIF23" s="9"/>
      <c r="HIG23" s="9"/>
      <c r="HIH23" s="9"/>
      <c r="HII23" s="9"/>
      <c r="HIJ23" s="9"/>
      <c r="HIK23" s="9"/>
      <c r="HIL23" s="9"/>
      <c r="HIM23" s="9"/>
      <c r="HIN23" s="9"/>
      <c r="HIO23" s="9"/>
      <c r="HIP23" s="9"/>
      <c r="HIQ23" s="9"/>
      <c r="HIR23" s="9"/>
      <c r="HIS23" s="9"/>
      <c r="HIT23" s="9"/>
      <c r="HIU23" s="9"/>
      <c r="HIV23" s="9"/>
      <c r="HIW23" s="9"/>
      <c r="HIX23" s="9"/>
      <c r="HIY23" s="9"/>
      <c r="HIZ23" s="9"/>
      <c r="HJA23" s="9"/>
      <c r="HJB23" s="9"/>
      <c r="HJC23" s="9"/>
      <c r="HJD23" s="9"/>
      <c r="HJE23" s="9"/>
      <c r="HJF23" s="9"/>
      <c r="HJG23" s="9"/>
      <c r="HJH23" s="9"/>
      <c r="HJI23" s="9"/>
      <c r="HJJ23" s="9"/>
      <c r="HJK23" s="9"/>
      <c r="HJL23" s="9"/>
      <c r="HJM23" s="9"/>
      <c r="HJN23" s="9"/>
      <c r="HJO23" s="9"/>
      <c r="HJP23" s="9"/>
      <c r="HJQ23" s="9"/>
      <c r="HJR23" s="9"/>
      <c r="HJS23" s="9"/>
      <c r="HJT23" s="9"/>
      <c r="HJU23" s="9"/>
      <c r="HJV23" s="9"/>
      <c r="HJW23" s="9"/>
      <c r="HJX23" s="9"/>
      <c r="HJY23" s="9"/>
      <c r="HJZ23" s="9"/>
      <c r="HKA23" s="9"/>
      <c r="HKB23" s="9"/>
      <c r="HKC23" s="9"/>
      <c r="HKD23" s="9"/>
      <c r="HKE23" s="9"/>
      <c r="HKF23" s="9"/>
      <c r="HKG23" s="9"/>
      <c r="HKH23" s="9"/>
      <c r="HKI23" s="9"/>
      <c r="HKJ23" s="9"/>
      <c r="HKK23" s="9"/>
      <c r="HKL23" s="9"/>
      <c r="HKM23" s="9"/>
      <c r="HKN23" s="9"/>
      <c r="HKO23" s="9"/>
      <c r="HKP23" s="9"/>
      <c r="HKQ23" s="9"/>
      <c r="HKR23" s="9"/>
      <c r="HKS23" s="9"/>
      <c r="HKT23" s="9"/>
      <c r="HKU23" s="9"/>
      <c r="HKV23" s="9"/>
      <c r="HKW23" s="9"/>
      <c r="HKX23" s="9"/>
      <c r="HKY23" s="9"/>
      <c r="HKZ23" s="9"/>
      <c r="HLA23" s="9"/>
      <c r="HLB23" s="9"/>
      <c r="HLC23" s="9"/>
      <c r="HLD23" s="9"/>
      <c r="HLE23" s="9"/>
      <c r="HLF23" s="9"/>
      <c r="HLG23" s="9"/>
      <c r="HLH23" s="9"/>
      <c r="HLI23" s="9"/>
      <c r="HLJ23" s="9"/>
      <c r="HLK23" s="9"/>
      <c r="HLL23" s="9"/>
      <c r="HLM23" s="9"/>
      <c r="HLN23" s="9"/>
      <c r="HLO23" s="9"/>
      <c r="HLP23" s="9"/>
      <c r="HLQ23" s="9"/>
      <c r="HLR23" s="9"/>
      <c r="HLS23" s="9"/>
      <c r="HLT23" s="9"/>
      <c r="HLU23" s="9"/>
      <c r="HLV23" s="9"/>
      <c r="HLW23" s="9"/>
      <c r="HLX23" s="9"/>
      <c r="HLY23" s="9"/>
      <c r="HLZ23" s="9"/>
      <c r="HMA23" s="9"/>
      <c r="HMB23" s="9"/>
      <c r="HMC23" s="9"/>
      <c r="HMD23" s="9"/>
      <c r="HME23" s="9"/>
      <c r="HMF23" s="9"/>
      <c r="HMG23" s="9"/>
      <c r="HMH23" s="9"/>
      <c r="HMI23" s="9"/>
      <c r="HMJ23" s="9"/>
      <c r="HMK23" s="9"/>
      <c r="HML23" s="9"/>
      <c r="HMM23" s="9"/>
      <c r="HMN23" s="9"/>
      <c r="HMO23" s="9"/>
      <c r="HMP23" s="9"/>
      <c r="HMQ23" s="9"/>
      <c r="HMR23" s="9"/>
      <c r="HMS23" s="9"/>
      <c r="HMT23" s="9"/>
      <c r="HMU23" s="9"/>
      <c r="HMV23" s="9"/>
      <c r="HMW23" s="9"/>
      <c r="HMX23" s="9"/>
      <c r="HMY23" s="9"/>
      <c r="HMZ23" s="9"/>
      <c r="HNA23" s="9"/>
      <c r="HNB23" s="9"/>
      <c r="HNC23" s="9"/>
      <c r="HND23" s="9"/>
      <c r="HNE23" s="9"/>
      <c r="HNF23" s="9"/>
      <c r="HNG23" s="9"/>
      <c r="HNH23" s="9"/>
      <c r="HNI23" s="9"/>
      <c r="HNJ23" s="9"/>
      <c r="HNK23" s="9"/>
      <c r="HNL23" s="9"/>
      <c r="HNM23" s="9"/>
      <c r="HNN23" s="9"/>
      <c r="HNO23" s="9"/>
      <c r="HNP23" s="9"/>
      <c r="HNQ23" s="9"/>
      <c r="HNR23" s="9"/>
      <c r="HNS23" s="9"/>
      <c r="HNT23" s="9"/>
      <c r="HNU23" s="9"/>
      <c r="HNV23" s="9"/>
      <c r="HNW23" s="9"/>
      <c r="HNX23" s="9"/>
      <c r="HNY23" s="9"/>
      <c r="HNZ23" s="9"/>
      <c r="HOA23" s="9"/>
      <c r="HOB23" s="9"/>
      <c r="HOC23" s="9"/>
      <c r="HOD23" s="9"/>
      <c r="HOE23" s="9"/>
      <c r="HOF23" s="9"/>
      <c r="HOG23" s="9"/>
      <c r="HOH23" s="9"/>
      <c r="HOI23" s="9"/>
      <c r="HOJ23" s="9"/>
      <c r="HOK23" s="9"/>
      <c r="HOL23" s="9"/>
      <c r="HOM23" s="9"/>
      <c r="HON23" s="9"/>
      <c r="HOO23" s="9"/>
      <c r="HOP23" s="9"/>
      <c r="HOQ23" s="9"/>
      <c r="HOR23" s="9"/>
      <c r="HOS23" s="9"/>
      <c r="HOT23" s="9"/>
      <c r="HOU23" s="9"/>
      <c r="HOV23" s="9"/>
      <c r="HOW23" s="9"/>
      <c r="HOX23" s="9"/>
      <c r="HOY23" s="9"/>
      <c r="HOZ23" s="9"/>
      <c r="HPA23" s="9"/>
      <c r="HPB23" s="9"/>
      <c r="HPC23" s="9"/>
      <c r="HPD23" s="9"/>
      <c r="HPE23" s="9"/>
      <c r="HPF23" s="9"/>
      <c r="HPG23" s="9"/>
      <c r="HPH23" s="9"/>
      <c r="HPI23" s="9"/>
      <c r="HPJ23" s="9"/>
      <c r="HPK23" s="9"/>
      <c r="HPL23" s="9"/>
      <c r="HPM23" s="9"/>
      <c r="HPN23" s="9"/>
      <c r="HPO23" s="9"/>
      <c r="HPP23" s="9"/>
      <c r="HPQ23" s="9"/>
      <c r="HPR23" s="9"/>
      <c r="HPS23" s="9"/>
      <c r="HPT23" s="9"/>
      <c r="HPU23" s="9"/>
      <c r="HPV23" s="9"/>
      <c r="HPW23" s="9"/>
      <c r="HPX23" s="9"/>
      <c r="HPY23" s="9"/>
      <c r="HPZ23" s="9"/>
      <c r="HQA23" s="9"/>
      <c r="HQB23" s="9"/>
      <c r="HQC23" s="9"/>
      <c r="HQD23" s="9"/>
      <c r="HQE23" s="9"/>
      <c r="HQF23" s="9"/>
      <c r="HQG23" s="9"/>
      <c r="HQH23" s="9"/>
      <c r="HQI23" s="9"/>
      <c r="HQJ23" s="9"/>
      <c r="HQK23" s="9"/>
      <c r="HQL23" s="9"/>
      <c r="HQM23" s="9"/>
      <c r="HQN23" s="9"/>
      <c r="HQO23" s="9"/>
      <c r="HQP23" s="9"/>
      <c r="HQQ23" s="9"/>
      <c r="HQR23" s="9"/>
      <c r="HQS23" s="9"/>
      <c r="HQT23" s="9"/>
      <c r="HQU23" s="9"/>
      <c r="HQV23" s="9"/>
      <c r="HQW23" s="9"/>
      <c r="HQX23" s="9"/>
      <c r="HQY23" s="9"/>
      <c r="HQZ23" s="9"/>
      <c r="HRA23" s="9"/>
      <c r="HRB23" s="9"/>
      <c r="HRC23" s="9"/>
      <c r="HRD23" s="9"/>
      <c r="HRE23" s="9"/>
      <c r="HRF23" s="9"/>
      <c r="HRG23" s="9"/>
      <c r="HRH23" s="9"/>
      <c r="HRI23" s="9"/>
      <c r="HRJ23" s="9"/>
      <c r="HRK23" s="9"/>
      <c r="HRL23" s="9"/>
      <c r="HRM23" s="9"/>
      <c r="HRN23" s="9"/>
      <c r="HRO23" s="9"/>
      <c r="HRP23" s="9"/>
      <c r="HRQ23" s="9"/>
      <c r="HRR23" s="9"/>
      <c r="HRS23" s="9"/>
      <c r="HRT23" s="9"/>
      <c r="HRU23" s="9"/>
      <c r="HRV23" s="9"/>
      <c r="HRW23" s="9"/>
      <c r="HRX23" s="9"/>
      <c r="HRY23" s="9"/>
      <c r="HRZ23" s="9"/>
      <c r="HSA23" s="9"/>
      <c r="HSB23" s="9"/>
      <c r="HSC23" s="9"/>
      <c r="HSD23" s="9"/>
      <c r="HSE23" s="9"/>
      <c r="HSF23" s="9"/>
      <c r="HSG23" s="9"/>
      <c r="HSH23" s="9"/>
      <c r="HSI23" s="9"/>
      <c r="HSJ23" s="9"/>
      <c r="HSK23" s="9"/>
      <c r="HSL23" s="9"/>
      <c r="HSM23" s="9"/>
      <c r="HSN23" s="9"/>
      <c r="HSO23" s="9"/>
      <c r="HSP23" s="9"/>
      <c r="HSQ23" s="9"/>
      <c r="HSR23" s="9"/>
      <c r="HSS23" s="9"/>
      <c r="HST23" s="9"/>
      <c r="HSU23" s="9"/>
      <c r="HSV23" s="9"/>
      <c r="HSW23" s="9"/>
      <c r="HSX23" s="9"/>
      <c r="HSY23" s="9"/>
      <c r="HSZ23" s="9"/>
      <c r="HTA23" s="9"/>
      <c r="HTB23" s="9"/>
      <c r="HTC23" s="9"/>
      <c r="HTD23" s="9"/>
      <c r="HTE23" s="9"/>
      <c r="HTF23" s="9"/>
      <c r="HTG23" s="9"/>
      <c r="HTH23" s="9"/>
      <c r="HTI23" s="9"/>
      <c r="HTJ23" s="9"/>
      <c r="HTK23" s="9"/>
      <c r="HTL23" s="9"/>
      <c r="HTM23" s="9"/>
      <c r="HTN23" s="9"/>
      <c r="HTO23" s="9"/>
      <c r="HTP23" s="9"/>
      <c r="HTQ23" s="9"/>
      <c r="HTR23" s="9"/>
      <c r="HTS23" s="9"/>
      <c r="HTT23" s="9"/>
      <c r="HTU23" s="9"/>
      <c r="HTV23" s="9"/>
      <c r="HTW23" s="9"/>
      <c r="HTX23" s="9"/>
      <c r="HTY23" s="9"/>
      <c r="HTZ23" s="9"/>
      <c r="HUA23" s="9"/>
      <c r="HUB23" s="9"/>
      <c r="HUC23" s="9"/>
      <c r="HUD23" s="9"/>
      <c r="HUE23" s="9"/>
      <c r="HUF23" s="9"/>
      <c r="HUG23" s="9"/>
      <c r="HUH23" s="9"/>
      <c r="HUI23" s="9"/>
      <c r="HUJ23" s="9"/>
      <c r="HUK23" s="9"/>
      <c r="HUL23" s="9"/>
      <c r="HUM23" s="9"/>
      <c r="HUN23" s="9"/>
      <c r="HUO23" s="9"/>
      <c r="HUP23" s="9"/>
      <c r="HUQ23" s="9"/>
      <c r="HUR23" s="9"/>
      <c r="HUS23" s="9"/>
      <c r="HUT23" s="9"/>
      <c r="HUU23" s="9"/>
      <c r="HUV23" s="9"/>
      <c r="HUW23" s="9"/>
      <c r="HUX23" s="9"/>
      <c r="HUY23" s="9"/>
      <c r="HUZ23" s="9"/>
      <c r="HVA23" s="9"/>
      <c r="HVB23" s="9"/>
      <c r="HVC23" s="9"/>
      <c r="HVD23" s="9"/>
      <c r="HVE23" s="9"/>
      <c r="HVF23" s="9"/>
      <c r="HVG23" s="9"/>
      <c r="HVH23" s="9"/>
      <c r="HVI23" s="9"/>
      <c r="HVJ23" s="9"/>
      <c r="HVK23" s="9"/>
      <c r="HVL23" s="9"/>
      <c r="HVM23" s="9"/>
      <c r="HVN23" s="9"/>
      <c r="HVO23" s="9"/>
      <c r="HVP23" s="9"/>
      <c r="HVQ23" s="9"/>
      <c r="HVR23" s="9"/>
      <c r="HVS23" s="9"/>
      <c r="HVT23" s="9"/>
      <c r="HVU23" s="9"/>
      <c r="HVV23" s="9"/>
      <c r="HVW23" s="9"/>
      <c r="HVX23" s="9"/>
      <c r="HVY23" s="9"/>
      <c r="HVZ23" s="9"/>
      <c r="HWA23" s="9"/>
      <c r="HWB23" s="9"/>
      <c r="HWC23" s="9"/>
      <c r="HWD23" s="9"/>
      <c r="HWE23" s="9"/>
      <c r="HWF23" s="9"/>
      <c r="HWG23" s="9"/>
      <c r="HWH23" s="9"/>
      <c r="HWI23" s="9"/>
      <c r="HWJ23" s="9"/>
      <c r="HWK23" s="9"/>
      <c r="HWL23" s="9"/>
      <c r="HWM23" s="9"/>
      <c r="HWN23" s="9"/>
      <c r="HWO23" s="9"/>
      <c r="HWP23" s="9"/>
      <c r="HWQ23" s="9"/>
      <c r="HWR23" s="9"/>
      <c r="HWS23" s="9"/>
      <c r="HWT23" s="9"/>
      <c r="HWU23" s="9"/>
      <c r="HWV23" s="9"/>
      <c r="HWW23" s="9"/>
      <c r="HWX23" s="9"/>
      <c r="HWY23" s="9"/>
      <c r="HWZ23" s="9"/>
      <c r="HXA23" s="9"/>
      <c r="HXB23" s="9"/>
      <c r="HXC23" s="9"/>
      <c r="HXD23" s="9"/>
      <c r="HXE23" s="9"/>
      <c r="HXF23" s="9"/>
      <c r="HXG23" s="9"/>
      <c r="HXH23" s="9"/>
      <c r="HXI23" s="9"/>
      <c r="HXJ23" s="9"/>
      <c r="HXK23" s="9"/>
      <c r="HXL23" s="9"/>
      <c r="HXM23" s="9"/>
      <c r="HXN23" s="9"/>
      <c r="HXO23" s="9"/>
      <c r="HXP23" s="9"/>
      <c r="HXQ23" s="9"/>
      <c r="HXR23" s="9"/>
      <c r="HXS23" s="9"/>
      <c r="HXT23" s="9"/>
      <c r="HXU23" s="9"/>
      <c r="HXV23" s="9"/>
      <c r="HXW23" s="9"/>
      <c r="HXX23" s="9"/>
      <c r="HXY23" s="9"/>
      <c r="HXZ23" s="9"/>
      <c r="HYA23" s="9"/>
      <c r="HYB23" s="9"/>
      <c r="HYC23" s="9"/>
      <c r="HYD23" s="9"/>
      <c r="HYE23" s="9"/>
      <c r="HYF23" s="9"/>
      <c r="HYG23" s="9"/>
      <c r="HYH23" s="9"/>
      <c r="HYI23" s="9"/>
      <c r="HYJ23" s="9"/>
      <c r="HYK23" s="9"/>
      <c r="HYL23" s="9"/>
      <c r="HYM23" s="9"/>
      <c r="HYN23" s="9"/>
      <c r="HYO23" s="9"/>
      <c r="HYP23" s="9"/>
      <c r="HYQ23" s="9"/>
      <c r="HYR23" s="9"/>
      <c r="HYS23" s="9"/>
      <c r="HYT23" s="9"/>
      <c r="HYU23" s="9"/>
      <c r="HYV23" s="9"/>
      <c r="HYW23" s="9"/>
      <c r="HYX23" s="9"/>
      <c r="HYY23" s="9"/>
      <c r="HYZ23" s="9"/>
      <c r="HZA23" s="9"/>
      <c r="HZB23" s="9"/>
      <c r="HZC23" s="9"/>
      <c r="HZD23" s="9"/>
      <c r="HZE23" s="9"/>
      <c r="HZF23" s="9"/>
      <c r="HZG23" s="9"/>
      <c r="HZH23" s="9"/>
      <c r="HZI23" s="9"/>
      <c r="HZJ23" s="9"/>
      <c r="HZK23" s="9"/>
      <c r="HZL23" s="9"/>
      <c r="HZM23" s="9"/>
      <c r="HZN23" s="9"/>
      <c r="HZO23" s="9"/>
      <c r="HZP23" s="9"/>
      <c r="HZQ23" s="9"/>
      <c r="HZR23" s="9"/>
      <c r="HZS23" s="9"/>
      <c r="HZT23" s="9"/>
      <c r="HZU23" s="9"/>
      <c r="HZV23" s="9"/>
      <c r="HZW23" s="9"/>
      <c r="HZX23" s="9"/>
      <c r="HZY23" s="9"/>
      <c r="HZZ23" s="9"/>
      <c r="IAA23" s="9"/>
      <c r="IAB23" s="9"/>
      <c r="IAC23" s="9"/>
      <c r="IAD23" s="9"/>
      <c r="IAE23" s="9"/>
      <c r="IAF23" s="9"/>
      <c r="IAG23" s="9"/>
      <c r="IAH23" s="9"/>
      <c r="IAI23" s="9"/>
      <c r="IAJ23" s="9"/>
      <c r="IAK23" s="9"/>
      <c r="IAL23" s="9"/>
      <c r="IAM23" s="9"/>
      <c r="IAN23" s="9"/>
      <c r="IAO23" s="9"/>
      <c r="IAP23" s="9"/>
      <c r="IAQ23" s="9"/>
      <c r="IAR23" s="9"/>
      <c r="IAS23" s="9"/>
      <c r="IAT23" s="9"/>
      <c r="IAU23" s="9"/>
      <c r="IAV23" s="9"/>
      <c r="IAW23" s="9"/>
      <c r="IAX23" s="9"/>
      <c r="IAY23" s="9"/>
      <c r="IAZ23" s="9"/>
      <c r="IBA23" s="9"/>
      <c r="IBB23" s="9"/>
      <c r="IBC23" s="9"/>
      <c r="IBD23" s="9"/>
      <c r="IBE23" s="9"/>
      <c r="IBF23" s="9"/>
      <c r="IBG23" s="9"/>
      <c r="IBH23" s="9"/>
      <c r="IBI23" s="9"/>
      <c r="IBJ23" s="9"/>
      <c r="IBK23" s="9"/>
      <c r="IBL23" s="9"/>
      <c r="IBM23" s="9"/>
      <c r="IBN23" s="9"/>
      <c r="IBO23" s="9"/>
      <c r="IBP23" s="9"/>
      <c r="IBQ23" s="9"/>
      <c r="IBR23" s="9"/>
      <c r="IBS23" s="9"/>
      <c r="IBT23" s="9"/>
      <c r="IBU23" s="9"/>
      <c r="IBV23" s="9"/>
      <c r="IBW23" s="9"/>
      <c r="IBX23" s="9"/>
      <c r="IBY23" s="9"/>
      <c r="IBZ23" s="9"/>
      <c r="ICA23" s="9"/>
      <c r="ICB23" s="9"/>
      <c r="ICC23" s="9"/>
      <c r="ICD23" s="9"/>
      <c r="ICE23" s="9"/>
      <c r="ICF23" s="9"/>
      <c r="ICG23" s="9"/>
      <c r="ICH23" s="9"/>
      <c r="ICI23" s="9"/>
      <c r="ICJ23" s="9"/>
      <c r="ICK23" s="9"/>
      <c r="ICL23" s="9"/>
      <c r="ICM23" s="9"/>
      <c r="ICN23" s="9"/>
      <c r="ICO23" s="9"/>
      <c r="ICP23" s="9"/>
      <c r="ICQ23" s="9"/>
      <c r="ICR23" s="9"/>
      <c r="ICS23" s="9"/>
      <c r="ICT23" s="9"/>
      <c r="ICU23" s="9"/>
      <c r="ICV23" s="9"/>
      <c r="ICW23" s="9"/>
      <c r="ICX23" s="9"/>
      <c r="ICY23" s="9"/>
      <c r="ICZ23" s="9"/>
      <c r="IDA23" s="9"/>
      <c r="IDB23" s="9"/>
      <c r="IDC23" s="9"/>
      <c r="IDD23" s="9"/>
      <c r="IDE23" s="9"/>
      <c r="IDF23" s="9"/>
      <c r="IDG23" s="9"/>
      <c r="IDH23" s="9"/>
      <c r="IDI23" s="9"/>
      <c r="IDJ23" s="9"/>
      <c r="IDK23" s="9"/>
      <c r="IDL23" s="9"/>
      <c r="IDM23" s="9"/>
      <c r="IDN23" s="9"/>
      <c r="IDO23" s="9"/>
      <c r="IDP23" s="9"/>
      <c r="IDQ23" s="9"/>
      <c r="IDR23" s="9"/>
      <c r="IDS23" s="9"/>
      <c r="IDT23" s="9"/>
      <c r="IDU23" s="9"/>
      <c r="IDV23" s="9"/>
      <c r="IDW23" s="9"/>
      <c r="IDX23" s="9"/>
      <c r="IDY23" s="9"/>
      <c r="IDZ23" s="9"/>
      <c r="IEA23" s="9"/>
      <c r="IEB23" s="9"/>
      <c r="IEC23" s="9"/>
      <c r="IED23" s="9"/>
      <c r="IEE23" s="9"/>
      <c r="IEF23" s="9"/>
      <c r="IEG23" s="9"/>
      <c r="IEH23" s="9"/>
      <c r="IEI23" s="9"/>
      <c r="IEJ23" s="9"/>
      <c r="IEK23" s="9"/>
      <c r="IEL23" s="9"/>
      <c r="IEM23" s="9"/>
      <c r="IEN23" s="9"/>
      <c r="IEO23" s="9"/>
      <c r="IEP23" s="9"/>
      <c r="IEQ23" s="9"/>
      <c r="IER23" s="9"/>
      <c r="IES23" s="9"/>
      <c r="IET23" s="9"/>
      <c r="IEU23" s="9"/>
      <c r="IEV23" s="9"/>
      <c r="IEW23" s="9"/>
      <c r="IEX23" s="9"/>
      <c r="IEY23" s="9"/>
      <c r="IEZ23" s="9"/>
      <c r="IFA23" s="9"/>
      <c r="IFB23" s="9"/>
      <c r="IFC23" s="9"/>
      <c r="IFD23" s="9"/>
      <c r="IFE23" s="9"/>
      <c r="IFF23" s="9"/>
      <c r="IFG23" s="9"/>
      <c r="IFH23" s="9"/>
      <c r="IFI23" s="9"/>
      <c r="IFJ23" s="9"/>
      <c r="IFK23" s="9"/>
      <c r="IFL23" s="9"/>
      <c r="IFM23" s="9"/>
      <c r="IFN23" s="9"/>
      <c r="IFO23" s="9"/>
      <c r="IFP23" s="9"/>
      <c r="IFQ23" s="9"/>
      <c r="IFR23" s="9"/>
      <c r="IFS23" s="9"/>
      <c r="IFT23" s="9"/>
      <c r="IFU23" s="9"/>
      <c r="IFV23" s="9"/>
      <c r="IFW23" s="9"/>
      <c r="IFX23" s="9"/>
      <c r="IFY23" s="9"/>
      <c r="IFZ23" s="9"/>
      <c r="IGA23" s="9"/>
      <c r="IGB23" s="9"/>
      <c r="IGC23" s="9"/>
      <c r="IGD23" s="9"/>
      <c r="IGE23" s="9"/>
      <c r="IGF23" s="9"/>
      <c r="IGG23" s="9"/>
      <c r="IGH23" s="9"/>
      <c r="IGI23" s="9"/>
      <c r="IGJ23" s="9"/>
      <c r="IGK23" s="9"/>
      <c r="IGL23" s="9"/>
      <c r="IGM23" s="9"/>
      <c r="IGN23" s="9"/>
      <c r="IGO23" s="9"/>
      <c r="IGP23" s="9"/>
      <c r="IGQ23" s="9"/>
      <c r="IGR23" s="9"/>
      <c r="IGS23" s="9"/>
      <c r="IGT23" s="9"/>
      <c r="IGU23" s="9"/>
      <c r="IGV23" s="9"/>
      <c r="IGW23" s="9"/>
      <c r="IGX23" s="9"/>
      <c r="IGY23" s="9"/>
      <c r="IGZ23" s="9"/>
      <c r="IHA23" s="9"/>
      <c r="IHB23" s="9"/>
      <c r="IHC23" s="9"/>
      <c r="IHD23" s="9"/>
      <c r="IHE23" s="9"/>
      <c r="IHF23" s="9"/>
      <c r="IHG23" s="9"/>
      <c r="IHH23" s="9"/>
      <c r="IHI23" s="9"/>
      <c r="IHJ23" s="9"/>
      <c r="IHK23" s="9"/>
      <c r="IHL23" s="9"/>
      <c r="IHM23" s="9"/>
      <c r="IHN23" s="9"/>
      <c r="IHO23" s="9"/>
      <c r="IHP23" s="9"/>
      <c r="IHQ23" s="9"/>
      <c r="IHR23" s="9"/>
      <c r="IHS23" s="9"/>
      <c r="IHT23" s="9"/>
      <c r="IHU23" s="9"/>
      <c r="IHV23" s="9"/>
      <c r="IHW23" s="9"/>
      <c r="IHX23" s="9"/>
      <c r="IHY23" s="9"/>
      <c r="IHZ23" s="9"/>
      <c r="IIA23" s="9"/>
      <c r="IIB23" s="9"/>
      <c r="IIC23" s="9"/>
      <c r="IID23" s="9"/>
      <c r="IIE23" s="9"/>
      <c r="IIF23" s="9"/>
      <c r="IIG23" s="9"/>
      <c r="IIH23" s="9"/>
      <c r="III23" s="9"/>
      <c r="IIJ23" s="9"/>
      <c r="IIK23" s="9"/>
      <c r="IIL23" s="9"/>
      <c r="IIM23" s="9"/>
      <c r="IIN23" s="9"/>
      <c r="IIO23" s="9"/>
      <c r="IIP23" s="9"/>
      <c r="IIQ23" s="9"/>
      <c r="IIR23" s="9"/>
      <c r="IIS23" s="9"/>
      <c r="IIT23" s="9"/>
      <c r="IIU23" s="9"/>
      <c r="IIV23" s="9"/>
      <c r="IIW23" s="9"/>
      <c r="IIX23" s="9"/>
      <c r="IIY23" s="9"/>
      <c r="IIZ23" s="9"/>
      <c r="IJA23" s="9"/>
      <c r="IJB23" s="9"/>
      <c r="IJC23" s="9"/>
      <c r="IJD23" s="9"/>
      <c r="IJE23" s="9"/>
      <c r="IJF23" s="9"/>
      <c r="IJG23" s="9"/>
      <c r="IJH23" s="9"/>
      <c r="IJI23" s="9"/>
      <c r="IJJ23" s="9"/>
      <c r="IJK23" s="9"/>
      <c r="IJL23" s="9"/>
      <c r="IJM23" s="9"/>
      <c r="IJN23" s="9"/>
      <c r="IJO23" s="9"/>
      <c r="IJP23" s="9"/>
      <c r="IJQ23" s="9"/>
      <c r="IJR23" s="9"/>
      <c r="IJS23" s="9"/>
      <c r="IJT23" s="9"/>
      <c r="IJU23" s="9"/>
      <c r="IJV23" s="9"/>
      <c r="IJW23" s="9"/>
      <c r="IJX23" s="9"/>
      <c r="IJY23" s="9"/>
      <c r="IJZ23" s="9"/>
      <c r="IKA23" s="9"/>
      <c r="IKB23" s="9"/>
      <c r="IKC23" s="9"/>
      <c r="IKD23" s="9"/>
      <c r="IKE23" s="9"/>
      <c r="IKF23" s="9"/>
      <c r="IKG23" s="9"/>
      <c r="IKH23" s="9"/>
      <c r="IKI23" s="9"/>
      <c r="IKJ23" s="9"/>
      <c r="IKK23" s="9"/>
      <c r="IKL23" s="9"/>
      <c r="IKM23" s="9"/>
      <c r="IKN23" s="9"/>
      <c r="IKO23" s="9"/>
      <c r="IKP23" s="9"/>
      <c r="IKQ23" s="9"/>
      <c r="IKR23" s="9"/>
      <c r="IKS23" s="9"/>
      <c r="IKT23" s="9"/>
      <c r="IKU23" s="9"/>
      <c r="IKV23" s="9"/>
      <c r="IKW23" s="9"/>
      <c r="IKX23" s="9"/>
      <c r="IKY23" s="9"/>
      <c r="IKZ23" s="9"/>
      <c r="ILA23" s="9"/>
      <c r="ILB23" s="9"/>
      <c r="ILC23" s="9"/>
      <c r="ILD23" s="9"/>
      <c r="ILE23" s="9"/>
      <c r="ILF23" s="9"/>
      <c r="ILG23" s="9"/>
      <c r="ILH23" s="9"/>
      <c r="ILI23" s="9"/>
      <c r="ILJ23" s="9"/>
      <c r="ILK23" s="9"/>
      <c r="ILL23" s="9"/>
      <c r="ILM23" s="9"/>
      <c r="ILN23" s="9"/>
      <c r="ILO23" s="9"/>
      <c r="ILP23" s="9"/>
      <c r="ILQ23" s="9"/>
      <c r="ILR23" s="9"/>
      <c r="ILS23" s="9"/>
      <c r="ILT23" s="9"/>
      <c r="ILU23" s="9"/>
      <c r="ILV23" s="9"/>
      <c r="ILW23" s="9"/>
      <c r="ILX23" s="9"/>
      <c r="ILY23" s="9"/>
      <c r="ILZ23" s="9"/>
      <c r="IMA23" s="9"/>
      <c r="IMB23" s="9"/>
      <c r="IMC23" s="9"/>
      <c r="IMD23" s="9"/>
      <c r="IME23" s="9"/>
      <c r="IMF23" s="9"/>
      <c r="IMG23" s="9"/>
      <c r="IMH23" s="9"/>
      <c r="IMI23" s="9"/>
      <c r="IMJ23" s="9"/>
      <c r="IMK23" s="9"/>
      <c r="IML23" s="9"/>
      <c r="IMM23" s="9"/>
      <c r="IMN23" s="9"/>
      <c r="IMO23" s="9"/>
      <c r="IMP23" s="9"/>
      <c r="IMQ23" s="9"/>
      <c r="IMR23" s="9"/>
      <c r="IMS23" s="9"/>
      <c r="IMT23" s="9"/>
      <c r="IMU23" s="9"/>
      <c r="IMV23" s="9"/>
      <c r="IMW23" s="9"/>
      <c r="IMX23" s="9"/>
      <c r="IMY23" s="9"/>
      <c r="IMZ23" s="9"/>
      <c r="INA23" s="9"/>
      <c r="INB23" s="9"/>
      <c r="INC23" s="9"/>
      <c r="IND23" s="9"/>
      <c r="INE23" s="9"/>
      <c r="INF23" s="9"/>
      <c r="ING23" s="9"/>
      <c r="INH23" s="9"/>
      <c r="INI23" s="9"/>
      <c r="INJ23" s="9"/>
      <c r="INK23" s="9"/>
      <c r="INL23" s="9"/>
      <c r="INM23" s="9"/>
      <c r="INN23" s="9"/>
      <c r="INO23" s="9"/>
      <c r="INP23" s="9"/>
      <c r="INQ23" s="9"/>
      <c r="INR23" s="9"/>
      <c r="INS23" s="9"/>
      <c r="INT23" s="9"/>
      <c r="INU23" s="9"/>
      <c r="INV23" s="9"/>
      <c r="INW23" s="9"/>
      <c r="INX23" s="9"/>
      <c r="INY23" s="9"/>
      <c r="INZ23" s="9"/>
      <c r="IOA23" s="9"/>
      <c r="IOB23" s="9"/>
      <c r="IOC23" s="9"/>
      <c r="IOD23" s="9"/>
      <c r="IOE23" s="9"/>
      <c r="IOF23" s="9"/>
      <c r="IOG23" s="9"/>
      <c r="IOH23" s="9"/>
      <c r="IOI23" s="9"/>
      <c r="IOJ23" s="9"/>
      <c r="IOK23" s="9"/>
      <c r="IOL23" s="9"/>
      <c r="IOM23" s="9"/>
      <c r="ION23" s="9"/>
      <c r="IOO23" s="9"/>
      <c r="IOP23" s="9"/>
      <c r="IOQ23" s="9"/>
      <c r="IOR23" s="9"/>
      <c r="IOS23" s="9"/>
      <c r="IOT23" s="9"/>
      <c r="IOU23" s="9"/>
      <c r="IOV23" s="9"/>
      <c r="IOW23" s="9"/>
      <c r="IOX23" s="9"/>
      <c r="IOY23" s="9"/>
      <c r="IOZ23" s="9"/>
      <c r="IPA23" s="9"/>
      <c r="IPB23" s="9"/>
      <c r="IPC23" s="9"/>
      <c r="IPD23" s="9"/>
      <c r="IPE23" s="9"/>
      <c r="IPF23" s="9"/>
      <c r="IPG23" s="9"/>
      <c r="IPH23" s="9"/>
      <c r="IPI23" s="9"/>
      <c r="IPJ23" s="9"/>
      <c r="IPK23" s="9"/>
      <c r="IPL23" s="9"/>
      <c r="IPM23" s="9"/>
      <c r="IPN23" s="9"/>
      <c r="IPO23" s="9"/>
      <c r="IPP23" s="9"/>
      <c r="IPQ23" s="9"/>
      <c r="IPR23" s="9"/>
      <c r="IPS23" s="9"/>
      <c r="IPT23" s="9"/>
      <c r="IPU23" s="9"/>
      <c r="IPV23" s="9"/>
      <c r="IPW23" s="9"/>
      <c r="IPX23" s="9"/>
      <c r="IPY23" s="9"/>
      <c r="IPZ23" s="9"/>
      <c r="IQA23" s="9"/>
      <c r="IQB23" s="9"/>
      <c r="IQC23" s="9"/>
      <c r="IQD23" s="9"/>
      <c r="IQE23" s="9"/>
      <c r="IQF23" s="9"/>
      <c r="IQG23" s="9"/>
      <c r="IQH23" s="9"/>
      <c r="IQI23" s="9"/>
      <c r="IQJ23" s="9"/>
      <c r="IQK23" s="9"/>
      <c r="IQL23" s="9"/>
      <c r="IQM23" s="9"/>
      <c r="IQN23" s="9"/>
      <c r="IQO23" s="9"/>
      <c r="IQP23" s="9"/>
      <c r="IQQ23" s="9"/>
      <c r="IQR23" s="9"/>
      <c r="IQS23" s="9"/>
      <c r="IQT23" s="9"/>
      <c r="IQU23" s="9"/>
      <c r="IQV23" s="9"/>
      <c r="IQW23" s="9"/>
      <c r="IQX23" s="9"/>
      <c r="IQY23" s="9"/>
      <c r="IQZ23" s="9"/>
      <c r="IRA23" s="9"/>
      <c r="IRB23" s="9"/>
      <c r="IRC23" s="9"/>
      <c r="IRD23" s="9"/>
      <c r="IRE23" s="9"/>
      <c r="IRF23" s="9"/>
      <c r="IRG23" s="9"/>
      <c r="IRH23" s="9"/>
      <c r="IRI23" s="9"/>
      <c r="IRJ23" s="9"/>
      <c r="IRK23" s="9"/>
      <c r="IRL23" s="9"/>
      <c r="IRM23" s="9"/>
      <c r="IRN23" s="9"/>
      <c r="IRO23" s="9"/>
      <c r="IRP23" s="9"/>
      <c r="IRQ23" s="9"/>
      <c r="IRR23" s="9"/>
      <c r="IRS23" s="9"/>
      <c r="IRT23" s="9"/>
      <c r="IRU23" s="9"/>
      <c r="IRV23" s="9"/>
      <c r="IRW23" s="9"/>
      <c r="IRX23" s="9"/>
      <c r="IRY23" s="9"/>
      <c r="IRZ23" s="9"/>
      <c r="ISA23" s="9"/>
      <c r="ISB23" s="9"/>
      <c r="ISC23" s="9"/>
      <c r="ISD23" s="9"/>
      <c r="ISE23" s="9"/>
      <c r="ISF23" s="9"/>
      <c r="ISG23" s="9"/>
      <c r="ISH23" s="9"/>
      <c r="ISI23" s="9"/>
      <c r="ISJ23" s="9"/>
      <c r="ISK23" s="9"/>
      <c r="ISL23" s="9"/>
      <c r="ISM23" s="9"/>
      <c r="ISN23" s="9"/>
      <c r="ISO23" s="9"/>
      <c r="ISP23" s="9"/>
      <c r="ISQ23" s="9"/>
      <c r="ISR23" s="9"/>
      <c r="ISS23" s="9"/>
      <c r="IST23" s="9"/>
      <c r="ISU23" s="9"/>
      <c r="ISV23" s="9"/>
      <c r="ISW23" s="9"/>
      <c r="ISX23" s="9"/>
      <c r="ISY23" s="9"/>
      <c r="ISZ23" s="9"/>
      <c r="ITA23" s="9"/>
      <c r="ITB23" s="9"/>
      <c r="ITC23" s="9"/>
      <c r="ITD23" s="9"/>
      <c r="ITE23" s="9"/>
      <c r="ITF23" s="9"/>
      <c r="ITG23" s="9"/>
      <c r="ITH23" s="9"/>
      <c r="ITI23" s="9"/>
      <c r="ITJ23" s="9"/>
      <c r="ITK23" s="9"/>
      <c r="ITL23" s="9"/>
      <c r="ITM23" s="9"/>
      <c r="ITN23" s="9"/>
      <c r="ITO23" s="9"/>
      <c r="ITP23" s="9"/>
      <c r="ITQ23" s="9"/>
      <c r="ITR23" s="9"/>
      <c r="ITS23" s="9"/>
      <c r="ITT23" s="9"/>
      <c r="ITU23" s="9"/>
      <c r="ITV23" s="9"/>
      <c r="ITW23" s="9"/>
      <c r="ITX23" s="9"/>
      <c r="ITY23" s="9"/>
      <c r="ITZ23" s="9"/>
      <c r="IUA23" s="9"/>
      <c r="IUB23" s="9"/>
      <c r="IUC23" s="9"/>
      <c r="IUD23" s="9"/>
      <c r="IUE23" s="9"/>
      <c r="IUF23" s="9"/>
      <c r="IUG23" s="9"/>
      <c r="IUH23" s="9"/>
      <c r="IUI23" s="9"/>
      <c r="IUJ23" s="9"/>
      <c r="IUK23" s="9"/>
      <c r="IUL23" s="9"/>
      <c r="IUM23" s="9"/>
      <c r="IUN23" s="9"/>
      <c r="IUO23" s="9"/>
      <c r="IUP23" s="9"/>
      <c r="IUQ23" s="9"/>
      <c r="IUR23" s="9"/>
      <c r="IUS23" s="9"/>
      <c r="IUT23" s="9"/>
      <c r="IUU23" s="9"/>
      <c r="IUV23" s="9"/>
      <c r="IUW23" s="9"/>
      <c r="IUX23" s="9"/>
      <c r="IUY23" s="9"/>
      <c r="IUZ23" s="9"/>
      <c r="IVA23" s="9"/>
      <c r="IVB23" s="9"/>
      <c r="IVC23" s="9"/>
      <c r="IVD23" s="9"/>
      <c r="IVE23" s="9"/>
      <c r="IVF23" s="9"/>
      <c r="IVG23" s="9"/>
      <c r="IVH23" s="9"/>
      <c r="IVI23" s="9"/>
      <c r="IVJ23" s="9"/>
      <c r="IVK23" s="9"/>
      <c r="IVL23" s="9"/>
      <c r="IVM23" s="9"/>
      <c r="IVN23" s="9"/>
      <c r="IVO23" s="9"/>
      <c r="IVP23" s="9"/>
      <c r="IVQ23" s="9"/>
      <c r="IVR23" s="9"/>
      <c r="IVS23" s="9"/>
      <c r="IVT23" s="9"/>
      <c r="IVU23" s="9"/>
      <c r="IVV23" s="9"/>
      <c r="IVW23" s="9"/>
      <c r="IVX23" s="9"/>
      <c r="IVY23" s="9"/>
      <c r="IVZ23" s="9"/>
      <c r="IWA23" s="9"/>
      <c r="IWB23" s="9"/>
      <c r="IWC23" s="9"/>
      <c r="IWD23" s="9"/>
      <c r="IWE23" s="9"/>
      <c r="IWF23" s="9"/>
      <c r="IWG23" s="9"/>
      <c r="IWH23" s="9"/>
      <c r="IWI23" s="9"/>
      <c r="IWJ23" s="9"/>
      <c r="IWK23" s="9"/>
      <c r="IWL23" s="9"/>
      <c r="IWM23" s="9"/>
      <c r="IWN23" s="9"/>
      <c r="IWO23" s="9"/>
      <c r="IWP23" s="9"/>
      <c r="IWQ23" s="9"/>
      <c r="IWR23" s="9"/>
      <c r="IWS23" s="9"/>
      <c r="IWT23" s="9"/>
      <c r="IWU23" s="9"/>
      <c r="IWV23" s="9"/>
      <c r="IWW23" s="9"/>
      <c r="IWX23" s="9"/>
      <c r="IWY23" s="9"/>
      <c r="IWZ23" s="9"/>
      <c r="IXA23" s="9"/>
      <c r="IXB23" s="9"/>
      <c r="IXC23" s="9"/>
      <c r="IXD23" s="9"/>
      <c r="IXE23" s="9"/>
      <c r="IXF23" s="9"/>
      <c r="IXG23" s="9"/>
      <c r="IXH23" s="9"/>
      <c r="IXI23" s="9"/>
      <c r="IXJ23" s="9"/>
      <c r="IXK23" s="9"/>
      <c r="IXL23" s="9"/>
      <c r="IXM23" s="9"/>
      <c r="IXN23" s="9"/>
      <c r="IXO23" s="9"/>
      <c r="IXP23" s="9"/>
      <c r="IXQ23" s="9"/>
      <c r="IXR23" s="9"/>
      <c r="IXS23" s="9"/>
      <c r="IXT23" s="9"/>
      <c r="IXU23" s="9"/>
      <c r="IXV23" s="9"/>
      <c r="IXW23" s="9"/>
      <c r="IXX23" s="9"/>
      <c r="IXY23" s="9"/>
      <c r="IXZ23" s="9"/>
      <c r="IYA23" s="9"/>
      <c r="IYB23" s="9"/>
      <c r="IYC23" s="9"/>
      <c r="IYD23" s="9"/>
      <c r="IYE23" s="9"/>
      <c r="IYF23" s="9"/>
      <c r="IYG23" s="9"/>
      <c r="IYH23" s="9"/>
      <c r="IYI23" s="9"/>
      <c r="IYJ23" s="9"/>
      <c r="IYK23" s="9"/>
      <c r="IYL23" s="9"/>
      <c r="IYM23" s="9"/>
      <c r="IYN23" s="9"/>
      <c r="IYO23" s="9"/>
      <c r="IYP23" s="9"/>
      <c r="IYQ23" s="9"/>
      <c r="IYR23" s="9"/>
      <c r="IYS23" s="9"/>
      <c r="IYT23" s="9"/>
      <c r="IYU23" s="9"/>
      <c r="IYV23" s="9"/>
      <c r="IYW23" s="9"/>
      <c r="IYX23" s="9"/>
      <c r="IYY23" s="9"/>
      <c r="IYZ23" s="9"/>
      <c r="IZA23" s="9"/>
      <c r="IZB23" s="9"/>
      <c r="IZC23" s="9"/>
      <c r="IZD23" s="9"/>
      <c r="IZE23" s="9"/>
      <c r="IZF23" s="9"/>
      <c r="IZG23" s="9"/>
      <c r="IZH23" s="9"/>
      <c r="IZI23" s="9"/>
      <c r="IZJ23" s="9"/>
      <c r="IZK23" s="9"/>
      <c r="IZL23" s="9"/>
      <c r="IZM23" s="9"/>
      <c r="IZN23" s="9"/>
      <c r="IZO23" s="9"/>
      <c r="IZP23" s="9"/>
      <c r="IZQ23" s="9"/>
      <c r="IZR23" s="9"/>
      <c r="IZS23" s="9"/>
      <c r="IZT23" s="9"/>
      <c r="IZU23" s="9"/>
      <c r="IZV23" s="9"/>
      <c r="IZW23" s="9"/>
      <c r="IZX23" s="9"/>
      <c r="IZY23" s="9"/>
      <c r="IZZ23" s="9"/>
      <c r="JAA23" s="9"/>
      <c r="JAB23" s="9"/>
      <c r="JAC23" s="9"/>
      <c r="JAD23" s="9"/>
      <c r="JAE23" s="9"/>
      <c r="JAF23" s="9"/>
      <c r="JAG23" s="9"/>
      <c r="JAH23" s="9"/>
      <c r="JAI23" s="9"/>
      <c r="JAJ23" s="9"/>
      <c r="JAK23" s="9"/>
      <c r="JAL23" s="9"/>
      <c r="JAM23" s="9"/>
      <c r="JAN23" s="9"/>
      <c r="JAO23" s="9"/>
      <c r="JAP23" s="9"/>
      <c r="JAQ23" s="9"/>
      <c r="JAR23" s="9"/>
      <c r="JAS23" s="9"/>
      <c r="JAT23" s="9"/>
      <c r="JAU23" s="9"/>
      <c r="JAV23" s="9"/>
      <c r="JAW23" s="9"/>
      <c r="JAX23" s="9"/>
      <c r="JAY23" s="9"/>
      <c r="JAZ23" s="9"/>
      <c r="JBA23" s="9"/>
      <c r="JBB23" s="9"/>
      <c r="JBC23" s="9"/>
      <c r="JBD23" s="9"/>
      <c r="JBE23" s="9"/>
      <c r="JBF23" s="9"/>
      <c r="JBG23" s="9"/>
      <c r="JBH23" s="9"/>
      <c r="JBI23" s="9"/>
      <c r="JBJ23" s="9"/>
      <c r="JBK23" s="9"/>
      <c r="JBL23" s="9"/>
      <c r="JBM23" s="9"/>
      <c r="JBN23" s="9"/>
      <c r="JBO23" s="9"/>
      <c r="JBP23" s="9"/>
      <c r="JBQ23" s="9"/>
      <c r="JBR23" s="9"/>
      <c r="JBS23" s="9"/>
      <c r="JBT23" s="9"/>
      <c r="JBU23" s="9"/>
      <c r="JBV23" s="9"/>
      <c r="JBW23" s="9"/>
      <c r="JBX23" s="9"/>
      <c r="JBY23" s="9"/>
      <c r="JBZ23" s="9"/>
      <c r="JCA23" s="9"/>
      <c r="JCB23" s="9"/>
      <c r="JCC23" s="9"/>
      <c r="JCD23" s="9"/>
      <c r="JCE23" s="9"/>
      <c r="JCF23" s="9"/>
      <c r="JCG23" s="9"/>
      <c r="JCH23" s="9"/>
      <c r="JCI23" s="9"/>
      <c r="JCJ23" s="9"/>
      <c r="JCK23" s="9"/>
      <c r="JCL23" s="9"/>
      <c r="JCM23" s="9"/>
      <c r="JCN23" s="9"/>
      <c r="JCO23" s="9"/>
      <c r="JCP23" s="9"/>
      <c r="JCQ23" s="9"/>
      <c r="JCR23" s="9"/>
      <c r="JCS23" s="9"/>
      <c r="JCT23" s="9"/>
      <c r="JCU23" s="9"/>
      <c r="JCV23" s="9"/>
      <c r="JCW23" s="9"/>
      <c r="JCX23" s="9"/>
      <c r="JCY23" s="9"/>
      <c r="JCZ23" s="9"/>
      <c r="JDA23" s="9"/>
      <c r="JDB23" s="9"/>
      <c r="JDC23" s="9"/>
      <c r="JDD23" s="9"/>
      <c r="JDE23" s="9"/>
      <c r="JDF23" s="9"/>
      <c r="JDG23" s="9"/>
      <c r="JDH23" s="9"/>
      <c r="JDI23" s="9"/>
      <c r="JDJ23" s="9"/>
      <c r="JDK23" s="9"/>
      <c r="JDL23" s="9"/>
      <c r="JDM23" s="9"/>
      <c r="JDN23" s="9"/>
      <c r="JDO23" s="9"/>
      <c r="JDP23" s="9"/>
      <c r="JDQ23" s="9"/>
      <c r="JDR23" s="9"/>
      <c r="JDS23" s="9"/>
      <c r="JDT23" s="9"/>
      <c r="JDU23" s="9"/>
      <c r="JDV23" s="9"/>
      <c r="JDW23" s="9"/>
      <c r="JDX23" s="9"/>
      <c r="JDY23" s="9"/>
      <c r="JDZ23" s="9"/>
      <c r="JEA23" s="9"/>
      <c r="JEB23" s="9"/>
      <c r="JEC23" s="9"/>
      <c r="JED23" s="9"/>
      <c r="JEE23" s="9"/>
      <c r="JEF23" s="9"/>
      <c r="JEG23" s="9"/>
      <c r="JEH23" s="9"/>
      <c r="JEI23" s="9"/>
      <c r="JEJ23" s="9"/>
      <c r="JEK23" s="9"/>
      <c r="JEL23" s="9"/>
      <c r="JEM23" s="9"/>
      <c r="JEN23" s="9"/>
      <c r="JEO23" s="9"/>
      <c r="JEP23" s="9"/>
      <c r="JEQ23" s="9"/>
      <c r="JER23" s="9"/>
      <c r="JES23" s="9"/>
      <c r="JET23" s="9"/>
      <c r="JEU23" s="9"/>
      <c r="JEV23" s="9"/>
      <c r="JEW23" s="9"/>
      <c r="JEX23" s="9"/>
      <c r="JEY23" s="9"/>
      <c r="JEZ23" s="9"/>
      <c r="JFA23" s="9"/>
      <c r="JFB23" s="9"/>
      <c r="JFC23" s="9"/>
      <c r="JFD23" s="9"/>
      <c r="JFE23" s="9"/>
      <c r="JFF23" s="9"/>
      <c r="JFG23" s="9"/>
      <c r="JFH23" s="9"/>
      <c r="JFI23" s="9"/>
      <c r="JFJ23" s="9"/>
      <c r="JFK23" s="9"/>
      <c r="JFL23" s="9"/>
      <c r="JFM23" s="9"/>
      <c r="JFN23" s="9"/>
      <c r="JFO23" s="9"/>
      <c r="JFP23" s="9"/>
      <c r="JFQ23" s="9"/>
      <c r="JFR23" s="9"/>
      <c r="JFS23" s="9"/>
      <c r="JFT23" s="9"/>
      <c r="JFU23" s="9"/>
      <c r="JFV23" s="9"/>
      <c r="JFW23" s="9"/>
      <c r="JFX23" s="9"/>
      <c r="JFY23" s="9"/>
      <c r="JFZ23" s="9"/>
      <c r="JGA23" s="9"/>
      <c r="JGB23" s="9"/>
      <c r="JGC23" s="9"/>
      <c r="JGD23" s="9"/>
      <c r="JGE23" s="9"/>
      <c r="JGF23" s="9"/>
      <c r="JGG23" s="9"/>
      <c r="JGH23" s="9"/>
      <c r="JGI23" s="9"/>
      <c r="JGJ23" s="9"/>
      <c r="JGK23" s="9"/>
      <c r="JGL23" s="9"/>
      <c r="JGM23" s="9"/>
      <c r="JGN23" s="9"/>
      <c r="JGO23" s="9"/>
      <c r="JGP23" s="9"/>
      <c r="JGQ23" s="9"/>
      <c r="JGR23" s="9"/>
      <c r="JGS23" s="9"/>
      <c r="JGT23" s="9"/>
      <c r="JGU23" s="9"/>
      <c r="JGV23" s="9"/>
      <c r="JGW23" s="9"/>
      <c r="JGX23" s="9"/>
      <c r="JGY23" s="9"/>
      <c r="JGZ23" s="9"/>
      <c r="JHA23" s="9"/>
      <c r="JHB23" s="9"/>
      <c r="JHC23" s="9"/>
      <c r="JHD23" s="9"/>
      <c r="JHE23" s="9"/>
      <c r="JHF23" s="9"/>
      <c r="JHG23" s="9"/>
      <c r="JHH23" s="9"/>
      <c r="JHI23" s="9"/>
      <c r="JHJ23" s="9"/>
      <c r="JHK23" s="9"/>
      <c r="JHL23" s="9"/>
      <c r="JHM23" s="9"/>
      <c r="JHN23" s="9"/>
      <c r="JHO23" s="9"/>
      <c r="JHP23" s="9"/>
      <c r="JHQ23" s="9"/>
      <c r="JHR23" s="9"/>
      <c r="JHS23" s="9"/>
      <c r="JHT23" s="9"/>
      <c r="JHU23" s="9"/>
      <c r="JHV23" s="9"/>
      <c r="JHW23" s="9"/>
      <c r="JHX23" s="9"/>
      <c r="JHY23" s="9"/>
      <c r="JHZ23" s="9"/>
      <c r="JIA23" s="9"/>
      <c r="JIB23" s="9"/>
      <c r="JIC23" s="9"/>
      <c r="JID23" s="9"/>
      <c r="JIE23" s="9"/>
      <c r="JIF23" s="9"/>
      <c r="JIG23" s="9"/>
      <c r="JIH23" s="9"/>
      <c r="JII23" s="9"/>
      <c r="JIJ23" s="9"/>
      <c r="JIK23" s="9"/>
      <c r="JIL23" s="9"/>
      <c r="JIM23" s="9"/>
      <c r="JIN23" s="9"/>
      <c r="JIO23" s="9"/>
      <c r="JIP23" s="9"/>
      <c r="JIQ23" s="9"/>
      <c r="JIR23" s="9"/>
      <c r="JIS23" s="9"/>
      <c r="JIT23" s="9"/>
      <c r="JIU23" s="9"/>
      <c r="JIV23" s="9"/>
      <c r="JIW23" s="9"/>
      <c r="JIX23" s="9"/>
      <c r="JIY23" s="9"/>
      <c r="JIZ23" s="9"/>
      <c r="JJA23" s="9"/>
      <c r="JJB23" s="9"/>
      <c r="JJC23" s="9"/>
      <c r="JJD23" s="9"/>
      <c r="JJE23" s="9"/>
      <c r="JJF23" s="9"/>
      <c r="JJG23" s="9"/>
      <c r="JJH23" s="9"/>
      <c r="JJI23" s="9"/>
      <c r="JJJ23" s="9"/>
      <c r="JJK23" s="9"/>
      <c r="JJL23" s="9"/>
      <c r="JJM23" s="9"/>
      <c r="JJN23" s="9"/>
      <c r="JJO23" s="9"/>
      <c r="JJP23" s="9"/>
      <c r="JJQ23" s="9"/>
      <c r="JJR23" s="9"/>
      <c r="JJS23" s="9"/>
      <c r="JJT23" s="9"/>
      <c r="JJU23" s="9"/>
      <c r="JJV23" s="9"/>
      <c r="JJW23" s="9"/>
      <c r="JJX23" s="9"/>
      <c r="JJY23" s="9"/>
      <c r="JJZ23" s="9"/>
      <c r="JKA23" s="9"/>
      <c r="JKB23" s="9"/>
      <c r="JKC23" s="9"/>
      <c r="JKD23" s="9"/>
      <c r="JKE23" s="9"/>
      <c r="JKF23" s="9"/>
      <c r="JKG23" s="9"/>
      <c r="JKH23" s="9"/>
      <c r="JKI23" s="9"/>
      <c r="JKJ23" s="9"/>
      <c r="JKK23" s="9"/>
      <c r="JKL23" s="9"/>
      <c r="JKM23" s="9"/>
      <c r="JKN23" s="9"/>
      <c r="JKO23" s="9"/>
      <c r="JKP23" s="9"/>
      <c r="JKQ23" s="9"/>
      <c r="JKR23" s="9"/>
      <c r="JKS23" s="9"/>
      <c r="JKT23" s="9"/>
      <c r="JKU23" s="9"/>
      <c r="JKV23" s="9"/>
      <c r="JKW23" s="9"/>
      <c r="JKX23" s="9"/>
      <c r="JKY23" s="9"/>
      <c r="JKZ23" s="9"/>
      <c r="JLA23" s="9"/>
      <c r="JLB23" s="9"/>
      <c r="JLC23" s="9"/>
      <c r="JLD23" s="9"/>
      <c r="JLE23" s="9"/>
      <c r="JLF23" s="9"/>
      <c r="JLG23" s="9"/>
      <c r="JLH23" s="9"/>
      <c r="JLI23" s="9"/>
      <c r="JLJ23" s="9"/>
      <c r="JLK23" s="9"/>
      <c r="JLL23" s="9"/>
      <c r="JLM23" s="9"/>
      <c r="JLN23" s="9"/>
      <c r="JLO23" s="9"/>
      <c r="JLP23" s="9"/>
      <c r="JLQ23" s="9"/>
      <c r="JLR23" s="9"/>
      <c r="JLS23" s="9"/>
      <c r="JLT23" s="9"/>
      <c r="JLU23" s="9"/>
      <c r="JLV23" s="9"/>
      <c r="JLW23" s="9"/>
      <c r="JLX23" s="9"/>
      <c r="JLY23" s="9"/>
      <c r="JLZ23" s="9"/>
      <c r="JMA23" s="9"/>
      <c r="JMB23" s="9"/>
      <c r="JMC23" s="9"/>
      <c r="JMD23" s="9"/>
      <c r="JME23" s="9"/>
      <c r="JMF23" s="9"/>
      <c r="JMG23" s="9"/>
      <c r="JMH23" s="9"/>
      <c r="JMI23" s="9"/>
      <c r="JMJ23" s="9"/>
      <c r="JMK23" s="9"/>
      <c r="JML23" s="9"/>
      <c r="JMM23" s="9"/>
      <c r="JMN23" s="9"/>
      <c r="JMO23" s="9"/>
      <c r="JMP23" s="9"/>
      <c r="JMQ23" s="9"/>
      <c r="JMR23" s="9"/>
      <c r="JMS23" s="9"/>
      <c r="JMT23" s="9"/>
      <c r="JMU23" s="9"/>
      <c r="JMV23" s="9"/>
      <c r="JMW23" s="9"/>
      <c r="JMX23" s="9"/>
      <c r="JMY23" s="9"/>
      <c r="JMZ23" s="9"/>
      <c r="JNA23" s="9"/>
      <c r="JNB23" s="9"/>
      <c r="JNC23" s="9"/>
      <c r="JND23" s="9"/>
      <c r="JNE23" s="9"/>
      <c r="JNF23" s="9"/>
      <c r="JNG23" s="9"/>
      <c r="JNH23" s="9"/>
      <c r="JNI23" s="9"/>
      <c r="JNJ23" s="9"/>
      <c r="JNK23" s="9"/>
      <c r="JNL23" s="9"/>
      <c r="JNM23" s="9"/>
      <c r="JNN23" s="9"/>
      <c r="JNO23" s="9"/>
      <c r="JNP23" s="9"/>
      <c r="JNQ23" s="9"/>
      <c r="JNR23" s="9"/>
      <c r="JNS23" s="9"/>
      <c r="JNT23" s="9"/>
      <c r="JNU23" s="9"/>
      <c r="JNV23" s="9"/>
      <c r="JNW23" s="9"/>
      <c r="JNX23" s="9"/>
      <c r="JNY23" s="9"/>
      <c r="JNZ23" s="9"/>
      <c r="JOA23" s="9"/>
      <c r="JOB23" s="9"/>
      <c r="JOC23" s="9"/>
      <c r="JOD23" s="9"/>
      <c r="JOE23" s="9"/>
      <c r="JOF23" s="9"/>
      <c r="JOG23" s="9"/>
      <c r="JOH23" s="9"/>
      <c r="JOI23" s="9"/>
      <c r="JOJ23" s="9"/>
      <c r="JOK23" s="9"/>
      <c r="JOL23" s="9"/>
      <c r="JOM23" s="9"/>
      <c r="JON23" s="9"/>
      <c r="JOO23" s="9"/>
      <c r="JOP23" s="9"/>
      <c r="JOQ23" s="9"/>
      <c r="JOR23" s="9"/>
      <c r="JOS23" s="9"/>
      <c r="JOT23" s="9"/>
      <c r="JOU23" s="9"/>
      <c r="JOV23" s="9"/>
      <c r="JOW23" s="9"/>
      <c r="JOX23" s="9"/>
      <c r="JOY23" s="9"/>
      <c r="JOZ23" s="9"/>
      <c r="JPA23" s="9"/>
      <c r="JPB23" s="9"/>
      <c r="JPC23" s="9"/>
      <c r="JPD23" s="9"/>
      <c r="JPE23" s="9"/>
      <c r="JPF23" s="9"/>
      <c r="JPG23" s="9"/>
      <c r="JPH23" s="9"/>
      <c r="JPI23" s="9"/>
      <c r="JPJ23" s="9"/>
      <c r="JPK23" s="9"/>
      <c r="JPL23" s="9"/>
      <c r="JPM23" s="9"/>
      <c r="JPN23" s="9"/>
      <c r="JPO23" s="9"/>
      <c r="JPP23" s="9"/>
      <c r="JPQ23" s="9"/>
      <c r="JPR23" s="9"/>
      <c r="JPS23" s="9"/>
      <c r="JPT23" s="9"/>
      <c r="JPU23" s="9"/>
      <c r="JPV23" s="9"/>
      <c r="JPW23" s="9"/>
      <c r="JPX23" s="9"/>
      <c r="JPY23" s="9"/>
      <c r="JPZ23" s="9"/>
      <c r="JQA23" s="9"/>
      <c r="JQB23" s="9"/>
      <c r="JQC23" s="9"/>
      <c r="JQD23" s="9"/>
      <c r="JQE23" s="9"/>
      <c r="JQF23" s="9"/>
      <c r="JQG23" s="9"/>
      <c r="JQH23" s="9"/>
      <c r="JQI23" s="9"/>
      <c r="JQJ23" s="9"/>
      <c r="JQK23" s="9"/>
      <c r="JQL23" s="9"/>
      <c r="JQM23" s="9"/>
      <c r="JQN23" s="9"/>
      <c r="JQO23" s="9"/>
      <c r="JQP23" s="9"/>
      <c r="JQQ23" s="9"/>
      <c r="JQR23" s="9"/>
      <c r="JQS23" s="9"/>
      <c r="JQT23" s="9"/>
      <c r="JQU23" s="9"/>
      <c r="JQV23" s="9"/>
      <c r="JQW23" s="9"/>
      <c r="JQX23" s="9"/>
      <c r="JQY23" s="9"/>
      <c r="JQZ23" s="9"/>
      <c r="JRA23" s="9"/>
      <c r="JRB23" s="9"/>
      <c r="JRC23" s="9"/>
      <c r="JRD23" s="9"/>
      <c r="JRE23" s="9"/>
      <c r="JRF23" s="9"/>
      <c r="JRG23" s="9"/>
      <c r="JRH23" s="9"/>
      <c r="JRI23" s="9"/>
      <c r="JRJ23" s="9"/>
      <c r="JRK23" s="9"/>
      <c r="JRL23" s="9"/>
      <c r="JRM23" s="9"/>
      <c r="JRN23" s="9"/>
      <c r="JRO23" s="9"/>
      <c r="JRP23" s="9"/>
      <c r="JRQ23" s="9"/>
      <c r="JRR23" s="9"/>
      <c r="JRS23" s="9"/>
      <c r="JRT23" s="9"/>
      <c r="JRU23" s="9"/>
      <c r="JRV23" s="9"/>
      <c r="JRW23" s="9"/>
      <c r="JRX23" s="9"/>
      <c r="JRY23" s="9"/>
      <c r="JRZ23" s="9"/>
      <c r="JSA23" s="9"/>
      <c r="JSB23" s="9"/>
      <c r="JSC23" s="9"/>
      <c r="JSD23" s="9"/>
      <c r="JSE23" s="9"/>
      <c r="JSF23" s="9"/>
      <c r="JSG23" s="9"/>
      <c r="JSH23" s="9"/>
      <c r="JSI23" s="9"/>
      <c r="JSJ23" s="9"/>
      <c r="JSK23" s="9"/>
      <c r="JSL23" s="9"/>
      <c r="JSM23" s="9"/>
      <c r="JSN23" s="9"/>
      <c r="JSO23" s="9"/>
      <c r="JSP23" s="9"/>
      <c r="JSQ23" s="9"/>
      <c r="JSR23" s="9"/>
      <c r="JSS23" s="9"/>
      <c r="JST23" s="9"/>
      <c r="JSU23" s="9"/>
      <c r="JSV23" s="9"/>
      <c r="JSW23" s="9"/>
      <c r="JSX23" s="9"/>
      <c r="JSY23" s="9"/>
      <c r="JSZ23" s="9"/>
      <c r="JTA23" s="9"/>
      <c r="JTB23" s="9"/>
      <c r="JTC23" s="9"/>
      <c r="JTD23" s="9"/>
      <c r="JTE23" s="9"/>
      <c r="JTF23" s="9"/>
      <c r="JTG23" s="9"/>
      <c r="JTH23" s="9"/>
      <c r="JTI23" s="9"/>
      <c r="JTJ23" s="9"/>
      <c r="JTK23" s="9"/>
      <c r="JTL23" s="9"/>
      <c r="JTM23" s="9"/>
      <c r="JTN23" s="9"/>
      <c r="JTO23" s="9"/>
      <c r="JTP23" s="9"/>
      <c r="JTQ23" s="9"/>
      <c r="JTR23" s="9"/>
      <c r="JTS23" s="9"/>
      <c r="JTT23" s="9"/>
      <c r="JTU23" s="9"/>
      <c r="JTV23" s="9"/>
      <c r="JTW23" s="9"/>
      <c r="JTX23" s="9"/>
      <c r="JTY23" s="9"/>
      <c r="JTZ23" s="9"/>
      <c r="JUA23" s="9"/>
      <c r="JUB23" s="9"/>
      <c r="JUC23" s="9"/>
      <c r="JUD23" s="9"/>
      <c r="JUE23" s="9"/>
      <c r="JUF23" s="9"/>
      <c r="JUG23" s="9"/>
      <c r="JUH23" s="9"/>
      <c r="JUI23" s="9"/>
      <c r="JUJ23" s="9"/>
      <c r="JUK23" s="9"/>
      <c r="JUL23" s="9"/>
      <c r="JUM23" s="9"/>
      <c r="JUN23" s="9"/>
      <c r="JUO23" s="9"/>
      <c r="JUP23" s="9"/>
      <c r="JUQ23" s="9"/>
      <c r="JUR23" s="9"/>
      <c r="JUS23" s="9"/>
      <c r="JUT23" s="9"/>
      <c r="JUU23" s="9"/>
      <c r="JUV23" s="9"/>
      <c r="JUW23" s="9"/>
      <c r="JUX23" s="9"/>
      <c r="JUY23" s="9"/>
      <c r="JUZ23" s="9"/>
      <c r="JVA23" s="9"/>
      <c r="JVB23" s="9"/>
      <c r="JVC23" s="9"/>
      <c r="JVD23" s="9"/>
      <c r="JVE23" s="9"/>
      <c r="JVF23" s="9"/>
      <c r="JVG23" s="9"/>
      <c r="JVH23" s="9"/>
      <c r="JVI23" s="9"/>
      <c r="JVJ23" s="9"/>
      <c r="JVK23" s="9"/>
      <c r="JVL23" s="9"/>
      <c r="JVM23" s="9"/>
      <c r="JVN23" s="9"/>
      <c r="JVO23" s="9"/>
      <c r="JVP23" s="9"/>
      <c r="JVQ23" s="9"/>
      <c r="JVR23" s="9"/>
      <c r="JVS23" s="9"/>
      <c r="JVT23" s="9"/>
      <c r="JVU23" s="9"/>
      <c r="JVV23" s="9"/>
      <c r="JVW23" s="9"/>
      <c r="JVX23" s="9"/>
      <c r="JVY23" s="9"/>
      <c r="JVZ23" s="9"/>
      <c r="JWA23" s="9"/>
      <c r="JWB23" s="9"/>
      <c r="JWC23" s="9"/>
      <c r="JWD23" s="9"/>
      <c r="JWE23" s="9"/>
      <c r="JWF23" s="9"/>
      <c r="JWG23" s="9"/>
      <c r="JWH23" s="9"/>
      <c r="JWI23" s="9"/>
      <c r="JWJ23" s="9"/>
      <c r="JWK23" s="9"/>
      <c r="JWL23" s="9"/>
      <c r="JWM23" s="9"/>
      <c r="JWN23" s="9"/>
      <c r="JWO23" s="9"/>
      <c r="JWP23" s="9"/>
      <c r="JWQ23" s="9"/>
      <c r="JWR23" s="9"/>
      <c r="JWS23" s="9"/>
      <c r="JWT23" s="9"/>
      <c r="JWU23" s="9"/>
      <c r="JWV23" s="9"/>
      <c r="JWW23" s="9"/>
      <c r="JWX23" s="9"/>
      <c r="JWY23" s="9"/>
      <c r="JWZ23" s="9"/>
      <c r="JXA23" s="9"/>
      <c r="JXB23" s="9"/>
      <c r="JXC23" s="9"/>
      <c r="JXD23" s="9"/>
      <c r="JXE23" s="9"/>
      <c r="JXF23" s="9"/>
      <c r="JXG23" s="9"/>
      <c r="JXH23" s="9"/>
      <c r="JXI23" s="9"/>
      <c r="JXJ23" s="9"/>
      <c r="JXK23" s="9"/>
      <c r="JXL23" s="9"/>
      <c r="JXM23" s="9"/>
      <c r="JXN23" s="9"/>
      <c r="JXO23" s="9"/>
      <c r="JXP23" s="9"/>
      <c r="JXQ23" s="9"/>
      <c r="JXR23" s="9"/>
      <c r="JXS23" s="9"/>
      <c r="JXT23" s="9"/>
      <c r="JXU23" s="9"/>
      <c r="JXV23" s="9"/>
      <c r="JXW23" s="9"/>
      <c r="JXX23" s="9"/>
      <c r="JXY23" s="9"/>
      <c r="JXZ23" s="9"/>
      <c r="JYA23" s="9"/>
      <c r="JYB23" s="9"/>
      <c r="JYC23" s="9"/>
      <c r="JYD23" s="9"/>
      <c r="JYE23" s="9"/>
      <c r="JYF23" s="9"/>
      <c r="JYG23" s="9"/>
      <c r="JYH23" s="9"/>
      <c r="JYI23" s="9"/>
      <c r="JYJ23" s="9"/>
      <c r="JYK23" s="9"/>
      <c r="JYL23" s="9"/>
      <c r="JYM23" s="9"/>
      <c r="JYN23" s="9"/>
      <c r="JYO23" s="9"/>
      <c r="JYP23" s="9"/>
      <c r="JYQ23" s="9"/>
      <c r="JYR23" s="9"/>
      <c r="JYS23" s="9"/>
      <c r="JYT23" s="9"/>
      <c r="JYU23" s="9"/>
      <c r="JYV23" s="9"/>
      <c r="JYW23" s="9"/>
      <c r="JYX23" s="9"/>
      <c r="JYY23" s="9"/>
      <c r="JYZ23" s="9"/>
      <c r="JZA23" s="9"/>
      <c r="JZB23" s="9"/>
      <c r="JZC23" s="9"/>
      <c r="JZD23" s="9"/>
      <c r="JZE23" s="9"/>
      <c r="JZF23" s="9"/>
      <c r="JZG23" s="9"/>
      <c r="JZH23" s="9"/>
      <c r="JZI23" s="9"/>
      <c r="JZJ23" s="9"/>
      <c r="JZK23" s="9"/>
      <c r="JZL23" s="9"/>
      <c r="JZM23" s="9"/>
      <c r="JZN23" s="9"/>
      <c r="JZO23" s="9"/>
      <c r="JZP23" s="9"/>
      <c r="JZQ23" s="9"/>
      <c r="JZR23" s="9"/>
      <c r="JZS23" s="9"/>
      <c r="JZT23" s="9"/>
      <c r="JZU23" s="9"/>
      <c r="JZV23" s="9"/>
      <c r="JZW23" s="9"/>
      <c r="JZX23" s="9"/>
      <c r="JZY23" s="9"/>
      <c r="JZZ23" s="9"/>
      <c r="KAA23" s="9"/>
      <c r="KAB23" s="9"/>
      <c r="KAC23" s="9"/>
      <c r="KAD23" s="9"/>
      <c r="KAE23" s="9"/>
      <c r="KAF23" s="9"/>
      <c r="KAG23" s="9"/>
      <c r="KAH23" s="9"/>
      <c r="KAI23" s="9"/>
      <c r="KAJ23" s="9"/>
      <c r="KAK23" s="9"/>
      <c r="KAL23" s="9"/>
      <c r="KAM23" s="9"/>
      <c r="KAN23" s="9"/>
      <c r="KAO23" s="9"/>
      <c r="KAP23" s="9"/>
      <c r="KAQ23" s="9"/>
      <c r="KAR23" s="9"/>
      <c r="KAS23" s="9"/>
      <c r="KAT23" s="9"/>
      <c r="KAU23" s="9"/>
      <c r="KAV23" s="9"/>
      <c r="KAW23" s="9"/>
      <c r="KAX23" s="9"/>
      <c r="KAY23" s="9"/>
      <c r="KAZ23" s="9"/>
      <c r="KBA23" s="9"/>
      <c r="KBB23" s="9"/>
      <c r="KBC23" s="9"/>
      <c r="KBD23" s="9"/>
      <c r="KBE23" s="9"/>
      <c r="KBF23" s="9"/>
      <c r="KBG23" s="9"/>
      <c r="KBH23" s="9"/>
      <c r="KBI23" s="9"/>
      <c r="KBJ23" s="9"/>
      <c r="KBK23" s="9"/>
      <c r="KBL23" s="9"/>
      <c r="KBM23" s="9"/>
      <c r="KBN23" s="9"/>
      <c r="KBO23" s="9"/>
      <c r="KBP23" s="9"/>
      <c r="KBQ23" s="9"/>
      <c r="KBR23" s="9"/>
      <c r="KBS23" s="9"/>
      <c r="KBT23" s="9"/>
      <c r="KBU23" s="9"/>
      <c r="KBV23" s="9"/>
      <c r="KBW23" s="9"/>
      <c r="KBX23" s="9"/>
      <c r="KBY23" s="9"/>
      <c r="KBZ23" s="9"/>
      <c r="KCA23" s="9"/>
      <c r="KCB23" s="9"/>
      <c r="KCC23" s="9"/>
      <c r="KCD23" s="9"/>
      <c r="KCE23" s="9"/>
      <c r="KCF23" s="9"/>
      <c r="KCG23" s="9"/>
      <c r="KCH23" s="9"/>
      <c r="KCI23" s="9"/>
      <c r="KCJ23" s="9"/>
      <c r="KCK23" s="9"/>
      <c r="KCL23" s="9"/>
      <c r="KCM23" s="9"/>
      <c r="KCN23" s="9"/>
      <c r="KCO23" s="9"/>
      <c r="KCP23" s="9"/>
      <c r="KCQ23" s="9"/>
      <c r="KCR23" s="9"/>
      <c r="KCS23" s="9"/>
      <c r="KCT23" s="9"/>
      <c r="KCU23" s="9"/>
      <c r="KCV23" s="9"/>
      <c r="KCW23" s="9"/>
      <c r="KCX23" s="9"/>
      <c r="KCY23" s="9"/>
      <c r="KCZ23" s="9"/>
      <c r="KDA23" s="9"/>
      <c r="KDB23" s="9"/>
      <c r="KDC23" s="9"/>
      <c r="KDD23" s="9"/>
      <c r="KDE23" s="9"/>
      <c r="KDF23" s="9"/>
      <c r="KDG23" s="9"/>
      <c r="KDH23" s="9"/>
      <c r="KDI23" s="9"/>
      <c r="KDJ23" s="9"/>
      <c r="KDK23" s="9"/>
      <c r="KDL23" s="9"/>
      <c r="KDM23" s="9"/>
      <c r="KDN23" s="9"/>
      <c r="KDO23" s="9"/>
      <c r="KDP23" s="9"/>
      <c r="KDQ23" s="9"/>
      <c r="KDR23" s="9"/>
      <c r="KDS23" s="9"/>
      <c r="KDT23" s="9"/>
      <c r="KDU23" s="9"/>
      <c r="KDV23" s="9"/>
      <c r="KDW23" s="9"/>
      <c r="KDX23" s="9"/>
      <c r="KDY23" s="9"/>
      <c r="KDZ23" s="9"/>
      <c r="KEA23" s="9"/>
      <c r="KEB23" s="9"/>
      <c r="KEC23" s="9"/>
      <c r="KED23" s="9"/>
      <c r="KEE23" s="9"/>
      <c r="KEF23" s="9"/>
      <c r="KEG23" s="9"/>
      <c r="KEH23" s="9"/>
      <c r="KEI23" s="9"/>
      <c r="KEJ23" s="9"/>
      <c r="KEK23" s="9"/>
      <c r="KEL23" s="9"/>
      <c r="KEM23" s="9"/>
      <c r="KEN23" s="9"/>
      <c r="KEO23" s="9"/>
      <c r="KEP23" s="9"/>
      <c r="KEQ23" s="9"/>
      <c r="KER23" s="9"/>
      <c r="KES23" s="9"/>
      <c r="KET23" s="9"/>
      <c r="KEU23" s="9"/>
      <c r="KEV23" s="9"/>
      <c r="KEW23" s="9"/>
      <c r="KEX23" s="9"/>
      <c r="KEY23" s="9"/>
      <c r="KEZ23" s="9"/>
      <c r="KFA23" s="9"/>
      <c r="KFB23" s="9"/>
      <c r="KFC23" s="9"/>
      <c r="KFD23" s="9"/>
      <c r="KFE23" s="9"/>
      <c r="KFF23" s="9"/>
      <c r="KFG23" s="9"/>
      <c r="KFH23" s="9"/>
      <c r="KFI23" s="9"/>
      <c r="KFJ23" s="9"/>
      <c r="KFK23" s="9"/>
      <c r="KFL23" s="9"/>
      <c r="KFM23" s="9"/>
      <c r="KFN23" s="9"/>
      <c r="KFO23" s="9"/>
      <c r="KFP23" s="9"/>
      <c r="KFQ23" s="9"/>
      <c r="KFR23" s="9"/>
      <c r="KFS23" s="9"/>
      <c r="KFT23" s="9"/>
      <c r="KFU23" s="9"/>
      <c r="KFV23" s="9"/>
      <c r="KFW23" s="9"/>
      <c r="KFX23" s="9"/>
      <c r="KFY23" s="9"/>
      <c r="KFZ23" s="9"/>
      <c r="KGA23" s="9"/>
      <c r="KGB23" s="9"/>
      <c r="KGC23" s="9"/>
      <c r="KGD23" s="9"/>
      <c r="KGE23" s="9"/>
      <c r="KGF23" s="9"/>
      <c r="KGG23" s="9"/>
      <c r="KGH23" s="9"/>
      <c r="KGI23" s="9"/>
      <c r="KGJ23" s="9"/>
      <c r="KGK23" s="9"/>
      <c r="KGL23" s="9"/>
      <c r="KGM23" s="9"/>
      <c r="KGN23" s="9"/>
      <c r="KGO23" s="9"/>
      <c r="KGP23" s="9"/>
      <c r="KGQ23" s="9"/>
      <c r="KGR23" s="9"/>
      <c r="KGS23" s="9"/>
      <c r="KGT23" s="9"/>
      <c r="KGU23" s="9"/>
      <c r="KGV23" s="9"/>
      <c r="KGW23" s="9"/>
      <c r="KGX23" s="9"/>
      <c r="KGY23" s="9"/>
      <c r="KGZ23" s="9"/>
      <c r="KHA23" s="9"/>
      <c r="KHB23" s="9"/>
      <c r="KHC23" s="9"/>
      <c r="KHD23" s="9"/>
      <c r="KHE23" s="9"/>
      <c r="KHF23" s="9"/>
      <c r="KHG23" s="9"/>
      <c r="KHH23" s="9"/>
      <c r="KHI23" s="9"/>
      <c r="KHJ23" s="9"/>
      <c r="KHK23" s="9"/>
      <c r="KHL23" s="9"/>
      <c r="KHM23" s="9"/>
      <c r="KHN23" s="9"/>
      <c r="KHO23" s="9"/>
      <c r="KHP23" s="9"/>
      <c r="KHQ23" s="9"/>
      <c r="KHR23" s="9"/>
      <c r="KHS23" s="9"/>
      <c r="KHT23" s="9"/>
      <c r="KHU23" s="9"/>
      <c r="KHV23" s="9"/>
      <c r="KHW23" s="9"/>
      <c r="KHX23" s="9"/>
      <c r="KHY23" s="9"/>
      <c r="KHZ23" s="9"/>
      <c r="KIA23" s="9"/>
      <c r="KIB23" s="9"/>
      <c r="KIC23" s="9"/>
      <c r="KID23" s="9"/>
      <c r="KIE23" s="9"/>
      <c r="KIF23" s="9"/>
      <c r="KIG23" s="9"/>
      <c r="KIH23" s="9"/>
      <c r="KII23" s="9"/>
      <c r="KIJ23" s="9"/>
      <c r="KIK23" s="9"/>
      <c r="KIL23" s="9"/>
      <c r="KIM23" s="9"/>
      <c r="KIN23" s="9"/>
      <c r="KIO23" s="9"/>
      <c r="KIP23" s="9"/>
      <c r="KIQ23" s="9"/>
      <c r="KIR23" s="9"/>
      <c r="KIS23" s="9"/>
      <c r="KIT23" s="9"/>
      <c r="KIU23" s="9"/>
      <c r="KIV23" s="9"/>
      <c r="KIW23" s="9"/>
      <c r="KIX23" s="9"/>
      <c r="KIY23" s="9"/>
      <c r="KIZ23" s="9"/>
      <c r="KJA23" s="9"/>
      <c r="KJB23" s="9"/>
      <c r="KJC23" s="9"/>
      <c r="KJD23" s="9"/>
      <c r="KJE23" s="9"/>
      <c r="KJF23" s="9"/>
      <c r="KJG23" s="9"/>
      <c r="KJH23" s="9"/>
      <c r="KJI23" s="9"/>
      <c r="KJJ23" s="9"/>
      <c r="KJK23" s="9"/>
      <c r="KJL23" s="9"/>
      <c r="KJM23" s="9"/>
      <c r="KJN23" s="9"/>
      <c r="KJO23" s="9"/>
      <c r="KJP23" s="9"/>
      <c r="KJQ23" s="9"/>
      <c r="KJR23" s="9"/>
      <c r="KJS23" s="9"/>
      <c r="KJT23" s="9"/>
      <c r="KJU23" s="9"/>
      <c r="KJV23" s="9"/>
      <c r="KJW23" s="9"/>
      <c r="KJX23" s="9"/>
      <c r="KJY23" s="9"/>
      <c r="KJZ23" s="9"/>
      <c r="KKA23" s="9"/>
      <c r="KKB23" s="9"/>
      <c r="KKC23" s="9"/>
      <c r="KKD23" s="9"/>
      <c r="KKE23" s="9"/>
      <c r="KKF23" s="9"/>
      <c r="KKG23" s="9"/>
      <c r="KKH23" s="9"/>
      <c r="KKI23" s="9"/>
      <c r="KKJ23" s="9"/>
      <c r="KKK23" s="9"/>
      <c r="KKL23" s="9"/>
      <c r="KKM23" s="9"/>
      <c r="KKN23" s="9"/>
      <c r="KKO23" s="9"/>
      <c r="KKP23" s="9"/>
      <c r="KKQ23" s="9"/>
      <c r="KKR23" s="9"/>
      <c r="KKS23" s="9"/>
      <c r="KKT23" s="9"/>
      <c r="KKU23" s="9"/>
      <c r="KKV23" s="9"/>
      <c r="KKW23" s="9"/>
      <c r="KKX23" s="9"/>
      <c r="KKY23" s="9"/>
      <c r="KKZ23" s="9"/>
      <c r="KLA23" s="9"/>
      <c r="KLB23" s="9"/>
      <c r="KLC23" s="9"/>
      <c r="KLD23" s="9"/>
      <c r="KLE23" s="9"/>
      <c r="KLF23" s="9"/>
      <c r="KLG23" s="9"/>
      <c r="KLH23" s="9"/>
      <c r="KLI23" s="9"/>
      <c r="KLJ23" s="9"/>
      <c r="KLK23" s="9"/>
      <c r="KLL23" s="9"/>
      <c r="KLM23" s="9"/>
      <c r="KLN23" s="9"/>
      <c r="KLO23" s="9"/>
      <c r="KLP23" s="9"/>
      <c r="KLQ23" s="9"/>
      <c r="KLR23" s="9"/>
      <c r="KLS23" s="9"/>
      <c r="KLT23" s="9"/>
      <c r="KLU23" s="9"/>
      <c r="KLV23" s="9"/>
      <c r="KLW23" s="9"/>
      <c r="KLX23" s="9"/>
      <c r="KLY23" s="9"/>
      <c r="KLZ23" s="9"/>
      <c r="KMA23" s="9"/>
      <c r="KMB23" s="9"/>
      <c r="KMC23" s="9"/>
      <c r="KMD23" s="9"/>
      <c r="KME23" s="9"/>
      <c r="KMF23" s="9"/>
      <c r="KMG23" s="9"/>
      <c r="KMH23" s="9"/>
      <c r="KMI23" s="9"/>
      <c r="KMJ23" s="9"/>
      <c r="KMK23" s="9"/>
      <c r="KML23" s="9"/>
      <c r="KMM23" s="9"/>
      <c r="KMN23" s="9"/>
      <c r="KMO23" s="9"/>
      <c r="KMP23" s="9"/>
      <c r="KMQ23" s="9"/>
      <c r="KMR23" s="9"/>
      <c r="KMS23" s="9"/>
      <c r="KMT23" s="9"/>
      <c r="KMU23" s="9"/>
      <c r="KMV23" s="9"/>
      <c r="KMW23" s="9"/>
      <c r="KMX23" s="9"/>
      <c r="KMY23" s="9"/>
      <c r="KMZ23" s="9"/>
      <c r="KNA23" s="9"/>
      <c r="KNB23" s="9"/>
      <c r="KNC23" s="9"/>
      <c r="KND23" s="9"/>
      <c r="KNE23" s="9"/>
      <c r="KNF23" s="9"/>
      <c r="KNG23" s="9"/>
      <c r="KNH23" s="9"/>
      <c r="KNI23" s="9"/>
      <c r="KNJ23" s="9"/>
      <c r="KNK23" s="9"/>
      <c r="KNL23" s="9"/>
      <c r="KNM23" s="9"/>
      <c r="KNN23" s="9"/>
      <c r="KNO23" s="9"/>
      <c r="KNP23" s="9"/>
      <c r="KNQ23" s="9"/>
      <c r="KNR23" s="9"/>
      <c r="KNS23" s="9"/>
      <c r="KNT23" s="9"/>
      <c r="KNU23" s="9"/>
      <c r="KNV23" s="9"/>
      <c r="KNW23" s="9"/>
      <c r="KNX23" s="9"/>
      <c r="KNY23" s="9"/>
      <c r="KNZ23" s="9"/>
      <c r="KOA23" s="9"/>
      <c r="KOB23" s="9"/>
      <c r="KOC23" s="9"/>
      <c r="KOD23" s="9"/>
      <c r="KOE23" s="9"/>
      <c r="KOF23" s="9"/>
      <c r="KOG23" s="9"/>
      <c r="KOH23" s="9"/>
      <c r="KOI23" s="9"/>
      <c r="KOJ23" s="9"/>
      <c r="KOK23" s="9"/>
      <c r="KOL23" s="9"/>
      <c r="KOM23" s="9"/>
      <c r="KON23" s="9"/>
      <c r="KOO23" s="9"/>
      <c r="KOP23" s="9"/>
      <c r="KOQ23" s="9"/>
      <c r="KOR23" s="9"/>
      <c r="KOS23" s="9"/>
      <c r="KOT23" s="9"/>
      <c r="KOU23" s="9"/>
      <c r="KOV23" s="9"/>
      <c r="KOW23" s="9"/>
      <c r="KOX23" s="9"/>
      <c r="KOY23" s="9"/>
      <c r="KOZ23" s="9"/>
      <c r="KPA23" s="9"/>
      <c r="KPB23" s="9"/>
      <c r="KPC23" s="9"/>
      <c r="KPD23" s="9"/>
      <c r="KPE23" s="9"/>
      <c r="KPF23" s="9"/>
      <c r="KPG23" s="9"/>
      <c r="KPH23" s="9"/>
      <c r="KPI23" s="9"/>
      <c r="KPJ23" s="9"/>
      <c r="KPK23" s="9"/>
      <c r="KPL23" s="9"/>
      <c r="KPM23" s="9"/>
      <c r="KPN23" s="9"/>
      <c r="KPO23" s="9"/>
      <c r="KPP23" s="9"/>
      <c r="KPQ23" s="9"/>
      <c r="KPR23" s="9"/>
      <c r="KPS23" s="9"/>
      <c r="KPT23" s="9"/>
      <c r="KPU23" s="9"/>
      <c r="KPV23" s="9"/>
      <c r="KPW23" s="9"/>
      <c r="KPX23" s="9"/>
      <c r="KPY23" s="9"/>
      <c r="KPZ23" s="9"/>
      <c r="KQA23" s="9"/>
      <c r="KQB23" s="9"/>
      <c r="KQC23" s="9"/>
      <c r="KQD23" s="9"/>
      <c r="KQE23" s="9"/>
      <c r="KQF23" s="9"/>
      <c r="KQG23" s="9"/>
      <c r="KQH23" s="9"/>
      <c r="KQI23" s="9"/>
      <c r="KQJ23" s="9"/>
      <c r="KQK23" s="9"/>
      <c r="KQL23" s="9"/>
      <c r="KQM23" s="9"/>
      <c r="KQN23" s="9"/>
      <c r="KQO23" s="9"/>
      <c r="KQP23" s="9"/>
      <c r="KQQ23" s="9"/>
      <c r="KQR23" s="9"/>
      <c r="KQS23" s="9"/>
      <c r="KQT23" s="9"/>
      <c r="KQU23" s="9"/>
      <c r="KQV23" s="9"/>
      <c r="KQW23" s="9"/>
      <c r="KQX23" s="9"/>
      <c r="KQY23" s="9"/>
      <c r="KQZ23" s="9"/>
      <c r="KRA23" s="9"/>
      <c r="KRB23" s="9"/>
      <c r="KRC23" s="9"/>
      <c r="KRD23" s="9"/>
      <c r="KRE23" s="9"/>
      <c r="KRF23" s="9"/>
      <c r="KRG23" s="9"/>
      <c r="KRH23" s="9"/>
      <c r="KRI23" s="9"/>
      <c r="KRJ23" s="9"/>
      <c r="KRK23" s="9"/>
      <c r="KRL23" s="9"/>
      <c r="KRM23" s="9"/>
      <c r="KRN23" s="9"/>
      <c r="KRO23" s="9"/>
      <c r="KRP23" s="9"/>
      <c r="KRQ23" s="9"/>
      <c r="KRR23" s="9"/>
      <c r="KRS23" s="9"/>
      <c r="KRT23" s="9"/>
      <c r="KRU23" s="9"/>
      <c r="KRV23" s="9"/>
      <c r="KRW23" s="9"/>
      <c r="KRX23" s="9"/>
      <c r="KRY23" s="9"/>
      <c r="KRZ23" s="9"/>
      <c r="KSA23" s="9"/>
      <c r="KSB23" s="9"/>
      <c r="KSC23" s="9"/>
      <c r="KSD23" s="9"/>
      <c r="KSE23" s="9"/>
      <c r="KSF23" s="9"/>
      <c r="KSG23" s="9"/>
      <c r="KSH23" s="9"/>
      <c r="KSI23" s="9"/>
      <c r="KSJ23" s="9"/>
      <c r="KSK23" s="9"/>
      <c r="KSL23" s="9"/>
      <c r="KSM23" s="9"/>
      <c r="KSN23" s="9"/>
      <c r="KSO23" s="9"/>
      <c r="KSP23" s="9"/>
      <c r="KSQ23" s="9"/>
      <c r="KSR23" s="9"/>
      <c r="KSS23" s="9"/>
      <c r="KST23" s="9"/>
      <c r="KSU23" s="9"/>
      <c r="KSV23" s="9"/>
      <c r="KSW23" s="9"/>
      <c r="KSX23" s="9"/>
      <c r="KSY23" s="9"/>
      <c r="KSZ23" s="9"/>
      <c r="KTA23" s="9"/>
      <c r="KTB23" s="9"/>
      <c r="KTC23" s="9"/>
      <c r="KTD23" s="9"/>
      <c r="KTE23" s="9"/>
      <c r="KTF23" s="9"/>
      <c r="KTG23" s="9"/>
      <c r="KTH23" s="9"/>
      <c r="KTI23" s="9"/>
      <c r="KTJ23" s="9"/>
      <c r="KTK23" s="9"/>
      <c r="KTL23" s="9"/>
      <c r="KTM23" s="9"/>
      <c r="KTN23" s="9"/>
      <c r="KTO23" s="9"/>
      <c r="KTP23" s="9"/>
      <c r="KTQ23" s="9"/>
      <c r="KTR23" s="9"/>
      <c r="KTS23" s="9"/>
      <c r="KTT23" s="9"/>
      <c r="KTU23" s="9"/>
      <c r="KTV23" s="9"/>
      <c r="KTW23" s="9"/>
      <c r="KTX23" s="9"/>
      <c r="KTY23" s="9"/>
      <c r="KTZ23" s="9"/>
      <c r="KUA23" s="9"/>
      <c r="KUB23" s="9"/>
      <c r="KUC23" s="9"/>
      <c r="KUD23" s="9"/>
      <c r="KUE23" s="9"/>
      <c r="KUF23" s="9"/>
      <c r="KUG23" s="9"/>
      <c r="KUH23" s="9"/>
      <c r="KUI23" s="9"/>
      <c r="KUJ23" s="9"/>
      <c r="KUK23" s="9"/>
      <c r="KUL23" s="9"/>
      <c r="KUM23" s="9"/>
      <c r="KUN23" s="9"/>
      <c r="KUO23" s="9"/>
      <c r="KUP23" s="9"/>
      <c r="KUQ23" s="9"/>
      <c r="KUR23" s="9"/>
      <c r="KUS23" s="9"/>
      <c r="KUT23" s="9"/>
      <c r="KUU23" s="9"/>
      <c r="KUV23" s="9"/>
      <c r="KUW23" s="9"/>
      <c r="KUX23" s="9"/>
      <c r="KUY23" s="9"/>
      <c r="KUZ23" s="9"/>
      <c r="KVA23" s="9"/>
      <c r="KVB23" s="9"/>
      <c r="KVC23" s="9"/>
      <c r="KVD23" s="9"/>
      <c r="KVE23" s="9"/>
      <c r="KVF23" s="9"/>
      <c r="KVG23" s="9"/>
      <c r="KVH23" s="9"/>
      <c r="KVI23" s="9"/>
      <c r="KVJ23" s="9"/>
      <c r="KVK23" s="9"/>
      <c r="KVL23" s="9"/>
      <c r="KVM23" s="9"/>
      <c r="KVN23" s="9"/>
      <c r="KVO23" s="9"/>
      <c r="KVP23" s="9"/>
      <c r="KVQ23" s="9"/>
      <c r="KVR23" s="9"/>
      <c r="KVS23" s="9"/>
      <c r="KVT23" s="9"/>
      <c r="KVU23" s="9"/>
      <c r="KVV23" s="9"/>
      <c r="KVW23" s="9"/>
      <c r="KVX23" s="9"/>
      <c r="KVY23" s="9"/>
      <c r="KVZ23" s="9"/>
      <c r="KWA23" s="9"/>
      <c r="KWB23" s="9"/>
      <c r="KWC23" s="9"/>
      <c r="KWD23" s="9"/>
      <c r="KWE23" s="9"/>
      <c r="KWF23" s="9"/>
      <c r="KWG23" s="9"/>
      <c r="KWH23" s="9"/>
      <c r="KWI23" s="9"/>
      <c r="KWJ23" s="9"/>
      <c r="KWK23" s="9"/>
      <c r="KWL23" s="9"/>
      <c r="KWM23" s="9"/>
      <c r="KWN23" s="9"/>
      <c r="KWO23" s="9"/>
      <c r="KWP23" s="9"/>
      <c r="KWQ23" s="9"/>
      <c r="KWR23" s="9"/>
      <c r="KWS23" s="9"/>
      <c r="KWT23" s="9"/>
      <c r="KWU23" s="9"/>
      <c r="KWV23" s="9"/>
      <c r="KWW23" s="9"/>
      <c r="KWX23" s="9"/>
      <c r="KWY23" s="9"/>
      <c r="KWZ23" s="9"/>
      <c r="KXA23" s="9"/>
      <c r="KXB23" s="9"/>
      <c r="KXC23" s="9"/>
      <c r="KXD23" s="9"/>
      <c r="KXE23" s="9"/>
      <c r="KXF23" s="9"/>
      <c r="KXG23" s="9"/>
      <c r="KXH23" s="9"/>
      <c r="KXI23" s="9"/>
      <c r="KXJ23" s="9"/>
      <c r="KXK23" s="9"/>
      <c r="KXL23" s="9"/>
      <c r="KXM23" s="9"/>
      <c r="KXN23" s="9"/>
      <c r="KXO23" s="9"/>
      <c r="KXP23" s="9"/>
      <c r="KXQ23" s="9"/>
      <c r="KXR23" s="9"/>
      <c r="KXS23" s="9"/>
      <c r="KXT23" s="9"/>
      <c r="KXU23" s="9"/>
      <c r="KXV23" s="9"/>
      <c r="KXW23" s="9"/>
      <c r="KXX23" s="9"/>
      <c r="KXY23" s="9"/>
      <c r="KXZ23" s="9"/>
      <c r="KYA23" s="9"/>
      <c r="KYB23" s="9"/>
      <c r="KYC23" s="9"/>
      <c r="KYD23" s="9"/>
      <c r="KYE23" s="9"/>
      <c r="KYF23" s="9"/>
      <c r="KYG23" s="9"/>
      <c r="KYH23" s="9"/>
      <c r="KYI23" s="9"/>
      <c r="KYJ23" s="9"/>
      <c r="KYK23" s="9"/>
      <c r="KYL23" s="9"/>
      <c r="KYM23" s="9"/>
      <c r="KYN23" s="9"/>
      <c r="KYO23" s="9"/>
      <c r="KYP23" s="9"/>
      <c r="KYQ23" s="9"/>
      <c r="KYR23" s="9"/>
      <c r="KYS23" s="9"/>
      <c r="KYT23" s="9"/>
      <c r="KYU23" s="9"/>
      <c r="KYV23" s="9"/>
      <c r="KYW23" s="9"/>
      <c r="KYX23" s="9"/>
      <c r="KYY23" s="9"/>
      <c r="KYZ23" s="9"/>
      <c r="KZA23" s="9"/>
      <c r="KZB23" s="9"/>
      <c r="KZC23" s="9"/>
      <c r="KZD23" s="9"/>
      <c r="KZE23" s="9"/>
      <c r="KZF23" s="9"/>
      <c r="KZG23" s="9"/>
      <c r="KZH23" s="9"/>
      <c r="KZI23" s="9"/>
      <c r="KZJ23" s="9"/>
      <c r="KZK23" s="9"/>
      <c r="KZL23" s="9"/>
      <c r="KZM23" s="9"/>
      <c r="KZN23" s="9"/>
      <c r="KZO23" s="9"/>
      <c r="KZP23" s="9"/>
      <c r="KZQ23" s="9"/>
      <c r="KZR23" s="9"/>
      <c r="KZS23" s="9"/>
      <c r="KZT23" s="9"/>
      <c r="KZU23" s="9"/>
      <c r="KZV23" s="9"/>
      <c r="KZW23" s="9"/>
      <c r="KZX23" s="9"/>
      <c r="KZY23" s="9"/>
      <c r="KZZ23" s="9"/>
      <c r="LAA23" s="9"/>
      <c r="LAB23" s="9"/>
      <c r="LAC23" s="9"/>
      <c r="LAD23" s="9"/>
      <c r="LAE23" s="9"/>
      <c r="LAF23" s="9"/>
      <c r="LAG23" s="9"/>
      <c r="LAH23" s="9"/>
      <c r="LAI23" s="9"/>
      <c r="LAJ23" s="9"/>
      <c r="LAK23" s="9"/>
      <c r="LAL23" s="9"/>
      <c r="LAM23" s="9"/>
      <c r="LAN23" s="9"/>
      <c r="LAO23" s="9"/>
      <c r="LAP23" s="9"/>
      <c r="LAQ23" s="9"/>
      <c r="LAR23" s="9"/>
      <c r="LAS23" s="9"/>
      <c r="LAT23" s="9"/>
      <c r="LAU23" s="9"/>
      <c r="LAV23" s="9"/>
      <c r="LAW23" s="9"/>
      <c r="LAX23" s="9"/>
      <c r="LAY23" s="9"/>
      <c r="LAZ23" s="9"/>
      <c r="LBA23" s="9"/>
      <c r="LBB23" s="9"/>
      <c r="LBC23" s="9"/>
      <c r="LBD23" s="9"/>
      <c r="LBE23" s="9"/>
      <c r="LBF23" s="9"/>
      <c r="LBG23" s="9"/>
      <c r="LBH23" s="9"/>
      <c r="LBI23" s="9"/>
      <c r="LBJ23" s="9"/>
      <c r="LBK23" s="9"/>
      <c r="LBL23" s="9"/>
      <c r="LBM23" s="9"/>
      <c r="LBN23" s="9"/>
      <c r="LBO23" s="9"/>
      <c r="LBP23" s="9"/>
      <c r="LBQ23" s="9"/>
      <c r="LBR23" s="9"/>
      <c r="LBS23" s="9"/>
      <c r="LBT23" s="9"/>
      <c r="LBU23" s="9"/>
      <c r="LBV23" s="9"/>
      <c r="LBW23" s="9"/>
      <c r="LBX23" s="9"/>
      <c r="LBY23" s="9"/>
      <c r="LBZ23" s="9"/>
      <c r="LCA23" s="9"/>
      <c r="LCB23" s="9"/>
      <c r="LCC23" s="9"/>
      <c r="LCD23" s="9"/>
      <c r="LCE23" s="9"/>
      <c r="LCF23" s="9"/>
      <c r="LCG23" s="9"/>
      <c r="LCH23" s="9"/>
      <c r="LCI23" s="9"/>
      <c r="LCJ23" s="9"/>
      <c r="LCK23" s="9"/>
      <c r="LCL23" s="9"/>
      <c r="LCM23" s="9"/>
      <c r="LCN23" s="9"/>
      <c r="LCO23" s="9"/>
      <c r="LCP23" s="9"/>
      <c r="LCQ23" s="9"/>
      <c r="LCR23" s="9"/>
      <c r="LCS23" s="9"/>
      <c r="LCT23" s="9"/>
      <c r="LCU23" s="9"/>
      <c r="LCV23" s="9"/>
      <c r="LCW23" s="9"/>
      <c r="LCX23" s="9"/>
      <c r="LCY23" s="9"/>
      <c r="LCZ23" s="9"/>
      <c r="LDA23" s="9"/>
      <c r="LDB23" s="9"/>
      <c r="LDC23" s="9"/>
      <c r="LDD23" s="9"/>
      <c r="LDE23" s="9"/>
      <c r="LDF23" s="9"/>
      <c r="LDG23" s="9"/>
      <c r="LDH23" s="9"/>
      <c r="LDI23" s="9"/>
      <c r="LDJ23" s="9"/>
      <c r="LDK23" s="9"/>
      <c r="LDL23" s="9"/>
      <c r="LDM23" s="9"/>
      <c r="LDN23" s="9"/>
      <c r="LDO23" s="9"/>
      <c r="LDP23" s="9"/>
      <c r="LDQ23" s="9"/>
      <c r="LDR23" s="9"/>
      <c r="LDS23" s="9"/>
      <c r="LDT23" s="9"/>
      <c r="LDU23" s="9"/>
      <c r="LDV23" s="9"/>
      <c r="LDW23" s="9"/>
      <c r="LDX23" s="9"/>
      <c r="LDY23" s="9"/>
      <c r="LDZ23" s="9"/>
      <c r="LEA23" s="9"/>
      <c r="LEB23" s="9"/>
      <c r="LEC23" s="9"/>
      <c r="LED23" s="9"/>
      <c r="LEE23" s="9"/>
      <c r="LEF23" s="9"/>
      <c r="LEG23" s="9"/>
      <c r="LEH23" s="9"/>
      <c r="LEI23" s="9"/>
      <c r="LEJ23" s="9"/>
      <c r="LEK23" s="9"/>
      <c r="LEL23" s="9"/>
      <c r="LEM23" s="9"/>
      <c r="LEN23" s="9"/>
      <c r="LEO23" s="9"/>
      <c r="LEP23" s="9"/>
      <c r="LEQ23" s="9"/>
      <c r="LER23" s="9"/>
      <c r="LES23" s="9"/>
      <c r="LET23" s="9"/>
      <c r="LEU23" s="9"/>
      <c r="LEV23" s="9"/>
      <c r="LEW23" s="9"/>
      <c r="LEX23" s="9"/>
      <c r="LEY23" s="9"/>
      <c r="LEZ23" s="9"/>
      <c r="LFA23" s="9"/>
      <c r="LFB23" s="9"/>
      <c r="LFC23" s="9"/>
      <c r="LFD23" s="9"/>
      <c r="LFE23" s="9"/>
      <c r="LFF23" s="9"/>
      <c r="LFG23" s="9"/>
      <c r="LFH23" s="9"/>
      <c r="LFI23" s="9"/>
      <c r="LFJ23" s="9"/>
      <c r="LFK23" s="9"/>
      <c r="LFL23" s="9"/>
      <c r="LFM23" s="9"/>
      <c r="LFN23" s="9"/>
      <c r="LFO23" s="9"/>
      <c r="LFP23" s="9"/>
      <c r="LFQ23" s="9"/>
      <c r="LFR23" s="9"/>
      <c r="LFS23" s="9"/>
      <c r="LFT23" s="9"/>
      <c r="LFU23" s="9"/>
      <c r="LFV23" s="9"/>
      <c r="LFW23" s="9"/>
      <c r="LFX23" s="9"/>
      <c r="LFY23" s="9"/>
      <c r="LFZ23" s="9"/>
      <c r="LGA23" s="9"/>
      <c r="LGB23" s="9"/>
      <c r="LGC23" s="9"/>
      <c r="LGD23" s="9"/>
      <c r="LGE23" s="9"/>
      <c r="LGF23" s="9"/>
      <c r="LGG23" s="9"/>
      <c r="LGH23" s="9"/>
      <c r="LGI23" s="9"/>
      <c r="LGJ23" s="9"/>
      <c r="LGK23" s="9"/>
      <c r="LGL23" s="9"/>
      <c r="LGM23" s="9"/>
      <c r="LGN23" s="9"/>
      <c r="LGO23" s="9"/>
      <c r="LGP23" s="9"/>
      <c r="LGQ23" s="9"/>
      <c r="LGR23" s="9"/>
      <c r="LGS23" s="9"/>
      <c r="LGT23" s="9"/>
      <c r="LGU23" s="9"/>
      <c r="LGV23" s="9"/>
      <c r="LGW23" s="9"/>
      <c r="LGX23" s="9"/>
      <c r="LGY23" s="9"/>
      <c r="LGZ23" s="9"/>
      <c r="LHA23" s="9"/>
      <c r="LHB23" s="9"/>
      <c r="LHC23" s="9"/>
      <c r="LHD23" s="9"/>
      <c r="LHE23" s="9"/>
      <c r="LHF23" s="9"/>
      <c r="LHG23" s="9"/>
      <c r="LHH23" s="9"/>
      <c r="LHI23" s="9"/>
      <c r="LHJ23" s="9"/>
      <c r="LHK23" s="9"/>
      <c r="LHL23" s="9"/>
      <c r="LHM23" s="9"/>
      <c r="LHN23" s="9"/>
      <c r="LHO23" s="9"/>
      <c r="LHP23" s="9"/>
      <c r="LHQ23" s="9"/>
      <c r="LHR23" s="9"/>
      <c r="LHS23" s="9"/>
      <c r="LHT23" s="9"/>
      <c r="LHU23" s="9"/>
      <c r="LHV23" s="9"/>
      <c r="LHW23" s="9"/>
      <c r="LHX23" s="9"/>
      <c r="LHY23" s="9"/>
      <c r="LHZ23" s="9"/>
      <c r="LIA23" s="9"/>
      <c r="LIB23" s="9"/>
      <c r="LIC23" s="9"/>
      <c r="LID23" s="9"/>
      <c r="LIE23" s="9"/>
      <c r="LIF23" s="9"/>
      <c r="LIG23" s="9"/>
      <c r="LIH23" s="9"/>
      <c r="LII23" s="9"/>
      <c r="LIJ23" s="9"/>
      <c r="LIK23" s="9"/>
      <c r="LIL23" s="9"/>
      <c r="LIM23" s="9"/>
      <c r="LIN23" s="9"/>
      <c r="LIO23" s="9"/>
      <c r="LIP23" s="9"/>
      <c r="LIQ23" s="9"/>
      <c r="LIR23" s="9"/>
      <c r="LIS23" s="9"/>
      <c r="LIT23" s="9"/>
      <c r="LIU23" s="9"/>
      <c r="LIV23" s="9"/>
      <c r="LIW23" s="9"/>
      <c r="LIX23" s="9"/>
      <c r="LIY23" s="9"/>
      <c r="LIZ23" s="9"/>
      <c r="LJA23" s="9"/>
      <c r="LJB23" s="9"/>
      <c r="LJC23" s="9"/>
      <c r="LJD23" s="9"/>
      <c r="LJE23" s="9"/>
      <c r="LJF23" s="9"/>
      <c r="LJG23" s="9"/>
      <c r="LJH23" s="9"/>
      <c r="LJI23" s="9"/>
      <c r="LJJ23" s="9"/>
      <c r="LJK23" s="9"/>
      <c r="LJL23" s="9"/>
      <c r="LJM23" s="9"/>
      <c r="LJN23" s="9"/>
      <c r="LJO23" s="9"/>
      <c r="LJP23" s="9"/>
      <c r="LJQ23" s="9"/>
      <c r="LJR23" s="9"/>
      <c r="LJS23" s="9"/>
      <c r="LJT23" s="9"/>
      <c r="LJU23" s="9"/>
      <c r="LJV23" s="9"/>
      <c r="LJW23" s="9"/>
      <c r="LJX23" s="9"/>
      <c r="LJY23" s="9"/>
      <c r="LJZ23" s="9"/>
      <c r="LKA23" s="9"/>
      <c r="LKB23" s="9"/>
      <c r="LKC23" s="9"/>
      <c r="LKD23" s="9"/>
      <c r="LKE23" s="9"/>
      <c r="LKF23" s="9"/>
      <c r="LKG23" s="9"/>
      <c r="LKH23" s="9"/>
      <c r="LKI23" s="9"/>
      <c r="LKJ23" s="9"/>
      <c r="LKK23" s="9"/>
      <c r="LKL23" s="9"/>
      <c r="LKM23" s="9"/>
      <c r="LKN23" s="9"/>
      <c r="LKO23" s="9"/>
      <c r="LKP23" s="9"/>
      <c r="LKQ23" s="9"/>
      <c r="LKR23" s="9"/>
      <c r="LKS23" s="9"/>
      <c r="LKT23" s="9"/>
      <c r="LKU23" s="9"/>
      <c r="LKV23" s="9"/>
      <c r="LKW23" s="9"/>
      <c r="LKX23" s="9"/>
      <c r="LKY23" s="9"/>
      <c r="LKZ23" s="9"/>
      <c r="LLA23" s="9"/>
      <c r="LLB23" s="9"/>
      <c r="LLC23" s="9"/>
      <c r="LLD23" s="9"/>
      <c r="LLE23" s="9"/>
      <c r="LLF23" s="9"/>
      <c r="LLG23" s="9"/>
      <c r="LLH23" s="9"/>
      <c r="LLI23" s="9"/>
      <c r="LLJ23" s="9"/>
      <c r="LLK23" s="9"/>
      <c r="LLL23" s="9"/>
      <c r="LLM23" s="9"/>
      <c r="LLN23" s="9"/>
      <c r="LLO23" s="9"/>
      <c r="LLP23" s="9"/>
      <c r="LLQ23" s="9"/>
      <c r="LLR23" s="9"/>
      <c r="LLS23" s="9"/>
      <c r="LLT23" s="9"/>
      <c r="LLU23" s="9"/>
      <c r="LLV23" s="9"/>
      <c r="LLW23" s="9"/>
      <c r="LLX23" s="9"/>
      <c r="LLY23" s="9"/>
      <c r="LLZ23" s="9"/>
      <c r="LMA23" s="9"/>
      <c r="LMB23" s="9"/>
      <c r="LMC23" s="9"/>
      <c r="LMD23" s="9"/>
      <c r="LME23" s="9"/>
      <c r="LMF23" s="9"/>
      <c r="LMG23" s="9"/>
      <c r="LMH23" s="9"/>
      <c r="LMI23" s="9"/>
      <c r="LMJ23" s="9"/>
      <c r="LMK23" s="9"/>
      <c r="LML23" s="9"/>
      <c r="LMM23" s="9"/>
      <c r="LMN23" s="9"/>
      <c r="LMO23" s="9"/>
      <c r="LMP23" s="9"/>
      <c r="LMQ23" s="9"/>
      <c r="LMR23" s="9"/>
      <c r="LMS23" s="9"/>
      <c r="LMT23" s="9"/>
      <c r="LMU23" s="9"/>
      <c r="LMV23" s="9"/>
      <c r="LMW23" s="9"/>
      <c r="LMX23" s="9"/>
      <c r="LMY23" s="9"/>
      <c r="LMZ23" s="9"/>
      <c r="LNA23" s="9"/>
      <c r="LNB23" s="9"/>
      <c r="LNC23" s="9"/>
      <c r="LND23" s="9"/>
      <c r="LNE23" s="9"/>
      <c r="LNF23" s="9"/>
      <c r="LNG23" s="9"/>
      <c r="LNH23" s="9"/>
      <c r="LNI23" s="9"/>
      <c r="LNJ23" s="9"/>
      <c r="LNK23" s="9"/>
      <c r="LNL23" s="9"/>
      <c r="LNM23" s="9"/>
      <c r="LNN23" s="9"/>
      <c r="LNO23" s="9"/>
      <c r="LNP23" s="9"/>
      <c r="LNQ23" s="9"/>
      <c r="LNR23" s="9"/>
      <c r="LNS23" s="9"/>
      <c r="LNT23" s="9"/>
      <c r="LNU23" s="9"/>
      <c r="LNV23" s="9"/>
      <c r="LNW23" s="9"/>
      <c r="LNX23" s="9"/>
      <c r="LNY23" s="9"/>
      <c r="LNZ23" s="9"/>
      <c r="LOA23" s="9"/>
      <c r="LOB23" s="9"/>
      <c r="LOC23" s="9"/>
      <c r="LOD23" s="9"/>
      <c r="LOE23" s="9"/>
      <c r="LOF23" s="9"/>
      <c r="LOG23" s="9"/>
      <c r="LOH23" s="9"/>
      <c r="LOI23" s="9"/>
      <c r="LOJ23" s="9"/>
      <c r="LOK23" s="9"/>
      <c r="LOL23" s="9"/>
      <c r="LOM23" s="9"/>
      <c r="LON23" s="9"/>
      <c r="LOO23" s="9"/>
      <c r="LOP23" s="9"/>
      <c r="LOQ23" s="9"/>
      <c r="LOR23" s="9"/>
      <c r="LOS23" s="9"/>
      <c r="LOT23" s="9"/>
      <c r="LOU23" s="9"/>
      <c r="LOV23" s="9"/>
      <c r="LOW23" s="9"/>
      <c r="LOX23" s="9"/>
      <c r="LOY23" s="9"/>
      <c r="LOZ23" s="9"/>
      <c r="LPA23" s="9"/>
      <c r="LPB23" s="9"/>
      <c r="LPC23" s="9"/>
      <c r="LPD23" s="9"/>
      <c r="LPE23" s="9"/>
      <c r="LPF23" s="9"/>
      <c r="LPG23" s="9"/>
      <c r="LPH23" s="9"/>
      <c r="LPI23" s="9"/>
      <c r="LPJ23" s="9"/>
      <c r="LPK23" s="9"/>
      <c r="LPL23" s="9"/>
      <c r="LPM23" s="9"/>
      <c r="LPN23" s="9"/>
      <c r="LPO23" s="9"/>
      <c r="LPP23" s="9"/>
      <c r="LPQ23" s="9"/>
      <c r="LPR23" s="9"/>
      <c r="LPS23" s="9"/>
      <c r="LPT23" s="9"/>
      <c r="LPU23" s="9"/>
      <c r="LPV23" s="9"/>
      <c r="LPW23" s="9"/>
      <c r="LPX23" s="9"/>
      <c r="LPY23" s="9"/>
      <c r="LPZ23" s="9"/>
      <c r="LQA23" s="9"/>
      <c r="LQB23" s="9"/>
      <c r="LQC23" s="9"/>
      <c r="LQD23" s="9"/>
      <c r="LQE23" s="9"/>
      <c r="LQF23" s="9"/>
      <c r="LQG23" s="9"/>
      <c r="LQH23" s="9"/>
      <c r="LQI23" s="9"/>
      <c r="LQJ23" s="9"/>
      <c r="LQK23" s="9"/>
      <c r="LQL23" s="9"/>
      <c r="LQM23" s="9"/>
      <c r="LQN23" s="9"/>
      <c r="LQO23" s="9"/>
      <c r="LQP23" s="9"/>
      <c r="LQQ23" s="9"/>
      <c r="LQR23" s="9"/>
      <c r="LQS23" s="9"/>
      <c r="LQT23" s="9"/>
      <c r="LQU23" s="9"/>
      <c r="LQV23" s="9"/>
      <c r="LQW23" s="9"/>
      <c r="LQX23" s="9"/>
      <c r="LQY23" s="9"/>
      <c r="LQZ23" s="9"/>
      <c r="LRA23" s="9"/>
      <c r="LRB23" s="9"/>
      <c r="LRC23" s="9"/>
      <c r="LRD23" s="9"/>
      <c r="LRE23" s="9"/>
      <c r="LRF23" s="9"/>
      <c r="LRG23" s="9"/>
      <c r="LRH23" s="9"/>
      <c r="LRI23" s="9"/>
      <c r="LRJ23" s="9"/>
      <c r="LRK23" s="9"/>
      <c r="LRL23" s="9"/>
      <c r="LRM23" s="9"/>
      <c r="LRN23" s="9"/>
      <c r="LRO23" s="9"/>
      <c r="LRP23" s="9"/>
      <c r="LRQ23" s="9"/>
      <c r="LRR23" s="9"/>
      <c r="LRS23" s="9"/>
      <c r="LRT23" s="9"/>
      <c r="LRU23" s="9"/>
      <c r="LRV23" s="9"/>
      <c r="LRW23" s="9"/>
      <c r="LRX23" s="9"/>
      <c r="LRY23" s="9"/>
      <c r="LRZ23" s="9"/>
      <c r="LSA23" s="9"/>
      <c r="LSB23" s="9"/>
      <c r="LSC23" s="9"/>
      <c r="LSD23" s="9"/>
      <c r="LSE23" s="9"/>
      <c r="LSF23" s="9"/>
      <c r="LSG23" s="9"/>
      <c r="LSH23" s="9"/>
      <c r="LSI23" s="9"/>
      <c r="LSJ23" s="9"/>
      <c r="LSK23" s="9"/>
      <c r="LSL23" s="9"/>
      <c r="LSM23" s="9"/>
      <c r="LSN23" s="9"/>
      <c r="LSO23" s="9"/>
      <c r="LSP23" s="9"/>
      <c r="LSQ23" s="9"/>
      <c r="LSR23" s="9"/>
      <c r="LSS23" s="9"/>
      <c r="LST23" s="9"/>
      <c r="LSU23" s="9"/>
      <c r="LSV23" s="9"/>
      <c r="LSW23" s="9"/>
      <c r="LSX23" s="9"/>
      <c r="LSY23" s="9"/>
      <c r="LSZ23" s="9"/>
      <c r="LTA23" s="9"/>
      <c r="LTB23" s="9"/>
      <c r="LTC23" s="9"/>
      <c r="LTD23" s="9"/>
      <c r="LTE23" s="9"/>
      <c r="LTF23" s="9"/>
      <c r="LTG23" s="9"/>
      <c r="LTH23" s="9"/>
      <c r="LTI23" s="9"/>
      <c r="LTJ23" s="9"/>
      <c r="LTK23" s="9"/>
      <c r="LTL23" s="9"/>
      <c r="LTM23" s="9"/>
      <c r="LTN23" s="9"/>
      <c r="LTO23" s="9"/>
      <c r="LTP23" s="9"/>
      <c r="LTQ23" s="9"/>
      <c r="LTR23" s="9"/>
      <c r="LTS23" s="9"/>
      <c r="LTT23" s="9"/>
      <c r="LTU23" s="9"/>
      <c r="LTV23" s="9"/>
      <c r="LTW23" s="9"/>
      <c r="LTX23" s="9"/>
      <c r="LTY23" s="9"/>
      <c r="LTZ23" s="9"/>
      <c r="LUA23" s="9"/>
      <c r="LUB23" s="9"/>
      <c r="LUC23" s="9"/>
      <c r="LUD23" s="9"/>
      <c r="LUE23" s="9"/>
      <c r="LUF23" s="9"/>
      <c r="LUG23" s="9"/>
      <c r="LUH23" s="9"/>
      <c r="LUI23" s="9"/>
      <c r="LUJ23" s="9"/>
      <c r="LUK23" s="9"/>
      <c r="LUL23" s="9"/>
      <c r="LUM23" s="9"/>
      <c r="LUN23" s="9"/>
      <c r="LUO23" s="9"/>
      <c r="LUP23" s="9"/>
      <c r="LUQ23" s="9"/>
      <c r="LUR23" s="9"/>
      <c r="LUS23" s="9"/>
      <c r="LUT23" s="9"/>
      <c r="LUU23" s="9"/>
      <c r="LUV23" s="9"/>
      <c r="LUW23" s="9"/>
      <c r="LUX23" s="9"/>
      <c r="LUY23" s="9"/>
      <c r="LUZ23" s="9"/>
      <c r="LVA23" s="9"/>
      <c r="LVB23" s="9"/>
      <c r="LVC23" s="9"/>
      <c r="LVD23" s="9"/>
      <c r="LVE23" s="9"/>
      <c r="LVF23" s="9"/>
      <c r="LVG23" s="9"/>
      <c r="LVH23" s="9"/>
      <c r="LVI23" s="9"/>
      <c r="LVJ23" s="9"/>
      <c r="LVK23" s="9"/>
      <c r="LVL23" s="9"/>
      <c r="LVM23" s="9"/>
      <c r="LVN23" s="9"/>
      <c r="LVO23" s="9"/>
      <c r="LVP23" s="9"/>
      <c r="LVQ23" s="9"/>
      <c r="LVR23" s="9"/>
      <c r="LVS23" s="9"/>
      <c r="LVT23" s="9"/>
      <c r="LVU23" s="9"/>
      <c r="LVV23" s="9"/>
      <c r="LVW23" s="9"/>
      <c r="LVX23" s="9"/>
      <c r="LVY23" s="9"/>
      <c r="LVZ23" s="9"/>
      <c r="LWA23" s="9"/>
      <c r="LWB23" s="9"/>
      <c r="LWC23" s="9"/>
      <c r="LWD23" s="9"/>
      <c r="LWE23" s="9"/>
      <c r="LWF23" s="9"/>
      <c r="LWG23" s="9"/>
      <c r="LWH23" s="9"/>
      <c r="LWI23" s="9"/>
      <c r="LWJ23" s="9"/>
      <c r="LWK23" s="9"/>
      <c r="LWL23" s="9"/>
      <c r="LWM23" s="9"/>
      <c r="LWN23" s="9"/>
      <c r="LWO23" s="9"/>
      <c r="LWP23" s="9"/>
      <c r="LWQ23" s="9"/>
      <c r="LWR23" s="9"/>
      <c r="LWS23" s="9"/>
      <c r="LWT23" s="9"/>
      <c r="LWU23" s="9"/>
      <c r="LWV23" s="9"/>
      <c r="LWW23" s="9"/>
      <c r="LWX23" s="9"/>
      <c r="LWY23" s="9"/>
      <c r="LWZ23" s="9"/>
      <c r="LXA23" s="9"/>
      <c r="LXB23" s="9"/>
      <c r="LXC23" s="9"/>
      <c r="LXD23" s="9"/>
      <c r="LXE23" s="9"/>
      <c r="LXF23" s="9"/>
      <c r="LXG23" s="9"/>
      <c r="LXH23" s="9"/>
      <c r="LXI23" s="9"/>
      <c r="LXJ23" s="9"/>
      <c r="LXK23" s="9"/>
      <c r="LXL23" s="9"/>
      <c r="LXM23" s="9"/>
      <c r="LXN23" s="9"/>
      <c r="LXO23" s="9"/>
      <c r="LXP23" s="9"/>
      <c r="LXQ23" s="9"/>
      <c r="LXR23" s="9"/>
      <c r="LXS23" s="9"/>
      <c r="LXT23" s="9"/>
      <c r="LXU23" s="9"/>
      <c r="LXV23" s="9"/>
      <c r="LXW23" s="9"/>
      <c r="LXX23" s="9"/>
      <c r="LXY23" s="9"/>
      <c r="LXZ23" s="9"/>
      <c r="LYA23" s="9"/>
      <c r="LYB23" s="9"/>
      <c r="LYC23" s="9"/>
      <c r="LYD23" s="9"/>
      <c r="LYE23" s="9"/>
      <c r="LYF23" s="9"/>
      <c r="LYG23" s="9"/>
      <c r="LYH23" s="9"/>
      <c r="LYI23" s="9"/>
      <c r="LYJ23" s="9"/>
      <c r="LYK23" s="9"/>
      <c r="LYL23" s="9"/>
      <c r="LYM23" s="9"/>
      <c r="LYN23" s="9"/>
      <c r="LYO23" s="9"/>
      <c r="LYP23" s="9"/>
      <c r="LYQ23" s="9"/>
      <c r="LYR23" s="9"/>
      <c r="LYS23" s="9"/>
      <c r="LYT23" s="9"/>
      <c r="LYU23" s="9"/>
      <c r="LYV23" s="9"/>
      <c r="LYW23" s="9"/>
      <c r="LYX23" s="9"/>
      <c r="LYY23" s="9"/>
      <c r="LYZ23" s="9"/>
      <c r="LZA23" s="9"/>
      <c r="LZB23" s="9"/>
      <c r="LZC23" s="9"/>
      <c r="LZD23" s="9"/>
      <c r="LZE23" s="9"/>
      <c r="LZF23" s="9"/>
      <c r="LZG23" s="9"/>
      <c r="LZH23" s="9"/>
      <c r="LZI23" s="9"/>
      <c r="LZJ23" s="9"/>
      <c r="LZK23" s="9"/>
      <c r="LZL23" s="9"/>
      <c r="LZM23" s="9"/>
      <c r="LZN23" s="9"/>
      <c r="LZO23" s="9"/>
      <c r="LZP23" s="9"/>
      <c r="LZQ23" s="9"/>
      <c r="LZR23" s="9"/>
      <c r="LZS23" s="9"/>
      <c r="LZT23" s="9"/>
      <c r="LZU23" s="9"/>
      <c r="LZV23" s="9"/>
      <c r="LZW23" s="9"/>
      <c r="LZX23" s="9"/>
      <c r="LZY23" s="9"/>
      <c r="LZZ23" s="9"/>
      <c r="MAA23" s="9"/>
      <c r="MAB23" s="9"/>
      <c r="MAC23" s="9"/>
      <c r="MAD23" s="9"/>
      <c r="MAE23" s="9"/>
      <c r="MAF23" s="9"/>
      <c r="MAG23" s="9"/>
      <c r="MAH23" s="9"/>
      <c r="MAI23" s="9"/>
      <c r="MAJ23" s="9"/>
      <c r="MAK23" s="9"/>
      <c r="MAL23" s="9"/>
      <c r="MAM23" s="9"/>
      <c r="MAN23" s="9"/>
      <c r="MAO23" s="9"/>
      <c r="MAP23" s="9"/>
      <c r="MAQ23" s="9"/>
      <c r="MAR23" s="9"/>
      <c r="MAS23" s="9"/>
      <c r="MAT23" s="9"/>
      <c r="MAU23" s="9"/>
      <c r="MAV23" s="9"/>
      <c r="MAW23" s="9"/>
      <c r="MAX23" s="9"/>
      <c r="MAY23" s="9"/>
      <c r="MAZ23" s="9"/>
      <c r="MBA23" s="9"/>
      <c r="MBB23" s="9"/>
      <c r="MBC23" s="9"/>
      <c r="MBD23" s="9"/>
      <c r="MBE23" s="9"/>
      <c r="MBF23" s="9"/>
      <c r="MBG23" s="9"/>
      <c r="MBH23" s="9"/>
      <c r="MBI23" s="9"/>
      <c r="MBJ23" s="9"/>
      <c r="MBK23" s="9"/>
      <c r="MBL23" s="9"/>
      <c r="MBM23" s="9"/>
      <c r="MBN23" s="9"/>
      <c r="MBO23" s="9"/>
      <c r="MBP23" s="9"/>
      <c r="MBQ23" s="9"/>
      <c r="MBR23" s="9"/>
      <c r="MBS23" s="9"/>
      <c r="MBT23" s="9"/>
      <c r="MBU23" s="9"/>
      <c r="MBV23" s="9"/>
      <c r="MBW23" s="9"/>
      <c r="MBX23" s="9"/>
      <c r="MBY23" s="9"/>
      <c r="MBZ23" s="9"/>
      <c r="MCA23" s="9"/>
      <c r="MCB23" s="9"/>
      <c r="MCC23" s="9"/>
      <c r="MCD23" s="9"/>
      <c r="MCE23" s="9"/>
      <c r="MCF23" s="9"/>
      <c r="MCG23" s="9"/>
      <c r="MCH23" s="9"/>
      <c r="MCI23" s="9"/>
      <c r="MCJ23" s="9"/>
      <c r="MCK23" s="9"/>
      <c r="MCL23" s="9"/>
      <c r="MCM23" s="9"/>
      <c r="MCN23" s="9"/>
      <c r="MCO23" s="9"/>
      <c r="MCP23" s="9"/>
      <c r="MCQ23" s="9"/>
      <c r="MCR23" s="9"/>
      <c r="MCS23" s="9"/>
      <c r="MCT23" s="9"/>
      <c r="MCU23" s="9"/>
      <c r="MCV23" s="9"/>
      <c r="MCW23" s="9"/>
      <c r="MCX23" s="9"/>
      <c r="MCY23" s="9"/>
      <c r="MCZ23" s="9"/>
      <c r="MDA23" s="9"/>
      <c r="MDB23" s="9"/>
      <c r="MDC23" s="9"/>
      <c r="MDD23" s="9"/>
      <c r="MDE23" s="9"/>
      <c r="MDF23" s="9"/>
      <c r="MDG23" s="9"/>
      <c r="MDH23" s="9"/>
      <c r="MDI23" s="9"/>
      <c r="MDJ23" s="9"/>
      <c r="MDK23" s="9"/>
      <c r="MDL23" s="9"/>
      <c r="MDM23" s="9"/>
      <c r="MDN23" s="9"/>
      <c r="MDO23" s="9"/>
      <c r="MDP23" s="9"/>
      <c r="MDQ23" s="9"/>
      <c r="MDR23" s="9"/>
      <c r="MDS23" s="9"/>
      <c r="MDT23" s="9"/>
      <c r="MDU23" s="9"/>
      <c r="MDV23" s="9"/>
      <c r="MDW23" s="9"/>
      <c r="MDX23" s="9"/>
      <c r="MDY23" s="9"/>
      <c r="MDZ23" s="9"/>
      <c r="MEA23" s="9"/>
      <c r="MEB23" s="9"/>
      <c r="MEC23" s="9"/>
      <c r="MED23" s="9"/>
      <c r="MEE23" s="9"/>
      <c r="MEF23" s="9"/>
      <c r="MEG23" s="9"/>
      <c r="MEH23" s="9"/>
      <c r="MEI23" s="9"/>
      <c r="MEJ23" s="9"/>
      <c r="MEK23" s="9"/>
      <c r="MEL23" s="9"/>
      <c r="MEM23" s="9"/>
      <c r="MEN23" s="9"/>
      <c r="MEO23" s="9"/>
      <c r="MEP23" s="9"/>
      <c r="MEQ23" s="9"/>
      <c r="MER23" s="9"/>
      <c r="MES23" s="9"/>
      <c r="MET23" s="9"/>
      <c r="MEU23" s="9"/>
      <c r="MEV23" s="9"/>
      <c r="MEW23" s="9"/>
      <c r="MEX23" s="9"/>
      <c r="MEY23" s="9"/>
      <c r="MEZ23" s="9"/>
      <c r="MFA23" s="9"/>
      <c r="MFB23" s="9"/>
      <c r="MFC23" s="9"/>
      <c r="MFD23" s="9"/>
      <c r="MFE23" s="9"/>
      <c r="MFF23" s="9"/>
      <c r="MFG23" s="9"/>
      <c r="MFH23" s="9"/>
      <c r="MFI23" s="9"/>
      <c r="MFJ23" s="9"/>
      <c r="MFK23" s="9"/>
      <c r="MFL23" s="9"/>
      <c r="MFM23" s="9"/>
      <c r="MFN23" s="9"/>
      <c r="MFO23" s="9"/>
      <c r="MFP23" s="9"/>
      <c r="MFQ23" s="9"/>
      <c r="MFR23" s="9"/>
      <c r="MFS23" s="9"/>
      <c r="MFT23" s="9"/>
      <c r="MFU23" s="9"/>
      <c r="MFV23" s="9"/>
      <c r="MFW23" s="9"/>
      <c r="MFX23" s="9"/>
      <c r="MFY23" s="9"/>
      <c r="MFZ23" s="9"/>
      <c r="MGA23" s="9"/>
      <c r="MGB23" s="9"/>
      <c r="MGC23" s="9"/>
      <c r="MGD23" s="9"/>
      <c r="MGE23" s="9"/>
      <c r="MGF23" s="9"/>
      <c r="MGG23" s="9"/>
      <c r="MGH23" s="9"/>
      <c r="MGI23" s="9"/>
      <c r="MGJ23" s="9"/>
      <c r="MGK23" s="9"/>
      <c r="MGL23" s="9"/>
      <c r="MGM23" s="9"/>
      <c r="MGN23" s="9"/>
      <c r="MGO23" s="9"/>
      <c r="MGP23" s="9"/>
      <c r="MGQ23" s="9"/>
      <c r="MGR23" s="9"/>
      <c r="MGS23" s="9"/>
      <c r="MGT23" s="9"/>
      <c r="MGU23" s="9"/>
      <c r="MGV23" s="9"/>
      <c r="MGW23" s="9"/>
      <c r="MGX23" s="9"/>
      <c r="MGY23" s="9"/>
      <c r="MGZ23" s="9"/>
      <c r="MHA23" s="9"/>
      <c r="MHB23" s="9"/>
      <c r="MHC23" s="9"/>
      <c r="MHD23" s="9"/>
      <c r="MHE23" s="9"/>
      <c r="MHF23" s="9"/>
      <c r="MHG23" s="9"/>
      <c r="MHH23" s="9"/>
      <c r="MHI23" s="9"/>
      <c r="MHJ23" s="9"/>
      <c r="MHK23" s="9"/>
      <c r="MHL23" s="9"/>
      <c r="MHM23" s="9"/>
      <c r="MHN23" s="9"/>
      <c r="MHO23" s="9"/>
      <c r="MHP23" s="9"/>
      <c r="MHQ23" s="9"/>
      <c r="MHR23" s="9"/>
      <c r="MHS23" s="9"/>
      <c r="MHT23" s="9"/>
      <c r="MHU23" s="9"/>
      <c r="MHV23" s="9"/>
      <c r="MHW23" s="9"/>
      <c r="MHX23" s="9"/>
      <c r="MHY23" s="9"/>
      <c r="MHZ23" s="9"/>
      <c r="MIA23" s="9"/>
      <c r="MIB23" s="9"/>
      <c r="MIC23" s="9"/>
      <c r="MID23" s="9"/>
      <c r="MIE23" s="9"/>
      <c r="MIF23" s="9"/>
      <c r="MIG23" s="9"/>
      <c r="MIH23" s="9"/>
      <c r="MII23" s="9"/>
      <c r="MIJ23" s="9"/>
      <c r="MIK23" s="9"/>
      <c r="MIL23" s="9"/>
      <c r="MIM23" s="9"/>
      <c r="MIN23" s="9"/>
      <c r="MIO23" s="9"/>
      <c r="MIP23" s="9"/>
      <c r="MIQ23" s="9"/>
      <c r="MIR23" s="9"/>
      <c r="MIS23" s="9"/>
      <c r="MIT23" s="9"/>
      <c r="MIU23" s="9"/>
      <c r="MIV23" s="9"/>
      <c r="MIW23" s="9"/>
      <c r="MIX23" s="9"/>
      <c r="MIY23" s="9"/>
      <c r="MIZ23" s="9"/>
      <c r="MJA23" s="9"/>
      <c r="MJB23" s="9"/>
      <c r="MJC23" s="9"/>
      <c r="MJD23" s="9"/>
      <c r="MJE23" s="9"/>
      <c r="MJF23" s="9"/>
      <c r="MJG23" s="9"/>
      <c r="MJH23" s="9"/>
      <c r="MJI23" s="9"/>
      <c r="MJJ23" s="9"/>
      <c r="MJK23" s="9"/>
      <c r="MJL23" s="9"/>
      <c r="MJM23" s="9"/>
      <c r="MJN23" s="9"/>
      <c r="MJO23" s="9"/>
      <c r="MJP23" s="9"/>
      <c r="MJQ23" s="9"/>
      <c r="MJR23" s="9"/>
      <c r="MJS23" s="9"/>
      <c r="MJT23" s="9"/>
      <c r="MJU23" s="9"/>
      <c r="MJV23" s="9"/>
      <c r="MJW23" s="9"/>
      <c r="MJX23" s="9"/>
      <c r="MJY23" s="9"/>
      <c r="MJZ23" s="9"/>
      <c r="MKA23" s="9"/>
      <c r="MKB23" s="9"/>
      <c r="MKC23" s="9"/>
      <c r="MKD23" s="9"/>
      <c r="MKE23" s="9"/>
      <c r="MKF23" s="9"/>
      <c r="MKG23" s="9"/>
      <c r="MKH23" s="9"/>
      <c r="MKI23" s="9"/>
      <c r="MKJ23" s="9"/>
      <c r="MKK23" s="9"/>
      <c r="MKL23" s="9"/>
      <c r="MKM23" s="9"/>
      <c r="MKN23" s="9"/>
      <c r="MKO23" s="9"/>
      <c r="MKP23" s="9"/>
      <c r="MKQ23" s="9"/>
      <c r="MKR23" s="9"/>
      <c r="MKS23" s="9"/>
      <c r="MKT23" s="9"/>
      <c r="MKU23" s="9"/>
      <c r="MKV23" s="9"/>
      <c r="MKW23" s="9"/>
      <c r="MKX23" s="9"/>
      <c r="MKY23" s="9"/>
      <c r="MKZ23" s="9"/>
      <c r="MLA23" s="9"/>
      <c r="MLB23" s="9"/>
      <c r="MLC23" s="9"/>
      <c r="MLD23" s="9"/>
      <c r="MLE23" s="9"/>
      <c r="MLF23" s="9"/>
      <c r="MLG23" s="9"/>
      <c r="MLH23" s="9"/>
      <c r="MLI23" s="9"/>
      <c r="MLJ23" s="9"/>
      <c r="MLK23" s="9"/>
      <c r="MLL23" s="9"/>
      <c r="MLM23" s="9"/>
      <c r="MLN23" s="9"/>
      <c r="MLO23" s="9"/>
      <c r="MLP23" s="9"/>
      <c r="MLQ23" s="9"/>
      <c r="MLR23" s="9"/>
      <c r="MLS23" s="9"/>
      <c r="MLT23" s="9"/>
      <c r="MLU23" s="9"/>
      <c r="MLV23" s="9"/>
      <c r="MLW23" s="9"/>
      <c r="MLX23" s="9"/>
      <c r="MLY23" s="9"/>
      <c r="MLZ23" s="9"/>
      <c r="MMA23" s="9"/>
      <c r="MMB23" s="9"/>
      <c r="MMC23" s="9"/>
      <c r="MMD23" s="9"/>
      <c r="MME23" s="9"/>
      <c r="MMF23" s="9"/>
      <c r="MMG23" s="9"/>
      <c r="MMH23" s="9"/>
      <c r="MMI23" s="9"/>
      <c r="MMJ23" s="9"/>
      <c r="MMK23" s="9"/>
      <c r="MML23" s="9"/>
      <c r="MMM23" s="9"/>
      <c r="MMN23" s="9"/>
      <c r="MMO23" s="9"/>
      <c r="MMP23" s="9"/>
      <c r="MMQ23" s="9"/>
      <c r="MMR23" s="9"/>
      <c r="MMS23" s="9"/>
      <c r="MMT23" s="9"/>
      <c r="MMU23" s="9"/>
      <c r="MMV23" s="9"/>
      <c r="MMW23" s="9"/>
      <c r="MMX23" s="9"/>
      <c r="MMY23" s="9"/>
      <c r="MMZ23" s="9"/>
      <c r="MNA23" s="9"/>
      <c r="MNB23" s="9"/>
      <c r="MNC23" s="9"/>
      <c r="MND23" s="9"/>
      <c r="MNE23" s="9"/>
      <c r="MNF23" s="9"/>
      <c r="MNG23" s="9"/>
      <c r="MNH23" s="9"/>
      <c r="MNI23" s="9"/>
      <c r="MNJ23" s="9"/>
      <c r="MNK23" s="9"/>
      <c r="MNL23" s="9"/>
      <c r="MNM23" s="9"/>
      <c r="MNN23" s="9"/>
      <c r="MNO23" s="9"/>
      <c r="MNP23" s="9"/>
      <c r="MNQ23" s="9"/>
      <c r="MNR23" s="9"/>
      <c r="MNS23" s="9"/>
      <c r="MNT23" s="9"/>
      <c r="MNU23" s="9"/>
      <c r="MNV23" s="9"/>
      <c r="MNW23" s="9"/>
      <c r="MNX23" s="9"/>
      <c r="MNY23" s="9"/>
      <c r="MNZ23" s="9"/>
      <c r="MOA23" s="9"/>
      <c r="MOB23" s="9"/>
      <c r="MOC23" s="9"/>
      <c r="MOD23" s="9"/>
      <c r="MOE23" s="9"/>
      <c r="MOF23" s="9"/>
      <c r="MOG23" s="9"/>
      <c r="MOH23" s="9"/>
      <c r="MOI23" s="9"/>
      <c r="MOJ23" s="9"/>
      <c r="MOK23" s="9"/>
      <c r="MOL23" s="9"/>
      <c r="MOM23" s="9"/>
      <c r="MON23" s="9"/>
      <c r="MOO23" s="9"/>
      <c r="MOP23" s="9"/>
      <c r="MOQ23" s="9"/>
      <c r="MOR23" s="9"/>
      <c r="MOS23" s="9"/>
      <c r="MOT23" s="9"/>
      <c r="MOU23" s="9"/>
      <c r="MOV23" s="9"/>
      <c r="MOW23" s="9"/>
      <c r="MOX23" s="9"/>
      <c r="MOY23" s="9"/>
      <c r="MOZ23" s="9"/>
      <c r="MPA23" s="9"/>
      <c r="MPB23" s="9"/>
      <c r="MPC23" s="9"/>
      <c r="MPD23" s="9"/>
      <c r="MPE23" s="9"/>
      <c r="MPF23" s="9"/>
      <c r="MPG23" s="9"/>
      <c r="MPH23" s="9"/>
      <c r="MPI23" s="9"/>
      <c r="MPJ23" s="9"/>
      <c r="MPK23" s="9"/>
      <c r="MPL23" s="9"/>
      <c r="MPM23" s="9"/>
      <c r="MPN23" s="9"/>
      <c r="MPO23" s="9"/>
      <c r="MPP23" s="9"/>
      <c r="MPQ23" s="9"/>
      <c r="MPR23" s="9"/>
      <c r="MPS23" s="9"/>
      <c r="MPT23" s="9"/>
      <c r="MPU23" s="9"/>
      <c r="MPV23" s="9"/>
      <c r="MPW23" s="9"/>
      <c r="MPX23" s="9"/>
      <c r="MPY23" s="9"/>
      <c r="MPZ23" s="9"/>
      <c r="MQA23" s="9"/>
      <c r="MQB23" s="9"/>
      <c r="MQC23" s="9"/>
      <c r="MQD23" s="9"/>
      <c r="MQE23" s="9"/>
      <c r="MQF23" s="9"/>
      <c r="MQG23" s="9"/>
      <c r="MQH23" s="9"/>
      <c r="MQI23" s="9"/>
      <c r="MQJ23" s="9"/>
      <c r="MQK23" s="9"/>
      <c r="MQL23" s="9"/>
      <c r="MQM23" s="9"/>
      <c r="MQN23" s="9"/>
      <c r="MQO23" s="9"/>
      <c r="MQP23" s="9"/>
      <c r="MQQ23" s="9"/>
      <c r="MQR23" s="9"/>
      <c r="MQS23" s="9"/>
      <c r="MQT23" s="9"/>
      <c r="MQU23" s="9"/>
      <c r="MQV23" s="9"/>
      <c r="MQW23" s="9"/>
      <c r="MQX23" s="9"/>
      <c r="MQY23" s="9"/>
      <c r="MQZ23" s="9"/>
      <c r="MRA23" s="9"/>
      <c r="MRB23" s="9"/>
      <c r="MRC23" s="9"/>
      <c r="MRD23" s="9"/>
      <c r="MRE23" s="9"/>
      <c r="MRF23" s="9"/>
      <c r="MRG23" s="9"/>
      <c r="MRH23" s="9"/>
      <c r="MRI23" s="9"/>
      <c r="MRJ23" s="9"/>
      <c r="MRK23" s="9"/>
      <c r="MRL23" s="9"/>
      <c r="MRM23" s="9"/>
      <c r="MRN23" s="9"/>
      <c r="MRO23" s="9"/>
      <c r="MRP23" s="9"/>
      <c r="MRQ23" s="9"/>
      <c r="MRR23" s="9"/>
      <c r="MRS23" s="9"/>
      <c r="MRT23" s="9"/>
      <c r="MRU23" s="9"/>
      <c r="MRV23" s="9"/>
      <c r="MRW23" s="9"/>
      <c r="MRX23" s="9"/>
      <c r="MRY23" s="9"/>
      <c r="MRZ23" s="9"/>
      <c r="MSA23" s="9"/>
      <c r="MSB23" s="9"/>
      <c r="MSC23" s="9"/>
      <c r="MSD23" s="9"/>
      <c r="MSE23" s="9"/>
      <c r="MSF23" s="9"/>
      <c r="MSG23" s="9"/>
      <c r="MSH23" s="9"/>
      <c r="MSI23" s="9"/>
      <c r="MSJ23" s="9"/>
      <c r="MSK23" s="9"/>
      <c r="MSL23" s="9"/>
      <c r="MSM23" s="9"/>
      <c r="MSN23" s="9"/>
      <c r="MSO23" s="9"/>
      <c r="MSP23" s="9"/>
      <c r="MSQ23" s="9"/>
      <c r="MSR23" s="9"/>
      <c r="MSS23" s="9"/>
      <c r="MST23" s="9"/>
      <c r="MSU23" s="9"/>
      <c r="MSV23" s="9"/>
      <c r="MSW23" s="9"/>
      <c r="MSX23" s="9"/>
      <c r="MSY23" s="9"/>
      <c r="MSZ23" s="9"/>
      <c r="MTA23" s="9"/>
      <c r="MTB23" s="9"/>
      <c r="MTC23" s="9"/>
      <c r="MTD23" s="9"/>
      <c r="MTE23" s="9"/>
      <c r="MTF23" s="9"/>
      <c r="MTG23" s="9"/>
      <c r="MTH23" s="9"/>
      <c r="MTI23" s="9"/>
      <c r="MTJ23" s="9"/>
      <c r="MTK23" s="9"/>
      <c r="MTL23" s="9"/>
      <c r="MTM23" s="9"/>
      <c r="MTN23" s="9"/>
      <c r="MTO23" s="9"/>
      <c r="MTP23" s="9"/>
      <c r="MTQ23" s="9"/>
      <c r="MTR23" s="9"/>
      <c r="MTS23" s="9"/>
      <c r="MTT23" s="9"/>
      <c r="MTU23" s="9"/>
      <c r="MTV23" s="9"/>
      <c r="MTW23" s="9"/>
      <c r="MTX23" s="9"/>
      <c r="MTY23" s="9"/>
      <c r="MTZ23" s="9"/>
      <c r="MUA23" s="9"/>
      <c r="MUB23" s="9"/>
      <c r="MUC23" s="9"/>
      <c r="MUD23" s="9"/>
      <c r="MUE23" s="9"/>
      <c r="MUF23" s="9"/>
      <c r="MUG23" s="9"/>
      <c r="MUH23" s="9"/>
      <c r="MUI23" s="9"/>
      <c r="MUJ23" s="9"/>
      <c r="MUK23" s="9"/>
      <c r="MUL23" s="9"/>
      <c r="MUM23" s="9"/>
      <c r="MUN23" s="9"/>
      <c r="MUO23" s="9"/>
      <c r="MUP23" s="9"/>
      <c r="MUQ23" s="9"/>
      <c r="MUR23" s="9"/>
      <c r="MUS23" s="9"/>
      <c r="MUT23" s="9"/>
      <c r="MUU23" s="9"/>
      <c r="MUV23" s="9"/>
      <c r="MUW23" s="9"/>
      <c r="MUX23" s="9"/>
      <c r="MUY23" s="9"/>
      <c r="MUZ23" s="9"/>
      <c r="MVA23" s="9"/>
      <c r="MVB23" s="9"/>
      <c r="MVC23" s="9"/>
      <c r="MVD23" s="9"/>
      <c r="MVE23" s="9"/>
      <c r="MVF23" s="9"/>
      <c r="MVG23" s="9"/>
      <c r="MVH23" s="9"/>
      <c r="MVI23" s="9"/>
      <c r="MVJ23" s="9"/>
      <c r="MVK23" s="9"/>
      <c r="MVL23" s="9"/>
      <c r="MVM23" s="9"/>
      <c r="MVN23" s="9"/>
      <c r="MVO23" s="9"/>
      <c r="MVP23" s="9"/>
      <c r="MVQ23" s="9"/>
      <c r="MVR23" s="9"/>
      <c r="MVS23" s="9"/>
      <c r="MVT23" s="9"/>
      <c r="MVU23" s="9"/>
      <c r="MVV23" s="9"/>
      <c r="MVW23" s="9"/>
      <c r="MVX23" s="9"/>
      <c r="MVY23" s="9"/>
      <c r="MVZ23" s="9"/>
      <c r="MWA23" s="9"/>
      <c r="MWB23" s="9"/>
      <c r="MWC23" s="9"/>
      <c r="MWD23" s="9"/>
      <c r="MWE23" s="9"/>
      <c r="MWF23" s="9"/>
      <c r="MWG23" s="9"/>
      <c r="MWH23" s="9"/>
      <c r="MWI23" s="9"/>
      <c r="MWJ23" s="9"/>
      <c r="MWK23" s="9"/>
      <c r="MWL23" s="9"/>
      <c r="MWM23" s="9"/>
      <c r="MWN23" s="9"/>
      <c r="MWO23" s="9"/>
      <c r="MWP23" s="9"/>
      <c r="MWQ23" s="9"/>
      <c r="MWR23" s="9"/>
      <c r="MWS23" s="9"/>
      <c r="MWT23" s="9"/>
      <c r="MWU23" s="9"/>
      <c r="MWV23" s="9"/>
      <c r="MWW23" s="9"/>
      <c r="MWX23" s="9"/>
      <c r="MWY23" s="9"/>
      <c r="MWZ23" s="9"/>
      <c r="MXA23" s="9"/>
      <c r="MXB23" s="9"/>
      <c r="MXC23" s="9"/>
      <c r="MXD23" s="9"/>
      <c r="MXE23" s="9"/>
      <c r="MXF23" s="9"/>
      <c r="MXG23" s="9"/>
      <c r="MXH23" s="9"/>
      <c r="MXI23" s="9"/>
      <c r="MXJ23" s="9"/>
      <c r="MXK23" s="9"/>
      <c r="MXL23" s="9"/>
      <c r="MXM23" s="9"/>
      <c r="MXN23" s="9"/>
      <c r="MXO23" s="9"/>
      <c r="MXP23" s="9"/>
      <c r="MXQ23" s="9"/>
      <c r="MXR23" s="9"/>
      <c r="MXS23" s="9"/>
      <c r="MXT23" s="9"/>
      <c r="MXU23" s="9"/>
      <c r="MXV23" s="9"/>
      <c r="MXW23" s="9"/>
      <c r="MXX23" s="9"/>
      <c r="MXY23" s="9"/>
      <c r="MXZ23" s="9"/>
      <c r="MYA23" s="9"/>
      <c r="MYB23" s="9"/>
      <c r="MYC23" s="9"/>
      <c r="MYD23" s="9"/>
      <c r="MYE23" s="9"/>
      <c r="MYF23" s="9"/>
      <c r="MYG23" s="9"/>
      <c r="MYH23" s="9"/>
      <c r="MYI23" s="9"/>
      <c r="MYJ23" s="9"/>
      <c r="MYK23" s="9"/>
      <c r="MYL23" s="9"/>
      <c r="MYM23" s="9"/>
      <c r="MYN23" s="9"/>
      <c r="MYO23" s="9"/>
      <c r="MYP23" s="9"/>
      <c r="MYQ23" s="9"/>
      <c r="MYR23" s="9"/>
      <c r="MYS23" s="9"/>
      <c r="MYT23" s="9"/>
      <c r="MYU23" s="9"/>
      <c r="MYV23" s="9"/>
      <c r="MYW23" s="9"/>
      <c r="MYX23" s="9"/>
      <c r="MYY23" s="9"/>
      <c r="MYZ23" s="9"/>
      <c r="MZA23" s="9"/>
      <c r="MZB23" s="9"/>
      <c r="MZC23" s="9"/>
      <c r="MZD23" s="9"/>
      <c r="MZE23" s="9"/>
      <c r="MZF23" s="9"/>
      <c r="MZG23" s="9"/>
      <c r="MZH23" s="9"/>
      <c r="MZI23" s="9"/>
      <c r="MZJ23" s="9"/>
      <c r="MZK23" s="9"/>
      <c r="MZL23" s="9"/>
      <c r="MZM23" s="9"/>
      <c r="MZN23" s="9"/>
      <c r="MZO23" s="9"/>
      <c r="MZP23" s="9"/>
      <c r="MZQ23" s="9"/>
      <c r="MZR23" s="9"/>
      <c r="MZS23" s="9"/>
      <c r="MZT23" s="9"/>
      <c r="MZU23" s="9"/>
      <c r="MZV23" s="9"/>
      <c r="MZW23" s="9"/>
      <c r="MZX23" s="9"/>
      <c r="MZY23" s="9"/>
      <c r="MZZ23" s="9"/>
      <c r="NAA23" s="9"/>
      <c r="NAB23" s="9"/>
      <c r="NAC23" s="9"/>
      <c r="NAD23" s="9"/>
      <c r="NAE23" s="9"/>
      <c r="NAF23" s="9"/>
      <c r="NAG23" s="9"/>
      <c r="NAH23" s="9"/>
      <c r="NAI23" s="9"/>
      <c r="NAJ23" s="9"/>
      <c r="NAK23" s="9"/>
      <c r="NAL23" s="9"/>
      <c r="NAM23" s="9"/>
      <c r="NAN23" s="9"/>
      <c r="NAO23" s="9"/>
      <c r="NAP23" s="9"/>
      <c r="NAQ23" s="9"/>
      <c r="NAR23" s="9"/>
      <c r="NAS23" s="9"/>
      <c r="NAT23" s="9"/>
      <c r="NAU23" s="9"/>
      <c r="NAV23" s="9"/>
      <c r="NAW23" s="9"/>
      <c r="NAX23" s="9"/>
      <c r="NAY23" s="9"/>
      <c r="NAZ23" s="9"/>
      <c r="NBA23" s="9"/>
      <c r="NBB23" s="9"/>
      <c r="NBC23" s="9"/>
      <c r="NBD23" s="9"/>
      <c r="NBE23" s="9"/>
      <c r="NBF23" s="9"/>
      <c r="NBG23" s="9"/>
      <c r="NBH23" s="9"/>
      <c r="NBI23" s="9"/>
      <c r="NBJ23" s="9"/>
      <c r="NBK23" s="9"/>
      <c r="NBL23" s="9"/>
      <c r="NBM23" s="9"/>
      <c r="NBN23" s="9"/>
      <c r="NBO23" s="9"/>
      <c r="NBP23" s="9"/>
      <c r="NBQ23" s="9"/>
      <c r="NBR23" s="9"/>
      <c r="NBS23" s="9"/>
      <c r="NBT23" s="9"/>
      <c r="NBU23" s="9"/>
      <c r="NBV23" s="9"/>
      <c r="NBW23" s="9"/>
      <c r="NBX23" s="9"/>
      <c r="NBY23" s="9"/>
      <c r="NBZ23" s="9"/>
      <c r="NCA23" s="9"/>
      <c r="NCB23" s="9"/>
      <c r="NCC23" s="9"/>
      <c r="NCD23" s="9"/>
      <c r="NCE23" s="9"/>
      <c r="NCF23" s="9"/>
      <c r="NCG23" s="9"/>
      <c r="NCH23" s="9"/>
      <c r="NCI23" s="9"/>
      <c r="NCJ23" s="9"/>
      <c r="NCK23" s="9"/>
      <c r="NCL23" s="9"/>
      <c r="NCM23" s="9"/>
      <c r="NCN23" s="9"/>
      <c r="NCO23" s="9"/>
      <c r="NCP23" s="9"/>
      <c r="NCQ23" s="9"/>
      <c r="NCR23" s="9"/>
      <c r="NCS23" s="9"/>
      <c r="NCT23" s="9"/>
      <c r="NCU23" s="9"/>
      <c r="NCV23" s="9"/>
      <c r="NCW23" s="9"/>
      <c r="NCX23" s="9"/>
      <c r="NCY23" s="9"/>
      <c r="NCZ23" s="9"/>
      <c r="NDA23" s="9"/>
      <c r="NDB23" s="9"/>
      <c r="NDC23" s="9"/>
      <c r="NDD23" s="9"/>
      <c r="NDE23" s="9"/>
      <c r="NDF23" s="9"/>
      <c r="NDG23" s="9"/>
      <c r="NDH23" s="9"/>
      <c r="NDI23" s="9"/>
      <c r="NDJ23" s="9"/>
      <c r="NDK23" s="9"/>
      <c r="NDL23" s="9"/>
      <c r="NDM23" s="9"/>
      <c r="NDN23" s="9"/>
      <c r="NDO23" s="9"/>
      <c r="NDP23" s="9"/>
      <c r="NDQ23" s="9"/>
      <c r="NDR23" s="9"/>
      <c r="NDS23" s="9"/>
      <c r="NDT23" s="9"/>
      <c r="NDU23" s="9"/>
      <c r="NDV23" s="9"/>
      <c r="NDW23" s="9"/>
      <c r="NDX23" s="9"/>
      <c r="NDY23" s="9"/>
      <c r="NDZ23" s="9"/>
      <c r="NEA23" s="9"/>
      <c r="NEB23" s="9"/>
      <c r="NEC23" s="9"/>
      <c r="NED23" s="9"/>
      <c r="NEE23" s="9"/>
      <c r="NEF23" s="9"/>
      <c r="NEG23" s="9"/>
      <c r="NEH23" s="9"/>
      <c r="NEI23" s="9"/>
      <c r="NEJ23" s="9"/>
      <c r="NEK23" s="9"/>
      <c r="NEL23" s="9"/>
      <c r="NEM23" s="9"/>
      <c r="NEN23" s="9"/>
      <c r="NEO23" s="9"/>
      <c r="NEP23" s="9"/>
      <c r="NEQ23" s="9"/>
      <c r="NER23" s="9"/>
      <c r="NES23" s="9"/>
      <c r="NET23" s="9"/>
      <c r="NEU23" s="9"/>
      <c r="NEV23" s="9"/>
      <c r="NEW23" s="9"/>
      <c r="NEX23" s="9"/>
      <c r="NEY23" s="9"/>
      <c r="NEZ23" s="9"/>
      <c r="NFA23" s="9"/>
      <c r="NFB23" s="9"/>
      <c r="NFC23" s="9"/>
      <c r="NFD23" s="9"/>
      <c r="NFE23" s="9"/>
      <c r="NFF23" s="9"/>
      <c r="NFG23" s="9"/>
      <c r="NFH23" s="9"/>
      <c r="NFI23" s="9"/>
      <c r="NFJ23" s="9"/>
      <c r="NFK23" s="9"/>
      <c r="NFL23" s="9"/>
      <c r="NFM23" s="9"/>
      <c r="NFN23" s="9"/>
      <c r="NFO23" s="9"/>
      <c r="NFP23" s="9"/>
      <c r="NFQ23" s="9"/>
      <c r="NFR23" s="9"/>
      <c r="NFS23" s="9"/>
      <c r="NFT23" s="9"/>
      <c r="NFU23" s="9"/>
      <c r="NFV23" s="9"/>
      <c r="NFW23" s="9"/>
      <c r="NFX23" s="9"/>
      <c r="NFY23" s="9"/>
      <c r="NFZ23" s="9"/>
      <c r="NGA23" s="9"/>
      <c r="NGB23" s="9"/>
      <c r="NGC23" s="9"/>
      <c r="NGD23" s="9"/>
      <c r="NGE23" s="9"/>
      <c r="NGF23" s="9"/>
      <c r="NGG23" s="9"/>
      <c r="NGH23" s="9"/>
      <c r="NGI23" s="9"/>
      <c r="NGJ23" s="9"/>
      <c r="NGK23" s="9"/>
      <c r="NGL23" s="9"/>
      <c r="NGM23" s="9"/>
      <c r="NGN23" s="9"/>
      <c r="NGO23" s="9"/>
      <c r="NGP23" s="9"/>
      <c r="NGQ23" s="9"/>
      <c r="NGR23" s="9"/>
      <c r="NGS23" s="9"/>
      <c r="NGT23" s="9"/>
      <c r="NGU23" s="9"/>
      <c r="NGV23" s="9"/>
      <c r="NGW23" s="9"/>
      <c r="NGX23" s="9"/>
      <c r="NGY23" s="9"/>
      <c r="NGZ23" s="9"/>
      <c r="NHA23" s="9"/>
      <c r="NHB23" s="9"/>
      <c r="NHC23" s="9"/>
      <c r="NHD23" s="9"/>
      <c r="NHE23" s="9"/>
      <c r="NHF23" s="9"/>
      <c r="NHG23" s="9"/>
      <c r="NHH23" s="9"/>
      <c r="NHI23" s="9"/>
      <c r="NHJ23" s="9"/>
      <c r="NHK23" s="9"/>
      <c r="NHL23" s="9"/>
      <c r="NHM23" s="9"/>
      <c r="NHN23" s="9"/>
      <c r="NHO23" s="9"/>
      <c r="NHP23" s="9"/>
      <c r="NHQ23" s="9"/>
      <c r="NHR23" s="9"/>
      <c r="NHS23" s="9"/>
      <c r="NHT23" s="9"/>
      <c r="NHU23" s="9"/>
      <c r="NHV23" s="9"/>
      <c r="NHW23" s="9"/>
      <c r="NHX23" s="9"/>
      <c r="NHY23" s="9"/>
      <c r="NHZ23" s="9"/>
      <c r="NIA23" s="9"/>
      <c r="NIB23" s="9"/>
      <c r="NIC23" s="9"/>
      <c r="NID23" s="9"/>
      <c r="NIE23" s="9"/>
      <c r="NIF23" s="9"/>
      <c r="NIG23" s="9"/>
      <c r="NIH23" s="9"/>
      <c r="NII23" s="9"/>
      <c r="NIJ23" s="9"/>
      <c r="NIK23" s="9"/>
      <c r="NIL23" s="9"/>
      <c r="NIM23" s="9"/>
      <c r="NIN23" s="9"/>
      <c r="NIO23" s="9"/>
      <c r="NIP23" s="9"/>
      <c r="NIQ23" s="9"/>
      <c r="NIR23" s="9"/>
      <c r="NIS23" s="9"/>
      <c r="NIT23" s="9"/>
      <c r="NIU23" s="9"/>
      <c r="NIV23" s="9"/>
      <c r="NIW23" s="9"/>
      <c r="NIX23" s="9"/>
      <c r="NIY23" s="9"/>
      <c r="NIZ23" s="9"/>
      <c r="NJA23" s="9"/>
      <c r="NJB23" s="9"/>
      <c r="NJC23" s="9"/>
      <c r="NJD23" s="9"/>
      <c r="NJE23" s="9"/>
      <c r="NJF23" s="9"/>
      <c r="NJG23" s="9"/>
      <c r="NJH23" s="9"/>
      <c r="NJI23" s="9"/>
      <c r="NJJ23" s="9"/>
      <c r="NJK23" s="9"/>
      <c r="NJL23" s="9"/>
      <c r="NJM23" s="9"/>
      <c r="NJN23" s="9"/>
      <c r="NJO23" s="9"/>
      <c r="NJP23" s="9"/>
      <c r="NJQ23" s="9"/>
      <c r="NJR23" s="9"/>
      <c r="NJS23" s="9"/>
      <c r="NJT23" s="9"/>
      <c r="NJU23" s="9"/>
      <c r="NJV23" s="9"/>
      <c r="NJW23" s="9"/>
      <c r="NJX23" s="9"/>
      <c r="NJY23" s="9"/>
      <c r="NJZ23" s="9"/>
      <c r="NKA23" s="9"/>
      <c r="NKB23" s="9"/>
      <c r="NKC23" s="9"/>
      <c r="NKD23" s="9"/>
      <c r="NKE23" s="9"/>
      <c r="NKF23" s="9"/>
      <c r="NKG23" s="9"/>
      <c r="NKH23" s="9"/>
      <c r="NKI23" s="9"/>
      <c r="NKJ23" s="9"/>
      <c r="NKK23" s="9"/>
      <c r="NKL23" s="9"/>
      <c r="NKM23" s="9"/>
      <c r="NKN23" s="9"/>
      <c r="NKO23" s="9"/>
      <c r="NKP23" s="9"/>
      <c r="NKQ23" s="9"/>
      <c r="NKR23" s="9"/>
      <c r="NKS23" s="9"/>
      <c r="NKT23" s="9"/>
      <c r="NKU23" s="9"/>
      <c r="NKV23" s="9"/>
      <c r="NKW23" s="9"/>
      <c r="NKX23" s="9"/>
      <c r="NKY23" s="9"/>
      <c r="NKZ23" s="9"/>
      <c r="NLA23" s="9"/>
      <c r="NLB23" s="9"/>
      <c r="NLC23" s="9"/>
      <c r="NLD23" s="9"/>
      <c r="NLE23" s="9"/>
      <c r="NLF23" s="9"/>
      <c r="NLG23" s="9"/>
      <c r="NLH23" s="9"/>
      <c r="NLI23" s="9"/>
      <c r="NLJ23" s="9"/>
      <c r="NLK23" s="9"/>
      <c r="NLL23" s="9"/>
      <c r="NLM23" s="9"/>
      <c r="NLN23" s="9"/>
      <c r="NLO23" s="9"/>
      <c r="NLP23" s="9"/>
      <c r="NLQ23" s="9"/>
      <c r="NLR23" s="9"/>
      <c r="NLS23" s="9"/>
      <c r="NLT23" s="9"/>
      <c r="NLU23" s="9"/>
      <c r="NLV23" s="9"/>
      <c r="NLW23" s="9"/>
      <c r="NLX23" s="9"/>
      <c r="NLY23" s="9"/>
      <c r="NLZ23" s="9"/>
      <c r="NMA23" s="9"/>
      <c r="NMB23" s="9"/>
      <c r="NMC23" s="9"/>
      <c r="NMD23" s="9"/>
      <c r="NME23" s="9"/>
      <c r="NMF23" s="9"/>
      <c r="NMG23" s="9"/>
      <c r="NMH23" s="9"/>
      <c r="NMI23" s="9"/>
      <c r="NMJ23" s="9"/>
      <c r="NMK23" s="9"/>
      <c r="NML23" s="9"/>
      <c r="NMM23" s="9"/>
      <c r="NMN23" s="9"/>
      <c r="NMO23" s="9"/>
      <c r="NMP23" s="9"/>
      <c r="NMQ23" s="9"/>
      <c r="NMR23" s="9"/>
      <c r="NMS23" s="9"/>
      <c r="NMT23" s="9"/>
      <c r="NMU23" s="9"/>
      <c r="NMV23" s="9"/>
      <c r="NMW23" s="9"/>
      <c r="NMX23" s="9"/>
      <c r="NMY23" s="9"/>
      <c r="NMZ23" s="9"/>
      <c r="NNA23" s="9"/>
      <c r="NNB23" s="9"/>
      <c r="NNC23" s="9"/>
      <c r="NND23" s="9"/>
      <c r="NNE23" s="9"/>
      <c r="NNF23" s="9"/>
      <c r="NNG23" s="9"/>
      <c r="NNH23" s="9"/>
      <c r="NNI23" s="9"/>
      <c r="NNJ23" s="9"/>
      <c r="NNK23" s="9"/>
      <c r="NNL23" s="9"/>
      <c r="NNM23" s="9"/>
      <c r="NNN23" s="9"/>
      <c r="NNO23" s="9"/>
      <c r="NNP23" s="9"/>
      <c r="NNQ23" s="9"/>
      <c r="NNR23" s="9"/>
      <c r="NNS23" s="9"/>
      <c r="NNT23" s="9"/>
      <c r="NNU23" s="9"/>
      <c r="NNV23" s="9"/>
      <c r="NNW23" s="9"/>
      <c r="NNX23" s="9"/>
      <c r="NNY23" s="9"/>
      <c r="NNZ23" s="9"/>
      <c r="NOA23" s="9"/>
      <c r="NOB23" s="9"/>
      <c r="NOC23" s="9"/>
      <c r="NOD23" s="9"/>
      <c r="NOE23" s="9"/>
      <c r="NOF23" s="9"/>
      <c r="NOG23" s="9"/>
      <c r="NOH23" s="9"/>
      <c r="NOI23" s="9"/>
      <c r="NOJ23" s="9"/>
      <c r="NOK23" s="9"/>
      <c r="NOL23" s="9"/>
      <c r="NOM23" s="9"/>
      <c r="NON23" s="9"/>
      <c r="NOO23" s="9"/>
      <c r="NOP23" s="9"/>
      <c r="NOQ23" s="9"/>
      <c r="NOR23" s="9"/>
      <c r="NOS23" s="9"/>
      <c r="NOT23" s="9"/>
      <c r="NOU23" s="9"/>
      <c r="NOV23" s="9"/>
      <c r="NOW23" s="9"/>
      <c r="NOX23" s="9"/>
      <c r="NOY23" s="9"/>
      <c r="NOZ23" s="9"/>
      <c r="NPA23" s="9"/>
      <c r="NPB23" s="9"/>
      <c r="NPC23" s="9"/>
      <c r="NPD23" s="9"/>
      <c r="NPE23" s="9"/>
      <c r="NPF23" s="9"/>
      <c r="NPG23" s="9"/>
      <c r="NPH23" s="9"/>
      <c r="NPI23" s="9"/>
      <c r="NPJ23" s="9"/>
      <c r="NPK23" s="9"/>
      <c r="NPL23" s="9"/>
      <c r="NPM23" s="9"/>
      <c r="NPN23" s="9"/>
      <c r="NPO23" s="9"/>
      <c r="NPP23" s="9"/>
      <c r="NPQ23" s="9"/>
      <c r="NPR23" s="9"/>
      <c r="NPS23" s="9"/>
      <c r="NPT23" s="9"/>
      <c r="NPU23" s="9"/>
      <c r="NPV23" s="9"/>
      <c r="NPW23" s="9"/>
      <c r="NPX23" s="9"/>
      <c r="NPY23" s="9"/>
      <c r="NPZ23" s="9"/>
      <c r="NQA23" s="9"/>
      <c r="NQB23" s="9"/>
      <c r="NQC23" s="9"/>
      <c r="NQD23" s="9"/>
      <c r="NQE23" s="9"/>
      <c r="NQF23" s="9"/>
      <c r="NQG23" s="9"/>
      <c r="NQH23" s="9"/>
      <c r="NQI23" s="9"/>
      <c r="NQJ23" s="9"/>
      <c r="NQK23" s="9"/>
      <c r="NQL23" s="9"/>
      <c r="NQM23" s="9"/>
      <c r="NQN23" s="9"/>
      <c r="NQO23" s="9"/>
      <c r="NQP23" s="9"/>
      <c r="NQQ23" s="9"/>
      <c r="NQR23" s="9"/>
      <c r="NQS23" s="9"/>
      <c r="NQT23" s="9"/>
      <c r="NQU23" s="9"/>
      <c r="NQV23" s="9"/>
      <c r="NQW23" s="9"/>
      <c r="NQX23" s="9"/>
      <c r="NQY23" s="9"/>
      <c r="NQZ23" s="9"/>
      <c r="NRA23" s="9"/>
      <c r="NRB23" s="9"/>
      <c r="NRC23" s="9"/>
      <c r="NRD23" s="9"/>
      <c r="NRE23" s="9"/>
      <c r="NRF23" s="9"/>
      <c r="NRG23" s="9"/>
      <c r="NRH23" s="9"/>
      <c r="NRI23" s="9"/>
      <c r="NRJ23" s="9"/>
      <c r="NRK23" s="9"/>
      <c r="NRL23" s="9"/>
      <c r="NRM23" s="9"/>
      <c r="NRN23" s="9"/>
      <c r="NRO23" s="9"/>
      <c r="NRP23" s="9"/>
      <c r="NRQ23" s="9"/>
      <c r="NRR23" s="9"/>
      <c r="NRS23" s="9"/>
      <c r="NRT23" s="9"/>
      <c r="NRU23" s="9"/>
      <c r="NRV23" s="9"/>
      <c r="NRW23" s="9"/>
      <c r="NRX23" s="9"/>
      <c r="NRY23" s="9"/>
      <c r="NRZ23" s="9"/>
      <c r="NSA23" s="9"/>
      <c r="NSB23" s="9"/>
      <c r="NSC23" s="9"/>
      <c r="NSD23" s="9"/>
      <c r="NSE23" s="9"/>
      <c r="NSF23" s="9"/>
      <c r="NSG23" s="9"/>
      <c r="NSH23" s="9"/>
      <c r="NSI23" s="9"/>
      <c r="NSJ23" s="9"/>
      <c r="NSK23" s="9"/>
      <c r="NSL23" s="9"/>
      <c r="NSM23" s="9"/>
      <c r="NSN23" s="9"/>
      <c r="NSO23" s="9"/>
      <c r="NSP23" s="9"/>
      <c r="NSQ23" s="9"/>
      <c r="NSR23" s="9"/>
      <c r="NSS23" s="9"/>
      <c r="NST23" s="9"/>
      <c r="NSU23" s="9"/>
      <c r="NSV23" s="9"/>
      <c r="NSW23" s="9"/>
      <c r="NSX23" s="9"/>
      <c r="NSY23" s="9"/>
      <c r="NSZ23" s="9"/>
      <c r="NTA23" s="9"/>
      <c r="NTB23" s="9"/>
      <c r="NTC23" s="9"/>
      <c r="NTD23" s="9"/>
      <c r="NTE23" s="9"/>
      <c r="NTF23" s="9"/>
      <c r="NTG23" s="9"/>
      <c r="NTH23" s="9"/>
      <c r="NTI23" s="9"/>
      <c r="NTJ23" s="9"/>
      <c r="NTK23" s="9"/>
      <c r="NTL23" s="9"/>
      <c r="NTM23" s="9"/>
      <c r="NTN23" s="9"/>
      <c r="NTO23" s="9"/>
      <c r="NTP23" s="9"/>
      <c r="NTQ23" s="9"/>
      <c r="NTR23" s="9"/>
      <c r="NTS23" s="9"/>
      <c r="NTT23" s="9"/>
      <c r="NTU23" s="9"/>
      <c r="NTV23" s="9"/>
      <c r="NTW23" s="9"/>
      <c r="NTX23" s="9"/>
      <c r="NTY23" s="9"/>
      <c r="NTZ23" s="9"/>
      <c r="NUA23" s="9"/>
      <c r="NUB23" s="9"/>
      <c r="NUC23" s="9"/>
      <c r="NUD23" s="9"/>
      <c r="NUE23" s="9"/>
      <c r="NUF23" s="9"/>
      <c r="NUG23" s="9"/>
      <c r="NUH23" s="9"/>
      <c r="NUI23" s="9"/>
      <c r="NUJ23" s="9"/>
      <c r="NUK23" s="9"/>
      <c r="NUL23" s="9"/>
      <c r="NUM23" s="9"/>
      <c r="NUN23" s="9"/>
      <c r="NUO23" s="9"/>
      <c r="NUP23" s="9"/>
      <c r="NUQ23" s="9"/>
      <c r="NUR23" s="9"/>
      <c r="NUS23" s="9"/>
      <c r="NUT23" s="9"/>
      <c r="NUU23" s="9"/>
      <c r="NUV23" s="9"/>
      <c r="NUW23" s="9"/>
      <c r="NUX23" s="9"/>
      <c r="NUY23" s="9"/>
      <c r="NUZ23" s="9"/>
      <c r="NVA23" s="9"/>
      <c r="NVB23" s="9"/>
      <c r="NVC23" s="9"/>
      <c r="NVD23" s="9"/>
      <c r="NVE23" s="9"/>
      <c r="NVF23" s="9"/>
      <c r="NVG23" s="9"/>
      <c r="NVH23" s="9"/>
      <c r="NVI23" s="9"/>
      <c r="NVJ23" s="9"/>
      <c r="NVK23" s="9"/>
      <c r="NVL23" s="9"/>
      <c r="NVM23" s="9"/>
      <c r="NVN23" s="9"/>
      <c r="NVO23" s="9"/>
      <c r="NVP23" s="9"/>
      <c r="NVQ23" s="9"/>
      <c r="NVR23" s="9"/>
      <c r="NVS23" s="9"/>
      <c r="NVT23" s="9"/>
      <c r="NVU23" s="9"/>
      <c r="NVV23" s="9"/>
      <c r="NVW23" s="9"/>
      <c r="NVX23" s="9"/>
      <c r="NVY23" s="9"/>
      <c r="NVZ23" s="9"/>
      <c r="NWA23" s="9"/>
      <c r="NWB23" s="9"/>
      <c r="NWC23" s="9"/>
      <c r="NWD23" s="9"/>
      <c r="NWE23" s="9"/>
      <c r="NWF23" s="9"/>
      <c r="NWG23" s="9"/>
      <c r="NWH23" s="9"/>
      <c r="NWI23" s="9"/>
      <c r="NWJ23" s="9"/>
      <c r="NWK23" s="9"/>
      <c r="NWL23" s="9"/>
      <c r="NWM23" s="9"/>
      <c r="NWN23" s="9"/>
      <c r="NWO23" s="9"/>
      <c r="NWP23" s="9"/>
      <c r="NWQ23" s="9"/>
      <c r="NWR23" s="9"/>
      <c r="NWS23" s="9"/>
      <c r="NWT23" s="9"/>
      <c r="NWU23" s="9"/>
      <c r="NWV23" s="9"/>
      <c r="NWW23" s="9"/>
      <c r="NWX23" s="9"/>
      <c r="NWY23" s="9"/>
      <c r="NWZ23" s="9"/>
      <c r="NXA23" s="9"/>
      <c r="NXB23" s="9"/>
      <c r="NXC23" s="9"/>
      <c r="NXD23" s="9"/>
      <c r="NXE23" s="9"/>
      <c r="NXF23" s="9"/>
      <c r="NXG23" s="9"/>
      <c r="NXH23" s="9"/>
      <c r="NXI23" s="9"/>
      <c r="NXJ23" s="9"/>
      <c r="NXK23" s="9"/>
      <c r="NXL23" s="9"/>
      <c r="NXM23" s="9"/>
      <c r="NXN23" s="9"/>
      <c r="NXO23" s="9"/>
      <c r="NXP23" s="9"/>
      <c r="NXQ23" s="9"/>
      <c r="NXR23" s="9"/>
      <c r="NXS23" s="9"/>
      <c r="NXT23" s="9"/>
      <c r="NXU23" s="9"/>
      <c r="NXV23" s="9"/>
      <c r="NXW23" s="9"/>
      <c r="NXX23" s="9"/>
      <c r="NXY23" s="9"/>
      <c r="NXZ23" s="9"/>
      <c r="NYA23" s="9"/>
      <c r="NYB23" s="9"/>
      <c r="NYC23" s="9"/>
      <c r="NYD23" s="9"/>
      <c r="NYE23" s="9"/>
      <c r="NYF23" s="9"/>
      <c r="NYG23" s="9"/>
      <c r="NYH23" s="9"/>
      <c r="NYI23" s="9"/>
      <c r="NYJ23" s="9"/>
      <c r="NYK23" s="9"/>
      <c r="NYL23" s="9"/>
      <c r="NYM23" s="9"/>
      <c r="NYN23" s="9"/>
      <c r="NYO23" s="9"/>
      <c r="NYP23" s="9"/>
      <c r="NYQ23" s="9"/>
      <c r="NYR23" s="9"/>
      <c r="NYS23" s="9"/>
      <c r="NYT23" s="9"/>
      <c r="NYU23" s="9"/>
      <c r="NYV23" s="9"/>
      <c r="NYW23" s="9"/>
      <c r="NYX23" s="9"/>
      <c r="NYY23" s="9"/>
      <c r="NYZ23" s="9"/>
      <c r="NZA23" s="9"/>
      <c r="NZB23" s="9"/>
      <c r="NZC23" s="9"/>
      <c r="NZD23" s="9"/>
      <c r="NZE23" s="9"/>
      <c r="NZF23" s="9"/>
      <c r="NZG23" s="9"/>
      <c r="NZH23" s="9"/>
      <c r="NZI23" s="9"/>
      <c r="NZJ23" s="9"/>
      <c r="NZK23" s="9"/>
      <c r="NZL23" s="9"/>
      <c r="NZM23" s="9"/>
      <c r="NZN23" s="9"/>
      <c r="NZO23" s="9"/>
      <c r="NZP23" s="9"/>
      <c r="NZQ23" s="9"/>
      <c r="NZR23" s="9"/>
      <c r="NZS23" s="9"/>
      <c r="NZT23" s="9"/>
      <c r="NZU23" s="9"/>
      <c r="NZV23" s="9"/>
      <c r="NZW23" s="9"/>
      <c r="NZX23" s="9"/>
      <c r="NZY23" s="9"/>
      <c r="NZZ23" s="9"/>
      <c r="OAA23" s="9"/>
      <c r="OAB23" s="9"/>
      <c r="OAC23" s="9"/>
      <c r="OAD23" s="9"/>
      <c r="OAE23" s="9"/>
      <c r="OAF23" s="9"/>
      <c r="OAG23" s="9"/>
      <c r="OAH23" s="9"/>
      <c r="OAI23" s="9"/>
      <c r="OAJ23" s="9"/>
      <c r="OAK23" s="9"/>
      <c r="OAL23" s="9"/>
      <c r="OAM23" s="9"/>
      <c r="OAN23" s="9"/>
      <c r="OAO23" s="9"/>
      <c r="OAP23" s="9"/>
      <c r="OAQ23" s="9"/>
      <c r="OAR23" s="9"/>
      <c r="OAS23" s="9"/>
      <c r="OAT23" s="9"/>
      <c r="OAU23" s="9"/>
      <c r="OAV23" s="9"/>
      <c r="OAW23" s="9"/>
      <c r="OAX23" s="9"/>
      <c r="OAY23" s="9"/>
      <c r="OAZ23" s="9"/>
      <c r="OBA23" s="9"/>
      <c r="OBB23" s="9"/>
      <c r="OBC23" s="9"/>
      <c r="OBD23" s="9"/>
      <c r="OBE23" s="9"/>
      <c r="OBF23" s="9"/>
      <c r="OBG23" s="9"/>
      <c r="OBH23" s="9"/>
      <c r="OBI23" s="9"/>
      <c r="OBJ23" s="9"/>
      <c r="OBK23" s="9"/>
      <c r="OBL23" s="9"/>
      <c r="OBM23" s="9"/>
      <c r="OBN23" s="9"/>
      <c r="OBO23" s="9"/>
      <c r="OBP23" s="9"/>
      <c r="OBQ23" s="9"/>
      <c r="OBR23" s="9"/>
      <c r="OBS23" s="9"/>
      <c r="OBT23" s="9"/>
      <c r="OBU23" s="9"/>
      <c r="OBV23" s="9"/>
      <c r="OBW23" s="9"/>
      <c r="OBX23" s="9"/>
      <c r="OBY23" s="9"/>
      <c r="OBZ23" s="9"/>
      <c r="OCA23" s="9"/>
      <c r="OCB23" s="9"/>
      <c r="OCC23" s="9"/>
      <c r="OCD23" s="9"/>
      <c r="OCE23" s="9"/>
      <c r="OCF23" s="9"/>
      <c r="OCG23" s="9"/>
      <c r="OCH23" s="9"/>
      <c r="OCI23" s="9"/>
      <c r="OCJ23" s="9"/>
      <c r="OCK23" s="9"/>
      <c r="OCL23" s="9"/>
      <c r="OCM23" s="9"/>
      <c r="OCN23" s="9"/>
      <c r="OCO23" s="9"/>
      <c r="OCP23" s="9"/>
      <c r="OCQ23" s="9"/>
      <c r="OCR23" s="9"/>
      <c r="OCS23" s="9"/>
      <c r="OCT23" s="9"/>
      <c r="OCU23" s="9"/>
      <c r="OCV23" s="9"/>
      <c r="OCW23" s="9"/>
      <c r="OCX23" s="9"/>
      <c r="OCY23" s="9"/>
      <c r="OCZ23" s="9"/>
      <c r="ODA23" s="9"/>
      <c r="ODB23" s="9"/>
      <c r="ODC23" s="9"/>
      <c r="ODD23" s="9"/>
      <c r="ODE23" s="9"/>
      <c r="ODF23" s="9"/>
      <c r="ODG23" s="9"/>
      <c r="ODH23" s="9"/>
      <c r="ODI23" s="9"/>
      <c r="ODJ23" s="9"/>
      <c r="ODK23" s="9"/>
      <c r="ODL23" s="9"/>
      <c r="ODM23" s="9"/>
      <c r="ODN23" s="9"/>
      <c r="ODO23" s="9"/>
      <c r="ODP23" s="9"/>
      <c r="ODQ23" s="9"/>
      <c r="ODR23" s="9"/>
      <c r="ODS23" s="9"/>
      <c r="ODT23" s="9"/>
      <c r="ODU23" s="9"/>
      <c r="ODV23" s="9"/>
      <c r="ODW23" s="9"/>
      <c r="ODX23" s="9"/>
      <c r="ODY23" s="9"/>
      <c r="ODZ23" s="9"/>
      <c r="OEA23" s="9"/>
      <c r="OEB23" s="9"/>
      <c r="OEC23" s="9"/>
      <c r="OED23" s="9"/>
      <c r="OEE23" s="9"/>
      <c r="OEF23" s="9"/>
      <c r="OEG23" s="9"/>
      <c r="OEH23" s="9"/>
      <c r="OEI23" s="9"/>
      <c r="OEJ23" s="9"/>
      <c r="OEK23" s="9"/>
      <c r="OEL23" s="9"/>
      <c r="OEM23" s="9"/>
      <c r="OEN23" s="9"/>
      <c r="OEO23" s="9"/>
      <c r="OEP23" s="9"/>
      <c r="OEQ23" s="9"/>
      <c r="OER23" s="9"/>
      <c r="OES23" s="9"/>
      <c r="OET23" s="9"/>
      <c r="OEU23" s="9"/>
      <c r="OEV23" s="9"/>
      <c r="OEW23" s="9"/>
      <c r="OEX23" s="9"/>
      <c r="OEY23" s="9"/>
      <c r="OEZ23" s="9"/>
      <c r="OFA23" s="9"/>
      <c r="OFB23" s="9"/>
      <c r="OFC23" s="9"/>
      <c r="OFD23" s="9"/>
      <c r="OFE23" s="9"/>
      <c r="OFF23" s="9"/>
      <c r="OFG23" s="9"/>
      <c r="OFH23" s="9"/>
      <c r="OFI23" s="9"/>
      <c r="OFJ23" s="9"/>
      <c r="OFK23" s="9"/>
      <c r="OFL23" s="9"/>
      <c r="OFM23" s="9"/>
      <c r="OFN23" s="9"/>
      <c r="OFO23" s="9"/>
      <c r="OFP23" s="9"/>
      <c r="OFQ23" s="9"/>
      <c r="OFR23" s="9"/>
      <c r="OFS23" s="9"/>
      <c r="OFT23" s="9"/>
      <c r="OFU23" s="9"/>
      <c r="OFV23" s="9"/>
      <c r="OFW23" s="9"/>
      <c r="OFX23" s="9"/>
      <c r="OFY23" s="9"/>
      <c r="OFZ23" s="9"/>
      <c r="OGA23" s="9"/>
      <c r="OGB23" s="9"/>
      <c r="OGC23" s="9"/>
      <c r="OGD23" s="9"/>
      <c r="OGE23" s="9"/>
      <c r="OGF23" s="9"/>
      <c r="OGG23" s="9"/>
      <c r="OGH23" s="9"/>
      <c r="OGI23" s="9"/>
      <c r="OGJ23" s="9"/>
      <c r="OGK23" s="9"/>
      <c r="OGL23" s="9"/>
      <c r="OGM23" s="9"/>
      <c r="OGN23" s="9"/>
      <c r="OGO23" s="9"/>
      <c r="OGP23" s="9"/>
      <c r="OGQ23" s="9"/>
      <c r="OGR23" s="9"/>
      <c r="OGS23" s="9"/>
      <c r="OGT23" s="9"/>
      <c r="OGU23" s="9"/>
      <c r="OGV23" s="9"/>
      <c r="OGW23" s="9"/>
      <c r="OGX23" s="9"/>
      <c r="OGY23" s="9"/>
      <c r="OGZ23" s="9"/>
      <c r="OHA23" s="9"/>
      <c r="OHB23" s="9"/>
      <c r="OHC23" s="9"/>
      <c r="OHD23" s="9"/>
      <c r="OHE23" s="9"/>
      <c r="OHF23" s="9"/>
      <c r="OHG23" s="9"/>
      <c r="OHH23" s="9"/>
      <c r="OHI23" s="9"/>
      <c r="OHJ23" s="9"/>
      <c r="OHK23" s="9"/>
      <c r="OHL23" s="9"/>
      <c r="OHM23" s="9"/>
      <c r="OHN23" s="9"/>
      <c r="OHO23" s="9"/>
      <c r="OHP23" s="9"/>
      <c r="OHQ23" s="9"/>
      <c r="OHR23" s="9"/>
      <c r="OHS23" s="9"/>
      <c r="OHT23" s="9"/>
      <c r="OHU23" s="9"/>
      <c r="OHV23" s="9"/>
      <c r="OHW23" s="9"/>
      <c r="OHX23" s="9"/>
      <c r="OHY23" s="9"/>
      <c r="OHZ23" s="9"/>
      <c r="OIA23" s="9"/>
      <c r="OIB23" s="9"/>
      <c r="OIC23" s="9"/>
      <c r="OID23" s="9"/>
      <c r="OIE23" s="9"/>
      <c r="OIF23" s="9"/>
      <c r="OIG23" s="9"/>
      <c r="OIH23" s="9"/>
      <c r="OII23" s="9"/>
      <c r="OIJ23" s="9"/>
      <c r="OIK23" s="9"/>
      <c r="OIL23" s="9"/>
      <c r="OIM23" s="9"/>
      <c r="OIN23" s="9"/>
      <c r="OIO23" s="9"/>
      <c r="OIP23" s="9"/>
      <c r="OIQ23" s="9"/>
      <c r="OIR23" s="9"/>
      <c r="OIS23" s="9"/>
      <c r="OIT23" s="9"/>
      <c r="OIU23" s="9"/>
      <c r="OIV23" s="9"/>
      <c r="OIW23" s="9"/>
      <c r="OIX23" s="9"/>
      <c r="OIY23" s="9"/>
      <c r="OIZ23" s="9"/>
      <c r="OJA23" s="9"/>
      <c r="OJB23" s="9"/>
      <c r="OJC23" s="9"/>
      <c r="OJD23" s="9"/>
      <c r="OJE23" s="9"/>
      <c r="OJF23" s="9"/>
      <c r="OJG23" s="9"/>
      <c r="OJH23" s="9"/>
      <c r="OJI23" s="9"/>
      <c r="OJJ23" s="9"/>
      <c r="OJK23" s="9"/>
      <c r="OJL23" s="9"/>
      <c r="OJM23" s="9"/>
      <c r="OJN23" s="9"/>
      <c r="OJO23" s="9"/>
      <c r="OJP23" s="9"/>
      <c r="OJQ23" s="9"/>
      <c r="OJR23" s="9"/>
      <c r="OJS23" s="9"/>
      <c r="OJT23" s="9"/>
      <c r="OJU23" s="9"/>
      <c r="OJV23" s="9"/>
      <c r="OJW23" s="9"/>
      <c r="OJX23" s="9"/>
      <c r="OJY23" s="9"/>
      <c r="OJZ23" s="9"/>
      <c r="OKA23" s="9"/>
      <c r="OKB23" s="9"/>
      <c r="OKC23" s="9"/>
      <c r="OKD23" s="9"/>
      <c r="OKE23" s="9"/>
      <c r="OKF23" s="9"/>
      <c r="OKG23" s="9"/>
      <c r="OKH23" s="9"/>
      <c r="OKI23" s="9"/>
      <c r="OKJ23" s="9"/>
      <c r="OKK23" s="9"/>
      <c r="OKL23" s="9"/>
      <c r="OKM23" s="9"/>
      <c r="OKN23" s="9"/>
      <c r="OKO23" s="9"/>
      <c r="OKP23" s="9"/>
      <c r="OKQ23" s="9"/>
      <c r="OKR23" s="9"/>
      <c r="OKS23" s="9"/>
      <c r="OKT23" s="9"/>
      <c r="OKU23" s="9"/>
      <c r="OKV23" s="9"/>
      <c r="OKW23" s="9"/>
      <c r="OKX23" s="9"/>
      <c r="OKY23" s="9"/>
      <c r="OKZ23" s="9"/>
      <c r="OLA23" s="9"/>
      <c r="OLB23" s="9"/>
      <c r="OLC23" s="9"/>
      <c r="OLD23" s="9"/>
      <c r="OLE23" s="9"/>
      <c r="OLF23" s="9"/>
      <c r="OLG23" s="9"/>
      <c r="OLH23" s="9"/>
      <c r="OLI23" s="9"/>
      <c r="OLJ23" s="9"/>
      <c r="OLK23" s="9"/>
      <c r="OLL23" s="9"/>
      <c r="OLM23" s="9"/>
      <c r="OLN23" s="9"/>
      <c r="OLO23" s="9"/>
      <c r="OLP23" s="9"/>
      <c r="OLQ23" s="9"/>
      <c r="OLR23" s="9"/>
      <c r="OLS23" s="9"/>
      <c r="OLT23" s="9"/>
      <c r="OLU23" s="9"/>
      <c r="OLV23" s="9"/>
      <c r="OLW23" s="9"/>
      <c r="OLX23" s="9"/>
      <c r="OLY23" s="9"/>
      <c r="OLZ23" s="9"/>
      <c r="OMA23" s="9"/>
      <c r="OMB23" s="9"/>
      <c r="OMC23" s="9"/>
      <c r="OMD23" s="9"/>
      <c r="OME23" s="9"/>
      <c r="OMF23" s="9"/>
      <c r="OMG23" s="9"/>
      <c r="OMH23" s="9"/>
      <c r="OMI23" s="9"/>
      <c r="OMJ23" s="9"/>
      <c r="OMK23" s="9"/>
      <c r="OML23" s="9"/>
      <c r="OMM23" s="9"/>
      <c r="OMN23" s="9"/>
      <c r="OMO23" s="9"/>
      <c r="OMP23" s="9"/>
      <c r="OMQ23" s="9"/>
      <c r="OMR23" s="9"/>
      <c r="OMS23" s="9"/>
      <c r="OMT23" s="9"/>
      <c r="OMU23" s="9"/>
      <c r="OMV23" s="9"/>
      <c r="OMW23" s="9"/>
      <c r="OMX23" s="9"/>
      <c r="OMY23" s="9"/>
      <c r="OMZ23" s="9"/>
      <c r="ONA23" s="9"/>
      <c r="ONB23" s="9"/>
      <c r="ONC23" s="9"/>
      <c r="OND23" s="9"/>
      <c r="ONE23" s="9"/>
      <c r="ONF23" s="9"/>
      <c r="ONG23" s="9"/>
      <c r="ONH23" s="9"/>
      <c r="ONI23" s="9"/>
      <c r="ONJ23" s="9"/>
      <c r="ONK23" s="9"/>
      <c r="ONL23" s="9"/>
      <c r="ONM23" s="9"/>
      <c r="ONN23" s="9"/>
      <c r="ONO23" s="9"/>
      <c r="ONP23" s="9"/>
      <c r="ONQ23" s="9"/>
      <c r="ONR23" s="9"/>
      <c r="ONS23" s="9"/>
      <c r="ONT23" s="9"/>
      <c r="ONU23" s="9"/>
      <c r="ONV23" s="9"/>
      <c r="ONW23" s="9"/>
      <c r="ONX23" s="9"/>
      <c r="ONY23" s="9"/>
      <c r="ONZ23" s="9"/>
      <c r="OOA23" s="9"/>
      <c r="OOB23" s="9"/>
      <c r="OOC23" s="9"/>
      <c r="OOD23" s="9"/>
      <c r="OOE23" s="9"/>
      <c r="OOF23" s="9"/>
      <c r="OOG23" s="9"/>
      <c r="OOH23" s="9"/>
      <c r="OOI23" s="9"/>
      <c r="OOJ23" s="9"/>
      <c r="OOK23" s="9"/>
      <c r="OOL23" s="9"/>
      <c r="OOM23" s="9"/>
      <c r="OON23" s="9"/>
      <c r="OOO23" s="9"/>
      <c r="OOP23" s="9"/>
      <c r="OOQ23" s="9"/>
      <c r="OOR23" s="9"/>
      <c r="OOS23" s="9"/>
      <c r="OOT23" s="9"/>
      <c r="OOU23" s="9"/>
      <c r="OOV23" s="9"/>
      <c r="OOW23" s="9"/>
      <c r="OOX23" s="9"/>
      <c r="OOY23" s="9"/>
      <c r="OOZ23" s="9"/>
      <c r="OPA23" s="9"/>
      <c r="OPB23" s="9"/>
      <c r="OPC23" s="9"/>
      <c r="OPD23" s="9"/>
      <c r="OPE23" s="9"/>
      <c r="OPF23" s="9"/>
      <c r="OPG23" s="9"/>
      <c r="OPH23" s="9"/>
      <c r="OPI23" s="9"/>
      <c r="OPJ23" s="9"/>
      <c r="OPK23" s="9"/>
      <c r="OPL23" s="9"/>
      <c r="OPM23" s="9"/>
      <c r="OPN23" s="9"/>
      <c r="OPO23" s="9"/>
      <c r="OPP23" s="9"/>
      <c r="OPQ23" s="9"/>
      <c r="OPR23" s="9"/>
      <c r="OPS23" s="9"/>
      <c r="OPT23" s="9"/>
      <c r="OPU23" s="9"/>
      <c r="OPV23" s="9"/>
      <c r="OPW23" s="9"/>
      <c r="OPX23" s="9"/>
      <c r="OPY23" s="9"/>
      <c r="OPZ23" s="9"/>
      <c r="OQA23" s="9"/>
      <c r="OQB23" s="9"/>
      <c r="OQC23" s="9"/>
      <c r="OQD23" s="9"/>
      <c r="OQE23" s="9"/>
      <c r="OQF23" s="9"/>
      <c r="OQG23" s="9"/>
      <c r="OQH23" s="9"/>
      <c r="OQI23" s="9"/>
      <c r="OQJ23" s="9"/>
      <c r="OQK23" s="9"/>
      <c r="OQL23" s="9"/>
      <c r="OQM23" s="9"/>
      <c r="OQN23" s="9"/>
      <c r="OQO23" s="9"/>
      <c r="OQP23" s="9"/>
      <c r="OQQ23" s="9"/>
      <c r="OQR23" s="9"/>
      <c r="OQS23" s="9"/>
      <c r="OQT23" s="9"/>
      <c r="OQU23" s="9"/>
      <c r="OQV23" s="9"/>
      <c r="OQW23" s="9"/>
      <c r="OQX23" s="9"/>
      <c r="OQY23" s="9"/>
      <c r="OQZ23" s="9"/>
      <c r="ORA23" s="9"/>
      <c r="ORB23" s="9"/>
      <c r="ORC23" s="9"/>
      <c r="ORD23" s="9"/>
      <c r="ORE23" s="9"/>
      <c r="ORF23" s="9"/>
      <c r="ORG23" s="9"/>
      <c r="ORH23" s="9"/>
      <c r="ORI23" s="9"/>
      <c r="ORJ23" s="9"/>
      <c r="ORK23" s="9"/>
      <c r="ORL23" s="9"/>
      <c r="ORM23" s="9"/>
      <c r="ORN23" s="9"/>
      <c r="ORO23" s="9"/>
      <c r="ORP23" s="9"/>
      <c r="ORQ23" s="9"/>
      <c r="ORR23" s="9"/>
      <c r="ORS23" s="9"/>
      <c r="ORT23" s="9"/>
      <c r="ORU23" s="9"/>
      <c r="ORV23" s="9"/>
      <c r="ORW23" s="9"/>
      <c r="ORX23" s="9"/>
      <c r="ORY23" s="9"/>
      <c r="ORZ23" s="9"/>
      <c r="OSA23" s="9"/>
      <c r="OSB23" s="9"/>
      <c r="OSC23" s="9"/>
      <c r="OSD23" s="9"/>
      <c r="OSE23" s="9"/>
      <c r="OSF23" s="9"/>
      <c r="OSG23" s="9"/>
      <c r="OSH23" s="9"/>
      <c r="OSI23" s="9"/>
      <c r="OSJ23" s="9"/>
      <c r="OSK23" s="9"/>
      <c r="OSL23" s="9"/>
      <c r="OSM23" s="9"/>
      <c r="OSN23" s="9"/>
      <c r="OSO23" s="9"/>
      <c r="OSP23" s="9"/>
      <c r="OSQ23" s="9"/>
      <c r="OSR23" s="9"/>
      <c r="OSS23" s="9"/>
      <c r="OST23" s="9"/>
      <c r="OSU23" s="9"/>
      <c r="OSV23" s="9"/>
      <c r="OSW23" s="9"/>
      <c r="OSX23" s="9"/>
      <c r="OSY23" s="9"/>
      <c r="OSZ23" s="9"/>
      <c r="OTA23" s="9"/>
      <c r="OTB23" s="9"/>
      <c r="OTC23" s="9"/>
      <c r="OTD23" s="9"/>
      <c r="OTE23" s="9"/>
      <c r="OTF23" s="9"/>
      <c r="OTG23" s="9"/>
      <c r="OTH23" s="9"/>
      <c r="OTI23" s="9"/>
      <c r="OTJ23" s="9"/>
      <c r="OTK23" s="9"/>
      <c r="OTL23" s="9"/>
      <c r="OTM23" s="9"/>
      <c r="OTN23" s="9"/>
      <c r="OTO23" s="9"/>
      <c r="OTP23" s="9"/>
      <c r="OTQ23" s="9"/>
      <c r="OTR23" s="9"/>
      <c r="OTS23" s="9"/>
      <c r="OTT23" s="9"/>
      <c r="OTU23" s="9"/>
      <c r="OTV23" s="9"/>
      <c r="OTW23" s="9"/>
      <c r="OTX23" s="9"/>
      <c r="OTY23" s="9"/>
      <c r="OTZ23" s="9"/>
      <c r="OUA23" s="9"/>
      <c r="OUB23" s="9"/>
      <c r="OUC23" s="9"/>
      <c r="OUD23" s="9"/>
      <c r="OUE23" s="9"/>
      <c r="OUF23" s="9"/>
      <c r="OUG23" s="9"/>
      <c r="OUH23" s="9"/>
      <c r="OUI23" s="9"/>
      <c r="OUJ23" s="9"/>
      <c r="OUK23" s="9"/>
      <c r="OUL23" s="9"/>
      <c r="OUM23" s="9"/>
      <c r="OUN23" s="9"/>
      <c r="OUO23" s="9"/>
      <c r="OUP23" s="9"/>
      <c r="OUQ23" s="9"/>
      <c r="OUR23" s="9"/>
      <c r="OUS23" s="9"/>
      <c r="OUT23" s="9"/>
      <c r="OUU23" s="9"/>
      <c r="OUV23" s="9"/>
      <c r="OUW23" s="9"/>
      <c r="OUX23" s="9"/>
      <c r="OUY23" s="9"/>
      <c r="OUZ23" s="9"/>
      <c r="OVA23" s="9"/>
      <c r="OVB23" s="9"/>
      <c r="OVC23" s="9"/>
      <c r="OVD23" s="9"/>
      <c r="OVE23" s="9"/>
      <c r="OVF23" s="9"/>
      <c r="OVG23" s="9"/>
      <c r="OVH23" s="9"/>
      <c r="OVI23" s="9"/>
      <c r="OVJ23" s="9"/>
      <c r="OVK23" s="9"/>
      <c r="OVL23" s="9"/>
      <c r="OVM23" s="9"/>
      <c r="OVN23" s="9"/>
      <c r="OVO23" s="9"/>
      <c r="OVP23" s="9"/>
      <c r="OVQ23" s="9"/>
      <c r="OVR23" s="9"/>
      <c r="OVS23" s="9"/>
      <c r="OVT23" s="9"/>
      <c r="OVU23" s="9"/>
      <c r="OVV23" s="9"/>
      <c r="OVW23" s="9"/>
      <c r="OVX23" s="9"/>
      <c r="OVY23" s="9"/>
      <c r="OVZ23" s="9"/>
      <c r="OWA23" s="9"/>
      <c r="OWB23" s="9"/>
      <c r="OWC23" s="9"/>
      <c r="OWD23" s="9"/>
      <c r="OWE23" s="9"/>
      <c r="OWF23" s="9"/>
      <c r="OWG23" s="9"/>
      <c r="OWH23" s="9"/>
      <c r="OWI23" s="9"/>
      <c r="OWJ23" s="9"/>
      <c r="OWK23" s="9"/>
      <c r="OWL23" s="9"/>
      <c r="OWM23" s="9"/>
      <c r="OWN23" s="9"/>
      <c r="OWO23" s="9"/>
      <c r="OWP23" s="9"/>
      <c r="OWQ23" s="9"/>
      <c r="OWR23" s="9"/>
      <c r="OWS23" s="9"/>
      <c r="OWT23" s="9"/>
      <c r="OWU23" s="9"/>
      <c r="OWV23" s="9"/>
      <c r="OWW23" s="9"/>
      <c r="OWX23" s="9"/>
      <c r="OWY23" s="9"/>
      <c r="OWZ23" s="9"/>
      <c r="OXA23" s="9"/>
      <c r="OXB23" s="9"/>
      <c r="OXC23" s="9"/>
      <c r="OXD23" s="9"/>
      <c r="OXE23" s="9"/>
      <c r="OXF23" s="9"/>
      <c r="OXG23" s="9"/>
      <c r="OXH23" s="9"/>
      <c r="OXI23" s="9"/>
      <c r="OXJ23" s="9"/>
      <c r="OXK23" s="9"/>
      <c r="OXL23" s="9"/>
      <c r="OXM23" s="9"/>
      <c r="OXN23" s="9"/>
      <c r="OXO23" s="9"/>
      <c r="OXP23" s="9"/>
      <c r="OXQ23" s="9"/>
      <c r="OXR23" s="9"/>
      <c r="OXS23" s="9"/>
      <c r="OXT23" s="9"/>
      <c r="OXU23" s="9"/>
      <c r="OXV23" s="9"/>
      <c r="OXW23" s="9"/>
      <c r="OXX23" s="9"/>
      <c r="OXY23" s="9"/>
      <c r="OXZ23" s="9"/>
      <c r="OYA23" s="9"/>
      <c r="OYB23" s="9"/>
      <c r="OYC23" s="9"/>
      <c r="OYD23" s="9"/>
      <c r="OYE23" s="9"/>
      <c r="OYF23" s="9"/>
      <c r="OYG23" s="9"/>
      <c r="OYH23" s="9"/>
      <c r="OYI23" s="9"/>
      <c r="OYJ23" s="9"/>
      <c r="OYK23" s="9"/>
      <c r="OYL23" s="9"/>
      <c r="OYM23" s="9"/>
      <c r="OYN23" s="9"/>
      <c r="OYO23" s="9"/>
      <c r="OYP23" s="9"/>
      <c r="OYQ23" s="9"/>
      <c r="OYR23" s="9"/>
      <c r="OYS23" s="9"/>
      <c r="OYT23" s="9"/>
      <c r="OYU23" s="9"/>
      <c r="OYV23" s="9"/>
      <c r="OYW23" s="9"/>
      <c r="OYX23" s="9"/>
      <c r="OYY23" s="9"/>
      <c r="OYZ23" s="9"/>
      <c r="OZA23" s="9"/>
      <c r="OZB23" s="9"/>
      <c r="OZC23" s="9"/>
      <c r="OZD23" s="9"/>
      <c r="OZE23" s="9"/>
      <c r="OZF23" s="9"/>
      <c r="OZG23" s="9"/>
      <c r="OZH23" s="9"/>
      <c r="OZI23" s="9"/>
      <c r="OZJ23" s="9"/>
      <c r="OZK23" s="9"/>
      <c r="OZL23" s="9"/>
      <c r="OZM23" s="9"/>
      <c r="OZN23" s="9"/>
      <c r="OZO23" s="9"/>
      <c r="OZP23" s="9"/>
      <c r="OZQ23" s="9"/>
      <c r="OZR23" s="9"/>
      <c r="OZS23" s="9"/>
      <c r="OZT23" s="9"/>
      <c r="OZU23" s="9"/>
      <c r="OZV23" s="9"/>
      <c r="OZW23" s="9"/>
      <c r="OZX23" s="9"/>
      <c r="OZY23" s="9"/>
      <c r="OZZ23" s="9"/>
      <c r="PAA23" s="9"/>
      <c r="PAB23" s="9"/>
      <c r="PAC23" s="9"/>
      <c r="PAD23" s="9"/>
      <c r="PAE23" s="9"/>
      <c r="PAF23" s="9"/>
      <c r="PAG23" s="9"/>
      <c r="PAH23" s="9"/>
      <c r="PAI23" s="9"/>
      <c r="PAJ23" s="9"/>
      <c r="PAK23" s="9"/>
      <c r="PAL23" s="9"/>
      <c r="PAM23" s="9"/>
      <c r="PAN23" s="9"/>
      <c r="PAO23" s="9"/>
      <c r="PAP23" s="9"/>
      <c r="PAQ23" s="9"/>
      <c r="PAR23" s="9"/>
      <c r="PAS23" s="9"/>
      <c r="PAT23" s="9"/>
      <c r="PAU23" s="9"/>
      <c r="PAV23" s="9"/>
      <c r="PAW23" s="9"/>
      <c r="PAX23" s="9"/>
      <c r="PAY23" s="9"/>
      <c r="PAZ23" s="9"/>
      <c r="PBA23" s="9"/>
      <c r="PBB23" s="9"/>
      <c r="PBC23" s="9"/>
      <c r="PBD23" s="9"/>
      <c r="PBE23" s="9"/>
      <c r="PBF23" s="9"/>
      <c r="PBG23" s="9"/>
      <c r="PBH23" s="9"/>
      <c r="PBI23" s="9"/>
      <c r="PBJ23" s="9"/>
      <c r="PBK23" s="9"/>
      <c r="PBL23" s="9"/>
      <c r="PBM23" s="9"/>
      <c r="PBN23" s="9"/>
      <c r="PBO23" s="9"/>
      <c r="PBP23" s="9"/>
      <c r="PBQ23" s="9"/>
      <c r="PBR23" s="9"/>
      <c r="PBS23" s="9"/>
      <c r="PBT23" s="9"/>
      <c r="PBU23" s="9"/>
      <c r="PBV23" s="9"/>
      <c r="PBW23" s="9"/>
      <c r="PBX23" s="9"/>
      <c r="PBY23" s="9"/>
      <c r="PBZ23" s="9"/>
      <c r="PCA23" s="9"/>
      <c r="PCB23" s="9"/>
      <c r="PCC23" s="9"/>
      <c r="PCD23" s="9"/>
      <c r="PCE23" s="9"/>
      <c r="PCF23" s="9"/>
      <c r="PCG23" s="9"/>
      <c r="PCH23" s="9"/>
      <c r="PCI23" s="9"/>
      <c r="PCJ23" s="9"/>
      <c r="PCK23" s="9"/>
      <c r="PCL23" s="9"/>
      <c r="PCM23" s="9"/>
      <c r="PCN23" s="9"/>
      <c r="PCO23" s="9"/>
      <c r="PCP23" s="9"/>
      <c r="PCQ23" s="9"/>
      <c r="PCR23" s="9"/>
      <c r="PCS23" s="9"/>
      <c r="PCT23" s="9"/>
      <c r="PCU23" s="9"/>
      <c r="PCV23" s="9"/>
      <c r="PCW23" s="9"/>
      <c r="PCX23" s="9"/>
      <c r="PCY23" s="9"/>
      <c r="PCZ23" s="9"/>
      <c r="PDA23" s="9"/>
      <c r="PDB23" s="9"/>
      <c r="PDC23" s="9"/>
      <c r="PDD23" s="9"/>
      <c r="PDE23" s="9"/>
      <c r="PDF23" s="9"/>
      <c r="PDG23" s="9"/>
      <c r="PDH23" s="9"/>
      <c r="PDI23" s="9"/>
      <c r="PDJ23" s="9"/>
      <c r="PDK23" s="9"/>
      <c r="PDL23" s="9"/>
      <c r="PDM23" s="9"/>
      <c r="PDN23" s="9"/>
      <c r="PDO23" s="9"/>
      <c r="PDP23" s="9"/>
      <c r="PDQ23" s="9"/>
      <c r="PDR23" s="9"/>
      <c r="PDS23" s="9"/>
      <c r="PDT23" s="9"/>
      <c r="PDU23" s="9"/>
      <c r="PDV23" s="9"/>
      <c r="PDW23" s="9"/>
      <c r="PDX23" s="9"/>
      <c r="PDY23" s="9"/>
      <c r="PDZ23" s="9"/>
      <c r="PEA23" s="9"/>
      <c r="PEB23" s="9"/>
      <c r="PEC23" s="9"/>
      <c r="PED23" s="9"/>
      <c r="PEE23" s="9"/>
      <c r="PEF23" s="9"/>
      <c r="PEG23" s="9"/>
      <c r="PEH23" s="9"/>
      <c r="PEI23" s="9"/>
      <c r="PEJ23" s="9"/>
      <c r="PEK23" s="9"/>
      <c r="PEL23" s="9"/>
      <c r="PEM23" s="9"/>
      <c r="PEN23" s="9"/>
      <c r="PEO23" s="9"/>
      <c r="PEP23" s="9"/>
      <c r="PEQ23" s="9"/>
      <c r="PER23" s="9"/>
      <c r="PES23" s="9"/>
      <c r="PET23" s="9"/>
      <c r="PEU23" s="9"/>
      <c r="PEV23" s="9"/>
      <c r="PEW23" s="9"/>
      <c r="PEX23" s="9"/>
      <c r="PEY23" s="9"/>
      <c r="PEZ23" s="9"/>
      <c r="PFA23" s="9"/>
      <c r="PFB23" s="9"/>
      <c r="PFC23" s="9"/>
      <c r="PFD23" s="9"/>
      <c r="PFE23" s="9"/>
      <c r="PFF23" s="9"/>
      <c r="PFG23" s="9"/>
      <c r="PFH23" s="9"/>
      <c r="PFI23" s="9"/>
      <c r="PFJ23" s="9"/>
      <c r="PFK23" s="9"/>
      <c r="PFL23" s="9"/>
      <c r="PFM23" s="9"/>
      <c r="PFN23" s="9"/>
      <c r="PFO23" s="9"/>
      <c r="PFP23" s="9"/>
      <c r="PFQ23" s="9"/>
      <c r="PFR23" s="9"/>
      <c r="PFS23" s="9"/>
      <c r="PFT23" s="9"/>
      <c r="PFU23" s="9"/>
      <c r="PFV23" s="9"/>
      <c r="PFW23" s="9"/>
      <c r="PFX23" s="9"/>
      <c r="PFY23" s="9"/>
      <c r="PFZ23" s="9"/>
      <c r="PGA23" s="9"/>
      <c r="PGB23" s="9"/>
      <c r="PGC23" s="9"/>
      <c r="PGD23" s="9"/>
      <c r="PGE23" s="9"/>
      <c r="PGF23" s="9"/>
      <c r="PGG23" s="9"/>
      <c r="PGH23" s="9"/>
      <c r="PGI23" s="9"/>
      <c r="PGJ23" s="9"/>
      <c r="PGK23" s="9"/>
      <c r="PGL23" s="9"/>
      <c r="PGM23" s="9"/>
      <c r="PGN23" s="9"/>
      <c r="PGO23" s="9"/>
      <c r="PGP23" s="9"/>
      <c r="PGQ23" s="9"/>
      <c r="PGR23" s="9"/>
      <c r="PGS23" s="9"/>
      <c r="PGT23" s="9"/>
      <c r="PGU23" s="9"/>
      <c r="PGV23" s="9"/>
      <c r="PGW23" s="9"/>
      <c r="PGX23" s="9"/>
      <c r="PGY23" s="9"/>
      <c r="PGZ23" s="9"/>
      <c r="PHA23" s="9"/>
      <c r="PHB23" s="9"/>
      <c r="PHC23" s="9"/>
      <c r="PHD23" s="9"/>
      <c r="PHE23" s="9"/>
      <c r="PHF23" s="9"/>
      <c r="PHG23" s="9"/>
      <c r="PHH23" s="9"/>
      <c r="PHI23" s="9"/>
      <c r="PHJ23" s="9"/>
      <c r="PHK23" s="9"/>
      <c r="PHL23" s="9"/>
      <c r="PHM23" s="9"/>
      <c r="PHN23" s="9"/>
      <c r="PHO23" s="9"/>
      <c r="PHP23" s="9"/>
      <c r="PHQ23" s="9"/>
      <c r="PHR23" s="9"/>
      <c r="PHS23" s="9"/>
      <c r="PHT23" s="9"/>
      <c r="PHU23" s="9"/>
      <c r="PHV23" s="9"/>
      <c r="PHW23" s="9"/>
      <c r="PHX23" s="9"/>
      <c r="PHY23" s="9"/>
      <c r="PHZ23" s="9"/>
      <c r="PIA23" s="9"/>
      <c r="PIB23" s="9"/>
      <c r="PIC23" s="9"/>
      <c r="PID23" s="9"/>
      <c r="PIE23" s="9"/>
      <c r="PIF23" s="9"/>
      <c r="PIG23" s="9"/>
      <c r="PIH23" s="9"/>
      <c r="PII23" s="9"/>
      <c r="PIJ23" s="9"/>
      <c r="PIK23" s="9"/>
      <c r="PIL23" s="9"/>
      <c r="PIM23" s="9"/>
      <c r="PIN23" s="9"/>
      <c r="PIO23" s="9"/>
      <c r="PIP23" s="9"/>
      <c r="PIQ23" s="9"/>
      <c r="PIR23" s="9"/>
      <c r="PIS23" s="9"/>
      <c r="PIT23" s="9"/>
      <c r="PIU23" s="9"/>
      <c r="PIV23" s="9"/>
      <c r="PIW23" s="9"/>
      <c r="PIX23" s="9"/>
      <c r="PIY23" s="9"/>
      <c r="PIZ23" s="9"/>
      <c r="PJA23" s="9"/>
      <c r="PJB23" s="9"/>
      <c r="PJC23" s="9"/>
      <c r="PJD23" s="9"/>
      <c r="PJE23" s="9"/>
      <c r="PJF23" s="9"/>
      <c r="PJG23" s="9"/>
      <c r="PJH23" s="9"/>
      <c r="PJI23" s="9"/>
      <c r="PJJ23" s="9"/>
      <c r="PJK23" s="9"/>
      <c r="PJL23" s="9"/>
      <c r="PJM23" s="9"/>
      <c r="PJN23" s="9"/>
      <c r="PJO23" s="9"/>
      <c r="PJP23" s="9"/>
      <c r="PJQ23" s="9"/>
      <c r="PJR23" s="9"/>
      <c r="PJS23" s="9"/>
      <c r="PJT23" s="9"/>
      <c r="PJU23" s="9"/>
      <c r="PJV23" s="9"/>
      <c r="PJW23" s="9"/>
      <c r="PJX23" s="9"/>
      <c r="PJY23" s="9"/>
      <c r="PJZ23" s="9"/>
      <c r="PKA23" s="9"/>
      <c r="PKB23" s="9"/>
      <c r="PKC23" s="9"/>
      <c r="PKD23" s="9"/>
      <c r="PKE23" s="9"/>
      <c r="PKF23" s="9"/>
      <c r="PKG23" s="9"/>
      <c r="PKH23" s="9"/>
      <c r="PKI23" s="9"/>
      <c r="PKJ23" s="9"/>
      <c r="PKK23" s="9"/>
      <c r="PKL23" s="9"/>
      <c r="PKM23" s="9"/>
      <c r="PKN23" s="9"/>
      <c r="PKO23" s="9"/>
      <c r="PKP23" s="9"/>
      <c r="PKQ23" s="9"/>
      <c r="PKR23" s="9"/>
      <c r="PKS23" s="9"/>
      <c r="PKT23" s="9"/>
      <c r="PKU23" s="9"/>
      <c r="PKV23" s="9"/>
      <c r="PKW23" s="9"/>
      <c r="PKX23" s="9"/>
      <c r="PKY23" s="9"/>
      <c r="PKZ23" s="9"/>
      <c r="PLA23" s="9"/>
      <c r="PLB23" s="9"/>
      <c r="PLC23" s="9"/>
      <c r="PLD23" s="9"/>
      <c r="PLE23" s="9"/>
      <c r="PLF23" s="9"/>
      <c r="PLG23" s="9"/>
      <c r="PLH23" s="9"/>
      <c r="PLI23" s="9"/>
      <c r="PLJ23" s="9"/>
      <c r="PLK23" s="9"/>
      <c r="PLL23" s="9"/>
      <c r="PLM23" s="9"/>
      <c r="PLN23" s="9"/>
      <c r="PLO23" s="9"/>
      <c r="PLP23" s="9"/>
      <c r="PLQ23" s="9"/>
      <c r="PLR23" s="9"/>
      <c r="PLS23" s="9"/>
      <c r="PLT23" s="9"/>
      <c r="PLU23" s="9"/>
      <c r="PLV23" s="9"/>
      <c r="PLW23" s="9"/>
      <c r="PLX23" s="9"/>
      <c r="PLY23" s="9"/>
      <c r="PLZ23" s="9"/>
      <c r="PMA23" s="9"/>
      <c r="PMB23" s="9"/>
      <c r="PMC23" s="9"/>
      <c r="PMD23" s="9"/>
      <c r="PME23" s="9"/>
      <c r="PMF23" s="9"/>
      <c r="PMG23" s="9"/>
      <c r="PMH23" s="9"/>
      <c r="PMI23" s="9"/>
      <c r="PMJ23" s="9"/>
      <c r="PMK23" s="9"/>
      <c r="PML23" s="9"/>
      <c r="PMM23" s="9"/>
      <c r="PMN23" s="9"/>
      <c r="PMO23" s="9"/>
      <c r="PMP23" s="9"/>
      <c r="PMQ23" s="9"/>
      <c r="PMR23" s="9"/>
      <c r="PMS23" s="9"/>
      <c r="PMT23" s="9"/>
      <c r="PMU23" s="9"/>
      <c r="PMV23" s="9"/>
      <c r="PMW23" s="9"/>
      <c r="PMX23" s="9"/>
      <c r="PMY23" s="9"/>
      <c r="PMZ23" s="9"/>
      <c r="PNA23" s="9"/>
      <c r="PNB23" s="9"/>
      <c r="PNC23" s="9"/>
      <c r="PND23" s="9"/>
      <c r="PNE23" s="9"/>
      <c r="PNF23" s="9"/>
      <c r="PNG23" s="9"/>
      <c r="PNH23" s="9"/>
      <c r="PNI23" s="9"/>
      <c r="PNJ23" s="9"/>
      <c r="PNK23" s="9"/>
      <c r="PNL23" s="9"/>
      <c r="PNM23" s="9"/>
      <c r="PNN23" s="9"/>
      <c r="PNO23" s="9"/>
      <c r="PNP23" s="9"/>
      <c r="PNQ23" s="9"/>
      <c r="PNR23" s="9"/>
      <c r="PNS23" s="9"/>
      <c r="PNT23" s="9"/>
      <c r="PNU23" s="9"/>
      <c r="PNV23" s="9"/>
      <c r="PNW23" s="9"/>
      <c r="PNX23" s="9"/>
      <c r="PNY23" s="9"/>
      <c r="PNZ23" s="9"/>
      <c r="POA23" s="9"/>
      <c r="POB23" s="9"/>
      <c r="POC23" s="9"/>
      <c r="POD23" s="9"/>
      <c r="POE23" s="9"/>
      <c r="POF23" s="9"/>
      <c r="POG23" s="9"/>
      <c r="POH23" s="9"/>
      <c r="POI23" s="9"/>
      <c r="POJ23" s="9"/>
      <c r="POK23" s="9"/>
      <c r="POL23" s="9"/>
      <c r="POM23" s="9"/>
      <c r="PON23" s="9"/>
      <c r="POO23" s="9"/>
      <c r="POP23" s="9"/>
      <c r="POQ23" s="9"/>
      <c r="POR23" s="9"/>
      <c r="POS23" s="9"/>
      <c r="POT23" s="9"/>
      <c r="POU23" s="9"/>
      <c r="POV23" s="9"/>
      <c r="POW23" s="9"/>
      <c r="POX23" s="9"/>
      <c r="POY23" s="9"/>
      <c r="POZ23" s="9"/>
      <c r="PPA23" s="9"/>
      <c r="PPB23" s="9"/>
      <c r="PPC23" s="9"/>
      <c r="PPD23" s="9"/>
      <c r="PPE23" s="9"/>
      <c r="PPF23" s="9"/>
      <c r="PPG23" s="9"/>
      <c r="PPH23" s="9"/>
      <c r="PPI23" s="9"/>
      <c r="PPJ23" s="9"/>
      <c r="PPK23" s="9"/>
      <c r="PPL23" s="9"/>
      <c r="PPM23" s="9"/>
      <c r="PPN23" s="9"/>
      <c r="PPO23" s="9"/>
      <c r="PPP23" s="9"/>
      <c r="PPQ23" s="9"/>
      <c r="PPR23" s="9"/>
      <c r="PPS23" s="9"/>
      <c r="PPT23" s="9"/>
      <c r="PPU23" s="9"/>
      <c r="PPV23" s="9"/>
      <c r="PPW23" s="9"/>
      <c r="PPX23" s="9"/>
      <c r="PPY23" s="9"/>
      <c r="PPZ23" s="9"/>
      <c r="PQA23" s="9"/>
      <c r="PQB23" s="9"/>
      <c r="PQC23" s="9"/>
      <c r="PQD23" s="9"/>
      <c r="PQE23" s="9"/>
      <c r="PQF23" s="9"/>
      <c r="PQG23" s="9"/>
      <c r="PQH23" s="9"/>
      <c r="PQI23" s="9"/>
      <c r="PQJ23" s="9"/>
      <c r="PQK23" s="9"/>
      <c r="PQL23" s="9"/>
      <c r="PQM23" s="9"/>
      <c r="PQN23" s="9"/>
      <c r="PQO23" s="9"/>
      <c r="PQP23" s="9"/>
      <c r="PQQ23" s="9"/>
      <c r="PQR23" s="9"/>
      <c r="PQS23" s="9"/>
      <c r="PQT23" s="9"/>
      <c r="PQU23" s="9"/>
      <c r="PQV23" s="9"/>
      <c r="PQW23" s="9"/>
      <c r="PQX23" s="9"/>
      <c r="PQY23" s="9"/>
      <c r="PQZ23" s="9"/>
      <c r="PRA23" s="9"/>
      <c r="PRB23" s="9"/>
      <c r="PRC23" s="9"/>
      <c r="PRD23" s="9"/>
      <c r="PRE23" s="9"/>
      <c r="PRF23" s="9"/>
      <c r="PRG23" s="9"/>
      <c r="PRH23" s="9"/>
      <c r="PRI23" s="9"/>
      <c r="PRJ23" s="9"/>
      <c r="PRK23" s="9"/>
      <c r="PRL23" s="9"/>
      <c r="PRM23" s="9"/>
      <c r="PRN23" s="9"/>
      <c r="PRO23" s="9"/>
      <c r="PRP23" s="9"/>
      <c r="PRQ23" s="9"/>
      <c r="PRR23" s="9"/>
      <c r="PRS23" s="9"/>
      <c r="PRT23" s="9"/>
      <c r="PRU23" s="9"/>
      <c r="PRV23" s="9"/>
      <c r="PRW23" s="9"/>
      <c r="PRX23" s="9"/>
      <c r="PRY23" s="9"/>
      <c r="PRZ23" s="9"/>
      <c r="PSA23" s="9"/>
      <c r="PSB23" s="9"/>
      <c r="PSC23" s="9"/>
      <c r="PSD23" s="9"/>
      <c r="PSE23" s="9"/>
      <c r="PSF23" s="9"/>
      <c r="PSG23" s="9"/>
      <c r="PSH23" s="9"/>
      <c r="PSI23" s="9"/>
      <c r="PSJ23" s="9"/>
      <c r="PSK23" s="9"/>
      <c r="PSL23" s="9"/>
      <c r="PSM23" s="9"/>
      <c r="PSN23" s="9"/>
      <c r="PSO23" s="9"/>
      <c r="PSP23" s="9"/>
      <c r="PSQ23" s="9"/>
      <c r="PSR23" s="9"/>
      <c r="PSS23" s="9"/>
      <c r="PST23" s="9"/>
      <c r="PSU23" s="9"/>
      <c r="PSV23" s="9"/>
      <c r="PSW23" s="9"/>
      <c r="PSX23" s="9"/>
      <c r="PSY23" s="9"/>
      <c r="PSZ23" s="9"/>
      <c r="PTA23" s="9"/>
      <c r="PTB23" s="9"/>
      <c r="PTC23" s="9"/>
      <c r="PTD23" s="9"/>
      <c r="PTE23" s="9"/>
      <c r="PTF23" s="9"/>
      <c r="PTG23" s="9"/>
      <c r="PTH23" s="9"/>
      <c r="PTI23" s="9"/>
      <c r="PTJ23" s="9"/>
      <c r="PTK23" s="9"/>
      <c r="PTL23" s="9"/>
      <c r="PTM23" s="9"/>
      <c r="PTN23" s="9"/>
      <c r="PTO23" s="9"/>
      <c r="PTP23" s="9"/>
      <c r="PTQ23" s="9"/>
      <c r="PTR23" s="9"/>
      <c r="PTS23" s="9"/>
      <c r="PTT23" s="9"/>
      <c r="PTU23" s="9"/>
      <c r="PTV23" s="9"/>
      <c r="PTW23" s="9"/>
      <c r="PTX23" s="9"/>
      <c r="PTY23" s="9"/>
      <c r="PTZ23" s="9"/>
      <c r="PUA23" s="9"/>
      <c r="PUB23" s="9"/>
      <c r="PUC23" s="9"/>
      <c r="PUD23" s="9"/>
      <c r="PUE23" s="9"/>
      <c r="PUF23" s="9"/>
      <c r="PUG23" s="9"/>
      <c r="PUH23" s="9"/>
      <c r="PUI23" s="9"/>
      <c r="PUJ23" s="9"/>
      <c r="PUK23" s="9"/>
      <c r="PUL23" s="9"/>
      <c r="PUM23" s="9"/>
      <c r="PUN23" s="9"/>
      <c r="PUO23" s="9"/>
      <c r="PUP23" s="9"/>
      <c r="PUQ23" s="9"/>
      <c r="PUR23" s="9"/>
      <c r="PUS23" s="9"/>
      <c r="PUT23" s="9"/>
      <c r="PUU23" s="9"/>
      <c r="PUV23" s="9"/>
      <c r="PUW23" s="9"/>
      <c r="PUX23" s="9"/>
      <c r="PUY23" s="9"/>
      <c r="PUZ23" s="9"/>
      <c r="PVA23" s="9"/>
      <c r="PVB23" s="9"/>
      <c r="PVC23" s="9"/>
      <c r="PVD23" s="9"/>
      <c r="PVE23" s="9"/>
      <c r="PVF23" s="9"/>
      <c r="PVG23" s="9"/>
      <c r="PVH23" s="9"/>
      <c r="PVI23" s="9"/>
      <c r="PVJ23" s="9"/>
      <c r="PVK23" s="9"/>
      <c r="PVL23" s="9"/>
      <c r="PVM23" s="9"/>
      <c r="PVN23" s="9"/>
      <c r="PVO23" s="9"/>
      <c r="PVP23" s="9"/>
      <c r="PVQ23" s="9"/>
      <c r="PVR23" s="9"/>
      <c r="PVS23" s="9"/>
      <c r="PVT23" s="9"/>
      <c r="PVU23" s="9"/>
      <c r="PVV23" s="9"/>
      <c r="PVW23" s="9"/>
      <c r="PVX23" s="9"/>
      <c r="PVY23" s="9"/>
      <c r="PVZ23" s="9"/>
      <c r="PWA23" s="9"/>
      <c r="PWB23" s="9"/>
      <c r="PWC23" s="9"/>
      <c r="PWD23" s="9"/>
      <c r="PWE23" s="9"/>
      <c r="PWF23" s="9"/>
      <c r="PWG23" s="9"/>
      <c r="PWH23" s="9"/>
      <c r="PWI23" s="9"/>
      <c r="PWJ23" s="9"/>
      <c r="PWK23" s="9"/>
      <c r="PWL23" s="9"/>
      <c r="PWM23" s="9"/>
      <c r="PWN23" s="9"/>
      <c r="PWO23" s="9"/>
      <c r="PWP23" s="9"/>
      <c r="PWQ23" s="9"/>
      <c r="PWR23" s="9"/>
      <c r="PWS23" s="9"/>
      <c r="PWT23" s="9"/>
      <c r="PWU23" s="9"/>
      <c r="PWV23" s="9"/>
      <c r="PWW23" s="9"/>
      <c r="PWX23" s="9"/>
      <c r="PWY23" s="9"/>
      <c r="PWZ23" s="9"/>
      <c r="PXA23" s="9"/>
      <c r="PXB23" s="9"/>
      <c r="PXC23" s="9"/>
      <c r="PXD23" s="9"/>
      <c r="PXE23" s="9"/>
      <c r="PXF23" s="9"/>
      <c r="PXG23" s="9"/>
      <c r="PXH23" s="9"/>
      <c r="PXI23" s="9"/>
      <c r="PXJ23" s="9"/>
      <c r="PXK23" s="9"/>
      <c r="PXL23" s="9"/>
      <c r="PXM23" s="9"/>
      <c r="PXN23" s="9"/>
      <c r="PXO23" s="9"/>
      <c r="PXP23" s="9"/>
      <c r="PXQ23" s="9"/>
      <c r="PXR23" s="9"/>
      <c r="PXS23" s="9"/>
      <c r="PXT23" s="9"/>
      <c r="PXU23" s="9"/>
      <c r="PXV23" s="9"/>
      <c r="PXW23" s="9"/>
      <c r="PXX23" s="9"/>
      <c r="PXY23" s="9"/>
      <c r="PXZ23" s="9"/>
      <c r="PYA23" s="9"/>
      <c r="PYB23" s="9"/>
      <c r="PYC23" s="9"/>
      <c r="PYD23" s="9"/>
      <c r="PYE23" s="9"/>
      <c r="PYF23" s="9"/>
      <c r="PYG23" s="9"/>
      <c r="PYH23" s="9"/>
      <c r="PYI23" s="9"/>
      <c r="PYJ23" s="9"/>
      <c r="PYK23" s="9"/>
      <c r="PYL23" s="9"/>
      <c r="PYM23" s="9"/>
      <c r="PYN23" s="9"/>
      <c r="PYO23" s="9"/>
      <c r="PYP23" s="9"/>
      <c r="PYQ23" s="9"/>
      <c r="PYR23" s="9"/>
      <c r="PYS23" s="9"/>
      <c r="PYT23" s="9"/>
      <c r="PYU23" s="9"/>
      <c r="PYV23" s="9"/>
      <c r="PYW23" s="9"/>
      <c r="PYX23" s="9"/>
      <c r="PYY23" s="9"/>
      <c r="PYZ23" s="9"/>
      <c r="PZA23" s="9"/>
      <c r="PZB23" s="9"/>
      <c r="PZC23" s="9"/>
      <c r="PZD23" s="9"/>
      <c r="PZE23" s="9"/>
      <c r="PZF23" s="9"/>
      <c r="PZG23" s="9"/>
      <c r="PZH23" s="9"/>
      <c r="PZI23" s="9"/>
      <c r="PZJ23" s="9"/>
      <c r="PZK23" s="9"/>
      <c r="PZL23" s="9"/>
      <c r="PZM23" s="9"/>
      <c r="PZN23" s="9"/>
      <c r="PZO23" s="9"/>
      <c r="PZP23" s="9"/>
      <c r="PZQ23" s="9"/>
      <c r="PZR23" s="9"/>
      <c r="PZS23" s="9"/>
      <c r="PZT23" s="9"/>
      <c r="PZU23" s="9"/>
      <c r="PZV23" s="9"/>
      <c r="PZW23" s="9"/>
      <c r="PZX23" s="9"/>
      <c r="PZY23" s="9"/>
      <c r="PZZ23" s="9"/>
      <c r="QAA23" s="9"/>
      <c r="QAB23" s="9"/>
      <c r="QAC23" s="9"/>
      <c r="QAD23" s="9"/>
      <c r="QAE23" s="9"/>
      <c r="QAF23" s="9"/>
      <c r="QAG23" s="9"/>
      <c r="QAH23" s="9"/>
      <c r="QAI23" s="9"/>
      <c r="QAJ23" s="9"/>
      <c r="QAK23" s="9"/>
      <c r="QAL23" s="9"/>
      <c r="QAM23" s="9"/>
      <c r="QAN23" s="9"/>
      <c r="QAO23" s="9"/>
      <c r="QAP23" s="9"/>
      <c r="QAQ23" s="9"/>
      <c r="QAR23" s="9"/>
      <c r="QAS23" s="9"/>
      <c r="QAT23" s="9"/>
      <c r="QAU23" s="9"/>
      <c r="QAV23" s="9"/>
      <c r="QAW23" s="9"/>
      <c r="QAX23" s="9"/>
      <c r="QAY23" s="9"/>
      <c r="QAZ23" s="9"/>
      <c r="QBA23" s="9"/>
      <c r="QBB23" s="9"/>
      <c r="QBC23" s="9"/>
      <c r="QBD23" s="9"/>
      <c r="QBE23" s="9"/>
      <c r="QBF23" s="9"/>
      <c r="QBG23" s="9"/>
      <c r="QBH23" s="9"/>
      <c r="QBI23" s="9"/>
      <c r="QBJ23" s="9"/>
      <c r="QBK23" s="9"/>
      <c r="QBL23" s="9"/>
      <c r="QBM23" s="9"/>
      <c r="QBN23" s="9"/>
      <c r="QBO23" s="9"/>
      <c r="QBP23" s="9"/>
      <c r="QBQ23" s="9"/>
      <c r="QBR23" s="9"/>
      <c r="QBS23" s="9"/>
      <c r="QBT23" s="9"/>
      <c r="QBU23" s="9"/>
      <c r="QBV23" s="9"/>
      <c r="QBW23" s="9"/>
      <c r="QBX23" s="9"/>
      <c r="QBY23" s="9"/>
      <c r="QBZ23" s="9"/>
      <c r="QCA23" s="9"/>
      <c r="QCB23" s="9"/>
      <c r="QCC23" s="9"/>
      <c r="QCD23" s="9"/>
      <c r="QCE23" s="9"/>
      <c r="QCF23" s="9"/>
      <c r="QCG23" s="9"/>
      <c r="QCH23" s="9"/>
      <c r="QCI23" s="9"/>
      <c r="QCJ23" s="9"/>
      <c r="QCK23" s="9"/>
      <c r="QCL23" s="9"/>
      <c r="QCM23" s="9"/>
      <c r="QCN23" s="9"/>
      <c r="QCO23" s="9"/>
      <c r="QCP23" s="9"/>
      <c r="QCQ23" s="9"/>
      <c r="QCR23" s="9"/>
      <c r="QCS23" s="9"/>
      <c r="QCT23" s="9"/>
      <c r="QCU23" s="9"/>
      <c r="QCV23" s="9"/>
      <c r="QCW23" s="9"/>
      <c r="QCX23" s="9"/>
      <c r="QCY23" s="9"/>
      <c r="QCZ23" s="9"/>
      <c r="QDA23" s="9"/>
      <c r="QDB23" s="9"/>
      <c r="QDC23" s="9"/>
      <c r="QDD23" s="9"/>
      <c r="QDE23" s="9"/>
      <c r="QDF23" s="9"/>
      <c r="QDG23" s="9"/>
      <c r="QDH23" s="9"/>
      <c r="QDI23" s="9"/>
      <c r="QDJ23" s="9"/>
      <c r="QDK23" s="9"/>
      <c r="QDL23" s="9"/>
      <c r="QDM23" s="9"/>
      <c r="QDN23" s="9"/>
      <c r="QDO23" s="9"/>
      <c r="QDP23" s="9"/>
      <c r="QDQ23" s="9"/>
      <c r="QDR23" s="9"/>
      <c r="QDS23" s="9"/>
      <c r="QDT23" s="9"/>
      <c r="QDU23" s="9"/>
      <c r="QDV23" s="9"/>
      <c r="QDW23" s="9"/>
      <c r="QDX23" s="9"/>
      <c r="QDY23" s="9"/>
      <c r="QDZ23" s="9"/>
      <c r="QEA23" s="9"/>
      <c r="QEB23" s="9"/>
      <c r="QEC23" s="9"/>
      <c r="QED23" s="9"/>
      <c r="QEE23" s="9"/>
      <c r="QEF23" s="9"/>
      <c r="QEG23" s="9"/>
      <c r="QEH23" s="9"/>
      <c r="QEI23" s="9"/>
      <c r="QEJ23" s="9"/>
      <c r="QEK23" s="9"/>
      <c r="QEL23" s="9"/>
      <c r="QEM23" s="9"/>
      <c r="QEN23" s="9"/>
      <c r="QEO23" s="9"/>
      <c r="QEP23" s="9"/>
      <c r="QEQ23" s="9"/>
      <c r="QER23" s="9"/>
      <c r="QES23" s="9"/>
      <c r="QET23" s="9"/>
      <c r="QEU23" s="9"/>
      <c r="QEV23" s="9"/>
      <c r="QEW23" s="9"/>
      <c r="QEX23" s="9"/>
      <c r="QEY23" s="9"/>
      <c r="QEZ23" s="9"/>
      <c r="QFA23" s="9"/>
      <c r="QFB23" s="9"/>
      <c r="QFC23" s="9"/>
      <c r="QFD23" s="9"/>
      <c r="QFE23" s="9"/>
      <c r="QFF23" s="9"/>
      <c r="QFG23" s="9"/>
      <c r="QFH23" s="9"/>
      <c r="QFI23" s="9"/>
      <c r="QFJ23" s="9"/>
      <c r="QFK23" s="9"/>
      <c r="QFL23" s="9"/>
      <c r="QFM23" s="9"/>
      <c r="QFN23" s="9"/>
      <c r="QFO23" s="9"/>
      <c r="QFP23" s="9"/>
      <c r="QFQ23" s="9"/>
      <c r="QFR23" s="9"/>
      <c r="QFS23" s="9"/>
      <c r="QFT23" s="9"/>
      <c r="QFU23" s="9"/>
      <c r="QFV23" s="9"/>
      <c r="QFW23" s="9"/>
      <c r="QFX23" s="9"/>
      <c r="QFY23" s="9"/>
      <c r="QFZ23" s="9"/>
      <c r="QGA23" s="9"/>
      <c r="QGB23" s="9"/>
      <c r="QGC23" s="9"/>
      <c r="QGD23" s="9"/>
      <c r="QGE23" s="9"/>
      <c r="QGF23" s="9"/>
      <c r="QGG23" s="9"/>
      <c r="QGH23" s="9"/>
      <c r="QGI23" s="9"/>
      <c r="QGJ23" s="9"/>
      <c r="QGK23" s="9"/>
      <c r="QGL23" s="9"/>
      <c r="QGM23" s="9"/>
      <c r="QGN23" s="9"/>
      <c r="QGO23" s="9"/>
      <c r="QGP23" s="9"/>
      <c r="QGQ23" s="9"/>
      <c r="QGR23" s="9"/>
      <c r="QGS23" s="9"/>
      <c r="QGT23" s="9"/>
      <c r="QGU23" s="9"/>
      <c r="QGV23" s="9"/>
      <c r="QGW23" s="9"/>
      <c r="QGX23" s="9"/>
      <c r="QGY23" s="9"/>
      <c r="QGZ23" s="9"/>
      <c r="QHA23" s="9"/>
      <c r="QHB23" s="9"/>
      <c r="QHC23" s="9"/>
      <c r="QHD23" s="9"/>
      <c r="QHE23" s="9"/>
      <c r="QHF23" s="9"/>
      <c r="QHG23" s="9"/>
      <c r="QHH23" s="9"/>
      <c r="QHI23" s="9"/>
      <c r="QHJ23" s="9"/>
      <c r="QHK23" s="9"/>
      <c r="QHL23" s="9"/>
      <c r="QHM23" s="9"/>
      <c r="QHN23" s="9"/>
      <c r="QHO23" s="9"/>
      <c r="QHP23" s="9"/>
      <c r="QHQ23" s="9"/>
      <c r="QHR23" s="9"/>
      <c r="QHS23" s="9"/>
      <c r="QHT23" s="9"/>
      <c r="QHU23" s="9"/>
      <c r="QHV23" s="9"/>
      <c r="QHW23" s="9"/>
      <c r="QHX23" s="9"/>
      <c r="QHY23" s="9"/>
      <c r="QHZ23" s="9"/>
      <c r="QIA23" s="9"/>
      <c r="QIB23" s="9"/>
      <c r="QIC23" s="9"/>
      <c r="QID23" s="9"/>
      <c r="QIE23" s="9"/>
      <c r="QIF23" s="9"/>
      <c r="QIG23" s="9"/>
      <c r="QIH23" s="9"/>
      <c r="QII23" s="9"/>
      <c r="QIJ23" s="9"/>
      <c r="QIK23" s="9"/>
      <c r="QIL23" s="9"/>
      <c r="QIM23" s="9"/>
      <c r="QIN23" s="9"/>
      <c r="QIO23" s="9"/>
      <c r="QIP23" s="9"/>
      <c r="QIQ23" s="9"/>
      <c r="QIR23" s="9"/>
      <c r="QIS23" s="9"/>
      <c r="QIT23" s="9"/>
      <c r="QIU23" s="9"/>
      <c r="QIV23" s="9"/>
      <c r="QIW23" s="9"/>
      <c r="QIX23" s="9"/>
      <c r="QIY23" s="9"/>
      <c r="QIZ23" s="9"/>
      <c r="QJA23" s="9"/>
      <c r="QJB23" s="9"/>
      <c r="QJC23" s="9"/>
      <c r="QJD23" s="9"/>
      <c r="QJE23" s="9"/>
      <c r="QJF23" s="9"/>
      <c r="QJG23" s="9"/>
      <c r="QJH23" s="9"/>
      <c r="QJI23" s="9"/>
      <c r="QJJ23" s="9"/>
      <c r="QJK23" s="9"/>
      <c r="QJL23" s="9"/>
      <c r="QJM23" s="9"/>
      <c r="QJN23" s="9"/>
      <c r="QJO23" s="9"/>
      <c r="QJP23" s="9"/>
      <c r="QJQ23" s="9"/>
      <c r="QJR23" s="9"/>
      <c r="QJS23" s="9"/>
      <c r="QJT23" s="9"/>
      <c r="QJU23" s="9"/>
      <c r="QJV23" s="9"/>
      <c r="QJW23" s="9"/>
      <c r="QJX23" s="9"/>
      <c r="QJY23" s="9"/>
      <c r="QJZ23" s="9"/>
      <c r="QKA23" s="9"/>
      <c r="QKB23" s="9"/>
      <c r="QKC23" s="9"/>
      <c r="QKD23" s="9"/>
      <c r="QKE23" s="9"/>
      <c r="QKF23" s="9"/>
      <c r="QKG23" s="9"/>
      <c r="QKH23" s="9"/>
      <c r="QKI23" s="9"/>
      <c r="QKJ23" s="9"/>
      <c r="QKK23" s="9"/>
      <c r="QKL23" s="9"/>
      <c r="QKM23" s="9"/>
      <c r="QKN23" s="9"/>
      <c r="QKO23" s="9"/>
      <c r="QKP23" s="9"/>
      <c r="QKQ23" s="9"/>
      <c r="QKR23" s="9"/>
      <c r="QKS23" s="9"/>
      <c r="QKT23" s="9"/>
      <c r="QKU23" s="9"/>
      <c r="QKV23" s="9"/>
      <c r="QKW23" s="9"/>
      <c r="QKX23" s="9"/>
      <c r="QKY23" s="9"/>
      <c r="QKZ23" s="9"/>
      <c r="QLA23" s="9"/>
      <c r="QLB23" s="9"/>
      <c r="QLC23" s="9"/>
      <c r="QLD23" s="9"/>
      <c r="QLE23" s="9"/>
      <c r="QLF23" s="9"/>
      <c r="QLG23" s="9"/>
      <c r="QLH23" s="9"/>
      <c r="QLI23" s="9"/>
      <c r="QLJ23" s="9"/>
      <c r="QLK23" s="9"/>
      <c r="QLL23" s="9"/>
      <c r="QLM23" s="9"/>
      <c r="QLN23" s="9"/>
      <c r="QLO23" s="9"/>
      <c r="QLP23" s="9"/>
      <c r="QLQ23" s="9"/>
      <c r="QLR23" s="9"/>
      <c r="QLS23" s="9"/>
      <c r="QLT23" s="9"/>
      <c r="QLU23" s="9"/>
      <c r="QLV23" s="9"/>
      <c r="QLW23" s="9"/>
      <c r="QLX23" s="9"/>
      <c r="QLY23" s="9"/>
      <c r="QLZ23" s="9"/>
      <c r="QMA23" s="9"/>
      <c r="QMB23" s="9"/>
      <c r="QMC23" s="9"/>
      <c r="QMD23" s="9"/>
      <c r="QME23" s="9"/>
      <c r="QMF23" s="9"/>
      <c r="QMG23" s="9"/>
      <c r="QMH23" s="9"/>
      <c r="QMI23" s="9"/>
      <c r="QMJ23" s="9"/>
      <c r="QMK23" s="9"/>
      <c r="QML23" s="9"/>
      <c r="QMM23" s="9"/>
      <c r="QMN23" s="9"/>
      <c r="QMO23" s="9"/>
      <c r="QMP23" s="9"/>
      <c r="QMQ23" s="9"/>
      <c r="QMR23" s="9"/>
      <c r="QMS23" s="9"/>
      <c r="QMT23" s="9"/>
      <c r="QMU23" s="9"/>
      <c r="QMV23" s="9"/>
      <c r="QMW23" s="9"/>
      <c r="QMX23" s="9"/>
      <c r="QMY23" s="9"/>
      <c r="QMZ23" s="9"/>
      <c r="QNA23" s="9"/>
      <c r="QNB23" s="9"/>
      <c r="QNC23" s="9"/>
      <c r="QND23" s="9"/>
      <c r="QNE23" s="9"/>
      <c r="QNF23" s="9"/>
      <c r="QNG23" s="9"/>
      <c r="QNH23" s="9"/>
      <c r="QNI23" s="9"/>
      <c r="QNJ23" s="9"/>
      <c r="QNK23" s="9"/>
      <c r="QNL23" s="9"/>
      <c r="QNM23" s="9"/>
      <c r="QNN23" s="9"/>
      <c r="QNO23" s="9"/>
      <c r="QNP23" s="9"/>
      <c r="QNQ23" s="9"/>
      <c r="QNR23" s="9"/>
      <c r="QNS23" s="9"/>
      <c r="QNT23" s="9"/>
      <c r="QNU23" s="9"/>
      <c r="QNV23" s="9"/>
      <c r="QNW23" s="9"/>
      <c r="QNX23" s="9"/>
      <c r="QNY23" s="9"/>
      <c r="QNZ23" s="9"/>
      <c r="QOA23" s="9"/>
      <c r="QOB23" s="9"/>
      <c r="QOC23" s="9"/>
      <c r="QOD23" s="9"/>
      <c r="QOE23" s="9"/>
      <c r="QOF23" s="9"/>
      <c r="QOG23" s="9"/>
      <c r="QOH23" s="9"/>
      <c r="QOI23" s="9"/>
      <c r="QOJ23" s="9"/>
      <c r="QOK23" s="9"/>
      <c r="QOL23" s="9"/>
      <c r="QOM23" s="9"/>
      <c r="QON23" s="9"/>
      <c r="QOO23" s="9"/>
      <c r="QOP23" s="9"/>
      <c r="QOQ23" s="9"/>
      <c r="QOR23" s="9"/>
      <c r="QOS23" s="9"/>
      <c r="QOT23" s="9"/>
      <c r="QOU23" s="9"/>
      <c r="QOV23" s="9"/>
      <c r="QOW23" s="9"/>
      <c r="QOX23" s="9"/>
      <c r="QOY23" s="9"/>
      <c r="QOZ23" s="9"/>
      <c r="QPA23" s="9"/>
      <c r="QPB23" s="9"/>
      <c r="QPC23" s="9"/>
      <c r="QPD23" s="9"/>
      <c r="QPE23" s="9"/>
      <c r="QPF23" s="9"/>
      <c r="QPG23" s="9"/>
      <c r="QPH23" s="9"/>
      <c r="QPI23" s="9"/>
      <c r="QPJ23" s="9"/>
      <c r="QPK23" s="9"/>
      <c r="QPL23" s="9"/>
      <c r="QPM23" s="9"/>
      <c r="QPN23" s="9"/>
      <c r="QPO23" s="9"/>
      <c r="QPP23" s="9"/>
      <c r="QPQ23" s="9"/>
      <c r="QPR23" s="9"/>
      <c r="QPS23" s="9"/>
      <c r="QPT23" s="9"/>
      <c r="QPU23" s="9"/>
      <c r="QPV23" s="9"/>
      <c r="QPW23" s="9"/>
      <c r="QPX23" s="9"/>
      <c r="QPY23" s="9"/>
      <c r="QPZ23" s="9"/>
      <c r="QQA23" s="9"/>
      <c r="QQB23" s="9"/>
      <c r="QQC23" s="9"/>
      <c r="QQD23" s="9"/>
      <c r="QQE23" s="9"/>
      <c r="QQF23" s="9"/>
      <c r="QQG23" s="9"/>
      <c r="QQH23" s="9"/>
      <c r="QQI23" s="9"/>
      <c r="QQJ23" s="9"/>
      <c r="QQK23" s="9"/>
      <c r="QQL23" s="9"/>
      <c r="QQM23" s="9"/>
      <c r="QQN23" s="9"/>
      <c r="QQO23" s="9"/>
      <c r="QQP23" s="9"/>
      <c r="QQQ23" s="9"/>
      <c r="QQR23" s="9"/>
      <c r="QQS23" s="9"/>
      <c r="QQT23" s="9"/>
      <c r="QQU23" s="9"/>
      <c r="QQV23" s="9"/>
      <c r="QQW23" s="9"/>
      <c r="QQX23" s="9"/>
      <c r="QQY23" s="9"/>
      <c r="QQZ23" s="9"/>
      <c r="QRA23" s="9"/>
      <c r="QRB23" s="9"/>
      <c r="QRC23" s="9"/>
      <c r="QRD23" s="9"/>
      <c r="QRE23" s="9"/>
      <c r="QRF23" s="9"/>
      <c r="QRG23" s="9"/>
      <c r="QRH23" s="9"/>
      <c r="QRI23" s="9"/>
      <c r="QRJ23" s="9"/>
      <c r="QRK23" s="9"/>
      <c r="QRL23" s="9"/>
      <c r="QRM23" s="9"/>
      <c r="QRN23" s="9"/>
      <c r="QRO23" s="9"/>
      <c r="QRP23" s="9"/>
      <c r="QRQ23" s="9"/>
      <c r="QRR23" s="9"/>
      <c r="QRS23" s="9"/>
      <c r="QRT23" s="9"/>
      <c r="QRU23" s="9"/>
      <c r="QRV23" s="9"/>
      <c r="QRW23" s="9"/>
      <c r="QRX23" s="9"/>
      <c r="QRY23" s="9"/>
      <c r="QRZ23" s="9"/>
      <c r="QSA23" s="9"/>
      <c r="QSB23" s="9"/>
      <c r="QSC23" s="9"/>
      <c r="QSD23" s="9"/>
      <c r="QSE23" s="9"/>
      <c r="QSF23" s="9"/>
      <c r="QSG23" s="9"/>
      <c r="QSH23" s="9"/>
      <c r="QSI23" s="9"/>
      <c r="QSJ23" s="9"/>
      <c r="QSK23" s="9"/>
      <c r="QSL23" s="9"/>
      <c r="QSM23" s="9"/>
      <c r="QSN23" s="9"/>
      <c r="QSO23" s="9"/>
      <c r="QSP23" s="9"/>
      <c r="QSQ23" s="9"/>
      <c r="QSR23" s="9"/>
      <c r="QSS23" s="9"/>
      <c r="QST23" s="9"/>
      <c r="QSU23" s="9"/>
      <c r="QSV23" s="9"/>
      <c r="QSW23" s="9"/>
      <c r="QSX23" s="9"/>
      <c r="QSY23" s="9"/>
      <c r="QSZ23" s="9"/>
      <c r="QTA23" s="9"/>
      <c r="QTB23" s="9"/>
      <c r="QTC23" s="9"/>
      <c r="QTD23" s="9"/>
      <c r="QTE23" s="9"/>
      <c r="QTF23" s="9"/>
      <c r="QTG23" s="9"/>
      <c r="QTH23" s="9"/>
      <c r="QTI23" s="9"/>
      <c r="QTJ23" s="9"/>
      <c r="QTK23" s="9"/>
      <c r="QTL23" s="9"/>
      <c r="QTM23" s="9"/>
      <c r="QTN23" s="9"/>
      <c r="QTO23" s="9"/>
      <c r="QTP23" s="9"/>
      <c r="QTQ23" s="9"/>
      <c r="QTR23" s="9"/>
      <c r="QTS23" s="9"/>
      <c r="QTT23" s="9"/>
      <c r="QTU23" s="9"/>
      <c r="QTV23" s="9"/>
      <c r="QTW23" s="9"/>
      <c r="QTX23" s="9"/>
      <c r="QTY23" s="9"/>
      <c r="QTZ23" s="9"/>
      <c r="QUA23" s="9"/>
      <c r="QUB23" s="9"/>
      <c r="QUC23" s="9"/>
      <c r="QUD23" s="9"/>
      <c r="QUE23" s="9"/>
      <c r="QUF23" s="9"/>
      <c r="QUG23" s="9"/>
      <c r="QUH23" s="9"/>
      <c r="QUI23" s="9"/>
      <c r="QUJ23" s="9"/>
      <c r="QUK23" s="9"/>
      <c r="QUL23" s="9"/>
      <c r="QUM23" s="9"/>
      <c r="QUN23" s="9"/>
      <c r="QUO23" s="9"/>
      <c r="QUP23" s="9"/>
      <c r="QUQ23" s="9"/>
      <c r="QUR23" s="9"/>
      <c r="QUS23" s="9"/>
      <c r="QUT23" s="9"/>
      <c r="QUU23" s="9"/>
      <c r="QUV23" s="9"/>
      <c r="QUW23" s="9"/>
      <c r="QUX23" s="9"/>
      <c r="QUY23" s="9"/>
      <c r="QUZ23" s="9"/>
      <c r="QVA23" s="9"/>
      <c r="QVB23" s="9"/>
      <c r="QVC23" s="9"/>
      <c r="QVD23" s="9"/>
      <c r="QVE23" s="9"/>
      <c r="QVF23" s="9"/>
      <c r="QVG23" s="9"/>
      <c r="QVH23" s="9"/>
      <c r="QVI23" s="9"/>
      <c r="QVJ23" s="9"/>
      <c r="QVK23" s="9"/>
      <c r="QVL23" s="9"/>
      <c r="QVM23" s="9"/>
      <c r="QVN23" s="9"/>
      <c r="QVO23" s="9"/>
      <c r="QVP23" s="9"/>
      <c r="QVQ23" s="9"/>
      <c r="QVR23" s="9"/>
      <c r="QVS23" s="9"/>
      <c r="QVT23" s="9"/>
      <c r="QVU23" s="9"/>
      <c r="QVV23" s="9"/>
      <c r="QVW23" s="9"/>
      <c r="QVX23" s="9"/>
      <c r="QVY23" s="9"/>
      <c r="QVZ23" s="9"/>
      <c r="QWA23" s="9"/>
      <c r="QWB23" s="9"/>
      <c r="QWC23" s="9"/>
      <c r="QWD23" s="9"/>
      <c r="QWE23" s="9"/>
      <c r="QWF23" s="9"/>
      <c r="QWG23" s="9"/>
      <c r="QWH23" s="9"/>
      <c r="QWI23" s="9"/>
      <c r="QWJ23" s="9"/>
      <c r="QWK23" s="9"/>
      <c r="QWL23" s="9"/>
      <c r="QWM23" s="9"/>
      <c r="QWN23" s="9"/>
      <c r="QWO23" s="9"/>
      <c r="QWP23" s="9"/>
      <c r="QWQ23" s="9"/>
      <c r="QWR23" s="9"/>
      <c r="QWS23" s="9"/>
      <c r="QWT23" s="9"/>
      <c r="QWU23" s="9"/>
      <c r="QWV23" s="9"/>
      <c r="QWW23" s="9"/>
      <c r="QWX23" s="9"/>
      <c r="QWY23" s="9"/>
      <c r="QWZ23" s="9"/>
      <c r="QXA23" s="9"/>
      <c r="QXB23" s="9"/>
      <c r="QXC23" s="9"/>
      <c r="QXD23" s="9"/>
      <c r="QXE23" s="9"/>
      <c r="QXF23" s="9"/>
      <c r="QXG23" s="9"/>
      <c r="QXH23" s="9"/>
      <c r="QXI23" s="9"/>
      <c r="QXJ23" s="9"/>
      <c r="QXK23" s="9"/>
      <c r="QXL23" s="9"/>
      <c r="QXM23" s="9"/>
      <c r="QXN23" s="9"/>
      <c r="QXO23" s="9"/>
      <c r="QXP23" s="9"/>
      <c r="QXQ23" s="9"/>
      <c r="QXR23" s="9"/>
      <c r="QXS23" s="9"/>
      <c r="QXT23" s="9"/>
      <c r="QXU23" s="9"/>
      <c r="QXV23" s="9"/>
      <c r="QXW23" s="9"/>
      <c r="QXX23" s="9"/>
      <c r="QXY23" s="9"/>
      <c r="QXZ23" s="9"/>
      <c r="QYA23" s="9"/>
      <c r="QYB23" s="9"/>
      <c r="QYC23" s="9"/>
      <c r="QYD23" s="9"/>
      <c r="QYE23" s="9"/>
      <c r="QYF23" s="9"/>
      <c r="QYG23" s="9"/>
      <c r="QYH23" s="9"/>
      <c r="QYI23" s="9"/>
      <c r="QYJ23" s="9"/>
      <c r="QYK23" s="9"/>
      <c r="QYL23" s="9"/>
      <c r="QYM23" s="9"/>
      <c r="QYN23" s="9"/>
      <c r="QYO23" s="9"/>
      <c r="QYP23" s="9"/>
      <c r="QYQ23" s="9"/>
      <c r="QYR23" s="9"/>
      <c r="QYS23" s="9"/>
      <c r="QYT23" s="9"/>
      <c r="QYU23" s="9"/>
      <c r="QYV23" s="9"/>
      <c r="QYW23" s="9"/>
      <c r="QYX23" s="9"/>
      <c r="QYY23" s="9"/>
      <c r="QYZ23" s="9"/>
      <c r="QZA23" s="9"/>
      <c r="QZB23" s="9"/>
      <c r="QZC23" s="9"/>
      <c r="QZD23" s="9"/>
      <c r="QZE23" s="9"/>
      <c r="QZF23" s="9"/>
      <c r="QZG23" s="9"/>
      <c r="QZH23" s="9"/>
      <c r="QZI23" s="9"/>
      <c r="QZJ23" s="9"/>
      <c r="QZK23" s="9"/>
      <c r="QZL23" s="9"/>
      <c r="QZM23" s="9"/>
      <c r="QZN23" s="9"/>
      <c r="QZO23" s="9"/>
      <c r="QZP23" s="9"/>
      <c r="QZQ23" s="9"/>
      <c r="QZR23" s="9"/>
      <c r="QZS23" s="9"/>
      <c r="QZT23" s="9"/>
      <c r="QZU23" s="9"/>
      <c r="QZV23" s="9"/>
      <c r="QZW23" s="9"/>
      <c r="QZX23" s="9"/>
      <c r="QZY23" s="9"/>
      <c r="QZZ23" s="9"/>
      <c r="RAA23" s="9"/>
      <c r="RAB23" s="9"/>
      <c r="RAC23" s="9"/>
      <c r="RAD23" s="9"/>
      <c r="RAE23" s="9"/>
      <c r="RAF23" s="9"/>
      <c r="RAG23" s="9"/>
      <c r="RAH23" s="9"/>
      <c r="RAI23" s="9"/>
      <c r="RAJ23" s="9"/>
      <c r="RAK23" s="9"/>
      <c r="RAL23" s="9"/>
      <c r="RAM23" s="9"/>
      <c r="RAN23" s="9"/>
      <c r="RAO23" s="9"/>
      <c r="RAP23" s="9"/>
      <c r="RAQ23" s="9"/>
      <c r="RAR23" s="9"/>
      <c r="RAS23" s="9"/>
      <c r="RAT23" s="9"/>
      <c r="RAU23" s="9"/>
      <c r="RAV23" s="9"/>
      <c r="RAW23" s="9"/>
      <c r="RAX23" s="9"/>
      <c r="RAY23" s="9"/>
      <c r="RAZ23" s="9"/>
      <c r="RBA23" s="9"/>
      <c r="RBB23" s="9"/>
      <c r="RBC23" s="9"/>
      <c r="RBD23" s="9"/>
      <c r="RBE23" s="9"/>
      <c r="RBF23" s="9"/>
      <c r="RBG23" s="9"/>
      <c r="RBH23" s="9"/>
      <c r="RBI23" s="9"/>
      <c r="RBJ23" s="9"/>
      <c r="RBK23" s="9"/>
      <c r="RBL23" s="9"/>
      <c r="RBM23" s="9"/>
      <c r="RBN23" s="9"/>
      <c r="RBO23" s="9"/>
      <c r="RBP23" s="9"/>
      <c r="RBQ23" s="9"/>
      <c r="RBR23" s="9"/>
      <c r="RBS23" s="9"/>
      <c r="RBT23" s="9"/>
      <c r="RBU23" s="9"/>
      <c r="RBV23" s="9"/>
      <c r="RBW23" s="9"/>
      <c r="RBX23" s="9"/>
      <c r="RBY23" s="9"/>
      <c r="RBZ23" s="9"/>
      <c r="RCA23" s="9"/>
      <c r="RCB23" s="9"/>
      <c r="RCC23" s="9"/>
      <c r="RCD23" s="9"/>
      <c r="RCE23" s="9"/>
      <c r="RCF23" s="9"/>
      <c r="RCG23" s="9"/>
      <c r="RCH23" s="9"/>
      <c r="RCI23" s="9"/>
      <c r="RCJ23" s="9"/>
      <c r="RCK23" s="9"/>
      <c r="RCL23" s="9"/>
      <c r="RCM23" s="9"/>
      <c r="RCN23" s="9"/>
      <c r="RCO23" s="9"/>
      <c r="RCP23" s="9"/>
      <c r="RCQ23" s="9"/>
      <c r="RCR23" s="9"/>
      <c r="RCS23" s="9"/>
      <c r="RCT23" s="9"/>
      <c r="RCU23" s="9"/>
      <c r="RCV23" s="9"/>
      <c r="RCW23" s="9"/>
      <c r="RCX23" s="9"/>
      <c r="RCY23" s="9"/>
      <c r="RCZ23" s="9"/>
      <c r="RDA23" s="9"/>
      <c r="RDB23" s="9"/>
      <c r="RDC23" s="9"/>
      <c r="RDD23" s="9"/>
      <c r="RDE23" s="9"/>
      <c r="RDF23" s="9"/>
      <c r="RDG23" s="9"/>
      <c r="RDH23" s="9"/>
      <c r="RDI23" s="9"/>
      <c r="RDJ23" s="9"/>
      <c r="RDK23" s="9"/>
      <c r="RDL23" s="9"/>
      <c r="RDM23" s="9"/>
      <c r="RDN23" s="9"/>
      <c r="RDO23" s="9"/>
      <c r="RDP23" s="9"/>
      <c r="RDQ23" s="9"/>
      <c r="RDR23" s="9"/>
      <c r="RDS23" s="9"/>
      <c r="RDT23" s="9"/>
      <c r="RDU23" s="9"/>
      <c r="RDV23" s="9"/>
      <c r="RDW23" s="9"/>
      <c r="RDX23" s="9"/>
      <c r="RDY23" s="9"/>
      <c r="RDZ23" s="9"/>
      <c r="REA23" s="9"/>
      <c r="REB23" s="9"/>
      <c r="REC23" s="9"/>
      <c r="RED23" s="9"/>
      <c r="REE23" s="9"/>
      <c r="REF23" s="9"/>
      <c r="REG23" s="9"/>
      <c r="REH23" s="9"/>
      <c r="REI23" s="9"/>
      <c r="REJ23" s="9"/>
      <c r="REK23" s="9"/>
      <c r="REL23" s="9"/>
      <c r="REM23" s="9"/>
      <c r="REN23" s="9"/>
      <c r="REO23" s="9"/>
      <c r="REP23" s="9"/>
      <c r="REQ23" s="9"/>
      <c r="RER23" s="9"/>
      <c r="RES23" s="9"/>
      <c r="RET23" s="9"/>
      <c r="REU23" s="9"/>
      <c r="REV23" s="9"/>
      <c r="REW23" s="9"/>
      <c r="REX23" s="9"/>
      <c r="REY23" s="9"/>
      <c r="REZ23" s="9"/>
      <c r="RFA23" s="9"/>
      <c r="RFB23" s="9"/>
      <c r="RFC23" s="9"/>
      <c r="RFD23" s="9"/>
      <c r="RFE23" s="9"/>
      <c r="RFF23" s="9"/>
      <c r="RFG23" s="9"/>
      <c r="RFH23" s="9"/>
      <c r="RFI23" s="9"/>
      <c r="RFJ23" s="9"/>
      <c r="RFK23" s="9"/>
      <c r="RFL23" s="9"/>
      <c r="RFM23" s="9"/>
      <c r="RFN23" s="9"/>
      <c r="RFO23" s="9"/>
      <c r="RFP23" s="9"/>
      <c r="RFQ23" s="9"/>
      <c r="RFR23" s="9"/>
      <c r="RFS23" s="9"/>
      <c r="RFT23" s="9"/>
      <c r="RFU23" s="9"/>
      <c r="RFV23" s="9"/>
      <c r="RFW23" s="9"/>
      <c r="RFX23" s="9"/>
      <c r="RFY23" s="9"/>
      <c r="RFZ23" s="9"/>
      <c r="RGA23" s="9"/>
      <c r="RGB23" s="9"/>
      <c r="RGC23" s="9"/>
      <c r="RGD23" s="9"/>
      <c r="RGE23" s="9"/>
      <c r="RGF23" s="9"/>
      <c r="RGG23" s="9"/>
      <c r="RGH23" s="9"/>
      <c r="RGI23" s="9"/>
      <c r="RGJ23" s="9"/>
      <c r="RGK23" s="9"/>
      <c r="RGL23" s="9"/>
      <c r="RGM23" s="9"/>
      <c r="RGN23" s="9"/>
      <c r="RGO23" s="9"/>
      <c r="RGP23" s="9"/>
      <c r="RGQ23" s="9"/>
      <c r="RGR23" s="9"/>
      <c r="RGS23" s="9"/>
      <c r="RGT23" s="9"/>
      <c r="RGU23" s="9"/>
      <c r="RGV23" s="9"/>
      <c r="RGW23" s="9"/>
      <c r="RGX23" s="9"/>
      <c r="RGY23" s="9"/>
      <c r="RGZ23" s="9"/>
      <c r="RHA23" s="9"/>
      <c r="RHB23" s="9"/>
      <c r="RHC23" s="9"/>
      <c r="RHD23" s="9"/>
      <c r="RHE23" s="9"/>
      <c r="RHF23" s="9"/>
      <c r="RHG23" s="9"/>
      <c r="RHH23" s="9"/>
      <c r="RHI23" s="9"/>
      <c r="RHJ23" s="9"/>
      <c r="RHK23" s="9"/>
      <c r="RHL23" s="9"/>
      <c r="RHM23" s="9"/>
      <c r="RHN23" s="9"/>
      <c r="RHO23" s="9"/>
      <c r="RHP23" s="9"/>
      <c r="RHQ23" s="9"/>
      <c r="RHR23" s="9"/>
      <c r="RHS23" s="9"/>
      <c r="RHT23" s="9"/>
      <c r="RHU23" s="9"/>
      <c r="RHV23" s="9"/>
      <c r="RHW23" s="9"/>
      <c r="RHX23" s="9"/>
      <c r="RHY23" s="9"/>
      <c r="RHZ23" s="9"/>
      <c r="RIA23" s="9"/>
      <c r="RIB23" s="9"/>
      <c r="RIC23" s="9"/>
      <c r="RID23" s="9"/>
      <c r="RIE23" s="9"/>
      <c r="RIF23" s="9"/>
      <c r="RIG23" s="9"/>
      <c r="RIH23" s="9"/>
      <c r="RII23" s="9"/>
      <c r="RIJ23" s="9"/>
      <c r="RIK23" s="9"/>
      <c r="RIL23" s="9"/>
      <c r="RIM23" s="9"/>
      <c r="RIN23" s="9"/>
      <c r="RIO23" s="9"/>
      <c r="RIP23" s="9"/>
      <c r="RIQ23" s="9"/>
      <c r="RIR23" s="9"/>
      <c r="RIS23" s="9"/>
      <c r="RIT23" s="9"/>
      <c r="RIU23" s="9"/>
      <c r="RIV23" s="9"/>
      <c r="RIW23" s="9"/>
      <c r="RIX23" s="9"/>
      <c r="RIY23" s="9"/>
      <c r="RIZ23" s="9"/>
      <c r="RJA23" s="9"/>
      <c r="RJB23" s="9"/>
      <c r="RJC23" s="9"/>
      <c r="RJD23" s="9"/>
      <c r="RJE23" s="9"/>
      <c r="RJF23" s="9"/>
      <c r="RJG23" s="9"/>
      <c r="RJH23" s="9"/>
      <c r="RJI23" s="9"/>
      <c r="RJJ23" s="9"/>
      <c r="RJK23" s="9"/>
      <c r="RJL23" s="9"/>
      <c r="RJM23" s="9"/>
      <c r="RJN23" s="9"/>
      <c r="RJO23" s="9"/>
      <c r="RJP23" s="9"/>
      <c r="RJQ23" s="9"/>
      <c r="RJR23" s="9"/>
      <c r="RJS23" s="9"/>
      <c r="RJT23" s="9"/>
      <c r="RJU23" s="9"/>
      <c r="RJV23" s="9"/>
      <c r="RJW23" s="9"/>
      <c r="RJX23" s="9"/>
      <c r="RJY23" s="9"/>
      <c r="RJZ23" s="9"/>
      <c r="RKA23" s="9"/>
      <c r="RKB23" s="9"/>
      <c r="RKC23" s="9"/>
      <c r="RKD23" s="9"/>
      <c r="RKE23" s="9"/>
      <c r="RKF23" s="9"/>
      <c r="RKG23" s="9"/>
      <c r="RKH23" s="9"/>
      <c r="RKI23" s="9"/>
      <c r="RKJ23" s="9"/>
      <c r="RKK23" s="9"/>
      <c r="RKL23" s="9"/>
      <c r="RKM23" s="9"/>
      <c r="RKN23" s="9"/>
      <c r="RKO23" s="9"/>
      <c r="RKP23" s="9"/>
      <c r="RKQ23" s="9"/>
      <c r="RKR23" s="9"/>
      <c r="RKS23" s="9"/>
      <c r="RKT23" s="9"/>
      <c r="RKU23" s="9"/>
      <c r="RKV23" s="9"/>
      <c r="RKW23" s="9"/>
      <c r="RKX23" s="9"/>
      <c r="RKY23" s="9"/>
      <c r="RKZ23" s="9"/>
      <c r="RLA23" s="9"/>
      <c r="RLB23" s="9"/>
      <c r="RLC23" s="9"/>
      <c r="RLD23" s="9"/>
      <c r="RLE23" s="9"/>
      <c r="RLF23" s="9"/>
      <c r="RLG23" s="9"/>
      <c r="RLH23" s="9"/>
      <c r="RLI23" s="9"/>
      <c r="RLJ23" s="9"/>
      <c r="RLK23" s="9"/>
      <c r="RLL23" s="9"/>
      <c r="RLM23" s="9"/>
      <c r="RLN23" s="9"/>
      <c r="RLO23" s="9"/>
      <c r="RLP23" s="9"/>
      <c r="RLQ23" s="9"/>
      <c r="RLR23" s="9"/>
      <c r="RLS23" s="9"/>
      <c r="RLT23" s="9"/>
      <c r="RLU23" s="9"/>
      <c r="RLV23" s="9"/>
      <c r="RLW23" s="9"/>
      <c r="RLX23" s="9"/>
      <c r="RLY23" s="9"/>
      <c r="RLZ23" s="9"/>
      <c r="RMA23" s="9"/>
      <c r="RMB23" s="9"/>
      <c r="RMC23" s="9"/>
      <c r="RMD23" s="9"/>
      <c r="RME23" s="9"/>
      <c r="RMF23" s="9"/>
      <c r="RMG23" s="9"/>
      <c r="RMH23" s="9"/>
      <c r="RMI23" s="9"/>
      <c r="RMJ23" s="9"/>
      <c r="RMK23" s="9"/>
      <c r="RML23" s="9"/>
      <c r="RMM23" s="9"/>
      <c r="RMN23" s="9"/>
      <c r="RMO23" s="9"/>
      <c r="RMP23" s="9"/>
      <c r="RMQ23" s="9"/>
      <c r="RMR23" s="9"/>
      <c r="RMS23" s="9"/>
      <c r="RMT23" s="9"/>
      <c r="RMU23" s="9"/>
      <c r="RMV23" s="9"/>
      <c r="RMW23" s="9"/>
      <c r="RMX23" s="9"/>
      <c r="RMY23" s="9"/>
      <c r="RMZ23" s="9"/>
      <c r="RNA23" s="9"/>
      <c r="RNB23" s="9"/>
      <c r="RNC23" s="9"/>
      <c r="RND23" s="9"/>
      <c r="RNE23" s="9"/>
      <c r="RNF23" s="9"/>
      <c r="RNG23" s="9"/>
      <c r="RNH23" s="9"/>
      <c r="RNI23" s="9"/>
      <c r="RNJ23" s="9"/>
      <c r="RNK23" s="9"/>
      <c r="RNL23" s="9"/>
      <c r="RNM23" s="9"/>
      <c r="RNN23" s="9"/>
      <c r="RNO23" s="9"/>
      <c r="RNP23" s="9"/>
      <c r="RNQ23" s="9"/>
      <c r="RNR23" s="9"/>
      <c r="RNS23" s="9"/>
      <c r="RNT23" s="9"/>
      <c r="RNU23" s="9"/>
      <c r="RNV23" s="9"/>
      <c r="RNW23" s="9"/>
      <c r="RNX23" s="9"/>
      <c r="RNY23" s="9"/>
      <c r="RNZ23" s="9"/>
      <c r="ROA23" s="9"/>
      <c r="ROB23" s="9"/>
      <c r="ROC23" s="9"/>
      <c r="ROD23" s="9"/>
      <c r="ROE23" s="9"/>
      <c r="ROF23" s="9"/>
      <c r="ROG23" s="9"/>
      <c r="ROH23" s="9"/>
      <c r="ROI23" s="9"/>
      <c r="ROJ23" s="9"/>
      <c r="ROK23" s="9"/>
      <c r="ROL23" s="9"/>
      <c r="ROM23" s="9"/>
      <c r="RON23" s="9"/>
      <c r="ROO23" s="9"/>
      <c r="ROP23" s="9"/>
      <c r="ROQ23" s="9"/>
      <c r="ROR23" s="9"/>
      <c r="ROS23" s="9"/>
      <c r="ROT23" s="9"/>
      <c r="ROU23" s="9"/>
      <c r="ROV23" s="9"/>
      <c r="ROW23" s="9"/>
      <c r="ROX23" s="9"/>
      <c r="ROY23" s="9"/>
      <c r="ROZ23" s="9"/>
      <c r="RPA23" s="9"/>
      <c r="RPB23" s="9"/>
      <c r="RPC23" s="9"/>
      <c r="RPD23" s="9"/>
      <c r="RPE23" s="9"/>
      <c r="RPF23" s="9"/>
      <c r="RPG23" s="9"/>
      <c r="RPH23" s="9"/>
      <c r="RPI23" s="9"/>
      <c r="RPJ23" s="9"/>
      <c r="RPK23" s="9"/>
      <c r="RPL23" s="9"/>
      <c r="RPM23" s="9"/>
      <c r="RPN23" s="9"/>
      <c r="RPO23" s="9"/>
      <c r="RPP23" s="9"/>
      <c r="RPQ23" s="9"/>
      <c r="RPR23" s="9"/>
      <c r="RPS23" s="9"/>
      <c r="RPT23" s="9"/>
      <c r="RPU23" s="9"/>
      <c r="RPV23" s="9"/>
      <c r="RPW23" s="9"/>
      <c r="RPX23" s="9"/>
      <c r="RPY23" s="9"/>
      <c r="RPZ23" s="9"/>
      <c r="RQA23" s="9"/>
      <c r="RQB23" s="9"/>
      <c r="RQC23" s="9"/>
      <c r="RQD23" s="9"/>
      <c r="RQE23" s="9"/>
      <c r="RQF23" s="9"/>
      <c r="RQG23" s="9"/>
      <c r="RQH23" s="9"/>
      <c r="RQI23" s="9"/>
      <c r="RQJ23" s="9"/>
      <c r="RQK23" s="9"/>
      <c r="RQL23" s="9"/>
      <c r="RQM23" s="9"/>
      <c r="RQN23" s="9"/>
      <c r="RQO23" s="9"/>
      <c r="RQP23" s="9"/>
      <c r="RQQ23" s="9"/>
      <c r="RQR23" s="9"/>
      <c r="RQS23" s="9"/>
      <c r="RQT23" s="9"/>
      <c r="RQU23" s="9"/>
      <c r="RQV23" s="9"/>
      <c r="RQW23" s="9"/>
      <c r="RQX23" s="9"/>
      <c r="RQY23" s="9"/>
      <c r="RQZ23" s="9"/>
      <c r="RRA23" s="9"/>
      <c r="RRB23" s="9"/>
      <c r="RRC23" s="9"/>
      <c r="RRD23" s="9"/>
      <c r="RRE23" s="9"/>
      <c r="RRF23" s="9"/>
      <c r="RRG23" s="9"/>
      <c r="RRH23" s="9"/>
      <c r="RRI23" s="9"/>
      <c r="RRJ23" s="9"/>
      <c r="RRK23" s="9"/>
      <c r="RRL23" s="9"/>
      <c r="RRM23" s="9"/>
      <c r="RRN23" s="9"/>
      <c r="RRO23" s="9"/>
      <c r="RRP23" s="9"/>
      <c r="RRQ23" s="9"/>
      <c r="RRR23" s="9"/>
      <c r="RRS23" s="9"/>
      <c r="RRT23" s="9"/>
      <c r="RRU23" s="9"/>
      <c r="RRV23" s="9"/>
      <c r="RRW23" s="9"/>
      <c r="RRX23" s="9"/>
      <c r="RRY23" s="9"/>
      <c r="RRZ23" s="9"/>
      <c r="RSA23" s="9"/>
      <c r="RSB23" s="9"/>
      <c r="RSC23" s="9"/>
      <c r="RSD23" s="9"/>
      <c r="RSE23" s="9"/>
      <c r="RSF23" s="9"/>
      <c r="RSG23" s="9"/>
      <c r="RSH23" s="9"/>
      <c r="RSI23" s="9"/>
      <c r="RSJ23" s="9"/>
      <c r="RSK23" s="9"/>
      <c r="RSL23" s="9"/>
      <c r="RSM23" s="9"/>
      <c r="RSN23" s="9"/>
      <c r="RSO23" s="9"/>
      <c r="RSP23" s="9"/>
      <c r="RSQ23" s="9"/>
      <c r="RSR23" s="9"/>
      <c r="RSS23" s="9"/>
      <c r="RST23" s="9"/>
      <c r="RSU23" s="9"/>
      <c r="RSV23" s="9"/>
      <c r="RSW23" s="9"/>
      <c r="RSX23" s="9"/>
      <c r="RSY23" s="9"/>
      <c r="RSZ23" s="9"/>
      <c r="RTA23" s="9"/>
      <c r="RTB23" s="9"/>
      <c r="RTC23" s="9"/>
      <c r="RTD23" s="9"/>
      <c r="RTE23" s="9"/>
      <c r="RTF23" s="9"/>
      <c r="RTG23" s="9"/>
      <c r="RTH23" s="9"/>
      <c r="RTI23" s="9"/>
      <c r="RTJ23" s="9"/>
      <c r="RTK23" s="9"/>
      <c r="RTL23" s="9"/>
      <c r="RTM23" s="9"/>
      <c r="RTN23" s="9"/>
      <c r="RTO23" s="9"/>
      <c r="RTP23" s="9"/>
      <c r="RTQ23" s="9"/>
      <c r="RTR23" s="9"/>
      <c r="RTS23" s="9"/>
      <c r="RTT23" s="9"/>
      <c r="RTU23" s="9"/>
      <c r="RTV23" s="9"/>
      <c r="RTW23" s="9"/>
      <c r="RTX23" s="9"/>
      <c r="RTY23" s="9"/>
      <c r="RTZ23" s="9"/>
      <c r="RUA23" s="9"/>
      <c r="RUB23" s="9"/>
      <c r="RUC23" s="9"/>
      <c r="RUD23" s="9"/>
      <c r="RUE23" s="9"/>
      <c r="RUF23" s="9"/>
      <c r="RUG23" s="9"/>
      <c r="RUH23" s="9"/>
      <c r="RUI23" s="9"/>
      <c r="RUJ23" s="9"/>
      <c r="RUK23" s="9"/>
      <c r="RUL23" s="9"/>
      <c r="RUM23" s="9"/>
      <c r="RUN23" s="9"/>
      <c r="RUO23" s="9"/>
      <c r="RUP23" s="9"/>
      <c r="RUQ23" s="9"/>
      <c r="RUR23" s="9"/>
      <c r="RUS23" s="9"/>
      <c r="RUT23" s="9"/>
      <c r="RUU23" s="9"/>
      <c r="RUV23" s="9"/>
      <c r="RUW23" s="9"/>
      <c r="RUX23" s="9"/>
      <c r="RUY23" s="9"/>
      <c r="RUZ23" s="9"/>
      <c r="RVA23" s="9"/>
      <c r="RVB23" s="9"/>
      <c r="RVC23" s="9"/>
      <c r="RVD23" s="9"/>
      <c r="RVE23" s="9"/>
      <c r="RVF23" s="9"/>
      <c r="RVG23" s="9"/>
      <c r="RVH23" s="9"/>
      <c r="RVI23" s="9"/>
      <c r="RVJ23" s="9"/>
      <c r="RVK23" s="9"/>
      <c r="RVL23" s="9"/>
      <c r="RVM23" s="9"/>
      <c r="RVN23" s="9"/>
      <c r="RVO23" s="9"/>
      <c r="RVP23" s="9"/>
      <c r="RVQ23" s="9"/>
      <c r="RVR23" s="9"/>
      <c r="RVS23" s="9"/>
      <c r="RVT23" s="9"/>
      <c r="RVU23" s="9"/>
      <c r="RVV23" s="9"/>
      <c r="RVW23" s="9"/>
      <c r="RVX23" s="9"/>
      <c r="RVY23" s="9"/>
      <c r="RVZ23" s="9"/>
      <c r="RWA23" s="9"/>
      <c r="RWB23" s="9"/>
      <c r="RWC23" s="9"/>
      <c r="RWD23" s="9"/>
      <c r="RWE23" s="9"/>
      <c r="RWF23" s="9"/>
      <c r="RWG23" s="9"/>
      <c r="RWH23" s="9"/>
      <c r="RWI23" s="9"/>
      <c r="RWJ23" s="9"/>
      <c r="RWK23" s="9"/>
      <c r="RWL23" s="9"/>
      <c r="RWM23" s="9"/>
      <c r="RWN23" s="9"/>
      <c r="RWO23" s="9"/>
      <c r="RWP23" s="9"/>
      <c r="RWQ23" s="9"/>
      <c r="RWR23" s="9"/>
      <c r="RWS23" s="9"/>
      <c r="RWT23" s="9"/>
      <c r="RWU23" s="9"/>
      <c r="RWV23" s="9"/>
      <c r="RWW23" s="9"/>
      <c r="RWX23" s="9"/>
      <c r="RWY23" s="9"/>
      <c r="RWZ23" s="9"/>
      <c r="RXA23" s="9"/>
      <c r="RXB23" s="9"/>
      <c r="RXC23" s="9"/>
      <c r="RXD23" s="9"/>
      <c r="RXE23" s="9"/>
      <c r="RXF23" s="9"/>
      <c r="RXG23" s="9"/>
      <c r="RXH23" s="9"/>
      <c r="RXI23" s="9"/>
      <c r="RXJ23" s="9"/>
      <c r="RXK23" s="9"/>
      <c r="RXL23" s="9"/>
      <c r="RXM23" s="9"/>
      <c r="RXN23" s="9"/>
      <c r="RXO23" s="9"/>
      <c r="RXP23" s="9"/>
      <c r="RXQ23" s="9"/>
      <c r="RXR23" s="9"/>
      <c r="RXS23" s="9"/>
      <c r="RXT23" s="9"/>
      <c r="RXU23" s="9"/>
      <c r="RXV23" s="9"/>
      <c r="RXW23" s="9"/>
      <c r="RXX23" s="9"/>
      <c r="RXY23" s="9"/>
      <c r="RXZ23" s="9"/>
      <c r="RYA23" s="9"/>
      <c r="RYB23" s="9"/>
      <c r="RYC23" s="9"/>
      <c r="RYD23" s="9"/>
      <c r="RYE23" s="9"/>
      <c r="RYF23" s="9"/>
      <c r="RYG23" s="9"/>
      <c r="RYH23" s="9"/>
      <c r="RYI23" s="9"/>
      <c r="RYJ23" s="9"/>
      <c r="RYK23" s="9"/>
      <c r="RYL23" s="9"/>
      <c r="RYM23" s="9"/>
      <c r="RYN23" s="9"/>
      <c r="RYO23" s="9"/>
      <c r="RYP23" s="9"/>
      <c r="RYQ23" s="9"/>
      <c r="RYR23" s="9"/>
      <c r="RYS23" s="9"/>
      <c r="RYT23" s="9"/>
      <c r="RYU23" s="9"/>
      <c r="RYV23" s="9"/>
      <c r="RYW23" s="9"/>
      <c r="RYX23" s="9"/>
      <c r="RYY23" s="9"/>
      <c r="RYZ23" s="9"/>
      <c r="RZA23" s="9"/>
      <c r="RZB23" s="9"/>
      <c r="RZC23" s="9"/>
      <c r="RZD23" s="9"/>
      <c r="RZE23" s="9"/>
      <c r="RZF23" s="9"/>
      <c r="RZG23" s="9"/>
      <c r="RZH23" s="9"/>
      <c r="RZI23" s="9"/>
      <c r="RZJ23" s="9"/>
      <c r="RZK23" s="9"/>
      <c r="RZL23" s="9"/>
      <c r="RZM23" s="9"/>
      <c r="RZN23" s="9"/>
      <c r="RZO23" s="9"/>
      <c r="RZP23" s="9"/>
      <c r="RZQ23" s="9"/>
      <c r="RZR23" s="9"/>
      <c r="RZS23" s="9"/>
      <c r="RZT23" s="9"/>
      <c r="RZU23" s="9"/>
      <c r="RZV23" s="9"/>
      <c r="RZW23" s="9"/>
      <c r="RZX23" s="9"/>
      <c r="RZY23" s="9"/>
      <c r="RZZ23" s="9"/>
      <c r="SAA23" s="9"/>
      <c r="SAB23" s="9"/>
      <c r="SAC23" s="9"/>
      <c r="SAD23" s="9"/>
      <c r="SAE23" s="9"/>
      <c r="SAF23" s="9"/>
      <c r="SAG23" s="9"/>
      <c r="SAH23" s="9"/>
      <c r="SAI23" s="9"/>
      <c r="SAJ23" s="9"/>
      <c r="SAK23" s="9"/>
      <c r="SAL23" s="9"/>
      <c r="SAM23" s="9"/>
      <c r="SAN23" s="9"/>
      <c r="SAO23" s="9"/>
      <c r="SAP23" s="9"/>
      <c r="SAQ23" s="9"/>
      <c r="SAR23" s="9"/>
      <c r="SAS23" s="9"/>
      <c r="SAT23" s="9"/>
      <c r="SAU23" s="9"/>
      <c r="SAV23" s="9"/>
      <c r="SAW23" s="9"/>
      <c r="SAX23" s="9"/>
      <c r="SAY23" s="9"/>
      <c r="SAZ23" s="9"/>
      <c r="SBA23" s="9"/>
      <c r="SBB23" s="9"/>
      <c r="SBC23" s="9"/>
      <c r="SBD23" s="9"/>
      <c r="SBE23" s="9"/>
      <c r="SBF23" s="9"/>
      <c r="SBG23" s="9"/>
      <c r="SBH23" s="9"/>
      <c r="SBI23" s="9"/>
      <c r="SBJ23" s="9"/>
      <c r="SBK23" s="9"/>
      <c r="SBL23" s="9"/>
      <c r="SBM23" s="9"/>
      <c r="SBN23" s="9"/>
      <c r="SBO23" s="9"/>
      <c r="SBP23" s="9"/>
      <c r="SBQ23" s="9"/>
      <c r="SBR23" s="9"/>
      <c r="SBS23" s="9"/>
      <c r="SBT23" s="9"/>
      <c r="SBU23" s="9"/>
      <c r="SBV23" s="9"/>
      <c r="SBW23" s="9"/>
      <c r="SBX23" s="9"/>
      <c r="SBY23" s="9"/>
      <c r="SBZ23" s="9"/>
      <c r="SCA23" s="9"/>
      <c r="SCB23" s="9"/>
      <c r="SCC23" s="9"/>
      <c r="SCD23" s="9"/>
      <c r="SCE23" s="9"/>
      <c r="SCF23" s="9"/>
      <c r="SCG23" s="9"/>
      <c r="SCH23" s="9"/>
      <c r="SCI23" s="9"/>
      <c r="SCJ23" s="9"/>
      <c r="SCK23" s="9"/>
      <c r="SCL23" s="9"/>
      <c r="SCM23" s="9"/>
      <c r="SCN23" s="9"/>
      <c r="SCO23" s="9"/>
      <c r="SCP23" s="9"/>
      <c r="SCQ23" s="9"/>
      <c r="SCR23" s="9"/>
      <c r="SCS23" s="9"/>
      <c r="SCT23" s="9"/>
      <c r="SCU23" s="9"/>
      <c r="SCV23" s="9"/>
      <c r="SCW23" s="9"/>
      <c r="SCX23" s="9"/>
      <c r="SCY23" s="9"/>
      <c r="SCZ23" s="9"/>
      <c r="SDA23" s="9"/>
      <c r="SDB23" s="9"/>
      <c r="SDC23" s="9"/>
      <c r="SDD23" s="9"/>
      <c r="SDE23" s="9"/>
      <c r="SDF23" s="9"/>
      <c r="SDG23" s="9"/>
      <c r="SDH23" s="9"/>
      <c r="SDI23" s="9"/>
      <c r="SDJ23" s="9"/>
      <c r="SDK23" s="9"/>
      <c r="SDL23" s="9"/>
      <c r="SDM23" s="9"/>
      <c r="SDN23" s="9"/>
      <c r="SDO23" s="9"/>
      <c r="SDP23" s="9"/>
      <c r="SDQ23" s="9"/>
      <c r="SDR23" s="9"/>
      <c r="SDS23" s="9"/>
      <c r="SDT23" s="9"/>
      <c r="SDU23" s="9"/>
      <c r="SDV23" s="9"/>
      <c r="SDW23" s="9"/>
      <c r="SDX23" s="9"/>
      <c r="SDY23" s="9"/>
      <c r="SDZ23" s="9"/>
      <c r="SEA23" s="9"/>
      <c r="SEB23" s="9"/>
      <c r="SEC23" s="9"/>
      <c r="SED23" s="9"/>
      <c r="SEE23" s="9"/>
      <c r="SEF23" s="9"/>
      <c r="SEG23" s="9"/>
      <c r="SEH23" s="9"/>
      <c r="SEI23" s="9"/>
      <c r="SEJ23" s="9"/>
      <c r="SEK23" s="9"/>
      <c r="SEL23" s="9"/>
      <c r="SEM23" s="9"/>
      <c r="SEN23" s="9"/>
      <c r="SEO23" s="9"/>
      <c r="SEP23" s="9"/>
      <c r="SEQ23" s="9"/>
      <c r="SER23" s="9"/>
      <c r="SES23" s="9"/>
      <c r="SET23" s="9"/>
      <c r="SEU23" s="9"/>
      <c r="SEV23" s="9"/>
      <c r="SEW23" s="9"/>
      <c r="SEX23" s="9"/>
      <c r="SEY23" s="9"/>
      <c r="SEZ23" s="9"/>
      <c r="SFA23" s="9"/>
      <c r="SFB23" s="9"/>
      <c r="SFC23" s="9"/>
      <c r="SFD23" s="9"/>
      <c r="SFE23" s="9"/>
      <c r="SFF23" s="9"/>
      <c r="SFG23" s="9"/>
      <c r="SFH23" s="9"/>
      <c r="SFI23" s="9"/>
      <c r="SFJ23" s="9"/>
      <c r="SFK23" s="9"/>
      <c r="SFL23" s="9"/>
      <c r="SFM23" s="9"/>
      <c r="SFN23" s="9"/>
      <c r="SFO23" s="9"/>
      <c r="SFP23" s="9"/>
      <c r="SFQ23" s="9"/>
      <c r="SFR23" s="9"/>
      <c r="SFS23" s="9"/>
      <c r="SFT23" s="9"/>
      <c r="SFU23" s="9"/>
      <c r="SFV23" s="9"/>
      <c r="SFW23" s="9"/>
      <c r="SFX23" s="9"/>
      <c r="SFY23" s="9"/>
      <c r="SFZ23" s="9"/>
      <c r="SGA23" s="9"/>
      <c r="SGB23" s="9"/>
      <c r="SGC23" s="9"/>
      <c r="SGD23" s="9"/>
      <c r="SGE23" s="9"/>
      <c r="SGF23" s="9"/>
      <c r="SGG23" s="9"/>
      <c r="SGH23" s="9"/>
      <c r="SGI23" s="9"/>
      <c r="SGJ23" s="9"/>
      <c r="SGK23" s="9"/>
      <c r="SGL23" s="9"/>
      <c r="SGM23" s="9"/>
      <c r="SGN23" s="9"/>
      <c r="SGO23" s="9"/>
      <c r="SGP23" s="9"/>
      <c r="SGQ23" s="9"/>
      <c r="SGR23" s="9"/>
      <c r="SGS23" s="9"/>
      <c r="SGT23" s="9"/>
      <c r="SGU23" s="9"/>
      <c r="SGV23" s="9"/>
      <c r="SGW23" s="9"/>
      <c r="SGX23" s="9"/>
      <c r="SGY23" s="9"/>
      <c r="SGZ23" s="9"/>
      <c r="SHA23" s="9"/>
      <c r="SHB23" s="9"/>
      <c r="SHC23" s="9"/>
      <c r="SHD23" s="9"/>
      <c r="SHE23" s="9"/>
      <c r="SHF23" s="9"/>
      <c r="SHG23" s="9"/>
      <c r="SHH23" s="9"/>
      <c r="SHI23" s="9"/>
      <c r="SHJ23" s="9"/>
      <c r="SHK23" s="9"/>
      <c r="SHL23" s="9"/>
      <c r="SHM23" s="9"/>
      <c r="SHN23" s="9"/>
      <c r="SHO23" s="9"/>
      <c r="SHP23" s="9"/>
      <c r="SHQ23" s="9"/>
      <c r="SHR23" s="9"/>
      <c r="SHS23" s="9"/>
      <c r="SHT23" s="9"/>
      <c r="SHU23" s="9"/>
      <c r="SHV23" s="9"/>
      <c r="SHW23" s="9"/>
      <c r="SHX23" s="9"/>
      <c r="SHY23" s="9"/>
      <c r="SHZ23" s="9"/>
      <c r="SIA23" s="9"/>
      <c r="SIB23" s="9"/>
      <c r="SIC23" s="9"/>
      <c r="SID23" s="9"/>
      <c r="SIE23" s="9"/>
      <c r="SIF23" s="9"/>
      <c r="SIG23" s="9"/>
      <c r="SIH23" s="9"/>
      <c r="SII23" s="9"/>
      <c r="SIJ23" s="9"/>
      <c r="SIK23" s="9"/>
      <c r="SIL23" s="9"/>
      <c r="SIM23" s="9"/>
      <c r="SIN23" s="9"/>
      <c r="SIO23" s="9"/>
      <c r="SIP23" s="9"/>
      <c r="SIQ23" s="9"/>
      <c r="SIR23" s="9"/>
      <c r="SIS23" s="9"/>
      <c r="SIT23" s="9"/>
      <c r="SIU23" s="9"/>
      <c r="SIV23" s="9"/>
      <c r="SIW23" s="9"/>
      <c r="SIX23" s="9"/>
      <c r="SIY23" s="9"/>
      <c r="SIZ23" s="9"/>
      <c r="SJA23" s="9"/>
      <c r="SJB23" s="9"/>
      <c r="SJC23" s="9"/>
      <c r="SJD23" s="9"/>
      <c r="SJE23" s="9"/>
      <c r="SJF23" s="9"/>
      <c r="SJG23" s="9"/>
      <c r="SJH23" s="9"/>
      <c r="SJI23" s="9"/>
      <c r="SJJ23" s="9"/>
      <c r="SJK23" s="9"/>
      <c r="SJL23" s="9"/>
      <c r="SJM23" s="9"/>
      <c r="SJN23" s="9"/>
      <c r="SJO23" s="9"/>
      <c r="SJP23" s="9"/>
      <c r="SJQ23" s="9"/>
      <c r="SJR23" s="9"/>
      <c r="SJS23" s="9"/>
      <c r="SJT23" s="9"/>
      <c r="SJU23" s="9"/>
      <c r="SJV23" s="9"/>
      <c r="SJW23" s="9"/>
      <c r="SJX23" s="9"/>
      <c r="SJY23" s="9"/>
      <c r="SJZ23" s="9"/>
      <c r="SKA23" s="9"/>
      <c r="SKB23" s="9"/>
      <c r="SKC23" s="9"/>
      <c r="SKD23" s="9"/>
      <c r="SKE23" s="9"/>
      <c r="SKF23" s="9"/>
      <c r="SKG23" s="9"/>
      <c r="SKH23" s="9"/>
      <c r="SKI23" s="9"/>
      <c r="SKJ23" s="9"/>
      <c r="SKK23" s="9"/>
      <c r="SKL23" s="9"/>
      <c r="SKM23" s="9"/>
      <c r="SKN23" s="9"/>
      <c r="SKO23" s="9"/>
      <c r="SKP23" s="9"/>
      <c r="SKQ23" s="9"/>
      <c r="SKR23" s="9"/>
      <c r="SKS23" s="9"/>
      <c r="SKT23" s="9"/>
      <c r="SKU23" s="9"/>
      <c r="SKV23" s="9"/>
      <c r="SKW23" s="9"/>
      <c r="SKX23" s="9"/>
      <c r="SKY23" s="9"/>
      <c r="SKZ23" s="9"/>
      <c r="SLA23" s="9"/>
      <c r="SLB23" s="9"/>
      <c r="SLC23" s="9"/>
      <c r="SLD23" s="9"/>
      <c r="SLE23" s="9"/>
      <c r="SLF23" s="9"/>
      <c r="SLG23" s="9"/>
      <c r="SLH23" s="9"/>
      <c r="SLI23" s="9"/>
      <c r="SLJ23" s="9"/>
      <c r="SLK23" s="9"/>
      <c r="SLL23" s="9"/>
      <c r="SLM23" s="9"/>
      <c r="SLN23" s="9"/>
      <c r="SLO23" s="9"/>
      <c r="SLP23" s="9"/>
      <c r="SLQ23" s="9"/>
      <c r="SLR23" s="9"/>
      <c r="SLS23" s="9"/>
      <c r="SLT23" s="9"/>
      <c r="SLU23" s="9"/>
      <c r="SLV23" s="9"/>
      <c r="SLW23" s="9"/>
      <c r="SLX23" s="9"/>
      <c r="SLY23" s="9"/>
      <c r="SLZ23" s="9"/>
      <c r="SMA23" s="9"/>
      <c r="SMB23" s="9"/>
      <c r="SMC23" s="9"/>
      <c r="SMD23" s="9"/>
      <c r="SME23" s="9"/>
      <c r="SMF23" s="9"/>
      <c r="SMG23" s="9"/>
      <c r="SMH23" s="9"/>
      <c r="SMI23" s="9"/>
      <c r="SMJ23" s="9"/>
      <c r="SMK23" s="9"/>
      <c r="SML23" s="9"/>
      <c r="SMM23" s="9"/>
      <c r="SMN23" s="9"/>
      <c r="SMO23" s="9"/>
      <c r="SMP23" s="9"/>
      <c r="SMQ23" s="9"/>
      <c r="SMR23" s="9"/>
      <c r="SMS23" s="9"/>
      <c r="SMT23" s="9"/>
      <c r="SMU23" s="9"/>
      <c r="SMV23" s="9"/>
      <c r="SMW23" s="9"/>
      <c r="SMX23" s="9"/>
      <c r="SMY23" s="9"/>
      <c r="SMZ23" s="9"/>
      <c r="SNA23" s="9"/>
      <c r="SNB23" s="9"/>
      <c r="SNC23" s="9"/>
      <c r="SND23" s="9"/>
      <c r="SNE23" s="9"/>
      <c r="SNF23" s="9"/>
      <c r="SNG23" s="9"/>
      <c r="SNH23" s="9"/>
      <c r="SNI23" s="9"/>
      <c r="SNJ23" s="9"/>
      <c r="SNK23" s="9"/>
      <c r="SNL23" s="9"/>
      <c r="SNM23" s="9"/>
      <c r="SNN23" s="9"/>
      <c r="SNO23" s="9"/>
      <c r="SNP23" s="9"/>
      <c r="SNQ23" s="9"/>
      <c r="SNR23" s="9"/>
      <c r="SNS23" s="9"/>
      <c r="SNT23" s="9"/>
      <c r="SNU23" s="9"/>
      <c r="SNV23" s="9"/>
      <c r="SNW23" s="9"/>
      <c r="SNX23" s="9"/>
      <c r="SNY23" s="9"/>
      <c r="SNZ23" s="9"/>
      <c r="SOA23" s="9"/>
      <c r="SOB23" s="9"/>
      <c r="SOC23" s="9"/>
      <c r="SOD23" s="9"/>
      <c r="SOE23" s="9"/>
      <c r="SOF23" s="9"/>
      <c r="SOG23" s="9"/>
      <c r="SOH23" s="9"/>
      <c r="SOI23" s="9"/>
      <c r="SOJ23" s="9"/>
      <c r="SOK23" s="9"/>
      <c r="SOL23" s="9"/>
      <c r="SOM23" s="9"/>
      <c r="SON23" s="9"/>
      <c r="SOO23" s="9"/>
      <c r="SOP23" s="9"/>
      <c r="SOQ23" s="9"/>
      <c r="SOR23" s="9"/>
      <c r="SOS23" s="9"/>
      <c r="SOT23" s="9"/>
      <c r="SOU23" s="9"/>
      <c r="SOV23" s="9"/>
      <c r="SOW23" s="9"/>
      <c r="SOX23" s="9"/>
      <c r="SOY23" s="9"/>
      <c r="SOZ23" s="9"/>
      <c r="SPA23" s="9"/>
      <c r="SPB23" s="9"/>
      <c r="SPC23" s="9"/>
      <c r="SPD23" s="9"/>
      <c r="SPE23" s="9"/>
      <c r="SPF23" s="9"/>
      <c r="SPG23" s="9"/>
      <c r="SPH23" s="9"/>
      <c r="SPI23" s="9"/>
      <c r="SPJ23" s="9"/>
      <c r="SPK23" s="9"/>
      <c r="SPL23" s="9"/>
      <c r="SPM23" s="9"/>
      <c r="SPN23" s="9"/>
      <c r="SPO23" s="9"/>
      <c r="SPP23" s="9"/>
      <c r="SPQ23" s="9"/>
      <c r="SPR23" s="9"/>
      <c r="SPS23" s="9"/>
      <c r="SPT23" s="9"/>
      <c r="SPU23" s="9"/>
      <c r="SPV23" s="9"/>
      <c r="SPW23" s="9"/>
      <c r="SPX23" s="9"/>
      <c r="SPY23" s="9"/>
      <c r="SPZ23" s="9"/>
      <c r="SQA23" s="9"/>
      <c r="SQB23" s="9"/>
      <c r="SQC23" s="9"/>
      <c r="SQD23" s="9"/>
      <c r="SQE23" s="9"/>
      <c r="SQF23" s="9"/>
      <c r="SQG23" s="9"/>
      <c r="SQH23" s="9"/>
      <c r="SQI23" s="9"/>
      <c r="SQJ23" s="9"/>
      <c r="SQK23" s="9"/>
      <c r="SQL23" s="9"/>
      <c r="SQM23" s="9"/>
      <c r="SQN23" s="9"/>
      <c r="SQO23" s="9"/>
      <c r="SQP23" s="9"/>
      <c r="SQQ23" s="9"/>
      <c r="SQR23" s="9"/>
      <c r="SQS23" s="9"/>
      <c r="SQT23" s="9"/>
      <c r="SQU23" s="9"/>
      <c r="SQV23" s="9"/>
      <c r="SQW23" s="9"/>
      <c r="SQX23" s="9"/>
      <c r="SQY23" s="9"/>
      <c r="SQZ23" s="9"/>
      <c r="SRA23" s="9"/>
      <c r="SRB23" s="9"/>
      <c r="SRC23" s="9"/>
      <c r="SRD23" s="9"/>
      <c r="SRE23" s="9"/>
      <c r="SRF23" s="9"/>
      <c r="SRG23" s="9"/>
      <c r="SRH23" s="9"/>
      <c r="SRI23" s="9"/>
      <c r="SRJ23" s="9"/>
      <c r="SRK23" s="9"/>
      <c r="SRL23" s="9"/>
      <c r="SRM23" s="9"/>
      <c r="SRN23" s="9"/>
      <c r="SRO23" s="9"/>
      <c r="SRP23" s="9"/>
      <c r="SRQ23" s="9"/>
      <c r="SRR23" s="9"/>
      <c r="SRS23" s="9"/>
      <c r="SRT23" s="9"/>
      <c r="SRU23" s="9"/>
      <c r="SRV23" s="9"/>
      <c r="SRW23" s="9"/>
      <c r="SRX23" s="9"/>
      <c r="SRY23" s="9"/>
      <c r="SRZ23" s="9"/>
      <c r="SSA23" s="9"/>
      <c r="SSB23" s="9"/>
      <c r="SSC23" s="9"/>
      <c r="SSD23" s="9"/>
      <c r="SSE23" s="9"/>
      <c r="SSF23" s="9"/>
      <c r="SSG23" s="9"/>
      <c r="SSH23" s="9"/>
      <c r="SSI23" s="9"/>
      <c r="SSJ23" s="9"/>
      <c r="SSK23" s="9"/>
      <c r="SSL23" s="9"/>
      <c r="SSM23" s="9"/>
      <c r="SSN23" s="9"/>
      <c r="SSO23" s="9"/>
      <c r="SSP23" s="9"/>
      <c r="SSQ23" s="9"/>
      <c r="SSR23" s="9"/>
      <c r="SSS23" s="9"/>
      <c r="SST23" s="9"/>
      <c r="SSU23" s="9"/>
      <c r="SSV23" s="9"/>
      <c r="SSW23" s="9"/>
      <c r="SSX23" s="9"/>
      <c r="SSY23" s="9"/>
      <c r="SSZ23" s="9"/>
      <c r="STA23" s="9"/>
      <c r="STB23" s="9"/>
      <c r="STC23" s="9"/>
      <c r="STD23" s="9"/>
      <c r="STE23" s="9"/>
      <c r="STF23" s="9"/>
      <c r="STG23" s="9"/>
      <c r="STH23" s="9"/>
      <c r="STI23" s="9"/>
      <c r="STJ23" s="9"/>
      <c r="STK23" s="9"/>
      <c r="STL23" s="9"/>
      <c r="STM23" s="9"/>
      <c r="STN23" s="9"/>
      <c r="STO23" s="9"/>
      <c r="STP23" s="9"/>
      <c r="STQ23" s="9"/>
      <c r="STR23" s="9"/>
      <c r="STS23" s="9"/>
      <c r="STT23" s="9"/>
      <c r="STU23" s="9"/>
      <c r="STV23" s="9"/>
      <c r="STW23" s="9"/>
      <c r="STX23" s="9"/>
      <c r="STY23" s="9"/>
      <c r="STZ23" s="9"/>
      <c r="SUA23" s="9"/>
      <c r="SUB23" s="9"/>
      <c r="SUC23" s="9"/>
      <c r="SUD23" s="9"/>
      <c r="SUE23" s="9"/>
      <c r="SUF23" s="9"/>
      <c r="SUG23" s="9"/>
      <c r="SUH23" s="9"/>
      <c r="SUI23" s="9"/>
      <c r="SUJ23" s="9"/>
      <c r="SUK23" s="9"/>
      <c r="SUL23" s="9"/>
      <c r="SUM23" s="9"/>
      <c r="SUN23" s="9"/>
      <c r="SUO23" s="9"/>
      <c r="SUP23" s="9"/>
      <c r="SUQ23" s="9"/>
      <c r="SUR23" s="9"/>
      <c r="SUS23" s="9"/>
      <c r="SUT23" s="9"/>
      <c r="SUU23" s="9"/>
      <c r="SUV23" s="9"/>
      <c r="SUW23" s="9"/>
      <c r="SUX23" s="9"/>
      <c r="SUY23" s="9"/>
      <c r="SUZ23" s="9"/>
      <c r="SVA23" s="9"/>
      <c r="SVB23" s="9"/>
      <c r="SVC23" s="9"/>
      <c r="SVD23" s="9"/>
      <c r="SVE23" s="9"/>
      <c r="SVF23" s="9"/>
      <c r="SVG23" s="9"/>
      <c r="SVH23" s="9"/>
      <c r="SVI23" s="9"/>
      <c r="SVJ23" s="9"/>
      <c r="SVK23" s="9"/>
      <c r="SVL23" s="9"/>
      <c r="SVM23" s="9"/>
      <c r="SVN23" s="9"/>
      <c r="SVO23" s="9"/>
      <c r="SVP23" s="9"/>
      <c r="SVQ23" s="9"/>
      <c r="SVR23" s="9"/>
      <c r="SVS23" s="9"/>
      <c r="SVT23" s="9"/>
      <c r="SVU23" s="9"/>
      <c r="SVV23" s="9"/>
      <c r="SVW23" s="9"/>
      <c r="SVX23" s="9"/>
      <c r="SVY23" s="9"/>
      <c r="SVZ23" s="9"/>
      <c r="SWA23" s="9"/>
      <c r="SWB23" s="9"/>
      <c r="SWC23" s="9"/>
      <c r="SWD23" s="9"/>
      <c r="SWE23" s="9"/>
      <c r="SWF23" s="9"/>
      <c r="SWG23" s="9"/>
      <c r="SWH23" s="9"/>
      <c r="SWI23" s="9"/>
      <c r="SWJ23" s="9"/>
      <c r="SWK23" s="9"/>
      <c r="SWL23" s="9"/>
      <c r="SWM23" s="9"/>
      <c r="SWN23" s="9"/>
      <c r="SWO23" s="9"/>
      <c r="SWP23" s="9"/>
      <c r="SWQ23" s="9"/>
      <c r="SWR23" s="9"/>
      <c r="SWS23" s="9"/>
      <c r="SWT23" s="9"/>
      <c r="SWU23" s="9"/>
      <c r="SWV23" s="9"/>
      <c r="SWW23" s="9"/>
      <c r="SWX23" s="9"/>
      <c r="SWY23" s="9"/>
      <c r="SWZ23" s="9"/>
      <c r="SXA23" s="9"/>
      <c r="SXB23" s="9"/>
      <c r="SXC23" s="9"/>
      <c r="SXD23" s="9"/>
      <c r="SXE23" s="9"/>
      <c r="SXF23" s="9"/>
      <c r="SXG23" s="9"/>
      <c r="SXH23" s="9"/>
      <c r="SXI23" s="9"/>
      <c r="SXJ23" s="9"/>
      <c r="SXK23" s="9"/>
      <c r="SXL23" s="9"/>
      <c r="SXM23" s="9"/>
      <c r="SXN23" s="9"/>
      <c r="SXO23" s="9"/>
      <c r="SXP23" s="9"/>
      <c r="SXQ23" s="9"/>
      <c r="SXR23" s="9"/>
      <c r="SXS23" s="9"/>
      <c r="SXT23" s="9"/>
      <c r="SXU23" s="9"/>
      <c r="SXV23" s="9"/>
      <c r="SXW23" s="9"/>
      <c r="SXX23" s="9"/>
      <c r="SXY23" s="9"/>
      <c r="SXZ23" s="9"/>
      <c r="SYA23" s="9"/>
      <c r="SYB23" s="9"/>
      <c r="SYC23" s="9"/>
      <c r="SYD23" s="9"/>
      <c r="SYE23" s="9"/>
      <c r="SYF23" s="9"/>
      <c r="SYG23" s="9"/>
      <c r="SYH23" s="9"/>
      <c r="SYI23" s="9"/>
      <c r="SYJ23" s="9"/>
      <c r="SYK23" s="9"/>
      <c r="SYL23" s="9"/>
      <c r="SYM23" s="9"/>
      <c r="SYN23" s="9"/>
      <c r="SYO23" s="9"/>
      <c r="SYP23" s="9"/>
      <c r="SYQ23" s="9"/>
      <c r="SYR23" s="9"/>
      <c r="SYS23" s="9"/>
      <c r="SYT23" s="9"/>
      <c r="SYU23" s="9"/>
      <c r="SYV23" s="9"/>
      <c r="SYW23" s="9"/>
      <c r="SYX23" s="9"/>
      <c r="SYY23" s="9"/>
      <c r="SYZ23" s="9"/>
      <c r="SZA23" s="9"/>
      <c r="SZB23" s="9"/>
      <c r="SZC23" s="9"/>
      <c r="SZD23" s="9"/>
      <c r="SZE23" s="9"/>
      <c r="SZF23" s="9"/>
      <c r="SZG23" s="9"/>
      <c r="SZH23" s="9"/>
      <c r="SZI23" s="9"/>
      <c r="SZJ23" s="9"/>
      <c r="SZK23" s="9"/>
      <c r="SZL23" s="9"/>
      <c r="SZM23" s="9"/>
      <c r="SZN23" s="9"/>
      <c r="SZO23" s="9"/>
      <c r="SZP23" s="9"/>
      <c r="SZQ23" s="9"/>
      <c r="SZR23" s="9"/>
      <c r="SZS23" s="9"/>
      <c r="SZT23" s="9"/>
      <c r="SZU23" s="9"/>
      <c r="SZV23" s="9"/>
      <c r="SZW23" s="9"/>
      <c r="SZX23" s="9"/>
      <c r="SZY23" s="9"/>
      <c r="SZZ23" s="9"/>
      <c r="TAA23" s="9"/>
      <c r="TAB23" s="9"/>
      <c r="TAC23" s="9"/>
      <c r="TAD23" s="9"/>
      <c r="TAE23" s="9"/>
      <c r="TAF23" s="9"/>
      <c r="TAG23" s="9"/>
      <c r="TAH23" s="9"/>
      <c r="TAI23" s="9"/>
      <c r="TAJ23" s="9"/>
      <c r="TAK23" s="9"/>
      <c r="TAL23" s="9"/>
      <c r="TAM23" s="9"/>
      <c r="TAN23" s="9"/>
      <c r="TAO23" s="9"/>
      <c r="TAP23" s="9"/>
      <c r="TAQ23" s="9"/>
      <c r="TAR23" s="9"/>
      <c r="TAS23" s="9"/>
      <c r="TAT23" s="9"/>
      <c r="TAU23" s="9"/>
      <c r="TAV23" s="9"/>
      <c r="TAW23" s="9"/>
      <c r="TAX23" s="9"/>
      <c r="TAY23" s="9"/>
      <c r="TAZ23" s="9"/>
      <c r="TBA23" s="9"/>
      <c r="TBB23" s="9"/>
      <c r="TBC23" s="9"/>
      <c r="TBD23" s="9"/>
      <c r="TBE23" s="9"/>
      <c r="TBF23" s="9"/>
      <c r="TBG23" s="9"/>
      <c r="TBH23" s="9"/>
      <c r="TBI23" s="9"/>
      <c r="TBJ23" s="9"/>
      <c r="TBK23" s="9"/>
      <c r="TBL23" s="9"/>
      <c r="TBM23" s="9"/>
      <c r="TBN23" s="9"/>
      <c r="TBO23" s="9"/>
      <c r="TBP23" s="9"/>
      <c r="TBQ23" s="9"/>
      <c r="TBR23" s="9"/>
      <c r="TBS23" s="9"/>
      <c r="TBT23" s="9"/>
      <c r="TBU23" s="9"/>
      <c r="TBV23" s="9"/>
      <c r="TBW23" s="9"/>
      <c r="TBX23" s="9"/>
      <c r="TBY23" s="9"/>
      <c r="TBZ23" s="9"/>
      <c r="TCA23" s="9"/>
      <c r="TCB23" s="9"/>
      <c r="TCC23" s="9"/>
      <c r="TCD23" s="9"/>
      <c r="TCE23" s="9"/>
      <c r="TCF23" s="9"/>
      <c r="TCG23" s="9"/>
      <c r="TCH23" s="9"/>
      <c r="TCI23" s="9"/>
      <c r="TCJ23" s="9"/>
      <c r="TCK23" s="9"/>
      <c r="TCL23" s="9"/>
      <c r="TCM23" s="9"/>
      <c r="TCN23" s="9"/>
      <c r="TCO23" s="9"/>
      <c r="TCP23" s="9"/>
      <c r="TCQ23" s="9"/>
      <c r="TCR23" s="9"/>
      <c r="TCS23" s="9"/>
      <c r="TCT23" s="9"/>
      <c r="TCU23" s="9"/>
      <c r="TCV23" s="9"/>
      <c r="TCW23" s="9"/>
      <c r="TCX23" s="9"/>
      <c r="TCY23" s="9"/>
      <c r="TCZ23" s="9"/>
      <c r="TDA23" s="9"/>
      <c r="TDB23" s="9"/>
      <c r="TDC23" s="9"/>
      <c r="TDD23" s="9"/>
      <c r="TDE23" s="9"/>
      <c r="TDF23" s="9"/>
      <c r="TDG23" s="9"/>
      <c r="TDH23" s="9"/>
      <c r="TDI23" s="9"/>
      <c r="TDJ23" s="9"/>
      <c r="TDK23" s="9"/>
      <c r="TDL23" s="9"/>
      <c r="TDM23" s="9"/>
      <c r="TDN23" s="9"/>
      <c r="TDO23" s="9"/>
      <c r="TDP23" s="9"/>
      <c r="TDQ23" s="9"/>
      <c r="TDR23" s="9"/>
      <c r="TDS23" s="9"/>
      <c r="TDT23" s="9"/>
      <c r="TDU23" s="9"/>
      <c r="TDV23" s="9"/>
      <c r="TDW23" s="9"/>
      <c r="TDX23" s="9"/>
      <c r="TDY23" s="9"/>
      <c r="TDZ23" s="9"/>
      <c r="TEA23" s="9"/>
      <c r="TEB23" s="9"/>
      <c r="TEC23" s="9"/>
      <c r="TED23" s="9"/>
      <c r="TEE23" s="9"/>
      <c r="TEF23" s="9"/>
      <c r="TEG23" s="9"/>
      <c r="TEH23" s="9"/>
      <c r="TEI23" s="9"/>
      <c r="TEJ23" s="9"/>
      <c r="TEK23" s="9"/>
      <c r="TEL23" s="9"/>
      <c r="TEM23" s="9"/>
      <c r="TEN23" s="9"/>
      <c r="TEO23" s="9"/>
      <c r="TEP23" s="9"/>
      <c r="TEQ23" s="9"/>
      <c r="TER23" s="9"/>
      <c r="TES23" s="9"/>
      <c r="TET23" s="9"/>
      <c r="TEU23" s="9"/>
      <c r="TEV23" s="9"/>
      <c r="TEW23" s="9"/>
      <c r="TEX23" s="9"/>
      <c r="TEY23" s="9"/>
      <c r="TEZ23" s="9"/>
      <c r="TFA23" s="9"/>
      <c r="TFB23" s="9"/>
      <c r="TFC23" s="9"/>
      <c r="TFD23" s="9"/>
      <c r="TFE23" s="9"/>
      <c r="TFF23" s="9"/>
      <c r="TFG23" s="9"/>
      <c r="TFH23" s="9"/>
      <c r="TFI23" s="9"/>
      <c r="TFJ23" s="9"/>
      <c r="TFK23" s="9"/>
      <c r="TFL23" s="9"/>
      <c r="TFM23" s="9"/>
      <c r="TFN23" s="9"/>
      <c r="TFO23" s="9"/>
      <c r="TFP23" s="9"/>
      <c r="TFQ23" s="9"/>
      <c r="TFR23" s="9"/>
      <c r="TFS23" s="9"/>
      <c r="TFT23" s="9"/>
      <c r="TFU23" s="9"/>
      <c r="TFV23" s="9"/>
      <c r="TFW23" s="9"/>
      <c r="TFX23" s="9"/>
      <c r="TFY23" s="9"/>
      <c r="TFZ23" s="9"/>
      <c r="TGA23" s="9"/>
      <c r="TGB23" s="9"/>
      <c r="TGC23" s="9"/>
      <c r="TGD23" s="9"/>
      <c r="TGE23" s="9"/>
      <c r="TGF23" s="9"/>
      <c r="TGG23" s="9"/>
      <c r="TGH23" s="9"/>
      <c r="TGI23" s="9"/>
      <c r="TGJ23" s="9"/>
      <c r="TGK23" s="9"/>
      <c r="TGL23" s="9"/>
      <c r="TGM23" s="9"/>
      <c r="TGN23" s="9"/>
      <c r="TGO23" s="9"/>
      <c r="TGP23" s="9"/>
      <c r="TGQ23" s="9"/>
      <c r="TGR23" s="9"/>
      <c r="TGS23" s="9"/>
      <c r="TGT23" s="9"/>
      <c r="TGU23" s="9"/>
      <c r="TGV23" s="9"/>
      <c r="TGW23" s="9"/>
      <c r="TGX23" s="9"/>
      <c r="TGY23" s="9"/>
      <c r="TGZ23" s="9"/>
      <c r="THA23" s="9"/>
      <c r="THB23" s="9"/>
      <c r="THC23" s="9"/>
      <c r="THD23" s="9"/>
      <c r="THE23" s="9"/>
      <c r="THF23" s="9"/>
      <c r="THG23" s="9"/>
      <c r="THH23" s="9"/>
      <c r="THI23" s="9"/>
      <c r="THJ23" s="9"/>
      <c r="THK23" s="9"/>
      <c r="THL23" s="9"/>
      <c r="THM23" s="9"/>
      <c r="THN23" s="9"/>
      <c r="THO23" s="9"/>
      <c r="THP23" s="9"/>
      <c r="THQ23" s="9"/>
      <c r="THR23" s="9"/>
      <c r="THS23" s="9"/>
      <c r="THT23" s="9"/>
      <c r="THU23" s="9"/>
      <c r="THV23" s="9"/>
      <c r="THW23" s="9"/>
      <c r="THX23" s="9"/>
      <c r="THY23" s="9"/>
      <c r="THZ23" s="9"/>
      <c r="TIA23" s="9"/>
      <c r="TIB23" s="9"/>
      <c r="TIC23" s="9"/>
      <c r="TID23" s="9"/>
      <c r="TIE23" s="9"/>
      <c r="TIF23" s="9"/>
      <c r="TIG23" s="9"/>
      <c r="TIH23" s="9"/>
      <c r="TII23" s="9"/>
      <c r="TIJ23" s="9"/>
      <c r="TIK23" s="9"/>
      <c r="TIL23" s="9"/>
      <c r="TIM23" s="9"/>
      <c r="TIN23" s="9"/>
      <c r="TIO23" s="9"/>
      <c r="TIP23" s="9"/>
      <c r="TIQ23" s="9"/>
      <c r="TIR23" s="9"/>
      <c r="TIS23" s="9"/>
      <c r="TIT23" s="9"/>
      <c r="TIU23" s="9"/>
      <c r="TIV23" s="9"/>
      <c r="TIW23" s="9"/>
      <c r="TIX23" s="9"/>
      <c r="TIY23" s="9"/>
      <c r="TIZ23" s="9"/>
      <c r="TJA23" s="9"/>
      <c r="TJB23" s="9"/>
      <c r="TJC23" s="9"/>
      <c r="TJD23" s="9"/>
      <c r="TJE23" s="9"/>
      <c r="TJF23" s="9"/>
      <c r="TJG23" s="9"/>
      <c r="TJH23" s="9"/>
      <c r="TJI23" s="9"/>
      <c r="TJJ23" s="9"/>
      <c r="TJK23" s="9"/>
      <c r="TJL23" s="9"/>
      <c r="TJM23" s="9"/>
      <c r="TJN23" s="9"/>
      <c r="TJO23" s="9"/>
      <c r="TJP23" s="9"/>
      <c r="TJQ23" s="9"/>
      <c r="TJR23" s="9"/>
      <c r="TJS23" s="9"/>
      <c r="TJT23" s="9"/>
      <c r="TJU23" s="9"/>
      <c r="TJV23" s="9"/>
      <c r="TJW23" s="9"/>
      <c r="TJX23" s="9"/>
      <c r="TJY23" s="9"/>
      <c r="TJZ23" s="9"/>
      <c r="TKA23" s="9"/>
      <c r="TKB23" s="9"/>
      <c r="TKC23" s="9"/>
      <c r="TKD23" s="9"/>
      <c r="TKE23" s="9"/>
      <c r="TKF23" s="9"/>
      <c r="TKG23" s="9"/>
      <c r="TKH23" s="9"/>
      <c r="TKI23" s="9"/>
      <c r="TKJ23" s="9"/>
      <c r="TKK23" s="9"/>
      <c r="TKL23" s="9"/>
      <c r="TKM23" s="9"/>
      <c r="TKN23" s="9"/>
      <c r="TKO23" s="9"/>
      <c r="TKP23" s="9"/>
      <c r="TKQ23" s="9"/>
      <c r="TKR23" s="9"/>
      <c r="TKS23" s="9"/>
      <c r="TKT23" s="9"/>
      <c r="TKU23" s="9"/>
      <c r="TKV23" s="9"/>
      <c r="TKW23" s="9"/>
      <c r="TKX23" s="9"/>
      <c r="TKY23" s="9"/>
      <c r="TKZ23" s="9"/>
      <c r="TLA23" s="9"/>
      <c r="TLB23" s="9"/>
      <c r="TLC23" s="9"/>
      <c r="TLD23" s="9"/>
      <c r="TLE23" s="9"/>
      <c r="TLF23" s="9"/>
      <c r="TLG23" s="9"/>
      <c r="TLH23" s="9"/>
      <c r="TLI23" s="9"/>
      <c r="TLJ23" s="9"/>
      <c r="TLK23" s="9"/>
      <c r="TLL23" s="9"/>
      <c r="TLM23" s="9"/>
      <c r="TLN23" s="9"/>
      <c r="TLO23" s="9"/>
      <c r="TLP23" s="9"/>
      <c r="TLQ23" s="9"/>
      <c r="TLR23" s="9"/>
      <c r="TLS23" s="9"/>
      <c r="TLT23" s="9"/>
      <c r="TLU23" s="9"/>
      <c r="TLV23" s="9"/>
      <c r="TLW23" s="9"/>
      <c r="TLX23" s="9"/>
      <c r="TLY23" s="9"/>
      <c r="TLZ23" s="9"/>
      <c r="TMA23" s="9"/>
      <c r="TMB23" s="9"/>
      <c r="TMC23" s="9"/>
      <c r="TMD23" s="9"/>
      <c r="TME23" s="9"/>
      <c r="TMF23" s="9"/>
      <c r="TMG23" s="9"/>
      <c r="TMH23" s="9"/>
      <c r="TMI23" s="9"/>
      <c r="TMJ23" s="9"/>
      <c r="TMK23" s="9"/>
      <c r="TML23" s="9"/>
      <c r="TMM23" s="9"/>
      <c r="TMN23" s="9"/>
      <c r="TMO23" s="9"/>
      <c r="TMP23" s="9"/>
      <c r="TMQ23" s="9"/>
      <c r="TMR23" s="9"/>
      <c r="TMS23" s="9"/>
      <c r="TMT23" s="9"/>
      <c r="TMU23" s="9"/>
      <c r="TMV23" s="9"/>
      <c r="TMW23" s="9"/>
      <c r="TMX23" s="9"/>
      <c r="TMY23" s="9"/>
      <c r="TMZ23" s="9"/>
      <c r="TNA23" s="9"/>
      <c r="TNB23" s="9"/>
      <c r="TNC23" s="9"/>
      <c r="TND23" s="9"/>
      <c r="TNE23" s="9"/>
      <c r="TNF23" s="9"/>
      <c r="TNG23" s="9"/>
      <c r="TNH23" s="9"/>
      <c r="TNI23" s="9"/>
      <c r="TNJ23" s="9"/>
      <c r="TNK23" s="9"/>
      <c r="TNL23" s="9"/>
      <c r="TNM23" s="9"/>
      <c r="TNN23" s="9"/>
      <c r="TNO23" s="9"/>
      <c r="TNP23" s="9"/>
      <c r="TNQ23" s="9"/>
      <c r="TNR23" s="9"/>
      <c r="TNS23" s="9"/>
      <c r="TNT23" s="9"/>
      <c r="TNU23" s="9"/>
      <c r="TNV23" s="9"/>
      <c r="TNW23" s="9"/>
      <c r="TNX23" s="9"/>
      <c r="TNY23" s="9"/>
      <c r="TNZ23" s="9"/>
      <c r="TOA23" s="9"/>
      <c r="TOB23" s="9"/>
      <c r="TOC23" s="9"/>
      <c r="TOD23" s="9"/>
      <c r="TOE23" s="9"/>
      <c r="TOF23" s="9"/>
      <c r="TOG23" s="9"/>
      <c r="TOH23" s="9"/>
      <c r="TOI23" s="9"/>
      <c r="TOJ23" s="9"/>
      <c r="TOK23" s="9"/>
      <c r="TOL23" s="9"/>
      <c r="TOM23" s="9"/>
      <c r="TON23" s="9"/>
      <c r="TOO23" s="9"/>
      <c r="TOP23" s="9"/>
      <c r="TOQ23" s="9"/>
      <c r="TOR23" s="9"/>
      <c r="TOS23" s="9"/>
      <c r="TOT23" s="9"/>
      <c r="TOU23" s="9"/>
      <c r="TOV23" s="9"/>
      <c r="TOW23" s="9"/>
      <c r="TOX23" s="9"/>
      <c r="TOY23" s="9"/>
      <c r="TOZ23" s="9"/>
      <c r="TPA23" s="9"/>
      <c r="TPB23" s="9"/>
      <c r="TPC23" s="9"/>
      <c r="TPD23" s="9"/>
      <c r="TPE23" s="9"/>
      <c r="TPF23" s="9"/>
      <c r="TPG23" s="9"/>
      <c r="TPH23" s="9"/>
      <c r="TPI23" s="9"/>
      <c r="TPJ23" s="9"/>
      <c r="TPK23" s="9"/>
      <c r="TPL23" s="9"/>
      <c r="TPM23" s="9"/>
      <c r="TPN23" s="9"/>
      <c r="TPO23" s="9"/>
      <c r="TPP23" s="9"/>
      <c r="TPQ23" s="9"/>
      <c r="TPR23" s="9"/>
      <c r="TPS23" s="9"/>
      <c r="TPT23" s="9"/>
      <c r="TPU23" s="9"/>
      <c r="TPV23" s="9"/>
      <c r="TPW23" s="9"/>
      <c r="TPX23" s="9"/>
      <c r="TPY23" s="9"/>
      <c r="TPZ23" s="9"/>
      <c r="TQA23" s="9"/>
      <c r="TQB23" s="9"/>
      <c r="TQC23" s="9"/>
      <c r="TQD23" s="9"/>
      <c r="TQE23" s="9"/>
      <c r="TQF23" s="9"/>
      <c r="TQG23" s="9"/>
      <c r="TQH23" s="9"/>
      <c r="TQI23" s="9"/>
      <c r="TQJ23" s="9"/>
      <c r="TQK23" s="9"/>
      <c r="TQL23" s="9"/>
      <c r="TQM23" s="9"/>
      <c r="TQN23" s="9"/>
      <c r="TQO23" s="9"/>
      <c r="TQP23" s="9"/>
      <c r="TQQ23" s="9"/>
      <c r="TQR23" s="9"/>
      <c r="TQS23" s="9"/>
      <c r="TQT23" s="9"/>
      <c r="TQU23" s="9"/>
      <c r="TQV23" s="9"/>
      <c r="TQW23" s="9"/>
      <c r="TQX23" s="9"/>
      <c r="TQY23" s="9"/>
      <c r="TQZ23" s="9"/>
      <c r="TRA23" s="9"/>
      <c r="TRB23" s="9"/>
      <c r="TRC23" s="9"/>
      <c r="TRD23" s="9"/>
      <c r="TRE23" s="9"/>
      <c r="TRF23" s="9"/>
      <c r="TRG23" s="9"/>
      <c r="TRH23" s="9"/>
      <c r="TRI23" s="9"/>
      <c r="TRJ23" s="9"/>
      <c r="TRK23" s="9"/>
      <c r="TRL23" s="9"/>
      <c r="TRM23" s="9"/>
      <c r="TRN23" s="9"/>
      <c r="TRO23" s="9"/>
      <c r="TRP23" s="9"/>
      <c r="TRQ23" s="9"/>
      <c r="TRR23" s="9"/>
      <c r="TRS23" s="9"/>
      <c r="TRT23" s="9"/>
      <c r="TRU23" s="9"/>
      <c r="TRV23" s="9"/>
      <c r="TRW23" s="9"/>
      <c r="TRX23" s="9"/>
      <c r="TRY23" s="9"/>
      <c r="TRZ23" s="9"/>
      <c r="TSA23" s="9"/>
      <c r="TSB23" s="9"/>
      <c r="TSC23" s="9"/>
      <c r="TSD23" s="9"/>
      <c r="TSE23" s="9"/>
      <c r="TSF23" s="9"/>
      <c r="TSG23" s="9"/>
      <c r="TSH23" s="9"/>
      <c r="TSI23" s="9"/>
      <c r="TSJ23" s="9"/>
      <c r="TSK23" s="9"/>
      <c r="TSL23" s="9"/>
      <c r="TSM23" s="9"/>
      <c r="TSN23" s="9"/>
      <c r="TSO23" s="9"/>
      <c r="TSP23" s="9"/>
      <c r="TSQ23" s="9"/>
      <c r="TSR23" s="9"/>
      <c r="TSS23" s="9"/>
      <c r="TST23" s="9"/>
      <c r="TSU23" s="9"/>
      <c r="TSV23" s="9"/>
      <c r="TSW23" s="9"/>
      <c r="TSX23" s="9"/>
      <c r="TSY23" s="9"/>
      <c r="TSZ23" s="9"/>
      <c r="TTA23" s="9"/>
      <c r="TTB23" s="9"/>
      <c r="TTC23" s="9"/>
      <c r="TTD23" s="9"/>
      <c r="TTE23" s="9"/>
      <c r="TTF23" s="9"/>
      <c r="TTG23" s="9"/>
      <c r="TTH23" s="9"/>
      <c r="TTI23" s="9"/>
      <c r="TTJ23" s="9"/>
      <c r="TTK23" s="9"/>
      <c r="TTL23" s="9"/>
      <c r="TTM23" s="9"/>
      <c r="TTN23" s="9"/>
      <c r="TTO23" s="9"/>
      <c r="TTP23" s="9"/>
      <c r="TTQ23" s="9"/>
      <c r="TTR23" s="9"/>
      <c r="TTS23" s="9"/>
      <c r="TTT23" s="9"/>
      <c r="TTU23" s="9"/>
      <c r="TTV23" s="9"/>
      <c r="TTW23" s="9"/>
      <c r="TTX23" s="9"/>
      <c r="TTY23" s="9"/>
      <c r="TTZ23" s="9"/>
      <c r="TUA23" s="9"/>
      <c r="TUB23" s="9"/>
      <c r="TUC23" s="9"/>
      <c r="TUD23" s="9"/>
      <c r="TUE23" s="9"/>
      <c r="TUF23" s="9"/>
      <c r="TUG23" s="9"/>
      <c r="TUH23" s="9"/>
      <c r="TUI23" s="9"/>
      <c r="TUJ23" s="9"/>
      <c r="TUK23" s="9"/>
      <c r="TUL23" s="9"/>
      <c r="TUM23" s="9"/>
      <c r="TUN23" s="9"/>
      <c r="TUO23" s="9"/>
      <c r="TUP23" s="9"/>
      <c r="TUQ23" s="9"/>
      <c r="TUR23" s="9"/>
      <c r="TUS23" s="9"/>
      <c r="TUT23" s="9"/>
      <c r="TUU23" s="9"/>
      <c r="TUV23" s="9"/>
      <c r="TUW23" s="9"/>
      <c r="TUX23" s="9"/>
      <c r="TUY23" s="9"/>
      <c r="TUZ23" s="9"/>
      <c r="TVA23" s="9"/>
      <c r="TVB23" s="9"/>
      <c r="TVC23" s="9"/>
      <c r="TVD23" s="9"/>
      <c r="TVE23" s="9"/>
      <c r="TVF23" s="9"/>
      <c r="TVG23" s="9"/>
      <c r="TVH23" s="9"/>
      <c r="TVI23" s="9"/>
      <c r="TVJ23" s="9"/>
      <c r="TVK23" s="9"/>
      <c r="TVL23" s="9"/>
      <c r="TVM23" s="9"/>
      <c r="TVN23" s="9"/>
      <c r="TVO23" s="9"/>
      <c r="TVP23" s="9"/>
      <c r="TVQ23" s="9"/>
      <c r="TVR23" s="9"/>
      <c r="TVS23" s="9"/>
      <c r="TVT23" s="9"/>
      <c r="TVU23" s="9"/>
      <c r="TVV23" s="9"/>
      <c r="TVW23" s="9"/>
      <c r="TVX23" s="9"/>
      <c r="TVY23" s="9"/>
      <c r="TVZ23" s="9"/>
      <c r="TWA23" s="9"/>
      <c r="TWB23" s="9"/>
      <c r="TWC23" s="9"/>
      <c r="TWD23" s="9"/>
      <c r="TWE23" s="9"/>
      <c r="TWF23" s="9"/>
      <c r="TWG23" s="9"/>
      <c r="TWH23" s="9"/>
      <c r="TWI23" s="9"/>
      <c r="TWJ23" s="9"/>
      <c r="TWK23" s="9"/>
      <c r="TWL23" s="9"/>
      <c r="TWM23" s="9"/>
      <c r="TWN23" s="9"/>
      <c r="TWO23" s="9"/>
      <c r="TWP23" s="9"/>
      <c r="TWQ23" s="9"/>
      <c r="TWR23" s="9"/>
      <c r="TWS23" s="9"/>
      <c r="TWT23" s="9"/>
      <c r="TWU23" s="9"/>
      <c r="TWV23" s="9"/>
      <c r="TWW23" s="9"/>
      <c r="TWX23" s="9"/>
      <c r="TWY23" s="9"/>
      <c r="TWZ23" s="9"/>
      <c r="TXA23" s="9"/>
      <c r="TXB23" s="9"/>
      <c r="TXC23" s="9"/>
      <c r="TXD23" s="9"/>
      <c r="TXE23" s="9"/>
      <c r="TXF23" s="9"/>
      <c r="TXG23" s="9"/>
      <c r="TXH23" s="9"/>
      <c r="TXI23" s="9"/>
      <c r="TXJ23" s="9"/>
      <c r="TXK23" s="9"/>
      <c r="TXL23" s="9"/>
      <c r="TXM23" s="9"/>
      <c r="TXN23" s="9"/>
      <c r="TXO23" s="9"/>
      <c r="TXP23" s="9"/>
      <c r="TXQ23" s="9"/>
      <c r="TXR23" s="9"/>
      <c r="TXS23" s="9"/>
      <c r="TXT23" s="9"/>
      <c r="TXU23" s="9"/>
      <c r="TXV23" s="9"/>
      <c r="TXW23" s="9"/>
      <c r="TXX23" s="9"/>
      <c r="TXY23" s="9"/>
      <c r="TXZ23" s="9"/>
      <c r="TYA23" s="9"/>
      <c r="TYB23" s="9"/>
      <c r="TYC23" s="9"/>
      <c r="TYD23" s="9"/>
      <c r="TYE23" s="9"/>
      <c r="TYF23" s="9"/>
      <c r="TYG23" s="9"/>
      <c r="TYH23" s="9"/>
      <c r="TYI23" s="9"/>
      <c r="TYJ23" s="9"/>
      <c r="TYK23" s="9"/>
      <c r="TYL23" s="9"/>
      <c r="TYM23" s="9"/>
      <c r="TYN23" s="9"/>
      <c r="TYO23" s="9"/>
      <c r="TYP23" s="9"/>
      <c r="TYQ23" s="9"/>
      <c r="TYR23" s="9"/>
      <c r="TYS23" s="9"/>
      <c r="TYT23" s="9"/>
      <c r="TYU23" s="9"/>
      <c r="TYV23" s="9"/>
      <c r="TYW23" s="9"/>
      <c r="TYX23" s="9"/>
      <c r="TYY23" s="9"/>
      <c r="TYZ23" s="9"/>
      <c r="TZA23" s="9"/>
      <c r="TZB23" s="9"/>
      <c r="TZC23" s="9"/>
      <c r="TZD23" s="9"/>
      <c r="TZE23" s="9"/>
      <c r="TZF23" s="9"/>
      <c r="TZG23" s="9"/>
      <c r="TZH23" s="9"/>
      <c r="TZI23" s="9"/>
      <c r="TZJ23" s="9"/>
      <c r="TZK23" s="9"/>
      <c r="TZL23" s="9"/>
      <c r="TZM23" s="9"/>
      <c r="TZN23" s="9"/>
      <c r="TZO23" s="9"/>
      <c r="TZP23" s="9"/>
      <c r="TZQ23" s="9"/>
      <c r="TZR23" s="9"/>
      <c r="TZS23" s="9"/>
      <c r="TZT23" s="9"/>
      <c r="TZU23" s="9"/>
      <c r="TZV23" s="9"/>
      <c r="TZW23" s="9"/>
      <c r="TZX23" s="9"/>
      <c r="TZY23" s="9"/>
      <c r="TZZ23" s="9"/>
      <c r="UAA23" s="9"/>
      <c r="UAB23" s="9"/>
      <c r="UAC23" s="9"/>
      <c r="UAD23" s="9"/>
      <c r="UAE23" s="9"/>
      <c r="UAF23" s="9"/>
      <c r="UAG23" s="9"/>
      <c r="UAH23" s="9"/>
      <c r="UAI23" s="9"/>
      <c r="UAJ23" s="9"/>
      <c r="UAK23" s="9"/>
      <c r="UAL23" s="9"/>
      <c r="UAM23" s="9"/>
      <c r="UAN23" s="9"/>
      <c r="UAO23" s="9"/>
      <c r="UAP23" s="9"/>
      <c r="UAQ23" s="9"/>
      <c r="UAR23" s="9"/>
      <c r="UAS23" s="9"/>
      <c r="UAT23" s="9"/>
      <c r="UAU23" s="9"/>
      <c r="UAV23" s="9"/>
      <c r="UAW23" s="9"/>
      <c r="UAX23" s="9"/>
      <c r="UAY23" s="9"/>
      <c r="UAZ23" s="9"/>
      <c r="UBA23" s="9"/>
      <c r="UBB23" s="9"/>
      <c r="UBC23" s="9"/>
      <c r="UBD23" s="9"/>
      <c r="UBE23" s="9"/>
      <c r="UBF23" s="9"/>
      <c r="UBG23" s="9"/>
      <c r="UBH23" s="9"/>
      <c r="UBI23" s="9"/>
      <c r="UBJ23" s="9"/>
      <c r="UBK23" s="9"/>
      <c r="UBL23" s="9"/>
      <c r="UBM23" s="9"/>
      <c r="UBN23" s="9"/>
      <c r="UBO23" s="9"/>
      <c r="UBP23" s="9"/>
      <c r="UBQ23" s="9"/>
      <c r="UBR23" s="9"/>
      <c r="UBS23" s="9"/>
      <c r="UBT23" s="9"/>
      <c r="UBU23" s="9"/>
      <c r="UBV23" s="9"/>
      <c r="UBW23" s="9"/>
      <c r="UBX23" s="9"/>
      <c r="UBY23" s="9"/>
      <c r="UBZ23" s="9"/>
      <c r="UCA23" s="9"/>
      <c r="UCB23" s="9"/>
      <c r="UCC23" s="9"/>
      <c r="UCD23" s="9"/>
      <c r="UCE23" s="9"/>
      <c r="UCF23" s="9"/>
      <c r="UCG23" s="9"/>
      <c r="UCH23" s="9"/>
      <c r="UCI23" s="9"/>
      <c r="UCJ23" s="9"/>
      <c r="UCK23" s="9"/>
      <c r="UCL23" s="9"/>
      <c r="UCM23" s="9"/>
      <c r="UCN23" s="9"/>
      <c r="UCO23" s="9"/>
      <c r="UCP23" s="9"/>
      <c r="UCQ23" s="9"/>
      <c r="UCR23" s="9"/>
      <c r="UCS23" s="9"/>
      <c r="UCT23" s="9"/>
      <c r="UCU23" s="9"/>
      <c r="UCV23" s="9"/>
      <c r="UCW23" s="9"/>
      <c r="UCX23" s="9"/>
      <c r="UCY23" s="9"/>
      <c r="UCZ23" s="9"/>
      <c r="UDA23" s="9"/>
      <c r="UDB23" s="9"/>
      <c r="UDC23" s="9"/>
      <c r="UDD23" s="9"/>
      <c r="UDE23" s="9"/>
      <c r="UDF23" s="9"/>
      <c r="UDG23" s="9"/>
      <c r="UDH23" s="9"/>
      <c r="UDI23" s="9"/>
      <c r="UDJ23" s="9"/>
      <c r="UDK23" s="9"/>
      <c r="UDL23" s="9"/>
      <c r="UDM23" s="9"/>
      <c r="UDN23" s="9"/>
      <c r="UDO23" s="9"/>
      <c r="UDP23" s="9"/>
      <c r="UDQ23" s="9"/>
      <c r="UDR23" s="9"/>
      <c r="UDS23" s="9"/>
      <c r="UDT23" s="9"/>
      <c r="UDU23" s="9"/>
      <c r="UDV23" s="9"/>
      <c r="UDW23" s="9"/>
      <c r="UDX23" s="9"/>
      <c r="UDY23" s="9"/>
      <c r="UDZ23" s="9"/>
      <c r="UEA23" s="9"/>
      <c r="UEB23" s="9"/>
      <c r="UEC23" s="9"/>
      <c r="UED23" s="9"/>
      <c r="UEE23" s="9"/>
      <c r="UEF23" s="9"/>
      <c r="UEG23" s="9"/>
      <c r="UEH23" s="9"/>
      <c r="UEI23" s="9"/>
      <c r="UEJ23" s="9"/>
      <c r="UEK23" s="9"/>
      <c r="UEL23" s="9"/>
      <c r="UEM23" s="9"/>
      <c r="UEN23" s="9"/>
      <c r="UEO23" s="9"/>
      <c r="UEP23" s="9"/>
      <c r="UEQ23" s="9"/>
      <c r="UER23" s="9"/>
      <c r="UES23" s="9"/>
      <c r="UET23" s="9"/>
      <c r="UEU23" s="9"/>
      <c r="UEV23" s="9"/>
      <c r="UEW23" s="9"/>
      <c r="UEX23" s="9"/>
      <c r="UEY23" s="9"/>
      <c r="UEZ23" s="9"/>
      <c r="UFA23" s="9"/>
      <c r="UFB23" s="9"/>
      <c r="UFC23" s="9"/>
      <c r="UFD23" s="9"/>
      <c r="UFE23" s="9"/>
      <c r="UFF23" s="9"/>
      <c r="UFG23" s="9"/>
      <c r="UFH23" s="9"/>
      <c r="UFI23" s="9"/>
      <c r="UFJ23" s="9"/>
      <c r="UFK23" s="9"/>
      <c r="UFL23" s="9"/>
      <c r="UFM23" s="9"/>
      <c r="UFN23" s="9"/>
      <c r="UFO23" s="9"/>
      <c r="UFP23" s="9"/>
      <c r="UFQ23" s="9"/>
      <c r="UFR23" s="9"/>
      <c r="UFS23" s="9"/>
      <c r="UFT23" s="9"/>
      <c r="UFU23" s="9"/>
      <c r="UFV23" s="9"/>
      <c r="UFW23" s="9"/>
      <c r="UFX23" s="9"/>
      <c r="UFY23" s="9"/>
      <c r="UFZ23" s="9"/>
      <c r="UGA23" s="9"/>
      <c r="UGB23" s="9"/>
      <c r="UGC23" s="9"/>
      <c r="UGD23" s="9"/>
      <c r="UGE23" s="9"/>
      <c r="UGF23" s="9"/>
      <c r="UGG23" s="9"/>
      <c r="UGH23" s="9"/>
      <c r="UGI23" s="9"/>
      <c r="UGJ23" s="9"/>
      <c r="UGK23" s="9"/>
      <c r="UGL23" s="9"/>
      <c r="UGM23" s="9"/>
      <c r="UGN23" s="9"/>
      <c r="UGO23" s="9"/>
      <c r="UGP23" s="9"/>
      <c r="UGQ23" s="9"/>
      <c r="UGR23" s="9"/>
      <c r="UGS23" s="9"/>
      <c r="UGT23" s="9"/>
      <c r="UGU23" s="9"/>
      <c r="UGV23" s="9"/>
      <c r="UGW23" s="9"/>
      <c r="UGX23" s="9"/>
      <c r="UGY23" s="9"/>
      <c r="UGZ23" s="9"/>
      <c r="UHA23" s="9"/>
      <c r="UHB23" s="9"/>
      <c r="UHC23" s="9"/>
      <c r="UHD23" s="9"/>
      <c r="UHE23" s="9"/>
      <c r="UHF23" s="9"/>
      <c r="UHG23" s="9"/>
      <c r="UHH23" s="9"/>
      <c r="UHI23" s="9"/>
      <c r="UHJ23" s="9"/>
      <c r="UHK23" s="9"/>
      <c r="UHL23" s="9"/>
      <c r="UHM23" s="9"/>
      <c r="UHN23" s="9"/>
      <c r="UHO23" s="9"/>
      <c r="UHP23" s="9"/>
      <c r="UHQ23" s="9"/>
      <c r="UHR23" s="9"/>
      <c r="UHS23" s="9"/>
      <c r="UHT23" s="9"/>
      <c r="UHU23" s="9"/>
      <c r="UHV23" s="9"/>
      <c r="UHW23" s="9"/>
      <c r="UHX23" s="9"/>
      <c r="UHY23" s="9"/>
      <c r="UHZ23" s="9"/>
      <c r="UIA23" s="9"/>
      <c r="UIB23" s="9"/>
      <c r="UIC23" s="9"/>
      <c r="UID23" s="9"/>
      <c r="UIE23" s="9"/>
      <c r="UIF23" s="9"/>
      <c r="UIG23" s="9"/>
      <c r="UIH23" s="9"/>
      <c r="UII23" s="9"/>
      <c r="UIJ23" s="9"/>
      <c r="UIK23" s="9"/>
      <c r="UIL23" s="9"/>
      <c r="UIM23" s="9"/>
      <c r="UIN23" s="9"/>
      <c r="UIO23" s="9"/>
      <c r="UIP23" s="9"/>
      <c r="UIQ23" s="9"/>
      <c r="UIR23" s="9"/>
      <c r="UIS23" s="9"/>
      <c r="UIT23" s="9"/>
      <c r="UIU23" s="9"/>
      <c r="UIV23" s="9"/>
      <c r="UIW23" s="9"/>
      <c r="UIX23" s="9"/>
      <c r="UIY23" s="9"/>
      <c r="UIZ23" s="9"/>
      <c r="UJA23" s="9"/>
      <c r="UJB23" s="9"/>
      <c r="UJC23" s="9"/>
      <c r="UJD23" s="9"/>
      <c r="UJE23" s="9"/>
      <c r="UJF23" s="9"/>
      <c r="UJG23" s="9"/>
      <c r="UJH23" s="9"/>
      <c r="UJI23" s="9"/>
      <c r="UJJ23" s="9"/>
      <c r="UJK23" s="9"/>
      <c r="UJL23" s="9"/>
      <c r="UJM23" s="9"/>
      <c r="UJN23" s="9"/>
      <c r="UJO23" s="9"/>
      <c r="UJP23" s="9"/>
      <c r="UJQ23" s="9"/>
      <c r="UJR23" s="9"/>
      <c r="UJS23" s="9"/>
      <c r="UJT23" s="9"/>
      <c r="UJU23" s="9"/>
      <c r="UJV23" s="9"/>
      <c r="UJW23" s="9"/>
      <c r="UJX23" s="9"/>
      <c r="UJY23" s="9"/>
      <c r="UJZ23" s="9"/>
      <c r="UKA23" s="9"/>
      <c r="UKB23" s="9"/>
      <c r="UKC23" s="9"/>
      <c r="UKD23" s="9"/>
      <c r="UKE23" s="9"/>
      <c r="UKF23" s="9"/>
      <c r="UKG23" s="9"/>
      <c r="UKH23" s="9"/>
      <c r="UKI23" s="9"/>
      <c r="UKJ23" s="9"/>
      <c r="UKK23" s="9"/>
      <c r="UKL23" s="9"/>
      <c r="UKM23" s="9"/>
      <c r="UKN23" s="9"/>
      <c r="UKO23" s="9"/>
      <c r="UKP23" s="9"/>
      <c r="UKQ23" s="9"/>
      <c r="UKR23" s="9"/>
      <c r="UKS23" s="9"/>
      <c r="UKT23" s="9"/>
      <c r="UKU23" s="9"/>
      <c r="UKV23" s="9"/>
      <c r="UKW23" s="9"/>
      <c r="UKX23" s="9"/>
      <c r="UKY23" s="9"/>
      <c r="UKZ23" s="9"/>
      <c r="ULA23" s="9"/>
      <c r="ULB23" s="9"/>
      <c r="ULC23" s="9"/>
      <c r="ULD23" s="9"/>
      <c r="ULE23" s="9"/>
      <c r="ULF23" s="9"/>
      <c r="ULG23" s="9"/>
      <c r="ULH23" s="9"/>
      <c r="ULI23" s="9"/>
      <c r="ULJ23" s="9"/>
      <c r="ULK23" s="9"/>
      <c r="ULL23" s="9"/>
      <c r="ULM23" s="9"/>
      <c r="ULN23" s="9"/>
      <c r="ULO23" s="9"/>
      <c r="ULP23" s="9"/>
      <c r="ULQ23" s="9"/>
      <c r="ULR23" s="9"/>
      <c r="ULS23" s="9"/>
      <c r="ULT23" s="9"/>
      <c r="ULU23" s="9"/>
      <c r="ULV23" s="9"/>
      <c r="ULW23" s="9"/>
      <c r="ULX23" s="9"/>
      <c r="ULY23" s="9"/>
      <c r="ULZ23" s="9"/>
      <c r="UMA23" s="9"/>
      <c r="UMB23" s="9"/>
      <c r="UMC23" s="9"/>
      <c r="UMD23" s="9"/>
      <c r="UME23" s="9"/>
      <c r="UMF23" s="9"/>
      <c r="UMG23" s="9"/>
      <c r="UMH23" s="9"/>
      <c r="UMI23" s="9"/>
      <c r="UMJ23" s="9"/>
      <c r="UMK23" s="9"/>
      <c r="UML23" s="9"/>
      <c r="UMM23" s="9"/>
      <c r="UMN23" s="9"/>
      <c r="UMO23" s="9"/>
      <c r="UMP23" s="9"/>
      <c r="UMQ23" s="9"/>
      <c r="UMR23" s="9"/>
      <c r="UMS23" s="9"/>
      <c r="UMT23" s="9"/>
      <c r="UMU23" s="9"/>
      <c r="UMV23" s="9"/>
      <c r="UMW23" s="9"/>
      <c r="UMX23" s="9"/>
      <c r="UMY23" s="9"/>
      <c r="UMZ23" s="9"/>
      <c r="UNA23" s="9"/>
      <c r="UNB23" s="9"/>
      <c r="UNC23" s="9"/>
      <c r="UND23" s="9"/>
      <c r="UNE23" s="9"/>
      <c r="UNF23" s="9"/>
      <c r="UNG23" s="9"/>
      <c r="UNH23" s="9"/>
      <c r="UNI23" s="9"/>
      <c r="UNJ23" s="9"/>
      <c r="UNK23" s="9"/>
      <c r="UNL23" s="9"/>
      <c r="UNM23" s="9"/>
      <c r="UNN23" s="9"/>
      <c r="UNO23" s="9"/>
      <c r="UNP23" s="9"/>
      <c r="UNQ23" s="9"/>
      <c r="UNR23" s="9"/>
      <c r="UNS23" s="9"/>
      <c r="UNT23" s="9"/>
      <c r="UNU23" s="9"/>
      <c r="UNV23" s="9"/>
      <c r="UNW23" s="9"/>
      <c r="UNX23" s="9"/>
      <c r="UNY23" s="9"/>
      <c r="UNZ23" s="9"/>
      <c r="UOA23" s="9"/>
      <c r="UOB23" s="9"/>
      <c r="UOC23" s="9"/>
      <c r="UOD23" s="9"/>
      <c r="UOE23" s="9"/>
      <c r="UOF23" s="9"/>
      <c r="UOG23" s="9"/>
      <c r="UOH23" s="9"/>
      <c r="UOI23" s="9"/>
      <c r="UOJ23" s="9"/>
      <c r="UOK23" s="9"/>
      <c r="UOL23" s="9"/>
      <c r="UOM23" s="9"/>
      <c r="UON23" s="9"/>
      <c r="UOO23" s="9"/>
      <c r="UOP23" s="9"/>
      <c r="UOQ23" s="9"/>
      <c r="UOR23" s="9"/>
      <c r="UOS23" s="9"/>
      <c r="UOT23" s="9"/>
      <c r="UOU23" s="9"/>
      <c r="UOV23" s="9"/>
      <c r="UOW23" s="9"/>
      <c r="UOX23" s="9"/>
      <c r="UOY23" s="9"/>
      <c r="UOZ23" s="9"/>
      <c r="UPA23" s="9"/>
      <c r="UPB23" s="9"/>
      <c r="UPC23" s="9"/>
      <c r="UPD23" s="9"/>
      <c r="UPE23" s="9"/>
      <c r="UPF23" s="9"/>
      <c r="UPG23" s="9"/>
      <c r="UPH23" s="9"/>
      <c r="UPI23" s="9"/>
      <c r="UPJ23" s="9"/>
      <c r="UPK23" s="9"/>
      <c r="UPL23" s="9"/>
      <c r="UPM23" s="9"/>
      <c r="UPN23" s="9"/>
      <c r="UPO23" s="9"/>
      <c r="UPP23" s="9"/>
      <c r="UPQ23" s="9"/>
      <c r="UPR23" s="9"/>
      <c r="UPS23" s="9"/>
      <c r="UPT23" s="9"/>
      <c r="UPU23" s="9"/>
      <c r="UPV23" s="9"/>
      <c r="UPW23" s="9"/>
      <c r="UPX23" s="9"/>
      <c r="UPY23" s="9"/>
      <c r="UPZ23" s="9"/>
      <c r="UQA23" s="9"/>
      <c r="UQB23" s="9"/>
      <c r="UQC23" s="9"/>
      <c r="UQD23" s="9"/>
      <c r="UQE23" s="9"/>
      <c r="UQF23" s="9"/>
      <c r="UQG23" s="9"/>
      <c r="UQH23" s="9"/>
      <c r="UQI23" s="9"/>
      <c r="UQJ23" s="9"/>
      <c r="UQK23" s="9"/>
      <c r="UQL23" s="9"/>
      <c r="UQM23" s="9"/>
      <c r="UQN23" s="9"/>
      <c r="UQO23" s="9"/>
      <c r="UQP23" s="9"/>
      <c r="UQQ23" s="9"/>
      <c r="UQR23" s="9"/>
      <c r="UQS23" s="9"/>
      <c r="UQT23" s="9"/>
      <c r="UQU23" s="9"/>
      <c r="UQV23" s="9"/>
      <c r="UQW23" s="9"/>
      <c r="UQX23" s="9"/>
      <c r="UQY23" s="9"/>
      <c r="UQZ23" s="9"/>
      <c r="URA23" s="9"/>
      <c r="URB23" s="9"/>
      <c r="URC23" s="9"/>
      <c r="URD23" s="9"/>
      <c r="URE23" s="9"/>
      <c r="URF23" s="9"/>
      <c r="URG23" s="9"/>
      <c r="URH23" s="9"/>
      <c r="URI23" s="9"/>
      <c r="URJ23" s="9"/>
      <c r="URK23" s="9"/>
      <c r="URL23" s="9"/>
      <c r="URM23" s="9"/>
      <c r="URN23" s="9"/>
      <c r="URO23" s="9"/>
      <c r="URP23" s="9"/>
      <c r="URQ23" s="9"/>
      <c r="URR23" s="9"/>
      <c r="URS23" s="9"/>
      <c r="URT23" s="9"/>
      <c r="URU23" s="9"/>
      <c r="URV23" s="9"/>
      <c r="URW23" s="9"/>
      <c r="URX23" s="9"/>
      <c r="URY23" s="9"/>
      <c r="URZ23" s="9"/>
      <c r="USA23" s="9"/>
      <c r="USB23" s="9"/>
      <c r="USC23" s="9"/>
      <c r="USD23" s="9"/>
      <c r="USE23" s="9"/>
      <c r="USF23" s="9"/>
      <c r="USG23" s="9"/>
      <c r="USH23" s="9"/>
      <c r="USI23" s="9"/>
      <c r="USJ23" s="9"/>
      <c r="USK23" s="9"/>
      <c r="USL23" s="9"/>
      <c r="USM23" s="9"/>
      <c r="USN23" s="9"/>
      <c r="USO23" s="9"/>
      <c r="USP23" s="9"/>
      <c r="USQ23" s="9"/>
      <c r="USR23" s="9"/>
      <c r="USS23" s="9"/>
      <c r="UST23" s="9"/>
      <c r="USU23" s="9"/>
      <c r="USV23" s="9"/>
      <c r="USW23" s="9"/>
      <c r="USX23" s="9"/>
      <c r="USY23" s="9"/>
      <c r="USZ23" s="9"/>
      <c r="UTA23" s="9"/>
      <c r="UTB23" s="9"/>
      <c r="UTC23" s="9"/>
      <c r="UTD23" s="9"/>
      <c r="UTE23" s="9"/>
      <c r="UTF23" s="9"/>
      <c r="UTG23" s="9"/>
      <c r="UTH23" s="9"/>
      <c r="UTI23" s="9"/>
      <c r="UTJ23" s="9"/>
      <c r="UTK23" s="9"/>
      <c r="UTL23" s="9"/>
      <c r="UTM23" s="9"/>
      <c r="UTN23" s="9"/>
      <c r="UTO23" s="9"/>
      <c r="UTP23" s="9"/>
      <c r="UTQ23" s="9"/>
      <c r="UTR23" s="9"/>
      <c r="UTS23" s="9"/>
      <c r="UTT23" s="9"/>
      <c r="UTU23" s="9"/>
      <c r="UTV23" s="9"/>
      <c r="UTW23" s="9"/>
      <c r="UTX23" s="9"/>
      <c r="UTY23" s="9"/>
      <c r="UTZ23" s="9"/>
      <c r="UUA23" s="9"/>
      <c r="UUB23" s="9"/>
      <c r="UUC23" s="9"/>
      <c r="UUD23" s="9"/>
      <c r="UUE23" s="9"/>
      <c r="UUF23" s="9"/>
      <c r="UUG23" s="9"/>
      <c r="UUH23" s="9"/>
      <c r="UUI23" s="9"/>
      <c r="UUJ23" s="9"/>
      <c r="UUK23" s="9"/>
      <c r="UUL23" s="9"/>
      <c r="UUM23" s="9"/>
      <c r="UUN23" s="9"/>
      <c r="UUO23" s="9"/>
      <c r="UUP23" s="9"/>
      <c r="UUQ23" s="9"/>
      <c r="UUR23" s="9"/>
      <c r="UUS23" s="9"/>
      <c r="UUT23" s="9"/>
      <c r="UUU23" s="9"/>
      <c r="UUV23" s="9"/>
      <c r="UUW23" s="9"/>
      <c r="UUX23" s="9"/>
      <c r="UUY23" s="9"/>
      <c r="UUZ23" s="9"/>
      <c r="UVA23" s="9"/>
      <c r="UVB23" s="9"/>
      <c r="UVC23" s="9"/>
      <c r="UVD23" s="9"/>
      <c r="UVE23" s="9"/>
      <c r="UVF23" s="9"/>
      <c r="UVG23" s="9"/>
      <c r="UVH23" s="9"/>
      <c r="UVI23" s="9"/>
      <c r="UVJ23" s="9"/>
      <c r="UVK23" s="9"/>
      <c r="UVL23" s="9"/>
      <c r="UVM23" s="9"/>
      <c r="UVN23" s="9"/>
      <c r="UVO23" s="9"/>
      <c r="UVP23" s="9"/>
      <c r="UVQ23" s="9"/>
      <c r="UVR23" s="9"/>
      <c r="UVS23" s="9"/>
      <c r="UVT23" s="9"/>
      <c r="UVU23" s="9"/>
      <c r="UVV23" s="9"/>
      <c r="UVW23" s="9"/>
      <c r="UVX23" s="9"/>
      <c r="UVY23" s="9"/>
      <c r="UVZ23" s="9"/>
      <c r="UWA23" s="9"/>
      <c r="UWB23" s="9"/>
      <c r="UWC23" s="9"/>
      <c r="UWD23" s="9"/>
      <c r="UWE23" s="9"/>
      <c r="UWF23" s="9"/>
      <c r="UWG23" s="9"/>
      <c r="UWH23" s="9"/>
      <c r="UWI23" s="9"/>
      <c r="UWJ23" s="9"/>
      <c r="UWK23" s="9"/>
      <c r="UWL23" s="9"/>
      <c r="UWM23" s="9"/>
      <c r="UWN23" s="9"/>
      <c r="UWO23" s="9"/>
      <c r="UWP23" s="9"/>
      <c r="UWQ23" s="9"/>
      <c r="UWR23" s="9"/>
      <c r="UWS23" s="9"/>
      <c r="UWT23" s="9"/>
      <c r="UWU23" s="9"/>
      <c r="UWV23" s="9"/>
      <c r="UWW23" s="9"/>
      <c r="UWX23" s="9"/>
      <c r="UWY23" s="9"/>
      <c r="UWZ23" s="9"/>
      <c r="UXA23" s="9"/>
      <c r="UXB23" s="9"/>
      <c r="UXC23" s="9"/>
      <c r="UXD23" s="9"/>
      <c r="UXE23" s="9"/>
      <c r="UXF23" s="9"/>
      <c r="UXG23" s="9"/>
      <c r="UXH23" s="9"/>
      <c r="UXI23" s="9"/>
      <c r="UXJ23" s="9"/>
      <c r="UXK23" s="9"/>
      <c r="UXL23" s="9"/>
      <c r="UXM23" s="9"/>
      <c r="UXN23" s="9"/>
      <c r="UXO23" s="9"/>
      <c r="UXP23" s="9"/>
      <c r="UXQ23" s="9"/>
      <c r="UXR23" s="9"/>
      <c r="UXS23" s="9"/>
      <c r="UXT23" s="9"/>
      <c r="UXU23" s="9"/>
      <c r="UXV23" s="9"/>
      <c r="UXW23" s="9"/>
      <c r="UXX23" s="9"/>
      <c r="UXY23" s="9"/>
      <c r="UXZ23" s="9"/>
      <c r="UYA23" s="9"/>
      <c r="UYB23" s="9"/>
      <c r="UYC23" s="9"/>
      <c r="UYD23" s="9"/>
      <c r="UYE23" s="9"/>
      <c r="UYF23" s="9"/>
      <c r="UYG23" s="9"/>
      <c r="UYH23" s="9"/>
      <c r="UYI23" s="9"/>
      <c r="UYJ23" s="9"/>
      <c r="UYK23" s="9"/>
      <c r="UYL23" s="9"/>
      <c r="UYM23" s="9"/>
      <c r="UYN23" s="9"/>
      <c r="UYO23" s="9"/>
      <c r="UYP23" s="9"/>
      <c r="UYQ23" s="9"/>
      <c r="UYR23" s="9"/>
      <c r="UYS23" s="9"/>
      <c r="UYT23" s="9"/>
      <c r="UYU23" s="9"/>
      <c r="UYV23" s="9"/>
      <c r="UYW23" s="9"/>
      <c r="UYX23" s="9"/>
      <c r="UYY23" s="9"/>
      <c r="UYZ23" s="9"/>
      <c r="UZA23" s="9"/>
      <c r="UZB23" s="9"/>
      <c r="UZC23" s="9"/>
      <c r="UZD23" s="9"/>
      <c r="UZE23" s="9"/>
      <c r="UZF23" s="9"/>
      <c r="UZG23" s="9"/>
      <c r="UZH23" s="9"/>
      <c r="UZI23" s="9"/>
      <c r="UZJ23" s="9"/>
      <c r="UZK23" s="9"/>
      <c r="UZL23" s="9"/>
      <c r="UZM23" s="9"/>
      <c r="UZN23" s="9"/>
      <c r="UZO23" s="9"/>
      <c r="UZP23" s="9"/>
      <c r="UZQ23" s="9"/>
      <c r="UZR23" s="9"/>
      <c r="UZS23" s="9"/>
      <c r="UZT23" s="9"/>
      <c r="UZU23" s="9"/>
      <c r="UZV23" s="9"/>
      <c r="UZW23" s="9"/>
      <c r="UZX23" s="9"/>
      <c r="UZY23" s="9"/>
      <c r="UZZ23" s="9"/>
      <c r="VAA23" s="9"/>
      <c r="VAB23" s="9"/>
      <c r="VAC23" s="9"/>
      <c r="VAD23" s="9"/>
      <c r="VAE23" s="9"/>
      <c r="VAF23" s="9"/>
      <c r="VAG23" s="9"/>
      <c r="VAH23" s="9"/>
      <c r="VAI23" s="9"/>
      <c r="VAJ23" s="9"/>
      <c r="VAK23" s="9"/>
      <c r="VAL23" s="9"/>
      <c r="VAM23" s="9"/>
      <c r="VAN23" s="9"/>
      <c r="VAO23" s="9"/>
      <c r="VAP23" s="9"/>
      <c r="VAQ23" s="9"/>
      <c r="VAR23" s="9"/>
      <c r="VAS23" s="9"/>
      <c r="VAT23" s="9"/>
      <c r="VAU23" s="9"/>
      <c r="VAV23" s="9"/>
      <c r="VAW23" s="9"/>
      <c r="VAX23" s="9"/>
      <c r="VAY23" s="9"/>
      <c r="VAZ23" s="9"/>
      <c r="VBA23" s="9"/>
      <c r="VBB23" s="9"/>
      <c r="VBC23" s="9"/>
      <c r="VBD23" s="9"/>
      <c r="VBE23" s="9"/>
      <c r="VBF23" s="9"/>
      <c r="VBG23" s="9"/>
      <c r="VBH23" s="9"/>
      <c r="VBI23" s="9"/>
      <c r="VBJ23" s="9"/>
      <c r="VBK23" s="9"/>
      <c r="VBL23" s="9"/>
      <c r="VBM23" s="9"/>
      <c r="VBN23" s="9"/>
      <c r="VBO23" s="9"/>
      <c r="VBP23" s="9"/>
      <c r="VBQ23" s="9"/>
      <c r="VBR23" s="9"/>
      <c r="VBS23" s="9"/>
      <c r="VBT23" s="9"/>
      <c r="VBU23" s="9"/>
      <c r="VBV23" s="9"/>
      <c r="VBW23" s="9"/>
      <c r="VBX23" s="9"/>
      <c r="VBY23" s="9"/>
      <c r="VBZ23" s="9"/>
      <c r="VCA23" s="9"/>
      <c r="VCB23" s="9"/>
      <c r="VCC23" s="9"/>
      <c r="VCD23" s="9"/>
      <c r="VCE23" s="9"/>
      <c r="VCF23" s="9"/>
      <c r="VCG23" s="9"/>
      <c r="VCH23" s="9"/>
      <c r="VCI23" s="9"/>
      <c r="VCJ23" s="9"/>
      <c r="VCK23" s="9"/>
      <c r="VCL23" s="9"/>
      <c r="VCM23" s="9"/>
      <c r="VCN23" s="9"/>
      <c r="VCO23" s="9"/>
      <c r="VCP23" s="9"/>
      <c r="VCQ23" s="9"/>
      <c r="VCR23" s="9"/>
      <c r="VCS23" s="9"/>
      <c r="VCT23" s="9"/>
      <c r="VCU23" s="9"/>
      <c r="VCV23" s="9"/>
      <c r="VCW23" s="9"/>
      <c r="VCX23" s="9"/>
      <c r="VCY23" s="9"/>
      <c r="VCZ23" s="9"/>
      <c r="VDA23" s="9"/>
      <c r="VDB23" s="9"/>
      <c r="VDC23" s="9"/>
      <c r="VDD23" s="9"/>
      <c r="VDE23" s="9"/>
      <c r="VDF23" s="9"/>
      <c r="VDG23" s="9"/>
      <c r="VDH23" s="9"/>
      <c r="VDI23" s="9"/>
      <c r="VDJ23" s="9"/>
      <c r="VDK23" s="9"/>
      <c r="VDL23" s="9"/>
      <c r="VDM23" s="9"/>
      <c r="VDN23" s="9"/>
      <c r="VDO23" s="9"/>
      <c r="VDP23" s="9"/>
      <c r="VDQ23" s="9"/>
      <c r="VDR23" s="9"/>
      <c r="VDS23" s="9"/>
      <c r="VDT23" s="9"/>
      <c r="VDU23" s="9"/>
      <c r="VDV23" s="9"/>
      <c r="VDW23" s="9"/>
      <c r="VDX23" s="9"/>
      <c r="VDY23" s="9"/>
      <c r="VDZ23" s="9"/>
      <c r="VEA23" s="9"/>
      <c r="VEB23" s="9"/>
      <c r="VEC23" s="9"/>
      <c r="VED23" s="9"/>
      <c r="VEE23" s="9"/>
      <c r="VEF23" s="9"/>
      <c r="VEG23" s="9"/>
      <c r="VEH23" s="9"/>
      <c r="VEI23" s="9"/>
      <c r="VEJ23" s="9"/>
      <c r="VEK23" s="9"/>
      <c r="VEL23" s="9"/>
      <c r="VEM23" s="9"/>
      <c r="VEN23" s="9"/>
      <c r="VEO23" s="9"/>
      <c r="VEP23" s="9"/>
      <c r="VEQ23" s="9"/>
      <c r="VER23" s="9"/>
      <c r="VES23" s="9"/>
      <c r="VET23" s="9"/>
      <c r="VEU23" s="9"/>
      <c r="VEV23" s="9"/>
      <c r="VEW23" s="9"/>
      <c r="VEX23" s="9"/>
      <c r="VEY23" s="9"/>
      <c r="VEZ23" s="9"/>
      <c r="VFA23" s="9"/>
      <c r="VFB23" s="9"/>
      <c r="VFC23" s="9"/>
      <c r="VFD23" s="9"/>
      <c r="VFE23" s="9"/>
      <c r="VFF23" s="9"/>
      <c r="VFG23" s="9"/>
      <c r="VFH23" s="9"/>
      <c r="VFI23" s="9"/>
      <c r="VFJ23" s="9"/>
      <c r="VFK23" s="9"/>
      <c r="VFL23" s="9"/>
      <c r="VFM23" s="9"/>
      <c r="VFN23" s="9"/>
      <c r="VFO23" s="9"/>
      <c r="VFP23" s="9"/>
      <c r="VFQ23" s="9"/>
      <c r="VFR23" s="9"/>
      <c r="VFS23" s="9"/>
      <c r="VFT23" s="9"/>
      <c r="VFU23" s="9"/>
      <c r="VFV23" s="9"/>
      <c r="VFW23" s="9"/>
      <c r="VFX23" s="9"/>
      <c r="VFY23" s="9"/>
      <c r="VFZ23" s="9"/>
      <c r="VGA23" s="9"/>
      <c r="VGB23" s="9"/>
      <c r="VGC23" s="9"/>
      <c r="VGD23" s="9"/>
      <c r="VGE23" s="9"/>
      <c r="VGF23" s="9"/>
      <c r="VGG23" s="9"/>
      <c r="VGH23" s="9"/>
      <c r="VGI23" s="9"/>
      <c r="VGJ23" s="9"/>
      <c r="VGK23" s="9"/>
      <c r="VGL23" s="9"/>
      <c r="VGM23" s="9"/>
      <c r="VGN23" s="9"/>
      <c r="VGO23" s="9"/>
      <c r="VGP23" s="9"/>
      <c r="VGQ23" s="9"/>
      <c r="VGR23" s="9"/>
      <c r="VGS23" s="9"/>
      <c r="VGT23" s="9"/>
      <c r="VGU23" s="9"/>
      <c r="VGV23" s="9"/>
      <c r="VGW23" s="9"/>
      <c r="VGX23" s="9"/>
      <c r="VGY23" s="9"/>
      <c r="VGZ23" s="9"/>
      <c r="VHA23" s="9"/>
      <c r="VHB23" s="9"/>
      <c r="VHC23" s="9"/>
      <c r="VHD23" s="9"/>
      <c r="VHE23" s="9"/>
      <c r="VHF23" s="9"/>
      <c r="VHG23" s="9"/>
      <c r="VHH23" s="9"/>
      <c r="VHI23" s="9"/>
      <c r="VHJ23" s="9"/>
      <c r="VHK23" s="9"/>
      <c r="VHL23" s="9"/>
      <c r="VHM23" s="9"/>
      <c r="VHN23" s="9"/>
      <c r="VHO23" s="9"/>
      <c r="VHP23" s="9"/>
      <c r="VHQ23" s="9"/>
      <c r="VHR23" s="9"/>
      <c r="VHS23" s="9"/>
      <c r="VHT23" s="9"/>
      <c r="VHU23" s="9"/>
      <c r="VHV23" s="9"/>
      <c r="VHW23" s="9"/>
      <c r="VHX23" s="9"/>
      <c r="VHY23" s="9"/>
      <c r="VHZ23" s="9"/>
      <c r="VIA23" s="9"/>
      <c r="VIB23" s="9"/>
      <c r="VIC23" s="9"/>
      <c r="VID23" s="9"/>
      <c r="VIE23" s="9"/>
      <c r="VIF23" s="9"/>
      <c r="VIG23" s="9"/>
      <c r="VIH23" s="9"/>
      <c r="VII23" s="9"/>
      <c r="VIJ23" s="9"/>
      <c r="VIK23" s="9"/>
      <c r="VIL23" s="9"/>
      <c r="VIM23" s="9"/>
      <c r="VIN23" s="9"/>
      <c r="VIO23" s="9"/>
      <c r="VIP23" s="9"/>
      <c r="VIQ23" s="9"/>
      <c r="VIR23" s="9"/>
      <c r="VIS23" s="9"/>
      <c r="VIT23" s="9"/>
      <c r="VIU23" s="9"/>
      <c r="VIV23" s="9"/>
      <c r="VIW23" s="9"/>
      <c r="VIX23" s="9"/>
      <c r="VIY23" s="9"/>
      <c r="VIZ23" s="9"/>
      <c r="VJA23" s="9"/>
      <c r="VJB23" s="9"/>
      <c r="VJC23" s="9"/>
      <c r="VJD23" s="9"/>
      <c r="VJE23" s="9"/>
      <c r="VJF23" s="9"/>
      <c r="VJG23" s="9"/>
      <c r="VJH23" s="9"/>
      <c r="VJI23" s="9"/>
      <c r="VJJ23" s="9"/>
      <c r="VJK23" s="9"/>
      <c r="VJL23" s="9"/>
      <c r="VJM23" s="9"/>
      <c r="VJN23" s="9"/>
      <c r="VJO23" s="9"/>
      <c r="VJP23" s="9"/>
      <c r="VJQ23" s="9"/>
      <c r="VJR23" s="9"/>
      <c r="VJS23" s="9"/>
      <c r="VJT23" s="9"/>
      <c r="VJU23" s="9"/>
      <c r="VJV23" s="9"/>
      <c r="VJW23" s="9"/>
      <c r="VJX23" s="9"/>
      <c r="VJY23" s="9"/>
      <c r="VJZ23" s="9"/>
      <c r="VKA23" s="9"/>
      <c r="VKB23" s="9"/>
      <c r="VKC23" s="9"/>
      <c r="VKD23" s="9"/>
      <c r="VKE23" s="9"/>
      <c r="VKF23" s="9"/>
      <c r="VKG23" s="9"/>
      <c r="VKH23" s="9"/>
      <c r="VKI23" s="9"/>
      <c r="VKJ23" s="9"/>
      <c r="VKK23" s="9"/>
      <c r="VKL23" s="9"/>
      <c r="VKM23" s="9"/>
      <c r="VKN23" s="9"/>
      <c r="VKO23" s="9"/>
      <c r="VKP23" s="9"/>
      <c r="VKQ23" s="9"/>
      <c r="VKR23" s="9"/>
      <c r="VKS23" s="9"/>
      <c r="VKT23" s="9"/>
      <c r="VKU23" s="9"/>
      <c r="VKV23" s="9"/>
      <c r="VKW23" s="9"/>
      <c r="VKX23" s="9"/>
      <c r="VKY23" s="9"/>
      <c r="VKZ23" s="9"/>
      <c r="VLA23" s="9"/>
      <c r="VLB23" s="9"/>
      <c r="VLC23" s="9"/>
      <c r="VLD23" s="9"/>
      <c r="VLE23" s="9"/>
      <c r="VLF23" s="9"/>
      <c r="VLG23" s="9"/>
      <c r="VLH23" s="9"/>
      <c r="VLI23" s="9"/>
      <c r="VLJ23" s="9"/>
      <c r="VLK23" s="9"/>
      <c r="VLL23" s="9"/>
      <c r="VLM23" s="9"/>
      <c r="VLN23" s="9"/>
      <c r="VLO23" s="9"/>
      <c r="VLP23" s="9"/>
      <c r="VLQ23" s="9"/>
      <c r="VLR23" s="9"/>
      <c r="VLS23" s="9"/>
      <c r="VLT23" s="9"/>
      <c r="VLU23" s="9"/>
      <c r="VLV23" s="9"/>
      <c r="VLW23" s="9"/>
      <c r="VLX23" s="9"/>
      <c r="VLY23" s="9"/>
      <c r="VLZ23" s="9"/>
      <c r="VMA23" s="9"/>
      <c r="VMB23" s="9"/>
      <c r="VMC23" s="9"/>
      <c r="VMD23" s="9"/>
      <c r="VME23" s="9"/>
      <c r="VMF23" s="9"/>
      <c r="VMG23" s="9"/>
      <c r="VMH23" s="9"/>
      <c r="VMI23" s="9"/>
      <c r="VMJ23" s="9"/>
      <c r="VMK23" s="9"/>
      <c r="VML23" s="9"/>
      <c r="VMM23" s="9"/>
      <c r="VMN23" s="9"/>
      <c r="VMO23" s="9"/>
      <c r="VMP23" s="9"/>
      <c r="VMQ23" s="9"/>
      <c r="VMR23" s="9"/>
      <c r="VMS23" s="9"/>
      <c r="VMT23" s="9"/>
      <c r="VMU23" s="9"/>
      <c r="VMV23" s="9"/>
      <c r="VMW23" s="9"/>
      <c r="VMX23" s="9"/>
      <c r="VMY23" s="9"/>
      <c r="VMZ23" s="9"/>
      <c r="VNA23" s="9"/>
      <c r="VNB23" s="9"/>
      <c r="VNC23" s="9"/>
      <c r="VND23" s="9"/>
      <c r="VNE23" s="9"/>
      <c r="VNF23" s="9"/>
      <c r="VNG23" s="9"/>
      <c r="VNH23" s="9"/>
      <c r="VNI23" s="9"/>
      <c r="VNJ23" s="9"/>
      <c r="VNK23" s="9"/>
      <c r="VNL23" s="9"/>
      <c r="VNM23" s="9"/>
      <c r="VNN23" s="9"/>
      <c r="VNO23" s="9"/>
      <c r="VNP23" s="9"/>
      <c r="VNQ23" s="9"/>
      <c r="VNR23" s="9"/>
      <c r="VNS23" s="9"/>
      <c r="VNT23" s="9"/>
      <c r="VNU23" s="9"/>
      <c r="VNV23" s="9"/>
      <c r="VNW23" s="9"/>
      <c r="VNX23" s="9"/>
      <c r="VNY23" s="9"/>
      <c r="VNZ23" s="9"/>
      <c r="VOA23" s="9"/>
      <c r="VOB23" s="9"/>
      <c r="VOC23" s="9"/>
      <c r="VOD23" s="9"/>
      <c r="VOE23" s="9"/>
      <c r="VOF23" s="9"/>
      <c r="VOG23" s="9"/>
      <c r="VOH23" s="9"/>
      <c r="VOI23" s="9"/>
      <c r="VOJ23" s="9"/>
      <c r="VOK23" s="9"/>
      <c r="VOL23" s="9"/>
      <c r="VOM23" s="9"/>
      <c r="VON23" s="9"/>
      <c r="VOO23" s="9"/>
      <c r="VOP23" s="9"/>
      <c r="VOQ23" s="9"/>
      <c r="VOR23" s="9"/>
      <c r="VOS23" s="9"/>
      <c r="VOT23" s="9"/>
      <c r="VOU23" s="9"/>
      <c r="VOV23" s="9"/>
      <c r="VOW23" s="9"/>
      <c r="VOX23" s="9"/>
      <c r="VOY23" s="9"/>
      <c r="VOZ23" s="9"/>
      <c r="VPA23" s="9"/>
      <c r="VPB23" s="9"/>
      <c r="VPC23" s="9"/>
      <c r="VPD23" s="9"/>
      <c r="VPE23" s="9"/>
      <c r="VPF23" s="9"/>
      <c r="VPG23" s="9"/>
      <c r="VPH23" s="9"/>
      <c r="VPI23" s="9"/>
      <c r="VPJ23" s="9"/>
      <c r="VPK23" s="9"/>
      <c r="VPL23" s="9"/>
      <c r="VPM23" s="9"/>
      <c r="VPN23" s="9"/>
      <c r="VPO23" s="9"/>
      <c r="VPP23" s="9"/>
      <c r="VPQ23" s="9"/>
      <c r="VPR23" s="9"/>
      <c r="VPS23" s="9"/>
      <c r="VPT23" s="9"/>
      <c r="VPU23" s="9"/>
      <c r="VPV23" s="9"/>
      <c r="VPW23" s="9"/>
      <c r="VPX23" s="9"/>
      <c r="VPY23" s="9"/>
      <c r="VPZ23" s="9"/>
      <c r="VQA23" s="9"/>
      <c r="VQB23" s="9"/>
      <c r="VQC23" s="9"/>
      <c r="VQD23" s="9"/>
      <c r="VQE23" s="9"/>
      <c r="VQF23" s="9"/>
      <c r="VQG23" s="9"/>
      <c r="VQH23" s="9"/>
      <c r="VQI23" s="9"/>
      <c r="VQJ23" s="9"/>
      <c r="VQK23" s="9"/>
      <c r="VQL23" s="9"/>
      <c r="VQM23" s="9"/>
      <c r="VQN23" s="9"/>
      <c r="VQO23" s="9"/>
      <c r="VQP23" s="9"/>
      <c r="VQQ23" s="9"/>
      <c r="VQR23" s="9"/>
      <c r="VQS23" s="9"/>
      <c r="VQT23" s="9"/>
      <c r="VQU23" s="9"/>
      <c r="VQV23" s="9"/>
      <c r="VQW23" s="9"/>
      <c r="VQX23" s="9"/>
      <c r="VQY23" s="9"/>
      <c r="VQZ23" s="9"/>
      <c r="VRA23" s="9"/>
      <c r="VRB23" s="9"/>
      <c r="VRC23" s="9"/>
      <c r="VRD23" s="9"/>
      <c r="VRE23" s="9"/>
      <c r="VRF23" s="9"/>
      <c r="VRG23" s="9"/>
      <c r="VRH23" s="9"/>
      <c r="VRI23" s="9"/>
      <c r="VRJ23" s="9"/>
      <c r="VRK23" s="9"/>
      <c r="VRL23" s="9"/>
      <c r="VRM23" s="9"/>
      <c r="VRN23" s="9"/>
      <c r="VRO23" s="9"/>
      <c r="VRP23" s="9"/>
      <c r="VRQ23" s="9"/>
      <c r="VRR23" s="9"/>
      <c r="VRS23" s="9"/>
      <c r="VRT23" s="9"/>
      <c r="VRU23" s="9"/>
      <c r="VRV23" s="9"/>
      <c r="VRW23" s="9"/>
      <c r="VRX23" s="9"/>
      <c r="VRY23" s="9"/>
      <c r="VRZ23" s="9"/>
      <c r="VSA23" s="9"/>
      <c r="VSB23" s="9"/>
      <c r="VSC23" s="9"/>
      <c r="VSD23" s="9"/>
      <c r="VSE23" s="9"/>
      <c r="VSF23" s="9"/>
      <c r="VSG23" s="9"/>
      <c r="VSH23" s="9"/>
      <c r="VSI23" s="9"/>
      <c r="VSJ23" s="9"/>
      <c r="VSK23" s="9"/>
      <c r="VSL23" s="9"/>
      <c r="VSM23" s="9"/>
      <c r="VSN23" s="9"/>
      <c r="VSO23" s="9"/>
      <c r="VSP23" s="9"/>
      <c r="VSQ23" s="9"/>
      <c r="VSR23" s="9"/>
      <c r="VSS23" s="9"/>
      <c r="VST23" s="9"/>
      <c r="VSU23" s="9"/>
      <c r="VSV23" s="9"/>
      <c r="VSW23" s="9"/>
      <c r="VSX23" s="9"/>
      <c r="VSY23" s="9"/>
      <c r="VSZ23" s="9"/>
      <c r="VTA23" s="9"/>
      <c r="VTB23" s="9"/>
      <c r="VTC23" s="9"/>
      <c r="VTD23" s="9"/>
      <c r="VTE23" s="9"/>
      <c r="VTF23" s="9"/>
      <c r="VTG23" s="9"/>
      <c r="VTH23" s="9"/>
      <c r="VTI23" s="9"/>
      <c r="VTJ23" s="9"/>
      <c r="VTK23" s="9"/>
      <c r="VTL23" s="9"/>
      <c r="VTM23" s="9"/>
      <c r="VTN23" s="9"/>
      <c r="VTO23" s="9"/>
      <c r="VTP23" s="9"/>
      <c r="VTQ23" s="9"/>
      <c r="VTR23" s="9"/>
      <c r="VTS23" s="9"/>
      <c r="VTT23" s="9"/>
      <c r="VTU23" s="9"/>
      <c r="VTV23" s="9"/>
      <c r="VTW23" s="9"/>
      <c r="VTX23" s="9"/>
      <c r="VTY23" s="9"/>
      <c r="VTZ23" s="9"/>
      <c r="VUA23" s="9"/>
      <c r="VUB23" s="9"/>
      <c r="VUC23" s="9"/>
      <c r="VUD23" s="9"/>
      <c r="VUE23" s="9"/>
      <c r="VUF23" s="9"/>
      <c r="VUG23" s="9"/>
      <c r="VUH23" s="9"/>
      <c r="VUI23" s="9"/>
      <c r="VUJ23" s="9"/>
      <c r="VUK23" s="9"/>
      <c r="VUL23" s="9"/>
      <c r="VUM23" s="9"/>
      <c r="VUN23" s="9"/>
      <c r="VUO23" s="9"/>
      <c r="VUP23" s="9"/>
      <c r="VUQ23" s="9"/>
      <c r="VUR23" s="9"/>
      <c r="VUS23" s="9"/>
      <c r="VUT23" s="9"/>
      <c r="VUU23" s="9"/>
      <c r="VUV23" s="9"/>
      <c r="VUW23" s="9"/>
      <c r="VUX23" s="9"/>
      <c r="VUY23" s="9"/>
      <c r="VUZ23" s="9"/>
      <c r="VVA23" s="9"/>
      <c r="VVB23" s="9"/>
      <c r="VVC23" s="9"/>
      <c r="VVD23" s="9"/>
      <c r="VVE23" s="9"/>
      <c r="VVF23" s="9"/>
      <c r="VVG23" s="9"/>
      <c r="VVH23" s="9"/>
      <c r="VVI23" s="9"/>
      <c r="VVJ23" s="9"/>
      <c r="VVK23" s="9"/>
      <c r="VVL23" s="9"/>
      <c r="VVM23" s="9"/>
      <c r="VVN23" s="9"/>
      <c r="VVO23" s="9"/>
      <c r="VVP23" s="9"/>
      <c r="VVQ23" s="9"/>
      <c r="VVR23" s="9"/>
      <c r="VVS23" s="9"/>
      <c r="VVT23" s="9"/>
      <c r="VVU23" s="9"/>
      <c r="VVV23" s="9"/>
      <c r="VVW23" s="9"/>
      <c r="VVX23" s="9"/>
      <c r="VVY23" s="9"/>
      <c r="VVZ23" s="9"/>
      <c r="VWA23" s="9"/>
      <c r="VWB23" s="9"/>
      <c r="VWC23" s="9"/>
      <c r="VWD23" s="9"/>
      <c r="VWE23" s="9"/>
      <c r="VWF23" s="9"/>
      <c r="VWG23" s="9"/>
      <c r="VWH23" s="9"/>
      <c r="VWI23" s="9"/>
      <c r="VWJ23" s="9"/>
      <c r="VWK23" s="9"/>
      <c r="VWL23" s="9"/>
      <c r="VWM23" s="9"/>
      <c r="VWN23" s="9"/>
      <c r="VWO23" s="9"/>
      <c r="VWP23" s="9"/>
      <c r="VWQ23" s="9"/>
      <c r="VWR23" s="9"/>
      <c r="VWS23" s="9"/>
      <c r="VWT23" s="9"/>
      <c r="VWU23" s="9"/>
      <c r="VWV23" s="9"/>
      <c r="VWW23" s="9"/>
      <c r="VWX23" s="9"/>
      <c r="VWY23" s="9"/>
      <c r="VWZ23" s="9"/>
      <c r="VXA23" s="9"/>
      <c r="VXB23" s="9"/>
      <c r="VXC23" s="9"/>
      <c r="VXD23" s="9"/>
      <c r="VXE23" s="9"/>
      <c r="VXF23" s="9"/>
      <c r="VXG23" s="9"/>
      <c r="VXH23" s="9"/>
      <c r="VXI23" s="9"/>
      <c r="VXJ23" s="9"/>
      <c r="VXK23" s="9"/>
      <c r="VXL23" s="9"/>
      <c r="VXM23" s="9"/>
      <c r="VXN23" s="9"/>
      <c r="VXO23" s="9"/>
      <c r="VXP23" s="9"/>
      <c r="VXQ23" s="9"/>
      <c r="VXR23" s="9"/>
      <c r="VXS23" s="9"/>
      <c r="VXT23" s="9"/>
      <c r="VXU23" s="9"/>
      <c r="VXV23" s="9"/>
      <c r="VXW23" s="9"/>
      <c r="VXX23" s="9"/>
      <c r="VXY23" s="9"/>
      <c r="VXZ23" s="9"/>
      <c r="VYA23" s="9"/>
      <c r="VYB23" s="9"/>
      <c r="VYC23" s="9"/>
      <c r="VYD23" s="9"/>
      <c r="VYE23" s="9"/>
      <c r="VYF23" s="9"/>
      <c r="VYG23" s="9"/>
      <c r="VYH23" s="9"/>
      <c r="VYI23" s="9"/>
      <c r="VYJ23" s="9"/>
      <c r="VYK23" s="9"/>
      <c r="VYL23" s="9"/>
      <c r="VYM23" s="9"/>
      <c r="VYN23" s="9"/>
      <c r="VYO23" s="9"/>
      <c r="VYP23" s="9"/>
      <c r="VYQ23" s="9"/>
      <c r="VYR23" s="9"/>
      <c r="VYS23" s="9"/>
      <c r="VYT23" s="9"/>
      <c r="VYU23" s="9"/>
      <c r="VYV23" s="9"/>
      <c r="VYW23" s="9"/>
      <c r="VYX23" s="9"/>
      <c r="VYY23" s="9"/>
      <c r="VYZ23" s="9"/>
      <c r="VZA23" s="9"/>
      <c r="VZB23" s="9"/>
      <c r="VZC23" s="9"/>
      <c r="VZD23" s="9"/>
      <c r="VZE23" s="9"/>
      <c r="VZF23" s="9"/>
      <c r="VZG23" s="9"/>
      <c r="VZH23" s="9"/>
      <c r="VZI23" s="9"/>
      <c r="VZJ23" s="9"/>
      <c r="VZK23" s="9"/>
      <c r="VZL23" s="9"/>
      <c r="VZM23" s="9"/>
      <c r="VZN23" s="9"/>
      <c r="VZO23" s="9"/>
      <c r="VZP23" s="9"/>
      <c r="VZQ23" s="9"/>
      <c r="VZR23" s="9"/>
      <c r="VZS23" s="9"/>
      <c r="VZT23" s="9"/>
      <c r="VZU23" s="9"/>
      <c r="VZV23" s="9"/>
      <c r="VZW23" s="9"/>
      <c r="VZX23" s="9"/>
      <c r="VZY23" s="9"/>
      <c r="VZZ23" s="9"/>
      <c r="WAA23" s="9"/>
      <c r="WAB23" s="9"/>
      <c r="WAC23" s="9"/>
      <c r="WAD23" s="9"/>
      <c r="WAE23" s="9"/>
      <c r="WAF23" s="9"/>
      <c r="WAG23" s="9"/>
      <c r="WAH23" s="9"/>
      <c r="WAI23" s="9"/>
      <c r="WAJ23" s="9"/>
      <c r="WAK23" s="9"/>
      <c r="WAL23" s="9"/>
      <c r="WAM23" s="9"/>
      <c r="WAN23" s="9"/>
      <c r="WAO23" s="9"/>
      <c r="WAP23" s="9"/>
      <c r="WAQ23" s="9"/>
      <c r="WAR23" s="9"/>
      <c r="WAS23" s="9"/>
      <c r="WAT23" s="9"/>
      <c r="WAU23" s="9"/>
      <c r="WAV23" s="9"/>
      <c r="WAW23" s="9"/>
      <c r="WAX23" s="9"/>
      <c r="WAY23" s="9"/>
      <c r="WAZ23" s="9"/>
      <c r="WBA23" s="9"/>
      <c r="WBB23" s="9"/>
      <c r="WBC23" s="9"/>
      <c r="WBD23" s="9"/>
      <c r="WBE23" s="9"/>
      <c r="WBF23" s="9"/>
      <c r="WBG23" s="9"/>
      <c r="WBH23" s="9"/>
      <c r="WBI23" s="9"/>
      <c r="WBJ23" s="9"/>
      <c r="WBK23" s="9"/>
      <c r="WBL23" s="9"/>
      <c r="WBM23" s="9"/>
      <c r="WBN23" s="9"/>
      <c r="WBO23" s="9"/>
      <c r="WBP23" s="9"/>
      <c r="WBQ23" s="9"/>
      <c r="WBR23" s="9"/>
      <c r="WBS23" s="9"/>
      <c r="WBT23" s="9"/>
      <c r="WBU23" s="9"/>
      <c r="WBV23" s="9"/>
      <c r="WBW23" s="9"/>
      <c r="WBX23" s="9"/>
      <c r="WBY23" s="9"/>
      <c r="WBZ23" s="9"/>
      <c r="WCA23" s="9"/>
      <c r="WCB23" s="9"/>
      <c r="WCC23" s="9"/>
      <c r="WCD23" s="9"/>
      <c r="WCE23" s="9"/>
      <c r="WCF23" s="9"/>
      <c r="WCG23" s="9"/>
      <c r="WCH23" s="9"/>
      <c r="WCI23" s="9"/>
      <c r="WCJ23" s="9"/>
      <c r="WCK23" s="9"/>
      <c r="WCL23" s="9"/>
      <c r="WCM23" s="9"/>
      <c r="WCN23" s="9"/>
      <c r="WCO23" s="9"/>
      <c r="WCP23" s="9"/>
      <c r="WCQ23" s="9"/>
      <c r="WCR23" s="9"/>
      <c r="WCS23" s="9"/>
      <c r="WCT23" s="9"/>
      <c r="WCU23" s="9"/>
      <c r="WCV23" s="9"/>
      <c r="WCW23" s="9"/>
      <c r="WCX23" s="9"/>
      <c r="WCY23" s="9"/>
      <c r="WCZ23" s="9"/>
      <c r="WDA23" s="9"/>
      <c r="WDB23" s="9"/>
      <c r="WDC23" s="9"/>
      <c r="WDD23" s="9"/>
      <c r="WDE23" s="9"/>
      <c r="WDF23" s="9"/>
      <c r="WDG23" s="9"/>
      <c r="WDH23" s="9"/>
      <c r="WDI23" s="9"/>
      <c r="WDJ23" s="9"/>
      <c r="WDK23" s="9"/>
      <c r="WDL23" s="9"/>
      <c r="WDM23" s="9"/>
      <c r="WDN23" s="9"/>
      <c r="WDO23" s="9"/>
      <c r="WDP23" s="9"/>
      <c r="WDQ23" s="9"/>
      <c r="WDR23" s="9"/>
      <c r="WDS23" s="9"/>
      <c r="WDT23" s="9"/>
      <c r="WDU23" s="9"/>
      <c r="WDV23" s="9"/>
      <c r="WDW23" s="9"/>
      <c r="WDX23" s="9"/>
      <c r="WDY23" s="9"/>
      <c r="WDZ23" s="9"/>
      <c r="WEA23" s="9"/>
      <c r="WEB23" s="9"/>
      <c r="WEC23" s="9"/>
      <c r="WED23" s="9"/>
      <c r="WEE23" s="9"/>
      <c r="WEF23" s="9"/>
      <c r="WEG23" s="9"/>
      <c r="WEH23" s="9"/>
      <c r="WEI23" s="9"/>
      <c r="WEJ23" s="9"/>
      <c r="WEK23" s="9"/>
      <c r="WEL23" s="9"/>
      <c r="WEM23" s="9"/>
      <c r="WEN23" s="9"/>
      <c r="WEO23" s="9"/>
      <c r="WEP23" s="9"/>
      <c r="WEQ23" s="9"/>
      <c r="WER23" s="9"/>
      <c r="WES23" s="9"/>
      <c r="WET23" s="9"/>
      <c r="WEU23" s="9"/>
      <c r="WEV23" s="9"/>
      <c r="WEW23" s="9"/>
      <c r="WEX23" s="9"/>
      <c r="WEY23" s="9"/>
      <c r="WEZ23" s="9"/>
      <c r="WFA23" s="9"/>
      <c r="WFB23" s="9"/>
      <c r="WFC23" s="9"/>
      <c r="WFD23" s="9"/>
      <c r="WFE23" s="9"/>
      <c r="WFF23" s="9"/>
      <c r="WFG23" s="9"/>
      <c r="WFH23" s="9"/>
      <c r="WFI23" s="9"/>
      <c r="WFJ23" s="9"/>
      <c r="WFK23" s="9"/>
      <c r="WFL23" s="9"/>
      <c r="WFM23" s="9"/>
      <c r="WFN23" s="9"/>
      <c r="WFO23" s="9"/>
      <c r="WFP23" s="9"/>
      <c r="WFQ23" s="9"/>
      <c r="WFR23" s="9"/>
      <c r="WFS23" s="9"/>
      <c r="WFT23" s="9"/>
      <c r="WFU23" s="9"/>
      <c r="WFV23" s="9"/>
      <c r="WFW23" s="9"/>
      <c r="WFX23" s="9"/>
      <c r="WFY23" s="9"/>
      <c r="WFZ23" s="9"/>
      <c r="WGA23" s="9"/>
      <c r="WGB23" s="9"/>
      <c r="WGC23" s="9"/>
      <c r="WGD23" s="9"/>
      <c r="WGE23" s="9"/>
      <c r="WGF23" s="9"/>
      <c r="WGG23" s="9"/>
      <c r="WGH23" s="9"/>
      <c r="WGI23" s="9"/>
      <c r="WGJ23" s="9"/>
      <c r="WGK23" s="9"/>
      <c r="WGL23" s="9"/>
      <c r="WGM23" s="9"/>
      <c r="WGN23" s="9"/>
      <c r="WGO23" s="9"/>
      <c r="WGP23" s="9"/>
      <c r="WGQ23" s="9"/>
      <c r="WGR23" s="9"/>
      <c r="WGS23" s="9"/>
      <c r="WGT23" s="9"/>
      <c r="WGU23" s="9"/>
      <c r="WGV23" s="9"/>
      <c r="WGW23" s="9"/>
      <c r="WGX23" s="9"/>
      <c r="WGY23" s="9"/>
      <c r="WGZ23" s="9"/>
      <c r="WHA23" s="9"/>
      <c r="WHB23" s="9"/>
      <c r="WHC23" s="9"/>
      <c r="WHD23" s="9"/>
      <c r="WHE23" s="9"/>
      <c r="WHF23" s="9"/>
      <c r="WHG23" s="9"/>
      <c r="WHH23" s="9"/>
      <c r="WHI23" s="9"/>
      <c r="WHJ23" s="9"/>
      <c r="WHK23" s="9"/>
      <c r="WHL23" s="9"/>
      <c r="WHM23" s="9"/>
      <c r="WHN23" s="9"/>
      <c r="WHO23" s="9"/>
      <c r="WHP23" s="9"/>
      <c r="WHQ23" s="9"/>
      <c r="WHR23" s="9"/>
      <c r="WHS23" s="9"/>
      <c r="WHT23" s="9"/>
      <c r="WHU23" s="9"/>
      <c r="WHV23" s="9"/>
      <c r="WHW23" s="9"/>
      <c r="WHX23" s="9"/>
      <c r="WHY23" s="9"/>
      <c r="WHZ23" s="9"/>
      <c r="WIA23" s="9"/>
      <c r="WIB23" s="9"/>
      <c r="WIC23" s="9"/>
      <c r="WID23" s="9"/>
      <c r="WIE23" s="9"/>
      <c r="WIF23" s="9"/>
      <c r="WIG23" s="9"/>
      <c r="WIH23" s="9"/>
      <c r="WII23" s="9"/>
      <c r="WIJ23" s="9"/>
      <c r="WIK23" s="9"/>
      <c r="WIL23" s="9"/>
      <c r="WIM23" s="9"/>
      <c r="WIN23" s="9"/>
      <c r="WIO23" s="9"/>
      <c r="WIP23" s="9"/>
      <c r="WIQ23" s="9"/>
      <c r="WIR23" s="9"/>
      <c r="WIS23" s="9"/>
      <c r="WIT23" s="9"/>
      <c r="WIU23" s="9"/>
      <c r="WIV23" s="9"/>
      <c r="WIW23" s="9"/>
      <c r="WIX23" s="9"/>
      <c r="WIY23" s="9"/>
      <c r="WIZ23" s="9"/>
      <c r="WJA23" s="9"/>
      <c r="WJB23" s="9"/>
      <c r="WJC23" s="9"/>
      <c r="WJD23" s="9"/>
      <c r="WJE23" s="9"/>
      <c r="WJF23" s="9"/>
      <c r="WJG23" s="9"/>
      <c r="WJH23" s="9"/>
      <c r="WJI23" s="9"/>
      <c r="WJJ23" s="9"/>
      <c r="WJK23" s="9"/>
      <c r="WJL23" s="9"/>
      <c r="WJM23" s="9"/>
      <c r="WJN23" s="9"/>
      <c r="WJO23" s="9"/>
      <c r="WJP23" s="9"/>
      <c r="WJQ23" s="9"/>
      <c r="WJR23" s="9"/>
      <c r="WJS23" s="9"/>
      <c r="WJT23" s="9"/>
      <c r="WJU23" s="9"/>
      <c r="WJV23" s="9"/>
      <c r="WJW23" s="9"/>
      <c r="WJX23" s="9"/>
      <c r="WJY23" s="9"/>
      <c r="WJZ23" s="9"/>
      <c r="WKA23" s="9"/>
      <c r="WKB23" s="9"/>
      <c r="WKC23" s="9"/>
      <c r="WKD23" s="9"/>
      <c r="WKE23" s="9"/>
      <c r="WKF23" s="9"/>
      <c r="WKG23" s="9"/>
      <c r="WKH23" s="9"/>
      <c r="WKI23" s="9"/>
      <c r="WKJ23" s="9"/>
      <c r="WKK23" s="9"/>
      <c r="WKL23" s="9"/>
      <c r="WKM23" s="9"/>
      <c r="WKN23" s="9"/>
      <c r="WKO23" s="9"/>
      <c r="WKP23" s="9"/>
      <c r="WKQ23" s="9"/>
      <c r="WKR23" s="9"/>
      <c r="WKS23" s="9"/>
      <c r="WKT23" s="9"/>
      <c r="WKU23" s="9"/>
      <c r="WKV23" s="9"/>
      <c r="WKW23" s="9"/>
      <c r="WKX23" s="9"/>
      <c r="WKY23" s="9"/>
      <c r="WKZ23" s="9"/>
      <c r="WLA23" s="9"/>
      <c r="WLB23" s="9"/>
      <c r="WLC23" s="9"/>
      <c r="WLD23" s="9"/>
      <c r="WLE23" s="9"/>
      <c r="WLF23" s="9"/>
      <c r="WLG23" s="9"/>
      <c r="WLH23" s="9"/>
      <c r="WLI23" s="9"/>
      <c r="WLJ23" s="9"/>
      <c r="WLK23" s="9"/>
      <c r="WLL23" s="9"/>
      <c r="WLM23" s="9"/>
      <c r="WLN23" s="9"/>
      <c r="WLO23" s="9"/>
      <c r="WLP23" s="9"/>
      <c r="WLQ23" s="9"/>
      <c r="WLR23" s="9"/>
      <c r="WLS23" s="9"/>
      <c r="WLT23" s="9"/>
      <c r="WLU23" s="9"/>
      <c r="WLV23" s="9"/>
      <c r="WLW23" s="9"/>
      <c r="WLX23" s="9"/>
      <c r="WLY23" s="9"/>
      <c r="WLZ23" s="9"/>
      <c r="WMA23" s="9"/>
      <c r="WMB23" s="9"/>
      <c r="WMC23" s="9"/>
      <c r="WMD23" s="9"/>
      <c r="WME23" s="9"/>
      <c r="WMF23" s="9"/>
      <c r="WMG23" s="9"/>
      <c r="WMH23" s="9"/>
      <c r="WMI23" s="9"/>
      <c r="WMJ23" s="9"/>
      <c r="WMK23" s="9"/>
      <c r="WML23" s="9"/>
      <c r="WMM23" s="9"/>
      <c r="WMN23" s="9"/>
      <c r="WMO23" s="9"/>
      <c r="WMP23" s="9"/>
      <c r="WMQ23" s="9"/>
      <c r="WMR23" s="9"/>
      <c r="WMS23" s="9"/>
      <c r="WMT23" s="9"/>
      <c r="WMU23" s="9"/>
      <c r="WMV23" s="9"/>
      <c r="WMW23" s="9"/>
      <c r="WMX23" s="9"/>
      <c r="WMY23" s="9"/>
      <c r="WMZ23" s="9"/>
      <c r="WNA23" s="9"/>
      <c r="WNB23" s="9"/>
      <c r="WNC23" s="9"/>
      <c r="WND23" s="9"/>
      <c r="WNE23" s="9"/>
      <c r="WNF23" s="9"/>
      <c r="WNG23" s="9"/>
      <c r="WNH23" s="9"/>
      <c r="WNI23" s="9"/>
      <c r="WNJ23" s="9"/>
      <c r="WNK23" s="9"/>
      <c r="WNL23" s="9"/>
      <c r="WNM23" s="9"/>
      <c r="WNN23" s="9"/>
      <c r="WNO23" s="9"/>
      <c r="WNP23" s="9"/>
      <c r="WNQ23" s="9"/>
      <c r="WNR23" s="9"/>
      <c r="WNS23" s="9"/>
      <c r="WNT23" s="9"/>
      <c r="WNU23" s="9"/>
      <c r="WNV23" s="9"/>
      <c r="WNW23" s="9"/>
      <c r="WNX23" s="9"/>
      <c r="WNY23" s="9"/>
      <c r="WNZ23" s="9"/>
      <c r="WOA23" s="9"/>
      <c r="WOB23" s="9"/>
      <c r="WOC23" s="9"/>
      <c r="WOD23" s="9"/>
      <c r="WOE23" s="9"/>
      <c r="WOF23" s="9"/>
      <c r="WOG23" s="9"/>
      <c r="WOH23" s="9"/>
      <c r="WOI23" s="9"/>
      <c r="WOJ23" s="9"/>
      <c r="WOK23" s="9"/>
      <c r="WOL23" s="9"/>
      <c r="WOM23" s="9"/>
      <c r="WON23" s="9"/>
      <c r="WOO23" s="9"/>
      <c r="WOP23" s="9"/>
      <c r="WOQ23" s="9"/>
      <c r="WOR23" s="9"/>
      <c r="WOS23" s="9"/>
      <c r="WOT23" s="9"/>
      <c r="WOU23" s="9"/>
      <c r="WOV23" s="9"/>
      <c r="WOW23" s="9"/>
      <c r="WOX23" s="9"/>
      <c r="WOY23" s="9"/>
      <c r="WOZ23" s="9"/>
      <c r="WPA23" s="9"/>
      <c r="WPB23" s="9"/>
      <c r="WPC23" s="9"/>
      <c r="WPD23" s="9"/>
      <c r="WPE23" s="9"/>
      <c r="WPF23" s="9"/>
      <c r="WPG23" s="9"/>
      <c r="WPH23" s="9"/>
      <c r="WPI23" s="9"/>
      <c r="WPJ23" s="9"/>
      <c r="WPK23" s="9"/>
      <c r="WPL23" s="9"/>
      <c r="WPM23" s="9"/>
      <c r="WPN23" s="9"/>
      <c r="WPO23" s="9"/>
      <c r="WPP23" s="9"/>
      <c r="WPQ23" s="9"/>
      <c r="WPR23" s="9"/>
      <c r="WPS23" s="9"/>
      <c r="WPT23" s="9"/>
      <c r="WPU23" s="9"/>
      <c r="WPV23" s="9"/>
      <c r="WPW23" s="9"/>
      <c r="WPX23" s="9"/>
      <c r="WPY23" s="9"/>
      <c r="WPZ23" s="9"/>
      <c r="WQA23" s="9"/>
      <c r="WQB23" s="9"/>
      <c r="WQC23" s="9"/>
      <c r="WQD23" s="9"/>
      <c r="WQE23" s="9"/>
      <c r="WQF23" s="9"/>
      <c r="WQG23" s="9"/>
      <c r="WQH23" s="9"/>
      <c r="WQI23" s="9"/>
      <c r="WQJ23" s="9"/>
      <c r="WQK23" s="9"/>
      <c r="WQL23" s="9"/>
      <c r="WQM23" s="9"/>
      <c r="WQN23" s="9"/>
      <c r="WQO23" s="9"/>
      <c r="WQP23" s="9"/>
      <c r="WQQ23" s="9"/>
      <c r="WQR23" s="9"/>
      <c r="WQS23" s="9"/>
      <c r="WQT23" s="9"/>
      <c r="WQU23" s="9"/>
      <c r="WQV23" s="9"/>
      <c r="WQW23" s="9"/>
      <c r="WQX23" s="9"/>
      <c r="WQY23" s="9"/>
      <c r="WQZ23" s="9"/>
      <c r="WRA23" s="9"/>
      <c r="WRB23" s="9"/>
      <c r="WRC23" s="9"/>
      <c r="WRD23" s="9"/>
      <c r="WRE23" s="9"/>
      <c r="WRF23" s="9"/>
      <c r="WRG23" s="9"/>
      <c r="WRH23" s="9"/>
      <c r="WRI23" s="9"/>
      <c r="WRJ23" s="9"/>
      <c r="WRK23" s="9"/>
      <c r="WRL23" s="9"/>
      <c r="WRM23" s="9"/>
      <c r="WRN23" s="9"/>
      <c r="WRO23" s="9"/>
      <c r="WRP23" s="9"/>
      <c r="WRQ23" s="9"/>
      <c r="WRR23" s="9"/>
      <c r="WRS23" s="9"/>
      <c r="WRT23" s="9"/>
      <c r="WRU23" s="9"/>
      <c r="WRV23" s="9"/>
      <c r="WRW23" s="9"/>
      <c r="WRX23" s="9"/>
      <c r="WRY23" s="9"/>
      <c r="WRZ23" s="9"/>
      <c r="WSA23" s="9"/>
      <c r="WSB23" s="9"/>
      <c r="WSC23" s="9"/>
      <c r="WSD23" s="9"/>
      <c r="WSE23" s="9"/>
      <c r="WSF23" s="9"/>
      <c r="WSG23" s="9"/>
      <c r="WSH23" s="9"/>
      <c r="WSI23" s="9"/>
      <c r="WSJ23" s="9"/>
      <c r="WSK23" s="9"/>
      <c r="WSL23" s="9"/>
      <c r="WSM23" s="9"/>
      <c r="WSN23" s="9"/>
      <c r="WSO23" s="9"/>
      <c r="WSP23" s="9"/>
      <c r="WSQ23" s="9"/>
      <c r="WSR23" s="9"/>
      <c r="WSS23" s="9"/>
      <c r="WST23" s="9"/>
      <c r="WSU23" s="9"/>
      <c r="WSV23" s="9"/>
      <c r="WSW23" s="9"/>
      <c r="WSX23" s="9"/>
      <c r="WSY23" s="9"/>
      <c r="WSZ23" s="9"/>
      <c r="WTA23" s="9"/>
      <c r="WTB23" s="9"/>
      <c r="WTC23" s="9"/>
      <c r="WTD23" s="9"/>
      <c r="WTE23" s="9"/>
      <c r="WTF23" s="9"/>
      <c r="WTG23" s="9"/>
      <c r="WTH23" s="9"/>
      <c r="WTI23" s="9"/>
      <c r="WTJ23" s="9"/>
      <c r="WTK23" s="9"/>
      <c r="WTL23" s="9"/>
      <c r="WTM23" s="9"/>
      <c r="WTN23" s="9"/>
      <c r="WTO23" s="9"/>
      <c r="WTP23" s="9"/>
      <c r="WTQ23" s="9"/>
      <c r="WTR23" s="9"/>
      <c r="WTS23" s="9"/>
      <c r="WTT23" s="9"/>
      <c r="WTU23" s="9"/>
      <c r="WTV23" s="9"/>
      <c r="WTW23" s="9"/>
      <c r="WTX23" s="9"/>
      <c r="WTY23" s="9"/>
      <c r="WTZ23" s="9"/>
      <c r="WUA23" s="9"/>
      <c r="WUB23" s="9"/>
      <c r="WUC23" s="9"/>
      <c r="WUD23" s="9"/>
      <c r="WUE23" s="9"/>
      <c r="WUF23" s="9"/>
      <c r="WUG23" s="9"/>
      <c r="WUH23" s="9"/>
      <c r="WUI23" s="9"/>
      <c r="WUJ23" s="9"/>
      <c r="WUK23" s="9"/>
      <c r="WUL23" s="9"/>
      <c r="WUM23" s="9"/>
      <c r="WUN23" s="9"/>
      <c r="WUO23" s="9"/>
      <c r="WUP23" s="9"/>
      <c r="WUQ23" s="9"/>
      <c r="WUR23" s="9"/>
      <c r="WUS23" s="9"/>
      <c r="WUT23" s="9"/>
      <c r="WUU23" s="9"/>
      <c r="WUV23" s="9"/>
      <c r="WUW23" s="9"/>
      <c r="WUX23" s="9"/>
      <c r="WUY23" s="9"/>
      <c r="WUZ23" s="9"/>
      <c r="WVA23" s="9"/>
      <c r="WVB23" s="9"/>
      <c r="WVC23" s="9"/>
      <c r="WVD23" s="9"/>
      <c r="WVE23" s="9"/>
      <c r="WVF23" s="9"/>
      <c r="WVG23" s="9"/>
      <c r="WVH23" s="9"/>
      <c r="WVI23" s="9"/>
      <c r="WVJ23" s="9"/>
      <c r="WVK23" s="9"/>
      <c r="WVL23" s="9"/>
      <c r="WVM23" s="9"/>
      <c r="WVN23" s="9"/>
      <c r="WVO23" s="9"/>
      <c r="WVP23" s="9"/>
      <c r="WVQ23" s="9"/>
      <c r="WVR23" s="9"/>
      <c r="WVS23" s="9"/>
      <c r="WVT23" s="9"/>
      <c r="WVU23" s="9"/>
      <c r="WVV23" s="9"/>
      <c r="WVW23" s="9"/>
      <c r="WVX23" s="9"/>
      <c r="WVY23" s="9"/>
      <c r="WVZ23" s="9"/>
      <c r="WWA23" s="9"/>
      <c r="WWB23" s="9"/>
      <c r="WWC23" s="9"/>
      <c r="WWD23" s="9"/>
      <c r="WWE23" s="9"/>
      <c r="WWF23" s="9"/>
      <c r="WWG23" s="9"/>
      <c r="WWH23" s="9"/>
      <c r="WWI23" s="9"/>
      <c r="WWJ23" s="9"/>
      <c r="WWK23" s="9"/>
      <c r="WWL23" s="9"/>
      <c r="WWM23" s="9"/>
      <c r="WWN23" s="9"/>
      <c r="WWO23" s="9"/>
      <c r="WWP23" s="9"/>
      <c r="WWQ23" s="9"/>
      <c r="WWR23" s="9"/>
      <c r="WWS23" s="9"/>
      <c r="WWT23" s="9"/>
      <c r="WWU23" s="9"/>
      <c r="WWV23" s="9"/>
      <c r="WWW23" s="9"/>
      <c r="WWX23" s="9"/>
      <c r="WWY23" s="9"/>
      <c r="WWZ23" s="9"/>
      <c r="WXA23" s="9"/>
      <c r="WXB23" s="9"/>
      <c r="WXC23" s="9"/>
      <c r="WXD23" s="9"/>
      <c r="WXE23" s="9"/>
      <c r="WXF23" s="9"/>
      <c r="WXG23" s="9"/>
      <c r="WXH23" s="9"/>
      <c r="WXI23" s="9"/>
      <c r="WXJ23" s="9"/>
      <c r="WXK23" s="9"/>
      <c r="WXL23" s="9"/>
      <c r="WXM23" s="9"/>
      <c r="WXN23" s="9"/>
      <c r="WXO23" s="9"/>
      <c r="WXP23" s="9"/>
      <c r="WXQ23" s="9"/>
      <c r="WXR23" s="9"/>
      <c r="WXS23" s="9"/>
      <c r="WXT23" s="9"/>
      <c r="WXU23" s="9"/>
      <c r="WXV23" s="9"/>
      <c r="WXW23" s="9"/>
      <c r="WXX23" s="9"/>
      <c r="WXY23" s="9"/>
      <c r="WXZ23" s="9"/>
      <c r="WYA23" s="9"/>
      <c r="WYB23" s="9"/>
      <c r="WYC23" s="9"/>
      <c r="WYD23" s="9"/>
      <c r="WYE23" s="9"/>
      <c r="WYF23" s="9"/>
      <c r="WYG23" s="9"/>
      <c r="WYH23" s="9"/>
      <c r="WYI23" s="9"/>
      <c r="WYJ23" s="9"/>
      <c r="WYK23" s="9"/>
      <c r="WYL23" s="9"/>
      <c r="WYM23" s="9"/>
      <c r="WYN23" s="9"/>
      <c r="WYO23" s="9"/>
      <c r="WYP23" s="9"/>
      <c r="WYQ23" s="9"/>
      <c r="WYR23" s="9"/>
      <c r="WYS23" s="9"/>
      <c r="WYT23" s="9"/>
      <c r="WYU23" s="9"/>
      <c r="WYV23" s="9"/>
      <c r="WYW23" s="9"/>
      <c r="WYX23" s="9"/>
      <c r="WYY23" s="9"/>
      <c r="WYZ23" s="9"/>
      <c r="WZA23" s="9"/>
      <c r="WZB23" s="9"/>
      <c r="WZC23" s="9"/>
      <c r="WZD23" s="9"/>
      <c r="WZE23" s="9"/>
      <c r="WZF23" s="9"/>
      <c r="WZG23" s="9"/>
      <c r="WZH23" s="9"/>
      <c r="WZI23" s="9"/>
      <c r="WZJ23" s="9"/>
      <c r="WZK23" s="9"/>
      <c r="WZL23" s="9"/>
      <c r="WZM23" s="9"/>
      <c r="WZN23" s="9"/>
      <c r="WZO23" s="9"/>
      <c r="WZP23" s="9"/>
      <c r="WZQ23" s="9"/>
      <c r="WZR23" s="9"/>
      <c r="WZS23" s="9"/>
      <c r="WZT23" s="9"/>
      <c r="WZU23" s="9"/>
      <c r="WZV23" s="9"/>
      <c r="WZW23" s="9"/>
      <c r="WZX23" s="9"/>
      <c r="WZY23" s="9"/>
      <c r="WZZ23" s="9"/>
      <c r="XAA23" s="9"/>
      <c r="XAB23" s="9"/>
      <c r="XAC23" s="9"/>
      <c r="XAD23" s="9"/>
      <c r="XAE23" s="9"/>
      <c r="XAF23" s="9"/>
      <c r="XAG23" s="9"/>
      <c r="XAH23" s="9"/>
      <c r="XAI23" s="9"/>
      <c r="XAJ23" s="9"/>
      <c r="XAK23" s="9"/>
      <c r="XAL23" s="9"/>
      <c r="XAM23" s="9"/>
      <c r="XAN23" s="9"/>
      <c r="XAO23" s="9"/>
      <c r="XAP23" s="9"/>
      <c r="XAQ23" s="9"/>
      <c r="XAR23" s="9"/>
      <c r="XAS23" s="9"/>
      <c r="XAT23" s="9"/>
      <c r="XAU23" s="9"/>
      <c r="XAV23" s="9"/>
      <c r="XAW23" s="9"/>
      <c r="XAX23" s="9"/>
      <c r="XAY23" s="9"/>
      <c r="XAZ23" s="9"/>
      <c r="XBA23" s="9"/>
      <c r="XBB23" s="9"/>
      <c r="XBC23" s="9"/>
      <c r="XBD23" s="9"/>
      <c r="XBE23" s="9"/>
      <c r="XBF23" s="9"/>
      <c r="XBG23" s="9"/>
      <c r="XBH23" s="9"/>
      <c r="XBI23" s="9"/>
      <c r="XBJ23" s="9"/>
      <c r="XBK23" s="9"/>
      <c r="XBL23" s="9"/>
      <c r="XBM23" s="9"/>
      <c r="XBN23" s="9"/>
      <c r="XBO23" s="9"/>
      <c r="XBP23" s="9"/>
      <c r="XBQ23" s="9"/>
      <c r="XBR23" s="9"/>
      <c r="XBS23" s="9"/>
      <c r="XBT23" s="9"/>
      <c r="XBU23" s="9"/>
      <c r="XBV23" s="9"/>
      <c r="XBW23" s="9"/>
      <c r="XBX23" s="9"/>
      <c r="XBY23" s="9"/>
      <c r="XBZ23" s="9"/>
      <c r="XCA23" s="9"/>
      <c r="XCB23" s="9"/>
      <c r="XCC23" s="9"/>
      <c r="XCD23" s="9"/>
      <c r="XCE23" s="9"/>
      <c r="XCF23" s="9"/>
      <c r="XCG23" s="9"/>
      <c r="XCH23" s="9"/>
      <c r="XCI23" s="9"/>
      <c r="XCJ23" s="9"/>
      <c r="XCK23" s="9"/>
      <c r="XCL23" s="9"/>
      <c r="XCM23" s="9"/>
      <c r="XCN23" s="9"/>
      <c r="XCO23" s="9"/>
      <c r="XCP23" s="9"/>
      <c r="XCQ23" s="9"/>
      <c r="XCR23" s="9"/>
      <c r="XCS23" s="9"/>
      <c r="XCT23" s="9"/>
      <c r="XCU23" s="9"/>
      <c r="XCV23" s="9"/>
      <c r="XCW23" s="9"/>
      <c r="XCX23" s="9"/>
      <c r="XCY23" s="9"/>
      <c r="XCZ23" s="9"/>
      <c r="XDA23" s="9"/>
      <c r="XDB23" s="9"/>
      <c r="XDC23" s="9"/>
      <c r="XDD23" s="9"/>
      <c r="XDE23" s="9"/>
      <c r="XDF23" s="9"/>
      <c r="XDG23" s="9"/>
      <c r="XDH23" s="9"/>
      <c r="XDI23" s="9"/>
      <c r="XDJ23" s="9"/>
      <c r="XDK23" s="9"/>
      <c r="XDL23" s="9"/>
      <c r="XDM23" s="9"/>
      <c r="XDN23" s="9"/>
      <c r="XDO23" s="9"/>
      <c r="XDP23" s="9"/>
      <c r="XDQ23" s="9"/>
      <c r="XDR23" s="9"/>
      <c r="XDS23" s="9"/>
      <c r="XDT23" s="9"/>
      <c r="XDU23" s="9"/>
      <c r="XDV23" s="9"/>
      <c r="XDW23" s="9"/>
      <c r="XDX23" s="9"/>
      <c r="XDY23" s="9"/>
      <c r="XDZ23" s="9"/>
      <c r="XEA23" s="9"/>
      <c r="XEB23" s="9"/>
      <c r="XEC23" s="9"/>
      <c r="XED23" s="9"/>
      <c r="XEE23" s="9"/>
      <c r="XEF23" s="9"/>
      <c r="XEG23" s="9"/>
      <c r="XEH23" s="9"/>
      <c r="XEI23" s="9"/>
      <c r="XEJ23" s="9"/>
      <c r="XEK23" s="9"/>
      <c r="XEL23" s="9"/>
      <c r="XEM23" s="9"/>
      <c r="XEN23" s="9"/>
      <c r="XEO23" s="9"/>
      <c r="XEP23" s="9"/>
      <c r="XEQ23" s="9"/>
      <c r="XER23" s="9"/>
      <c r="XES23" s="9"/>
      <c r="XET23" s="9"/>
      <c r="XEU23" s="9"/>
      <c r="XEV23" s="9"/>
      <c r="XEW23" s="9"/>
      <c r="XEX23" s="9"/>
      <c r="XEY23" s="9"/>
      <c r="XEZ23" s="9"/>
      <c r="XFA23" s="9"/>
      <c r="XFB23" s="9"/>
      <c r="XFC23" s="9"/>
      <c r="XFD23" s="9"/>
    </row>
    <row r="24" spans="1:16384" ht="15.6">
      <c r="A24" s="68" t="s">
        <v>143</v>
      </c>
      <c r="B24" s="68"/>
      <c r="C24" s="68"/>
      <c r="D24" s="68"/>
      <c r="E24" s="70"/>
      <c r="F24" s="70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  <c r="AO24" s="68"/>
      <c r="AP24" s="68"/>
      <c r="AQ24" s="68"/>
      <c r="AR24" s="68"/>
      <c r="AS24" s="68"/>
      <c r="AT24" s="68"/>
      <c r="AU24" s="68"/>
      <c r="AV24" s="68"/>
      <c r="AW24" s="68"/>
      <c r="AX24" s="68"/>
      <c r="AY24" s="68"/>
      <c r="AZ24" s="68"/>
      <c r="BA24" s="68"/>
      <c r="BB24" s="68"/>
      <c r="BC24" s="68"/>
      <c r="BD24" s="68"/>
      <c r="BE24" s="68"/>
      <c r="BF24" s="68"/>
      <c r="BG24" s="68"/>
      <c r="BH24" s="68"/>
      <c r="BI24" s="68"/>
      <c r="BJ24" s="68"/>
      <c r="BK24" s="68"/>
      <c r="BL24" s="68"/>
      <c r="BM24" s="68"/>
      <c r="BN24" s="68"/>
      <c r="BO24" s="68"/>
      <c r="BP24" s="68"/>
      <c r="BQ24" s="68"/>
      <c r="BR24" s="68"/>
      <c r="BS24" s="68"/>
      <c r="BT24" s="68"/>
      <c r="BU24" s="68"/>
      <c r="BV24" s="68"/>
      <c r="BW24" s="68"/>
      <c r="BX24" s="68"/>
      <c r="BY24" s="68"/>
      <c r="BZ24" s="68"/>
      <c r="CA24" s="68"/>
      <c r="CB24" s="68"/>
      <c r="CC24" s="68"/>
      <c r="CD24" s="68"/>
      <c r="CE24" s="68"/>
      <c r="CF24" s="68"/>
      <c r="CG24" s="68"/>
      <c r="CH24" s="68"/>
      <c r="CI24" s="68"/>
      <c r="CJ24" s="68"/>
      <c r="CK24" s="68"/>
      <c r="CL24" s="68"/>
      <c r="CM24" s="68"/>
      <c r="CN24" s="68"/>
      <c r="CO24" s="68"/>
      <c r="CP24" s="68"/>
      <c r="CQ24" s="68"/>
      <c r="CR24" s="68"/>
      <c r="CS24" s="68"/>
      <c r="CT24" s="68"/>
      <c r="CU24" s="68"/>
      <c r="CV24" s="68"/>
      <c r="CW24" s="68"/>
      <c r="CX24" s="68"/>
      <c r="CY24" s="68"/>
      <c r="CZ24" s="68"/>
      <c r="DA24" s="68"/>
      <c r="DB24" s="68"/>
      <c r="DC24" s="68"/>
      <c r="DD24" s="68"/>
      <c r="DE24" s="68"/>
      <c r="DF24" s="68"/>
      <c r="DG24" s="68"/>
      <c r="DH24" s="68"/>
      <c r="DI24" s="68"/>
      <c r="DJ24" s="68"/>
      <c r="DK24" s="68"/>
      <c r="DL24" s="68"/>
      <c r="DM24" s="68"/>
      <c r="DN24" s="68"/>
      <c r="DO24" s="68"/>
      <c r="DP24" s="68"/>
      <c r="DQ24" s="68"/>
      <c r="DR24" s="68"/>
      <c r="DS24" s="68"/>
      <c r="DT24" s="68"/>
      <c r="DU24" s="68"/>
      <c r="DV24" s="68"/>
      <c r="DW24" s="68"/>
      <c r="DX24" s="68"/>
      <c r="DY24" s="68"/>
      <c r="DZ24" s="68"/>
      <c r="EA24" s="68"/>
      <c r="EB24" s="68"/>
      <c r="EC24" s="68"/>
      <c r="ED24" s="68"/>
      <c r="EE24" s="68"/>
      <c r="EF24" s="68"/>
      <c r="EG24" s="68"/>
      <c r="EH24" s="68"/>
      <c r="EI24" s="68"/>
      <c r="EJ24" s="68"/>
      <c r="EK24" s="68"/>
      <c r="EL24" s="68"/>
      <c r="EM24" s="68"/>
      <c r="EN24" s="68"/>
      <c r="EO24" s="68"/>
      <c r="EP24" s="68"/>
      <c r="EQ24" s="68"/>
      <c r="ER24" s="68"/>
      <c r="ES24" s="68"/>
      <c r="ET24" s="68"/>
      <c r="EU24" s="68"/>
      <c r="EV24" s="68"/>
      <c r="EW24" s="68"/>
      <c r="EX24" s="68"/>
      <c r="EY24" s="68"/>
      <c r="EZ24" s="68"/>
      <c r="FA24" s="68"/>
      <c r="FB24" s="68"/>
      <c r="FC24" s="68"/>
      <c r="FD24" s="68"/>
      <c r="FE24" s="68"/>
      <c r="FF24" s="68"/>
      <c r="FG24" s="68"/>
      <c r="FH24" s="68"/>
      <c r="FI24" s="68"/>
      <c r="FJ24" s="68"/>
      <c r="FK24" s="68"/>
      <c r="FL24" s="68"/>
      <c r="FM24" s="68"/>
      <c r="FN24" s="68"/>
      <c r="FO24" s="68"/>
      <c r="FP24" s="68"/>
      <c r="FQ24" s="68"/>
      <c r="FR24" s="68"/>
      <c r="FS24" s="68"/>
      <c r="FT24" s="68"/>
      <c r="FU24" s="68"/>
      <c r="FV24" s="68"/>
      <c r="FW24" s="68"/>
      <c r="FX24" s="68"/>
      <c r="FY24" s="68"/>
      <c r="FZ24" s="68"/>
      <c r="GA24" s="68"/>
      <c r="GB24" s="68"/>
      <c r="GC24" s="68"/>
      <c r="GD24" s="68"/>
      <c r="GE24" s="68"/>
      <c r="GF24" s="68"/>
      <c r="GG24" s="68"/>
      <c r="GH24" s="68"/>
      <c r="GI24" s="68"/>
      <c r="GJ24" s="68"/>
      <c r="GK24" s="68"/>
      <c r="GL24" s="68"/>
      <c r="GM24" s="68"/>
      <c r="GN24" s="68"/>
      <c r="GO24" s="68"/>
      <c r="GP24" s="68"/>
      <c r="GQ24" s="68"/>
      <c r="GR24" s="68"/>
      <c r="GS24" s="68"/>
      <c r="GT24" s="68"/>
      <c r="GU24" s="68"/>
      <c r="GV24" s="68"/>
      <c r="GW24" s="68"/>
      <c r="GX24" s="68"/>
      <c r="GY24" s="68"/>
      <c r="GZ24" s="68"/>
      <c r="HA24" s="68"/>
      <c r="HB24" s="68"/>
      <c r="HC24" s="68"/>
      <c r="HD24" s="68"/>
      <c r="HE24" s="68"/>
      <c r="HF24" s="68"/>
      <c r="HG24" s="68"/>
      <c r="HH24" s="68"/>
      <c r="HI24" s="68"/>
      <c r="HJ24" s="68"/>
      <c r="HK24" s="68"/>
      <c r="HL24" s="68"/>
      <c r="HM24" s="68"/>
      <c r="HN24" s="68"/>
      <c r="HO24" s="68"/>
      <c r="HP24" s="68"/>
      <c r="HQ24" s="68"/>
      <c r="HR24" s="68"/>
      <c r="HS24" s="68"/>
      <c r="HT24" s="68"/>
      <c r="HU24" s="68"/>
      <c r="HV24" s="68"/>
      <c r="HW24" s="68"/>
      <c r="HX24" s="68"/>
      <c r="HY24" s="68"/>
      <c r="HZ24" s="68"/>
      <c r="IA24" s="68"/>
      <c r="IB24" s="68"/>
      <c r="IC24" s="68"/>
      <c r="ID24" s="68"/>
      <c r="IE24" s="68"/>
      <c r="IF24" s="68"/>
      <c r="IG24" s="68"/>
      <c r="IH24" s="68"/>
      <c r="II24" s="68"/>
      <c r="IJ24" s="68"/>
      <c r="IK24" s="68"/>
      <c r="IL24" s="68"/>
      <c r="IM24" s="68"/>
      <c r="IN24" s="68"/>
      <c r="IO24" s="68"/>
      <c r="IP24" s="68"/>
      <c r="IQ24" s="68"/>
      <c r="IR24" s="68"/>
      <c r="IS24" s="68"/>
      <c r="IT24" s="68"/>
      <c r="IU24" s="68"/>
      <c r="IV24" s="68"/>
      <c r="IW24" s="68"/>
      <c r="IX24" s="68"/>
      <c r="IY24" s="68"/>
      <c r="IZ24" s="68"/>
      <c r="JA24" s="68"/>
      <c r="JB24" s="68"/>
      <c r="JC24" s="68"/>
      <c r="JD24" s="68"/>
      <c r="JE24" s="68"/>
      <c r="JF24" s="68"/>
      <c r="JG24" s="68"/>
      <c r="JH24" s="68"/>
      <c r="JI24" s="68"/>
      <c r="JJ24" s="68"/>
      <c r="JK24" s="68"/>
      <c r="JL24" s="68"/>
      <c r="JM24" s="68"/>
      <c r="JN24" s="68"/>
      <c r="JO24" s="68"/>
      <c r="JP24" s="68"/>
      <c r="JQ24" s="68"/>
      <c r="JR24" s="68"/>
      <c r="JS24" s="68"/>
      <c r="JT24" s="68"/>
      <c r="JU24" s="68"/>
      <c r="JV24" s="68"/>
      <c r="JW24" s="68"/>
      <c r="JX24" s="68"/>
      <c r="JY24" s="68"/>
      <c r="JZ24" s="68"/>
      <c r="KA24" s="68"/>
      <c r="KB24" s="68"/>
      <c r="KC24" s="68"/>
      <c r="KD24" s="68"/>
      <c r="KE24" s="68"/>
      <c r="KF24" s="68"/>
      <c r="KG24" s="68"/>
      <c r="KH24" s="68"/>
      <c r="KI24" s="68"/>
      <c r="KJ24" s="68"/>
      <c r="KK24" s="68"/>
      <c r="KL24" s="68"/>
      <c r="KM24" s="68"/>
      <c r="KN24" s="68"/>
      <c r="KO24" s="68"/>
      <c r="KP24" s="68"/>
      <c r="KQ24" s="68"/>
      <c r="KR24" s="68"/>
      <c r="KS24" s="68"/>
      <c r="KT24" s="68"/>
      <c r="KU24" s="68"/>
      <c r="KV24" s="68"/>
      <c r="KW24" s="68"/>
      <c r="KX24" s="68"/>
      <c r="KY24" s="68"/>
      <c r="KZ24" s="68"/>
      <c r="LA24" s="68"/>
      <c r="LB24" s="68"/>
      <c r="LC24" s="68"/>
      <c r="LD24" s="68"/>
      <c r="LE24" s="68"/>
      <c r="LF24" s="68"/>
      <c r="LG24" s="68"/>
      <c r="LH24" s="68"/>
      <c r="LI24" s="68"/>
      <c r="LJ24" s="68"/>
      <c r="LK24" s="68"/>
      <c r="LL24" s="68"/>
      <c r="LM24" s="68"/>
      <c r="LN24" s="68"/>
      <c r="LO24" s="68"/>
      <c r="LP24" s="68"/>
      <c r="LQ24" s="68"/>
      <c r="LR24" s="68"/>
      <c r="LS24" s="68"/>
      <c r="LT24" s="68"/>
      <c r="LU24" s="68"/>
      <c r="LV24" s="68"/>
      <c r="LW24" s="68"/>
      <c r="LX24" s="68"/>
      <c r="LY24" s="68"/>
      <c r="LZ24" s="68"/>
      <c r="MA24" s="68"/>
      <c r="MB24" s="68"/>
      <c r="MC24" s="68"/>
      <c r="MD24" s="68"/>
      <c r="ME24" s="68"/>
      <c r="MF24" s="68"/>
      <c r="MG24" s="68"/>
      <c r="MH24" s="68"/>
      <c r="MI24" s="68"/>
      <c r="MJ24" s="68"/>
      <c r="MK24" s="68"/>
      <c r="ML24" s="68"/>
      <c r="MM24" s="68"/>
      <c r="MN24" s="68"/>
      <c r="MO24" s="68"/>
      <c r="MP24" s="68"/>
      <c r="MQ24" s="68"/>
      <c r="MR24" s="68"/>
      <c r="MS24" s="68"/>
      <c r="MT24" s="68"/>
      <c r="MU24" s="68"/>
      <c r="MV24" s="68"/>
      <c r="MW24" s="68"/>
      <c r="MX24" s="68"/>
      <c r="MY24" s="68"/>
      <c r="MZ24" s="68"/>
      <c r="NA24" s="68"/>
      <c r="NB24" s="68"/>
      <c r="NC24" s="68"/>
      <c r="ND24" s="68"/>
      <c r="NE24" s="68"/>
      <c r="NF24" s="68"/>
      <c r="NG24" s="68"/>
      <c r="NH24" s="68"/>
      <c r="NI24" s="68"/>
      <c r="NJ24" s="68"/>
      <c r="NK24" s="68"/>
      <c r="NL24" s="68"/>
      <c r="NM24" s="68"/>
      <c r="NN24" s="68"/>
      <c r="NO24" s="68"/>
      <c r="NP24" s="68"/>
      <c r="NQ24" s="68"/>
      <c r="NR24" s="68"/>
      <c r="NS24" s="68"/>
      <c r="NT24" s="68"/>
      <c r="NU24" s="68"/>
      <c r="NV24" s="68"/>
      <c r="NW24" s="68"/>
      <c r="NX24" s="68"/>
      <c r="NY24" s="68"/>
      <c r="NZ24" s="68"/>
      <c r="OA24" s="68"/>
      <c r="OB24" s="68"/>
      <c r="OC24" s="68"/>
      <c r="OD24" s="68"/>
      <c r="OE24" s="68"/>
      <c r="OF24" s="68"/>
      <c r="OG24" s="68"/>
      <c r="OH24" s="68"/>
      <c r="OI24" s="68"/>
      <c r="OJ24" s="68"/>
      <c r="OK24" s="68"/>
      <c r="OL24" s="68"/>
      <c r="OM24" s="68"/>
      <c r="ON24" s="68"/>
      <c r="OO24" s="68"/>
      <c r="OP24" s="68"/>
      <c r="OQ24" s="68"/>
      <c r="OR24" s="68"/>
      <c r="OS24" s="68"/>
      <c r="OT24" s="68"/>
      <c r="OU24" s="68"/>
      <c r="OV24" s="68"/>
      <c r="OW24" s="68"/>
      <c r="OX24" s="68"/>
      <c r="OY24" s="68"/>
      <c r="OZ24" s="68"/>
      <c r="PA24" s="68"/>
      <c r="PB24" s="68"/>
      <c r="PC24" s="68"/>
      <c r="PD24" s="68"/>
      <c r="PE24" s="68"/>
      <c r="PF24" s="68"/>
      <c r="PG24" s="68"/>
      <c r="PH24" s="68"/>
      <c r="PI24" s="68"/>
      <c r="PJ24" s="68"/>
      <c r="PK24" s="68"/>
      <c r="PL24" s="68"/>
      <c r="PM24" s="68"/>
      <c r="PN24" s="68"/>
      <c r="PO24" s="68"/>
      <c r="PP24" s="68"/>
      <c r="PQ24" s="68"/>
      <c r="PR24" s="68"/>
      <c r="PS24" s="68"/>
      <c r="PT24" s="68"/>
      <c r="PU24" s="68"/>
      <c r="PV24" s="68"/>
      <c r="PW24" s="68"/>
      <c r="PX24" s="68"/>
      <c r="PY24" s="68"/>
      <c r="PZ24" s="68"/>
      <c r="QA24" s="68"/>
      <c r="QB24" s="68"/>
      <c r="QC24" s="68"/>
      <c r="QD24" s="68"/>
      <c r="QE24" s="68"/>
      <c r="QF24" s="68"/>
      <c r="QG24" s="68"/>
      <c r="QH24" s="68"/>
      <c r="QI24" s="68"/>
      <c r="QJ24" s="68"/>
      <c r="QK24" s="68"/>
      <c r="QL24" s="68"/>
      <c r="QM24" s="68"/>
      <c r="QN24" s="68"/>
      <c r="QO24" s="68"/>
      <c r="QP24" s="68"/>
      <c r="QQ24" s="68"/>
      <c r="QR24" s="68"/>
      <c r="QS24" s="68"/>
      <c r="QT24" s="68"/>
      <c r="QU24" s="68"/>
      <c r="QV24" s="68"/>
      <c r="QW24" s="68"/>
      <c r="QX24" s="68"/>
      <c r="QY24" s="68"/>
      <c r="QZ24" s="68"/>
      <c r="RA24" s="68"/>
      <c r="RB24" s="68"/>
      <c r="RC24" s="68"/>
      <c r="RD24" s="68"/>
      <c r="RE24" s="68"/>
      <c r="RF24" s="68"/>
      <c r="RG24" s="68"/>
      <c r="RH24" s="68"/>
      <c r="RI24" s="68"/>
      <c r="RJ24" s="68"/>
      <c r="RK24" s="68"/>
      <c r="RL24" s="68"/>
      <c r="RM24" s="68"/>
      <c r="RN24" s="68"/>
      <c r="RO24" s="68"/>
      <c r="RP24" s="68"/>
      <c r="RQ24" s="68"/>
      <c r="RR24" s="68"/>
      <c r="RS24" s="68"/>
      <c r="RT24" s="68"/>
      <c r="RU24" s="68"/>
      <c r="RV24" s="68"/>
      <c r="RW24" s="68"/>
      <c r="RX24" s="68"/>
      <c r="RY24" s="68"/>
      <c r="RZ24" s="68"/>
      <c r="SA24" s="68"/>
      <c r="SB24" s="68"/>
      <c r="SC24" s="68"/>
      <c r="SD24" s="68"/>
      <c r="SE24" s="68"/>
      <c r="SF24" s="68"/>
      <c r="SG24" s="68"/>
      <c r="SH24" s="68"/>
      <c r="SI24" s="68"/>
      <c r="SJ24" s="68"/>
      <c r="SK24" s="68"/>
      <c r="SL24" s="68"/>
      <c r="SM24" s="68"/>
      <c r="SN24" s="68"/>
      <c r="SO24" s="68"/>
      <c r="SP24" s="68"/>
      <c r="SQ24" s="68"/>
      <c r="SR24" s="68"/>
      <c r="SS24" s="68"/>
      <c r="ST24" s="68"/>
      <c r="SU24" s="68"/>
      <c r="SV24" s="68"/>
      <c r="SW24" s="68"/>
      <c r="SX24" s="68"/>
      <c r="SY24" s="68"/>
      <c r="SZ24" s="68"/>
      <c r="TA24" s="68"/>
      <c r="TB24" s="68"/>
      <c r="TC24" s="68"/>
      <c r="TD24" s="68"/>
      <c r="TE24" s="68"/>
      <c r="TF24" s="68"/>
      <c r="TG24" s="68"/>
      <c r="TH24" s="68"/>
      <c r="TI24" s="68"/>
      <c r="TJ24" s="68"/>
      <c r="TK24" s="68"/>
      <c r="TL24" s="68"/>
      <c r="TM24" s="68"/>
      <c r="TN24" s="68"/>
      <c r="TO24" s="68"/>
      <c r="TP24" s="68"/>
      <c r="TQ24" s="68"/>
      <c r="TR24" s="68"/>
      <c r="TS24" s="68"/>
      <c r="TT24" s="68"/>
      <c r="TU24" s="68"/>
      <c r="TV24" s="68"/>
      <c r="TW24" s="68"/>
      <c r="TX24" s="68"/>
      <c r="TY24" s="68"/>
      <c r="TZ24" s="68"/>
      <c r="UA24" s="68"/>
      <c r="UB24" s="68"/>
      <c r="UC24" s="68"/>
      <c r="UD24" s="68"/>
      <c r="UE24" s="68"/>
      <c r="UF24" s="68"/>
      <c r="UG24" s="68"/>
      <c r="UH24" s="68"/>
      <c r="UI24" s="68"/>
      <c r="UJ24" s="68"/>
      <c r="UK24" s="68"/>
      <c r="UL24" s="68"/>
      <c r="UM24" s="68"/>
      <c r="UN24" s="68"/>
      <c r="UO24" s="68"/>
      <c r="UP24" s="68"/>
      <c r="UQ24" s="68"/>
      <c r="UR24" s="68"/>
      <c r="US24" s="68"/>
      <c r="UT24" s="68"/>
      <c r="UU24" s="68"/>
      <c r="UV24" s="68"/>
      <c r="UW24" s="68"/>
      <c r="UX24" s="68"/>
      <c r="UY24" s="68"/>
      <c r="UZ24" s="68"/>
      <c r="VA24" s="68"/>
      <c r="VB24" s="68"/>
      <c r="VC24" s="68"/>
      <c r="VD24" s="68"/>
      <c r="VE24" s="68"/>
      <c r="VF24" s="68"/>
      <c r="VG24" s="68"/>
      <c r="VH24" s="68"/>
      <c r="VI24" s="68"/>
      <c r="VJ24" s="68"/>
      <c r="VK24" s="68"/>
      <c r="VL24" s="68"/>
      <c r="VM24" s="68"/>
      <c r="VN24" s="68"/>
      <c r="VO24" s="68"/>
      <c r="VP24" s="68"/>
      <c r="VQ24" s="68"/>
      <c r="VR24" s="68"/>
      <c r="VS24" s="68"/>
      <c r="VT24" s="68"/>
      <c r="VU24" s="68"/>
      <c r="VV24" s="68"/>
      <c r="VW24" s="68"/>
      <c r="VX24" s="68"/>
      <c r="VY24" s="68"/>
      <c r="VZ24" s="68"/>
      <c r="WA24" s="68"/>
      <c r="WB24" s="68"/>
      <c r="WC24" s="68"/>
      <c r="WD24" s="68"/>
      <c r="WE24" s="68"/>
      <c r="WF24" s="68"/>
      <c r="WG24" s="68"/>
      <c r="WH24" s="68"/>
      <c r="WI24" s="68"/>
      <c r="WJ24" s="68"/>
      <c r="WK24" s="68"/>
      <c r="WL24" s="68"/>
      <c r="WM24" s="68"/>
      <c r="WN24" s="68"/>
      <c r="WO24" s="68"/>
      <c r="WP24" s="68"/>
      <c r="WQ24" s="68"/>
      <c r="WR24" s="68"/>
      <c r="WS24" s="68"/>
      <c r="WT24" s="68"/>
      <c r="WU24" s="68"/>
      <c r="WV24" s="68"/>
      <c r="WW24" s="68"/>
      <c r="WX24" s="68"/>
      <c r="WY24" s="68"/>
      <c r="WZ24" s="68"/>
      <c r="XA24" s="68"/>
      <c r="XB24" s="68"/>
      <c r="XC24" s="68"/>
      <c r="XD24" s="68"/>
      <c r="XE24" s="68"/>
      <c r="XF24" s="68"/>
      <c r="XG24" s="68"/>
      <c r="XH24" s="68"/>
      <c r="XI24" s="68"/>
      <c r="XJ24" s="68"/>
      <c r="XK24" s="68"/>
      <c r="XL24" s="68"/>
      <c r="XM24" s="68"/>
      <c r="XN24" s="68"/>
      <c r="XO24" s="68"/>
      <c r="XP24" s="68"/>
      <c r="XQ24" s="68"/>
      <c r="XR24" s="68"/>
      <c r="XS24" s="68"/>
      <c r="XT24" s="68"/>
      <c r="XU24" s="68"/>
      <c r="XV24" s="68"/>
      <c r="XW24" s="68"/>
      <c r="XX24" s="68"/>
      <c r="XY24" s="68"/>
      <c r="XZ24" s="68"/>
      <c r="YA24" s="68"/>
      <c r="YB24" s="68"/>
      <c r="YC24" s="68"/>
      <c r="YD24" s="68"/>
      <c r="YE24" s="68"/>
      <c r="YF24" s="68"/>
      <c r="YG24" s="68"/>
      <c r="YH24" s="68"/>
      <c r="YI24" s="68"/>
      <c r="YJ24" s="68"/>
      <c r="YK24" s="68"/>
      <c r="YL24" s="68"/>
      <c r="YM24" s="68"/>
      <c r="YN24" s="68"/>
      <c r="YO24" s="68"/>
      <c r="YP24" s="68"/>
      <c r="YQ24" s="68"/>
      <c r="YR24" s="68"/>
      <c r="YS24" s="68"/>
      <c r="YT24" s="68"/>
      <c r="YU24" s="68"/>
      <c r="YV24" s="68"/>
      <c r="YW24" s="68"/>
      <c r="YX24" s="68"/>
      <c r="YY24" s="68"/>
      <c r="YZ24" s="68"/>
      <c r="ZA24" s="68"/>
      <c r="ZB24" s="68"/>
      <c r="ZC24" s="68"/>
      <c r="ZD24" s="68"/>
      <c r="ZE24" s="68"/>
      <c r="ZF24" s="68"/>
      <c r="ZG24" s="68"/>
      <c r="ZH24" s="68"/>
      <c r="ZI24" s="68"/>
      <c r="ZJ24" s="68"/>
      <c r="ZK24" s="68"/>
      <c r="ZL24" s="68"/>
      <c r="ZM24" s="68"/>
      <c r="ZN24" s="68"/>
      <c r="ZO24" s="68"/>
      <c r="ZP24" s="68"/>
      <c r="ZQ24" s="68"/>
      <c r="ZR24" s="68"/>
      <c r="ZS24" s="68"/>
      <c r="ZT24" s="68"/>
      <c r="ZU24" s="68"/>
      <c r="ZV24" s="68"/>
      <c r="ZW24" s="68"/>
      <c r="ZX24" s="68"/>
      <c r="ZY24" s="68"/>
      <c r="ZZ24" s="68"/>
      <c r="AAA24" s="68"/>
      <c r="AAB24" s="68"/>
      <c r="AAC24" s="68"/>
      <c r="AAD24" s="68"/>
      <c r="AAE24" s="68"/>
      <c r="AAF24" s="68"/>
      <c r="AAG24" s="68"/>
      <c r="AAH24" s="68"/>
      <c r="AAI24" s="68"/>
      <c r="AAJ24" s="68"/>
      <c r="AAK24" s="68"/>
      <c r="AAL24" s="68"/>
      <c r="AAM24" s="68"/>
      <c r="AAN24" s="68"/>
      <c r="AAO24" s="68"/>
      <c r="AAP24" s="68"/>
      <c r="AAQ24" s="68"/>
      <c r="AAR24" s="68"/>
      <c r="AAS24" s="68"/>
      <c r="AAT24" s="68"/>
      <c r="AAU24" s="68"/>
      <c r="AAV24" s="68"/>
      <c r="AAW24" s="68"/>
      <c r="AAX24" s="68"/>
      <c r="AAY24" s="68"/>
      <c r="AAZ24" s="68"/>
      <c r="ABA24" s="68"/>
      <c r="ABB24" s="68"/>
      <c r="ABC24" s="68"/>
      <c r="ABD24" s="68"/>
      <c r="ABE24" s="68"/>
      <c r="ABF24" s="68"/>
      <c r="ABG24" s="68"/>
      <c r="ABH24" s="68"/>
      <c r="ABI24" s="68"/>
      <c r="ABJ24" s="68"/>
      <c r="ABK24" s="68"/>
      <c r="ABL24" s="68"/>
      <c r="ABM24" s="68"/>
      <c r="ABN24" s="68"/>
      <c r="ABO24" s="68"/>
      <c r="ABP24" s="68"/>
      <c r="ABQ24" s="68"/>
      <c r="ABR24" s="68"/>
      <c r="ABS24" s="68"/>
      <c r="ABT24" s="68"/>
      <c r="ABU24" s="68"/>
      <c r="ABV24" s="68"/>
      <c r="ABW24" s="68"/>
      <c r="ABX24" s="68"/>
      <c r="ABY24" s="68"/>
      <c r="ABZ24" s="68"/>
      <c r="ACA24" s="68"/>
      <c r="ACB24" s="68"/>
      <c r="ACC24" s="68"/>
      <c r="ACD24" s="68"/>
      <c r="ACE24" s="68"/>
      <c r="ACF24" s="68"/>
      <c r="ACG24" s="68"/>
      <c r="ACH24" s="68"/>
      <c r="ACI24" s="68"/>
      <c r="ACJ24" s="68"/>
      <c r="ACK24" s="68"/>
      <c r="ACL24" s="68"/>
      <c r="ACM24" s="68"/>
      <c r="ACN24" s="68"/>
      <c r="ACO24" s="68"/>
      <c r="ACP24" s="68"/>
      <c r="ACQ24" s="68"/>
      <c r="ACR24" s="68"/>
      <c r="ACS24" s="68"/>
      <c r="ACT24" s="68"/>
      <c r="ACU24" s="68"/>
      <c r="ACV24" s="68"/>
      <c r="ACW24" s="68"/>
      <c r="ACX24" s="68"/>
      <c r="ACY24" s="68"/>
      <c r="ACZ24" s="68"/>
      <c r="ADA24" s="68"/>
      <c r="ADB24" s="68"/>
      <c r="ADC24" s="68"/>
      <c r="ADD24" s="68"/>
      <c r="ADE24" s="68"/>
      <c r="ADF24" s="68"/>
      <c r="ADG24" s="68"/>
      <c r="ADH24" s="68"/>
      <c r="ADI24" s="68"/>
      <c r="ADJ24" s="68"/>
      <c r="ADK24" s="68"/>
      <c r="ADL24" s="68"/>
      <c r="ADM24" s="68"/>
      <c r="ADN24" s="68"/>
      <c r="ADO24" s="68"/>
      <c r="ADP24" s="68"/>
      <c r="ADQ24" s="68"/>
      <c r="ADR24" s="68"/>
      <c r="ADS24" s="68"/>
      <c r="ADT24" s="68"/>
      <c r="ADU24" s="68"/>
      <c r="ADV24" s="68"/>
      <c r="ADW24" s="68"/>
      <c r="ADX24" s="68"/>
      <c r="ADY24" s="68"/>
      <c r="ADZ24" s="68"/>
      <c r="AEA24" s="68"/>
      <c r="AEB24" s="68"/>
      <c r="AEC24" s="68"/>
      <c r="AED24" s="68"/>
      <c r="AEE24" s="68"/>
      <c r="AEF24" s="68"/>
      <c r="AEG24" s="68"/>
      <c r="AEH24" s="68"/>
      <c r="AEI24" s="68"/>
      <c r="AEJ24" s="68"/>
      <c r="AEK24" s="68"/>
      <c r="AEL24" s="68"/>
      <c r="AEM24" s="68"/>
      <c r="AEN24" s="68"/>
      <c r="AEO24" s="68"/>
      <c r="AEP24" s="68"/>
      <c r="AEQ24" s="68"/>
      <c r="AER24" s="68"/>
      <c r="AES24" s="68"/>
      <c r="AET24" s="68"/>
      <c r="AEU24" s="68"/>
      <c r="AEV24" s="68"/>
      <c r="AEW24" s="68"/>
      <c r="AEX24" s="68"/>
      <c r="AEY24" s="68"/>
      <c r="AEZ24" s="68"/>
      <c r="AFA24" s="68"/>
      <c r="AFB24" s="68"/>
      <c r="AFC24" s="68"/>
      <c r="AFD24" s="68"/>
      <c r="AFE24" s="68"/>
      <c r="AFF24" s="68"/>
      <c r="AFG24" s="68"/>
      <c r="AFH24" s="68"/>
      <c r="AFI24" s="68"/>
      <c r="AFJ24" s="68"/>
      <c r="AFK24" s="68"/>
      <c r="AFL24" s="68"/>
      <c r="AFM24" s="68"/>
      <c r="AFN24" s="68"/>
      <c r="AFO24" s="68"/>
      <c r="AFP24" s="68"/>
      <c r="AFQ24" s="68"/>
      <c r="AFR24" s="68"/>
      <c r="AFS24" s="68"/>
      <c r="AFT24" s="68"/>
      <c r="AFU24" s="68"/>
      <c r="AFV24" s="68"/>
      <c r="AFW24" s="68"/>
      <c r="AFX24" s="68"/>
      <c r="AFY24" s="68"/>
      <c r="AFZ24" s="68"/>
      <c r="AGA24" s="68"/>
      <c r="AGB24" s="68"/>
      <c r="AGC24" s="68"/>
      <c r="AGD24" s="68"/>
      <c r="AGE24" s="68"/>
      <c r="AGF24" s="68"/>
      <c r="AGG24" s="68"/>
      <c r="AGH24" s="68"/>
      <c r="AGI24" s="68"/>
      <c r="AGJ24" s="68"/>
      <c r="AGK24" s="68"/>
      <c r="AGL24" s="68"/>
      <c r="AGM24" s="68"/>
      <c r="AGN24" s="68"/>
      <c r="AGO24" s="68"/>
      <c r="AGP24" s="68"/>
      <c r="AGQ24" s="68"/>
      <c r="AGR24" s="68"/>
      <c r="AGS24" s="68"/>
      <c r="AGT24" s="68"/>
      <c r="AGU24" s="68"/>
      <c r="AGV24" s="68"/>
      <c r="AGW24" s="68"/>
      <c r="AGX24" s="68"/>
      <c r="AGY24" s="68"/>
      <c r="AGZ24" s="68"/>
      <c r="AHA24" s="68"/>
      <c r="AHB24" s="68"/>
      <c r="AHC24" s="68"/>
      <c r="AHD24" s="68"/>
      <c r="AHE24" s="68"/>
      <c r="AHF24" s="68"/>
      <c r="AHG24" s="68"/>
      <c r="AHH24" s="68"/>
      <c r="AHI24" s="68"/>
      <c r="AHJ24" s="68"/>
      <c r="AHK24" s="68"/>
      <c r="AHL24" s="68"/>
      <c r="AHM24" s="68"/>
      <c r="AHN24" s="68"/>
      <c r="AHO24" s="68"/>
      <c r="AHP24" s="68"/>
      <c r="AHQ24" s="68"/>
      <c r="AHR24" s="68"/>
      <c r="AHS24" s="68"/>
      <c r="AHT24" s="68"/>
      <c r="AHU24" s="68"/>
      <c r="AHV24" s="68"/>
      <c r="AHW24" s="68"/>
      <c r="AHX24" s="68"/>
      <c r="AHY24" s="68"/>
      <c r="AHZ24" s="68"/>
      <c r="AIA24" s="68"/>
      <c r="AIB24" s="68"/>
      <c r="AIC24" s="68"/>
      <c r="AID24" s="68"/>
      <c r="AIE24" s="68"/>
      <c r="AIF24" s="68"/>
      <c r="AIG24" s="68"/>
      <c r="AIH24" s="68"/>
      <c r="AII24" s="68"/>
      <c r="AIJ24" s="68"/>
      <c r="AIK24" s="68"/>
      <c r="AIL24" s="68"/>
      <c r="AIM24" s="68"/>
      <c r="AIN24" s="68"/>
      <c r="AIO24" s="68"/>
      <c r="AIP24" s="68"/>
      <c r="AIQ24" s="68"/>
      <c r="AIR24" s="68"/>
      <c r="AIS24" s="68"/>
      <c r="AIT24" s="68"/>
      <c r="AIU24" s="68"/>
      <c r="AIV24" s="68"/>
      <c r="AIW24" s="68"/>
      <c r="AIX24" s="68"/>
      <c r="AIY24" s="68"/>
      <c r="AIZ24" s="68"/>
      <c r="AJA24" s="68"/>
      <c r="AJB24" s="68"/>
      <c r="AJC24" s="68"/>
      <c r="AJD24" s="68"/>
      <c r="AJE24" s="68"/>
      <c r="AJF24" s="68"/>
      <c r="AJG24" s="68"/>
      <c r="AJH24" s="68"/>
      <c r="AJI24" s="68"/>
      <c r="AJJ24" s="68"/>
      <c r="AJK24" s="68"/>
      <c r="AJL24" s="68"/>
      <c r="AJM24" s="68"/>
      <c r="AJN24" s="68"/>
      <c r="AJO24" s="68"/>
      <c r="AJP24" s="68"/>
      <c r="AJQ24" s="68"/>
      <c r="AJR24" s="68"/>
      <c r="AJS24" s="68"/>
      <c r="AJT24" s="68"/>
      <c r="AJU24" s="68"/>
      <c r="AJV24" s="68"/>
      <c r="AJW24" s="68"/>
      <c r="AJX24" s="68"/>
      <c r="AJY24" s="68"/>
      <c r="AJZ24" s="68"/>
      <c r="AKA24" s="68"/>
      <c r="AKB24" s="68"/>
      <c r="AKC24" s="68"/>
      <c r="AKD24" s="68"/>
      <c r="AKE24" s="68"/>
      <c r="AKF24" s="68"/>
      <c r="AKG24" s="68"/>
      <c r="AKH24" s="68"/>
      <c r="AKI24" s="68"/>
      <c r="AKJ24" s="68"/>
      <c r="AKK24" s="68"/>
      <c r="AKL24" s="68"/>
      <c r="AKM24" s="68"/>
      <c r="AKN24" s="68"/>
      <c r="AKO24" s="68"/>
      <c r="AKP24" s="68"/>
      <c r="AKQ24" s="68"/>
      <c r="AKR24" s="68"/>
      <c r="AKS24" s="68"/>
      <c r="AKT24" s="68"/>
      <c r="AKU24" s="68"/>
      <c r="AKV24" s="68"/>
      <c r="AKW24" s="68"/>
      <c r="AKX24" s="68"/>
      <c r="AKY24" s="68"/>
      <c r="AKZ24" s="68"/>
      <c r="ALA24" s="68"/>
      <c r="ALB24" s="68"/>
      <c r="ALC24" s="68"/>
      <c r="ALD24" s="68"/>
      <c r="ALE24" s="68"/>
      <c r="ALF24" s="68"/>
      <c r="ALG24" s="68"/>
      <c r="ALH24" s="68"/>
      <c r="ALI24" s="68"/>
      <c r="ALJ24" s="68"/>
      <c r="ALK24" s="68"/>
      <c r="ALL24" s="68"/>
      <c r="ALM24" s="68"/>
      <c r="ALN24" s="68"/>
      <c r="ALO24" s="68"/>
      <c r="ALP24" s="68"/>
      <c r="ALQ24" s="68"/>
      <c r="ALR24" s="68"/>
      <c r="ALS24" s="68"/>
      <c r="ALT24" s="68"/>
      <c r="ALU24" s="68"/>
      <c r="ALV24" s="68"/>
      <c r="ALW24" s="68"/>
      <c r="ALX24" s="68"/>
      <c r="ALY24" s="68"/>
      <c r="ALZ24" s="68"/>
      <c r="AMA24" s="68"/>
      <c r="AMB24" s="68"/>
      <c r="AMC24" s="68"/>
      <c r="AMD24" s="68"/>
      <c r="AME24" s="68"/>
      <c r="AMF24" s="68"/>
      <c r="AMG24" s="68"/>
      <c r="AMH24" s="68"/>
      <c r="AMI24" s="68"/>
      <c r="AMJ24" s="68"/>
      <c r="AMK24" s="68"/>
      <c r="AML24" s="68"/>
      <c r="AMM24" s="68"/>
      <c r="AMN24" s="68"/>
      <c r="AMO24" s="68"/>
      <c r="AMP24" s="68"/>
      <c r="AMQ24" s="68"/>
      <c r="AMR24" s="68"/>
      <c r="AMS24" s="68"/>
      <c r="AMT24" s="68"/>
      <c r="AMU24" s="68"/>
      <c r="AMV24" s="68"/>
      <c r="AMW24" s="68"/>
      <c r="AMX24" s="68"/>
      <c r="AMY24" s="68"/>
      <c r="AMZ24" s="68"/>
      <c r="ANA24" s="68"/>
      <c r="ANB24" s="68"/>
      <c r="ANC24" s="68"/>
      <c r="AND24" s="68"/>
      <c r="ANE24" s="68"/>
      <c r="ANF24" s="68"/>
      <c r="ANG24" s="68"/>
      <c r="ANH24" s="68"/>
      <c r="ANI24" s="68"/>
      <c r="ANJ24" s="68"/>
      <c r="ANK24" s="68"/>
      <c r="ANL24" s="68"/>
      <c r="ANM24" s="68"/>
      <c r="ANN24" s="68"/>
      <c r="ANO24" s="68"/>
      <c r="ANP24" s="68"/>
      <c r="ANQ24" s="68"/>
      <c r="ANR24" s="68"/>
      <c r="ANS24" s="68"/>
      <c r="ANT24" s="68"/>
      <c r="ANU24" s="68"/>
      <c r="ANV24" s="68"/>
      <c r="ANW24" s="68"/>
      <c r="ANX24" s="68"/>
      <c r="ANY24" s="68"/>
      <c r="ANZ24" s="68"/>
      <c r="AOA24" s="68"/>
      <c r="AOB24" s="68"/>
      <c r="AOC24" s="68"/>
      <c r="AOD24" s="68"/>
      <c r="AOE24" s="68"/>
      <c r="AOF24" s="68"/>
      <c r="AOG24" s="68"/>
      <c r="AOH24" s="68"/>
      <c r="AOI24" s="68"/>
      <c r="AOJ24" s="68"/>
      <c r="AOK24" s="68"/>
      <c r="AOL24" s="68"/>
      <c r="AOM24" s="68"/>
      <c r="AON24" s="68"/>
      <c r="AOO24" s="68"/>
      <c r="AOP24" s="68"/>
      <c r="AOQ24" s="68"/>
      <c r="AOR24" s="68"/>
      <c r="AOS24" s="68"/>
      <c r="AOT24" s="68"/>
      <c r="AOU24" s="68"/>
      <c r="AOV24" s="68"/>
      <c r="AOW24" s="68"/>
      <c r="AOX24" s="68"/>
      <c r="AOY24" s="68"/>
      <c r="AOZ24" s="68"/>
      <c r="APA24" s="68"/>
      <c r="APB24" s="68"/>
      <c r="APC24" s="68"/>
      <c r="APD24" s="68"/>
      <c r="APE24" s="68"/>
      <c r="APF24" s="68"/>
      <c r="APG24" s="68"/>
      <c r="APH24" s="68"/>
      <c r="API24" s="68"/>
      <c r="APJ24" s="68"/>
      <c r="APK24" s="68"/>
      <c r="APL24" s="68"/>
      <c r="APM24" s="68"/>
      <c r="APN24" s="68"/>
      <c r="APO24" s="68"/>
      <c r="APP24" s="68"/>
      <c r="APQ24" s="68"/>
      <c r="APR24" s="68"/>
      <c r="APS24" s="68"/>
      <c r="APT24" s="68"/>
      <c r="APU24" s="68"/>
      <c r="APV24" s="68"/>
      <c r="APW24" s="68"/>
      <c r="APX24" s="68"/>
      <c r="APY24" s="68"/>
      <c r="APZ24" s="68"/>
      <c r="AQA24" s="68"/>
      <c r="AQB24" s="68"/>
      <c r="AQC24" s="68"/>
      <c r="AQD24" s="68"/>
      <c r="AQE24" s="68"/>
      <c r="AQF24" s="68"/>
      <c r="AQG24" s="68"/>
      <c r="AQH24" s="68"/>
      <c r="AQI24" s="68"/>
      <c r="AQJ24" s="68"/>
      <c r="AQK24" s="68"/>
      <c r="AQL24" s="68"/>
      <c r="AQM24" s="68"/>
      <c r="AQN24" s="68"/>
      <c r="AQO24" s="68"/>
      <c r="AQP24" s="68"/>
      <c r="AQQ24" s="68"/>
      <c r="AQR24" s="68"/>
      <c r="AQS24" s="68"/>
      <c r="AQT24" s="68"/>
      <c r="AQU24" s="68"/>
      <c r="AQV24" s="68"/>
      <c r="AQW24" s="68"/>
      <c r="AQX24" s="68"/>
      <c r="AQY24" s="68"/>
      <c r="AQZ24" s="68"/>
      <c r="ARA24" s="68"/>
      <c r="ARB24" s="68"/>
      <c r="ARC24" s="68"/>
      <c r="ARD24" s="68"/>
      <c r="ARE24" s="68"/>
      <c r="ARF24" s="68"/>
      <c r="ARG24" s="68"/>
      <c r="ARH24" s="68"/>
      <c r="ARI24" s="68"/>
      <c r="ARJ24" s="68"/>
      <c r="ARK24" s="68"/>
      <c r="ARL24" s="68"/>
      <c r="ARM24" s="68"/>
      <c r="ARN24" s="68"/>
      <c r="ARO24" s="68"/>
      <c r="ARP24" s="68"/>
      <c r="ARQ24" s="68"/>
      <c r="ARR24" s="68"/>
      <c r="ARS24" s="68"/>
      <c r="ART24" s="68"/>
      <c r="ARU24" s="68"/>
      <c r="ARV24" s="68"/>
      <c r="ARW24" s="68"/>
      <c r="ARX24" s="68"/>
      <c r="ARY24" s="68"/>
      <c r="ARZ24" s="68"/>
      <c r="ASA24" s="68"/>
      <c r="ASB24" s="68"/>
      <c r="ASC24" s="68"/>
      <c r="ASD24" s="68"/>
      <c r="ASE24" s="68"/>
      <c r="ASF24" s="68"/>
      <c r="ASG24" s="68"/>
      <c r="ASH24" s="68"/>
      <c r="ASI24" s="68"/>
      <c r="ASJ24" s="68"/>
      <c r="ASK24" s="68"/>
      <c r="ASL24" s="68"/>
      <c r="ASM24" s="68"/>
      <c r="ASN24" s="68"/>
      <c r="ASO24" s="68"/>
      <c r="ASP24" s="68"/>
      <c r="ASQ24" s="68"/>
      <c r="ASR24" s="68"/>
      <c r="ASS24" s="68"/>
      <c r="AST24" s="68"/>
      <c r="ASU24" s="68"/>
      <c r="ASV24" s="68"/>
      <c r="ASW24" s="68"/>
      <c r="ASX24" s="68"/>
      <c r="ASY24" s="68"/>
      <c r="ASZ24" s="68"/>
      <c r="ATA24" s="68"/>
      <c r="ATB24" s="68"/>
      <c r="ATC24" s="68"/>
      <c r="ATD24" s="68"/>
      <c r="ATE24" s="68"/>
      <c r="ATF24" s="68"/>
      <c r="ATG24" s="68"/>
      <c r="ATH24" s="68"/>
      <c r="ATI24" s="68"/>
      <c r="ATJ24" s="68"/>
      <c r="ATK24" s="68"/>
      <c r="ATL24" s="68"/>
      <c r="ATM24" s="68"/>
      <c r="ATN24" s="68"/>
      <c r="ATO24" s="68"/>
      <c r="ATP24" s="68"/>
      <c r="ATQ24" s="68"/>
      <c r="ATR24" s="68"/>
      <c r="ATS24" s="68"/>
      <c r="ATT24" s="68"/>
      <c r="ATU24" s="68"/>
      <c r="ATV24" s="68"/>
      <c r="ATW24" s="68"/>
      <c r="ATX24" s="68"/>
      <c r="ATY24" s="68"/>
      <c r="ATZ24" s="68"/>
      <c r="AUA24" s="68"/>
      <c r="AUB24" s="68"/>
      <c r="AUC24" s="68"/>
      <c r="AUD24" s="68"/>
      <c r="AUE24" s="68"/>
      <c r="AUF24" s="68"/>
      <c r="AUG24" s="68"/>
      <c r="AUH24" s="68"/>
      <c r="AUI24" s="68"/>
      <c r="AUJ24" s="68"/>
      <c r="AUK24" s="68"/>
      <c r="AUL24" s="68"/>
      <c r="AUM24" s="68"/>
      <c r="AUN24" s="68"/>
      <c r="AUO24" s="68"/>
      <c r="AUP24" s="68"/>
      <c r="AUQ24" s="68"/>
      <c r="AUR24" s="68"/>
      <c r="AUS24" s="68"/>
      <c r="AUT24" s="68"/>
      <c r="AUU24" s="68"/>
      <c r="AUV24" s="68"/>
      <c r="AUW24" s="68"/>
      <c r="AUX24" s="68"/>
      <c r="AUY24" s="68"/>
      <c r="AUZ24" s="68"/>
      <c r="AVA24" s="68"/>
      <c r="AVB24" s="68"/>
      <c r="AVC24" s="68"/>
      <c r="AVD24" s="68"/>
      <c r="AVE24" s="68"/>
      <c r="AVF24" s="68"/>
      <c r="AVG24" s="68"/>
      <c r="AVH24" s="68"/>
      <c r="AVI24" s="68"/>
      <c r="AVJ24" s="68"/>
      <c r="AVK24" s="68"/>
      <c r="AVL24" s="68"/>
      <c r="AVM24" s="68"/>
      <c r="AVN24" s="68"/>
      <c r="AVO24" s="68"/>
      <c r="AVP24" s="68"/>
      <c r="AVQ24" s="68"/>
      <c r="AVR24" s="68"/>
      <c r="AVS24" s="68"/>
      <c r="AVT24" s="68"/>
      <c r="AVU24" s="68"/>
      <c r="AVV24" s="68"/>
      <c r="AVW24" s="68"/>
      <c r="AVX24" s="68"/>
      <c r="AVY24" s="68"/>
      <c r="AVZ24" s="68"/>
      <c r="AWA24" s="68"/>
      <c r="AWB24" s="68"/>
      <c r="AWC24" s="68"/>
      <c r="AWD24" s="68"/>
      <c r="AWE24" s="68"/>
      <c r="AWF24" s="68"/>
      <c r="AWG24" s="68"/>
      <c r="AWH24" s="68"/>
      <c r="AWI24" s="68"/>
      <c r="AWJ24" s="68"/>
      <c r="AWK24" s="68"/>
      <c r="AWL24" s="68"/>
      <c r="AWM24" s="68"/>
      <c r="AWN24" s="68"/>
      <c r="AWO24" s="68"/>
      <c r="AWP24" s="68"/>
      <c r="AWQ24" s="68"/>
      <c r="AWR24" s="68"/>
      <c r="AWS24" s="68"/>
      <c r="AWT24" s="68"/>
      <c r="AWU24" s="68"/>
      <c r="AWV24" s="68"/>
      <c r="AWW24" s="68"/>
      <c r="AWX24" s="68"/>
      <c r="AWY24" s="68"/>
      <c r="AWZ24" s="68"/>
      <c r="AXA24" s="68"/>
      <c r="AXB24" s="68"/>
      <c r="AXC24" s="68"/>
      <c r="AXD24" s="68"/>
      <c r="AXE24" s="68"/>
      <c r="AXF24" s="68"/>
      <c r="AXG24" s="68"/>
      <c r="AXH24" s="68"/>
      <c r="AXI24" s="68"/>
      <c r="AXJ24" s="68"/>
      <c r="AXK24" s="68"/>
      <c r="AXL24" s="68"/>
      <c r="AXM24" s="68"/>
      <c r="AXN24" s="68"/>
      <c r="AXO24" s="68"/>
      <c r="AXP24" s="68"/>
      <c r="AXQ24" s="68"/>
      <c r="AXR24" s="68"/>
      <c r="AXS24" s="68"/>
      <c r="AXT24" s="68"/>
      <c r="AXU24" s="68"/>
      <c r="AXV24" s="68"/>
      <c r="AXW24" s="68"/>
      <c r="AXX24" s="68"/>
      <c r="AXY24" s="68"/>
      <c r="AXZ24" s="68"/>
      <c r="AYA24" s="68"/>
      <c r="AYB24" s="68"/>
      <c r="AYC24" s="68"/>
      <c r="AYD24" s="68"/>
      <c r="AYE24" s="68"/>
      <c r="AYF24" s="68"/>
      <c r="AYG24" s="68"/>
      <c r="AYH24" s="68"/>
      <c r="AYI24" s="68"/>
      <c r="AYJ24" s="68"/>
      <c r="AYK24" s="68"/>
      <c r="AYL24" s="68"/>
      <c r="AYM24" s="68"/>
      <c r="AYN24" s="68"/>
      <c r="AYO24" s="68"/>
      <c r="AYP24" s="68"/>
      <c r="AYQ24" s="68"/>
      <c r="AYR24" s="68"/>
      <c r="AYS24" s="68"/>
      <c r="AYT24" s="68"/>
      <c r="AYU24" s="68"/>
      <c r="AYV24" s="68"/>
      <c r="AYW24" s="68"/>
      <c r="AYX24" s="68"/>
      <c r="AYY24" s="68"/>
      <c r="AYZ24" s="68"/>
      <c r="AZA24" s="68"/>
      <c r="AZB24" s="68"/>
      <c r="AZC24" s="68"/>
      <c r="AZD24" s="68"/>
      <c r="AZE24" s="68"/>
      <c r="AZF24" s="68"/>
      <c r="AZG24" s="68"/>
      <c r="AZH24" s="68"/>
      <c r="AZI24" s="68"/>
      <c r="AZJ24" s="68"/>
      <c r="AZK24" s="68"/>
      <c r="AZL24" s="68"/>
      <c r="AZM24" s="68"/>
      <c r="AZN24" s="68"/>
      <c r="AZO24" s="68"/>
      <c r="AZP24" s="68"/>
      <c r="AZQ24" s="68"/>
      <c r="AZR24" s="68"/>
      <c r="AZS24" s="68"/>
      <c r="AZT24" s="68"/>
      <c r="AZU24" s="68"/>
      <c r="AZV24" s="68"/>
      <c r="AZW24" s="68"/>
      <c r="AZX24" s="68"/>
      <c r="AZY24" s="68"/>
      <c r="AZZ24" s="68"/>
      <c r="BAA24" s="68"/>
      <c r="BAB24" s="68"/>
      <c r="BAC24" s="68"/>
      <c r="BAD24" s="68"/>
      <c r="BAE24" s="68"/>
      <c r="BAF24" s="68"/>
      <c r="BAG24" s="68"/>
      <c r="BAH24" s="68"/>
      <c r="BAI24" s="68"/>
      <c r="BAJ24" s="68"/>
      <c r="BAK24" s="68"/>
      <c r="BAL24" s="68"/>
      <c r="BAM24" s="68"/>
      <c r="BAN24" s="68"/>
      <c r="BAO24" s="68"/>
      <c r="BAP24" s="68"/>
      <c r="BAQ24" s="68"/>
      <c r="BAR24" s="68"/>
      <c r="BAS24" s="68"/>
      <c r="BAT24" s="68"/>
      <c r="BAU24" s="68"/>
      <c r="BAV24" s="68"/>
      <c r="BAW24" s="68"/>
      <c r="BAX24" s="68"/>
      <c r="BAY24" s="68"/>
      <c r="BAZ24" s="68"/>
      <c r="BBA24" s="68"/>
      <c r="BBB24" s="68"/>
      <c r="BBC24" s="68"/>
      <c r="BBD24" s="68"/>
      <c r="BBE24" s="68"/>
      <c r="BBF24" s="68"/>
      <c r="BBG24" s="68"/>
      <c r="BBH24" s="68"/>
      <c r="BBI24" s="68"/>
      <c r="BBJ24" s="68"/>
      <c r="BBK24" s="68"/>
      <c r="BBL24" s="68"/>
      <c r="BBM24" s="68"/>
      <c r="BBN24" s="68"/>
      <c r="BBO24" s="68"/>
      <c r="BBP24" s="68"/>
      <c r="BBQ24" s="68"/>
      <c r="BBR24" s="68"/>
      <c r="BBS24" s="68"/>
      <c r="BBT24" s="68"/>
      <c r="BBU24" s="68"/>
      <c r="BBV24" s="68"/>
      <c r="BBW24" s="68"/>
      <c r="BBX24" s="68"/>
      <c r="BBY24" s="68"/>
      <c r="BBZ24" s="68"/>
      <c r="BCA24" s="68"/>
      <c r="BCB24" s="68"/>
      <c r="BCC24" s="68"/>
      <c r="BCD24" s="68"/>
      <c r="BCE24" s="68"/>
      <c r="BCF24" s="68"/>
      <c r="BCG24" s="68"/>
      <c r="BCH24" s="68"/>
      <c r="BCI24" s="68"/>
      <c r="BCJ24" s="68"/>
      <c r="BCK24" s="68"/>
      <c r="BCL24" s="68"/>
      <c r="BCM24" s="68"/>
      <c r="BCN24" s="68"/>
      <c r="BCO24" s="68"/>
      <c r="BCP24" s="68"/>
      <c r="BCQ24" s="68"/>
      <c r="BCR24" s="68"/>
      <c r="BCS24" s="68"/>
      <c r="BCT24" s="68"/>
      <c r="BCU24" s="68"/>
      <c r="BCV24" s="68"/>
      <c r="BCW24" s="68"/>
      <c r="BCX24" s="68"/>
      <c r="BCY24" s="68"/>
      <c r="BCZ24" s="68"/>
      <c r="BDA24" s="68"/>
      <c r="BDB24" s="68"/>
      <c r="BDC24" s="68"/>
      <c r="BDD24" s="68"/>
      <c r="BDE24" s="68"/>
      <c r="BDF24" s="68"/>
      <c r="BDG24" s="68"/>
      <c r="BDH24" s="68"/>
      <c r="BDI24" s="68"/>
      <c r="BDJ24" s="68"/>
      <c r="BDK24" s="68"/>
      <c r="BDL24" s="68"/>
      <c r="BDM24" s="68"/>
      <c r="BDN24" s="68"/>
      <c r="BDO24" s="68"/>
      <c r="BDP24" s="68"/>
      <c r="BDQ24" s="68"/>
      <c r="BDR24" s="68"/>
      <c r="BDS24" s="68"/>
      <c r="BDT24" s="68"/>
      <c r="BDU24" s="68"/>
      <c r="BDV24" s="68"/>
      <c r="BDW24" s="68"/>
      <c r="BDX24" s="68"/>
      <c r="BDY24" s="68"/>
      <c r="BDZ24" s="68"/>
      <c r="BEA24" s="68"/>
      <c r="BEB24" s="68"/>
      <c r="BEC24" s="68"/>
      <c r="BED24" s="68"/>
      <c r="BEE24" s="68"/>
      <c r="BEF24" s="68"/>
      <c r="BEG24" s="68"/>
      <c r="BEH24" s="68"/>
      <c r="BEI24" s="68"/>
      <c r="BEJ24" s="68"/>
      <c r="BEK24" s="68"/>
      <c r="BEL24" s="68"/>
      <c r="BEM24" s="68"/>
      <c r="BEN24" s="68"/>
      <c r="BEO24" s="68"/>
      <c r="BEP24" s="68"/>
      <c r="BEQ24" s="68"/>
      <c r="BER24" s="68"/>
      <c r="BES24" s="68"/>
      <c r="BET24" s="68"/>
      <c r="BEU24" s="68"/>
      <c r="BEV24" s="68"/>
      <c r="BEW24" s="68"/>
      <c r="BEX24" s="68"/>
      <c r="BEY24" s="68"/>
      <c r="BEZ24" s="68"/>
      <c r="BFA24" s="68"/>
      <c r="BFB24" s="68"/>
      <c r="BFC24" s="68"/>
      <c r="BFD24" s="68"/>
      <c r="BFE24" s="68"/>
      <c r="BFF24" s="68"/>
      <c r="BFG24" s="68"/>
      <c r="BFH24" s="68"/>
      <c r="BFI24" s="68"/>
      <c r="BFJ24" s="68"/>
      <c r="BFK24" s="68"/>
      <c r="BFL24" s="68"/>
      <c r="BFM24" s="68"/>
      <c r="BFN24" s="68"/>
      <c r="BFO24" s="68"/>
      <c r="BFP24" s="68"/>
      <c r="BFQ24" s="68"/>
      <c r="BFR24" s="68"/>
      <c r="BFS24" s="68"/>
      <c r="BFT24" s="68"/>
      <c r="BFU24" s="68"/>
      <c r="BFV24" s="68"/>
      <c r="BFW24" s="68"/>
      <c r="BFX24" s="68"/>
      <c r="BFY24" s="68"/>
      <c r="BFZ24" s="68"/>
      <c r="BGA24" s="68"/>
      <c r="BGB24" s="68"/>
      <c r="BGC24" s="68"/>
      <c r="BGD24" s="68"/>
      <c r="BGE24" s="68"/>
      <c r="BGF24" s="68"/>
      <c r="BGG24" s="68"/>
      <c r="BGH24" s="68"/>
      <c r="BGI24" s="68"/>
      <c r="BGJ24" s="68"/>
      <c r="BGK24" s="68"/>
      <c r="BGL24" s="68"/>
      <c r="BGM24" s="68"/>
      <c r="BGN24" s="68"/>
      <c r="BGO24" s="68"/>
      <c r="BGP24" s="68"/>
      <c r="BGQ24" s="68"/>
      <c r="BGR24" s="68"/>
      <c r="BGS24" s="68"/>
      <c r="BGT24" s="68"/>
      <c r="BGU24" s="68"/>
      <c r="BGV24" s="68"/>
      <c r="BGW24" s="68"/>
      <c r="BGX24" s="68"/>
      <c r="BGY24" s="68"/>
      <c r="BGZ24" s="68"/>
      <c r="BHA24" s="68"/>
      <c r="BHB24" s="68"/>
      <c r="BHC24" s="68"/>
      <c r="BHD24" s="68"/>
      <c r="BHE24" s="68"/>
      <c r="BHF24" s="68"/>
      <c r="BHG24" s="68"/>
      <c r="BHH24" s="68"/>
      <c r="BHI24" s="68"/>
      <c r="BHJ24" s="68"/>
      <c r="BHK24" s="68"/>
      <c r="BHL24" s="68"/>
      <c r="BHM24" s="68"/>
      <c r="BHN24" s="68"/>
      <c r="BHO24" s="68"/>
      <c r="BHP24" s="68"/>
      <c r="BHQ24" s="68"/>
      <c r="BHR24" s="68"/>
      <c r="BHS24" s="68"/>
      <c r="BHT24" s="68"/>
      <c r="BHU24" s="68"/>
      <c r="BHV24" s="68"/>
      <c r="BHW24" s="68"/>
      <c r="BHX24" s="68"/>
      <c r="BHY24" s="68"/>
      <c r="BHZ24" s="68"/>
      <c r="BIA24" s="68"/>
      <c r="BIB24" s="68"/>
      <c r="BIC24" s="68"/>
      <c r="BID24" s="68"/>
      <c r="BIE24" s="68"/>
      <c r="BIF24" s="68"/>
      <c r="BIG24" s="68"/>
      <c r="BIH24" s="68"/>
      <c r="BII24" s="68"/>
      <c r="BIJ24" s="68"/>
      <c r="BIK24" s="68"/>
      <c r="BIL24" s="68"/>
      <c r="BIM24" s="68"/>
      <c r="BIN24" s="68"/>
      <c r="BIO24" s="68"/>
      <c r="BIP24" s="68"/>
      <c r="BIQ24" s="68"/>
      <c r="BIR24" s="68"/>
      <c r="BIS24" s="68"/>
      <c r="BIT24" s="68"/>
      <c r="BIU24" s="68"/>
      <c r="BIV24" s="68"/>
      <c r="BIW24" s="68"/>
      <c r="BIX24" s="68"/>
      <c r="BIY24" s="68"/>
      <c r="BIZ24" s="68"/>
      <c r="BJA24" s="68"/>
      <c r="BJB24" s="68"/>
      <c r="BJC24" s="68"/>
      <c r="BJD24" s="68"/>
      <c r="BJE24" s="68"/>
      <c r="BJF24" s="68"/>
      <c r="BJG24" s="68"/>
      <c r="BJH24" s="68"/>
      <c r="BJI24" s="68"/>
      <c r="BJJ24" s="68"/>
      <c r="BJK24" s="68"/>
      <c r="BJL24" s="68"/>
      <c r="BJM24" s="68"/>
      <c r="BJN24" s="68"/>
      <c r="BJO24" s="68"/>
      <c r="BJP24" s="68"/>
      <c r="BJQ24" s="68"/>
      <c r="BJR24" s="68"/>
      <c r="BJS24" s="68"/>
      <c r="BJT24" s="68"/>
      <c r="BJU24" s="68"/>
      <c r="BJV24" s="68"/>
      <c r="BJW24" s="68"/>
      <c r="BJX24" s="68"/>
      <c r="BJY24" s="68"/>
      <c r="BJZ24" s="68"/>
      <c r="BKA24" s="68"/>
      <c r="BKB24" s="68"/>
      <c r="BKC24" s="68"/>
      <c r="BKD24" s="68"/>
      <c r="BKE24" s="68"/>
      <c r="BKF24" s="68"/>
      <c r="BKG24" s="68"/>
      <c r="BKH24" s="68"/>
      <c r="BKI24" s="68"/>
      <c r="BKJ24" s="68"/>
      <c r="BKK24" s="68"/>
      <c r="BKL24" s="68"/>
      <c r="BKM24" s="68"/>
      <c r="BKN24" s="68"/>
      <c r="BKO24" s="68"/>
      <c r="BKP24" s="68"/>
      <c r="BKQ24" s="68"/>
      <c r="BKR24" s="68"/>
      <c r="BKS24" s="68"/>
      <c r="BKT24" s="68"/>
      <c r="BKU24" s="68"/>
      <c r="BKV24" s="68"/>
      <c r="BKW24" s="68"/>
      <c r="BKX24" s="68"/>
      <c r="BKY24" s="68"/>
      <c r="BKZ24" s="68"/>
      <c r="BLA24" s="68"/>
      <c r="BLB24" s="68"/>
      <c r="BLC24" s="68"/>
      <c r="BLD24" s="68"/>
      <c r="BLE24" s="68"/>
      <c r="BLF24" s="68"/>
      <c r="BLG24" s="68"/>
      <c r="BLH24" s="68"/>
      <c r="BLI24" s="68"/>
      <c r="BLJ24" s="68"/>
      <c r="BLK24" s="68"/>
      <c r="BLL24" s="68"/>
      <c r="BLM24" s="68"/>
      <c r="BLN24" s="68"/>
      <c r="BLO24" s="68"/>
      <c r="BLP24" s="68"/>
      <c r="BLQ24" s="68"/>
      <c r="BLR24" s="68"/>
      <c r="BLS24" s="68"/>
      <c r="BLT24" s="68"/>
      <c r="BLU24" s="68"/>
      <c r="BLV24" s="68"/>
      <c r="BLW24" s="68"/>
      <c r="BLX24" s="68"/>
      <c r="BLY24" s="68"/>
      <c r="BLZ24" s="68"/>
      <c r="BMA24" s="68"/>
      <c r="BMB24" s="68"/>
      <c r="BMC24" s="68"/>
      <c r="BMD24" s="68"/>
      <c r="BME24" s="68"/>
      <c r="BMF24" s="68"/>
      <c r="BMG24" s="68"/>
      <c r="BMH24" s="68"/>
      <c r="BMI24" s="68"/>
      <c r="BMJ24" s="68"/>
      <c r="BMK24" s="68"/>
      <c r="BML24" s="68"/>
      <c r="BMM24" s="68"/>
      <c r="BMN24" s="68"/>
      <c r="BMO24" s="68"/>
      <c r="BMP24" s="68"/>
      <c r="BMQ24" s="68"/>
      <c r="BMR24" s="68"/>
      <c r="BMS24" s="68"/>
      <c r="BMT24" s="68"/>
      <c r="BMU24" s="68"/>
      <c r="BMV24" s="68"/>
      <c r="BMW24" s="68"/>
      <c r="BMX24" s="68"/>
      <c r="BMY24" s="68"/>
      <c r="BMZ24" s="68"/>
      <c r="BNA24" s="68"/>
      <c r="BNB24" s="68"/>
      <c r="BNC24" s="68"/>
      <c r="BND24" s="68"/>
      <c r="BNE24" s="68"/>
      <c r="BNF24" s="68"/>
      <c r="BNG24" s="68"/>
      <c r="BNH24" s="68"/>
      <c r="BNI24" s="68"/>
      <c r="BNJ24" s="68"/>
      <c r="BNK24" s="68"/>
      <c r="BNL24" s="68"/>
      <c r="BNM24" s="68"/>
      <c r="BNN24" s="68"/>
      <c r="BNO24" s="68"/>
      <c r="BNP24" s="68"/>
      <c r="BNQ24" s="68"/>
      <c r="BNR24" s="68"/>
      <c r="BNS24" s="68"/>
      <c r="BNT24" s="68"/>
      <c r="BNU24" s="68"/>
      <c r="BNV24" s="68"/>
      <c r="BNW24" s="68"/>
      <c r="BNX24" s="68"/>
      <c r="BNY24" s="68"/>
      <c r="BNZ24" s="68"/>
      <c r="BOA24" s="68"/>
      <c r="BOB24" s="68"/>
      <c r="BOC24" s="68"/>
      <c r="BOD24" s="68"/>
      <c r="BOE24" s="68"/>
      <c r="BOF24" s="68"/>
      <c r="BOG24" s="68"/>
      <c r="BOH24" s="68"/>
      <c r="BOI24" s="68"/>
      <c r="BOJ24" s="68"/>
      <c r="BOK24" s="68"/>
      <c r="BOL24" s="68"/>
      <c r="BOM24" s="68"/>
      <c r="BON24" s="68"/>
      <c r="BOO24" s="68"/>
      <c r="BOP24" s="68"/>
      <c r="BOQ24" s="68"/>
      <c r="BOR24" s="68"/>
      <c r="BOS24" s="68"/>
      <c r="BOT24" s="68"/>
      <c r="BOU24" s="68"/>
      <c r="BOV24" s="68"/>
      <c r="BOW24" s="68"/>
      <c r="BOX24" s="68"/>
      <c r="BOY24" s="68"/>
      <c r="BOZ24" s="68"/>
      <c r="BPA24" s="68"/>
      <c r="BPB24" s="68"/>
      <c r="BPC24" s="68"/>
      <c r="BPD24" s="68"/>
      <c r="BPE24" s="68"/>
      <c r="BPF24" s="68"/>
      <c r="BPG24" s="68"/>
      <c r="BPH24" s="68"/>
      <c r="BPI24" s="68"/>
      <c r="BPJ24" s="68"/>
      <c r="BPK24" s="68"/>
      <c r="BPL24" s="68"/>
      <c r="BPM24" s="68"/>
      <c r="BPN24" s="68"/>
      <c r="BPO24" s="68"/>
      <c r="BPP24" s="68"/>
      <c r="BPQ24" s="68"/>
      <c r="BPR24" s="68"/>
      <c r="BPS24" s="68"/>
      <c r="BPT24" s="68"/>
      <c r="BPU24" s="68"/>
      <c r="BPV24" s="68"/>
      <c r="BPW24" s="68"/>
      <c r="BPX24" s="68"/>
      <c r="BPY24" s="68"/>
      <c r="BPZ24" s="68"/>
      <c r="BQA24" s="68"/>
      <c r="BQB24" s="68"/>
      <c r="BQC24" s="68"/>
      <c r="BQD24" s="68"/>
      <c r="BQE24" s="68"/>
      <c r="BQF24" s="68"/>
      <c r="BQG24" s="68"/>
      <c r="BQH24" s="68"/>
      <c r="BQI24" s="68"/>
      <c r="BQJ24" s="68"/>
      <c r="BQK24" s="68"/>
      <c r="BQL24" s="68"/>
      <c r="BQM24" s="68"/>
      <c r="BQN24" s="68"/>
      <c r="BQO24" s="68"/>
      <c r="BQP24" s="68"/>
      <c r="BQQ24" s="68"/>
      <c r="BQR24" s="68"/>
      <c r="BQS24" s="68"/>
      <c r="BQT24" s="68"/>
      <c r="BQU24" s="68"/>
      <c r="BQV24" s="68"/>
      <c r="BQW24" s="68"/>
      <c r="BQX24" s="68"/>
      <c r="BQY24" s="68"/>
      <c r="BQZ24" s="68"/>
      <c r="BRA24" s="68"/>
      <c r="BRB24" s="68"/>
      <c r="BRC24" s="68"/>
      <c r="BRD24" s="68"/>
      <c r="BRE24" s="68"/>
      <c r="BRF24" s="68"/>
      <c r="BRG24" s="68"/>
      <c r="BRH24" s="68"/>
      <c r="BRI24" s="68"/>
      <c r="BRJ24" s="68"/>
      <c r="BRK24" s="68"/>
      <c r="BRL24" s="68"/>
      <c r="BRM24" s="68"/>
      <c r="BRN24" s="68"/>
      <c r="BRO24" s="68"/>
      <c r="BRP24" s="68"/>
      <c r="BRQ24" s="68"/>
      <c r="BRR24" s="68"/>
      <c r="BRS24" s="68"/>
      <c r="BRT24" s="68"/>
      <c r="BRU24" s="68"/>
      <c r="BRV24" s="68"/>
      <c r="BRW24" s="68"/>
      <c r="BRX24" s="68"/>
      <c r="BRY24" s="68"/>
      <c r="BRZ24" s="68"/>
      <c r="BSA24" s="68"/>
      <c r="BSB24" s="68"/>
      <c r="BSC24" s="68"/>
      <c r="BSD24" s="68"/>
      <c r="BSE24" s="68"/>
      <c r="BSF24" s="68"/>
      <c r="BSG24" s="68"/>
      <c r="BSH24" s="68"/>
      <c r="BSI24" s="68"/>
      <c r="BSJ24" s="68"/>
      <c r="BSK24" s="68"/>
      <c r="BSL24" s="68"/>
      <c r="BSM24" s="68"/>
      <c r="BSN24" s="68"/>
      <c r="BSO24" s="68"/>
      <c r="BSP24" s="68"/>
      <c r="BSQ24" s="68"/>
      <c r="BSR24" s="68"/>
      <c r="BSS24" s="68"/>
      <c r="BST24" s="68"/>
      <c r="BSU24" s="68"/>
      <c r="BSV24" s="68"/>
      <c r="BSW24" s="68"/>
      <c r="BSX24" s="68"/>
      <c r="BSY24" s="68"/>
      <c r="BSZ24" s="68"/>
      <c r="BTA24" s="68"/>
      <c r="BTB24" s="68"/>
      <c r="BTC24" s="68"/>
      <c r="BTD24" s="68"/>
      <c r="BTE24" s="68"/>
      <c r="BTF24" s="68"/>
      <c r="BTG24" s="68"/>
      <c r="BTH24" s="68"/>
      <c r="BTI24" s="68"/>
      <c r="BTJ24" s="68"/>
      <c r="BTK24" s="68"/>
      <c r="BTL24" s="68"/>
      <c r="BTM24" s="68"/>
      <c r="BTN24" s="68"/>
      <c r="BTO24" s="68"/>
      <c r="BTP24" s="68"/>
      <c r="BTQ24" s="68"/>
      <c r="BTR24" s="68"/>
      <c r="BTS24" s="68"/>
      <c r="BTT24" s="68"/>
      <c r="BTU24" s="68"/>
      <c r="BTV24" s="68"/>
      <c r="BTW24" s="68"/>
      <c r="BTX24" s="68"/>
      <c r="BTY24" s="68"/>
      <c r="BTZ24" s="68"/>
      <c r="BUA24" s="68"/>
      <c r="BUB24" s="68"/>
      <c r="BUC24" s="68"/>
      <c r="BUD24" s="68"/>
      <c r="BUE24" s="68"/>
      <c r="BUF24" s="68"/>
      <c r="BUG24" s="68"/>
      <c r="BUH24" s="68"/>
      <c r="BUI24" s="68"/>
      <c r="BUJ24" s="68"/>
      <c r="BUK24" s="68"/>
      <c r="BUL24" s="68"/>
      <c r="BUM24" s="68"/>
      <c r="BUN24" s="68"/>
      <c r="BUO24" s="68"/>
      <c r="BUP24" s="68"/>
      <c r="BUQ24" s="68"/>
      <c r="BUR24" s="68"/>
      <c r="BUS24" s="68"/>
      <c r="BUT24" s="68"/>
      <c r="BUU24" s="68"/>
      <c r="BUV24" s="68"/>
      <c r="BUW24" s="68"/>
      <c r="BUX24" s="68"/>
      <c r="BUY24" s="68"/>
      <c r="BUZ24" s="68"/>
      <c r="BVA24" s="68"/>
      <c r="BVB24" s="68"/>
      <c r="BVC24" s="68"/>
      <c r="BVD24" s="68"/>
      <c r="BVE24" s="68"/>
      <c r="BVF24" s="68"/>
      <c r="BVG24" s="68"/>
      <c r="BVH24" s="68"/>
      <c r="BVI24" s="68"/>
      <c r="BVJ24" s="68"/>
      <c r="BVK24" s="68"/>
      <c r="BVL24" s="68"/>
      <c r="BVM24" s="68"/>
      <c r="BVN24" s="68"/>
      <c r="BVO24" s="68"/>
      <c r="BVP24" s="68"/>
      <c r="BVQ24" s="68"/>
      <c r="BVR24" s="68"/>
      <c r="BVS24" s="68"/>
      <c r="BVT24" s="68"/>
      <c r="BVU24" s="68"/>
      <c r="BVV24" s="68"/>
      <c r="BVW24" s="68"/>
      <c r="BVX24" s="68"/>
      <c r="BVY24" s="68"/>
      <c r="BVZ24" s="68"/>
      <c r="BWA24" s="68"/>
      <c r="BWB24" s="68"/>
      <c r="BWC24" s="68"/>
      <c r="BWD24" s="68"/>
      <c r="BWE24" s="68"/>
      <c r="BWF24" s="68"/>
      <c r="BWG24" s="68"/>
      <c r="BWH24" s="68"/>
      <c r="BWI24" s="68"/>
      <c r="BWJ24" s="68"/>
      <c r="BWK24" s="68"/>
      <c r="BWL24" s="68"/>
      <c r="BWM24" s="68"/>
      <c r="BWN24" s="68"/>
      <c r="BWO24" s="68"/>
      <c r="BWP24" s="68"/>
      <c r="BWQ24" s="68"/>
      <c r="BWR24" s="68"/>
      <c r="BWS24" s="68"/>
      <c r="BWT24" s="68"/>
      <c r="BWU24" s="68"/>
      <c r="BWV24" s="68"/>
      <c r="BWW24" s="68"/>
      <c r="BWX24" s="68"/>
      <c r="BWY24" s="68"/>
      <c r="BWZ24" s="68"/>
      <c r="BXA24" s="68"/>
      <c r="BXB24" s="68"/>
      <c r="BXC24" s="68"/>
      <c r="BXD24" s="68"/>
      <c r="BXE24" s="68"/>
      <c r="BXF24" s="68"/>
      <c r="BXG24" s="68"/>
      <c r="BXH24" s="68"/>
      <c r="BXI24" s="68"/>
      <c r="BXJ24" s="68"/>
      <c r="BXK24" s="68"/>
      <c r="BXL24" s="68"/>
      <c r="BXM24" s="68"/>
      <c r="BXN24" s="68"/>
      <c r="BXO24" s="68"/>
      <c r="BXP24" s="68"/>
      <c r="BXQ24" s="68"/>
      <c r="BXR24" s="68"/>
      <c r="BXS24" s="68"/>
      <c r="BXT24" s="68"/>
      <c r="BXU24" s="68"/>
      <c r="BXV24" s="68"/>
      <c r="BXW24" s="68"/>
      <c r="BXX24" s="68"/>
      <c r="BXY24" s="68"/>
      <c r="BXZ24" s="68"/>
      <c r="BYA24" s="68"/>
      <c r="BYB24" s="68"/>
      <c r="BYC24" s="68"/>
      <c r="BYD24" s="68"/>
      <c r="BYE24" s="68"/>
      <c r="BYF24" s="68"/>
      <c r="BYG24" s="68"/>
      <c r="BYH24" s="68"/>
      <c r="BYI24" s="68"/>
      <c r="BYJ24" s="68"/>
      <c r="BYK24" s="68"/>
      <c r="BYL24" s="68"/>
      <c r="BYM24" s="68"/>
      <c r="BYN24" s="68"/>
      <c r="BYO24" s="68"/>
      <c r="BYP24" s="68"/>
      <c r="BYQ24" s="68"/>
      <c r="BYR24" s="68"/>
      <c r="BYS24" s="68"/>
      <c r="BYT24" s="68"/>
      <c r="BYU24" s="68"/>
      <c r="BYV24" s="68"/>
      <c r="BYW24" s="68"/>
      <c r="BYX24" s="68"/>
      <c r="BYY24" s="68"/>
      <c r="BYZ24" s="68"/>
      <c r="BZA24" s="68"/>
      <c r="BZB24" s="68"/>
      <c r="BZC24" s="68"/>
      <c r="BZD24" s="68"/>
      <c r="BZE24" s="68"/>
      <c r="BZF24" s="68"/>
      <c r="BZG24" s="68"/>
      <c r="BZH24" s="68"/>
      <c r="BZI24" s="68"/>
      <c r="BZJ24" s="68"/>
      <c r="BZK24" s="68"/>
      <c r="BZL24" s="68"/>
      <c r="BZM24" s="68"/>
      <c r="BZN24" s="68"/>
      <c r="BZO24" s="68"/>
      <c r="BZP24" s="68"/>
      <c r="BZQ24" s="68"/>
      <c r="BZR24" s="68"/>
      <c r="BZS24" s="68"/>
      <c r="BZT24" s="68"/>
      <c r="BZU24" s="68"/>
      <c r="BZV24" s="68"/>
      <c r="BZW24" s="68"/>
      <c r="BZX24" s="68"/>
      <c r="BZY24" s="68"/>
      <c r="BZZ24" s="68"/>
      <c r="CAA24" s="68"/>
      <c r="CAB24" s="68"/>
      <c r="CAC24" s="68"/>
      <c r="CAD24" s="68"/>
      <c r="CAE24" s="68"/>
      <c r="CAF24" s="68"/>
      <c r="CAG24" s="68"/>
      <c r="CAH24" s="68"/>
      <c r="CAI24" s="68"/>
      <c r="CAJ24" s="68"/>
      <c r="CAK24" s="68"/>
      <c r="CAL24" s="68"/>
      <c r="CAM24" s="68"/>
      <c r="CAN24" s="68"/>
      <c r="CAO24" s="68"/>
      <c r="CAP24" s="68"/>
      <c r="CAQ24" s="68"/>
      <c r="CAR24" s="68"/>
      <c r="CAS24" s="68"/>
      <c r="CAT24" s="68"/>
      <c r="CAU24" s="68"/>
      <c r="CAV24" s="68"/>
      <c r="CAW24" s="68"/>
      <c r="CAX24" s="68"/>
      <c r="CAY24" s="68"/>
      <c r="CAZ24" s="68"/>
      <c r="CBA24" s="68"/>
      <c r="CBB24" s="68"/>
      <c r="CBC24" s="68"/>
      <c r="CBD24" s="68"/>
      <c r="CBE24" s="68"/>
      <c r="CBF24" s="68"/>
      <c r="CBG24" s="68"/>
      <c r="CBH24" s="68"/>
      <c r="CBI24" s="68"/>
      <c r="CBJ24" s="68"/>
      <c r="CBK24" s="68"/>
      <c r="CBL24" s="68"/>
      <c r="CBM24" s="68"/>
      <c r="CBN24" s="68"/>
      <c r="CBO24" s="68"/>
      <c r="CBP24" s="68"/>
      <c r="CBQ24" s="68"/>
      <c r="CBR24" s="68"/>
      <c r="CBS24" s="68"/>
      <c r="CBT24" s="68"/>
      <c r="CBU24" s="68"/>
      <c r="CBV24" s="68"/>
      <c r="CBW24" s="68"/>
      <c r="CBX24" s="68"/>
      <c r="CBY24" s="68"/>
      <c r="CBZ24" s="68"/>
      <c r="CCA24" s="68"/>
      <c r="CCB24" s="68"/>
      <c r="CCC24" s="68"/>
      <c r="CCD24" s="68"/>
      <c r="CCE24" s="68"/>
      <c r="CCF24" s="68"/>
      <c r="CCG24" s="68"/>
      <c r="CCH24" s="68"/>
      <c r="CCI24" s="68"/>
      <c r="CCJ24" s="68"/>
      <c r="CCK24" s="68"/>
      <c r="CCL24" s="68"/>
      <c r="CCM24" s="68"/>
      <c r="CCN24" s="68"/>
      <c r="CCO24" s="68"/>
      <c r="CCP24" s="68"/>
      <c r="CCQ24" s="68"/>
      <c r="CCR24" s="68"/>
      <c r="CCS24" s="68"/>
      <c r="CCT24" s="68"/>
      <c r="CCU24" s="68"/>
      <c r="CCV24" s="68"/>
      <c r="CCW24" s="68"/>
      <c r="CCX24" s="68"/>
      <c r="CCY24" s="68"/>
      <c r="CCZ24" s="68"/>
      <c r="CDA24" s="68"/>
      <c r="CDB24" s="68"/>
      <c r="CDC24" s="68"/>
      <c r="CDD24" s="68"/>
      <c r="CDE24" s="68"/>
      <c r="CDF24" s="68"/>
      <c r="CDG24" s="68"/>
      <c r="CDH24" s="68"/>
      <c r="CDI24" s="68"/>
      <c r="CDJ24" s="68"/>
      <c r="CDK24" s="68"/>
      <c r="CDL24" s="68"/>
      <c r="CDM24" s="68"/>
      <c r="CDN24" s="68"/>
      <c r="CDO24" s="68"/>
      <c r="CDP24" s="68"/>
      <c r="CDQ24" s="68"/>
      <c r="CDR24" s="68"/>
      <c r="CDS24" s="68"/>
      <c r="CDT24" s="68"/>
      <c r="CDU24" s="68"/>
      <c r="CDV24" s="68"/>
      <c r="CDW24" s="68"/>
      <c r="CDX24" s="68"/>
      <c r="CDY24" s="68"/>
      <c r="CDZ24" s="68"/>
      <c r="CEA24" s="68"/>
      <c r="CEB24" s="68"/>
      <c r="CEC24" s="68"/>
      <c r="CED24" s="68"/>
      <c r="CEE24" s="68"/>
      <c r="CEF24" s="68"/>
      <c r="CEG24" s="68"/>
      <c r="CEH24" s="68"/>
      <c r="CEI24" s="68"/>
      <c r="CEJ24" s="68"/>
      <c r="CEK24" s="68"/>
      <c r="CEL24" s="68"/>
      <c r="CEM24" s="68"/>
      <c r="CEN24" s="68"/>
      <c r="CEO24" s="68"/>
      <c r="CEP24" s="68"/>
      <c r="CEQ24" s="68"/>
      <c r="CER24" s="68"/>
      <c r="CES24" s="68"/>
      <c r="CET24" s="68"/>
      <c r="CEU24" s="68"/>
      <c r="CEV24" s="68"/>
      <c r="CEW24" s="68"/>
      <c r="CEX24" s="68"/>
      <c r="CEY24" s="68"/>
      <c r="CEZ24" s="68"/>
      <c r="CFA24" s="68"/>
      <c r="CFB24" s="68"/>
      <c r="CFC24" s="68"/>
      <c r="CFD24" s="68"/>
      <c r="CFE24" s="68"/>
      <c r="CFF24" s="68"/>
      <c r="CFG24" s="68"/>
      <c r="CFH24" s="68"/>
      <c r="CFI24" s="68"/>
      <c r="CFJ24" s="68"/>
      <c r="CFK24" s="68"/>
      <c r="CFL24" s="68"/>
      <c r="CFM24" s="68"/>
      <c r="CFN24" s="68"/>
      <c r="CFO24" s="68"/>
      <c r="CFP24" s="68"/>
      <c r="CFQ24" s="68"/>
      <c r="CFR24" s="68"/>
      <c r="CFS24" s="68"/>
      <c r="CFT24" s="68"/>
      <c r="CFU24" s="68"/>
      <c r="CFV24" s="68"/>
      <c r="CFW24" s="68"/>
      <c r="CFX24" s="68"/>
      <c r="CFY24" s="68"/>
      <c r="CFZ24" s="68"/>
      <c r="CGA24" s="68"/>
      <c r="CGB24" s="68"/>
      <c r="CGC24" s="68"/>
      <c r="CGD24" s="68"/>
      <c r="CGE24" s="68"/>
      <c r="CGF24" s="68"/>
      <c r="CGG24" s="68"/>
      <c r="CGH24" s="68"/>
      <c r="CGI24" s="68"/>
      <c r="CGJ24" s="68"/>
      <c r="CGK24" s="68"/>
      <c r="CGL24" s="68"/>
      <c r="CGM24" s="68"/>
      <c r="CGN24" s="68"/>
      <c r="CGO24" s="68"/>
      <c r="CGP24" s="68"/>
      <c r="CGQ24" s="68"/>
      <c r="CGR24" s="68"/>
      <c r="CGS24" s="68"/>
      <c r="CGT24" s="68"/>
      <c r="CGU24" s="68"/>
      <c r="CGV24" s="68"/>
      <c r="CGW24" s="68"/>
      <c r="CGX24" s="68"/>
      <c r="CGY24" s="68"/>
      <c r="CGZ24" s="68"/>
      <c r="CHA24" s="68"/>
      <c r="CHB24" s="68"/>
      <c r="CHC24" s="68"/>
      <c r="CHD24" s="68"/>
      <c r="CHE24" s="68"/>
      <c r="CHF24" s="68"/>
      <c r="CHG24" s="68"/>
      <c r="CHH24" s="68"/>
      <c r="CHI24" s="68"/>
      <c r="CHJ24" s="68"/>
      <c r="CHK24" s="68"/>
      <c r="CHL24" s="68"/>
      <c r="CHM24" s="68"/>
      <c r="CHN24" s="68"/>
      <c r="CHO24" s="68"/>
      <c r="CHP24" s="68"/>
      <c r="CHQ24" s="68"/>
      <c r="CHR24" s="68"/>
      <c r="CHS24" s="68"/>
      <c r="CHT24" s="68"/>
      <c r="CHU24" s="68"/>
      <c r="CHV24" s="68"/>
      <c r="CHW24" s="68"/>
      <c r="CHX24" s="68"/>
      <c r="CHY24" s="68"/>
      <c r="CHZ24" s="68"/>
      <c r="CIA24" s="68"/>
      <c r="CIB24" s="68"/>
      <c r="CIC24" s="68"/>
      <c r="CID24" s="68"/>
      <c r="CIE24" s="68"/>
      <c r="CIF24" s="68"/>
      <c r="CIG24" s="68"/>
      <c r="CIH24" s="68"/>
      <c r="CII24" s="68"/>
      <c r="CIJ24" s="68"/>
      <c r="CIK24" s="68"/>
      <c r="CIL24" s="68"/>
      <c r="CIM24" s="68"/>
      <c r="CIN24" s="68"/>
      <c r="CIO24" s="68"/>
      <c r="CIP24" s="68"/>
      <c r="CIQ24" s="68"/>
      <c r="CIR24" s="68"/>
      <c r="CIS24" s="68"/>
      <c r="CIT24" s="68"/>
      <c r="CIU24" s="68"/>
      <c r="CIV24" s="68"/>
      <c r="CIW24" s="68"/>
      <c r="CIX24" s="68"/>
      <c r="CIY24" s="68"/>
      <c r="CIZ24" s="68"/>
      <c r="CJA24" s="68"/>
      <c r="CJB24" s="68"/>
      <c r="CJC24" s="68"/>
      <c r="CJD24" s="68"/>
      <c r="CJE24" s="68"/>
      <c r="CJF24" s="68"/>
      <c r="CJG24" s="68"/>
      <c r="CJH24" s="68"/>
      <c r="CJI24" s="68"/>
      <c r="CJJ24" s="68"/>
      <c r="CJK24" s="68"/>
      <c r="CJL24" s="68"/>
      <c r="CJM24" s="68"/>
      <c r="CJN24" s="68"/>
      <c r="CJO24" s="68"/>
      <c r="CJP24" s="68"/>
      <c r="CJQ24" s="68"/>
      <c r="CJR24" s="68"/>
      <c r="CJS24" s="68"/>
      <c r="CJT24" s="68"/>
      <c r="CJU24" s="68"/>
      <c r="CJV24" s="68"/>
      <c r="CJW24" s="68"/>
      <c r="CJX24" s="68"/>
      <c r="CJY24" s="68"/>
      <c r="CJZ24" s="68"/>
      <c r="CKA24" s="68"/>
      <c r="CKB24" s="68"/>
      <c r="CKC24" s="68"/>
      <c r="CKD24" s="68"/>
      <c r="CKE24" s="68"/>
      <c r="CKF24" s="68"/>
      <c r="CKG24" s="68"/>
      <c r="CKH24" s="68"/>
      <c r="CKI24" s="68"/>
      <c r="CKJ24" s="68"/>
      <c r="CKK24" s="68"/>
      <c r="CKL24" s="68"/>
      <c r="CKM24" s="68"/>
      <c r="CKN24" s="68"/>
      <c r="CKO24" s="68"/>
      <c r="CKP24" s="68"/>
      <c r="CKQ24" s="68"/>
      <c r="CKR24" s="68"/>
      <c r="CKS24" s="68"/>
      <c r="CKT24" s="68"/>
      <c r="CKU24" s="68"/>
      <c r="CKV24" s="68"/>
      <c r="CKW24" s="68"/>
      <c r="CKX24" s="68"/>
      <c r="CKY24" s="68"/>
      <c r="CKZ24" s="68"/>
      <c r="CLA24" s="68"/>
      <c r="CLB24" s="68"/>
      <c r="CLC24" s="68"/>
      <c r="CLD24" s="68"/>
      <c r="CLE24" s="68"/>
      <c r="CLF24" s="68"/>
      <c r="CLG24" s="68"/>
      <c r="CLH24" s="68"/>
      <c r="CLI24" s="68"/>
      <c r="CLJ24" s="68"/>
      <c r="CLK24" s="68"/>
      <c r="CLL24" s="68"/>
      <c r="CLM24" s="68"/>
      <c r="CLN24" s="68"/>
      <c r="CLO24" s="68"/>
      <c r="CLP24" s="68"/>
      <c r="CLQ24" s="68"/>
      <c r="CLR24" s="68"/>
      <c r="CLS24" s="68"/>
      <c r="CLT24" s="68"/>
      <c r="CLU24" s="68"/>
      <c r="CLV24" s="68"/>
      <c r="CLW24" s="68"/>
      <c r="CLX24" s="68"/>
      <c r="CLY24" s="68"/>
      <c r="CLZ24" s="68"/>
      <c r="CMA24" s="68"/>
      <c r="CMB24" s="68"/>
      <c r="CMC24" s="68"/>
      <c r="CMD24" s="68"/>
      <c r="CME24" s="68"/>
      <c r="CMF24" s="68"/>
      <c r="CMG24" s="68"/>
      <c r="CMH24" s="68"/>
      <c r="CMI24" s="68"/>
      <c r="CMJ24" s="68"/>
      <c r="CMK24" s="68"/>
      <c r="CML24" s="68"/>
      <c r="CMM24" s="68"/>
      <c r="CMN24" s="68"/>
      <c r="CMO24" s="68"/>
      <c r="CMP24" s="68"/>
      <c r="CMQ24" s="68"/>
      <c r="CMR24" s="68"/>
      <c r="CMS24" s="68"/>
      <c r="CMT24" s="68"/>
      <c r="CMU24" s="68"/>
      <c r="CMV24" s="68"/>
      <c r="CMW24" s="68"/>
      <c r="CMX24" s="68"/>
      <c r="CMY24" s="68"/>
      <c r="CMZ24" s="68"/>
      <c r="CNA24" s="68"/>
      <c r="CNB24" s="68"/>
      <c r="CNC24" s="68"/>
      <c r="CND24" s="68"/>
      <c r="CNE24" s="68"/>
      <c r="CNF24" s="68"/>
      <c r="CNG24" s="68"/>
      <c r="CNH24" s="68"/>
      <c r="CNI24" s="68"/>
      <c r="CNJ24" s="68"/>
      <c r="CNK24" s="68"/>
      <c r="CNL24" s="68"/>
      <c r="CNM24" s="68"/>
      <c r="CNN24" s="68"/>
      <c r="CNO24" s="68"/>
      <c r="CNP24" s="68"/>
      <c r="CNQ24" s="68"/>
      <c r="CNR24" s="68"/>
      <c r="CNS24" s="68"/>
      <c r="CNT24" s="68"/>
      <c r="CNU24" s="68"/>
      <c r="CNV24" s="68"/>
      <c r="CNW24" s="68"/>
      <c r="CNX24" s="68"/>
      <c r="CNY24" s="68"/>
      <c r="CNZ24" s="68"/>
      <c r="COA24" s="68"/>
      <c r="COB24" s="68"/>
      <c r="COC24" s="68"/>
      <c r="COD24" s="68"/>
      <c r="COE24" s="68"/>
      <c r="COF24" s="68"/>
      <c r="COG24" s="68"/>
      <c r="COH24" s="68"/>
      <c r="COI24" s="68"/>
      <c r="COJ24" s="68"/>
      <c r="COK24" s="68"/>
      <c r="COL24" s="68"/>
      <c r="COM24" s="68"/>
      <c r="CON24" s="68"/>
      <c r="COO24" s="68"/>
      <c r="COP24" s="68"/>
      <c r="COQ24" s="68"/>
      <c r="COR24" s="68"/>
      <c r="COS24" s="68"/>
      <c r="COT24" s="68"/>
      <c r="COU24" s="68"/>
      <c r="COV24" s="68"/>
      <c r="COW24" s="68"/>
      <c r="COX24" s="68"/>
      <c r="COY24" s="68"/>
      <c r="COZ24" s="68"/>
      <c r="CPA24" s="68"/>
      <c r="CPB24" s="68"/>
      <c r="CPC24" s="68"/>
      <c r="CPD24" s="68"/>
      <c r="CPE24" s="68"/>
      <c r="CPF24" s="68"/>
      <c r="CPG24" s="68"/>
      <c r="CPH24" s="68"/>
      <c r="CPI24" s="68"/>
      <c r="CPJ24" s="68"/>
      <c r="CPK24" s="68"/>
      <c r="CPL24" s="68"/>
      <c r="CPM24" s="68"/>
      <c r="CPN24" s="68"/>
      <c r="CPO24" s="68"/>
      <c r="CPP24" s="68"/>
      <c r="CPQ24" s="68"/>
      <c r="CPR24" s="68"/>
      <c r="CPS24" s="68"/>
      <c r="CPT24" s="68"/>
      <c r="CPU24" s="68"/>
      <c r="CPV24" s="68"/>
      <c r="CPW24" s="68"/>
      <c r="CPX24" s="68"/>
      <c r="CPY24" s="68"/>
      <c r="CPZ24" s="68"/>
      <c r="CQA24" s="68"/>
      <c r="CQB24" s="68"/>
      <c r="CQC24" s="68"/>
      <c r="CQD24" s="68"/>
      <c r="CQE24" s="68"/>
      <c r="CQF24" s="68"/>
      <c r="CQG24" s="68"/>
      <c r="CQH24" s="68"/>
      <c r="CQI24" s="68"/>
      <c r="CQJ24" s="68"/>
      <c r="CQK24" s="68"/>
      <c r="CQL24" s="68"/>
      <c r="CQM24" s="68"/>
      <c r="CQN24" s="68"/>
      <c r="CQO24" s="68"/>
      <c r="CQP24" s="68"/>
      <c r="CQQ24" s="68"/>
      <c r="CQR24" s="68"/>
      <c r="CQS24" s="68"/>
      <c r="CQT24" s="68"/>
      <c r="CQU24" s="68"/>
      <c r="CQV24" s="68"/>
      <c r="CQW24" s="68"/>
      <c r="CQX24" s="68"/>
      <c r="CQY24" s="68"/>
      <c r="CQZ24" s="68"/>
      <c r="CRA24" s="68"/>
      <c r="CRB24" s="68"/>
      <c r="CRC24" s="68"/>
      <c r="CRD24" s="68"/>
      <c r="CRE24" s="68"/>
      <c r="CRF24" s="68"/>
      <c r="CRG24" s="68"/>
      <c r="CRH24" s="68"/>
      <c r="CRI24" s="68"/>
      <c r="CRJ24" s="68"/>
      <c r="CRK24" s="68"/>
      <c r="CRL24" s="68"/>
      <c r="CRM24" s="68"/>
      <c r="CRN24" s="68"/>
      <c r="CRO24" s="68"/>
      <c r="CRP24" s="68"/>
      <c r="CRQ24" s="68"/>
      <c r="CRR24" s="68"/>
      <c r="CRS24" s="68"/>
      <c r="CRT24" s="68"/>
      <c r="CRU24" s="68"/>
      <c r="CRV24" s="68"/>
      <c r="CRW24" s="68"/>
      <c r="CRX24" s="68"/>
      <c r="CRY24" s="68"/>
      <c r="CRZ24" s="68"/>
      <c r="CSA24" s="68"/>
      <c r="CSB24" s="68"/>
      <c r="CSC24" s="68"/>
      <c r="CSD24" s="68"/>
      <c r="CSE24" s="68"/>
      <c r="CSF24" s="68"/>
      <c r="CSG24" s="68"/>
      <c r="CSH24" s="68"/>
      <c r="CSI24" s="68"/>
      <c r="CSJ24" s="68"/>
      <c r="CSK24" s="68"/>
      <c r="CSL24" s="68"/>
      <c r="CSM24" s="68"/>
      <c r="CSN24" s="68"/>
      <c r="CSO24" s="68"/>
      <c r="CSP24" s="68"/>
      <c r="CSQ24" s="68"/>
      <c r="CSR24" s="68"/>
      <c r="CSS24" s="68"/>
      <c r="CST24" s="68"/>
      <c r="CSU24" s="68"/>
      <c r="CSV24" s="68"/>
      <c r="CSW24" s="68"/>
      <c r="CSX24" s="68"/>
      <c r="CSY24" s="68"/>
      <c r="CSZ24" s="68"/>
      <c r="CTA24" s="68"/>
      <c r="CTB24" s="68"/>
      <c r="CTC24" s="68"/>
      <c r="CTD24" s="68"/>
      <c r="CTE24" s="68"/>
      <c r="CTF24" s="68"/>
      <c r="CTG24" s="68"/>
      <c r="CTH24" s="68"/>
      <c r="CTI24" s="68"/>
      <c r="CTJ24" s="68"/>
      <c r="CTK24" s="68"/>
      <c r="CTL24" s="68"/>
      <c r="CTM24" s="68"/>
      <c r="CTN24" s="68"/>
      <c r="CTO24" s="68"/>
      <c r="CTP24" s="68"/>
      <c r="CTQ24" s="68"/>
      <c r="CTR24" s="68"/>
      <c r="CTS24" s="68"/>
      <c r="CTT24" s="68"/>
      <c r="CTU24" s="68"/>
      <c r="CTV24" s="68"/>
      <c r="CTW24" s="68"/>
      <c r="CTX24" s="68"/>
      <c r="CTY24" s="68"/>
      <c r="CTZ24" s="68"/>
      <c r="CUA24" s="68"/>
      <c r="CUB24" s="68"/>
      <c r="CUC24" s="68"/>
      <c r="CUD24" s="68"/>
      <c r="CUE24" s="68"/>
      <c r="CUF24" s="68"/>
      <c r="CUG24" s="68"/>
      <c r="CUH24" s="68"/>
      <c r="CUI24" s="68"/>
      <c r="CUJ24" s="68"/>
      <c r="CUK24" s="68"/>
      <c r="CUL24" s="68"/>
      <c r="CUM24" s="68"/>
      <c r="CUN24" s="68"/>
      <c r="CUO24" s="68"/>
      <c r="CUP24" s="68"/>
      <c r="CUQ24" s="68"/>
      <c r="CUR24" s="68"/>
      <c r="CUS24" s="68"/>
      <c r="CUT24" s="68"/>
      <c r="CUU24" s="68"/>
      <c r="CUV24" s="68"/>
      <c r="CUW24" s="68"/>
      <c r="CUX24" s="68"/>
      <c r="CUY24" s="68"/>
      <c r="CUZ24" s="68"/>
      <c r="CVA24" s="68"/>
      <c r="CVB24" s="68"/>
      <c r="CVC24" s="68"/>
      <c r="CVD24" s="68"/>
      <c r="CVE24" s="68"/>
      <c r="CVF24" s="68"/>
      <c r="CVG24" s="68"/>
      <c r="CVH24" s="68"/>
      <c r="CVI24" s="68"/>
      <c r="CVJ24" s="68"/>
      <c r="CVK24" s="68"/>
      <c r="CVL24" s="68"/>
      <c r="CVM24" s="68"/>
      <c r="CVN24" s="68"/>
      <c r="CVO24" s="68"/>
      <c r="CVP24" s="68"/>
      <c r="CVQ24" s="68"/>
      <c r="CVR24" s="68"/>
      <c r="CVS24" s="68"/>
      <c r="CVT24" s="68"/>
      <c r="CVU24" s="68"/>
      <c r="CVV24" s="68"/>
      <c r="CVW24" s="68"/>
      <c r="CVX24" s="68"/>
      <c r="CVY24" s="68"/>
      <c r="CVZ24" s="68"/>
      <c r="CWA24" s="68"/>
      <c r="CWB24" s="68"/>
      <c r="CWC24" s="68"/>
      <c r="CWD24" s="68"/>
      <c r="CWE24" s="68"/>
      <c r="CWF24" s="68"/>
      <c r="CWG24" s="68"/>
      <c r="CWH24" s="68"/>
      <c r="CWI24" s="68"/>
      <c r="CWJ24" s="68"/>
      <c r="CWK24" s="68"/>
      <c r="CWL24" s="68"/>
      <c r="CWM24" s="68"/>
      <c r="CWN24" s="68"/>
      <c r="CWO24" s="68"/>
      <c r="CWP24" s="68"/>
      <c r="CWQ24" s="68"/>
      <c r="CWR24" s="68"/>
      <c r="CWS24" s="68"/>
      <c r="CWT24" s="68"/>
      <c r="CWU24" s="68"/>
      <c r="CWV24" s="68"/>
      <c r="CWW24" s="68"/>
      <c r="CWX24" s="68"/>
      <c r="CWY24" s="68"/>
      <c r="CWZ24" s="68"/>
      <c r="CXA24" s="68"/>
      <c r="CXB24" s="68"/>
      <c r="CXC24" s="68"/>
      <c r="CXD24" s="68"/>
      <c r="CXE24" s="68"/>
      <c r="CXF24" s="68"/>
      <c r="CXG24" s="68"/>
      <c r="CXH24" s="68"/>
      <c r="CXI24" s="68"/>
      <c r="CXJ24" s="68"/>
      <c r="CXK24" s="68"/>
      <c r="CXL24" s="68"/>
      <c r="CXM24" s="68"/>
      <c r="CXN24" s="68"/>
      <c r="CXO24" s="68"/>
      <c r="CXP24" s="68"/>
      <c r="CXQ24" s="68"/>
      <c r="CXR24" s="68"/>
      <c r="CXS24" s="68"/>
      <c r="CXT24" s="68"/>
      <c r="CXU24" s="68"/>
      <c r="CXV24" s="68"/>
      <c r="CXW24" s="68"/>
      <c r="CXX24" s="68"/>
      <c r="CXY24" s="68"/>
      <c r="CXZ24" s="68"/>
      <c r="CYA24" s="68"/>
      <c r="CYB24" s="68"/>
      <c r="CYC24" s="68"/>
      <c r="CYD24" s="68"/>
      <c r="CYE24" s="68"/>
      <c r="CYF24" s="68"/>
      <c r="CYG24" s="68"/>
      <c r="CYH24" s="68"/>
      <c r="CYI24" s="68"/>
      <c r="CYJ24" s="68"/>
      <c r="CYK24" s="68"/>
      <c r="CYL24" s="68"/>
      <c r="CYM24" s="68"/>
      <c r="CYN24" s="68"/>
      <c r="CYO24" s="68"/>
      <c r="CYP24" s="68"/>
      <c r="CYQ24" s="68"/>
      <c r="CYR24" s="68"/>
      <c r="CYS24" s="68"/>
      <c r="CYT24" s="68"/>
      <c r="CYU24" s="68"/>
      <c r="CYV24" s="68"/>
      <c r="CYW24" s="68"/>
      <c r="CYX24" s="68"/>
      <c r="CYY24" s="68"/>
      <c r="CYZ24" s="68"/>
      <c r="CZA24" s="68"/>
      <c r="CZB24" s="68"/>
      <c r="CZC24" s="68"/>
      <c r="CZD24" s="68"/>
      <c r="CZE24" s="68"/>
      <c r="CZF24" s="68"/>
      <c r="CZG24" s="68"/>
      <c r="CZH24" s="68"/>
      <c r="CZI24" s="68"/>
      <c r="CZJ24" s="68"/>
      <c r="CZK24" s="68"/>
      <c r="CZL24" s="68"/>
      <c r="CZM24" s="68"/>
      <c r="CZN24" s="68"/>
      <c r="CZO24" s="68"/>
      <c r="CZP24" s="68"/>
      <c r="CZQ24" s="68"/>
      <c r="CZR24" s="68"/>
      <c r="CZS24" s="68"/>
      <c r="CZT24" s="68"/>
      <c r="CZU24" s="68"/>
      <c r="CZV24" s="68"/>
      <c r="CZW24" s="68"/>
      <c r="CZX24" s="68"/>
      <c r="CZY24" s="68"/>
      <c r="CZZ24" s="68"/>
      <c r="DAA24" s="68"/>
      <c r="DAB24" s="68"/>
      <c r="DAC24" s="68"/>
      <c r="DAD24" s="68"/>
      <c r="DAE24" s="68"/>
      <c r="DAF24" s="68"/>
      <c r="DAG24" s="68"/>
      <c r="DAH24" s="68"/>
      <c r="DAI24" s="68"/>
      <c r="DAJ24" s="68"/>
      <c r="DAK24" s="68"/>
      <c r="DAL24" s="68"/>
      <c r="DAM24" s="68"/>
      <c r="DAN24" s="68"/>
      <c r="DAO24" s="68"/>
      <c r="DAP24" s="68"/>
      <c r="DAQ24" s="68"/>
      <c r="DAR24" s="68"/>
      <c r="DAS24" s="68"/>
      <c r="DAT24" s="68"/>
      <c r="DAU24" s="68"/>
      <c r="DAV24" s="68"/>
      <c r="DAW24" s="68"/>
      <c r="DAX24" s="68"/>
      <c r="DAY24" s="68"/>
      <c r="DAZ24" s="68"/>
      <c r="DBA24" s="68"/>
      <c r="DBB24" s="68"/>
      <c r="DBC24" s="68"/>
      <c r="DBD24" s="68"/>
      <c r="DBE24" s="68"/>
      <c r="DBF24" s="68"/>
      <c r="DBG24" s="68"/>
      <c r="DBH24" s="68"/>
      <c r="DBI24" s="68"/>
      <c r="DBJ24" s="68"/>
      <c r="DBK24" s="68"/>
      <c r="DBL24" s="68"/>
      <c r="DBM24" s="68"/>
      <c r="DBN24" s="68"/>
      <c r="DBO24" s="68"/>
      <c r="DBP24" s="68"/>
      <c r="DBQ24" s="68"/>
      <c r="DBR24" s="68"/>
      <c r="DBS24" s="68"/>
      <c r="DBT24" s="68"/>
      <c r="DBU24" s="68"/>
      <c r="DBV24" s="68"/>
      <c r="DBW24" s="68"/>
      <c r="DBX24" s="68"/>
      <c r="DBY24" s="68"/>
      <c r="DBZ24" s="68"/>
      <c r="DCA24" s="68"/>
      <c r="DCB24" s="68"/>
      <c r="DCC24" s="68"/>
      <c r="DCD24" s="68"/>
      <c r="DCE24" s="68"/>
      <c r="DCF24" s="68"/>
      <c r="DCG24" s="68"/>
      <c r="DCH24" s="68"/>
      <c r="DCI24" s="68"/>
      <c r="DCJ24" s="68"/>
      <c r="DCK24" s="68"/>
      <c r="DCL24" s="68"/>
      <c r="DCM24" s="68"/>
      <c r="DCN24" s="68"/>
      <c r="DCO24" s="68"/>
      <c r="DCP24" s="68"/>
      <c r="DCQ24" s="68"/>
      <c r="DCR24" s="68"/>
      <c r="DCS24" s="68"/>
      <c r="DCT24" s="68"/>
      <c r="DCU24" s="68"/>
      <c r="DCV24" s="68"/>
      <c r="DCW24" s="68"/>
      <c r="DCX24" s="68"/>
      <c r="DCY24" s="68"/>
      <c r="DCZ24" s="68"/>
      <c r="DDA24" s="68"/>
      <c r="DDB24" s="68"/>
      <c r="DDC24" s="68"/>
      <c r="DDD24" s="68"/>
      <c r="DDE24" s="68"/>
      <c r="DDF24" s="68"/>
      <c r="DDG24" s="68"/>
      <c r="DDH24" s="68"/>
      <c r="DDI24" s="68"/>
      <c r="DDJ24" s="68"/>
      <c r="DDK24" s="68"/>
      <c r="DDL24" s="68"/>
      <c r="DDM24" s="68"/>
      <c r="DDN24" s="68"/>
      <c r="DDO24" s="68"/>
      <c r="DDP24" s="68"/>
      <c r="DDQ24" s="68"/>
      <c r="DDR24" s="68"/>
      <c r="DDS24" s="68"/>
      <c r="DDT24" s="68"/>
      <c r="DDU24" s="68"/>
      <c r="DDV24" s="68"/>
      <c r="DDW24" s="68"/>
      <c r="DDX24" s="68"/>
      <c r="DDY24" s="68"/>
      <c r="DDZ24" s="68"/>
      <c r="DEA24" s="68"/>
      <c r="DEB24" s="68"/>
      <c r="DEC24" s="68"/>
      <c r="DED24" s="68"/>
      <c r="DEE24" s="68"/>
      <c r="DEF24" s="68"/>
      <c r="DEG24" s="68"/>
      <c r="DEH24" s="68"/>
      <c r="DEI24" s="68"/>
      <c r="DEJ24" s="68"/>
      <c r="DEK24" s="68"/>
      <c r="DEL24" s="68"/>
      <c r="DEM24" s="68"/>
      <c r="DEN24" s="68"/>
      <c r="DEO24" s="68"/>
      <c r="DEP24" s="68"/>
      <c r="DEQ24" s="68"/>
      <c r="DER24" s="68"/>
      <c r="DES24" s="68"/>
      <c r="DET24" s="68"/>
      <c r="DEU24" s="68"/>
      <c r="DEV24" s="68"/>
      <c r="DEW24" s="68"/>
      <c r="DEX24" s="68"/>
      <c r="DEY24" s="68"/>
      <c r="DEZ24" s="68"/>
      <c r="DFA24" s="68"/>
      <c r="DFB24" s="68"/>
      <c r="DFC24" s="68"/>
      <c r="DFD24" s="68"/>
      <c r="DFE24" s="68"/>
      <c r="DFF24" s="68"/>
      <c r="DFG24" s="68"/>
      <c r="DFH24" s="68"/>
      <c r="DFI24" s="68"/>
      <c r="DFJ24" s="68"/>
      <c r="DFK24" s="68"/>
      <c r="DFL24" s="68"/>
      <c r="DFM24" s="68"/>
      <c r="DFN24" s="68"/>
      <c r="DFO24" s="68"/>
      <c r="DFP24" s="68"/>
      <c r="DFQ24" s="68"/>
      <c r="DFR24" s="68"/>
      <c r="DFS24" s="68"/>
      <c r="DFT24" s="68"/>
      <c r="DFU24" s="68"/>
      <c r="DFV24" s="68"/>
      <c r="DFW24" s="68"/>
      <c r="DFX24" s="68"/>
      <c r="DFY24" s="68"/>
      <c r="DFZ24" s="68"/>
      <c r="DGA24" s="68"/>
      <c r="DGB24" s="68"/>
      <c r="DGC24" s="68"/>
      <c r="DGD24" s="68"/>
      <c r="DGE24" s="68"/>
      <c r="DGF24" s="68"/>
      <c r="DGG24" s="68"/>
      <c r="DGH24" s="68"/>
      <c r="DGI24" s="68"/>
      <c r="DGJ24" s="68"/>
      <c r="DGK24" s="68"/>
      <c r="DGL24" s="68"/>
      <c r="DGM24" s="68"/>
      <c r="DGN24" s="68"/>
      <c r="DGO24" s="68"/>
      <c r="DGP24" s="68"/>
      <c r="DGQ24" s="68"/>
      <c r="DGR24" s="68"/>
      <c r="DGS24" s="68"/>
      <c r="DGT24" s="68"/>
      <c r="DGU24" s="68"/>
      <c r="DGV24" s="68"/>
      <c r="DGW24" s="68"/>
      <c r="DGX24" s="68"/>
      <c r="DGY24" s="68"/>
      <c r="DGZ24" s="68"/>
      <c r="DHA24" s="68"/>
      <c r="DHB24" s="68"/>
      <c r="DHC24" s="68"/>
      <c r="DHD24" s="68"/>
      <c r="DHE24" s="68"/>
      <c r="DHF24" s="68"/>
      <c r="DHG24" s="68"/>
      <c r="DHH24" s="68"/>
      <c r="DHI24" s="68"/>
      <c r="DHJ24" s="68"/>
      <c r="DHK24" s="68"/>
      <c r="DHL24" s="68"/>
      <c r="DHM24" s="68"/>
      <c r="DHN24" s="68"/>
      <c r="DHO24" s="68"/>
      <c r="DHP24" s="68"/>
      <c r="DHQ24" s="68"/>
      <c r="DHR24" s="68"/>
      <c r="DHS24" s="68"/>
      <c r="DHT24" s="68"/>
      <c r="DHU24" s="68"/>
      <c r="DHV24" s="68"/>
      <c r="DHW24" s="68"/>
      <c r="DHX24" s="68"/>
      <c r="DHY24" s="68"/>
      <c r="DHZ24" s="68"/>
      <c r="DIA24" s="68"/>
      <c r="DIB24" s="68"/>
      <c r="DIC24" s="68"/>
      <c r="DID24" s="68"/>
      <c r="DIE24" s="68"/>
      <c r="DIF24" s="68"/>
      <c r="DIG24" s="68"/>
      <c r="DIH24" s="68"/>
      <c r="DII24" s="68"/>
      <c r="DIJ24" s="68"/>
      <c r="DIK24" s="68"/>
      <c r="DIL24" s="68"/>
      <c r="DIM24" s="68"/>
      <c r="DIN24" s="68"/>
      <c r="DIO24" s="68"/>
      <c r="DIP24" s="68"/>
      <c r="DIQ24" s="68"/>
      <c r="DIR24" s="68"/>
      <c r="DIS24" s="68"/>
      <c r="DIT24" s="68"/>
      <c r="DIU24" s="68"/>
      <c r="DIV24" s="68"/>
      <c r="DIW24" s="68"/>
      <c r="DIX24" s="68"/>
      <c r="DIY24" s="68"/>
      <c r="DIZ24" s="68"/>
      <c r="DJA24" s="68"/>
      <c r="DJB24" s="68"/>
      <c r="DJC24" s="68"/>
      <c r="DJD24" s="68"/>
      <c r="DJE24" s="68"/>
      <c r="DJF24" s="68"/>
      <c r="DJG24" s="68"/>
      <c r="DJH24" s="68"/>
      <c r="DJI24" s="68"/>
      <c r="DJJ24" s="68"/>
      <c r="DJK24" s="68"/>
      <c r="DJL24" s="68"/>
      <c r="DJM24" s="68"/>
      <c r="DJN24" s="68"/>
      <c r="DJO24" s="68"/>
      <c r="DJP24" s="68"/>
      <c r="DJQ24" s="68"/>
      <c r="DJR24" s="68"/>
      <c r="DJS24" s="68"/>
      <c r="DJT24" s="68"/>
      <c r="DJU24" s="68"/>
      <c r="DJV24" s="68"/>
      <c r="DJW24" s="68"/>
      <c r="DJX24" s="68"/>
      <c r="DJY24" s="68"/>
      <c r="DJZ24" s="68"/>
      <c r="DKA24" s="68"/>
      <c r="DKB24" s="68"/>
      <c r="DKC24" s="68"/>
      <c r="DKD24" s="68"/>
      <c r="DKE24" s="68"/>
      <c r="DKF24" s="68"/>
      <c r="DKG24" s="68"/>
      <c r="DKH24" s="68"/>
      <c r="DKI24" s="68"/>
      <c r="DKJ24" s="68"/>
      <c r="DKK24" s="68"/>
      <c r="DKL24" s="68"/>
      <c r="DKM24" s="68"/>
      <c r="DKN24" s="68"/>
      <c r="DKO24" s="68"/>
      <c r="DKP24" s="68"/>
      <c r="DKQ24" s="68"/>
      <c r="DKR24" s="68"/>
      <c r="DKS24" s="68"/>
      <c r="DKT24" s="68"/>
      <c r="DKU24" s="68"/>
      <c r="DKV24" s="68"/>
      <c r="DKW24" s="68"/>
      <c r="DKX24" s="68"/>
      <c r="DKY24" s="68"/>
      <c r="DKZ24" s="68"/>
      <c r="DLA24" s="68"/>
      <c r="DLB24" s="68"/>
      <c r="DLC24" s="68"/>
      <c r="DLD24" s="68"/>
      <c r="DLE24" s="68"/>
      <c r="DLF24" s="68"/>
      <c r="DLG24" s="68"/>
      <c r="DLH24" s="68"/>
      <c r="DLI24" s="68"/>
      <c r="DLJ24" s="68"/>
      <c r="DLK24" s="68"/>
      <c r="DLL24" s="68"/>
      <c r="DLM24" s="68"/>
      <c r="DLN24" s="68"/>
      <c r="DLO24" s="68"/>
      <c r="DLP24" s="68"/>
      <c r="DLQ24" s="68"/>
      <c r="DLR24" s="68"/>
      <c r="DLS24" s="68"/>
      <c r="DLT24" s="68"/>
      <c r="DLU24" s="68"/>
      <c r="DLV24" s="68"/>
      <c r="DLW24" s="68"/>
      <c r="DLX24" s="68"/>
      <c r="DLY24" s="68"/>
      <c r="DLZ24" s="68"/>
      <c r="DMA24" s="68"/>
      <c r="DMB24" s="68"/>
      <c r="DMC24" s="68"/>
      <c r="DMD24" s="68"/>
      <c r="DME24" s="68"/>
      <c r="DMF24" s="68"/>
      <c r="DMG24" s="68"/>
      <c r="DMH24" s="68"/>
      <c r="DMI24" s="68"/>
      <c r="DMJ24" s="68"/>
      <c r="DMK24" s="68"/>
      <c r="DML24" s="68"/>
      <c r="DMM24" s="68"/>
      <c r="DMN24" s="68"/>
      <c r="DMO24" s="68"/>
      <c r="DMP24" s="68"/>
      <c r="DMQ24" s="68"/>
      <c r="DMR24" s="68"/>
      <c r="DMS24" s="68"/>
      <c r="DMT24" s="68"/>
      <c r="DMU24" s="68"/>
      <c r="DMV24" s="68"/>
      <c r="DMW24" s="68"/>
      <c r="DMX24" s="68"/>
      <c r="DMY24" s="68"/>
      <c r="DMZ24" s="68"/>
      <c r="DNA24" s="68"/>
      <c r="DNB24" s="68"/>
      <c r="DNC24" s="68"/>
      <c r="DND24" s="68"/>
      <c r="DNE24" s="68"/>
      <c r="DNF24" s="68"/>
      <c r="DNG24" s="68"/>
      <c r="DNH24" s="68"/>
      <c r="DNI24" s="68"/>
      <c r="DNJ24" s="68"/>
      <c r="DNK24" s="68"/>
      <c r="DNL24" s="68"/>
      <c r="DNM24" s="68"/>
      <c r="DNN24" s="68"/>
      <c r="DNO24" s="68"/>
      <c r="DNP24" s="68"/>
      <c r="DNQ24" s="68"/>
      <c r="DNR24" s="68"/>
      <c r="DNS24" s="68"/>
      <c r="DNT24" s="68"/>
      <c r="DNU24" s="68"/>
      <c r="DNV24" s="68"/>
      <c r="DNW24" s="68"/>
      <c r="DNX24" s="68"/>
      <c r="DNY24" s="68"/>
      <c r="DNZ24" s="68"/>
      <c r="DOA24" s="68"/>
      <c r="DOB24" s="68"/>
      <c r="DOC24" s="68"/>
      <c r="DOD24" s="68"/>
      <c r="DOE24" s="68"/>
      <c r="DOF24" s="68"/>
      <c r="DOG24" s="68"/>
      <c r="DOH24" s="68"/>
      <c r="DOI24" s="68"/>
      <c r="DOJ24" s="68"/>
      <c r="DOK24" s="68"/>
      <c r="DOL24" s="68"/>
      <c r="DOM24" s="68"/>
      <c r="DON24" s="68"/>
      <c r="DOO24" s="68"/>
      <c r="DOP24" s="68"/>
      <c r="DOQ24" s="68"/>
      <c r="DOR24" s="68"/>
      <c r="DOS24" s="68"/>
      <c r="DOT24" s="68"/>
      <c r="DOU24" s="68"/>
      <c r="DOV24" s="68"/>
      <c r="DOW24" s="68"/>
      <c r="DOX24" s="68"/>
      <c r="DOY24" s="68"/>
      <c r="DOZ24" s="68"/>
      <c r="DPA24" s="68"/>
      <c r="DPB24" s="68"/>
      <c r="DPC24" s="68"/>
      <c r="DPD24" s="68"/>
      <c r="DPE24" s="68"/>
      <c r="DPF24" s="68"/>
      <c r="DPG24" s="68"/>
      <c r="DPH24" s="68"/>
      <c r="DPI24" s="68"/>
      <c r="DPJ24" s="68"/>
      <c r="DPK24" s="68"/>
      <c r="DPL24" s="68"/>
      <c r="DPM24" s="68"/>
      <c r="DPN24" s="68"/>
      <c r="DPO24" s="68"/>
      <c r="DPP24" s="68"/>
      <c r="DPQ24" s="68"/>
      <c r="DPR24" s="68"/>
      <c r="DPS24" s="68"/>
      <c r="DPT24" s="68"/>
      <c r="DPU24" s="68"/>
      <c r="DPV24" s="68"/>
      <c r="DPW24" s="68"/>
      <c r="DPX24" s="68"/>
      <c r="DPY24" s="68"/>
      <c r="DPZ24" s="68"/>
      <c r="DQA24" s="68"/>
      <c r="DQB24" s="68"/>
      <c r="DQC24" s="68"/>
      <c r="DQD24" s="68"/>
      <c r="DQE24" s="68"/>
      <c r="DQF24" s="68"/>
      <c r="DQG24" s="68"/>
      <c r="DQH24" s="68"/>
      <c r="DQI24" s="68"/>
      <c r="DQJ24" s="68"/>
      <c r="DQK24" s="68"/>
      <c r="DQL24" s="68"/>
      <c r="DQM24" s="68"/>
      <c r="DQN24" s="68"/>
      <c r="DQO24" s="68"/>
      <c r="DQP24" s="68"/>
      <c r="DQQ24" s="68"/>
      <c r="DQR24" s="68"/>
      <c r="DQS24" s="68"/>
      <c r="DQT24" s="68"/>
      <c r="DQU24" s="68"/>
      <c r="DQV24" s="68"/>
      <c r="DQW24" s="68"/>
      <c r="DQX24" s="68"/>
      <c r="DQY24" s="68"/>
      <c r="DQZ24" s="68"/>
      <c r="DRA24" s="68"/>
      <c r="DRB24" s="68"/>
      <c r="DRC24" s="68"/>
      <c r="DRD24" s="68"/>
      <c r="DRE24" s="68"/>
      <c r="DRF24" s="68"/>
      <c r="DRG24" s="68"/>
      <c r="DRH24" s="68"/>
      <c r="DRI24" s="68"/>
      <c r="DRJ24" s="68"/>
      <c r="DRK24" s="68"/>
      <c r="DRL24" s="68"/>
      <c r="DRM24" s="68"/>
      <c r="DRN24" s="68"/>
      <c r="DRO24" s="68"/>
      <c r="DRP24" s="68"/>
      <c r="DRQ24" s="68"/>
      <c r="DRR24" s="68"/>
      <c r="DRS24" s="68"/>
      <c r="DRT24" s="68"/>
      <c r="DRU24" s="68"/>
      <c r="DRV24" s="68"/>
      <c r="DRW24" s="68"/>
      <c r="DRX24" s="68"/>
      <c r="DRY24" s="68"/>
      <c r="DRZ24" s="68"/>
      <c r="DSA24" s="68"/>
      <c r="DSB24" s="68"/>
      <c r="DSC24" s="68"/>
      <c r="DSD24" s="68"/>
      <c r="DSE24" s="68"/>
      <c r="DSF24" s="68"/>
      <c r="DSG24" s="68"/>
      <c r="DSH24" s="68"/>
      <c r="DSI24" s="68"/>
      <c r="DSJ24" s="68"/>
      <c r="DSK24" s="68"/>
      <c r="DSL24" s="68"/>
      <c r="DSM24" s="68"/>
      <c r="DSN24" s="68"/>
      <c r="DSO24" s="68"/>
      <c r="DSP24" s="68"/>
      <c r="DSQ24" s="68"/>
      <c r="DSR24" s="68"/>
      <c r="DSS24" s="68"/>
      <c r="DST24" s="68"/>
      <c r="DSU24" s="68"/>
      <c r="DSV24" s="68"/>
      <c r="DSW24" s="68"/>
      <c r="DSX24" s="68"/>
      <c r="DSY24" s="68"/>
      <c r="DSZ24" s="68"/>
      <c r="DTA24" s="68"/>
      <c r="DTB24" s="68"/>
      <c r="DTC24" s="68"/>
      <c r="DTD24" s="68"/>
      <c r="DTE24" s="68"/>
      <c r="DTF24" s="68"/>
      <c r="DTG24" s="68"/>
      <c r="DTH24" s="68"/>
      <c r="DTI24" s="68"/>
      <c r="DTJ24" s="68"/>
      <c r="DTK24" s="68"/>
      <c r="DTL24" s="68"/>
      <c r="DTM24" s="68"/>
      <c r="DTN24" s="68"/>
      <c r="DTO24" s="68"/>
      <c r="DTP24" s="68"/>
      <c r="DTQ24" s="68"/>
      <c r="DTR24" s="68"/>
      <c r="DTS24" s="68"/>
      <c r="DTT24" s="68"/>
      <c r="DTU24" s="68"/>
      <c r="DTV24" s="68"/>
      <c r="DTW24" s="68"/>
      <c r="DTX24" s="68"/>
      <c r="DTY24" s="68"/>
      <c r="DTZ24" s="68"/>
      <c r="DUA24" s="68"/>
      <c r="DUB24" s="68"/>
      <c r="DUC24" s="68"/>
      <c r="DUD24" s="68"/>
      <c r="DUE24" s="68"/>
      <c r="DUF24" s="68"/>
      <c r="DUG24" s="68"/>
      <c r="DUH24" s="68"/>
      <c r="DUI24" s="68"/>
      <c r="DUJ24" s="68"/>
      <c r="DUK24" s="68"/>
      <c r="DUL24" s="68"/>
      <c r="DUM24" s="68"/>
      <c r="DUN24" s="68"/>
      <c r="DUO24" s="68"/>
      <c r="DUP24" s="68"/>
      <c r="DUQ24" s="68"/>
      <c r="DUR24" s="68"/>
      <c r="DUS24" s="68"/>
      <c r="DUT24" s="68"/>
      <c r="DUU24" s="68"/>
      <c r="DUV24" s="68"/>
      <c r="DUW24" s="68"/>
      <c r="DUX24" s="68"/>
      <c r="DUY24" s="68"/>
      <c r="DUZ24" s="68"/>
      <c r="DVA24" s="68"/>
      <c r="DVB24" s="68"/>
      <c r="DVC24" s="68"/>
      <c r="DVD24" s="68"/>
      <c r="DVE24" s="68"/>
      <c r="DVF24" s="68"/>
      <c r="DVG24" s="68"/>
      <c r="DVH24" s="68"/>
      <c r="DVI24" s="68"/>
      <c r="DVJ24" s="68"/>
      <c r="DVK24" s="68"/>
      <c r="DVL24" s="68"/>
      <c r="DVM24" s="68"/>
      <c r="DVN24" s="68"/>
      <c r="DVO24" s="68"/>
      <c r="DVP24" s="68"/>
      <c r="DVQ24" s="68"/>
      <c r="DVR24" s="68"/>
      <c r="DVS24" s="68"/>
      <c r="DVT24" s="68"/>
      <c r="DVU24" s="68"/>
      <c r="DVV24" s="68"/>
      <c r="DVW24" s="68"/>
      <c r="DVX24" s="68"/>
      <c r="DVY24" s="68"/>
      <c r="DVZ24" s="68"/>
      <c r="DWA24" s="68"/>
      <c r="DWB24" s="68"/>
      <c r="DWC24" s="68"/>
      <c r="DWD24" s="68"/>
      <c r="DWE24" s="68"/>
      <c r="DWF24" s="68"/>
      <c r="DWG24" s="68"/>
      <c r="DWH24" s="68"/>
      <c r="DWI24" s="68"/>
      <c r="DWJ24" s="68"/>
      <c r="DWK24" s="68"/>
      <c r="DWL24" s="68"/>
      <c r="DWM24" s="68"/>
      <c r="DWN24" s="68"/>
      <c r="DWO24" s="68"/>
      <c r="DWP24" s="68"/>
      <c r="DWQ24" s="68"/>
      <c r="DWR24" s="68"/>
      <c r="DWS24" s="68"/>
      <c r="DWT24" s="68"/>
      <c r="DWU24" s="68"/>
      <c r="DWV24" s="68"/>
      <c r="DWW24" s="68"/>
      <c r="DWX24" s="68"/>
      <c r="DWY24" s="68"/>
      <c r="DWZ24" s="68"/>
      <c r="DXA24" s="68"/>
      <c r="DXB24" s="68"/>
      <c r="DXC24" s="68"/>
      <c r="DXD24" s="68"/>
      <c r="DXE24" s="68"/>
      <c r="DXF24" s="68"/>
      <c r="DXG24" s="68"/>
      <c r="DXH24" s="68"/>
      <c r="DXI24" s="68"/>
      <c r="DXJ24" s="68"/>
      <c r="DXK24" s="68"/>
      <c r="DXL24" s="68"/>
      <c r="DXM24" s="68"/>
      <c r="DXN24" s="68"/>
      <c r="DXO24" s="68"/>
      <c r="DXP24" s="68"/>
      <c r="DXQ24" s="68"/>
      <c r="DXR24" s="68"/>
      <c r="DXS24" s="68"/>
      <c r="DXT24" s="68"/>
      <c r="DXU24" s="68"/>
      <c r="DXV24" s="68"/>
      <c r="DXW24" s="68"/>
      <c r="DXX24" s="68"/>
      <c r="DXY24" s="68"/>
      <c r="DXZ24" s="68"/>
      <c r="DYA24" s="68"/>
      <c r="DYB24" s="68"/>
      <c r="DYC24" s="68"/>
      <c r="DYD24" s="68"/>
      <c r="DYE24" s="68"/>
      <c r="DYF24" s="68"/>
      <c r="DYG24" s="68"/>
      <c r="DYH24" s="68"/>
      <c r="DYI24" s="68"/>
      <c r="DYJ24" s="68"/>
      <c r="DYK24" s="68"/>
      <c r="DYL24" s="68"/>
      <c r="DYM24" s="68"/>
      <c r="DYN24" s="68"/>
      <c r="DYO24" s="68"/>
      <c r="DYP24" s="68"/>
      <c r="DYQ24" s="68"/>
      <c r="DYR24" s="68"/>
      <c r="DYS24" s="68"/>
      <c r="DYT24" s="68"/>
      <c r="DYU24" s="68"/>
      <c r="DYV24" s="68"/>
      <c r="DYW24" s="68"/>
      <c r="DYX24" s="68"/>
      <c r="DYY24" s="68"/>
      <c r="DYZ24" s="68"/>
      <c r="DZA24" s="68"/>
      <c r="DZB24" s="68"/>
      <c r="DZC24" s="68"/>
      <c r="DZD24" s="68"/>
      <c r="DZE24" s="68"/>
      <c r="DZF24" s="68"/>
      <c r="DZG24" s="68"/>
      <c r="DZH24" s="68"/>
      <c r="DZI24" s="68"/>
      <c r="DZJ24" s="68"/>
      <c r="DZK24" s="68"/>
      <c r="DZL24" s="68"/>
      <c r="DZM24" s="68"/>
      <c r="DZN24" s="68"/>
      <c r="DZO24" s="68"/>
      <c r="DZP24" s="68"/>
      <c r="DZQ24" s="68"/>
      <c r="DZR24" s="68"/>
      <c r="DZS24" s="68"/>
      <c r="DZT24" s="68"/>
      <c r="DZU24" s="68"/>
      <c r="DZV24" s="68"/>
      <c r="DZW24" s="68"/>
      <c r="DZX24" s="68"/>
      <c r="DZY24" s="68"/>
      <c r="DZZ24" s="68"/>
      <c r="EAA24" s="68"/>
      <c r="EAB24" s="68"/>
      <c r="EAC24" s="68"/>
      <c r="EAD24" s="68"/>
      <c r="EAE24" s="68"/>
      <c r="EAF24" s="68"/>
      <c r="EAG24" s="68"/>
      <c r="EAH24" s="68"/>
      <c r="EAI24" s="68"/>
      <c r="EAJ24" s="68"/>
      <c r="EAK24" s="68"/>
      <c r="EAL24" s="68"/>
      <c r="EAM24" s="68"/>
      <c r="EAN24" s="68"/>
      <c r="EAO24" s="68"/>
      <c r="EAP24" s="68"/>
      <c r="EAQ24" s="68"/>
      <c r="EAR24" s="68"/>
      <c r="EAS24" s="68"/>
      <c r="EAT24" s="68"/>
      <c r="EAU24" s="68"/>
      <c r="EAV24" s="68"/>
      <c r="EAW24" s="68"/>
      <c r="EAX24" s="68"/>
      <c r="EAY24" s="68"/>
      <c r="EAZ24" s="68"/>
      <c r="EBA24" s="68"/>
      <c r="EBB24" s="68"/>
      <c r="EBC24" s="68"/>
      <c r="EBD24" s="68"/>
      <c r="EBE24" s="68"/>
      <c r="EBF24" s="68"/>
      <c r="EBG24" s="68"/>
      <c r="EBH24" s="68"/>
      <c r="EBI24" s="68"/>
      <c r="EBJ24" s="68"/>
      <c r="EBK24" s="68"/>
      <c r="EBL24" s="68"/>
      <c r="EBM24" s="68"/>
      <c r="EBN24" s="68"/>
      <c r="EBO24" s="68"/>
      <c r="EBP24" s="68"/>
      <c r="EBQ24" s="68"/>
      <c r="EBR24" s="68"/>
      <c r="EBS24" s="68"/>
      <c r="EBT24" s="68"/>
      <c r="EBU24" s="68"/>
      <c r="EBV24" s="68"/>
      <c r="EBW24" s="68"/>
      <c r="EBX24" s="68"/>
      <c r="EBY24" s="68"/>
      <c r="EBZ24" s="68"/>
      <c r="ECA24" s="68"/>
      <c r="ECB24" s="68"/>
      <c r="ECC24" s="68"/>
      <c r="ECD24" s="68"/>
      <c r="ECE24" s="68"/>
      <c r="ECF24" s="68"/>
      <c r="ECG24" s="68"/>
      <c r="ECH24" s="68"/>
      <c r="ECI24" s="68"/>
      <c r="ECJ24" s="68"/>
      <c r="ECK24" s="68"/>
      <c r="ECL24" s="68"/>
      <c r="ECM24" s="68"/>
      <c r="ECN24" s="68"/>
      <c r="ECO24" s="68"/>
      <c r="ECP24" s="68"/>
      <c r="ECQ24" s="68"/>
      <c r="ECR24" s="68"/>
      <c r="ECS24" s="68"/>
      <c r="ECT24" s="68"/>
      <c r="ECU24" s="68"/>
      <c r="ECV24" s="68"/>
      <c r="ECW24" s="68"/>
      <c r="ECX24" s="68"/>
      <c r="ECY24" s="68"/>
      <c r="ECZ24" s="68"/>
      <c r="EDA24" s="68"/>
      <c r="EDB24" s="68"/>
      <c r="EDC24" s="68"/>
      <c r="EDD24" s="68"/>
      <c r="EDE24" s="68"/>
      <c r="EDF24" s="68"/>
      <c r="EDG24" s="68"/>
      <c r="EDH24" s="68"/>
      <c r="EDI24" s="68"/>
      <c r="EDJ24" s="68"/>
      <c r="EDK24" s="68"/>
      <c r="EDL24" s="68"/>
      <c r="EDM24" s="68"/>
      <c r="EDN24" s="68"/>
      <c r="EDO24" s="68"/>
      <c r="EDP24" s="68"/>
      <c r="EDQ24" s="68"/>
      <c r="EDR24" s="68"/>
      <c r="EDS24" s="68"/>
      <c r="EDT24" s="68"/>
      <c r="EDU24" s="68"/>
      <c r="EDV24" s="68"/>
      <c r="EDW24" s="68"/>
      <c r="EDX24" s="68"/>
      <c r="EDY24" s="68"/>
      <c r="EDZ24" s="68"/>
      <c r="EEA24" s="68"/>
      <c r="EEB24" s="68"/>
      <c r="EEC24" s="68"/>
      <c r="EED24" s="68"/>
      <c r="EEE24" s="68"/>
      <c r="EEF24" s="68"/>
      <c r="EEG24" s="68"/>
      <c r="EEH24" s="68"/>
      <c r="EEI24" s="68"/>
      <c r="EEJ24" s="68"/>
      <c r="EEK24" s="68"/>
      <c r="EEL24" s="68"/>
      <c r="EEM24" s="68"/>
      <c r="EEN24" s="68"/>
      <c r="EEO24" s="68"/>
      <c r="EEP24" s="68"/>
      <c r="EEQ24" s="68"/>
      <c r="EER24" s="68"/>
      <c r="EES24" s="68"/>
      <c r="EET24" s="68"/>
      <c r="EEU24" s="68"/>
      <c r="EEV24" s="68"/>
      <c r="EEW24" s="68"/>
      <c r="EEX24" s="68"/>
      <c r="EEY24" s="68"/>
      <c r="EEZ24" s="68"/>
      <c r="EFA24" s="68"/>
      <c r="EFB24" s="68"/>
      <c r="EFC24" s="68"/>
      <c r="EFD24" s="68"/>
      <c r="EFE24" s="68"/>
      <c r="EFF24" s="68"/>
      <c r="EFG24" s="68"/>
      <c r="EFH24" s="68"/>
      <c r="EFI24" s="68"/>
      <c r="EFJ24" s="68"/>
      <c r="EFK24" s="68"/>
      <c r="EFL24" s="68"/>
      <c r="EFM24" s="68"/>
      <c r="EFN24" s="68"/>
      <c r="EFO24" s="68"/>
      <c r="EFP24" s="68"/>
      <c r="EFQ24" s="68"/>
      <c r="EFR24" s="68"/>
      <c r="EFS24" s="68"/>
      <c r="EFT24" s="68"/>
      <c r="EFU24" s="68"/>
      <c r="EFV24" s="68"/>
      <c r="EFW24" s="68"/>
      <c r="EFX24" s="68"/>
      <c r="EFY24" s="68"/>
      <c r="EFZ24" s="68"/>
      <c r="EGA24" s="68"/>
      <c r="EGB24" s="68"/>
      <c r="EGC24" s="68"/>
      <c r="EGD24" s="68"/>
      <c r="EGE24" s="68"/>
      <c r="EGF24" s="68"/>
      <c r="EGG24" s="68"/>
      <c r="EGH24" s="68"/>
      <c r="EGI24" s="68"/>
      <c r="EGJ24" s="68"/>
      <c r="EGK24" s="68"/>
      <c r="EGL24" s="68"/>
      <c r="EGM24" s="68"/>
      <c r="EGN24" s="68"/>
      <c r="EGO24" s="68"/>
      <c r="EGP24" s="68"/>
      <c r="EGQ24" s="68"/>
      <c r="EGR24" s="68"/>
      <c r="EGS24" s="68"/>
      <c r="EGT24" s="68"/>
      <c r="EGU24" s="68"/>
      <c r="EGV24" s="68"/>
      <c r="EGW24" s="68"/>
      <c r="EGX24" s="68"/>
      <c r="EGY24" s="68"/>
      <c r="EGZ24" s="68"/>
      <c r="EHA24" s="68"/>
      <c r="EHB24" s="68"/>
      <c r="EHC24" s="68"/>
      <c r="EHD24" s="68"/>
      <c r="EHE24" s="68"/>
      <c r="EHF24" s="68"/>
      <c r="EHG24" s="68"/>
      <c r="EHH24" s="68"/>
      <c r="EHI24" s="68"/>
      <c r="EHJ24" s="68"/>
      <c r="EHK24" s="68"/>
      <c r="EHL24" s="68"/>
      <c r="EHM24" s="68"/>
      <c r="EHN24" s="68"/>
      <c r="EHO24" s="68"/>
      <c r="EHP24" s="68"/>
      <c r="EHQ24" s="68"/>
      <c r="EHR24" s="68"/>
      <c r="EHS24" s="68"/>
      <c r="EHT24" s="68"/>
      <c r="EHU24" s="68"/>
      <c r="EHV24" s="68"/>
      <c r="EHW24" s="68"/>
      <c r="EHX24" s="68"/>
      <c r="EHY24" s="68"/>
      <c r="EHZ24" s="68"/>
      <c r="EIA24" s="68"/>
      <c r="EIB24" s="68"/>
      <c r="EIC24" s="68"/>
      <c r="EID24" s="68"/>
      <c r="EIE24" s="68"/>
      <c r="EIF24" s="68"/>
      <c r="EIG24" s="68"/>
      <c r="EIH24" s="68"/>
      <c r="EII24" s="68"/>
      <c r="EIJ24" s="68"/>
      <c r="EIK24" s="68"/>
      <c r="EIL24" s="68"/>
      <c r="EIM24" s="68"/>
      <c r="EIN24" s="68"/>
      <c r="EIO24" s="68"/>
      <c r="EIP24" s="68"/>
      <c r="EIQ24" s="68"/>
      <c r="EIR24" s="68"/>
      <c r="EIS24" s="68"/>
      <c r="EIT24" s="68"/>
      <c r="EIU24" s="68"/>
      <c r="EIV24" s="68"/>
      <c r="EIW24" s="68"/>
      <c r="EIX24" s="68"/>
      <c r="EIY24" s="68"/>
      <c r="EIZ24" s="68"/>
      <c r="EJA24" s="68"/>
      <c r="EJB24" s="68"/>
      <c r="EJC24" s="68"/>
      <c r="EJD24" s="68"/>
      <c r="EJE24" s="68"/>
      <c r="EJF24" s="68"/>
      <c r="EJG24" s="68"/>
      <c r="EJH24" s="68"/>
      <c r="EJI24" s="68"/>
      <c r="EJJ24" s="68"/>
      <c r="EJK24" s="68"/>
      <c r="EJL24" s="68"/>
      <c r="EJM24" s="68"/>
      <c r="EJN24" s="68"/>
      <c r="EJO24" s="68"/>
      <c r="EJP24" s="68"/>
      <c r="EJQ24" s="68"/>
      <c r="EJR24" s="68"/>
      <c r="EJS24" s="68"/>
      <c r="EJT24" s="68"/>
      <c r="EJU24" s="68"/>
      <c r="EJV24" s="68"/>
      <c r="EJW24" s="68"/>
      <c r="EJX24" s="68"/>
      <c r="EJY24" s="68"/>
      <c r="EJZ24" s="68"/>
      <c r="EKA24" s="68"/>
      <c r="EKB24" s="68"/>
      <c r="EKC24" s="68"/>
      <c r="EKD24" s="68"/>
      <c r="EKE24" s="68"/>
      <c r="EKF24" s="68"/>
      <c r="EKG24" s="68"/>
      <c r="EKH24" s="68"/>
      <c r="EKI24" s="68"/>
      <c r="EKJ24" s="68"/>
      <c r="EKK24" s="68"/>
      <c r="EKL24" s="68"/>
      <c r="EKM24" s="68"/>
      <c r="EKN24" s="68"/>
      <c r="EKO24" s="68"/>
      <c r="EKP24" s="68"/>
      <c r="EKQ24" s="68"/>
      <c r="EKR24" s="68"/>
      <c r="EKS24" s="68"/>
      <c r="EKT24" s="68"/>
      <c r="EKU24" s="68"/>
      <c r="EKV24" s="68"/>
      <c r="EKW24" s="68"/>
      <c r="EKX24" s="68"/>
      <c r="EKY24" s="68"/>
      <c r="EKZ24" s="68"/>
      <c r="ELA24" s="68"/>
      <c r="ELB24" s="68"/>
      <c r="ELC24" s="68"/>
      <c r="ELD24" s="68"/>
      <c r="ELE24" s="68"/>
      <c r="ELF24" s="68"/>
      <c r="ELG24" s="68"/>
      <c r="ELH24" s="68"/>
      <c r="ELI24" s="68"/>
      <c r="ELJ24" s="68"/>
      <c r="ELK24" s="68"/>
      <c r="ELL24" s="68"/>
      <c r="ELM24" s="68"/>
      <c r="ELN24" s="68"/>
      <c r="ELO24" s="68"/>
      <c r="ELP24" s="68"/>
      <c r="ELQ24" s="68"/>
      <c r="ELR24" s="68"/>
      <c r="ELS24" s="68"/>
      <c r="ELT24" s="68"/>
      <c r="ELU24" s="68"/>
      <c r="ELV24" s="68"/>
      <c r="ELW24" s="68"/>
      <c r="ELX24" s="68"/>
      <c r="ELY24" s="68"/>
      <c r="ELZ24" s="68"/>
      <c r="EMA24" s="68"/>
      <c r="EMB24" s="68"/>
      <c r="EMC24" s="68"/>
      <c r="EMD24" s="68"/>
      <c r="EME24" s="68"/>
      <c r="EMF24" s="68"/>
      <c r="EMG24" s="68"/>
      <c r="EMH24" s="68"/>
      <c r="EMI24" s="68"/>
      <c r="EMJ24" s="68"/>
      <c r="EMK24" s="68"/>
      <c r="EML24" s="68"/>
      <c r="EMM24" s="68"/>
      <c r="EMN24" s="68"/>
      <c r="EMO24" s="68"/>
      <c r="EMP24" s="68"/>
      <c r="EMQ24" s="68"/>
      <c r="EMR24" s="68"/>
      <c r="EMS24" s="68"/>
      <c r="EMT24" s="68"/>
      <c r="EMU24" s="68"/>
      <c r="EMV24" s="68"/>
      <c r="EMW24" s="68"/>
      <c r="EMX24" s="68"/>
      <c r="EMY24" s="68"/>
      <c r="EMZ24" s="68"/>
      <c r="ENA24" s="68"/>
      <c r="ENB24" s="68"/>
      <c r="ENC24" s="68"/>
      <c r="END24" s="68"/>
      <c r="ENE24" s="68"/>
      <c r="ENF24" s="68"/>
      <c r="ENG24" s="68"/>
      <c r="ENH24" s="68"/>
      <c r="ENI24" s="68"/>
      <c r="ENJ24" s="68"/>
      <c r="ENK24" s="68"/>
      <c r="ENL24" s="68"/>
      <c r="ENM24" s="68"/>
      <c r="ENN24" s="68"/>
      <c r="ENO24" s="68"/>
      <c r="ENP24" s="68"/>
      <c r="ENQ24" s="68"/>
      <c r="ENR24" s="68"/>
      <c r="ENS24" s="68"/>
      <c r="ENT24" s="68"/>
      <c r="ENU24" s="68"/>
      <c r="ENV24" s="68"/>
      <c r="ENW24" s="68"/>
      <c r="ENX24" s="68"/>
      <c r="ENY24" s="68"/>
      <c r="ENZ24" s="68"/>
      <c r="EOA24" s="68"/>
      <c r="EOB24" s="68"/>
      <c r="EOC24" s="68"/>
      <c r="EOD24" s="68"/>
      <c r="EOE24" s="68"/>
      <c r="EOF24" s="68"/>
      <c r="EOG24" s="68"/>
      <c r="EOH24" s="68"/>
      <c r="EOI24" s="68"/>
      <c r="EOJ24" s="68"/>
      <c r="EOK24" s="68"/>
      <c r="EOL24" s="68"/>
      <c r="EOM24" s="68"/>
      <c r="EON24" s="68"/>
      <c r="EOO24" s="68"/>
      <c r="EOP24" s="68"/>
      <c r="EOQ24" s="68"/>
      <c r="EOR24" s="68"/>
      <c r="EOS24" s="68"/>
      <c r="EOT24" s="68"/>
      <c r="EOU24" s="68"/>
      <c r="EOV24" s="68"/>
      <c r="EOW24" s="68"/>
      <c r="EOX24" s="68"/>
      <c r="EOY24" s="68"/>
      <c r="EOZ24" s="68"/>
      <c r="EPA24" s="68"/>
      <c r="EPB24" s="68"/>
      <c r="EPC24" s="68"/>
      <c r="EPD24" s="68"/>
      <c r="EPE24" s="68"/>
      <c r="EPF24" s="68"/>
      <c r="EPG24" s="68"/>
      <c r="EPH24" s="68"/>
      <c r="EPI24" s="68"/>
      <c r="EPJ24" s="68"/>
      <c r="EPK24" s="68"/>
      <c r="EPL24" s="68"/>
      <c r="EPM24" s="68"/>
      <c r="EPN24" s="68"/>
      <c r="EPO24" s="68"/>
      <c r="EPP24" s="68"/>
      <c r="EPQ24" s="68"/>
      <c r="EPR24" s="68"/>
      <c r="EPS24" s="68"/>
      <c r="EPT24" s="68"/>
      <c r="EPU24" s="68"/>
      <c r="EPV24" s="68"/>
      <c r="EPW24" s="68"/>
      <c r="EPX24" s="68"/>
      <c r="EPY24" s="68"/>
      <c r="EPZ24" s="68"/>
      <c r="EQA24" s="68"/>
      <c r="EQB24" s="68"/>
      <c r="EQC24" s="68"/>
      <c r="EQD24" s="68"/>
      <c r="EQE24" s="68"/>
      <c r="EQF24" s="68"/>
      <c r="EQG24" s="68"/>
      <c r="EQH24" s="68"/>
      <c r="EQI24" s="68"/>
      <c r="EQJ24" s="68"/>
      <c r="EQK24" s="68"/>
      <c r="EQL24" s="68"/>
      <c r="EQM24" s="68"/>
      <c r="EQN24" s="68"/>
      <c r="EQO24" s="68"/>
      <c r="EQP24" s="68"/>
      <c r="EQQ24" s="68"/>
      <c r="EQR24" s="68"/>
      <c r="EQS24" s="68"/>
      <c r="EQT24" s="68"/>
      <c r="EQU24" s="68"/>
      <c r="EQV24" s="68"/>
      <c r="EQW24" s="68"/>
      <c r="EQX24" s="68"/>
      <c r="EQY24" s="68"/>
      <c r="EQZ24" s="68"/>
      <c r="ERA24" s="68"/>
      <c r="ERB24" s="68"/>
      <c r="ERC24" s="68"/>
      <c r="ERD24" s="68"/>
      <c r="ERE24" s="68"/>
      <c r="ERF24" s="68"/>
      <c r="ERG24" s="68"/>
      <c r="ERH24" s="68"/>
      <c r="ERI24" s="68"/>
      <c r="ERJ24" s="68"/>
      <c r="ERK24" s="68"/>
      <c r="ERL24" s="68"/>
      <c r="ERM24" s="68"/>
      <c r="ERN24" s="68"/>
      <c r="ERO24" s="68"/>
      <c r="ERP24" s="68"/>
      <c r="ERQ24" s="68"/>
      <c r="ERR24" s="68"/>
      <c r="ERS24" s="68"/>
      <c r="ERT24" s="68"/>
      <c r="ERU24" s="68"/>
      <c r="ERV24" s="68"/>
      <c r="ERW24" s="68"/>
      <c r="ERX24" s="68"/>
      <c r="ERY24" s="68"/>
      <c r="ERZ24" s="68"/>
      <c r="ESA24" s="68"/>
      <c r="ESB24" s="68"/>
      <c r="ESC24" s="68"/>
      <c r="ESD24" s="68"/>
      <c r="ESE24" s="68"/>
      <c r="ESF24" s="68"/>
      <c r="ESG24" s="68"/>
      <c r="ESH24" s="68"/>
      <c r="ESI24" s="68"/>
      <c r="ESJ24" s="68"/>
      <c r="ESK24" s="68"/>
      <c r="ESL24" s="68"/>
      <c r="ESM24" s="68"/>
      <c r="ESN24" s="68"/>
      <c r="ESO24" s="68"/>
      <c r="ESP24" s="68"/>
      <c r="ESQ24" s="68"/>
      <c r="ESR24" s="68"/>
      <c r="ESS24" s="68"/>
      <c r="EST24" s="68"/>
      <c r="ESU24" s="68"/>
      <c r="ESV24" s="68"/>
      <c r="ESW24" s="68"/>
      <c r="ESX24" s="68"/>
      <c r="ESY24" s="68"/>
      <c r="ESZ24" s="68"/>
      <c r="ETA24" s="68"/>
      <c r="ETB24" s="68"/>
      <c r="ETC24" s="68"/>
      <c r="ETD24" s="68"/>
      <c r="ETE24" s="68"/>
      <c r="ETF24" s="68"/>
      <c r="ETG24" s="68"/>
      <c r="ETH24" s="68"/>
      <c r="ETI24" s="68"/>
      <c r="ETJ24" s="68"/>
      <c r="ETK24" s="68"/>
      <c r="ETL24" s="68"/>
      <c r="ETM24" s="68"/>
      <c r="ETN24" s="68"/>
      <c r="ETO24" s="68"/>
      <c r="ETP24" s="68"/>
      <c r="ETQ24" s="68"/>
      <c r="ETR24" s="68"/>
      <c r="ETS24" s="68"/>
      <c r="ETT24" s="68"/>
      <c r="ETU24" s="68"/>
      <c r="ETV24" s="68"/>
      <c r="ETW24" s="68"/>
      <c r="ETX24" s="68"/>
      <c r="ETY24" s="68"/>
      <c r="ETZ24" s="68"/>
      <c r="EUA24" s="68"/>
      <c r="EUB24" s="68"/>
      <c r="EUC24" s="68"/>
      <c r="EUD24" s="68"/>
      <c r="EUE24" s="68"/>
      <c r="EUF24" s="68"/>
      <c r="EUG24" s="68"/>
      <c r="EUH24" s="68"/>
      <c r="EUI24" s="68"/>
      <c r="EUJ24" s="68"/>
      <c r="EUK24" s="68"/>
      <c r="EUL24" s="68"/>
      <c r="EUM24" s="68"/>
      <c r="EUN24" s="68"/>
      <c r="EUO24" s="68"/>
      <c r="EUP24" s="68"/>
      <c r="EUQ24" s="68"/>
      <c r="EUR24" s="68"/>
      <c r="EUS24" s="68"/>
      <c r="EUT24" s="68"/>
      <c r="EUU24" s="68"/>
      <c r="EUV24" s="68"/>
      <c r="EUW24" s="68"/>
      <c r="EUX24" s="68"/>
      <c r="EUY24" s="68"/>
      <c r="EUZ24" s="68"/>
      <c r="EVA24" s="68"/>
      <c r="EVB24" s="68"/>
      <c r="EVC24" s="68"/>
      <c r="EVD24" s="68"/>
      <c r="EVE24" s="68"/>
      <c r="EVF24" s="68"/>
      <c r="EVG24" s="68"/>
      <c r="EVH24" s="68"/>
      <c r="EVI24" s="68"/>
      <c r="EVJ24" s="68"/>
      <c r="EVK24" s="68"/>
      <c r="EVL24" s="68"/>
      <c r="EVM24" s="68"/>
      <c r="EVN24" s="68"/>
      <c r="EVO24" s="68"/>
      <c r="EVP24" s="68"/>
      <c r="EVQ24" s="68"/>
      <c r="EVR24" s="68"/>
      <c r="EVS24" s="68"/>
      <c r="EVT24" s="68"/>
      <c r="EVU24" s="68"/>
      <c r="EVV24" s="68"/>
      <c r="EVW24" s="68"/>
      <c r="EVX24" s="68"/>
      <c r="EVY24" s="68"/>
      <c r="EVZ24" s="68"/>
      <c r="EWA24" s="68"/>
      <c r="EWB24" s="68"/>
      <c r="EWC24" s="68"/>
      <c r="EWD24" s="68"/>
      <c r="EWE24" s="68"/>
      <c r="EWF24" s="68"/>
      <c r="EWG24" s="68"/>
      <c r="EWH24" s="68"/>
      <c r="EWI24" s="68"/>
      <c r="EWJ24" s="68"/>
      <c r="EWK24" s="68"/>
      <c r="EWL24" s="68"/>
      <c r="EWM24" s="68"/>
      <c r="EWN24" s="68"/>
      <c r="EWO24" s="68"/>
      <c r="EWP24" s="68"/>
      <c r="EWQ24" s="68"/>
      <c r="EWR24" s="68"/>
      <c r="EWS24" s="68"/>
      <c r="EWT24" s="68"/>
      <c r="EWU24" s="68"/>
      <c r="EWV24" s="68"/>
      <c r="EWW24" s="68"/>
      <c r="EWX24" s="68"/>
      <c r="EWY24" s="68"/>
      <c r="EWZ24" s="68"/>
      <c r="EXA24" s="68"/>
      <c r="EXB24" s="68"/>
      <c r="EXC24" s="68"/>
      <c r="EXD24" s="68"/>
      <c r="EXE24" s="68"/>
      <c r="EXF24" s="68"/>
      <c r="EXG24" s="68"/>
      <c r="EXH24" s="68"/>
      <c r="EXI24" s="68"/>
      <c r="EXJ24" s="68"/>
      <c r="EXK24" s="68"/>
      <c r="EXL24" s="68"/>
      <c r="EXM24" s="68"/>
      <c r="EXN24" s="68"/>
      <c r="EXO24" s="68"/>
      <c r="EXP24" s="68"/>
      <c r="EXQ24" s="68"/>
      <c r="EXR24" s="68"/>
      <c r="EXS24" s="68"/>
      <c r="EXT24" s="68"/>
      <c r="EXU24" s="68"/>
      <c r="EXV24" s="68"/>
      <c r="EXW24" s="68"/>
      <c r="EXX24" s="68"/>
      <c r="EXY24" s="68"/>
      <c r="EXZ24" s="68"/>
      <c r="EYA24" s="68"/>
      <c r="EYB24" s="68"/>
      <c r="EYC24" s="68"/>
      <c r="EYD24" s="68"/>
      <c r="EYE24" s="68"/>
      <c r="EYF24" s="68"/>
      <c r="EYG24" s="68"/>
      <c r="EYH24" s="68"/>
      <c r="EYI24" s="68"/>
      <c r="EYJ24" s="68"/>
      <c r="EYK24" s="68"/>
      <c r="EYL24" s="68"/>
      <c r="EYM24" s="68"/>
      <c r="EYN24" s="68"/>
      <c r="EYO24" s="68"/>
      <c r="EYP24" s="68"/>
      <c r="EYQ24" s="68"/>
      <c r="EYR24" s="68"/>
      <c r="EYS24" s="68"/>
      <c r="EYT24" s="68"/>
      <c r="EYU24" s="68"/>
      <c r="EYV24" s="68"/>
      <c r="EYW24" s="68"/>
      <c r="EYX24" s="68"/>
      <c r="EYY24" s="68"/>
      <c r="EYZ24" s="68"/>
      <c r="EZA24" s="68"/>
      <c r="EZB24" s="68"/>
      <c r="EZC24" s="68"/>
      <c r="EZD24" s="68"/>
      <c r="EZE24" s="68"/>
      <c r="EZF24" s="68"/>
      <c r="EZG24" s="68"/>
      <c r="EZH24" s="68"/>
      <c r="EZI24" s="68"/>
      <c r="EZJ24" s="68"/>
      <c r="EZK24" s="68"/>
      <c r="EZL24" s="68"/>
      <c r="EZM24" s="68"/>
      <c r="EZN24" s="68"/>
      <c r="EZO24" s="68"/>
      <c r="EZP24" s="68"/>
      <c r="EZQ24" s="68"/>
      <c r="EZR24" s="68"/>
      <c r="EZS24" s="68"/>
      <c r="EZT24" s="68"/>
      <c r="EZU24" s="68"/>
      <c r="EZV24" s="68"/>
      <c r="EZW24" s="68"/>
      <c r="EZX24" s="68"/>
      <c r="EZY24" s="68"/>
      <c r="EZZ24" s="68"/>
      <c r="FAA24" s="68"/>
      <c r="FAB24" s="68"/>
      <c r="FAC24" s="68"/>
      <c r="FAD24" s="68"/>
      <c r="FAE24" s="68"/>
      <c r="FAF24" s="68"/>
      <c r="FAG24" s="68"/>
      <c r="FAH24" s="68"/>
      <c r="FAI24" s="68"/>
      <c r="FAJ24" s="68"/>
      <c r="FAK24" s="68"/>
      <c r="FAL24" s="68"/>
      <c r="FAM24" s="68"/>
      <c r="FAN24" s="68"/>
      <c r="FAO24" s="68"/>
      <c r="FAP24" s="68"/>
      <c r="FAQ24" s="68"/>
      <c r="FAR24" s="68"/>
      <c r="FAS24" s="68"/>
      <c r="FAT24" s="68"/>
      <c r="FAU24" s="68"/>
      <c r="FAV24" s="68"/>
      <c r="FAW24" s="68"/>
      <c r="FAX24" s="68"/>
      <c r="FAY24" s="68"/>
      <c r="FAZ24" s="68"/>
      <c r="FBA24" s="68"/>
      <c r="FBB24" s="68"/>
      <c r="FBC24" s="68"/>
      <c r="FBD24" s="68"/>
      <c r="FBE24" s="68"/>
      <c r="FBF24" s="68"/>
      <c r="FBG24" s="68"/>
      <c r="FBH24" s="68"/>
      <c r="FBI24" s="68"/>
      <c r="FBJ24" s="68"/>
      <c r="FBK24" s="68"/>
      <c r="FBL24" s="68"/>
      <c r="FBM24" s="68"/>
      <c r="FBN24" s="68"/>
      <c r="FBO24" s="68"/>
      <c r="FBP24" s="68"/>
      <c r="FBQ24" s="68"/>
      <c r="FBR24" s="68"/>
      <c r="FBS24" s="68"/>
      <c r="FBT24" s="68"/>
      <c r="FBU24" s="68"/>
      <c r="FBV24" s="68"/>
      <c r="FBW24" s="68"/>
      <c r="FBX24" s="68"/>
      <c r="FBY24" s="68"/>
      <c r="FBZ24" s="68"/>
      <c r="FCA24" s="68"/>
      <c r="FCB24" s="68"/>
      <c r="FCC24" s="68"/>
      <c r="FCD24" s="68"/>
      <c r="FCE24" s="68"/>
      <c r="FCF24" s="68"/>
      <c r="FCG24" s="68"/>
      <c r="FCH24" s="68"/>
      <c r="FCI24" s="68"/>
      <c r="FCJ24" s="68"/>
      <c r="FCK24" s="68"/>
      <c r="FCL24" s="68"/>
      <c r="FCM24" s="68"/>
      <c r="FCN24" s="68"/>
      <c r="FCO24" s="68"/>
      <c r="FCP24" s="68"/>
      <c r="FCQ24" s="68"/>
      <c r="FCR24" s="68"/>
      <c r="FCS24" s="68"/>
      <c r="FCT24" s="68"/>
      <c r="FCU24" s="68"/>
      <c r="FCV24" s="68"/>
      <c r="FCW24" s="68"/>
      <c r="FCX24" s="68"/>
      <c r="FCY24" s="68"/>
      <c r="FCZ24" s="68"/>
      <c r="FDA24" s="68"/>
      <c r="FDB24" s="68"/>
      <c r="FDC24" s="68"/>
      <c r="FDD24" s="68"/>
      <c r="FDE24" s="68"/>
      <c r="FDF24" s="68"/>
      <c r="FDG24" s="68"/>
      <c r="FDH24" s="68"/>
      <c r="FDI24" s="68"/>
      <c r="FDJ24" s="68"/>
      <c r="FDK24" s="68"/>
      <c r="FDL24" s="68"/>
      <c r="FDM24" s="68"/>
      <c r="FDN24" s="68"/>
      <c r="FDO24" s="68"/>
      <c r="FDP24" s="68"/>
      <c r="FDQ24" s="68"/>
      <c r="FDR24" s="68"/>
      <c r="FDS24" s="68"/>
      <c r="FDT24" s="68"/>
      <c r="FDU24" s="68"/>
      <c r="FDV24" s="68"/>
      <c r="FDW24" s="68"/>
      <c r="FDX24" s="68"/>
      <c r="FDY24" s="68"/>
      <c r="FDZ24" s="68"/>
      <c r="FEA24" s="68"/>
      <c r="FEB24" s="68"/>
      <c r="FEC24" s="68"/>
      <c r="FED24" s="68"/>
      <c r="FEE24" s="68"/>
      <c r="FEF24" s="68"/>
      <c r="FEG24" s="68"/>
      <c r="FEH24" s="68"/>
      <c r="FEI24" s="68"/>
      <c r="FEJ24" s="68"/>
      <c r="FEK24" s="68"/>
      <c r="FEL24" s="68"/>
      <c r="FEM24" s="68"/>
      <c r="FEN24" s="68"/>
      <c r="FEO24" s="68"/>
      <c r="FEP24" s="68"/>
      <c r="FEQ24" s="68"/>
      <c r="FER24" s="68"/>
      <c r="FES24" s="68"/>
      <c r="FET24" s="68"/>
      <c r="FEU24" s="68"/>
      <c r="FEV24" s="68"/>
      <c r="FEW24" s="68"/>
      <c r="FEX24" s="68"/>
      <c r="FEY24" s="68"/>
      <c r="FEZ24" s="68"/>
      <c r="FFA24" s="68"/>
      <c r="FFB24" s="68"/>
      <c r="FFC24" s="68"/>
      <c r="FFD24" s="68"/>
      <c r="FFE24" s="68"/>
      <c r="FFF24" s="68"/>
      <c r="FFG24" s="68"/>
      <c r="FFH24" s="68"/>
      <c r="FFI24" s="68"/>
      <c r="FFJ24" s="68"/>
      <c r="FFK24" s="68"/>
      <c r="FFL24" s="68"/>
      <c r="FFM24" s="68"/>
      <c r="FFN24" s="68"/>
      <c r="FFO24" s="68"/>
      <c r="FFP24" s="68"/>
      <c r="FFQ24" s="68"/>
      <c r="FFR24" s="68"/>
      <c r="FFS24" s="68"/>
      <c r="FFT24" s="68"/>
      <c r="FFU24" s="68"/>
      <c r="FFV24" s="68"/>
      <c r="FFW24" s="68"/>
      <c r="FFX24" s="68"/>
      <c r="FFY24" s="68"/>
      <c r="FFZ24" s="68"/>
      <c r="FGA24" s="68"/>
      <c r="FGB24" s="68"/>
      <c r="FGC24" s="68"/>
      <c r="FGD24" s="68"/>
      <c r="FGE24" s="68"/>
      <c r="FGF24" s="68"/>
      <c r="FGG24" s="68"/>
      <c r="FGH24" s="68"/>
      <c r="FGI24" s="68"/>
      <c r="FGJ24" s="68"/>
      <c r="FGK24" s="68"/>
      <c r="FGL24" s="68"/>
      <c r="FGM24" s="68"/>
      <c r="FGN24" s="68"/>
      <c r="FGO24" s="68"/>
      <c r="FGP24" s="68"/>
      <c r="FGQ24" s="68"/>
      <c r="FGR24" s="68"/>
      <c r="FGS24" s="68"/>
      <c r="FGT24" s="68"/>
      <c r="FGU24" s="68"/>
      <c r="FGV24" s="68"/>
      <c r="FGW24" s="68"/>
      <c r="FGX24" s="68"/>
      <c r="FGY24" s="68"/>
      <c r="FGZ24" s="68"/>
      <c r="FHA24" s="68"/>
      <c r="FHB24" s="68"/>
      <c r="FHC24" s="68"/>
      <c r="FHD24" s="68"/>
      <c r="FHE24" s="68"/>
      <c r="FHF24" s="68"/>
      <c r="FHG24" s="68"/>
      <c r="FHH24" s="68"/>
      <c r="FHI24" s="68"/>
      <c r="FHJ24" s="68"/>
      <c r="FHK24" s="68"/>
      <c r="FHL24" s="68"/>
      <c r="FHM24" s="68"/>
      <c r="FHN24" s="68"/>
      <c r="FHO24" s="68"/>
      <c r="FHP24" s="68"/>
      <c r="FHQ24" s="68"/>
      <c r="FHR24" s="68"/>
      <c r="FHS24" s="68"/>
      <c r="FHT24" s="68"/>
      <c r="FHU24" s="68"/>
      <c r="FHV24" s="68"/>
      <c r="FHW24" s="68"/>
      <c r="FHX24" s="68"/>
      <c r="FHY24" s="68"/>
      <c r="FHZ24" s="68"/>
      <c r="FIA24" s="68"/>
      <c r="FIB24" s="68"/>
      <c r="FIC24" s="68"/>
      <c r="FID24" s="68"/>
      <c r="FIE24" s="68"/>
      <c r="FIF24" s="68"/>
      <c r="FIG24" s="68"/>
      <c r="FIH24" s="68"/>
      <c r="FII24" s="68"/>
      <c r="FIJ24" s="68"/>
      <c r="FIK24" s="68"/>
      <c r="FIL24" s="68"/>
      <c r="FIM24" s="68"/>
      <c r="FIN24" s="68"/>
      <c r="FIO24" s="68"/>
      <c r="FIP24" s="68"/>
      <c r="FIQ24" s="68"/>
      <c r="FIR24" s="68"/>
      <c r="FIS24" s="68"/>
      <c r="FIT24" s="68"/>
      <c r="FIU24" s="68"/>
      <c r="FIV24" s="68"/>
      <c r="FIW24" s="68"/>
      <c r="FIX24" s="68"/>
      <c r="FIY24" s="68"/>
      <c r="FIZ24" s="68"/>
      <c r="FJA24" s="68"/>
      <c r="FJB24" s="68"/>
      <c r="FJC24" s="68"/>
      <c r="FJD24" s="68"/>
      <c r="FJE24" s="68"/>
      <c r="FJF24" s="68"/>
      <c r="FJG24" s="68"/>
      <c r="FJH24" s="68"/>
      <c r="FJI24" s="68"/>
      <c r="FJJ24" s="68"/>
      <c r="FJK24" s="68"/>
      <c r="FJL24" s="68"/>
      <c r="FJM24" s="68"/>
      <c r="FJN24" s="68"/>
      <c r="FJO24" s="68"/>
      <c r="FJP24" s="68"/>
      <c r="FJQ24" s="68"/>
      <c r="FJR24" s="68"/>
      <c r="FJS24" s="68"/>
      <c r="FJT24" s="68"/>
      <c r="FJU24" s="68"/>
      <c r="FJV24" s="68"/>
      <c r="FJW24" s="68"/>
      <c r="FJX24" s="68"/>
      <c r="FJY24" s="68"/>
      <c r="FJZ24" s="68"/>
      <c r="FKA24" s="68"/>
      <c r="FKB24" s="68"/>
      <c r="FKC24" s="68"/>
      <c r="FKD24" s="68"/>
      <c r="FKE24" s="68"/>
      <c r="FKF24" s="68"/>
      <c r="FKG24" s="68"/>
      <c r="FKH24" s="68"/>
      <c r="FKI24" s="68"/>
      <c r="FKJ24" s="68"/>
      <c r="FKK24" s="68"/>
      <c r="FKL24" s="68"/>
      <c r="FKM24" s="68"/>
      <c r="FKN24" s="68"/>
      <c r="FKO24" s="68"/>
      <c r="FKP24" s="68"/>
      <c r="FKQ24" s="68"/>
      <c r="FKR24" s="68"/>
      <c r="FKS24" s="68"/>
      <c r="FKT24" s="68"/>
      <c r="FKU24" s="68"/>
      <c r="FKV24" s="68"/>
      <c r="FKW24" s="68"/>
      <c r="FKX24" s="68"/>
      <c r="FKY24" s="68"/>
      <c r="FKZ24" s="68"/>
      <c r="FLA24" s="68"/>
      <c r="FLB24" s="68"/>
      <c r="FLC24" s="68"/>
      <c r="FLD24" s="68"/>
      <c r="FLE24" s="68"/>
      <c r="FLF24" s="68"/>
      <c r="FLG24" s="68"/>
      <c r="FLH24" s="68"/>
      <c r="FLI24" s="68"/>
      <c r="FLJ24" s="68"/>
      <c r="FLK24" s="68"/>
      <c r="FLL24" s="68"/>
      <c r="FLM24" s="68"/>
      <c r="FLN24" s="68"/>
      <c r="FLO24" s="68"/>
      <c r="FLP24" s="68"/>
      <c r="FLQ24" s="68"/>
      <c r="FLR24" s="68"/>
      <c r="FLS24" s="68"/>
      <c r="FLT24" s="68"/>
      <c r="FLU24" s="68"/>
      <c r="FLV24" s="68"/>
      <c r="FLW24" s="68"/>
      <c r="FLX24" s="68"/>
      <c r="FLY24" s="68"/>
      <c r="FLZ24" s="68"/>
      <c r="FMA24" s="68"/>
      <c r="FMB24" s="68"/>
      <c r="FMC24" s="68"/>
      <c r="FMD24" s="68"/>
      <c r="FME24" s="68"/>
      <c r="FMF24" s="68"/>
      <c r="FMG24" s="68"/>
      <c r="FMH24" s="68"/>
      <c r="FMI24" s="68"/>
      <c r="FMJ24" s="68"/>
      <c r="FMK24" s="68"/>
      <c r="FML24" s="68"/>
      <c r="FMM24" s="68"/>
      <c r="FMN24" s="68"/>
      <c r="FMO24" s="68"/>
      <c r="FMP24" s="68"/>
      <c r="FMQ24" s="68"/>
      <c r="FMR24" s="68"/>
      <c r="FMS24" s="68"/>
      <c r="FMT24" s="68"/>
      <c r="FMU24" s="68"/>
      <c r="FMV24" s="68"/>
      <c r="FMW24" s="68"/>
      <c r="FMX24" s="68"/>
      <c r="FMY24" s="68"/>
      <c r="FMZ24" s="68"/>
      <c r="FNA24" s="68"/>
      <c r="FNB24" s="68"/>
      <c r="FNC24" s="68"/>
      <c r="FND24" s="68"/>
      <c r="FNE24" s="68"/>
      <c r="FNF24" s="68"/>
      <c r="FNG24" s="68"/>
      <c r="FNH24" s="68"/>
      <c r="FNI24" s="68"/>
      <c r="FNJ24" s="68"/>
      <c r="FNK24" s="68"/>
      <c r="FNL24" s="68"/>
      <c r="FNM24" s="68"/>
      <c r="FNN24" s="68"/>
      <c r="FNO24" s="68"/>
      <c r="FNP24" s="68"/>
      <c r="FNQ24" s="68"/>
      <c r="FNR24" s="68"/>
      <c r="FNS24" s="68"/>
      <c r="FNT24" s="68"/>
      <c r="FNU24" s="68"/>
      <c r="FNV24" s="68"/>
      <c r="FNW24" s="68"/>
      <c r="FNX24" s="68"/>
      <c r="FNY24" s="68"/>
      <c r="FNZ24" s="68"/>
      <c r="FOA24" s="68"/>
      <c r="FOB24" s="68"/>
      <c r="FOC24" s="68"/>
      <c r="FOD24" s="68"/>
      <c r="FOE24" s="68"/>
      <c r="FOF24" s="68"/>
      <c r="FOG24" s="68"/>
      <c r="FOH24" s="68"/>
      <c r="FOI24" s="68"/>
      <c r="FOJ24" s="68"/>
      <c r="FOK24" s="68"/>
      <c r="FOL24" s="68"/>
      <c r="FOM24" s="68"/>
      <c r="FON24" s="68"/>
      <c r="FOO24" s="68"/>
      <c r="FOP24" s="68"/>
      <c r="FOQ24" s="68"/>
      <c r="FOR24" s="68"/>
      <c r="FOS24" s="68"/>
      <c r="FOT24" s="68"/>
      <c r="FOU24" s="68"/>
      <c r="FOV24" s="68"/>
      <c r="FOW24" s="68"/>
      <c r="FOX24" s="68"/>
      <c r="FOY24" s="68"/>
      <c r="FOZ24" s="68"/>
      <c r="FPA24" s="68"/>
      <c r="FPB24" s="68"/>
      <c r="FPC24" s="68"/>
      <c r="FPD24" s="68"/>
      <c r="FPE24" s="68"/>
      <c r="FPF24" s="68"/>
      <c r="FPG24" s="68"/>
      <c r="FPH24" s="68"/>
      <c r="FPI24" s="68"/>
      <c r="FPJ24" s="68"/>
      <c r="FPK24" s="68"/>
      <c r="FPL24" s="68"/>
      <c r="FPM24" s="68"/>
      <c r="FPN24" s="68"/>
      <c r="FPO24" s="68"/>
      <c r="FPP24" s="68"/>
      <c r="FPQ24" s="68"/>
      <c r="FPR24" s="68"/>
      <c r="FPS24" s="68"/>
      <c r="FPT24" s="68"/>
      <c r="FPU24" s="68"/>
      <c r="FPV24" s="68"/>
      <c r="FPW24" s="68"/>
      <c r="FPX24" s="68"/>
      <c r="FPY24" s="68"/>
      <c r="FPZ24" s="68"/>
      <c r="FQA24" s="68"/>
      <c r="FQB24" s="68"/>
      <c r="FQC24" s="68"/>
      <c r="FQD24" s="68"/>
      <c r="FQE24" s="68"/>
      <c r="FQF24" s="68"/>
      <c r="FQG24" s="68"/>
      <c r="FQH24" s="68"/>
      <c r="FQI24" s="68"/>
      <c r="FQJ24" s="68"/>
      <c r="FQK24" s="68"/>
      <c r="FQL24" s="68"/>
      <c r="FQM24" s="68"/>
      <c r="FQN24" s="68"/>
      <c r="FQO24" s="68"/>
      <c r="FQP24" s="68"/>
      <c r="FQQ24" s="68"/>
      <c r="FQR24" s="68"/>
      <c r="FQS24" s="68"/>
      <c r="FQT24" s="68"/>
      <c r="FQU24" s="68"/>
      <c r="FQV24" s="68"/>
      <c r="FQW24" s="68"/>
      <c r="FQX24" s="68"/>
      <c r="FQY24" s="68"/>
      <c r="FQZ24" s="68"/>
      <c r="FRA24" s="68"/>
      <c r="FRB24" s="68"/>
      <c r="FRC24" s="68"/>
      <c r="FRD24" s="68"/>
      <c r="FRE24" s="68"/>
      <c r="FRF24" s="68"/>
      <c r="FRG24" s="68"/>
      <c r="FRH24" s="68"/>
      <c r="FRI24" s="68"/>
      <c r="FRJ24" s="68"/>
      <c r="FRK24" s="68"/>
      <c r="FRL24" s="68"/>
      <c r="FRM24" s="68"/>
      <c r="FRN24" s="68"/>
      <c r="FRO24" s="68"/>
      <c r="FRP24" s="68"/>
      <c r="FRQ24" s="68"/>
      <c r="FRR24" s="68"/>
      <c r="FRS24" s="68"/>
      <c r="FRT24" s="68"/>
      <c r="FRU24" s="68"/>
      <c r="FRV24" s="68"/>
      <c r="FRW24" s="68"/>
      <c r="FRX24" s="68"/>
      <c r="FRY24" s="68"/>
      <c r="FRZ24" s="68"/>
      <c r="FSA24" s="68"/>
      <c r="FSB24" s="68"/>
      <c r="FSC24" s="68"/>
      <c r="FSD24" s="68"/>
      <c r="FSE24" s="68"/>
      <c r="FSF24" s="68"/>
      <c r="FSG24" s="68"/>
      <c r="FSH24" s="68"/>
      <c r="FSI24" s="68"/>
      <c r="FSJ24" s="68"/>
      <c r="FSK24" s="68"/>
      <c r="FSL24" s="68"/>
      <c r="FSM24" s="68"/>
      <c r="FSN24" s="68"/>
      <c r="FSO24" s="68"/>
      <c r="FSP24" s="68"/>
      <c r="FSQ24" s="68"/>
      <c r="FSR24" s="68"/>
      <c r="FSS24" s="68"/>
      <c r="FST24" s="68"/>
      <c r="FSU24" s="68"/>
      <c r="FSV24" s="68"/>
      <c r="FSW24" s="68"/>
      <c r="FSX24" s="68"/>
      <c r="FSY24" s="68"/>
      <c r="FSZ24" s="68"/>
      <c r="FTA24" s="68"/>
      <c r="FTB24" s="68"/>
      <c r="FTC24" s="68"/>
      <c r="FTD24" s="68"/>
      <c r="FTE24" s="68"/>
      <c r="FTF24" s="68"/>
      <c r="FTG24" s="68"/>
      <c r="FTH24" s="68"/>
      <c r="FTI24" s="68"/>
      <c r="FTJ24" s="68"/>
      <c r="FTK24" s="68"/>
      <c r="FTL24" s="68"/>
      <c r="FTM24" s="68"/>
      <c r="FTN24" s="68"/>
      <c r="FTO24" s="68"/>
      <c r="FTP24" s="68"/>
      <c r="FTQ24" s="68"/>
      <c r="FTR24" s="68"/>
      <c r="FTS24" s="68"/>
      <c r="FTT24" s="68"/>
      <c r="FTU24" s="68"/>
      <c r="FTV24" s="68"/>
      <c r="FTW24" s="68"/>
      <c r="FTX24" s="68"/>
      <c r="FTY24" s="68"/>
      <c r="FTZ24" s="68"/>
      <c r="FUA24" s="68"/>
      <c r="FUB24" s="68"/>
      <c r="FUC24" s="68"/>
      <c r="FUD24" s="68"/>
      <c r="FUE24" s="68"/>
      <c r="FUF24" s="68"/>
      <c r="FUG24" s="68"/>
      <c r="FUH24" s="68"/>
      <c r="FUI24" s="68"/>
      <c r="FUJ24" s="68"/>
      <c r="FUK24" s="68"/>
      <c r="FUL24" s="68"/>
      <c r="FUM24" s="68"/>
      <c r="FUN24" s="68"/>
      <c r="FUO24" s="68"/>
      <c r="FUP24" s="68"/>
      <c r="FUQ24" s="68"/>
      <c r="FUR24" s="68"/>
      <c r="FUS24" s="68"/>
      <c r="FUT24" s="68"/>
      <c r="FUU24" s="68"/>
      <c r="FUV24" s="68"/>
      <c r="FUW24" s="68"/>
      <c r="FUX24" s="68"/>
      <c r="FUY24" s="68"/>
      <c r="FUZ24" s="68"/>
      <c r="FVA24" s="68"/>
      <c r="FVB24" s="68"/>
      <c r="FVC24" s="68"/>
      <c r="FVD24" s="68"/>
      <c r="FVE24" s="68"/>
      <c r="FVF24" s="68"/>
      <c r="FVG24" s="68"/>
      <c r="FVH24" s="68"/>
      <c r="FVI24" s="68"/>
      <c r="FVJ24" s="68"/>
      <c r="FVK24" s="68"/>
      <c r="FVL24" s="68"/>
      <c r="FVM24" s="68"/>
      <c r="FVN24" s="68"/>
      <c r="FVO24" s="68"/>
      <c r="FVP24" s="68"/>
      <c r="FVQ24" s="68"/>
      <c r="FVR24" s="68"/>
      <c r="FVS24" s="68"/>
      <c r="FVT24" s="68"/>
      <c r="FVU24" s="68"/>
      <c r="FVV24" s="68"/>
      <c r="FVW24" s="68"/>
      <c r="FVX24" s="68"/>
      <c r="FVY24" s="68"/>
      <c r="FVZ24" s="68"/>
      <c r="FWA24" s="68"/>
      <c r="FWB24" s="68"/>
      <c r="FWC24" s="68"/>
      <c r="FWD24" s="68"/>
      <c r="FWE24" s="68"/>
      <c r="FWF24" s="68"/>
      <c r="FWG24" s="68"/>
      <c r="FWH24" s="68"/>
      <c r="FWI24" s="68"/>
      <c r="FWJ24" s="68"/>
      <c r="FWK24" s="68"/>
      <c r="FWL24" s="68"/>
      <c r="FWM24" s="68"/>
      <c r="FWN24" s="68"/>
      <c r="FWO24" s="68"/>
      <c r="FWP24" s="68"/>
      <c r="FWQ24" s="68"/>
      <c r="FWR24" s="68"/>
      <c r="FWS24" s="68"/>
      <c r="FWT24" s="68"/>
      <c r="FWU24" s="68"/>
      <c r="FWV24" s="68"/>
      <c r="FWW24" s="68"/>
      <c r="FWX24" s="68"/>
      <c r="FWY24" s="68"/>
      <c r="FWZ24" s="68"/>
      <c r="FXA24" s="68"/>
      <c r="FXB24" s="68"/>
      <c r="FXC24" s="68"/>
      <c r="FXD24" s="68"/>
      <c r="FXE24" s="68"/>
      <c r="FXF24" s="68"/>
      <c r="FXG24" s="68"/>
      <c r="FXH24" s="68"/>
      <c r="FXI24" s="68"/>
      <c r="FXJ24" s="68"/>
      <c r="FXK24" s="68"/>
      <c r="FXL24" s="68"/>
      <c r="FXM24" s="68"/>
      <c r="FXN24" s="68"/>
      <c r="FXO24" s="68"/>
      <c r="FXP24" s="68"/>
      <c r="FXQ24" s="68"/>
      <c r="FXR24" s="68"/>
      <c r="FXS24" s="68"/>
      <c r="FXT24" s="68"/>
      <c r="FXU24" s="68"/>
      <c r="FXV24" s="68"/>
      <c r="FXW24" s="68"/>
      <c r="FXX24" s="68"/>
      <c r="FXY24" s="68"/>
      <c r="FXZ24" s="68"/>
      <c r="FYA24" s="68"/>
      <c r="FYB24" s="68"/>
      <c r="FYC24" s="68"/>
      <c r="FYD24" s="68"/>
      <c r="FYE24" s="68"/>
      <c r="FYF24" s="68"/>
      <c r="FYG24" s="68"/>
      <c r="FYH24" s="68"/>
      <c r="FYI24" s="68"/>
      <c r="FYJ24" s="68"/>
      <c r="FYK24" s="68"/>
      <c r="FYL24" s="68"/>
      <c r="FYM24" s="68"/>
      <c r="FYN24" s="68"/>
      <c r="FYO24" s="68"/>
      <c r="FYP24" s="68"/>
      <c r="FYQ24" s="68"/>
      <c r="FYR24" s="68"/>
      <c r="FYS24" s="68"/>
      <c r="FYT24" s="68"/>
      <c r="FYU24" s="68"/>
      <c r="FYV24" s="68"/>
      <c r="FYW24" s="68"/>
      <c r="FYX24" s="68"/>
      <c r="FYY24" s="68"/>
      <c r="FYZ24" s="68"/>
      <c r="FZA24" s="68"/>
      <c r="FZB24" s="68"/>
      <c r="FZC24" s="68"/>
      <c r="FZD24" s="68"/>
      <c r="FZE24" s="68"/>
      <c r="FZF24" s="68"/>
      <c r="FZG24" s="68"/>
      <c r="FZH24" s="68"/>
      <c r="FZI24" s="68"/>
      <c r="FZJ24" s="68"/>
      <c r="FZK24" s="68"/>
      <c r="FZL24" s="68"/>
      <c r="FZM24" s="68"/>
      <c r="FZN24" s="68"/>
      <c r="FZO24" s="68"/>
      <c r="FZP24" s="68"/>
      <c r="FZQ24" s="68"/>
      <c r="FZR24" s="68"/>
      <c r="FZS24" s="68"/>
      <c r="FZT24" s="68"/>
      <c r="FZU24" s="68"/>
      <c r="FZV24" s="68"/>
      <c r="FZW24" s="68"/>
      <c r="FZX24" s="68"/>
      <c r="FZY24" s="68"/>
      <c r="FZZ24" s="68"/>
      <c r="GAA24" s="68"/>
      <c r="GAB24" s="68"/>
      <c r="GAC24" s="68"/>
      <c r="GAD24" s="68"/>
      <c r="GAE24" s="68"/>
      <c r="GAF24" s="68"/>
      <c r="GAG24" s="68"/>
      <c r="GAH24" s="68"/>
      <c r="GAI24" s="68"/>
      <c r="GAJ24" s="68"/>
      <c r="GAK24" s="68"/>
      <c r="GAL24" s="68"/>
      <c r="GAM24" s="68"/>
      <c r="GAN24" s="68"/>
      <c r="GAO24" s="68"/>
      <c r="GAP24" s="68"/>
      <c r="GAQ24" s="68"/>
      <c r="GAR24" s="68"/>
      <c r="GAS24" s="68"/>
      <c r="GAT24" s="68"/>
      <c r="GAU24" s="68"/>
      <c r="GAV24" s="68"/>
      <c r="GAW24" s="68"/>
      <c r="GAX24" s="68"/>
      <c r="GAY24" s="68"/>
      <c r="GAZ24" s="68"/>
      <c r="GBA24" s="68"/>
      <c r="GBB24" s="68"/>
      <c r="GBC24" s="68"/>
      <c r="GBD24" s="68"/>
      <c r="GBE24" s="68"/>
      <c r="GBF24" s="68"/>
      <c r="GBG24" s="68"/>
      <c r="GBH24" s="68"/>
      <c r="GBI24" s="68"/>
      <c r="GBJ24" s="68"/>
      <c r="GBK24" s="68"/>
      <c r="GBL24" s="68"/>
      <c r="GBM24" s="68"/>
      <c r="GBN24" s="68"/>
      <c r="GBO24" s="68"/>
      <c r="GBP24" s="68"/>
      <c r="GBQ24" s="68"/>
      <c r="GBR24" s="68"/>
      <c r="GBS24" s="68"/>
      <c r="GBT24" s="68"/>
      <c r="GBU24" s="68"/>
      <c r="GBV24" s="68"/>
      <c r="GBW24" s="68"/>
      <c r="GBX24" s="68"/>
      <c r="GBY24" s="68"/>
      <c r="GBZ24" s="68"/>
      <c r="GCA24" s="68"/>
      <c r="GCB24" s="68"/>
      <c r="GCC24" s="68"/>
      <c r="GCD24" s="68"/>
      <c r="GCE24" s="68"/>
      <c r="GCF24" s="68"/>
      <c r="GCG24" s="68"/>
      <c r="GCH24" s="68"/>
      <c r="GCI24" s="68"/>
      <c r="GCJ24" s="68"/>
      <c r="GCK24" s="68"/>
      <c r="GCL24" s="68"/>
      <c r="GCM24" s="68"/>
      <c r="GCN24" s="68"/>
      <c r="GCO24" s="68"/>
      <c r="GCP24" s="68"/>
      <c r="GCQ24" s="68"/>
      <c r="GCR24" s="68"/>
      <c r="GCS24" s="68"/>
      <c r="GCT24" s="68"/>
      <c r="GCU24" s="68"/>
      <c r="GCV24" s="68"/>
      <c r="GCW24" s="68"/>
      <c r="GCX24" s="68"/>
      <c r="GCY24" s="68"/>
      <c r="GCZ24" s="68"/>
      <c r="GDA24" s="68"/>
      <c r="GDB24" s="68"/>
      <c r="GDC24" s="68"/>
      <c r="GDD24" s="68"/>
      <c r="GDE24" s="68"/>
      <c r="GDF24" s="68"/>
      <c r="GDG24" s="68"/>
      <c r="GDH24" s="68"/>
      <c r="GDI24" s="68"/>
      <c r="GDJ24" s="68"/>
      <c r="GDK24" s="68"/>
      <c r="GDL24" s="68"/>
      <c r="GDM24" s="68"/>
      <c r="GDN24" s="68"/>
      <c r="GDO24" s="68"/>
      <c r="GDP24" s="68"/>
      <c r="GDQ24" s="68"/>
      <c r="GDR24" s="68"/>
      <c r="GDS24" s="68"/>
      <c r="GDT24" s="68"/>
      <c r="GDU24" s="68"/>
      <c r="GDV24" s="68"/>
      <c r="GDW24" s="68"/>
      <c r="GDX24" s="68"/>
      <c r="GDY24" s="68"/>
      <c r="GDZ24" s="68"/>
      <c r="GEA24" s="68"/>
      <c r="GEB24" s="68"/>
      <c r="GEC24" s="68"/>
      <c r="GED24" s="68"/>
      <c r="GEE24" s="68"/>
      <c r="GEF24" s="68"/>
      <c r="GEG24" s="68"/>
      <c r="GEH24" s="68"/>
      <c r="GEI24" s="68"/>
      <c r="GEJ24" s="68"/>
      <c r="GEK24" s="68"/>
      <c r="GEL24" s="68"/>
      <c r="GEM24" s="68"/>
      <c r="GEN24" s="68"/>
      <c r="GEO24" s="68"/>
      <c r="GEP24" s="68"/>
      <c r="GEQ24" s="68"/>
      <c r="GER24" s="68"/>
      <c r="GES24" s="68"/>
      <c r="GET24" s="68"/>
      <c r="GEU24" s="68"/>
      <c r="GEV24" s="68"/>
      <c r="GEW24" s="68"/>
      <c r="GEX24" s="68"/>
      <c r="GEY24" s="68"/>
      <c r="GEZ24" s="68"/>
      <c r="GFA24" s="68"/>
      <c r="GFB24" s="68"/>
      <c r="GFC24" s="68"/>
      <c r="GFD24" s="68"/>
      <c r="GFE24" s="68"/>
      <c r="GFF24" s="68"/>
      <c r="GFG24" s="68"/>
      <c r="GFH24" s="68"/>
      <c r="GFI24" s="68"/>
      <c r="GFJ24" s="68"/>
      <c r="GFK24" s="68"/>
      <c r="GFL24" s="68"/>
      <c r="GFM24" s="68"/>
      <c r="GFN24" s="68"/>
      <c r="GFO24" s="68"/>
      <c r="GFP24" s="68"/>
      <c r="GFQ24" s="68"/>
      <c r="GFR24" s="68"/>
      <c r="GFS24" s="68"/>
      <c r="GFT24" s="68"/>
      <c r="GFU24" s="68"/>
      <c r="GFV24" s="68"/>
      <c r="GFW24" s="68"/>
      <c r="GFX24" s="68"/>
      <c r="GFY24" s="68"/>
      <c r="GFZ24" s="68"/>
      <c r="GGA24" s="68"/>
      <c r="GGB24" s="68"/>
      <c r="GGC24" s="68"/>
      <c r="GGD24" s="68"/>
      <c r="GGE24" s="68"/>
      <c r="GGF24" s="68"/>
      <c r="GGG24" s="68"/>
      <c r="GGH24" s="68"/>
      <c r="GGI24" s="68"/>
      <c r="GGJ24" s="68"/>
      <c r="GGK24" s="68"/>
      <c r="GGL24" s="68"/>
      <c r="GGM24" s="68"/>
      <c r="GGN24" s="68"/>
      <c r="GGO24" s="68"/>
      <c r="GGP24" s="68"/>
      <c r="GGQ24" s="68"/>
      <c r="GGR24" s="68"/>
      <c r="GGS24" s="68"/>
      <c r="GGT24" s="68"/>
      <c r="GGU24" s="68"/>
      <c r="GGV24" s="68"/>
      <c r="GGW24" s="68"/>
      <c r="GGX24" s="68"/>
      <c r="GGY24" s="68"/>
      <c r="GGZ24" s="68"/>
      <c r="GHA24" s="68"/>
      <c r="GHB24" s="68"/>
      <c r="GHC24" s="68"/>
      <c r="GHD24" s="68"/>
      <c r="GHE24" s="68"/>
      <c r="GHF24" s="68"/>
      <c r="GHG24" s="68"/>
      <c r="GHH24" s="68"/>
      <c r="GHI24" s="68"/>
      <c r="GHJ24" s="68"/>
      <c r="GHK24" s="68"/>
      <c r="GHL24" s="68"/>
      <c r="GHM24" s="68"/>
      <c r="GHN24" s="68"/>
      <c r="GHO24" s="68"/>
      <c r="GHP24" s="68"/>
      <c r="GHQ24" s="68"/>
      <c r="GHR24" s="68"/>
      <c r="GHS24" s="68"/>
      <c r="GHT24" s="68"/>
      <c r="GHU24" s="68"/>
      <c r="GHV24" s="68"/>
      <c r="GHW24" s="68"/>
      <c r="GHX24" s="68"/>
      <c r="GHY24" s="68"/>
      <c r="GHZ24" s="68"/>
      <c r="GIA24" s="68"/>
      <c r="GIB24" s="68"/>
      <c r="GIC24" s="68"/>
      <c r="GID24" s="68"/>
      <c r="GIE24" s="68"/>
      <c r="GIF24" s="68"/>
      <c r="GIG24" s="68"/>
      <c r="GIH24" s="68"/>
      <c r="GII24" s="68"/>
      <c r="GIJ24" s="68"/>
      <c r="GIK24" s="68"/>
      <c r="GIL24" s="68"/>
      <c r="GIM24" s="68"/>
      <c r="GIN24" s="68"/>
      <c r="GIO24" s="68"/>
      <c r="GIP24" s="68"/>
      <c r="GIQ24" s="68"/>
      <c r="GIR24" s="68"/>
      <c r="GIS24" s="68"/>
      <c r="GIT24" s="68"/>
      <c r="GIU24" s="68"/>
      <c r="GIV24" s="68"/>
      <c r="GIW24" s="68"/>
      <c r="GIX24" s="68"/>
      <c r="GIY24" s="68"/>
      <c r="GIZ24" s="68"/>
      <c r="GJA24" s="68"/>
      <c r="GJB24" s="68"/>
      <c r="GJC24" s="68"/>
      <c r="GJD24" s="68"/>
      <c r="GJE24" s="68"/>
      <c r="GJF24" s="68"/>
      <c r="GJG24" s="68"/>
      <c r="GJH24" s="68"/>
      <c r="GJI24" s="68"/>
      <c r="GJJ24" s="68"/>
      <c r="GJK24" s="68"/>
      <c r="GJL24" s="68"/>
      <c r="GJM24" s="68"/>
      <c r="GJN24" s="68"/>
      <c r="GJO24" s="68"/>
      <c r="GJP24" s="68"/>
      <c r="GJQ24" s="68"/>
      <c r="GJR24" s="68"/>
      <c r="GJS24" s="68"/>
      <c r="GJT24" s="68"/>
      <c r="GJU24" s="68"/>
      <c r="GJV24" s="68"/>
      <c r="GJW24" s="68"/>
      <c r="GJX24" s="68"/>
      <c r="GJY24" s="68"/>
      <c r="GJZ24" s="68"/>
      <c r="GKA24" s="68"/>
      <c r="GKB24" s="68"/>
      <c r="GKC24" s="68"/>
      <c r="GKD24" s="68"/>
      <c r="GKE24" s="68"/>
      <c r="GKF24" s="68"/>
      <c r="GKG24" s="68"/>
      <c r="GKH24" s="68"/>
      <c r="GKI24" s="68"/>
      <c r="GKJ24" s="68"/>
      <c r="GKK24" s="68"/>
      <c r="GKL24" s="68"/>
      <c r="GKM24" s="68"/>
      <c r="GKN24" s="68"/>
      <c r="GKO24" s="68"/>
      <c r="GKP24" s="68"/>
      <c r="GKQ24" s="68"/>
      <c r="GKR24" s="68"/>
      <c r="GKS24" s="68"/>
      <c r="GKT24" s="68"/>
      <c r="GKU24" s="68"/>
      <c r="GKV24" s="68"/>
      <c r="GKW24" s="68"/>
      <c r="GKX24" s="68"/>
      <c r="GKY24" s="68"/>
      <c r="GKZ24" s="68"/>
      <c r="GLA24" s="68"/>
      <c r="GLB24" s="68"/>
      <c r="GLC24" s="68"/>
      <c r="GLD24" s="68"/>
      <c r="GLE24" s="68"/>
      <c r="GLF24" s="68"/>
      <c r="GLG24" s="68"/>
      <c r="GLH24" s="68"/>
      <c r="GLI24" s="68"/>
      <c r="GLJ24" s="68"/>
      <c r="GLK24" s="68"/>
      <c r="GLL24" s="68"/>
      <c r="GLM24" s="68"/>
      <c r="GLN24" s="68"/>
      <c r="GLO24" s="68"/>
      <c r="GLP24" s="68"/>
      <c r="GLQ24" s="68"/>
      <c r="GLR24" s="68"/>
      <c r="GLS24" s="68"/>
      <c r="GLT24" s="68"/>
      <c r="GLU24" s="68"/>
      <c r="GLV24" s="68"/>
      <c r="GLW24" s="68"/>
      <c r="GLX24" s="68"/>
      <c r="GLY24" s="68"/>
      <c r="GLZ24" s="68"/>
      <c r="GMA24" s="68"/>
      <c r="GMB24" s="68"/>
      <c r="GMC24" s="68"/>
      <c r="GMD24" s="68"/>
      <c r="GME24" s="68"/>
      <c r="GMF24" s="68"/>
      <c r="GMG24" s="68"/>
      <c r="GMH24" s="68"/>
      <c r="GMI24" s="68"/>
      <c r="GMJ24" s="68"/>
      <c r="GMK24" s="68"/>
      <c r="GML24" s="68"/>
      <c r="GMM24" s="68"/>
      <c r="GMN24" s="68"/>
      <c r="GMO24" s="68"/>
      <c r="GMP24" s="68"/>
      <c r="GMQ24" s="68"/>
      <c r="GMR24" s="68"/>
      <c r="GMS24" s="68"/>
      <c r="GMT24" s="68"/>
      <c r="GMU24" s="68"/>
      <c r="GMV24" s="68"/>
      <c r="GMW24" s="68"/>
      <c r="GMX24" s="68"/>
      <c r="GMY24" s="68"/>
      <c r="GMZ24" s="68"/>
      <c r="GNA24" s="68"/>
      <c r="GNB24" s="68"/>
      <c r="GNC24" s="68"/>
      <c r="GND24" s="68"/>
      <c r="GNE24" s="68"/>
      <c r="GNF24" s="68"/>
      <c r="GNG24" s="68"/>
      <c r="GNH24" s="68"/>
      <c r="GNI24" s="68"/>
      <c r="GNJ24" s="68"/>
      <c r="GNK24" s="68"/>
      <c r="GNL24" s="68"/>
      <c r="GNM24" s="68"/>
      <c r="GNN24" s="68"/>
      <c r="GNO24" s="68"/>
      <c r="GNP24" s="68"/>
      <c r="GNQ24" s="68"/>
      <c r="GNR24" s="68"/>
      <c r="GNS24" s="68"/>
      <c r="GNT24" s="68"/>
      <c r="GNU24" s="68"/>
      <c r="GNV24" s="68"/>
      <c r="GNW24" s="68"/>
      <c r="GNX24" s="68"/>
      <c r="GNY24" s="68"/>
      <c r="GNZ24" s="68"/>
      <c r="GOA24" s="68"/>
      <c r="GOB24" s="68"/>
      <c r="GOC24" s="68"/>
      <c r="GOD24" s="68"/>
      <c r="GOE24" s="68"/>
      <c r="GOF24" s="68"/>
      <c r="GOG24" s="68"/>
      <c r="GOH24" s="68"/>
      <c r="GOI24" s="68"/>
      <c r="GOJ24" s="68"/>
      <c r="GOK24" s="68"/>
      <c r="GOL24" s="68"/>
      <c r="GOM24" s="68"/>
      <c r="GON24" s="68"/>
      <c r="GOO24" s="68"/>
      <c r="GOP24" s="68"/>
      <c r="GOQ24" s="68"/>
      <c r="GOR24" s="68"/>
      <c r="GOS24" s="68"/>
      <c r="GOT24" s="68"/>
      <c r="GOU24" s="68"/>
      <c r="GOV24" s="68"/>
      <c r="GOW24" s="68"/>
      <c r="GOX24" s="68"/>
      <c r="GOY24" s="68"/>
      <c r="GOZ24" s="68"/>
      <c r="GPA24" s="68"/>
      <c r="GPB24" s="68"/>
      <c r="GPC24" s="68"/>
      <c r="GPD24" s="68"/>
      <c r="GPE24" s="68"/>
      <c r="GPF24" s="68"/>
      <c r="GPG24" s="68"/>
      <c r="GPH24" s="68"/>
      <c r="GPI24" s="68"/>
      <c r="GPJ24" s="68"/>
      <c r="GPK24" s="68"/>
      <c r="GPL24" s="68"/>
      <c r="GPM24" s="68"/>
      <c r="GPN24" s="68"/>
      <c r="GPO24" s="68"/>
      <c r="GPP24" s="68"/>
      <c r="GPQ24" s="68"/>
      <c r="GPR24" s="68"/>
      <c r="GPS24" s="68"/>
      <c r="GPT24" s="68"/>
      <c r="GPU24" s="68"/>
      <c r="GPV24" s="68"/>
      <c r="GPW24" s="68"/>
      <c r="GPX24" s="68"/>
      <c r="GPY24" s="68"/>
      <c r="GPZ24" s="68"/>
      <c r="GQA24" s="68"/>
      <c r="GQB24" s="68"/>
      <c r="GQC24" s="68"/>
      <c r="GQD24" s="68"/>
      <c r="GQE24" s="68"/>
      <c r="GQF24" s="68"/>
      <c r="GQG24" s="68"/>
      <c r="GQH24" s="68"/>
      <c r="GQI24" s="68"/>
      <c r="GQJ24" s="68"/>
      <c r="GQK24" s="68"/>
      <c r="GQL24" s="68"/>
      <c r="GQM24" s="68"/>
      <c r="GQN24" s="68"/>
      <c r="GQO24" s="68"/>
      <c r="GQP24" s="68"/>
      <c r="GQQ24" s="68"/>
      <c r="GQR24" s="68"/>
      <c r="GQS24" s="68"/>
      <c r="GQT24" s="68"/>
      <c r="GQU24" s="68"/>
      <c r="GQV24" s="68"/>
      <c r="GQW24" s="68"/>
      <c r="GQX24" s="68"/>
      <c r="GQY24" s="68"/>
      <c r="GQZ24" s="68"/>
      <c r="GRA24" s="68"/>
      <c r="GRB24" s="68"/>
      <c r="GRC24" s="68"/>
      <c r="GRD24" s="68"/>
      <c r="GRE24" s="68"/>
      <c r="GRF24" s="68"/>
      <c r="GRG24" s="68"/>
      <c r="GRH24" s="68"/>
      <c r="GRI24" s="68"/>
      <c r="GRJ24" s="68"/>
      <c r="GRK24" s="68"/>
      <c r="GRL24" s="68"/>
      <c r="GRM24" s="68"/>
      <c r="GRN24" s="68"/>
      <c r="GRO24" s="68"/>
      <c r="GRP24" s="68"/>
      <c r="GRQ24" s="68"/>
      <c r="GRR24" s="68"/>
      <c r="GRS24" s="68"/>
      <c r="GRT24" s="68"/>
      <c r="GRU24" s="68"/>
      <c r="GRV24" s="68"/>
      <c r="GRW24" s="68"/>
      <c r="GRX24" s="68"/>
      <c r="GRY24" s="68"/>
      <c r="GRZ24" s="68"/>
      <c r="GSA24" s="68"/>
      <c r="GSB24" s="68"/>
      <c r="GSC24" s="68"/>
      <c r="GSD24" s="68"/>
      <c r="GSE24" s="68"/>
      <c r="GSF24" s="68"/>
      <c r="GSG24" s="68"/>
      <c r="GSH24" s="68"/>
      <c r="GSI24" s="68"/>
      <c r="GSJ24" s="68"/>
      <c r="GSK24" s="68"/>
      <c r="GSL24" s="68"/>
      <c r="GSM24" s="68"/>
      <c r="GSN24" s="68"/>
      <c r="GSO24" s="68"/>
      <c r="GSP24" s="68"/>
      <c r="GSQ24" s="68"/>
      <c r="GSR24" s="68"/>
      <c r="GSS24" s="68"/>
      <c r="GST24" s="68"/>
      <c r="GSU24" s="68"/>
      <c r="GSV24" s="68"/>
      <c r="GSW24" s="68"/>
      <c r="GSX24" s="68"/>
      <c r="GSY24" s="68"/>
      <c r="GSZ24" s="68"/>
      <c r="GTA24" s="68"/>
      <c r="GTB24" s="68"/>
      <c r="GTC24" s="68"/>
      <c r="GTD24" s="68"/>
      <c r="GTE24" s="68"/>
      <c r="GTF24" s="68"/>
      <c r="GTG24" s="68"/>
      <c r="GTH24" s="68"/>
      <c r="GTI24" s="68"/>
      <c r="GTJ24" s="68"/>
      <c r="GTK24" s="68"/>
      <c r="GTL24" s="68"/>
      <c r="GTM24" s="68"/>
      <c r="GTN24" s="68"/>
      <c r="GTO24" s="68"/>
      <c r="GTP24" s="68"/>
      <c r="GTQ24" s="68"/>
      <c r="GTR24" s="68"/>
      <c r="GTS24" s="68"/>
      <c r="GTT24" s="68"/>
      <c r="GTU24" s="68"/>
      <c r="GTV24" s="68"/>
      <c r="GTW24" s="68"/>
      <c r="GTX24" s="68"/>
      <c r="GTY24" s="68"/>
      <c r="GTZ24" s="68"/>
      <c r="GUA24" s="68"/>
      <c r="GUB24" s="68"/>
      <c r="GUC24" s="68"/>
      <c r="GUD24" s="68"/>
      <c r="GUE24" s="68"/>
      <c r="GUF24" s="68"/>
      <c r="GUG24" s="68"/>
      <c r="GUH24" s="68"/>
      <c r="GUI24" s="68"/>
      <c r="GUJ24" s="68"/>
      <c r="GUK24" s="68"/>
      <c r="GUL24" s="68"/>
      <c r="GUM24" s="68"/>
      <c r="GUN24" s="68"/>
      <c r="GUO24" s="68"/>
      <c r="GUP24" s="68"/>
      <c r="GUQ24" s="68"/>
      <c r="GUR24" s="68"/>
      <c r="GUS24" s="68"/>
      <c r="GUT24" s="68"/>
      <c r="GUU24" s="68"/>
      <c r="GUV24" s="68"/>
      <c r="GUW24" s="68"/>
      <c r="GUX24" s="68"/>
      <c r="GUY24" s="68"/>
      <c r="GUZ24" s="68"/>
      <c r="GVA24" s="68"/>
      <c r="GVB24" s="68"/>
      <c r="GVC24" s="68"/>
      <c r="GVD24" s="68"/>
      <c r="GVE24" s="68"/>
      <c r="GVF24" s="68"/>
      <c r="GVG24" s="68"/>
      <c r="GVH24" s="68"/>
      <c r="GVI24" s="68"/>
      <c r="GVJ24" s="68"/>
      <c r="GVK24" s="68"/>
      <c r="GVL24" s="68"/>
      <c r="GVM24" s="68"/>
      <c r="GVN24" s="68"/>
      <c r="GVO24" s="68"/>
      <c r="GVP24" s="68"/>
      <c r="GVQ24" s="68"/>
      <c r="GVR24" s="68"/>
      <c r="GVS24" s="68"/>
      <c r="GVT24" s="68"/>
      <c r="GVU24" s="68"/>
      <c r="GVV24" s="68"/>
      <c r="GVW24" s="68"/>
      <c r="GVX24" s="68"/>
      <c r="GVY24" s="68"/>
      <c r="GVZ24" s="68"/>
      <c r="GWA24" s="68"/>
      <c r="GWB24" s="68"/>
      <c r="GWC24" s="68"/>
      <c r="GWD24" s="68"/>
      <c r="GWE24" s="68"/>
      <c r="GWF24" s="68"/>
      <c r="GWG24" s="68"/>
      <c r="GWH24" s="68"/>
      <c r="GWI24" s="68"/>
      <c r="GWJ24" s="68"/>
      <c r="GWK24" s="68"/>
      <c r="GWL24" s="68"/>
      <c r="GWM24" s="68"/>
      <c r="GWN24" s="68"/>
      <c r="GWO24" s="68"/>
      <c r="GWP24" s="68"/>
      <c r="GWQ24" s="68"/>
      <c r="GWR24" s="68"/>
      <c r="GWS24" s="68"/>
      <c r="GWT24" s="68"/>
      <c r="GWU24" s="68"/>
      <c r="GWV24" s="68"/>
      <c r="GWW24" s="68"/>
      <c r="GWX24" s="68"/>
      <c r="GWY24" s="68"/>
      <c r="GWZ24" s="68"/>
      <c r="GXA24" s="68"/>
      <c r="GXB24" s="68"/>
      <c r="GXC24" s="68"/>
      <c r="GXD24" s="68"/>
      <c r="GXE24" s="68"/>
      <c r="GXF24" s="68"/>
      <c r="GXG24" s="68"/>
      <c r="GXH24" s="68"/>
      <c r="GXI24" s="68"/>
      <c r="GXJ24" s="68"/>
      <c r="GXK24" s="68"/>
      <c r="GXL24" s="68"/>
      <c r="GXM24" s="68"/>
      <c r="GXN24" s="68"/>
      <c r="GXO24" s="68"/>
      <c r="GXP24" s="68"/>
      <c r="GXQ24" s="68"/>
      <c r="GXR24" s="68"/>
      <c r="GXS24" s="68"/>
      <c r="GXT24" s="68"/>
      <c r="GXU24" s="68"/>
      <c r="GXV24" s="68"/>
      <c r="GXW24" s="68"/>
      <c r="GXX24" s="68"/>
      <c r="GXY24" s="68"/>
      <c r="GXZ24" s="68"/>
      <c r="GYA24" s="68"/>
      <c r="GYB24" s="68"/>
      <c r="GYC24" s="68"/>
      <c r="GYD24" s="68"/>
      <c r="GYE24" s="68"/>
      <c r="GYF24" s="68"/>
      <c r="GYG24" s="68"/>
      <c r="GYH24" s="68"/>
      <c r="GYI24" s="68"/>
      <c r="GYJ24" s="68"/>
      <c r="GYK24" s="68"/>
      <c r="GYL24" s="68"/>
      <c r="GYM24" s="68"/>
      <c r="GYN24" s="68"/>
      <c r="GYO24" s="68"/>
      <c r="GYP24" s="68"/>
      <c r="GYQ24" s="68"/>
      <c r="GYR24" s="68"/>
      <c r="GYS24" s="68"/>
      <c r="GYT24" s="68"/>
      <c r="GYU24" s="68"/>
      <c r="GYV24" s="68"/>
      <c r="GYW24" s="68"/>
      <c r="GYX24" s="68"/>
      <c r="GYY24" s="68"/>
      <c r="GYZ24" s="68"/>
      <c r="GZA24" s="68"/>
      <c r="GZB24" s="68"/>
      <c r="GZC24" s="68"/>
      <c r="GZD24" s="68"/>
      <c r="GZE24" s="68"/>
      <c r="GZF24" s="68"/>
      <c r="GZG24" s="68"/>
      <c r="GZH24" s="68"/>
      <c r="GZI24" s="68"/>
      <c r="GZJ24" s="68"/>
      <c r="GZK24" s="68"/>
      <c r="GZL24" s="68"/>
      <c r="GZM24" s="68"/>
      <c r="GZN24" s="68"/>
      <c r="GZO24" s="68"/>
      <c r="GZP24" s="68"/>
      <c r="GZQ24" s="68"/>
      <c r="GZR24" s="68"/>
      <c r="GZS24" s="68"/>
      <c r="GZT24" s="68"/>
      <c r="GZU24" s="68"/>
      <c r="GZV24" s="68"/>
      <c r="GZW24" s="68"/>
      <c r="GZX24" s="68"/>
      <c r="GZY24" s="68"/>
      <c r="GZZ24" s="68"/>
      <c r="HAA24" s="68"/>
      <c r="HAB24" s="68"/>
      <c r="HAC24" s="68"/>
      <c r="HAD24" s="68"/>
      <c r="HAE24" s="68"/>
      <c r="HAF24" s="68"/>
      <c r="HAG24" s="68"/>
      <c r="HAH24" s="68"/>
      <c r="HAI24" s="68"/>
      <c r="HAJ24" s="68"/>
      <c r="HAK24" s="68"/>
      <c r="HAL24" s="68"/>
      <c r="HAM24" s="68"/>
      <c r="HAN24" s="68"/>
      <c r="HAO24" s="68"/>
      <c r="HAP24" s="68"/>
      <c r="HAQ24" s="68"/>
      <c r="HAR24" s="68"/>
      <c r="HAS24" s="68"/>
      <c r="HAT24" s="68"/>
      <c r="HAU24" s="68"/>
      <c r="HAV24" s="68"/>
      <c r="HAW24" s="68"/>
      <c r="HAX24" s="68"/>
      <c r="HAY24" s="68"/>
      <c r="HAZ24" s="68"/>
      <c r="HBA24" s="68"/>
      <c r="HBB24" s="68"/>
      <c r="HBC24" s="68"/>
      <c r="HBD24" s="68"/>
      <c r="HBE24" s="68"/>
      <c r="HBF24" s="68"/>
      <c r="HBG24" s="68"/>
      <c r="HBH24" s="68"/>
      <c r="HBI24" s="68"/>
      <c r="HBJ24" s="68"/>
      <c r="HBK24" s="68"/>
      <c r="HBL24" s="68"/>
      <c r="HBM24" s="68"/>
      <c r="HBN24" s="68"/>
      <c r="HBO24" s="68"/>
      <c r="HBP24" s="68"/>
      <c r="HBQ24" s="68"/>
      <c r="HBR24" s="68"/>
      <c r="HBS24" s="68"/>
      <c r="HBT24" s="68"/>
      <c r="HBU24" s="68"/>
      <c r="HBV24" s="68"/>
      <c r="HBW24" s="68"/>
      <c r="HBX24" s="68"/>
      <c r="HBY24" s="68"/>
      <c r="HBZ24" s="68"/>
      <c r="HCA24" s="68"/>
      <c r="HCB24" s="68"/>
      <c r="HCC24" s="68"/>
      <c r="HCD24" s="68"/>
      <c r="HCE24" s="68"/>
      <c r="HCF24" s="68"/>
      <c r="HCG24" s="68"/>
      <c r="HCH24" s="68"/>
      <c r="HCI24" s="68"/>
      <c r="HCJ24" s="68"/>
      <c r="HCK24" s="68"/>
      <c r="HCL24" s="68"/>
      <c r="HCM24" s="68"/>
      <c r="HCN24" s="68"/>
      <c r="HCO24" s="68"/>
      <c r="HCP24" s="68"/>
      <c r="HCQ24" s="68"/>
      <c r="HCR24" s="68"/>
      <c r="HCS24" s="68"/>
      <c r="HCT24" s="68"/>
      <c r="HCU24" s="68"/>
      <c r="HCV24" s="68"/>
      <c r="HCW24" s="68"/>
      <c r="HCX24" s="68"/>
      <c r="HCY24" s="68"/>
      <c r="HCZ24" s="68"/>
      <c r="HDA24" s="68"/>
      <c r="HDB24" s="68"/>
      <c r="HDC24" s="68"/>
      <c r="HDD24" s="68"/>
      <c r="HDE24" s="68"/>
      <c r="HDF24" s="68"/>
      <c r="HDG24" s="68"/>
      <c r="HDH24" s="68"/>
      <c r="HDI24" s="68"/>
      <c r="HDJ24" s="68"/>
      <c r="HDK24" s="68"/>
      <c r="HDL24" s="68"/>
      <c r="HDM24" s="68"/>
      <c r="HDN24" s="68"/>
      <c r="HDO24" s="68"/>
      <c r="HDP24" s="68"/>
      <c r="HDQ24" s="68"/>
      <c r="HDR24" s="68"/>
      <c r="HDS24" s="68"/>
      <c r="HDT24" s="68"/>
      <c r="HDU24" s="68"/>
      <c r="HDV24" s="68"/>
      <c r="HDW24" s="68"/>
      <c r="HDX24" s="68"/>
      <c r="HDY24" s="68"/>
      <c r="HDZ24" s="68"/>
      <c r="HEA24" s="68"/>
      <c r="HEB24" s="68"/>
      <c r="HEC24" s="68"/>
      <c r="HED24" s="68"/>
      <c r="HEE24" s="68"/>
      <c r="HEF24" s="68"/>
      <c r="HEG24" s="68"/>
      <c r="HEH24" s="68"/>
      <c r="HEI24" s="68"/>
      <c r="HEJ24" s="68"/>
      <c r="HEK24" s="68"/>
      <c r="HEL24" s="68"/>
      <c r="HEM24" s="68"/>
      <c r="HEN24" s="68"/>
      <c r="HEO24" s="68"/>
      <c r="HEP24" s="68"/>
      <c r="HEQ24" s="68"/>
      <c r="HER24" s="68"/>
      <c r="HES24" s="68"/>
      <c r="HET24" s="68"/>
      <c r="HEU24" s="68"/>
      <c r="HEV24" s="68"/>
      <c r="HEW24" s="68"/>
      <c r="HEX24" s="68"/>
      <c r="HEY24" s="68"/>
      <c r="HEZ24" s="68"/>
      <c r="HFA24" s="68"/>
      <c r="HFB24" s="68"/>
      <c r="HFC24" s="68"/>
      <c r="HFD24" s="68"/>
      <c r="HFE24" s="68"/>
      <c r="HFF24" s="68"/>
      <c r="HFG24" s="68"/>
      <c r="HFH24" s="68"/>
      <c r="HFI24" s="68"/>
      <c r="HFJ24" s="68"/>
      <c r="HFK24" s="68"/>
      <c r="HFL24" s="68"/>
      <c r="HFM24" s="68"/>
      <c r="HFN24" s="68"/>
      <c r="HFO24" s="68"/>
      <c r="HFP24" s="68"/>
      <c r="HFQ24" s="68"/>
      <c r="HFR24" s="68"/>
      <c r="HFS24" s="68"/>
      <c r="HFT24" s="68"/>
      <c r="HFU24" s="68"/>
      <c r="HFV24" s="68"/>
      <c r="HFW24" s="68"/>
      <c r="HFX24" s="68"/>
      <c r="HFY24" s="68"/>
      <c r="HFZ24" s="68"/>
      <c r="HGA24" s="68"/>
      <c r="HGB24" s="68"/>
      <c r="HGC24" s="68"/>
      <c r="HGD24" s="68"/>
      <c r="HGE24" s="68"/>
      <c r="HGF24" s="68"/>
      <c r="HGG24" s="68"/>
      <c r="HGH24" s="68"/>
      <c r="HGI24" s="68"/>
      <c r="HGJ24" s="68"/>
      <c r="HGK24" s="68"/>
      <c r="HGL24" s="68"/>
      <c r="HGM24" s="68"/>
      <c r="HGN24" s="68"/>
      <c r="HGO24" s="68"/>
      <c r="HGP24" s="68"/>
      <c r="HGQ24" s="68"/>
      <c r="HGR24" s="68"/>
      <c r="HGS24" s="68"/>
      <c r="HGT24" s="68"/>
      <c r="HGU24" s="68"/>
      <c r="HGV24" s="68"/>
      <c r="HGW24" s="68"/>
      <c r="HGX24" s="68"/>
      <c r="HGY24" s="68"/>
      <c r="HGZ24" s="68"/>
      <c r="HHA24" s="68"/>
      <c r="HHB24" s="68"/>
      <c r="HHC24" s="68"/>
      <c r="HHD24" s="68"/>
      <c r="HHE24" s="68"/>
      <c r="HHF24" s="68"/>
      <c r="HHG24" s="68"/>
      <c r="HHH24" s="68"/>
      <c r="HHI24" s="68"/>
      <c r="HHJ24" s="68"/>
      <c r="HHK24" s="68"/>
      <c r="HHL24" s="68"/>
      <c r="HHM24" s="68"/>
      <c r="HHN24" s="68"/>
      <c r="HHO24" s="68"/>
      <c r="HHP24" s="68"/>
      <c r="HHQ24" s="68"/>
      <c r="HHR24" s="68"/>
      <c r="HHS24" s="68"/>
      <c r="HHT24" s="68"/>
      <c r="HHU24" s="68"/>
      <c r="HHV24" s="68"/>
      <c r="HHW24" s="68"/>
      <c r="HHX24" s="68"/>
      <c r="HHY24" s="68"/>
      <c r="HHZ24" s="68"/>
      <c r="HIA24" s="68"/>
      <c r="HIB24" s="68"/>
      <c r="HIC24" s="68"/>
      <c r="HID24" s="68"/>
      <c r="HIE24" s="68"/>
      <c r="HIF24" s="68"/>
      <c r="HIG24" s="68"/>
      <c r="HIH24" s="68"/>
      <c r="HII24" s="68"/>
      <c r="HIJ24" s="68"/>
      <c r="HIK24" s="68"/>
      <c r="HIL24" s="68"/>
      <c r="HIM24" s="68"/>
      <c r="HIN24" s="68"/>
      <c r="HIO24" s="68"/>
      <c r="HIP24" s="68"/>
      <c r="HIQ24" s="68"/>
      <c r="HIR24" s="68"/>
      <c r="HIS24" s="68"/>
      <c r="HIT24" s="68"/>
      <c r="HIU24" s="68"/>
      <c r="HIV24" s="68"/>
      <c r="HIW24" s="68"/>
      <c r="HIX24" s="68"/>
      <c r="HIY24" s="68"/>
      <c r="HIZ24" s="68"/>
      <c r="HJA24" s="68"/>
      <c r="HJB24" s="68"/>
      <c r="HJC24" s="68"/>
      <c r="HJD24" s="68"/>
      <c r="HJE24" s="68"/>
      <c r="HJF24" s="68"/>
      <c r="HJG24" s="68"/>
      <c r="HJH24" s="68"/>
      <c r="HJI24" s="68"/>
      <c r="HJJ24" s="68"/>
      <c r="HJK24" s="68"/>
      <c r="HJL24" s="68"/>
      <c r="HJM24" s="68"/>
      <c r="HJN24" s="68"/>
      <c r="HJO24" s="68"/>
      <c r="HJP24" s="68"/>
      <c r="HJQ24" s="68"/>
      <c r="HJR24" s="68"/>
      <c r="HJS24" s="68"/>
      <c r="HJT24" s="68"/>
      <c r="HJU24" s="68"/>
      <c r="HJV24" s="68"/>
      <c r="HJW24" s="68"/>
      <c r="HJX24" s="68"/>
      <c r="HJY24" s="68"/>
      <c r="HJZ24" s="68"/>
      <c r="HKA24" s="68"/>
      <c r="HKB24" s="68"/>
      <c r="HKC24" s="68"/>
      <c r="HKD24" s="68"/>
      <c r="HKE24" s="68"/>
      <c r="HKF24" s="68"/>
      <c r="HKG24" s="68"/>
      <c r="HKH24" s="68"/>
      <c r="HKI24" s="68"/>
      <c r="HKJ24" s="68"/>
      <c r="HKK24" s="68"/>
      <c r="HKL24" s="68"/>
      <c r="HKM24" s="68"/>
      <c r="HKN24" s="68"/>
      <c r="HKO24" s="68"/>
      <c r="HKP24" s="68"/>
      <c r="HKQ24" s="68"/>
      <c r="HKR24" s="68"/>
      <c r="HKS24" s="68"/>
      <c r="HKT24" s="68"/>
      <c r="HKU24" s="68"/>
      <c r="HKV24" s="68"/>
      <c r="HKW24" s="68"/>
      <c r="HKX24" s="68"/>
      <c r="HKY24" s="68"/>
      <c r="HKZ24" s="68"/>
      <c r="HLA24" s="68"/>
      <c r="HLB24" s="68"/>
      <c r="HLC24" s="68"/>
      <c r="HLD24" s="68"/>
      <c r="HLE24" s="68"/>
      <c r="HLF24" s="68"/>
      <c r="HLG24" s="68"/>
      <c r="HLH24" s="68"/>
      <c r="HLI24" s="68"/>
      <c r="HLJ24" s="68"/>
      <c r="HLK24" s="68"/>
      <c r="HLL24" s="68"/>
      <c r="HLM24" s="68"/>
      <c r="HLN24" s="68"/>
      <c r="HLO24" s="68"/>
      <c r="HLP24" s="68"/>
      <c r="HLQ24" s="68"/>
      <c r="HLR24" s="68"/>
      <c r="HLS24" s="68"/>
      <c r="HLT24" s="68"/>
      <c r="HLU24" s="68"/>
      <c r="HLV24" s="68"/>
      <c r="HLW24" s="68"/>
      <c r="HLX24" s="68"/>
      <c r="HLY24" s="68"/>
      <c r="HLZ24" s="68"/>
      <c r="HMA24" s="68"/>
      <c r="HMB24" s="68"/>
      <c r="HMC24" s="68"/>
      <c r="HMD24" s="68"/>
      <c r="HME24" s="68"/>
      <c r="HMF24" s="68"/>
      <c r="HMG24" s="68"/>
      <c r="HMH24" s="68"/>
      <c r="HMI24" s="68"/>
      <c r="HMJ24" s="68"/>
      <c r="HMK24" s="68"/>
      <c r="HML24" s="68"/>
      <c r="HMM24" s="68"/>
      <c r="HMN24" s="68"/>
      <c r="HMO24" s="68"/>
      <c r="HMP24" s="68"/>
      <c r="HMQ24" s="68"/>
      <c r="HMR24" s="68"/>
      <c r="HMS24" s="68"/>
      <c r="HMT24" s="68"/>
      <c r="HMU24" s="68"/>
      <c r="HMV24" s="68"/>
      <c r="HMW24" s="68"/>
      <c r="HMX24" s="68"/>
      <c r="HMY24" s="68"/>
      <c r="HMZ24" s="68"/>
      <c r="HNA24" s="68"/>
      <c r="HNB24" s="68"/>
      <c r="HNC24" s="68"/>
      <c r="HND24" s="68"/>
      <c r="HNE24" s="68"/>
      <c r="HNF24" s="68"/>
      <c r="HNG24" s="68"/>
      <c r="HNH24" s="68"/>
      <c r="HNI24" s="68"/>
      <c r="HNJ24" s="68"/>
      <c r="HNK24" s="68"/>
      <c r="HNL24" s="68"/>
      <c r="HNM24" s="68"/>
      <c r="HNN24" s="68"/>
      <c r="HNO24" s="68"/>
      <c r="HNP24" s="68"/>
      <c r="HNQ24" s="68"/>
      <c r="HNR24" s="68"/>
      <c r="HNS24" s="68"/>
      <c r="HNT24" s="68"/>
      <c r="HNU24" s="68"/>
      <c r="HNV24" s="68"/>
      <c r="HNW24" s="68"/>
      <c r="HNX24" s="68"/>
      <c r="HNY24" s="68"/>
      <c r="HNZ24" s="68"/>
      <c r="HOA24" s="68"/>
      <c r="HOB24" s="68"/>
      <c r="HOC24" s="68"/>
      <c r="HOD24" s="68"/>
      <c r="HOE24" s="68"/>
      <c r="HOF24" s="68"/>
      <c r="HOG24" s="68"/>
      <c r="HOH24" s="68"/>
      <c r="HOI24" s="68"/>
      <c r="HOJ24" s="68"/>
      <c r="HOK24" s="68"/>
      <c r="HOL24" s="68"/>
      <c r="HOM24" s="68"/>
      <c r="HON24" s="68"/>
      <c r="HOO24" s="68"/>
      <c r="HOP24" s="68"/>
      <c r="HOQ24" s="68"/>
      <c r="HOR24" s="68"/>
      <c r="HOS24" s="68"/>
      <c r="HOT24" s="68"/>
      <c r="HOU24" s="68"/>
      <c r="HOV24" s="68"/>
      <c r="HOW24" s="68"/>
      <c r="HOX24" s="68"/>
      <c r="HOY24" s="68"/>
      <c r="HOZ24" s="68"/>
      <c r="HPA24" s="68"/>
      <c r="HPB24" s="68"/>
      <c r="HPC24" s="68"/>
      <c r="HPD24" s="68"/>
      <c r="HPE24" s="68"/>
      <c r="HPF24" s="68"/>
      <c r="HPG24" s="68"/>
      <c r="HPH24" s="68"/>
      <c r="HPI24" s="68"/>
      <c r="HPJ24" s="68"/>
      <c r="HPK24" s="68"/>
      <c r="HPL24" s="68"/>
      <c r="HPM24" s="68"/>
      <c r="HPN24" s="68"/>
      <c r="HPO24" s="68"/>
      <c r="HPP24" s="68"/>
      <c r="HPQ24" s="68"/>
      <c r="HPR24" s="68"/>
      <c r="HPS24" s="68"/>
      <c r="HPT24" s="68"/>
      <c r="HPU24" s="68"/>
      <c r="HPV24" s="68"/>
      <c r="HPW24" s="68"/>
      <c r="HPX24" s="68"/>
      <c r="HPY24" s="68"/>
      <c r="HPZ24" s="68"/>
      <c r="HQA24" s="68"/>
      <c r="HQB24" s="68"/>
      <c r="HQC24" s="68"/>
      <c r="HQD24" s="68"/>
      <c r="HQE24" s="68"/>
      <c r="HQF24" s="68"/>
      <c r="HQG24" s="68"/>
      <c r="HQH24" s="68"/>
      <c r="HQI24" s="68"/>
      <c r="HQJ24" s="68"/>
      <c r="HQK24" s="68"/>
      <c r="HQL24" s="68"/>
      <c r="HQM24" s="68"/>
      <c r="HQN24" s="68"/>
      <c r="HQO24" s="68"/>
      <c r="HQP24" s="68"/>
      <c r="HQQ24" s="68"/>
      <c r="HQR24" s="68"/>
      <c r="HQS24" s="68"/>
      <c r="HQT24" s="68"/>
      <c r="HQU24" s="68"/>
      <c r="HQV24" s="68"/>
      <c r="HQW24" s="68"/>
      <c r="HQX24" s="68"/>
      <c r="HQY24" s="68"/>
      <c r="HQZ24" s="68"/>
      <c r="HRA24" s="68"/>
      <c r="HRB24" s="68"/>
      <c r="HRC24" s="68"/>
      <c r="HRD24" s="68"/>
      <c r="HRE24" s="68"/>
      <c r="HRF24" s="68"/>
      <c r="HRG24" s="68"/>
      <c r="HRH24" s="68"/>
      <c r="HRI24" s="68"/>
      <c r="HRJ24" s="68"/>
      <c r="HRK24" s="68"/>
      <c r="HRL24" s="68"/>
      <c r="HRM24" s="68"/>
      <c r="HRN24" s="68"/>
      <c r="HRO24" s="68"/>
      <c r="HRP24" s="68"/>
      <c r="HRQ24" s="68"/>
      <c r="HRR24" s="68"/>
      <c r="HRS24" s="68"/>
      <c r="HRT24" s="68"/>
      <c r="HRU24" s="68"/>
      <c r="HRV24" s="68"/>
      <c r="HRW24" s="68"/>
      <c r="HRX24" s="68"/>
      <c r="HRY24" s="68"/>
      <c r="HRZ24" s="68"/>
      <c r="HSA24" s="68"/>
      <c r="HSB24" s="68"/>
      <c r="HSC24" s="68"/>
      <c r="HSD24" s="68"/>
      <c r="HSE24" s="68"/>
      <c r="HSF24" s="68"/>
      <c r="HSG24" s="68"/>
      <c r="HSH24" s="68"/>
      <c r="HSI24" s="68"/>
      <c r="HSJ24" s="68"/>
      <c r="HSK24" s="68"/>
      <c r="HSL24" s="68"/>
      <c r="HSM24" s="68"/>
      <c r="HSN24" s="68"/>
      <c r="HSO24" s="68"/>
      <c r="HSP24" s="68"/>
      <c r="HSQ24" s="68"/>
      <c r="HSR24" s="68"/>
      <c r="HSS24" s="68"/>
      <c r="HST24" s="68"/>
      <c r="HSU24" s="68"/>
      <c r="HSV24" s="68"/>
      <c r="HSW24" s="68"/>
      <c r="HSX24" s="68"/>
      <c r="HSY24" s="68"/>
      <c r="HSZ24" s="68"/>
      <c r="HTA24" s="68"/>
      <c r="HTB24" s="68"/>
      <c r="HTC24" s="68"/>
      <c r="HTD24" s="68"/>
      <c r="HTE24" s="68"/>
      <c r="HTF24" s="68"/>
      <c r="HTG24" s="68"/>
      <c r="HTH24" s="68"/>
      <c r="HTI24" s="68"/>
      <c r="HTJ24" s="68"/>
      <c r="HTK24" s="68"/>
      <c r="HTL24" s="68"/>
      <c r="HTM24" s="68"/>
      <c r="HTN24" s="68"/>
      <c r="HTO24" s="68"/>
      <c r="HTP24" s="68"/>
      <c r="HTQ24" s="68"/>
      <c r="HTR24" s="68"/>
      <c r="HTS24" s="68"/>
      <c r="HTT24" s="68"/>
      <c r="HTU24" s="68"/>
      <c r="HTV24" s="68"/>
      <c r="HTW24" s="68"/>
      <c r="HTX24" s="68"/>
      <c r="HTY24" s="68"/>
      <c r="HTZ24" s="68"/>
      <c r="HUA24" s="68"/>
      <c r="HUB24" s="68"/>
      <c r="HUC24" s="68"/>
      <c r="HUD24" s="68"/>
      <c r="HUE24" s="68"/>
      <c r="HUF24" s="68"/>
      <c r="HUG24" s="68"/>
      <c r="HUH24" s="68"/>
      <c r="HUI24" s="68"/>
      <c r="HUJ24" s="68"/>
      <c r="HUK24" s="68"/>
      <c r="HUL24" s="68"/>
      <c r="HUM24" s="68"/>
      <c r="HUN24" s="68"/>
      <c r="HUO24" s="68"/>
      <c r="HUP24" s="68"/>
      <c r="HUQ24" s="68"/>
      <c r="HUR24" s="68"/>
      <c r="HUS24" s="68"/>
      <c r="HUT24" s="68"/>
      <c r="HUU24" s="68"/>
      <c r="HUV24" s="68"/>
      <c r="HUW24" s="68"/>
      <c r="HUX24" s="68"/>
      <c r="HUY24" s="68"/>
      <c r="HUZ24" s="68"/>
      <c r="HVA24" s="68"/>
      <c r="HVB24" s="68"/>
      <c r="HVC24" s="68"/>
      <c r="HVD24" s="68"/>
      <c r="HVE24" s="68"/>
      <c r="HVF24" s="68"/>
      <c r="HVG24" s="68"/>
      <c r="HVH24" s="68"/>
      <c r="HVI24" s="68"/>
      <c r="HVJ24" s="68"/>
      <c r="HVK24" s="68"/>
      <c r="HVL24" s="68"/>
      <c r="HVM24" s="68"/>
      <c r="HVN24" s="68"/>
      <c r="HVO24" s="68"/>
      <c r="HVP24" s="68"/>
      <c r="HVQ24" s="68"/>
      <c r="HVR24" s="68"/>
      <c r="HVS24" s="68"/>
      <c r="HVT24" s="68"/>
      <c r="HVU24" s="68"/>
      <c r="HVV24" s="68"/>
      <c r="HVW24" s="68"/>
      <c r="HVX24" s="68"/>
      <c r="HVY24" s="68"/>
      <c r="HVZ24" s="68"/>
      <c r="HWA24" s="68"/>
      <c r="HWB24" s="68"/>
      <c r="HWC24" s="68"/>
      <c r="HWD24" s="68"/>
      <c r="HWE24" s="68"/>
      <c r="HWF24" s="68"/>
      <c r="HWG24" s="68"/>
      <c r="HWH24" s="68"/>
      <c r="HWI24" s="68"/>
      <c r="HWJ24" s="68"/>
      <c r="HWK24" s="68"/>
      <c r="HWL24" s="68"/>
      <c r="HWM24" s="68"/>
      <c r="HWN24" s="68"/>
      <c r="HWO24" s="68"/>
      <c r="HWP24" s="68"/>
      <c r="HWQ24" s="68"/>
      <c r="HWR24" s="68"/>
      <c r="HWS24" s="68"/>
      <c r="HWT24" s="68"/>
      <c r="HWU24" s="68"/>
      <c r="HWV24" s="68"/>
      <c r="HWW24" s="68"/>
      <c r="HWX24" s="68"/>
      <c r="HWY24" s="68"/>
      <c r="HWZ24" s="68"/>
      <c r="HXA24" s="68"/>
      <c r="HXB24" s="68"/>
      <c r="HXC24" s="68"/>
      <c r="HXD24" s="68"/>
      <c r="HXE24" s="68"/>
      <c r="HXF24" s="68"/>
      <c r="HXG24" s="68"/>
      <c r="HXH24" s="68"/>
      <c r="HXI24" s="68"/>
      <c r="HXJ24" s="68"/>
      <c r="HXK24" s="68"/>
      <c r="HXL24" s="68"/>
      <c r="HXM24" s="68"/>
      <c r="HXN24" s="68"/>
      <c r="HXO24" s="68"/>
      <c r="HXP24" s="68"/>
      <c r="HXQ24" s="68"/>
      <c r="HXR24" s="68"/>
      <c r="HXS24" s="68"/>
      <c r="HXT24" s="68"/>
      <c r="HXU24" s="68"/>
      <c r="HXV24" s="68"/>
      <c r="HXW24" s="68"/>
      <c r="HXX24" s="68"/>
      <c r="HXY24" s="68"/>
      <c r="HXZ24" s="68"/>
      <c r="HYA24" s="68"/>
      <c r="HYB24" s="68"/>
      <c r="HYC24" s="68"/>
      <c r="HYD24" s="68"/>
      <c r="HYE24" s="68"/>
      <c r="HYF24" s="68"/>
      <c r="HYG24" s="68"/>
      <c r="HYH24" s="68"/>
      <c r="HYI24" s="68"/>
      <c r="HYJ24" s="68"/>
      <c r="HYK24" s="68"/>
      <c r="HYL24" s="68"/>
      <c r="HYM24" s="68"/>
      <c r="HYN24" s="68"/>
      <c r="HYO24" s="68"/>
      <c r="HYP24" s="68"/>
      <c r="HYQ24" s="68"/>
      <c r="HYR24" s="68"/>
      <c r="HYS24" s="68"/>
      <c r="HYT24" s="68"/>
      <c r="HYU24" s="68"/>
      <c r="HYV24" s="68"/>
      <c r="HYW24" s="68"/>
      <c r="HYX24" s="68"/>
      <c r="HYY24" s="68"/>
      <c r="HYZ24" s="68"/>
      <c r="HZA24" s="68"/>
      <c r="HZB24" s="68"/>
      <c r="HZC24" s="68"/>
      <c r="HZD24" s="68"/>
      <c r="HZE24" s="68"/>
      <c r="HZF24" s="68"/>
      <c r="HZG24" s="68"/>
      <c r="HZH24" s="68"/>
      <c r="HZI24" s="68"/>
      <c r="HZJ24" s="68"/>
      <c r="HZK24" s="68"/>
      <c r="HZL24" s="68"/>
      <c r="HZM24" s="68"/>
      <c r="HZN24" s="68"/>
      <c r="HZO24" s="68"/>
      <c r="HZP24" s="68"/>
      <c r="HZQ24" s="68"/>
      <c r="HZR24" s="68"/>
      <c r="HZS24" s="68"/>
      <c r="HZT24" s="68"/>
      <c r="HZU24" s="68"/>
      <c r="HZV24" s="68"/>
      <c r="HZW24" s="68"/>
      <c r="HZX24" s="68"/>
      <c r="HZY24" s="68"/>
      <c r="HZZ24" s="68"/>
      <c r="IAA24" s="68"/>
      <c r="IAB24" s="68"/>
      <c r="IAC24" s="68"/>
      <c r="IAD24" s="68"/>
      <c r="IAE24" s="68"/>
      <c r="IAF24" s="68"/>
      <c r="IAG24" s="68"/>
      <c r="IAH24" s="68"/>
      <c r="IAI24" s="68"/>
      <c r="IAJ24" s="68"/>
      <c r="IAK24" s="68"/>
      <c r="IAL24" s="68"/>
      <c r="IAM24" s="68"/>
      <c r="IAN24" s="68"/>
      <c r="IAO24" s="68"/>
      <c r="IAP24" s="68"/>
      <c r="IAQ24" s="68"/>
      <c r="IAR24" s="68"/>
      <c r="IAS24" s="68"/>
      <c r="IAT24" s="68"/>
      <c r="IAU24" s="68"/>
      <c r="IAV24" s="68"/>
      <c r="IAW24" s="68"/>
      <c r="IAX24" s="68"/>
      <c r="IAY24" s="68"/>
      <c r="IAZ24" s="68"/>
      <c r="IBA24" s="68"/>
      <c r="IBB24" s="68"/>
      <c r="IBC24" s="68"/>
      <c r="IBD24" s="68"/>
      <c r="IBE24" s="68"/>
      <c r="IBF24" s="68"/>
      <c r="IBG24" s="68"/>
      <c r="IBH24" s="68"/>
      <c r="IBI24" s="68"/>
      <c r="IBJ24" s="68"/>
      <c r="IBK24" s="68"/>
      <c r="IBL24" s="68"/>
      <c r="IBM24" s="68"/>
      <c r="IBN24" s="68"/>
      <c r="IBO24" s="68"/>
      <c r="IBP24" s="68"/>
      <c r="IBQ24" s="68"/>
      <c r="IBR24" s="68"/>
      <c r="IBS24" s="68"/>
      <c r="IBT24" s="68"/>
      <c r="IBU24" s="68"/>
      <c r="IBV24" s="68"/>
      <c r="IBW24" s="68"/>
      <c r="IBX24" s="68"/>
      <c r="IBY24" s="68"/>
      <c r="IBZ24" s="68"/>
      <c r="ICA24" s="68"/>
      <c r="ICB24" s="68"/>
      <c r="ICC24" s="68"/>
      <c r="ICD24" s="68"/>
      <c r="ICE24" s="68"/>
      <c r="ICF24" s="68"/>
      <c r="ICG24" s="68"/>
      <c r="ICH24" s="68"/>
      <c r="ICI24" s="68"/>
      <c r="ICJ24" s="68"/>
      <c r="ICK24" s="68"/>
      <c r="ICL24" s="68"/>
      <c r="ICM24" s="68"/>
      <c r="ICN24" s="68"/>
      <c r="ICO24" s="68"/>
      <c r="ICP24" s="68"/>
      <c r="ICQ24" s="68"/>
      <c r="ICR24" s="68"/>
      <c r="ICS24" s="68"/>
      <c r="ICT24" s="68"/>
      <c r="ICU24" s="68"/>
      <c r="ICV24" s="68"/>
      <c r="ICW24" s="68"/>
      <c r="ICX24" s="68"/>
      <c r="ICY24" s="68"/>
      <c r="ICZ24" s="68"/>
      <c r="IDA24" s="68"/>
      <c r="IDB24" s="68"/>
      <c r="IDC24" s="68"/>
      <c r="IDD24" s="68"/>
      <c r="IDE24" s="68"/>
      <c r="IDF24" s="68"/>
      <c r="IDG24" s="68"/>
      <c r="IDH24" s="68"/>
      <c r="IDI24" s="68"/>
      <c r="IDJ24" s="68"/>
      <c r="IDK24" s="68"/>
      <c r="IDL24" s="68"/>
      <c r="IDM24" s="68"/>
      <c r="IDN24" s="68"/>
      <c r="IDO24" s="68"/>
      <c r="IDP24" s="68"/>
      <c r="IDQ24" s="68"/>
      <c r="IDR24" s="68"/>
      <c r="IDS24" s="68"/>
      <c r="IDT24" s="68"/>
      <c r="IDU24" s="68"/>
      <c r="IDV24" s="68"/>
      <c r="IDW24" s="68"/>
      <c r="IDX24" s="68"/>
      <c r="IDY24" s="68"/>
      <c r="IDZ24" s="68"/>
      <c r="IEA24" s="68"/>
      <c r="IEB24" s="68"/>
      <c r="IEC24" s="68"/>
      <c r="IED24" s="68"/>
      <c r="IEE24" s="68"/>
      <c r="IEF24" s="68"/>
      <c r="IEG24" s="68"/>
      <c r="IEH24" s="68"/>
      <c r="IEI24" s="68"/>
      <c r="IEJ24" s="68"/>
      <c r="IEK24" s="68"/>
      <c r="IEL24" s="68"/>
      <c r="IEM24" s="68"/>
      <c r="IEN24" s="68"/>
      <c r="IEO24" s="68"/>
      <c r="IEP24" s="68"/>
      <c r="IEQ24" s="68"/>
      <c r="IER24" s="68"/>
      <c r="IES24" s="68"/>
      <c r="IET24" s="68"/>
      <c r="IEU24" s="68"/>
      <c r="IEV24" s="68"/>
      <c r="IEW24" s="68"/>
      <c r="IEX24" s="68"/>
      <c r="IEY24" s="68"/>
      <c r="IEZ24" s="68"/>
      <c r="IFA24" s="68"/>
      <c r="IFB24" s="68"/>
      <c r="IFC24" s="68"/>
      <c r="IFD24" s="68"/>
      <c r="IFE24" s="68"/>
      <c r="IFF24" s="68"/>
      <c r="IFG24" s="68"/>
      <c r="IFH24" s="68"/>
      <c r="IFI24" s="68"/>
      <c r="IFJ24" s="68"/>
      <c r="IFK24" s="68"/>
      <c r="IFL24" s="68"/>
      <c r="IFM24" s="68"/>
      <c r="IFN24" s="68"/>
      <c r="IFO24" s="68"/>
      <c r="IFP24" s="68"/>
      <c r="IFQ24" s="68"/>
      <c r="IFR24" s="68"/>
      <c r="IFS24" s="68"/>
      <c r="IFT24" s="68"/>
      <c r="IFU24" s="68"/>
      <c r="IFV24" s="68"/>
      <c r="IFW24" s="68"/>
      <c r="IFX24" s="68"/>
      <c r="IFY24" s="68"/>
      <c r="IFZ24" s="68"/>
      <c r="IGA24" s="68"/>
      <c r="IGB24" s="68"/>
      <c r="IGC24" s="68"/>
      <c r="IGD24" s="68"/>
      <c r="IGE24" s="68"/>
      <c r="IGF24" s="68"/>
      <c r="IGG24" s="68"/>
      <c r="IGH24" s="68"/>
      <c r="IGI24" s="68"/>
      <c r="IGJ24" s="68"/>
      <c r="IGK24" s="68"/>
      <c r="IGL24" s="68"/>
      <c r="IGM24" s="68"/>
      <c r="IGN24" s="68"/>
      <c r="IGO24" s="68"/>
      <c r="IGP24" s="68"/>
      <c r="IGQ24" s="68"/>
      <c r="IGR24" s="68"/>
      <c r="IGS24" s="68"/>
      <c r="IGT24" s="68"/>
      <c r="IGU24" s="68"/>
      <c r="IGV24" s="68"/>
      <c r="IGW24" s="68"/>
      <c r="IGX24" s="68"/>
      <c r="IGY24" s="68"/>
      <c r="IGZ24" s="68"/>
      <c r="IHA24" s="68"/>
      <c r="IHB24" s="68"/>
      <c r="IHC24" s="68"/>
      <c r="IHD24" s="68"/>
      <c r="IHE24" s="68"/>
      <c r="IHF24" s="68"/>
      <c r="IHG24" s="68"/>
      <c r="IHH24" s="68"/>
      <c r="IHI24" s="68"/>
      <c r="IHJ24" s="68"/>
      <c r="IHK24" s="68"/>
      <c r="IHL24" s="68"/>
      <c r="IHM24" s="68"/>
      <c r="IHN24" s="68"/>
      <c r="IHO24" s="68"/>
      <c r="IHP24" s="68"/>
      <c r="IHQ24" s="68"/>
      <c r="IHR24" s="68"/>
      <c r="IHS24" s="68"/>
      <c r="IHT24" s="68"/>
      <c r="IHU24" s="68"/>
      <c r="IHV24" s="68"/>
      <c r="IHW24" s="68"/>
      <c r="IHX24" s="68"/>
      <c r="IHY24" s="68"/>
      <c r="IHZ24" s="68"/>
      <c r="IIA24" s="68"/>
      <c r="IIB24" s="68"/>
      <c r="IIC24" s="68"/>
      <c r="IID24" s="68"/>
      <c r="IIE24" s="68"/>
      <c r="IIF24" s="68"/>
      <c r="IIG24" s="68"/>
      <c r="IIH24" s="68"/>
      <c r="III24" s="68"/>
      <c r="IIJ24" s="68"/>
      <c r="IIK24" s="68"/>
      <c r="IIL24" s="68"/>
      <c r="IIM24" s="68"/>
      <c r="IIN24" s="68"/>
      <c r="IIO24" s="68"/>
      <c r="IIP24" s="68"/>
      <c r="IIQ24" s="68"/>
      <c r="IIR24" s="68"/>
      <c r="IIS24" s="68"/>
      <c r="IIT24" s="68"/>
      <c r="IIU24" s="68"/>
      <c r="IIV24" s="68"/>
      <c r="IIW24" s="68"/>
      <c r="IIX24" s="68"/>
      <c r="IIY24" s="68"/>
      <c r="IIZ24" s="68"/>
      <c r="IJA24" s="68"/>
      <c r="IJB24" s="68"/>
      <c r="IJC24" s="68"/>
      <c r="IJD24" s="68"/>
      <c r="IJE24" s="68"/>
      <c r="IJF24" s="68"/>
      <c r="IJG24" s="68"/>
      <c r="IJH24" s="68"/>
      <c r="IJI24" s="68"/>
      <c r="IJJ24" s="68"/>
      <c r="IJK24" s="68"/>
      <c r="IJL24" s="68"/>
      <c r="IJM24" s="68"/>
      <c r="IJN24" s="68"/>
      <c r="IJO24" s="68"/>
      <c r="IJP24" s="68"/>
      <c r="IJQ24" s="68"/>
      <c r="IJR24" s="68"/>
      <c r="IJS24" s="68"/>
      <c r="IJT24" s="68"/>
      <c r="IJU24" s="68"/>
      <c r="IJV24" s="68"/>
      <c r="IJW24" s="68"/>
      <c r="IJX24" s="68"/>
      <c r="IJY24" s="68"/>
      <c r="IJZ24" s="68"/>
      <c r="IKA24" s="68"/>
      <c r="IKB24" s="68"/>
      <c r="IKC24" s="68"/>
      <c r="IKD24" s="68"/>
      <c r="IKE24" s="68"/>
      <c r="IKF24" s="68"/>
      <c r="IKG24" s="68"/>
      <c r="IKH24" s="68"/>
      <c r="IKI24" s="68"/>
      <c r="IKJ24" s="68"/>
      <c r="IKK24" s="68"/>
      <c r="IKL24" s="68"/>
      <c r="IKM24" s="68"/>
      <c r="IKN24" s="68"/>
      <c r="IKO24" s="68"/>
      <c r="IKP24" s="68"/>
      <c r="IKQ24" s="68"/>
      <c r="IKR24" s="68"/>
      <c r="IKS24" s="68"/>
      <c r="IKT24" s="68"/>
      <c r="IKU24" s="68"/>
      <c r="IKV24" s="68"/>
      <c r="IKW24" s="68"/>
      <c r="IKX24" s="68"/>
      <c r="IKY24" s="68"/>
      <c r="IKZ24" s="68"/>
      <c r="ILA24" s="68"/>
      <c r="ILB24" s="68"/>
      <c r="ILC24" s="68"/>
      <c r="ILD24" s="68"/>
      <c r="ILE24" s="68"/>
      <c r="ILF24" s="68"/>
      <c r="ILG24" s="68"/>
      <c r="ILH24" s="68"/>
      <c r="ILI24" s="68"/>
      <c r="ILJ24" s="68"/>
      <c r="ILK24" s="68"/>
      <c r="ILL24" s="68"/>
      <c r="ILM24" s="68"/>
      <c r="ILN24" s="68"/>
      <c r="ILO24" s="68"/>
      <c r="ILP24" s="68"/>
      <c r="ILQ24" s="68"/>
      <c r="ILR24" s="68"/>
      <c r="ILS24" s="68"/>
      <c r="ILT24" s="68"/>
      <c r="ILU24" s="68"/>
      <c r="ILV24" s="68"/>
      <c r="ILW24" s="68"/>
      <c r="ILX24" s="68"/>
      <c r="ILY24" s="68"/>
      <c r="ILZ24" s="68"/>
      <c r="IMA24" s="68"/>
      <c r="IMB24" s="68"/>
      <c r="IMC24" s="68"/>
      <c r="IMD24" s="68"/>
      <c r="IME24" s="68"/>
      <c r="IMF24" s="68"/>
      <c r="IMG24" s="68"/>
      <c r="IMH24" s="68"/>
      <c r="IMI24" s="68"/>
      <c r="IMJ24" s="68"/>
      <c r="IMK24" s="68"/>
      <c r="IML24" s="68"/>
      <c r="IMM24" s="68"/>
      <c r="IMN24" s="68"/>
      <c r="IMO24" s="68"/>
      <c r="IMP24" s="68"/>
      <c r="IMQ24" s="68"/>
      <c r="IMR24" s="68"/>
      <c r="IMS24" s="68"/>
      <c r="IMT24" s="68"/>
      <c r="IMU24" s="68"/>
      <c r="IMV24" s="68"/>
      <c r="IMW24" s="68"/>
      <c r="IMX24" s="68"/>
      <c r="IMY24" s="68"/>
      <c r="IMZ24" s="68"/>
      <c r="INA24" s="68"/>
      <c r="INB24" s="68"/>
      <c r="INC24" s="68"/>
      <c r="IND24" s="68"/>
      <c r="INE24" s="68"/>
      <c r="INF24" s="68"/>
      <c r="ING24" s="68"/>
      <c r="INH24" s="68"/>
      <c r="INI24" s="68"/>
      <c r="INJ24" s="68"/>
      <c r="INK24" s="68"/>
      <c r="INL24" s="68"/>
      <c r="INM24" s="68"/>
      <c r="INN24" s="68"/>
      <c r="INO24" s="68"/>
      <c r="INP24" s="68"/>
      <c r="INQ24" s="68"/>
      <c r="INR24" s="68"/>
      <c r="INS24" s="68"/>
      <c r="INT24" s="68"/>
      <c r="INU24" s="68"/>
      <c r="INV24" s="68"/>
      <c r="INW24" s="68"/>
      <c r="INX24" s="68"/>
      <c r="INY24" s="68"/>
      <c r="INZ24" s="68"/>
      <c r="IOA24" s="68"/>
      <c r="IOB24" s="68"/>
      <c r="IOC24" s="68"/>
      <c r="IOD24" s="68"/>
      <c r="IOE24" s="68"/>
      <c r="IOF24" s="68"/>
      <c r="IOG24" s="68"/>
      <c r="IOH24" s="68"/>
      <c r="IOI24" s="68"/>
      <c r="IOJ24" s="68"/>
      <c r="IOK24" s="68"/>
      <c r="IOL24" s="68"/>
      <c r="IOM24" s="68"/>
      <c r="ION24" s="68"/>
      <c r="IOO24" s="68"/>
      <c r="IOP24" s="68"/>
      <c r="IOQ24" s="68"/>
      <c r="IOR24" s="68"/>
      <c r="IOS24" s="68"/>
      <c r="IOT24" s="68"/>
      <c r="IOU24" s="68"/>
      <c r="IOV24" s="68"/>
      <c r="IOW24" s="68"/>
      <c r="IOX24" s="68"/>
      <c r="IOY24" s="68"/>
      <c r="IOZ24" s="68"/>
      <c r="IPA24" s="68"/>
      <c r="IPB24" s="68"/>
      <c r="IPC24" s="68"/>
      <c r="IPD24" s="68"/>
      <c r="IPE24" s="68"/>
      <c r="IPF24" s="68"/>
      <c r="IPG24" s="68"/>
      <c r="IPH24" s="68"/>
      <c r="IPI24" s="68"/>
      <c r="IPJ24" s="68"/>
      <c r="IPK24" s="68"/>
      <c r="IPL24" s="68"/>
      <c r="IPM24" s="68"/>
      <c r="IPN24" s="68"/>
      <c r="IPO24" s="68"/>
      <c r="IPP24" s="68"/>
      <c r="IPQ24" s="68"/>
      <c r="IPR24" s="68"/>
      <c r="IPS24" s="68"/>
      <c r="IPT24" s="68"/>
      <c r="IPU24" s="68"/>
      <c r="IPV24" s="68"/>
      <c r="IPW24" s="68"/>
      <c r="IPX24" s="68"/>
      <c r="IPY24" s="68"/>
      <c r="IPZ24" s="68"/>
      <c r="IQA24" s="68"/>
      <c r="IQB24" s="68"/>
      <c r="IQC24" s="68"/>
      <c r="IQD24" s="68"/>
      <c r="IQE24" s="68"/>
      <c r="IQF24" s="68"/>
      <c r="IQG24" s="68"/>
      <c r="IQH24" s="68"/>
      <c r="IQI24" s="68"/>
      <c r="IQJ24" s="68"/>
      <c r="IQK24" s="68"/>
      <c r="IQL24" s="68"/>
      <c r="IQM24" s="68"/>
      <c r="IQN24" s="68"/>
      <c r="IQO24" s="68"/>
      <c r="IQP24" s="68"/>
      <c r="IQQ24" s="68"/>
      <c r="IQR24" s="68"/>
      <c r="IQS24" s="68"/>
      <c r="IQT24" s="68"/>
      <c r="IQU24" s="68"/>
      <c r="IQV24" s="68"/>
      <c r="IQW24" s="68"/>
      <c r="IQX24" s="68"/>
      <c r="IQY24" s="68"/>
      <c r="IQZ24" s="68"/>
      <c r="IRA24" s="68"/>
      <c r="IRB24" s="68"/>
      <c r="IRC24" s="68"/>
      <c r="IRD24" s="68"/>
      <c r="IRE24" s="68"/>
      <c r="IRF24" s="68"/>
      <c r="IRG24" s="68"/>
      <c r="IRH24" s="68"/>
      <c r="IRI24" s="68"/>
      <c r="IRJ24" s="68"/>
      <c r="IRK24" s="68"/>
      <c r="IRL24" s="68"/>
      <c r="IRM24" s="68"/>
      <c r="IRN24" s="68"/>
      <c r="IRO24" s="68"/>
      <c r="IRP24" s="68"/>
      <c r="IRQ24" s="68"/>
      <c r="IRR24" s="68"/>
      <c r="IRS24" s="68"/>
      <c r="IRT24" s="68"/>
      <c r="IRU24" s="68"/>
      <c r="IRV24" s="68"/>
      <c r="IRW24" s="68"/>
      <c r="IRX24" s="68"/>
      <c r="IRY24" s="68"/>
      <c r="IRZ24" s="68"/>
      <c r="ISA24" s="68"/>
      <c r="ISB24" s="68"/>
      <c r="ISC24" s="68"/>
      <c r="ISD24" s="68"/>
      <c r="ISE24" s="68"/>
      <c r="ISF24" s="68"/>
      <c r="ISG24" s="68"/>
      <c r="ISH24" s="68"/>
      <c r="ISI24" s="68"/>
      <c r="ISJ24" s="68"/>
      <c r="ISK24" s="68"/>
      <c r="ISL24" s="68"/>
      <c r="ISM24" s="68"/>
      <c r="ISN24" s="68"/>
      <c r="ISO24" s="68"/>
      <c r="ISP24" s="68"/>
      <c r="ISQ24" s="68"/>
      <c r="ISR24" s="68"/>
      <c r="ISS24" s="68"/>
      <c r="IST24" s="68"/>
      <c r="ISU24" s="68"/>
      <c r="ISV24" s="68"/>
      <c r="ISW24" s="68"/>
      <c r="ISX24" s="68"/>
      <c r="ISY24" s="68"/>
      <c r="ISZ24" s="68"/>
      <c r="ITA24" s="68"/>
      <c r="ITB24" s="68"/>
      <c r="ITC24" s="68"/>
      <c r="ITD24" s="68"/>
      <c r="ITE24" s="68"/>
      <c r="ITF24" s="68"/>
      <c r="ITG24" s="68"/>
      <c r="ITH24" s="68"/>
      <c r="ITI24" s="68"/>
      <c r="ITJ24" s="68"/>
      <c r="ITK24" s="68"/>
      <c r="ITL24" s="68"/>
      <c r="ITM24" s="68"/>
      <c r="ITN24" s="68"/>
      <c r="ITO24" s="68"/>
      <c r="ITP24" s="68"/>
      <c r="ITQ24" s="68"/>
      <c r="ITR24" s="68"/>
      <c r="ITS24" s="68"/>
      <c r="ITT24" s="68"/>
      <c r="ITU24" s="68"/>
      <c r="ITV24" s="68"/>
      <c r="ITW24" s="68"/>
      <c r="ITX24" s="68"/>
      <c r="ITY24" s="68"/>
      <c r="ITZ24" s="68"/>
      <c r="IUA24" s="68"/>
      <c r="IUB24" s="68"/>
      <c r="IUC24" s="68"/>
      <c r="IUD24" s="68"/>
      <c r="IUE24" s="68"/>
      <c r="IUF24" s="68"/>
      <c r="IUG24" s="68"/>
      <c r="IUH24" s="68"/>
      <c r="IUI24" s="68"/>
      <c r="IUJ24" s="68"/>
      <c r="IUK24" s="68"/>
      <c r="IUL24" s="68"/>
      <c r="IUM24" s="68"/>
      <c r="IUN24" s="68"/>
      <c r="IUO24" s="68"/>
      <c r="IUP24" s="68"/>
      <c r="IUQ24" s="68"/>
      <c r="IUR24" s="68"/>
      <c r="IUS24" s="68"/>
      <c r="IUT24" s="68"/>
      <c r="IUU24" s="68"/>
      <c r="IUV24" s="68"/>
      <c r="IUW24" s="68"/>
      <c r="IUX24" s="68"/>
      <c r="IUY24" s="68"/>
      <c r="IUZ24" s="68"/>
      <c r="IVA24" s="68"/>
      <c r="IVB24" s="68"/>
      <c r="IVC24" s="68"/>
      <c r="IVD24" s="68"/>
      <c r="IVE24" s="68"/>
      <c r="IVF24" s="68"/>
      <c r="IVG24" s="68"/>
      <c r="IVH24" s="68"/>
      <c r="IVI24" s="68"/>
      <c r="IVJ24" s="68"/>
      <c r="IVK24" s="68"/>
      <c r="IVL24" s="68"/>
      <c r="IVM24" s="68"/>
      <c r="IVN24" s="68"/>
      <c r="IVO24" s="68"/>
      <c r="IVP24" s="68"/>
      <c r="IVQ24" s="68"/>
      <c r="IVR24" s="68"/>
      <c r="IVS24" s="68"/>
      <c r="IVT24" s="68"/>
      <c r="IVU24" s="68"/>
      <c r="IVV24" s="68"/>
      <c r="IVW24" s="68"/>
      <c r="IVX24" s="68"/>
      <c r="IVY24" s="68"/>
      <c r="IVZ24" s="68"/>
      <c r="IWA24" s="68"/>
      <c r="IWB24" s="68"/>
      <c r="IWC24" s="68"/>
      <c r="IWD24" s="68"/>
      <c r="IWE24" s="68"/>
      <c r="IWF24" s="68"/>
      <c r="IWG24" s="68"/>
      <c r="IWH24" s="68"/>
      <c r="IWI24" s="68"/>
      <c r="IWJ24" s="68"/>
      <c r="IWK24" s="68"/>
      <c r="IWL24" s="68"/>
      <c r="IWM24" s="68"/>
      <c r="IWN24" s="68"/>
      <c r="IWO24" s="68"/>
      <c r="IWP24" s="68"/>
      <c r="IWQ24" s="68"/>
      <c r="IWR24" s="68"/>
      <c r="IWS24" s="68"/>
      <c r="IWT24" s="68"/>
      <c r="IWU24" s="68"/>
      <c r="IWV24" s="68"/>
      <c r="IWW24" s="68"/>
      <c r="IWX24" s="68"/>
      <c r="IWY24" s="68"/>
      <c r="IWZ24" s="68"/>
      <c r="IXA24" s="68"/>
      <c r="IXB24" s="68"/>
      <c r="IXC24" s="68"/>
      <c r="IXD24" s="68"/>
      <c r="IXE24" s="68"/>
      <c r="IXF24" s="68"/>
      <c r="IXG24" s="68"/>
      <c r="IXH24" s="68"/>
      <c r="IXI24" s="68"/>
      <c r="IXJ24" s="68"/>
      <c r="IXK24" s="68"/>
      <c r="IXL24" s="68"/>
      <c r="IXM24" s="68"/>
      <c r="IXN24" s="68"/>
      <c r="IXO24" s="68"/>
      <c r="IXP24" s="68"/>
      <c r="IXQ24" s="68"/>
      <c r="IXR24" s="68"/>
      <c r="IXS24" s="68"/>
      <c r="IXT24" s="68"/>
      <c r="IXU24" s="68"/>
      <c r="IXV24" s="68"/>
      <c r="IXW24" s="68"/>
      <c r="IXX24" s="68"/>
      <c r="IXY24" s="68"/>
      <c r="IXZ24" s="68"/>
      <c r="IYA24" s="68"/>
      <c r="IYB24" s="68"/>
      <c r="IYC24" s="68"/>
      <c r="IYD24" s="68"/>
      <c r="IYE24" s="68"/>
      <c r="IYF24" s="68"/>
      <c r="IYG24" s="68"/>
      <c r="IYH24" s="68"/>
      <c r="IYI24" s="68"/>
      <c r="IYJ24" s="68"/>
      <c r="IYK24" s="68"/>
      <c r="IYL24" s="68"/>
      <c r="IYM24" s="68"/>
      <c r="IYN24" s="68"/>
      <c r="IYO24" s="68"/>
      <c r="IYP24" s="68"/>
      <c r="IYQ24" s="68"/>
      <c r="IYR24" s="68"/>
      <c r="IYS24" s="68"/>
      <c r="IYT24" s="68"/>
      <c r="IYU24" s="68"/>
      <c r="IYV24" s="68"/>
      <c r="IYW24" s="68"/>
      <c r="IYX24" s="68"/>
      <c r="IYY24" s="68"/>
      <c r="IYZ24" s="68"/>
      <c r="IZA24" s="68"/>
      <c r="IZB24" s="68"/>
      <c r="IZC24" s="68"/>
      <c r="IZD24" s="68"/>
      <c r="IZE24" s="68"/>
      <c r="IZF24" s="68"/>
      <c r="IZG24" s="68"/>
      <c r="IZH24" s="68"/>
      <c r="IZI24" s="68"/>
      <c r="IZJ24" s="68"/>
      <c r="IZK24" s="68"/>
      <c r="IZL24" s="68"/>
      <c r="IZM24" s="68"/>
      <c r="IZN24" s="68"/>
      <c r="IZO24" s="68"/>
      <c r="IZP24" s="68"/>
      <c r="IZQ24" s="68"/>
      <c r="IZR24" s="68"/>
      <c r="IZS24" s="68"/>
      <c r="IZT24" s="68"/>
      <c r="IZU24" s="68"/>
      <c r="IZV24" s="68"/>
      <c r="IZW24" s="68"/>
      <c r="IZX24" s="68"/>
      <c r="IZY24" s="68"/>
      <c r="IZZ24" s="68"/>
      <c r="JAA24" s="68"/>
      <c r="JAB24" s="68"/>
      <c r="JAC24" s="68"/>
      <c r="JAD24" s="68"/>
      <c r="JAE24" s="68"/>
      <c r="JAF24" s="68"/>
      <c r="JAG24" s="68"/>
      <c r="JAH24" s="68"/>
      <c r="JAI24" s="68"/>
      <c r="JAJ24" s="68"/>
      <c r="JAK24" s="68"/>
      <c r="JAL24" s="68"/>
      <c r="JAM24" s="68"/>
      <c r="JAN24" s="68"/>
      <c r="JAO24" s="68"/>
      <c r="JAP24" s="68"/>
      <c r="JAQ24" s="68"/>
      <c r="JAR24" s="68"/>
      <c r="JAS24" s="68"/>
      <c r="JAT24" s="68"/>
      <c r="JAU24" s="68"/>
      <c r="JAV24" s="68"/>
      <c r="JAW24" s="68"/>
      <c r="JAX24" s="68"/>
      <c r="JAY24" s="68"/>
      <c r="JAZ24" s="68"/>
      <c r="JBA24" s="68"/>
      <c r="JBB24" s="68"/>
      <c r="JBC24" s="68"/>
      <c r="JBD24" s="68"/>
      <c r="JBE24" s="68"/>
      <c r="JBF24" s="68"/>
      <c r="JBG24" s="68"/>
      <c r="JBH24" s="68"/>
      <c r="JBI24" s="68"/>
      <c r="JBJ24" s="68"/>
      <c r="JBK24" s="68"/>
      <c r="JBL24" s="68"/>
      <c r="JBM24" s="68"/>
      <c r="JBN24" s="68"/>
      <c r="JBO24" s="68"/>
      <c r="JBP24" s="68"/>
      <c r="JBQ24" s="68"/>
      <c r="JBR24" s="68"/>
      <c r="JBS24" s="68"/>
      <c r="JBT24" s="68"/>
      <c r="JBU24" s="68"/>
      <c r="JBV24" s="68"/>
      <c r="JBW24" s="68"/>
      <c r="JBX24" s="68"/>
      <c r="JBY24" s="68"/>
      <c r="JBZ24" s="68"/>
      <c r="JCA24" s="68"/>
      <c r="JCB24" s="68"/>
      <c r="JCC24" s="68"/>
      <c r="JCD24" s="68"/>
      <c r="JCE24" s="68"/>
      <c r="JCF24" s="68"/>
      <c r="JCG24" s="68"/>
      <c r="JCH24" s="68"/>
      <c r="JCI24" s="68"/>
      <c r="JCJ24" s="68"/>
      <c r="JCK24" s="68"/>
      <c r="JCL24" s="68"/>
      <c r="JCM24" s="68"/>
      <c r="JCN24" s="68"/>
      <c r="JCO24" s="68"/>
      <c r="JCP24" s="68"/>
      <c r="JCQ24" s="68"/>
      <c r="JCR24" s="68"/>
      <c r="JCS24" s="68"/>
      <c r="JCT24" s="68"/>
      <c r="JCU24" s="68"/>
      <c r="JCV24" s="68"/>
      <c r="JCW24" s="68"/>
      <c r="JCX24" s="68"/>
      <c r="JCY24" s="68"/>
      <c r="JCZ24" s="68"/>
      <c r="JDA24" s="68"/>
      <c r="JDB24" s="68"/>
      <c r="JDC24" s="68"/>
      <c r="JDD24" s="68"/>
      <c r="JDE24" s="68"/>
      <c r="JDF24" s="68"/>
      <c r="JDG24" s="68"/>
      <c r="JDH24" s="68"/>
      <c r="JDI24" s="68"/>
      <c r="JDJ24" s="68"/>
      <c r="JDK24" s="68"/>
      <c r="JDL24" s="68"/>
      <c r="JDM24" s="68"/>
      <c r="JDN24" s="68"/>
      <c r="JDO24" s="68"/>
      <c r="JDP24" s="68"/>
      <c r="JDQ24" s="68"/>
      <c r="JDR24" s="68"/>
      <c r="JDS24" s="68"/>
      <c r="JDT24" s="68"/>
      <c r="JDU24" s="68"/>
      <c r="JDV24" s="68"/>
      <c r="JDW24" s="68"/>
      <c r="JDX24" s="68"/>
      <c r="JDY24" s="68"/>
      <c r="JDZ24" s="68"/>
      <c r="JEA24" s="68"/>
      <c r="JEB24" s="68"/>
      <c r="JEC24" s="68"/>
      <c r="JED24" s="68"/>
      <c r="JEE24" s="68"/>
      <c r="JEF24" s="68"/>
      <c r="JEG24" s="68"/>
      <c r="JEH24" s="68"/>
      <c r="JEI24" s="68"/>
      <c r="JEJ24" s="68"/>
      <c r="JEK24" s="68"/>
      <c r="JEL24" s="68"/>
      <c r="JEM24" s="68"/>
      <c r="JEN24" s="68"/>
      <c r="JEO24" s="68"/>
      <c r="JEP24" s="68"/>
      <c r="JEQ24" s="68"/>
      <c r="JER24" s="68"/>
      <c r="JES24" s="68"/>
      <c r="JET24" s="68"/>
      <c r="JEU24" s="68"/>
      <c r="JEV24" s="68"/>
      <c r="JEW24" s="68"/>
      <c r="JEX24" s="68"/>
      <c r="JEY24" s="68"/>
      <c r="JEZ24" s="68"/>
      <c r="JFA24" s="68"/>
      <c r="JFB24" s="68"/>
      <c r="JFC24" s="68"/>
      <c r="JFD24" s="68"/>
      <c r="JFE24" s="68"/>
      <c r="JFF24" s="68"/>
      <c r="JFG24" s="68"/>
      <c r="JFH24" s="68"/>
      <c r="JFI24" s="68"/>
      <c r="JFJ24" s="68"/>
      <c r="JFK24" s="68"/>
      <c r="JFL24" s="68"/>
      <c r="JFM24" s="68"/>
      <c r="JFN24" s="68"/>
      <c r="JFO24" s="68"/>
      <c r="JFP24" s="68"/>
      <c r="JFQ24" s="68"/>
      <c r="JFR24" s="68"/>
      <c r="JFS24" s="68"/>
      <c r="JFT24" s="68"/>
      <c r="JFU24" s="68"/>
      <c r="JFV24" s="68"/>
      <c r="JFW24" s="68"/>
      <c r="JFX24" s="68"/>
      <c r="JFY24" s="68"/>
      <c r="JFZ24" s="68"/>
      <c r="JGA24" s="68"/>
      <c r="JGB24" s="68"/>
      <c r="JGC24" s="68"/>
      <c r="JGD24" s="68"/>
      <c r="JGE24" s="68"/>
      <c r="JGF24" s="68"/>
      <c r="JGG24" s="68"/>
      <c r="JGH24" s="68"/>
      <c r="JGI24" s="68"/>
      <c r="JGJ24" s="68"/>
      <c r="JGK24" s="68"/>
      <c r="JGL24" s="68"/>
      <c r="JGM24" s="68"/>
      <c r="JGN24" s="68"/>
      <c r="JGO24" s="68"/>
      <c r="JGP24" s="68"/>
      <c r="JGQ24" s="68"/>
      <c r="JGR24" s="68"/>
      <c r="JGS24" s="68"/>
      <c r="JGT24" s="68"/>
      <c r="JGU24" s="68"/>
      <c r="JGV24" s="68"/>
      <c r="JGW24" s="68"/>
      <c r="JGX24" s="68"/>
      <c r="JGY24" s="68"/>
      <c r="JGZ24" s="68"/>
      <c r="JHA24" s="68"/>
      <c r="JHB24" s="68"/>
      <c r="JHC24" s="68"/>
      <c r="JHD24" s="68"/>
      <c r="JHE24" s="68"/>
      <c r="JHF24" s="68"/>
      <c r="JHG24" s="68"/>
      <c r="JHH24" s="68"/>
      <c r="JHI24" s="68"/>
      <c r="JHJ24" s="68"/>
      <c r="JHK24" s="68"/>
      <c r="JHL24" s="68"/>
      <c r="JHM24" s="68"/>
      <c r="JHN24" s="68"/>
      <c r="JHO24" s="68"/>
      <c r="JHP24" s="68"/>
      <c r="JHQ24" s="68"/>
      <c r="JHR24" s="68"/>
      <c r="JHS24" s="68"/>
      <c r="JHT24" s="68"/>
      <c r="JHU24" s="68"/>
      <c r="JHV24" s="68"/>
      <c r="JHW24" s="68"/>
      <c r="JHX24" s="68"/>
      <c r="JHY24" s="68"/>
      <c r="JHZ24" s="68"/>
      <c r="JIA24" s="68"/>
      <c r="JIB24" s="68"/>
      <c r="JIC24" s="68"/>
      <c r="JID24" s="68"/>
      <c r="JIE24" s="68"/>
      <c r="JIF24" s="68"/>
      <c r="JIG24" s="68"/>
      <c r="JIH24" s="68"/>
      <c r="JII24" s="68"/>
      <c r="JIJ24" s="68"/>
      <c r="JIK24" s="68"/>
      <c r="JIL24" s="68"/>
      <c r="JIM24" s="68"/>
      <c r="JIN24" s="68"/>
      <c r="JIO24" s="68"/>
      <c r="JIP24" s="68"/>
      <c r="JIQ24" s="68"/>
      <c r="JIR24" s="68"/>
      <c r="JIS24" s="68"/>
      <c r="JIT24" s="68"/>
      <c r="JIU24" s="68"/>
      <c r="JIV24" s="68"/>
      <c r="JIW24" s="68"/>
      <c r="JIX24" s="68"/>
      <c r="JIY24" s="68"/>
      <c r="JIZ24" s="68"/>
      <c r="JJA24" s="68"/>
      <c r="JJB24" s="68"/>
      <c r="JJC24" s="68"/>
      <c r="JJD24" s="68"/>
      <c r="JJE24" s="68"/>
      <c r="JJF24" s="68"/>
      <c r="JJG24" s="68"/>
      <c r="JJH24" s="68"/>
      <c r="JJI24" s="68"/>
      <c r="JJJ24" s="68"/>
      <c r="JJK24" s="68"/>
      <c r="JJL24" s="68"/>
      <c r="JJM24" s="68"/>
      <c r="JJN24" s="68"/>
      <c r="JJO24" s="68"/>
      <c r="JJP24" s="68"/>
      <c r="JJQ24" s="68"/>
      <c r="JJR24" s="68"/>
      <c r="JJS24" s="68"/>
      <c r="JJT24" s="68"/>
      <c r="JJU24" s="68"/>
      <c r="JJV24" s="68"/>
      <c r="JJW24" s="68"/>
      <c r="JJX24" s="68"/>
      <c r="JJY24" s="68"/>
      <c r="JJZ24" s="68"/>
      <c r="JKA24" s="68"/>
      <c r="JKB24" s="68"/>
      <c r="JKC24" s="68"/>
      <c r="JKD24" s="68"/>
      <c r="JKE24" s="68"/>
      <c r="JKF24" s="68"/>
      <c r="JKG24" s="68"/>
      <c r="JKH24" s="68"/>
      <c r="JKI24" s="68"/>
      <c r="JKJ24" s="68"/>
      <c r="JKK24" s="68"/>
      <c r="JKL24" s="68"/>
      <c r="JKM24" s="68"/>
      <c r="JKN24" s="68"/>
      <c r="JKO24" s="68"/>
      <c r="JKP24" s="68"/>
      <c r="JKQ24" s="68"/>
      <c r="JKR24" s="68"/>
      <c r="JKS24" s="68"/>
      <c r="JKT24" s="68"/>
      <c r="JKU24" s="68"/>
      <c r="JKV24" s="68"/>
      <c r="JKW24" s="68"/>
      <c r="JKX24" s="68"/>
      <c r="JKY24" s="68"/>
      <c r="JKZ24" s="68"/>
      <c r="JLA24" s="68"/>
      <c r="JLB24" s="68"/>
      <c r="JLC24" s="68"/>
      <c r="JLD24" s="68"/>
      <c r="JLE24" s="68"/>
      <c r="JLF24" s="68"/>
      <c r="JLG24" s="68"/>
      <c r="JLH24" s="68"/>
      <c r="JLI24" s="68"/>
      <c r="JLJ24" s="68"/>
      <c r="JLK24" s="68"/>
      <c r="JLL24" s="68"/>
      <c r="JLM24" s="68"/>
      <c r="JLN24" s="68"/>
      <c r="JLO24" s="68"/>
      <c r="JLP24" s="68"/>
      <c r="JLQ24" s="68"/>
      <c r="JLR24" s="68"/>
      <c r="JLS24" s="68"/>
      <c r="JLT24" s="68"/>
      <c r="JLU24" s="68"/>
      <c r="JLV24" s="68"/>
      <c r="JLW24" s="68"/>
      <c r="JLX24" s="68"/>
      <c r="JLY24" s="68"/>
      <c r="JLZ24" s="68"/>
      <c r="JMA24" s="68"/>
      <c r="JMB24" s="68"/>
      <c r="JMC24" s="68"/>
      <c r="JMD24" s="68"/>
      <c r="JME24" s="68"/>
      <c r="JMF24" s="68"/>
      <c r="JMG24" s="68"/>
      <c r="JMH24" s="68"/>
      <c r="JMI24" s="68"/>
      <c r="JMJ24" s="68"/>
      <c r="JMK24" s="68"/>
      <c r="JML24" s="68"/>
      <c r="JMM24" s="68"/>
      <c r="JMN24" s="68"/>
      <c r="JMO24" s="68"/>
      <c r="JMP24" s="68"/>
      <c r="JMQ24" s="68"/>
      <c r="JMR24" s="68"/>
      <c r="JMS24" s="68"/>
      <c r="JMT24" s="68"/>
      <c r="JMU24" s="68"/>
      <c r="JMV24" s="68"/>
      <c r="JMW24" s="68"/>
      <c r="JMX24" s="68"/>
      <c r="JMY24" s="68"/>
      <c r="JMZ24" s="68"/>
      <c r="JNA24" s="68"/>
      <c r="JNB24" s="68"/>
      <c r="JNC24" s="68"/>
      <c r="JND24" s="68"/>
      <c r="JNE24" s="68"/>
      <c r="JNF24" s="68"/>
      <c r="JNG24" s="68"/>
      <c r="JNH24" s="68"/>
      <c r="JNI24" s="68"/>
      <c r="JNJ24" s="68"/>
      <c r="JNK24" s="68"/>
      <c r="JNL24" s="68"/>
      <c r="JNM24" s="68"/>
      <c r="JNN24" s="68"/>
      <c r="JNO24" s="68"/>
      <c r="JNP24" s="68"/>
      <c r="JNQ24" s="68"/>
      <c r="JNR24" s="68"/>
      <c r="JNS24" s="68"/>
      <c r="JNT24" s="68"/>
      <c r="JNU24" s="68"/>
      <c r="JNV24" s="68"/>
      <c r="JNW24" s="68"/>
      <c r="JNX24" s="68"/>
      <c r="JNY24" s="68"/>
      <c r="JNZ24" s="68"/>
      <c r="JOA24" s="68"/>
      <c r="JOB24" s="68"/>
      <c r="JOC24" s="68"/>
      <c r="JOD24" s="68"/>
      <c r="JOE24" s="68"/>
      <c r="JOF24" s="68"/>
      <c r="JOG24" s="68"/>
      <c r="JOH24" s="68"/>
      <c r="JOI24" s="68"/>
      <c r="JOJ24" s="68"/>
      <c r="JOK24" s="68"/>
      <c r="JOL24" s="68"/>
      <c r="JOM24" s="68"/>
      <c r="JON24" s="68"/>
      <c r="JOO24" s="68"/>
      <c r="JOP24" s="68"/>
      <c r="JOQ24" s="68"/>
      <c r="JOR24" s="68"/>
      <c r="JOS24" s="68"/>
      <c r="JOT24" s="68"/>
      <c r="JOU24" s="68"/>
      <c r="JOV24" s="68"/>
      <c r="JOW24" s="68"/>
      <c r="JOX24" s="68"/>
      <c r="JOY24" s="68"/>
      <c r="JOZ24" s="68"/>
      <c r="JPA24" s="68"/>
      <c r="JPB24" s="68"/>
      <c r="JPC24" s="68"/>
      <c r="JPD24" s="68"/>
      <c r="JPE24" s="68"/>
      <c r="JPF24" s="68"/>
      <c r="JPG24" s="68"/>
      <c r="JPH24" s="68"/>
      <c r="JPI24" s="68"/>
      <c r="JPJ24" s="68"/>
      <c r="JPK24" s="68"/>
      <c r="JPL24" s="68"/>
      <c r="JPM24" s="68"/>
      <c r="JPN24" s="68"/>
      <c r="JPO24" s="68"/>
      <c r="JPP24" s="68"/>
      <c r="JPQ24" s="68"/>
      <c r="JPR24" s="68"/>
      <c r="JPS24" s="68"/>
      <c r="JPT24" s="68"/>
      <c r="JPU24" s="68"/>
      <c r="JPV24" s="68"/>
      <c r="JPW24" s="68"/>
      <c r="JPX24" s="68"/>
      <c r="JPY24" s="68"/>
      <c r="JPZ24" s="68"/>
      <c r="JQA24" s="68"/>
      <c r="JQB24" s="68"/>
      <c r="JQC24" s="68"/>
      <c r="JQD24" s="68"/>
      <c r="JQE24" s="68"/>
      <c r="JQF24" s="68"/>
      <c r="JQG24" s="68"/>
      <c r="JQH24" s="68"/>
      <c r="JQI24" s="68"/>
      <c r="JQJ24" s="68"/>
      <c r="JQK24" s="68"/>
      <c r="JQL24" s="68"/>
      <c r="JQM24" s="68"/>
      <c r="JQN24" s="68"/>
      <c r="JQO24" s="68"/>
      <c r="JQP24" s="68"/>
      <c r="JQQ24" s="68"/>
      <c r="JQR24" s="68"/>
      <c r="JQS24" s="68"/>
      <c r="JQT24" s="68"/>
      <c r="JQU24" s="68"/>
      <c r="JQV24" s="68"/>
      <c r="JQW24" s="68"/>
      <c r="JQX24" s="68"/>
      <c r="JQY24" s="68"/>
      <c r="JQZ24" s="68"/>
      <c r="JRA24" s="68"/>
      <c r="JRB24" s="68"/>
      <c r="JRC24" s="68"/>
      <c r="JRD24" s="68"/>
      <c r="JRE24" s="68"/>
      <c r="JRF24" s="68"/>
      <c r="JRG24" s="68"/>
      <c r="JRH24" s="68"/>
      <c r="JRI24" s="68"/>
      <c r="JRJ24" s="68"/>
      <c r="JRK24" s="68"/>
      <c r="JRL24" s="68"/>
      <c r="JRM24" s="68"/>
      <c r="JRN24" s="68"/>
      <c r="JRO24" s="68"/>
      <c r="JRP24" s="68"/>
      <c r="JRQ24" s="68"/>
      <c r="JRR24" s="68"/>
      <c r="JRS24" s="68"/>
      <c r="JRT24" s="68"/>
      <c r="JRU24" s="68"/>
      <c r="JRV24" s="68"/>
      <c r="JRW24" s="68"/>
      <c r="JRX24" s="68"/>
      <c r="JRY24" s="68"/>
      <c r="JRZ24" s="68"/>
      <c r="JSA24" s="68"/>
      <c r="JSB24" s="68"/>
      <c r="JSC24" s="68"/>
      <c r="JSD24" s="68"/>
      <c r="JSE24" s="68"/>
      <c r="JSF24" s="68"/>
      <c r="JSG24" s="68"/>
      <c r="JSH24" s="68"/>
      <c r="JSI24" s="68"/>
      <c r="JSJ24" s="68"/>
      <c r="JSK24" s="68"/>
      <c r="JSL24" s="68"/>
      <c r="JSM24" s="68"/>
      <c r="JSN24" s="68"/>
      <c r="JSO24" s="68"/>
      <c r="JSP24" s="68"/>
      <c r="JSQ24" s="68"/>
      <c r="JSR24" s="68"/>
      <c r="JSS24" s="68"/>
      <c r="JST24" s="68"/>
      <c r="JSU24" s="68"/>
      <c r="JSV24" s="68"/>
      <c r="JSW24" s="68"/>
      <c r="JSX24" s="68"/>
      <c r="JSY24" s="68"/>
      <c r="JSZ24" s="68"/>
      <c r="JTA24" s="68"/>
      <c r="JTB24" s="68"/>
      <c r="JTC24" s="68"/>
      <c r="JTD24" s="68"/>
      <c r="JTE24" s="68"/>
      <c r="JTF24" s="68"/>
      <c r="JTG24" s="68"/>
      <c r="JTH24" s="68"/>
      <c r="JTI24" s="68"/>
      <c r="JTJ24" s="68"/>
      <c r="JTK24" s="68"/>
      <c r="JTL24" s="68"/>
      <c r="JTM24" s="68"/>
      <c r="JTN24" s="68"/>
      <c r="JTO24" s="68"/>
      <c r="JTP24" s="68"/>
      <c r="JTQ24" s="68"/>
      <c r="JTR24" s="68"/>
      <c r="JTS24" s="68"/>
      <c r="JTT24" s="68"/>
      <c r="JTU24" s="68"/>
      <c r="JTV24" s="68"/>
      <c r="JTW24" s="68"/>
      <c r="JTX24" s="68"/>
      <c r="JTY24" s="68"/>
      <c r="JTZ24" s="68"/>
      <c r="JUA24" s="68"/>
      <c r="JUB24" s="68"/>
      <c r="JUC24" s="68"/>
      <c r="JUD24" s="68"/>
      <c r="JUE24" s="68"/>
      <c r="JUF24" s="68"/>
      <c r="JUG24" s="68"/>
      <c r="JUH24" s="68"/>
      <c r="JUI24" s="68"/>
      <c r="JUJ24" s="68"/>
      <c r="JUK24" s="68"/>
      <c r="JUL24" s="68"/>
      <c r="JUM24" s="68"/>
      <c r="JUN24" s="68"/>
      <c r="JUO24" s="68"/>
      <c r="JUP24" s="68"/>
      <c r="JUQ24" s="68"/>
      <c r="JUR24" s="68"/>
      <c r="JUS24" s="68"/>
      <c r="JUT24" s="68"/>
      <c r="JUU24" s="68"/>
      <c r="JUV24" s="68"/>
      <c r="JUW24" s="68"/>
      <c r="JUX24" s="68"/>
      <c r="JUY24" s="68"/>
      <c r="JUZ24" s="68"/>
      <c r="JVA24" s="68"/>
      <c r="JVB24" s="68"/>
      <c r="JVC24" s="68"/>
      <c r="JVD24" s="68"/>
      <c r="JVE24" s="68"/>
      <c r="JVF24" s="68"/>
      <c r="JVG24" s="68"/>
      <c r="JVH24" s="68"/>
      <c r="JVI24" s="68"/>
      <c r="JVJ24" s="68"/>
      <c r="JVK24" s="68"/>
      <c r="JVL24" s="68"/>
      <c r="JVM24" s="68"/>
      <c r="JVN24" s="68"/>
      <c r="JVO24" s="68"/>
      <c r="JVP24" s="68"/>
      <c r="JVQ24" s="68"/>
      <c r="JVR24" s="68"/>
      <c r="JVS24" s="68"/>
      <c r="JVT24" s="68"/>
      <c r="JVU24" s="68"/>
      <c r="JVV24" s="68"/>
      <c r="JVW24" s="68"/>
      <c r="JVX24" s="68"/>
      <c r="JVY24" s="68"/>
      <c r="JVZ24" s="68"/>
      <c r="JWA24" s="68"/>
      <c r="JWB24" s="68"/>
      <c r="JWC24" s="68"/>
      <c r="JWD24" s="68"/>
      <c r="JWE24" s="68"/>
      <c r="JWF24" s="68"/>
      <c r="JWG24" s="68"/>
      <c r="JWH24" s="68"/>
      <c r="JWI24" s="68"/>
      <c r="JWJ24" s="68"/>
      <c r="JWK24" s="68"/>
      <c r="JWL24" s="68"/>
      <c r="JWM24" s="68"/>
      <c r="JWN24" s="68"/>
      <c r="JWO24" s="68"/>
      <c r="JWP24" s="68"/>
      <c r="JWQ24" s="68"/>
      <c r="JWR24" s="68"/>
      <c r="JWS24" s="68"/>
      <c r="JWT24" s="68"/>
      <c r="JWU24" s="68"/>
      <c r="JWV24" s="68"/>
      <c r="JWW24" s="68"/>
      <c r="JWX24" s="68"/>
      <c r="JWY24" s="68"/>
      <c r="JWZ24" s="68"/>
      <c r="JXA24" s="68"/>
      <c r="JXB24" s="68"/>
      <c r="JXC24" s="68"/>
      <c r="JXD24" s="68"/>
      <c r="JXE24" s="68"/>
      <c r="JXF24" s="68"/>
      <c r="JXG24" s="68"/>
      <c r="JXH24" s="68"/>
      <c r="JXI24" s="68"/>
      <c r="JXJ24" s="68"/>
      <c r="JXK24" s="68"/>
      <c r="JXL24" s="68"/>
      <c r="JXM24" s="68"/>
      <c r="JXN24" s="68"/>
      <c r="JXO24" s="68"/>
      <c r="JXP24" s="68"/>
      <c r="JXQ24" s="68"/>
      <c r="JXR24" s="68"/>
      <c r="JXS24" s="68"/>
      <c r="JXT24" s="68"/>
      <c r="JXU24" s="68"/>
      <c r="JXV24" s="68"/>
      <c r="JXW24" s="68"/>
      <c r="JXX24" s="68"/>
      <c r="JXY24" s="68"/>
      <c r="JXZ24" s="68"/>
      <c r="JYA24" s="68"/>
      <c r="JYB24" s="68"/>
      <c r="JYC24" s="68"/>
      <c r="JYD24" s="68"/>
      <c r="JYE24" s="68"/>
      <c r="JYF24" s="68"/>
      <c r="JYG24" s="68"/>
      <c r="JYH24" s="68"/>
      <c r="JYI24" s="68"/>
      <c r="JYJ24" s="68"/>
      <c r="JYK24" s="68"/>
      <c r="JYL24" s="68"/>
      <c r="JYM24" s="68"/>
      <c r="JYN24" s="68"/>
      <c r="JYO24" s="68"/>
      <c r="JYP24" s="68"/>
      <c r="JYQ24" s="68"/>
      <c r="JYR24" s="68"/>
      <c r="JYS24" s="68"/>
      <c r="JYT24" s="68"/>
      <c r="JYU24" s="68"/>
      <c r="JYV24" s="68"/>
      <c r="JYW24" s="68"/>
      <c r="JYX24" s="68"/>
      <c r="JYY24" s="68"/>
      <c r="JYZ24" s="68"/>
      <c r="JZA24" s="68"/>
      <c r="JZB24" s="68"/>
      <c r="JZC24" s="68"/>
      <c r="JZD24" s="68"/>
      <c r="JZE24" s="68"/>
      <c r="JZF24" s="68"/>
      <c r="JZG24" s="68"/>
      <c r="JZH24" s="68"/>
      <c r="JZI24" s="68"/>
      <c r="JZJ24" s="68"/>
      <c r="JZK24" s="68"/>
      <c r="JZL24" s="68"/>
      <c r="JZM24" s="68"/>
      <c r="JZN24" s="68"/>
      <c r="JZO24" s="68"/>
      <c r="JZP24" s="68"/>
      <c r="JZQ24" s="68"/>
      <c r="JZR24" s="68"/>
      <c r="JZS24" s="68"/>
      <c r="JZT24" s="68"/>
      <c r="JZU24" s="68"/>
      <c r="JZV24" s="68"/>
      <c r="JZW24" s="68"/>
      <c r="JZX24" s="68"/>
      <c r="JZY24" s="68"/>
      <c r="JZZ24" s="68"/>
      <c r="KAA24" s="68"/>
      <c r="KAB24" s="68"/>
      <c r="KAC24" s="68"/>
      <c r="KAD24" s="68"/>
      <c r="KAE24" s="68"/>
      <c r="KAF24" s="68"/>
      <c r="KAG24" s="68"/>
      <c r="KAH24" s="68"/>
      <c r="KAI24" s="68"/>
      <c r="KAJ24" s="68"/>
      <c r="KAK24" s="68"/>
      <c r="KAL24" s="68"/>
      <c r="KAM24" s="68"/>
      <c r="KAN24" s="68"/>
      <c r="KAO24" s="68"/>
      <c r="KAP24" s="68"/>
      <c r="KAQ24" s="68"/>
      <c r="KAR24" s="68"/>
      <c r="KAS24" s="68"/>
      <c r="KAT24" s="68"/>
      <c r="KAU24" s="68"/>
      <c r="KAV24" s="68"/>
      <c r="KAW24" s="68"/>
      <c r="KAX24" s="68"/>
      <c r="KAY24" s="68"/>
      <c r="KAZ24" s="68"/>
      <c r="KBA24" s="68"/>
      <c r="KBB24" s="68"/>
      <c r="KBC24" s="68"/>
      <c r="KBD24" s="68"/>
      <c r="KBE24" s="68"/>
      <c r="KBF24" s="68"/>
      <c r="KBG24" s="68"/>
      <c r="KBH24" s="68"/>
      <c r="KBI24" s="68"/>
      <c r="KBJ24" s="68"/>
      <c r="KBK24" s="68"/>
      <c r="KBL24" s="68"/>
      <c r="KBM24" s="68"/>
      <c r="KBN24" s="68"/>
      <c r="KBO24" s="68"/>
      <c r="KBP24" s="68"/>
      <c r="KBQ24" s="68"/>
      <c r="KBR24" s="68"/>
      <c r="KBS24" s="68"/>
      <c r="KBT24" s="68"/>
      <c r="KBU24" s="68"/>
      <c r="KBV24" s="68"/>
      <c r="KBW24" s="68"/>
      <c r="KBX24" s="68"/>
      <c r="KBY24" s="68"/>
      <c r="KBZ24" s="68"/>
      <c r="KCA24" s="68"/>
      <c r="KCB24" s="68"/>
      <c r="KCC24" s="68"/>
      <c r="KCD24" s="68"/>
      <c r="KCE24" s="68"/>
      <c r="KCF24" s="68"/>
      <c r="KCG24" s="68"/>
      <c r="KCH24" s="68"/>
      <c r="KCI24" s="68"/>
      <c r="KCJ24" s="68"/>
      <c r="KCK24" s="68"/>
      <c r="KCL24" s="68"/>
      <c r="KCM24" s="68"/>
      <c r="KCN24" s="68"/>
      <c r="KCO24" s="68"/>
      <c r="KCP24" s="68"/>
      <c r="KCQ24" s="68"/>
      <c r="KCR24" s="68"/>
      <c r="KCS24" s="68"/>
      <c r="KCT24" s="68"/>
      <c r="KCU24" s="68"/>
      <c r="KCV24" s="68"/>
      <c r="KCW24" s="68"/>
      <c r="KCX24" s="68"/>
      <c r="KCY24" s="68"/>
      <c r="KCZ24" s="68"/>
      <c r="KDA24" s="68"/>
      <c r="KDB24" s="68"/>
      <c r="KDC24" s="68"/>
      <c r="KDD24" s="68"/>
      <c r="KDE24" s="68"/>
      <c r="KDF24" s="68"/>
      <c r="KDG24" s="68"/>
      <c r="KDH24" s="68"/>
      <c r="KDI24" s="68"/>
      <c r="KDJ24" s="68"/>
      <c r="KDK24" s="68"/>
      <c r="KDL24" s="68"/>
      <c r="KDM24" s="68"/>
      <c r="KDN24" s="68"/>
      <c r="KDO24" s="68"/>
      <c r="KDP24" s="68"/>
      <c r="KDQ24" s="68"/>
      <c r="KDR24" s="68"/>
      <c r="KDS24" s="68"/>
      <c r="KDT24" s="68"/>
      <c r="KDU24" s="68"/>
      <c r="KDV24" s="68"/>
      <c r="KDW24" s="68"/>
      <c r="KDX24" s="68"/>
      <c r="KDY24" s="68"/>
      <c r="KDZ24" s="68"/>
      <c r="KEA24" s="68"/>
      <c r="KEB24" s="68"/>
      <c r="KEC24" s="68"/>
      <c r="KED24" s="68"/>
      <c r="KEE24" s="68"/>
      <c r="KEF24" s="68"/>
      <c r="KEG24" s="68"/>
      <c r="KEH24" s="68"/>
      <c r="KEI24" s="68"/>
      <c r="KEJ24" s="68"/>
      <c r="KEK24" s="68"/>
      <c r="KEL24" s="68"/>
      <c r="KEM24" s="68"/>
      <c r="KEN24" s="68"/>
      <c r="KEO24" s="68"/>
      <c r="KEP24" s="68"/>
      <c r="KEQ24" s="68"/>
      <c r="KER24" s="68"/>
      <c r="KES24" s="68"/>
      <c r="KET24" s="68"/>
      <c r="KEU24" s="68"/>
      <c r="KEV24" s="68"/>
      <c r="KEW24" s="68"/>
      <c r="KEX24" s="68"/>
      <c r="KEY24" s="68"/>
      <c r="KEZ24" s="68"/>
      <c r="KFA24" s="68"/>
      <c r="KFB24" s="68"/>
      <c r="KFC24" s="68"/>
      <c r="KFD24" s="68"/>
      <c r="KFE24" s="68"/>
      <c r="KFF24" s="68"/>
      <c r="KFG24" s="68"/>
      <c r="KFH24" s="68"/>
      <c r="KFI24" s="68"/>
      <c r="KFJ24" s="68"/>
      <c r="KFK24" s="68"/>
      <c r="KFL24" s="68"/>
      <c r="KFM24" s="68"/>
      <c r="KFN24" s="68"/>
      <c r="KFO24" s="68"/>
      <c r="KFP24" s="68"/>
      <c r="KFQ24" s="68"/>
      <c r="KFR24" s="68"/>
      <c r="KFS24" s="68"/>
      <c r="KFT24" s="68"/>
      <c r="KFU24" s="68"/>
      <c r="KFV24" s="68"/>
      <c r="KFW24" s="68"/>
      <c r="KFX24" s="68"/>
      <c r="KFY24" s="68"/>
      <c r="KFZ24" s="68"/>
      <c r="KGA24" s="68"/>
      <c r="KGB24" s="68"/>
      <c r="KGC24" s="68"/>
      <c r="KGD24" s="68"/>
      <c r="KGE24" s="68"/>
      <c r="KGF24" s="68"/>
      <c r="KGG24" s="68"/>
      <c r="KGH24" s="68"/>
      <c r="KGI24" s="68"/>
      <c r="KGJ24" s="68"/>
      <c r="KGK24" s="68"/>
      <c r="KGL24" s="68"/>
      <c r="KGM24" s="68"/>
      <c r="KGN24" s="68"/>
      <c r="KGO24" s="68"/>
      <c r="KGP24" s="68"/>
      <c r="KGQ24" s="68"/>
      <c r="KGR24" s="68"/>
      <c r="KGS24" s="68"/>
      <c r="KGT24" s="68"/>
      <c r="KGU24" s="68"/>
      <c r="KGV24" s="68"/>
      <c r="KGW24" s="68"/>
      <c r="KGX24" s="68"/>
      <c r="KGY24" s="68"/>
      <c r="KGZ24" s="68"/>
      <c r="KHA24" s="68"/>
      <c r="KHB24" s="68"/>
      <c r="KHC24" s="68"/>
      <c r="KHD24" s="68"/>
      <c r="KHE24" s="68"/>
      <c r="KHF24" s="68"/>
      <c r="KHG24" s="68"/>
      <c r="KHH24" s="68"/>
      <c r="KHI24" s="68"/>
      <c r="KHJ24" s="68"/>
      <c r="KHK24" s="68"/>
      <c r="KHL24" s="68"/>
      <c r="KHM24" s="68"/>
      <c r="KHN24" s="68"/>
      <c r="KHO24" s="68"/>
      <c r="KHP24" s="68"/>
      <c r="KHQ24" s="68"/>
      <c r="KHR24" s="68"/>
      <c r="KHS24" s="68"/>
      <c r="KHT24" s="68"/>
      <c r="KHU24" s="68"/>
      <c r="KHV24" s="68"/>
      <c r="KHW24" s="68"/>
      <c r="KHX24" s="68"/>
      <c r="KHY24" s="68"/>
      <c r="KHZ24" s="68"/>
      <c r="KIA24" s="68"/>
      <c r="KIB24" s="68"/>
      <c r="KIC24" s="68"/>
      <c r="KID24" s="68"/>
      <c r="KIE24" s="68"/>
      <c r="KIF24" s="68"/>
      <c r="KIG24" s="68"/>
      <c r="KIH24" s="68"/>
      <c r="KII24" s="68"/>
      <c r="KIJ24" s="68"/>
      <c r="KIK24" s="68"/>
      <c r="KIL24" s="68"/>
      <c r="KIM24" s="68"/>
      <c r="KIN24" s="68"/>
      <c r="KIO24" s="68"/>
      <c r="KIP24" s="68"/>
      <c r="KIQ24" s="68"/>
      <c r="KIR24" s="68"/>
      <c r="KIS24" s="68"/>
      <c r="KIT24" s="68"/>
      <c r="KIU24" s="68"/>
      <c r="KIV24" s="68"/>
      <c r="KIW24" s="68"/>
      <c r="KIX24" s="68"/>
      <c r="KIY24" s="68"/>
      <c r="KIZ24" s="68"/>
      <c r="KJA24" s="68"/>
      <c r="KJB24" s="68"/>
      <c r="KJC24" s="68"/>
      <c r="KJD24" s="68"/>
      <c r="KJE24" s="68"/>
      <c r="KJF24" s="68"/>
      <c r="KJG24" s="68"/>
      <c r="KJH24" s="68"/>
      <c r="KJI24" s="68"/>
      <c r="KJJ24" s="68"/>
      <c r="KJK24" s="68"/>
      <c r="KJL24" s="68"/>
      <c r="KJM24" s="68"/>
      <c r="KJN24" s="68"/>
      <c r="KJO24" s="68"/>
      <c r="KJP24" s="68"/>
      <c r="KJQ24" s="68"/>
      <c r="KJR24" s="68"/>
      <c r="KJS24" s="68"/>
      <c r="KJT24" s="68"/>
      <c r="KJU24" s="68"/>
      <c r="KJV24" s="68"/>
      <c r="KJW24" s="68"/>
      <c r="KJX24" s="68"/>
      <c r="KJY24" s="68"/>
      <c r="KJZ24" s="68"/>
      <c r="KKA24" s="68"/>
      <c r="KKB24" s="68"/>
      <c r="KKC24" s="68"/>
      <c r="KKD24" s="68"/>
      <c r="KKE24" s="68"/>
      <c r="KKF24" s="68"/>
      <c r="KKG24" s="68"/>
      <c r="KKH24" s="68"/>
      <c r="KKI24" s="68"/>
      <c r="KKJ24" s="68"/>
      <c r="KKK24" s="68"/>
      <c r="KKL24" s="68"/>
      <c r="KKM24" s="68"/>
      <c r="KKN24" s="68"/>
      <c r="KKO24" s="68"/>
      <c r="KKP24" s="68"/>
      <c r="KKQ24" s="68"/>
      <c r="KKR24" s="68"/>
      <c r="KKS24" s="68"/>
      <c r="KKT24" s="68"/>
      <c r="KKU24" s="68"/>
      <c r="KKV24" s="68"/>
      <c r="KKW24" s="68"/>
      <c r="KKX24" s="68"/>
      <c r="KKY24" s="68"/>
      <c r="KKZ24" s="68"/>
      <c r="KLA24" s="68"/>
      <c r="KLB24" s="68"/>
      <c r="KLC24" s="68"/>
      <c r="KLD24" s="68"/>
      <c r="KLE24" s="68"/>
      <c r="KLF24" s="68"/>
      <c r="KLG24" s="68"/>
      <c r="KLH24" s="68"/>
      <c r="KLI24" s="68"/>
      <c r="KLJ24" s="68"/>
      <c r="KLK24" s="68"/>
      <c r="KLL24" s="68"/>
      <c r="KLM24" s="68"/>
      <c r="KLN24" s="68"/>
      <c r="KLO24" s="68"/>
      <c r="KLP24" s="68"/>
      <c r="KLQ24" s="68"/>
      <c r="KLR24" s="68"/>
      <c r="KLS24" s="68"/>
      <c r="KLT24" s="68"/>
      <c r="KLU24" s="68"/>
      <c r="KLV24" s="68"/>
      <c r="KLW24" s="68"/>
      <c r="KLX24" s="68"/>
      <c r="KLY24" s="68"/>
      <c r="KLZ24" s="68"/>
      <c r="KMA24" s="68"/>
      <c r="KMB24" s="68"/>
      <c r="KMC24" s="68"/>
      <c r="KMD24" s="68"/>
      <c r="KME24" s="68"/>
      <c r="KMF24" s="68"/>
      <c r="KMG24" s="68"/>
      <c r="KMH24" s="68"/>
      <c r="KMI24" s="68"/>
      <c r="KMJ24" s="68"/>
      <c r="KMK24" s="68"/>
      <c r="KML24" s="68"/>
      <c r="KMM24" s="68"/>
      <c r="KMN24" s="68"/>
      <c r="KMO24" s="68"/>
      <c r="KMP24" s="68"/>
      <c r="KMQ24" s="68"/>
      <c r="KMR24" s="68"/>
      <c r="KMS24" s="68"/>
      <c r="KMT24" s="68"/>
      <c r="KMU24" s="68"/>
      <c r="KMV24" s="68"/>
      <c r="KMW24" s="68"/>
      <c r="KMX24" s="68"/>
      <c r="KMY24" s="68"/>
      <c r="KMZ24" s="68"/>
      <c r="KNA24" s="68"/>
      <c r="KNB24" s="68"/>
      <c r="KNC24" s="68"/>
      <c r="KND24" s="68"/>
      <c r="KNE24" s="68"/>
      <c r="KNF24" s="68"/>
      <c r="KNG24" s="68"/>
      <c r="KNH24" s="68"/>
      <c r="KNI24" s="68"/>
      <c r="KNJ24" s="68"/>
      <c r="KNK24" s="68"/>
      <c r="KNL24" s="68"/>
      <c r="KNM24" s="68"/>
      <c r="KNN24" s="68"/>
      <c r="KNO24" s="68"/>
      <c r="KNP24" s="68"/>
      <c r="KNQ24" s="68"/>
      <c r="KNR24" s="68"/>
      <c r="KNS24" s="68"/>
      <c r="KNT24" s="68"/>
      <c r="KNU24" s="68"/>
      <c r="KNV24" s="68"/>
      <c r="KNW24" s="68"/>
      <c r="KNX24" s="68"/>
      <c r="KNY24" s="68"/>
      <c r="KNZ24" s="68"/>
      <c r="KOA24" s="68"/>
      <c r="KOB24" s="68"/>
      <c r="KOC24" s="68"/>
      <c r="KOD24" s="68"/>
      <c r="KOE24" s="68"/>
      <c r="KOF24" s="68"/>
      <c r="KOG24" s="68"/>
      <c r="KOH24" s="68"/>
      <c r="KOI24" s="68"/>
      <c r="KOJ24" s="68"/>
      <c r="KOK24" s="68"/>
      <c r="KOL24" s="68"/>
      <c r="KOM24" s="68"/>
      <c r="KON24" s="68"/>
      <c r="KOO24" s="68"/>
      <c r="KOP24" s="68"/>
      <c r="KOQ24" s="68"/>
      <c r="KOR24" s="68"/>
      <c r="KOS24" s="68"/>
      <c r="KOT24" s="68"/>
      <c r="KOU24" s="68"/>
      <c r="KOV24" s="68"/>
      <c r="KOW24" s="68"/>
      <c r="KOX24" s="68"/>
      <c r="KOY24" s="68"/>
      <c r="KOZ24" s="68"/>
      <c r="KPA24" s="68"/>
      <c r="KPB24" s="68"/>
      <c r="KPC24" s="68"/>
      <c r="KPD24" s="68"/>
      <c r="KPE24" s="68"/>
      <c r="KPF24" s="68"/>
      <c r="KPG24" s="68"/>
      <c r="KPH24" s="68"/>
      <c r="KPI24" s="68"/>
      <c r="KPJ24" s="68"/>
      <c r="KPK24" s="68"/>
      <c r="KPL24" s="68"/>
      <c r="KPM24" s="68"/>
      <c r="KPN24" s="68"/>
      <c r="KPO24" s="68"/>
      <c r="KPP24" s="68"/>
      <c r="KPQ24" s="68"/>
      <c r="KPR24" s="68"/>
      <c r="KPS24" s="68"/>
      <c r="KPT24" s="68"/>
      <c r="KPU24" s="68"/>
      <c r="KPV24" s="68"/>
      <c r="KPW24" s="68"/>
      <c r="KPX24" s="68"/>
      <c r="KPY24" s="68"/>
      <c r="KPZ24" s="68"/>
      <c r="KQA24" s="68"/>
      <c r="KQB24" s="68"/>
      <c r="KQC24" s="68"/>
      <c r="KQD24" s="68"/>
      <c r="KQE24" s="68"/>
      <c r="KQF24" s="68"/>
      <c r="KQG24" s="68"/>
      <c r="KQH24" s="68"/>
      <c r="KQI24" s="68"/>
      <c r="KQJ24" s="68"/>
      <c r="KQK24" s="68"/>
      <c r="KQL24" s="68"/>
      <c r="KQM24" s="68"/>
      <c r="KQN24" s="68"/>
      <c r="KQO24" s="68"/>
      <c r="KQP24" s="68"/>
      <c r="KQQ24" s="68"/>
      <c r="KQR24" s="68"/>
      <c r="KQS24" s="68"/>
      <c r="KQT24" s="68"/>
      <c r="KQU24" s="68"/>
      <c r="KQV24" s="68"/>
      <c r="KQW24" s="68"/>
      <c r="KQX24" s="68"/>
      <c r="KQY24" s="68"/>
      <c r="KQZ24" s="68"/>
      <c r="KRA24" s="68"/>
      <c r="KRB24" s="68"/>
      <c r="KRC24" s="68"/>
      <c r="KRD24" s="68"/>
      <c r="KRE24" s="68"/>
      <c r="KRF24" s="68"/>
      <c r="KRG24" s="68"/>
      <c r="KRH24" s="68"/>
      <c r="KRI24" s="68"/>
      <c r="KRJ24" s="68"/>
      <c r="KRK24" s="68"/>
      <c r="KRL24" s="68"/>
      <c r="KRM24" s="68"/>
      <c r="KRN24" s="68"/>
      <c r="KRO24" s="68"/>
      <c r="KRP24" s="68"/>
      <c r="KRQ24" s="68"/>
      <c r="KRR24" s="68"/>
      <c r="KRS24" s="68"/>
      <c r="KRT24" s="68"/>
      <c r="KRU24" s="68"/>
      <c r="KRV24" s="68"/>
      <c r="KRW24" s="68"/>
      <c r="KRX24" s="68"/>
      <c r="KRY24" s="68"/>
      <c r="KRZ24" s="68"/>
      <c r="KSA24" s="68"/>
      <c r="KSB24" s="68"/>
      <c r="KSC24" s="68"/>
      <c r="KSD24" s="68"/>
      <c r="KSE24" s="68"/>
      <c r="KSF24" s="68"/>
      <c r="KSG24" s="68"/>
      <c r="KSH24" s="68"/>
      <c r="KSI24" s="68"/>
      <c r="KSJ24" s="68"/>
      <c r="KSK24" s="68"/>
      <c r="KSL24" s="68"/>
      <c r="KSM24" s="68"/>
      <c r="KSN24" s="68"/>
      <c r="KSO24" s="68"/>
      <c r="KSP24" s="68"/>
      <c r="KSQ24" s="68"/>
      <c r="KSR24" s="68"/>
      <c r="KSS24" s="68"/>
      <c r="KST24" s="68"/>
      <c r="KSU24" s="68"/>
      <c r="KSV24" s="68"/>
      <c r="KSW24" s="68"/>
      <c r="KSX24" s="68"/>
      <c r="KSY24" s="68"/>
      <c r="KSZ24" s="68"/>
      <c r="KTA24" s="68"/>
      <c r="KTB24" s="68"/>
      <c r="KTC24" s="68"/>
      <c r="KTD24" s="68"/>
      <c r="KTE24" s="68"/>
      <c r="KTF24" s="68"/>
      <c r="KTG24" s="68"/>
      <c r="KTH24" s="68"/>
      <c r="KTI24" s="68"/>
      <c r="KTJ24" s="68"/>
      <c r="KTK24" s="68"/>
      <c r="KTL24" s="68"/>
      <c r="KTM24" s="68"/>
      <c r="KTN24" s="68"/>
      <c r="KTO24" s="68"/>
      <c r="KTP24" s="68"/>
      <c r="KTQ24" s="68"/>
      <c r="KTR24" s="68"/>
      <c r="KTS24" s="68"/>
      <c r="KTT24" s="68"/>
      <c r="KTU24" s="68"/>
      <c r="KTV24" s="68"/>
      <c r="KTW24" s="68"/>
      <c r="KTX24" s="68"/>
      <c r="KTY24" s="68"/>
      <c r="KTZ24" s="68"/>
      <c r="KUA24" s="68"/>
      <c r="KUB24" s="68"/>
      <c r="KUC24" s="68"/>
      <c r="KUD24" s="68"/>
      <c r="KUE24" s="68"/>
      <c r="KUF24" s="68"/>
      <c r="KUG24" s="68"/>
      <c r="KUH24" s="68"/>
      <c r="KUI24" s="68"/>
      <c r="KUJ24" s="68"/>
      <c r="KUK24" s="68"/>
      <c r="KUL24" s="68"/>
      <c r="KUM24" s="68"/>
      <c r="KUN24" s="68"/>
      <c r="KUO24" s="68"/>
      <c r="KUP24" s="68"/>
      <c r="KUQ24" s="68"/>
      <c r="KUR24" s="68"/>
      <c r="KUS24" s="68"/>
      <c r="KUT24" s="68"/>
      <c r="KUU24" s="68"/>
      <c r="KUV24" s="68"/>
      <c r="KUW24" s="68"/>
      <c r="KUX24" s="68"/>
      <c r="KUY24" s="68"/>
      <c r="KUZ24" s="68"/>
      <c r="KVA24" s="68"/>
      <c r="KVB24" s="68"/>
      <c r="KVC24" s="68"/>
      <c r="KVD24" s="68"/>
      <c r="KVE24" s="68"/>
      <c r="KVF24" s="68"/>
      <c r="KVG24" s="68"/>
      <c r="KVH24" s="68"/>
      <c r="KVI24" s="68"/>
      <c r="KVJ24" s="68"/>
      <c r="KVK24" s="68"/>
      <c r="KVL24" s="68"/>
      <c r="KVM24" s="68"/>
      <c r="KVN24" s="68"/>
      <c r="KVO24" s="68"/>
      <c r="KVP24" s="68"/>
      <c r="KVQ24" s="68"/>
      <c r="KVR24" s="68"/>
      <c r="KVS24" s="68"/>
      <c r="KVT24" s="68"/>
      <c r="KVU24" s="68"/>
      <c r="KVV24" s="68"/>
      <c r="KVW24" s="68"/>
      <c r="KVX24" s="68"/>
      <c r="KVY24" s="68"/>
      <c r="KVZ24" s="68"/>
      <c r="KWA24" s="68"/>
      <c r="KWB24" s="68"/>
      <c r="KWC24" s="68"/>
      <c r="KWD24" s="68"/>
      <c r="KWE24" s="68"/>
      <c r="KWF24" s="68"/>
      <c r="KWG24" s="68"/>
      <c r="KWH24" s="68"/>
      <c r="KWI24" s="68"/>
      <c r="KWJ24" s="68"/>
      <c r="KWK24" s="68"/>
      <c r="KWL24" s="68"/>
      <c r="KWM24" s="68"/>
      <c r="KWN24" s="68"/>
      <c r="KWO24" s="68"/>
      <c r="KWP24" s="68"/>
      <c r="KWQ24" s="68"/>
      <c r="KWR24" s="68"/>
      <c r="KWS24" s="68"/>
      <c r="KWT24" s="68"/>
      <c r="KWU24" s="68"/>
      <c r="KWV24" s="68"/>
      <c r="KWW24" s="68"/>
      <c r="KWX24" s="68"/>
      <c r="KWY24" s="68"/>
      <c r="KWZ24" s="68"/>
      <c r="KXA24" s="68"/>
      <c r="KXB24" s="68"/>
      <c r="KXC24" s="68"/>
      <c r="KXD24" s="68"/>
      <c r="KXE24" s="68"/>
      <c r="KXF24" s="68"/>
      <c r="KXG24" s="68"/>
      <c r="KXH24" s="68"/>
      <c r="KXI24" s="68"/>
      <c r="KXJ24" s="68"/>
      <c r="KXK24" s="68"/>
      <c r="KXL24" s="68"/>
      <c r="KXM24" s="68"/>
      <c r="KXN24" s="68"/>
      <c r="KXO24" s="68"/>
      <c r="KXP24" s="68"/>
      <c r="KXQ24" s="68"/>
      <c r="KXR24" s="68"/>
      <c r="KXS24" s="68"/>
      <c r="KXT24" s="68"/>
      <c r="KXU24" s="68"/>
      <c r="KXV24" s="68"/>
      <c r="KXW24" s="68"/>
      <c r="KXX24" s="68"/>
      <c r="KXY24" s="68"/>
      <c r="KXZ24" s="68"/>
      <c r="KYA24" s="68"/>
      <c r="KYB24" s="68"/>
      <c r="KYC24" s="68"/>
      <c r="KYD24" s="68"/>
      <c r="KYE24" s="68"/>
      <c r="KYF24" s="68"/>
      <c r="KYG24" s="68"/>
      <c r="KYH24" s="68"/>
      <c r="KYI24" s="68"/>
      <c r="KYJ24" s="68"/>
      <c r="KYK24" s="68"/>
      <c r="KYL24" s="68"/>
      <c r="KYM24" s="68"/>
      <c r="KYN24" s="68"/>
      <c r="KYO24" s="68"/>
      <c r="KYP24" s="68"/>
      <c r="KYQ24" s="68"/>
      <c r="KYR24" s="68"/>
      <c r="KYS24" s="68"/>
      <c r="KYT24" s="68"/>
      <c r="KYU24" s="68"/>
      <c r="KYV24" s="68"/>
      <c r="KYW24" s="68"/>
      <c r="KYX24" s="68"/>
      <c r="KYY24" s="68"/>
      <c r="KYZ24" s="68"/>
      <c r="KZA24" s="68"/>
      <c r="KZB24" s="68"/>
      <c r="KZC24" s="68"/>
      <c r="KZD24" s="68"/>
      <c r="KZE24" s="68"/>
      <c r="KZF24" s="68"/>
      <c r="KZG24" s="68"/>
      <c r="KZH24" s="68"/>
      <c r="KZI24" s="68"/>
      <c r="KZJ24" s="68"/>
      <c r="KZK24" s="68"/>
      <c r="KZL24" s="68"/>
      <c r="KZM24" s="68"/>
      <c r="KZN24" s="68"/>
      <c r="KZO24" s="68"/>
      <c r="KZP24" s="68"/>
      <c r="KZQ24" s="68"/>
      <c r="KZR24" s="68"/>
      <c r="KZS24" s="68"/>
      <c r="KZT24" s="68"/>
      <c r="KZU24" s="68"/>
      <c r="KZV24" s="68"/>
      <c r="KZW24" s="68"/>
      <c r="KZX24" s="68"/>
      <c r="KZY24" s="68"/>
      <c r="KZZ24" s="68"/>
      <c r="LAA24" s="68"/>
      <c r="LAB24" s="68"/>
      <c r="LAC24" s="68"/>
      <c r="LAD24" s="68"/>
      <c r="LAE24" s="68"/>
      <c r="LAF24" s="68"/>
      <c r="LAG24" s="68"/>
      <c r="LAH24" s="68"/>
      <c r="LAI24" s="68"/>
      <c r="LAJ24" s="68"/>
      <c r="LAK24" s="68"/>
      <c r="LAL24" s="68"/>
      <c r="LAM24" s="68"/>
      <c r="LAN24" s="68"/>
      <c r="LAO24" s="68"/>
      <c r="LAP24" s="68"/>
      <c r="LAQ24" s="68"/>
      <c r="LAR24" s="68"/>
      <c r="LAS24" s="68"/>
      <c r="LAT24" s="68"/>
      <c r="LAU24" s="68"/>
      <c r="LAV24" s="68"/>
      <c r="LAW24" s="68"/>
      <c r="LAX24" s="68"/>
      <c r="LAY24" s="68"/>
      <c r="LAZ24" s="68"/>
      <c r="LBA24" s="68"/>
      <c r="LBB24" s="68"/>
      <c r="LBC24" s="68"/>
      <c r="LBD24" s="68"/>
      <c r="LBE24" s="68"/>
      <c r="LBF24" s="68"/>
      <c r="LBG24" s="68"/>
      <c r="LBH24" s="68"/>
      <c r="LBI24" s="68"/>
      <c r="LBJ24" s="68"/>
      <c r="LBK24" s="68"/>
      <c r="LBL24" s="68"/>
      <c r="LBM24" s="68"/>
      <c r="LBN24" s="68"/>
      <c r="LBO24" s="68"/>
      <c r="LBP24" s="68"/>
      <c r="LBQ24" s="68"/>
      <c r="LBR24" s="68"/>
      <c r="LBS24" s="68"/>
      <c r="LBT24" s="68"/>
      <c r="LBU24" s="68"/>
      <c r="LBV24" s="68"/>
      <c r="LBW24" s="68"/>
      <c r="LBX24" s="68"/>
      <c r="LBY24" s="68"/>
      <c r="LBZ24" s="68"/>
      <c r="LCA24" s="68"/>
      <c r="LCB24" s="68"/>
      <c r="LCC24" s="68"/>
      <c r="LCD24" s="68"/>
      <c r="LCE24" s="68"/>
      <c r="LCF24" s="68"/>
      <c r="LCG24" s="68"/>
      <c r="LCH24" s="68"/>
      <c r="LCI24" s="68"/>
      <c r="LCJ24" s="68"/>
      <c r="LCK24" s="68"/>
      <c r="LCL24" s="68"/>
      <c r="LCM24" s="68"/>
      <c r="LCN24" s="68"/>
      <c r="LCO24" s="68"/>
      <c r="LCP24" s="68"/>
      <c r="LCQ24" s="68"/>
      <c r="LCR24" s="68"/>
      <c r="LCS24" s="68"/>
      <c r="LCT24" s="68"/>
      <c r="LCU24" s="68"/>
      <c r="LCV24" s="68"/>
      <c r="LCW24" s="68"/>
      <c r="LCX24" s="68"/>
      <c r="LCY24" s="68"/>
      <c r="LCZ24" s="68"/>
      <c r="LDA24" s="68"/>
      <c r="LDB24" s="68"/>
      <c r="LDC24" s="68"/>
      <c r="LDD24" s="68"/>
      <c r="LDE24" s="68"/>
      <c r="LDF24" s="68"/>
      <c r="LDG24" s="68"/>
      <c r="LDH24" s="68"/>
      <c r="LDI24" s="68"/>
      <c r="LDJ24" s="68"/>
      <c r="LDK24" s="68"/>
      <c r="LDL24" s="68"/>
      <c r="LDM24" s="68"/>
      <c r="LDN24" s="68"/>
      <c r="LDO24" s="68"/>
      <c r="LDP24" s="68"/>
      <c r="LDQ24" s="68"/>
      <c r="LDR24" s="68"/>
      <c r="LDS24" s="68"/>
      <c r="LDT24" s="68"/>
      <c r="LDU24" s="68"/>
      <c r="LDV24" s="68"/>
      <c r="LDW24" s="68"/>
      <c r="LDX24" s="68"/>
      <c r="LDY24" s="68"/>
      <c r="LDZ24" s="68"/>
      <c r="LEA24" s="68"/>
      <c r="LEB24" s="68"/>
      <c r="LEC24" s="68"/>
      <c r="LED24" s="68"/>
      <c r="LEE24" s="68"/>
      <c r="LEF24" s="68"/>
      <c r="LEG24" s="68"/>
      <c r="LEH24" s="68"/>
      <c r="LEI24" s="68"/>
      <c r="LEJ24" s="68"/>
      <c r="LEK24" s="68"/>
      <c r="LEL24" s="68"/>
      <c r="LEM24" s="68"/>
      <c r="LEN24" s="68"/>
      <c r="LEO24" s="68"/>
      <c r="LEP24" s="68"/>
      <c r="LEQ24" s="68"/>
      <c r="LER24" s="68"/>
      <c r="LES24" s="68"/>
      <c r="LET24" s="68"/>
      <c r="LEU24" s="68"/>
      <c r="LEV24" s="68"/>
      <c r="LEW24" s="68"/>
      <c r="LEX24" s="68"/>
      <c r="LEY24" s="68"/>
      <c r="LEZ24" s="68"/>
      <c r="LFA24" s="68"/>
      <c r="LFB24" s="68"/>
      <c r="LFC24" s="68"/>
      <c r="LFD24" s="68"/>
      <c r="LFE24" s="68"/>
      <c r="LFF24" s="68"/>
      <c r="LFG24" s="68"/>
      <c r="LFH24" s="68"/>
      <c r="LFI24" s="68"/>
      <c r="LFJ24" s="68"/>
      <c r="LFK24" s="68"/>
      <c r="LFL24" s="68"/>
      <c r="LFM24" s="68"/>
      <c r="LFN24" s="68"/>
      <c r="LFO24" s="68"/>
      <c r="LFP24" s="68"/>
      <c r="LFQ24" s="68"/>
      <c r="LFR24" s="68"/>
      <c r="LFS24" s="68"/>
      <c r="LFT24" s="68"/>
      <c r="LFU24" s="68"/>
      <c r="LFV24" s="68"/>
      <c r="LFW24" s="68"/>
      <c r="LFX24" s="68"/>
      <c r="LFY24" s="68"/>
      <c r="LFZ24" s="68"/>
      <c r="LGA24" s="68"/>
      <c r="LGB24" s="68"/>
      <c r="LGC24" s="68"/>
      <c r="LGD24" s="68"/>
      <c r="LGE24" s="68"/>
      <c r="LGF24" s="68"/>
      <c r="LGG24" s="68"/>
      <c r="LGH24" s="68"/>
      <c r="LGI24" s="68"/>
      <c r="LGJ24" s="68"/>
      <c r="LGK24" s="68"/>
      <c r="LGL24" s="68"/>
      <c r="LGM24" s="68"/>
      <c r="LGN24" s="68"/>
      <c r="LGO24" s="68"/>
      <c r="LGP24" s="68"/>
      <c r="LGQ24" s="68"/>
      <c r="LGR24" s="68"/>
      <c r="LGS24" s="68"/>
      <c r="LGT24" s="68"/>
      <c r="LGU24" s="68"/>
      <c r="LGV24" s="68"/>
      <c r="LGW24" s="68"/>
      <c r="LGX24" s="68"/>
      <c r="LGY24" s="68"/>
      <c r="LGZ24" s="68"/>
      <c r="LHA24" s="68"/>
      <c r="LHB24" s="68"/>
      <c r="LHC24" s="68"/>
      <c r="LHD24" s="68"/>
      <c r="LHE24" s="68"/>
      <c r="LHF24" s="68"/>
      <c r="LHG24" s="68"/>
      <c r="LHH24" s="68"/>
      <c r="LHI24" s="68"/>
      <c r="LHJ24" s="68"/>
      <c r="LHK24" s="68"/>
      <c r="LHL24" s="68"/>
      <c r="LHM24" s="68"/>
      <c r="LHN24" s="68"/>
      <c r="LHO24" s="68"/>
      <c r="LHP24" s="68"/>
      <c r="LHQ24" s="68"/>
      <c r="LHR24" s="68"/>
      <c r="LHS24" s="68"/>
      <c r="LHT24" s="68"/>
      <c r="LHU24" s="68"/>
      <c r="LHV24" s="68"/>
      <c r="LHW24" s="68"/>
      <c r="LHX24" s="68"/>
      <c r="LHY24" s="68"/>
      <c r="LHZ24" s="68"/>
      <c r="LIA24" s="68"/>
      <c r="LIB24" s="68"/>
      <c r="LIC24" s="68"/>
      <c r="LID24" s="68"/>
      <c r="LIE24" s="68"/>
      <c r="LIF24" s="68"/>
      <c r="LIG24" s="68"/>
      <c r="LIH24" s="68"/>
      <c r="LII24" s="68"/>
      <c r="LIJ24" s="68"/>
      <c r="LIK24" s="68"/>
      <c r="LIL24" s="68"/>
      <c r="LIM24" s="68"/>
      <c r="LIN24" s="68"/>
      <c r="LIO24" s="68"/>
      <c r="LIP24" s="68"/>
      <c r="LIQ24" s="68"/>
      <c r="LIR24" s="68"/>
      <c r="LIS24" s="68"/>
      <c r="LIT24" s="68"/>
      <c r="LIU24" s="68"/>
      <c r="LIV24" s="68"/>
      <c r="LIW24" s="68"/>
      <c r="LIX24" s="68"/>
      <c r="LIY24" s="68"/>
      <c r="LIZ24" s="68"/>
      <c r="LJA24" s="68"/>
      <c r="LJB24" s="68"/>
      <c r="LJC24" s="68"/>
      <c r="LJD24" s="68"/>
      <c r="LJE24" s="68"/>
      <c r="LJF24" s="68"/>
      <c r="LJG24" s="68"/>
      <c r="LJH24" s="68"/>
      <c r="LJI24" s="68"/>
      <c r="LJJ24" s="68"/>
      <c r="LJK24" s="68"/>
      <c r="LJL24" s="68"/>
      <c r="LJM24" s="68"/>
      <c r="LJN24" s="68"/>
      <c r="LJO24" s="68"/>
      <c r="LJP24" s="68"/>
      <c r="LJQ24" s="68"/>
      <c r="LJR24" s="68"/>
      <c r="LJS24" s="68"/>
      <c r="LJT24" s="68"/>
      <c r="LJU24" s="68"/>
      <c r="LJV24" s="68"/>
      <c r="LJW24" s="68"/>
      <c r="LJX24" s="68"/>
      <c r="LJY24" s="68"/>
      <c r="LJZ24" s="68"/>
      <c r="LKA24" s="68"/>
      <c r="LKB24" s="68"/>
      <c r="LKC24" s="68"/>
      <c r="LKD24" s="68"/>
      <c r="LKE24" s="68"/>
      <c r="LKF24" s="68"/>
      <c r="LKG24" s="68"/>
      <c r="LKH24" s="68"/>
      <c r="LKI24" s="68"/>
      <c r="LKJ24" s="68"/>
      <c r="LKK24" s="68"/>
      <c r="LKL24" s="68"/>
      <c r="LKM24" s="68"/>
      <c r="LKN24" s="68"/>
      <c r="LKO24" s="68"/>
      <c r="LKP24" s="68"/>
      <c r="LKQ24" s="68"/>
      <c r="LKR24" s="68"/>
      <c r="LKS24" s="68"/>
      <c r="LKT24" s="68"/>
      <c r="LKU24" s="68"/>
      <c r="LKV24" s="68"/>
      <c r="LKW24" s="68"/>
      <c r="LKX24" s="68"/>
      <c r="LKY24" s="68"/>
      <c r="LKZ24" s="68"/>
      <c r="LLA24" s="68"/>
      <c r="LLB24" s="68"/>
      <c r="LLC24" s="68"/>
      <c r="LLD24" s="68"/>
      <c r="LLE24" s="68"/>
      <c r="LLF24" s="68"/>
      <c r="LLG24" s="68"/>
      <c r="LLH24" s="68"/>
      <c r="LLI24" s="68"/>
      <c r="LLJ24" s="68"/>
      <c r="LLK24" s="68"/>
      <c r="LLL24" s="68"/>
      <c r="LLM24" s="68"/>
      <c r="LLN24" s="68"/>
      <c r="LLO24" s="68"/>
      <c r="LLP24" s="68"/>
      <c r="LLQ24" s="68"/>
      <c r="LLR24" s="68"/>
      <c r="LLS24" s="68"/>
      <c r="LLT24" s="68"/>
      <c r="LLU24" s="68"/>
      <c r="LLV24" s="68"/>
      <c r="LLW24" s="68"/>
      <c r="LLX24" s="68"/>
      <c r="LLY24" s="68"/>
      <c r="LLZ24" s="68"/>
      <c r="LMA24" s="68"/>
      <c r="LMB24" s="68"/>
      <c r="LMC24" s="68"/>
      <c r="LMD24" s="68"/>
      <c r="LME24" s="68"/>
      <c r="LMF24" s="68"/>
      <c r="LMG24" s="68"/>
      <c r="LMH24" s="68"/>
      <c r="LMI24" s="68"/>
      <c r="LMJ24" s="68"/>
      <c r="LMK24" s="68"/>
      <c r="LML24" s="68"/>
      <c r="LMM24" s="68"/>
      <c r="LMN24" s="68"/>
      <c r="LMO24" s="68"/>
      <c r="LMP24" s="68"/>
      <c r="LMQ24" s="68"/>
      <c r="LMR24" s="68"/>
      <c r="LMS24" s="68"/>
      <c r="LMT24" s="68"/>
      <c r="LMU24" s="68"/>
      <c r="LMV24" s="68"/>
      <c r="LMW24" s="68"/>
      <c r="LMX24" s="68"/>
      <c r="LMY24" s="68"/>
      <c r="LMZ24" s="68"/>
      <c r="LNA24" s="68"/>
      <c r="LNB24" s="68"/>
      <c r="LNC24" s="68"/>
      <c r="LND24" s="68"/>
      <c r="LNE24" s="68"/>
      <c r="LNF24" s="68"/>
      <c r="LNG24" s="68"/>
      <c r="LNH24" s="68"/>
      <c r="LNI24" s="68"/>
      <c r="LNJ24" s="68"/>
      <c r="LNK24" s="68"/>
      <c r="LNL24" s="68"/>
      <c r="LNM24" s="68"/>
      <c r="LNN24" s="68"/>
      <c r="LNO24" s="68"/>
      <c r="LNP24" s="68"/>
      <c r="LNQ24" s="68"/>
      <c r="LNR24" s="68"/>
      <c r="LNS24" s="68"/>
      <c r="LNT24" s="68"/>
      <c r="LNU24" s="68"/>
      <c r="LNV24" s="68"/>
      <c r="LNW24" s="68"/>
      <c r="LNX24" s="68"/>
      <c r="LNY24" s="68"/>
      <c r="LNZ24" s="68"/>
      <c r="LOA24" s="68"/>
      <c r="LOB24" s="68"/>
      <c r="LOC24" s="68"/>
      <c r="LOD24" s="68"/>
      <c r="LOE24" s="68"/>
      <c r="LOF24" s="68"/>
      <c r="LOG24" s="68"/>
      <c r="LOH24" s="68"/>
      <c r="LOI24" s="68"/>
      <c r="LOJ24" s="68"/>
      <c r="LOK24" s="68"/>
      <c r="LOL24" s="68"/>
      <c r="LOM24" s="68"/>
      <c r="LON24" s="68"/>
      <c r="LOO24" s="68"/>
      <c r="LOP24" s="68"/>
      <c r="LOQ24" s="68"/>
      <c r="LOR24" s="68"/>
      <c r="LOS24" s="68"/>
      <c r="LOT24" s="68"/>
      <c r="LOU24" s="68"/>
      <c r="LOV24" s="68"/>
      <c r="LOW24" s="68"/>
      <c r="LOX24" s="68"/>
      <c r="LOY24" s="68"/>
      <c r="LOZ24" s="68"/>
      <c r="LPA24" s="68"/>
      <c r="LPB24" s="68"/>
      <c r="LPC24" s="68"/>
      <c r="LPD24" s="68"/>
      <c r="LPE24" s="68"/>
      <c r="LPF24" s="68"/>
      <c r="LPG24" s="68"/>
      <c r="LPH24" s="68"/>
      <c r="LPI24" s="68"/>
      <c r="LPJ24" s="68"/>
      <c r="LPK24" s="68"/>
      <c r="LPL24" s="68"/>
      <c r="LPM24" s="68"/>
      <c r="LPN24" s="68"/>
      <c r="LPO24" s="68"/>
      <c r="LPP24" s="68"/>
      <c r="LPQ24" s="68"/>
      <c r="LPR24" s="68"/>
      <c r="LPS24" s="68"/>
      <c r="LPT24" s="68"/>
      <c r="LPU24" s="68"/>
      <c r="LPV24" s="68"/>
      <c r="LPW24" s="68"/>
      <c r="LPX24" s="68"/>
      <c r="LPY24" s="68"/>
      <c r="LPZ24" s="68"/>
      <c r="LQA24" s="68"/>
      <c r="LQB24" s="68"/>
      <c r="LQC24" s="68"/>
      <c r="LQD24" s="68"/>
      <c r="LQE24" s="68"/>
      <c r="LQF24" s="68"/>
      <c r="LQG24" s="68"/>
      <c r="LQH24" s="68"/>
      <c r="LQI24" s="68"/>
      <c r="LQJ24" s="68"/>
      <c r="LQK24" s="68"/>
      <c r="LQL24" s="68"/>
      <c r="LQM24" s="68"/>
      <c r="LQN24" s="68"/>
      <c r="LQO24" s="68"/>
      <c r="LQP24" s="68"/>
      <c r="LQQ24" s="68"/>
      <c r="LQR24" s="68"/>
      <c r="LQS24" s="68"/>
      <c r="LQT24" s="68"/>
      <c r="LQU24" s="68"/>
      <c r="LQV24" s="68"/>
      <c r="LQW24" s="68"/>
      <c r="LQX24" s="68"/>
      <c r="LQY24" s="68"/>
      <c r="LQZ24" s="68"/>
      <c r="LRA24" s="68"/>
      <c r="LRB24" s="68"/>
      <c r="LRC24" s="68"/>
      <c r="LRD24" s="68"/>
      <c r="LRE24" s="68"/>
      <c r="LRF24" s="68"/>
      <c r="LRG24" s="68"/>
      <c r="LRH24" s="68"/>
      <c r="LRI24" s="68"/>
      <c r="LRJ24" s="68"/>
      <c r="LRK24" s="68"/>
      <c r="LRL24" s="68"/>
      <c r="LRM24" s="68"/>
      <c r="LRN24" s="68"/>
      <c r="LRO24" s="68"/>
      <c r="LRP24" s="68"/>
      <c r="LRQ24" s="68"/>
      <c r="LRR24" s="68"/>
      <c r="LRS24" s="68"/>
      <c r="LRT24" s="68"/>
      <c r="LRU24" s="68"/>
      <c r="LRV24" s="68"/>
      <c r="LRW24" s="68"/>
      <c r="LRX24" s="68"/>
      <c r="LRY24" s="68"/>
      <c r="LRZ24" s="68"/>
      <c r="LSA24" s="68"/>
      <c r="LSB24" s="68"/>
      <c r="LSC24" s="68"/>
      <c r="LSD24" s="68"/>
      <c r="LSE24" s="68"/>
      <c r="LSF24" s="68"/>
      <c r="LSG24" s="68"/>
      <c r="LSH24" s="68"/>
      <c r="LSI24" s="68"/>
      <c r="LSJ24" s="68"/>
      <c r="LSK24" s="68"/>
      <c r="LSL24" s="68"/>
      <c r="LSM24" s="68"/>
      <c r="LSN24" s="68"/>
      <c r="LSO24" s="68"/>
      <c r="LSP24" s="68"/>
      <c r="LSQ24" s="68"/>
      <c r="LSR24" s="68"/>
      <c r="LSS24" s="68"/>
      <c r="LST24" s="68"/>
      <c r="LSU24" s="68"/>
      <c r="LSV24" s="68"/>
      <c r="LSW24" s="68"/>
      <c r="LSX24" s="68"/>
      <c r="LSY24" s="68"/>
      <c r="LSZ24" s="68"/>
      <c r="LTA24" s="68"/>
      <c r="LTB24" s="68"/>
      <c r="LTC24" s="68"/>
      <c r="LTD24" s="68"/>
      <c r="LTE24" s="68"/>
      <c r="LTF24" s="68"/>
      <c r="LTG24" s="68"/>
      <c r="LTH24" s="68"/>
      <c r="LTI24" s="68"/>
      <c r="LTJ24" s="68"/>
      <c r="LTK24" s="68"/>
      <c r="LTL24" s="68"/>
      <c r="LTM24" s="68"/>
      <c r="LTN24" s="68"/>
      <c r="LTO24" s="68"/>
      <c r="LTP24" s="68"/>
      <c r="LTQ24" s="68"/>
      <c r="LTR24" s="68"/>
      <c r="LTS24" s="68"/>
      <c r="LTT24" s="68"/>
      <c r="LTU24" s="68"/>
      <c r="LTV24" s="68"/>
      <c r="LTW24" s="68"/>
      <c r="LTX24" s="68"/>
      <c r="LTY24" s="68"/>
      <c r="LTZ24" s="68"/>
      <c r="LUA24" s="68"/>
      <c r="LUB24" s="68"/>
      <c r="LUC24" s="68"/>
      <c r="LUD24" s="68"/>
      <c r="LUE24" s="68"/>
      <c r="LUF24" s="68"/>
      <c r="LUG24" s="68"/>
      <c r="LUH24" s="68"/>
      <c r="LUI24" s="68"/>
      <c r="LUJ24" s="68"/>
      <c r="LUK24" s="68"/>
      <c r="LUL24" s="68"/>
      <c r="LUM24" s="68"/>
      <c r="LUN24" s="68"/>
      <c r="LUO24" s="68"/>
      <c r="LUP24" s="68"/>
      <c r="LUQ24" s="68"/>
      <c r="LUR24" s="68"/>
      <c r="LUS24" s="68"/>
      <c r="LUT24" s="68"/>
      <c r="LUU24" s="68"/>
      <c r="LUV24" s="68"/>
      <c r="LUW24" s="68"/>
      <c r="LUX24" s="68"/>
      <c r="LUY24" s="68"/>
      <c r="LUZ24" s="68"/>
      <c r="LVA24" s="68"/>
      <c r="LVB24" s="68"/>
      <c r="LVC24" s="68"/>
      <c r="LVD24" s="68"/>
      <c r="LVE24" s="68"/>
      <c r="LVF24" s="68"/>
      <c r="LVG24" s="68"/>
      <c r="LVH24" s="68"/>
      <c r="LVI24" s="68"/>
      <c r="LVJ24" s="68"/>
      <c r="LVK24" s="68"/>
      <c r="LVL24" s="68"/>
      <c r="LVM24" s="68"/>
      <c r="LVN24" s="68"/>
      <c r="LVO24" s="68"/>
      <c r="LVP24" s="68"/>
      <c r="LVQ24" s="68"/>
      <c r="LVR24" s="68"/>
      <c r="LVS24" s="68"/>
      <c r="LVT24" s="68"/>
      <c r="LVU24" s="68"/>
      <c r="LVV24" s="68"/>
      <c r="LVW24" s="68"/>
      <c r="LVX24" s="68"/>
      <c r="LVY24" s="68"/>
      <c r="LVZ24" s="68"/>
      <c r="LWA24" s="68"/>
      <c r="LWB24" s="68"/>
      <c r="LWC24" s="68"/>
      <c r="LWD24" s="68"/>
      <c r="LWE24" s="68"/>
      <c r="LWF24" s="68"/>
      <c r="LWG24" s="68"/>
      <c r="LWH24" s="68"/>
      <c r="LWI24" s="68"/>
      <c r="LWJ24" s="68"/>
      <c r="LWK24" s="68"/>
      <c r="LWL24" s="68"/>
      <c r="LWM24" s="68"/>
      <c r="LWN24" s="68"/>
      <c r="LWO24" s="68"/>
      <c r="LWP24" s="68"/>
      <c r="LWQ24" s="68"/>
      <c r="LWR24" s="68"/>
      <c r="LWS24" s="68"/>
      <c r="LWT24" s="68"/>
      <c r="LWU24" s="68"/>
      <c r="LWV24" s="68"/>
      <c r="LWW24" s="68"/>
      <c r="LWX24" s="68"/>
      <c r="LWY24" s="68"/>
      <c r="LWZ24" s="68"/>
      <c r="LXA24" s="68"/>
      <c r="LXB24" s="68"/>
      <c r="LXC24" s="68"/>
      <c r="LXD24" s="68"/>
      <c r="LXE24" s="68"/>
      <c r="LXF24" s="68"/>
      <c r="LXG24" s="68"/>
      <c r="LXH24" s="68"/>
      <c r="LXI24" s="68"/>
      <c r="LXJ24" s="68"/>
      <c r="LXK24" s="68"/>
      <c r="LXL24" s="68"/>
      <c r="LXM24" s="68"/>
      <c r="LXN24" s="68"/>
      <c r="LXO24" s="68"/>
      <c r="LXP24" s="68"/>
      <c r="LXQ24" s="68"/>
      <c r="LXR24" s="68"/>
      <c r="LXS24" s="68"/>
      <c r="LXT24" s="68"/>
      <c r="LXU24" s="68"/>
      <c r="LXV24" s="68"/>
      <c r="LXW24" s="68"/>
      <c r="LXX24" s="68"/>
      <c r="LXY24" s="68"/>
      <c r="LXZ24" s="68"/>
      <c r="LYA24" s="68"/>
      <c r="LYB24" s="68"/>
      <c r="LYC24" s="68"/>
      <c r="LYD24" s="68"/>
      <c r="LYE24" s="68"/>
      <c r="LYF24" s="68"/>
      <c r="LYG24" s="68"/>
      <c r="LYH24" s="68"/>
      <c r="LYI24" s="68"/>
      <c r="LYJ24" s="68"/>
      <c r="LYK24" s="68"/>
      <c r="LYL24" s="68"/>
      <c r="LYM24" s="68"/>
      <c r="LYN24" s="68"/>
      <c r="LYO24" s="68"/>
      <c r="LYP24" s="68"/>
      <c r="LYQ24" s="68"/>
      <c r="LYR24" s="68"/>
      <c r="LYS24" s="68"/>
      <c r="LYT24" s="68"/>
      <c r="LYU24" s="68"/>
      <c r="LYV24" s="68"/>
      <c r="LYW24" s="68"/>
      <c r="LYX24" s="68"/>
      <c r="LYY24" s="68"/>
      <c r="LYZ24" s="68"/>
      <c r="LZA24" s="68"/>
      <c r="LZB24" s="68"/>
      <c r="LZC24" s="68"/>
      <c r="LZD24" s="68"/>
      <c r="LZE24" s="68"/>
      <c r="LZF24" s="68"/>
      <c r="LZG24" s="68"/>
      <c r="LZH24" s="68"/>
      <c r="LZI24" s="68"/>
      <c r="LZJ24" s="68"/>
      <c r="LZK24" s="68"/>
      <c r="LZL24" s="68"/>
      <c r="LZM24" s="68"/>
      <c r="LZN24" s="68"/>
      <c r="LZO24" s="68"/>
      <c r="LZP24" s="68"/>
      <c r="LZQ24" s="68"/>
      <c r="LZR24" s="68"/>
      <c r="LZS24" s="68"/>
      <c r="LZT24" s="68"/>
      <c r="LZU24" s="68"/>
      <c r="LZV24" s="68"/>
      <c r="LZW24" s="68"/>
      <c r="LZX24" s="68"/>
      <c r="LZY24" s="68"/>
      <c r="LZZ24" s="68"/>
      <c r="MAA24" s="68"/>
      <c r="MAB24" s="68"/>
      <c r="MAC24" s="68"/>
      <c r="MAD24" s="68"/>
      <c r="MAE24" s="68"/>
      <c r="MAF24" s="68"/>
      <c r="MAG24" s="68"/>
      <c r="MAH24" s="68"/>
      <c r="MAI24" s="68"/>
      <c r="MAJ24" s="68"/>
      <c r="MAK24" s="68"/>
      <c r="MAL24" s="68"/>
      <c r="MAM24" s="68"/>
      <c r="MAN24" s="68"/>
      <c r="MAO24" s="68"/>
      <c r="MAP24" s="68"/>
      <c r="MAQ24" s="68"/>
      <c r="MAR24" s="68"/>
      <c r="MAS24" s="68"/>
      <c r="MAT24" s="68"/>
      <c r="MAU24" s="68"/>
      <c r="MAV24" s="68"/>
      <c r="MAW24" s="68"/>
      <c r="MAX24" s="68"/>
      <c r="MAY24" s="68"/>
      <c r="MAZ24" s="68"/>
      <c r="MBA24" s="68"/>
      <c r="MBB24" s="68"/>
      <c r="MBC24" s="68"/>
      <c r="MBD24" s="68"/>
      <c r="MBE24" s="68"/>
      <c r="MBF24" s="68"/>
      <c r="MBG24" s="68"/>
      <c r="MBH24" s="68"/>
      <c r="MBI24" s="68"/>
      <c r="MBJ24" s="68"/>
      <c r="MBK24" s="68"/>
      <c r="MBL24" s="68"/>
      <c r="MBM24" s="68"/>
      <c r="MBN24" s="68"/>
      <c r="MBO24" s="68"/>
      <c r="MBP24" s="68"/>
      <c r="MBQ24" s="68"/>
      <c r="MBR24" s="68"/>
      <c r="MBS24" s="68"/>
      <c r="MBT24" s="68"/>
      <c r="MBU24" s="68"/>
      <c r="MBV24" s="68"/>
      <c r="MBW24" s="68"/>
      <c r="MBX24" s="68"/>
      <c r="MBY24" s="68"/>
      <c r="MBZ24" s="68"/>
      <c r="MCA24" s="68"/>
      <c r="MCB24" s="68"/>
      <c r="MCC24" s="68"/>
      <c r="MCD24" s="68"/>
      <c r="MCE24" s="68"/>
      <c r="MCF24" s="68"/>
      <c r="MCG24" s="68"/>
      <c r="MCH24" s="68"/>
      <c r="MCI24" s="68"/>
      <c r="MCJ24" s="68"/>
      <c r="MCK24" s="68"/>
      <c r="MCL24" s="68"/>
      <c r="MCM24" s="68"/>
      <c r="MCN24" s="68"/>
      <c r="MCO24" s="68"/>
      <c r="MCP24" s="68"/>
      <c r="MCQ24" s="68"/>
      <c r="MCR24" s="68"/>
      <c r="MCS24" s="68"/>
      <c r="MCT24" s="68"/>
      <c r="MCU24" s="68"/>
      <c r="MCV24" s="68"/>
      <c r="MCW24" s="68"/>
      <c r="MCX24" s="68"/>
      <c r="MCY24" s="68"/>
      <c r="MCZ24" s="68"/>
      <c r="MDA24" s="68"/>
      <c r="MDB24" s="68"/>
      <c r="MDC24" s="68"/>
      <c r="MDD24" s="68"/>
      <c r="MDE24" s="68"/>
      <c r="MDF24" s="68"/>
      <c r="MDG24" s="68"/>
      <c r="MDH24" s="68"/>
      <c r="MDI24" s="68"/>
      <c r="MDJ24" s="68"/>
      <c r="MDK24" s="68"/>
      <c r="MDL24" s="68"/>
      <c r="MDM24" s="68"/>
      <c r="MDN24" s="68"/>
      <c r="MDO24" s="68"/>
      <c r="MDP24" s="68"/>
      <c r="MDQ24" s="68"/>
      <c r="MDR24" s="68"/>
      <c r="MDS24" s="68"/>
      <c r="MDT24" s="68"/>
      <c r="MDU24" s="68"/>
      <c r="MDV24" s="68"/>
      <c r="MDW24" s="68"/>
      <c r="MDX24" s="68"/>
      <c r="MDY24" s="68"/>
      <c r="MDZ24" s="68"/>
      <c r="MEA24" s="68"/>
      <c r="MEB24" s="68"/>
      <c r="MEC24" s="68"/>
      <c r="MED24" s="68"/>
      <c r="MEE24" s="68"/>
      <c r="MEF24" s="68"/>
      <c r="MEG24" s="68"/>
      <c r="MEH24" s="68"/>
      <c r="MEI24" s="68"/>
      <c r="MEJ24" s="68"/>
      <c r="MEK24" s="68"/>
      <c r="MEL24" s="68"/>
      <c r="MEM24" s="68"/>
      <c r="MEN24" s="68"/>
      <c r="MEO24" s="68"/>
      <c r="MEP24" s="68"/>
      <c r="MEQ24" s="68"/>
      <c r="MER24" s="68"/>
      <c r="MES24" s="68"/>
      <c r="MET24" s="68"/>
      <c r="MEU24" s="68"/>
      <c r="MEV24" s="68"/>
      <c r="MEW24" s="68"/>
      <c r="MEX24" s="68"/>
      <c r="MEY24" s="68"/>
      <c r="MEZ24" s="68"/>
      <c r="MFA24" s="68"/>
      <c r="MFB24" s="68"/>
      <c r="MFC24" s="68"/>
      <c r="MFD24" s="68"/>
      <c r="MFE24" s="68"/>
      <c r="MFF24" s="68"/>
      <c r="MFG24" s="68"/>
      <c r="MFH24" s="68"/>
      <c r="MFI24" s="68"/>
      <c r="MFJ24" s="68"/>
      <c r="MFK24" s="68"/>
      <c r="MFL24" s="68"/>
      <c r="MFM24" s="68"/>
      <c r="MFN24" s="68"/>
      <c r="MFO24" s="68"/>
      <c r="MFP24" s="68"/>
      <c r="MFQ24" s="68"/>
      <c r="MFR24" s="68"/>
      <c r="MFS24" s="68"/>
      <c r="MFT24" s="68"/>
      <c r="MFU24" s="68"/>
      <c r="MFV24" s="68"/>
      <c r="MFW24" s="68"/>
      <c r="MFX24" s="68"/>
      <c r="MFY24" s="68"/>
      <c r="MFZ24" s="68"/>
      <c r="MGA24" s="68"/>
      <c r="MGB24" s="68"/>
      <c r="MGC24" s="68"/>
      <c r="MGD24" s="68"/>
      <c r="MGE24" s="68"/>
      <c r="MGF24" s="68"/>
      <c r="MGG24" s="68"/>
      <c r="MGH24" s="68"/>
      <c r="MGI24" s="68"/>
      <c r="MGJ24" s="68"/>
      <c r="MGK24" s="68"/>
      <c r="MGL24" s="68"/>
      <c r="MGM24" s="68"/>
      <c r="MGN24" s="68"/>
      <c r="MGO24" s="68"/>
      <c r="MGP24" s="68"/>
      <c r="MGQ24" s="68"/>
      <c r="MGR24" s="68"/>
      <c r="MGS24" s="68"/>
      <c r="MGT24" s="68"/>
      <c r="MGU24" s="68"/>
      <c r="MGV24" s="68"/>
      <c r="MGW24" s="68"/>
      <c r="MGX24" s="68"/>
      <c r="MGY24" s="68"/>
      <c r="MGZ24" s="68"/>
      <c r="MHA24" s="68"/>
      <c r="MHB24" s="68"/>
      <c r="MHC24" s="68"/>
      <c r="MHD24" s="68"/>
      <c r="MHE24" s="68"/>
      <c r="MHF24" s="68"/>
      <c r="MHG24" s="68"/>
      <c r="MHH24" s="68"/>
      <c r="MHI24" s="68"/>
      <c r="MHJ24" s="68"/>
      <c r="MHK24" s="68"/>
      <c r="MHL24" s="68"/>
      <c r="MHM24" s="68"/>
      <c r="MHN24" s="68"/>
      <c r="MHO24" s="68"/>
      <c r="MHP24" s="68"/>
      <c r="MHQ24" s="68"/>
      <c r="MHR24" s="68"/>
      <c r="MHS24" s="68"/>
      <c r="MHT24" s="68"/>
      <c r="MHU24" s="68"/>
      <c r="MHV24" s="68"/>
      <c r="MHW24" s="68"/>
      <c r="MHX24" s="68"/>
      <c r="MHY24" s="68"/>
      <c r="MHZ24" s="68"/>
      <c r="MIA24" s="68"/>
      <c r="MIB24" s="68"/>
      <c r="MIC24" s="68"/>
      <c r="MID24" s="68"/>
      <c r="MIE24" s="68"/>
      <c r="MIF24" s="68"/>
      <c r="MIG24" s="68"/>
      <c r="MIH24" s="68"/>
      <c r="MII24" s="68"/>
      <c r="MIJ24" s="68"/>
      <c r="MIK24" s="68"/>
      <c r="MIL24" s="68"/>
      <c r="MIM24" s="68"/>
      <c r="MIN24" s="68"/>
      <c r="MIO24" s="68"/>
      <c r="MIP24" s="68"/>
      <c r="MIQ24" s="68"/>
      <c r="MIR24" s="68"/>
      <c r="MIS24" s="68"/>
      <c r="MIT24" s="68"/>
      <c r="MIU24" s="68"/>
      <c r="MIV24" s="68"/>
      <c r="MIW24" s="68"/>
      <c r="MIX24" s="68"/>
      <c r="MIY24" s="68"/>
      <c r="MIZ24" s="68"/>
      <c r="MJA24" s="68"/>
      <c r="MJB24" s="68"/>
      <c r="MJC24" s="68"/>
      <c r="MJD24" s="68"/>
      <c r="MJE24" s="68"/>
      <c r="MJF24" s="68"/>
      <c r="MJG24" s="68"/>
      <c r="MJH24" s="68"/>
      <c r="MJI24" s="68"/>
      <c r="MJJ24" s="68"/>
      <c r="MJK24" s="68"/>
      <c r="MJL24" s="68"/>
      <c r="MJM24" s="68"/>
      <c r="MJN24" s="68"/>
      <c r="MJO24" s="68"/>
      <c r="MJP24" s="68"/>
      <c r="MJQ24" s="68"/>
      <c r="MJR24" s="68"/>
      <c r="MJS24" s="68"/>
      <c r="MJT24" s="68"/>
      <c r="MJU24" s="68"/>
      <c r="MJV24" s="68"/>
      <c r="MJW24" s="68"/>
      <c r="MJX24" s="68"/>
      <c r="MJY24" s="68"/>
      <c r="MJZ24" s="68"/>
      <c r="MKA24" s="68"/>
      <c r="MKB24" s="68"/>
      <c r="MKC24" s="68"/>
      <c r="MKD24" s="68"/>
      <c r="MKE24" s="68"/>
      <c r="MKF24" s="68"/>
      <c r="MKG24" s="68"/>
      <c r="MKH24" s="68"/>
      <c r="MKI24" s="68"/>
      <c r="MKJ24" s="68"/>
      <c r="MKK24" s="68"/>
      <c r="MKL24" s="68"/>
      <c r="MKM24" s="68"/>
      <c r="MKN24" s="68"/>
      <c r="MKO24" s="68"/>
      <c r="MKP24" s="68"/>
      <c r="MKQ24" s="68"/>
      <c r="MKR24" s="68"/>
      <c r="MKS24" s="68"/>
      <c r="MKT24" s="68"/>
      <c r="MKU24" s="68"/>
      <c r="MKV24" s="68"/>
      <c r="MKW24" s="68"/>
      <c r="MKX24" s="68"/>
      <c r="MKY24" s="68"/>
      <c r="MKZ24" s="68"/>
      <c r="MLA24" s="68"/>
      <c r="MLB24" s="68"/>
      <c r="MLC24" s="68"/>
      <c r="MLD24" s="68"/>
      <c r="MLE24" s="68"/>
      <c r="MLF24" s="68"/>
      <c r="MLG24" s="68"/>
      <c r="MLH24" s="68"/>
      <c r="MLI24" s="68"/>
      <c r="MLJ24" s="68"/>
      <c r="MLK24" s="68"/>
      <c r="MLL24" s="68"/>
      <c r="MLM24" s="68"/>
      <c r="MLN24" s="68"/>
      <c r="MLO24" s="68"/>
      <c r="MLP24" s="68"/>
      <c r="MLQ24" s="68"/>
      <c r="MLR24" s="68"/>
      <c r="MLS24" s="68"/>
      <c r="MLT24" s="68"/>
      <c r="MLU24" s="68"/>
      <c r="MLV24" s="68"/>
      <c r="MLW24" s="68"/>
      <c r="MLX24" s="68"/>
      <c r="MLY24" s="68"/>
      <c r="MLZ24" s="68"/>
      <c r="MMA24" s="68"/>
      <c r="MMB24" s="68"/>
      <c r="MMC24" s="68"/>
      <c r="MMD24" s="68"/>
      <c r="MME24" s="68"/>
      <c r="MMF24" s="68"/>
      <c r="MMG24" s="68"/>
      <c r="MMH24" s="68"/>
      <c r="MMI24" s="68"/>
      <c r="MMJ24" s="68"/>
      <c r="MMK24" s="68"/>
      <c r="MML24" s="68"/>
      <c r="MMM24" s="68"/>
      <c r="MMN24" s="68"/>
      <c r="MMO24" s="68"/>
      <c r="MMP24" s="68"/>
      <c r="MMQ24" s="68"/>
      <c r="MMR24" s="68"/>
      <c r="MMS24" s="68"/>
      <c r="MMT24" s="68"/>
      <c r="MMU24" s="68"/>
      <c r="MMV24" s="68"/>
      <c r="MMW24" s="68"/>
      <c r="MMX24" s="68"/>
      <c r="MMY24" s="68"/>
      <c r="MMZ24" s="68"/>
      <c r="MNA24" s="68"/>
      <c r="MNB24" s="68"/>
      <c r="MNC24" s="68"/>
      <c r="MND24" s="68"/>
      <c r="MNE24" s="68"/>
      <c r="MNF24" s="68"/>
      <c r="MNG24" s="68"/>
      <c r="MNH24" s="68"/>
      <c r="MNI24" s="68"/>
      <c r="MNJ24" s="68"/>
      <c r="MNK24" s="68"/>
      <c r="MNL24" s="68"/>
      <c r="MNM24" s="68"/>
      <c r="MNN24" s="68"/>
      <c r="MNO24" s="68"/>
      <c r="MNP24" s="68"/>
      <c r="MNQ24" s="68"/>
      <c r="MNR24" s="68"/>
      <c r="MNS24" s="68"/>
      <c r="MNT24" s="68"/>
      <c r="MNU24" s="68"/>
      <c r="MNV24" s="68"/>
      <c r="MNW24" s="68"/>
      <c r="MNX24" s="68"/>
      <c r="MNY24" s="68"/>
      <c r="MNZ24" s="68"/>
      <c r="MOA24" s="68"/>
      <c r="MOB24" s="68"/>
      <c r="MOC24" s="68"/>
      <c r="MOD24" s="68"/>
      <c r="MOE24" s="68"/>
      <c r="MOF24" s="68"/>
      <c r="MOG24" s="68"/>
      <c r="MOH24" s="68"/>
      <c r="MOI24" s="68"/>
      <c r="MOJ24" s="68"/>
      <c r="MOK24" s="68"/>
      <c r="MOL24" s="68"/>
      <c r="MOM24" s="68"/>
      <c r="MON24" s="68"/>
      <c r="MOO24" s="68"/>
      <c r="MOP24" s="68"/>
      <c r="MOQ24" s="68"/>
      <c r="MOR24" s="68"/>
      <c r="MOS24" s="68"/>
      <c r="MOT24" s="68"/>
      <c r="MOU24" s="68"/>
      <c r="MOV24" s="68"/>
      <c r="MOW24" s="68"/>
      <c r="MOX24" s="68"/>
      <c r="MOY24" s="68"/>
      <c r="MOZ24" s="68"/>
      <c r="MPA24" s="68"/>
      <c r="MPB24" s="68"/>
      <c r="MPC24" s="68"/>
      <c r="MPD24" s="68"/>
      <c r="MPE24" s="68"/>
      <c r="MPF24" s="68"/>
      <c r="MPG24" s="68"/>
      <c r="MPH24" s="68"/>
      <c r="MPI24" s="68"/>
      <c r="MPJ24" s="68"/>
      <c r="MPK24" s="68"/>
      <c r="MPL24" s="68"/>
      <c r="MPM24" s="68"/>
      <c r="MPN24" s="68"/>
      <c r="MPO24" s="68"/>
      <c r="MPP24" s="68"/>
      <c r="MPQ24" s="68"/>
      <c r="MPR24" s="68"/>
      <c r="MPS24" s="68"/>
      <c r="MPT24" s="68"/>
      <c r="MPU24" s="68"/>
      <c r="MPV24" s="68"/>
      <c r="MPW24" s="68"/>
      <c r="MPX24" s="68"/>
      <c r="MPY24" s="68"/>
      <c r="MPZ24" s="68"/>
      <c r="MQA24" s="68"/>
      <c r="MQB24" s="68"/>
      <c r="MQC24" s="68"/>
      <c r="MQD24" s="68"/>
      <c r="MQE24" s="68"/>
      <c r="MQF24" s="68"/>
      <c r="MQG24" s="68"/>
      <c r="MQH24" s="68"/>
      <c r="MQI24" s="68"/>
      <c r="MQJ24" s="68"/>
      <c r="MQK24" s="68"/>
      <c r="MQL24" s="68"/>
      <c r="MQM24" s="68"/>
      <c r="MQN24" s="68"/>
      <c r="MQO24" s="68"/>
      <c r="MQP24" s="68"/>
      <c r="MQQ24" s="68"/>
      <c r="MQR24" s="68"/>
      <c r="MQS24" s="68"/>
      <c r="MQT24" s="68"/>
      <c r="MQU24" s="68"/>
      <c r="MQV24" s="68"/>
      <c r="MQW24" s="68"/>
      <c r="MQX24" s="68"/>
      <c r="MQY24" s="68"/>
      <c r="MQZ24" s="68"/>
      <c r="MRA24" s="68"/>
      <c r="MRB24" s="68"/>
      <c r="MRC24" s="68"/>
      <c r="MRD24" s="68"/>
      <c r="MRE24" s="68"/>
      <c r="MRF24" s="68"/>
      <c r="MRG24" s="68"/>
      <c r="MRH24" s="68"/>
      <c r="MRI24" s="68"/>
      <c r="MRJ24" s="68"/>
      <c r="MRK24" s="68"/>
      <c r="MRL24" s="68"/>
      <c r="MRM24" s="68"/>
      <c r="MRN24" s="68"/>
      <c r="MRO24" s="68"/>
      <c r="MRP24" s="68"/>
      <c r="MRQ24" s="68"/>
      <c r="MRR24" s="68"/>
      <c r="MRS24" s="68"/>
      <c r="MRT24" s="68"/>
      <c r="MRU24" s="68"/>
      <c r="MRV24" s="68"/>
      <c r="MRW24" s="68"/>
      <c r="MRX24" s="68"/>
      <c r="MRY24" s="68"/>
      <c r="MRZ24" s="68"/>
      <c r="MSA24" s="68"/>
      <c r="MSB24" s="68"/>
      <c r="MSC24" s="68"/>
      <c r="MSD24" s="68"/>
      <c r="MSE24" s="68"/>
      <c r="MSF24" s="68"/>
      <c r="MSG24" s="68"/>
      <c r="MSH24" s="68"/>
      <c r="MSI24" s="68"/>
      <c r="MSJ24" s="68"/>
      <c r="MSK24" s="68"/>
      <c r="MSL24" s="68"/>
      <c r="MSM24" s="68"/>
      <c r="MSN24" s="68"/>
      <c r="MSO24" s="68"/>
      <c r="MSP24" s="68"/>
      <c r="MSQ24" s="68"/>
      <c r="MSR24" s="68"/>
      <c r="MSS24" s="68"/>
      <c r="MST24" s="68"/>
      <c r="MSU24" s="68"/>
      <c r="MSV24" s="68"/>
      <c r="MSW24" s="68"/>
      <c r="MSX24" s="68"/>
      <c r="MSY24" s="68"/>
      <c r="MSZ24" s="68"/>
      <c r="MTA24" s="68"/>
      <c r="MTB24" s="68"/>
      <c r="MTC24" s="68"/>
      <c r="MTD24" s="68"/>
      <c r="MTE24" s="68"/>
      <c r="MTF24" s="68"/>
      <c r="MTG24" s="68"/>
      <c r="MTH24" s="68"/>
      <c r="MTI24" s="68"/>
      <c r="MTJ24" s="68"/>
      <c r="MTK24" s="68"/>
      <c r="MTL24" s="68"/>
      <c r="MTM24" s="68"/>
      <c r="MTN24" s="68"/>
      <c r="MTO24" s="68"/>
      <c r="MTP24" s="68"/>
      <c r="MTQ24" s="68"/>
      <c r="MTR24" s="68"/>
      <c r="MTS24" s="68"/>
      <c r="MTT24" s="68"/>
      <c r="MTU24" s="68"/>
      <c r="MTV24" s="68"/>
      <c r="MTW24" s="68"/>
      <c r="MTX24" s="68"/>
      <c r="MTY24" s="68"/>
      <c r="MTZ24" s="68"/>
      <c r="MUA24" s="68"/>
      <c r="MUB24" s="68"/>
      <c r="MUC24" s="68"/>
      <c r="MUD24" s="68"/>
      <c r="MUE24" s="68"/>
      <c r="MUF24" s="68"/>
      <c r="MUG24" s="68"/>
      <c r="MUH24" s="68"/>
      <c r="MUI24" s="68"/>
      <c r="MUJ24" s="68"/>
      <c r="MUK24" s="68"/>
      <c r="MUL24" s="68"/>
      <c r="MUM24" s="68"/>
      <c r="MUN24" s="68"/>
      <c r="MUO24" s="68"/>
      <c r="MUP24" s="68"/>
      <c r="MUQ24" s="68"/>
      <c r="MUR24" s="68"/>
      <c r="MUS24" s="68"/>
      <c r="MUT24" s="68"/>
      <c r="MUU24" s="68"/>
      <c r="MUV24" s="68"/>
      <c r="MUW24" s="68"/>
      <c r="MUX24" s="68"/>
      <c r="MUY24" s="68"/>
      <c r="MUZ24" s="68"/>
      <c r="MVA24" s="68"/>
      <c r="MVB24" s="68"/>
      <c r="MVC24" s="68"/>
      <c r="MVD24" s="68"/>
      <c r="MVE24" s="68"/>
      <c r="MVF24" s="68"/>
      <c r="MVG24" s="68"/>
      <c r="MVH24" s="68"/>
      <c r="MVI24" s="68"/>
      <c r="MVJ24" s="68"/>
      <c r="MVK24" s="68"/>
      <c r="MVL24" s="68"/>
      <c r="MVM24" s="68"/>
      <c r="MVN24" s="68"/>
      <c r="MVO24" s="68"/>
      <c r="MVP24" s="68"/>
      <c r="MVQ24" s="68"/>
      <c r="MVR24" s="68"/>
      <c r="MVS24" s="68"/>
      <c r="MVT24" s="68"/>
      <c r="MVU24" s="68"/>
      <c r="MVV24" s="68"/>
      <c r="MVW24" s="68"/>
      <c r="MVX24" s="68"/>
      <c r="MVY24" s="68"/>
      <c r="MVZ24" s="68"/>
      <c r="MWA24" s="68"/>
      <c r="MWB24" s="68"/>
      <c r="MWC24" s="68"/>
      <c r="MWD24" s="68"/>
      <c r="MWE24" s="68"/>
      <c r="MWF24" s="68"/>
      <c r="MWG24" s="68"/>
      <c r="MWH24" s="68"/>
      <c r="MWI24" s="68"/>
      <c r="MWJ24" s="68"/>
      <c r="MWK24" s="68"/>
      <c r="MWL24" s="68"/>
      <c r="MWM24" s="68"/>
      <c r="MWN24" s="68"/>
      <c r="MWO24" s="68"/>
      <c r="MWP24" s="68"/>
      <c r="MWQ24" s="68"/>
      <c r="MWR24" s="68"/>
      <c r="MWS24" s="68"/>
      <c r="MWT24" s="68"/>
      <c r="MWU24" s="68"/>
      <c r="MWV24" s="68"/>
      <c r="MWW24" s="68"/>
      <c r="MWX24" s="68"/>
      <c r="MWY24" s="68"/>
      <c r="MWZ24" s="68"/>
      <c r="MXA24" s="68"/>
      <c r="MXB24" s="68"/>
      <c r="MXC24" s="68"/>
      <c r="MXD24" s="68"/>
      <c r="MXE24" s="68"/>
      <c r="MXF24" s="68"/>
      <c r="MXG24" s="68"/>
      <c r="MXH24" s="68"/>
      <c r="MXI24" s="68"/>
      <c r="MXJ24" s="68"/>
      <c r="MXK24" s="68"/>
      <c r="MXL24" s="68"/>
      <c r="MXM24" s="68"/>
      <c r="MXN24" s="68"/>
      <c r="MXO24" s="68"/>
      <c r="MXP24" s="68"/>
      <c r="MXQ24" s="68"/>
      <c r="MXR24" s="68"/>
      <c r="MXS24" s="68"/>
      <c r="MXT24" s="68"/>
      <c r="MXU24" s="68"/>
      <c r="MXV24" s="68"/>
      <c r="MXW24" s="68"/>
      <c r="MXX24" s="68"/>
      <c r="MXY24" s="68"/>
      <c r="MXZ24" s="68"/>
      <c r="MYA24" s="68"/>
      <c r="MYB24" s="68"/>
      <c r="MYC24" s="68"/>
      <c r="MYD24" s="68"/>
      <c r="MYE24" s="68"/>
      <c r="MYF24" s="68"/>
      <c r="MYG24" s="68"/>
      <c r="MYH24" s="68"/>
      <c r="MYI24" s="68"/>
      <c r="MYJ24" s="68"/>
      <c r="MYK24" s="68"/>
      <c r="MYL24" s="68"/>
      <c r="MYM24" s="68"/>
      <c r="MYN24" s="68"/>
      <c r="MYO24" s="68"/>
      <c r="MYP24" s="68"/>
      <c r="MYQ24" s="68"/>
      <c r="MYR24" s="68"/>
      <c r="MYS24" s="68"/>
      <c r="MYT24" s="68"/>
      <c r="MYU24" s="68"/>
      <c r="MYV24" s="68"/>
      <c r="MYW24" s="68"/>
      <c r="MYX24" s="68"/>
      <c r="MYY24" s="68"/>
      <c r="MYZ24" s="68"/>
      <c r="MZA24" s="68"/>
      <c r="MZB24" s="68"/>
      <c r="MZC24" s="68"/>
      <c r="MZD24" s="68"/>
      <c r="MZE24" s="68"/>
      <c r="MZF24" s="68"/>
      <c r="MZG24" s="68"/>
      <c r="MZH24" s="68"/>
      <c r="MZI24" s="68"/>
      <c r="MZJ24" s="68"/>
      <c r="MZK24" s="68"/>
      <c r="MZL24" s="68"/>
      <c r="MZM24" s="68"/>
      <c r="MZN24" s="68"/>
      <c r="MZO24" s="68"/>
      <c r="MZP24" s="68"/>
      <c r="MZQ24" s="68"/>
      <c r="MZR24" s="68"/>
      <c r="MZS24" s="68"/>
      <c r="MZT24" s="68"/>
      <c r="MZU24" s="68"/>
      <c r="MZV24" s="68"/>
      <c r="MZW24" s="68"/>
      <c r="MZX24" s="68"/>
      <c r="MZY24" s="68"/>
      <c r="MZZ24" s="68"/>
      <c r="NAA24" s="68"/>
      <c r="NAB24" s="68"/>
      <c r="NAC24" s="68"/>
      <c r="NAD24" s="68"/>
      <c r="NAE24" s="68"/>
      <c r="NAF24" s="68"/>
      <c r="NAG24" s="68"/>
      <c r="NAH24" s="68"/>
      <c r="NAI24" s="68"/>
      <c r="NAJ24" s="68"/>
      <c r="NAK24" s="68"/>
      <c r="NAL24" s="68"/>
      <c r="NAM24" s="68"/>
      <c r="NAN24" s="68"/>
      <c r="NAO24" s="68"/>
      <c r="NAP24" s="68"/>
      <c r="NAQ24" s="68"/>
      <c r="NAR24" s="68"/>
      <c r="NAS24" s="68"/>
      <c r="NAT24" s="68"/>
      <c r="NAU24" s="68"/>
      <c r="NAV24" s="68"/>
      <c r="NAW24" s="68"/>
      <c r="NAX24" s="68"/>
      <c r="NAY24" s="68"/>
      <c r="NAZ24" s="68"/>
      <c r="NBA24" s="68"/>
      <c r="NBB24" s="68"/>
      <c r="NBC24" s="68"/>
      <c r="NBD24" s="68"/>
      <c r="NBE24" s="68"/>
      <c r="NBF24" s="68"/>
      <c r="NBG24" s="68"/>
      <c r="NBH24" s="68"/>
      <c r="NBI24" s="68"/>
      <c r="NBJ24" s="68"/>
      <c r="NBK24" s="68"/>
      <c r="NBL24" s="68"/>
      <c r="NBM24" s="68"/>
      <c r="NBN24" s="68"/>
      <c r="NBO24" s="68"/>
      <c r="NBP24" s="68"/>
      <c r="NBQ24" s="68"/>
      <c r="NBR24" s="68"/>
      <c r="NBS24" s="68"/>
      <c r="NBT24" s="68"/>
      <c r="NBU24" s="68"/>
      <c r="NBV24" s="68"/>
      <c r="NBW24" s="68"/>
      <c r="NBX24" s="68"/>
      <c r="NBY24" s="68"/>
      <c r="NBZ24" s="68"/>
      <c r="NCA24" s="68"/>
      <c r="NCB24" s="68"/>
      <c r="NCC24" s="68"/>
      <c r="NCD24" s="68"/>
      <c r="NCE24" s="68"/>
      <c r="NCF24" s="68"/>
      <c r="NCG24" s="68"/>
      <c r="NCH24" s="68"/>
      <c r="NCI24" s="68"/>
      <c r="NCJ24" s="68"/>
      <c r="NCK24" s="68"/>
      <c r="NCL24" s="68"/>
      <c r="NCM24" s="68"/>
      <c r="NCN24" s="68"/>
      <c r="NCO24" s="68"/>
      <c r="NCP24" s="68"/>
      <c r="NCQ24" s="68"/>
      <c r="NCR24" s="68"/>
      <c r="NCS24" s="68"/>
      <c r="NCT24" s="68"/>
      <c r="NCU24" s="68"/>
      <c r="NCV24" s="68"/>
      <c r="NCW24" s="68"/>
      <c r="NCX24" s="68"/>
      <c r="NCY24" s="68"/>
      <c r="NCZ24" s="68"/>
      <c r="NDA24" s="68"/>
      <c r="NDB24" s="68"/>
      <c r="NDC24" s="68"/>
      <c r="NDD24" s="68"/>
      <c r="NDE24" s="68"/>
      <c r="NDF24" s="68"/>
      <c r="NDG24" s="68"/>
      <c r="NDH24" s="68"/>
      <c r="NDI24" s="68"/>
      <c r="NDJ24" s="68"/>
      <c r="NDK24" s="68"/>
      <c r="NDL24" s="68"/>
      <c r="NDM24" s="68"/>
      <c r="NDN24" s="68"/>
      <c r="NDO24" s="68"/>
      <c r="NDP24" s="68"/>
      <c r="NDQ24" s="68"/>
      <c r="NDR24" s="68"/>
      <c r="NDS24" s="68"/>
      <c r="NDT24" s="68"/>
      <c r="NDU24" s="68"/>
      <c r="NDV24" s="68"/>
      <c r="NDW24" s="68"/>
      <c r="NDX24" s="68"/>
      <c r="NDY24" s="68"/>
      <c r="NDZ24" s="68"/>
      <c r="NEA24" s="68"/>
      <c r="NEB24" s="68"/>
      <c r="NEC24" s="68"/>
      <c r="NED24" s="68"/>
      <c r="NEE24" s="68"/>
      <c r="NEF24" s="68"/>
      <c r="NEG24" s="68"/>
      <c r="NEH24" s="68"/>
      <c r="NEI24" s="68"/>
      <c r="NEJ24" s="68"/>
      <c r="NEK24" s="68"/>
      <c r="NEL24" s="68"/>
      <c r="NEM24" s="68"/>
      <c r="NEN24" s="68"/>
      <c r="NEO24" s="68"/>
      <c r="NEP24" s="68"/>
      <c r="NEQ24" s="68"/>
      <c r="NER24" s="68"/>
      <c r="NES24" s="68"/>
      <c r="NET24" s="68"/>
      <c r="NEU24" s="68"/>
      <c r="NEV24" s="68"/>
      <c r="NEW24" s="68"/>
      <c r="NEX24" s="68"/>
      <c r="NEY24" s="68"/>
      <c r="NEZ24" s="68"/>
      <c r="NFA24" s="68"/>
      <c r="NFB24" s="68"/>
      <c r="NFC24" s="68"/>
      <c r="NFD24" s="68"/>
      <c r="NFE24" s="68"/>
      <c r="NFF24" s="68"/>
      <c r="NFG24" s="68"/>
      <c r="NFH24" s="68"/>
      <c r="NFI24" s="68"/>
      <c r="NFJ24" s="68"/>
      <c r="NFK24" s="68"/>
      <c r="NFL24" s="68"/>
      <c r="NFM24" s="68"/>
      <c r="NFN24" s="68"/>
      <c r="NFO24" s="68"/>
      <c r="NFP24" s="68"/>
      <c r="NFQ24" s="68"/>
      <c r="NFR24" s="68"/>
      <c r="NFS24" s="68"/>
      <c r="NFT24" s="68"/>
      <c r="NFU24" s="68"/>
      <c r="NFV24" s="68"/>
      <c r="NFW24" s="68"/>
      <c r="NFX24" s="68"/>
      <c r="NFY24" s="68"/>
      <c r="NFZ24" s="68"/>
      <c r="NGA24" s="68"/>
      <c r="NGB24" s="68"/>
      <c r="NGC24" s="68"/>
      <c r="NGD24" s="68"/>
      <c r="NGE24" s="68"/>
      <c r="NGF24" s="68"/>
      <c r="NGG24" s="68"/>
      <c r="NGH24" s="68"/>
      <c r="NGI24" s="68"/>
      <c r="NGJ24" s="68"/>
      <c r="NGK24" s="68"/>
      <c r="NGL24" s="68"/>
      <c r="NGM24" s="68"/>
      <c r="NGN24" s="68"/>
      <c r="NGO24" s="68"/>
      <c r="NGP24" s="68"/>
      <c r="NGQ24" s="68"/>
      <c r="NGR24" s="68"/>
      <c r="NGS24" s="68"/>
      <c r="NGT24" s="68"/>
      <c r="NGU24" s="68"/>
      <c r="NGV24" s="68"/>
      <c r="NGW24" s="68"/>
      <c r="NGX24" s="68"/>
      <c r="NGY24" s="68"/>
      <c r="NGZ24" s="68"/>
      <c r="NHA24" s="68"/>
      <c r="NHB24" s="68"/>
      <c r="NHC24" s="68"/>
      <c r="NHD24" s="68"/>
      <c r="NHE24" s="68"/>
      <c r="NHF24" s="68"/>
      <c r="NHG24" s="68"/>
      <c r="NHH24" s="68"/>
      <c r="NHI24" s="68"/>
      <c r="NHJ24" s="68"/>
      <c r="NHK24" s="68"/>
      <c r="NHL24" s="68"/>
      <c r="NHM24" s="68"/>
      <c r="NHN24" s="68"/>
      <c r="NHO24" s="68"/>
      <c r="NHP24" s="68"/>
      <c r="NHQ24" s="68"/>
      <c r="NHR24" s="68"/>
      <c r="NHS24" s="68"/>
      <c r="NHT24" s="68"/>
      <c r="NHU24" s="68"/>
      <c r="NHV24" s="68"/>
      <c r="NHW24" s="68"/>
      <c r="NHX24" s="68"/>
      <c r="NHY24" s="68"/>
      <c r="NHZ24" s="68"/>
      <c r="NIA24" s="68"/>
      <c r="NIB24" s="68"/>
      <c r="NIC24" s="68"/>
      <c r="NID24" s="68"/>
      <c r="NIE24" s="68"/>
      <c r="NIF24" s="68"/>
      <c r="NIG24" s="68"/>
      <c r="NIH24" s="68"/>
      <c r="NII24" s="68"/>
      <c r="NIJ24" s="68"/>
      <c r="NIK24" s="68"/>
      <c r="NIL24" s="68"/>
      <c r="NIM24" s="68"/>
      <c r="NIN24" s="68"/>
      <c r="NIO24" s="68"/>
      <c r="NIP24" s="68"/>
      <c r="NIQ24" s="68"/>
      <c r="NIR24" s="68"/>
      <c r="NIS24" s="68"/>
      <c r="NIT24" s="68"/>
      <c r="NIU24" s="68"/>
      <c r="NIV24" s="68"/>
      <c r="NIW24" s="68"/>
      <c r="NIX24" s="68"/>
      <c r="NIY24" s="68"/>
      <c r="NIZ24" s="68"/>
      <c r="NJA24" s="68"/>
      <c r="NJB24" s="68"/>
      <c r="NJC24" s="68"/>
      <c r="NJD24" s="68"/>
      <c r="NJE24" s="68"/>
      <c r="NJF24" s="68"/>
      <c r="NJG24" s="68"/>
      <c r="NJH24" s="68"/>
      <c r="NJI24" s="68"/>
      <c r="NJJ24" s="68"/>
      <c r="NJK24" s="68"/>
      <c r="NJL24" s="68"/>
      <c r="NJM24" s="68"/>
      <c r="NJN24" s="68"/>
      <c r="NJO24" s="68"/>
      <c r="NJP24" s="68"/>
      <c r="NJQ24" s="68"/>
      <c r="NJR24" s="68"/>
      <c r="NJS24" s="68"/>
      <c r="NJT24" s="68"/>
      <c r="NJU24" s="68"/>
      <c r="NJV24" s="68"/>
      <c r="NJW24" s="68"/>
      <c r="NJX24" s="68"/>
      <c r="NJY24" s="68"/>
      <c r="NJZ24" s="68"/>
      <c r="NKA24" s="68"/>
      <c r="NKB24" s="68"/>
      <c r="NKC24" s="68"/>
      <c r="NKD24" s="68"/>
      <c r="NKE24" s="68"/>
      <c r="NKF24" s="68"/>
      <c r="NKG24" s="68"/>
      <c r="NKH24" s="68"/>
      <c r="NKI24" s="68"/>
      <c r="NKJ24" s="68"/>
      <c r="NKK24" s="68"/>
      <c r="NKL24" s="68"/>
      <c r="NKM24" s="68"/>
      <c r="NKN24" s="68"/>
      <c r="NKO24" s="68"/>
      <c r="NKP24" s="68"/>
      <c r="NKQ24" s="68"/>
      <c r="NKR24" s="68"/>
      <c r="NKS24" s="68"/>
      <c r="NKT24" s="68"/>
      <c r="NKU24" s="68"/>
      <c r="NKV24" s="68"/>
      <c r="NKW24" s="68"/>
      <c r="NKX24" s="68"/>
      <c r="NKY24" s="68"/>
      <c r="NKZ24" s="68"/>
      <c r="NLA24" s="68"/>
      <c r="NLB24" s="68"/>
      <c r="NLC24" s="68"/>
      <c r="NLD24" s="68"/>
      <c r="NLE24" s="68"/>
      <c r="NLF24" s="68"/>
      <c r="NLG24" s="68"/>
      <c r="NLH24" s="68"/>
      <c r="NLI24" s="68"/>
      <c r="NLJ24" s="68"/>
      <c r="NLK24" s="68"/>
      <c r="NLL24" s="68"/>
      <c r="NLM24" s="68"/>
      <c r="NLN24" s="68"/>
      <c r="NLO24" s="68"/>
      <c r="NLP24" s="68"/>
      <c r="NLQ24" s="68"/>
      <c r="NLR24" s="68"/>
      <c r="NLS24" s="68"/>
      <c r="NLT24" s="68"/>
      <c r="NLU24" s="68"/>
      <c r="NLV24" s="68"/>
      <c r="NLW24" s="68"/>
      <c r="NLX24" s="68"/>
      <c r="NLY24" s="68"/>
      <c r="NLZ24" s="68"/>
      <c r="NMA24" s="68"/>
      <c r="NMB24" s="68"/>
      <c r="NMC24" s="68"/>
      <c r="NMD24" s="68"/>
      <c r="NME24" s="68"/>
      <c r="NMF24" s="68"/>
      <c r="NMG24" s="68"/>
      <c r="NMH24" s="68"/>
      <c r="NMI24" s="68"/>
      <c r="NMJ24" s="68"/>
      <c r="NMK24" s="68"/>
      <c r="NML24" s="68"/>
      <c r="NMM24" s="68"/>
      <c r="NMN24" s="68"/>
      <c r="NMO24" s="68"/>
      <c r="NMP24" s="68"/>
      <c r="NMQ24" s="68"/>
      <c r="NMR24" s="68"/>
      <c r="NMS24" s="68"/>
      <c r="NMT24" s="68"/>
      <c r="NMU24" s="68"/>
      <c r="NMV24" s="68"/>
      <c r="NMW24" s="68"/>
      <c r="NMX24" s="68"/>
      <c r="NMY24" s="68"/>
      <c r="NMZ24" s="68"/>
      <c r="NNA24" s="68"/>
      <c r="NNB24" s="68"/>
      <c r="NNC24" s="68"/>
      <c r="NND24" s="68"/>
      <c r="NNE24" s="68"/>
      <c r="NNF24" s="68"/>
      <c r="NNG24" s="68"/>
      <c r="NNH24" s="68"/>
      <c r="NNI24" s="68"/>
      <c r="NNJ24" s="68"/>
      <c r="NNK24" s="68"/>
      <c r="NNL24" s="68"/>
      <c r="NNM24" s="68"/>
      <c r="NNN24" s="68"/>
      <c r="NNO24" s="68"/>
      <c r="NNP24" s="68"/>
      <c r="NNQ24" s="68"/>
      <c r="NNR24" s="68"/>
      <c r="NNS24" s="68"/>
      <c r="NNT24" s="68"/>
      <c r="NNU24" s="68"/>
      <c r="NNV24" s="68"/>
      <c r="NNW24" s="68"/>
      <c r="NNX24" s="68"/>
      <c r="NNY24" s="68"/>
      <c r="NNZ24" s="68"/>
      <c r="NOA24" s="68"/>
      <c r="NOB24" s="68"/>
      <c r="NOC24" s="68"/>
      <c r="NOD24" s="68"/>
      <c r="NOE24" s="68"/>
      <c r="NOF24" s="68"/>
      <c r="NOG24" s="68"/>
      <c r="NOH24" s="68"/>
      <c r="NOI24" s="68"/>
      <c r="NOJ24" s="68"/>
      <c r="NOK24" s="68"/>
      <c r="NOL24" s="68"/>
      <c r="NOM24" s="68"/>
      <c r="NON24" s="68"/>
      <c r="NOO24" s="68"/>
      <c r="NOP24" s="68"/>
      <c r="NOQ24" s="68"/>
      <c r="NOR24" s="68"/>
      <c r="NOS24" s="68"/>
      <c r="NOT24" s="68"/>
      <c r="NOU24" s="68"/>
      <c r="NOV24" s="68"/>
      <c r="NOW24" s="68"/>
      <c r="NOX24" s="68"/>
      <c r="NOY24" s="68"/>
      <c r="NOZ24" s="68"/>
      <c r="NPA24" s="68"/>
      <c r="NPB24" s="68"/>
      <c r="NPC24" s="68"/>
      <c r="NPD24" s="68"/>
      <c r="NPE24" s="68"/>
      <c r="NPF24" s="68"/>
      <c r="NPG24" s="68"/>
      <c r="NPH24" s="68"/>
      <c r="NPI24" s="68"/>
      <c r="NPJ24" s="68"/>
      <c r="NPK24" s="68"/>
      <c r="NPL24" s="68"/>
      <c r="NPM24" s="68"/>
      <c r="NPN24" s="68"/>
      <c r="NPO24" s="68"/>
      <c r="NPP24" s="68"/>
      <c r="NPQ24" s="68"/>
      <c r="NPR24" s="68"/>
      <c r="NPS24" s="68"/>
      <c r="NPT24" s="68"/>
      <c r="NPU24" s="68"/>
      <c r="NPV24" s="68"/>
      <c r="NPW24" s="68"/>
      <c r="NPX24" s="68"/>
      <c r="NPY24" s="68"/>
      <c r="NPZ24" s="68"/>
      <c r="NQA24" s="68"/>
      <c r="NQB24" s="68"/>
      <c r="NQC24" s="68"/>
      <c r="NQD24" s="68"/>
      <c r="NQE24" s="68"/>
      <c r="NQF24" s="68"/>
      <c r="NQG24" s="68"/>
      <c r="NQH24" s="68"/>
      <c r="NQI24" s="68"/>
      <c r="NQJ24" s="68"/>
      <c r="NQK24" s="68"/>
      <c r="NQL24" s="68"/>
      <c r="NQM24" s="68"/>
      <c r="NQN24" s="68"/>
      <c r="NQO24" s="68"/>
      <c r="NQP24" s="68"/>
      <c r="NQQ24" s="68"/>
      <c r="NQR24" s="68"/>
      <c r="NQS24" s="68"/>
      <c r="NQT24" s="68"/>
      <c r="NQU24" s="68"/>
      <c r="NQV24" s="68"/>
      <c r="NQW24" s="68"/>
      <c r="NQX24" s="68"/>
      <c r="NQY24" s="68"/>
      <c r="NQZ24" s="68"/>
      <c r="NRA24" s="68"/>
      <c r="NRB24" s="68"/>
      <c r="NRC24" s="68"/>
      <c r="NRD24" s="68"/>
      <c r="NRE24" s="68"/>
      <c r="NRF24" s="68"/>
      <c r="NRG24" s="68"/>
      <c r="NRH24" s="68"/>
      <c r="NRI24" s="68"/>
      <c r="NRJ24" s="68"/>
      <c r="NRK24" s="68"/>
      <c r="NRL24" s="68"/>
      <c r="NRM24" s="68"/>
      <c r="NRN24" s="68"/>
      <c r="NRO24" s="68"/>
      <c r="NRP24" s="68"/>
      <c r="NRQ24" s="68"/>
      <c r="NRR24" s="68"/>
      <c r="NRS24" s="68"/>
      <c r="NRT24" s="68"/>
      <c r="NRU24" s="68"/>
      <c r="NRV24" s="68"/>
      <c r="NRW24" s="68"/>
      <c r="NRX24" s="68"/>
      <c r="NRY24" s="68"/>
      <c r="NRZ24" s="68"/>
      <c r="NSA24" s="68"/>
      <c r="NSB24" s="68"/>
      <c r="NSC24" s="68"/>
      <c r="NSD24" s="68"/>
      <c r="NSE24" s="68"/>
      <c r="NSF24" s="68"/>
      <c r="NSG24" s="68"/>
      <c r="NSH24" s="68"/>
      <c r="NSI24" s="68"/>
      <c r="NSJ24" s="68"/>
      <c r="NSK24" s="68"/>
      <c r="NSL24" s="68"/>
      <c r="NSM24" s="68"/>
      <c r="NSN24" s="68"/>
      <c r="NSO24" s="68"/>
      <c r="NSP24" s="68"/>
      <c r="NSQ24" s="68"/>
      <c r="NSR24" s="68"/>
      <c r="NSS24" s="68"/>
      <c r="NST24" s="68"/>
      <c r="NSU24" s="68"/>
      <c r="NSV24" s="68"/>
      <c r="NSW24" s="68"/>
      <c r="NSX24" s="68"/>
      <c r="NSY24" s="68"/>
      <c r="NSZ24" s="68"/>
      <c r="NTA24" s="68"/>
      <c r="NTB24" s="68"/>
      <c r="NTC24" s="68"/>
      <c r="NTD24" s="68"/>
      <c r="NTE24" s="68"/>
      <c r="NTF24" s="68"/>
      <c r="NTG24" s="68"/>
      <c r="NTH24" s="68"/>
      <c r="NTI24" s="68"/>
      <c r="NTJ24" s="68"/>
      <c r="NTK24" s="68"/>
      <c r="NTL24" s="68"/>
      <c r="NTM24" s="68"/>
      <c r="NTN24" s="68"/>
      <c r="NTO24" s="68"/>
      <c r="NTP24" s="68"/>
      <c r="NTQ24" s="68"/>
      <c r="NTR24" s="68"/>
      <c r="NTS24" s="68"/>
      <c r="NTT24" s="68"/>
      <c r="NTU24" s="68"/>
      <c r="NTV24" s="68"/>
      <c r="NTW24" s="68"/>
      <c r="NTX24" s="68"/>
      <c r="NTY24" s="68"/>
      <c r="NTZ24" s="68"/>
      <c r="NUA24" s="68"/>
      <c r="NUB24" s="68"/>
      <c r="NUC24" s="68"/>
      <c r="NUD24" s="68"/>
      <c r="NUE24" s="68"/>
      <c r="NUF24" s="68"/>
      <c r="NUG24" s="68"/>
      <c r="NUH24" s="68"/>
      <c r="NUI24" s="68"/>
      <c r="NUJ24" s="68"/>
      <c r="NUK24" s="68"/>
      <c r="NUL24" s="68"/>
      <c r="NUM24" s="68"/>
      <c r="NUN24" s="68"/>
      <c r="NUO24" s="68"/>
      <c r="NUP24" s="68"/>
      <c r="NUQ24" s="68"/>
      <c r="NUR24" s="68"/>
      <c r="NUS24" s="68"/>
      <c r="NUT24" s="68"/>
      <c r="NUU24" s="68"/>
      <c r="NUV24" s="68"/>
      <c r="NUW24" s="68"/>
      <c r="NUX24" s="68"/>
      <c r="NUY24" s="68"/>
      <c r="NUZ24" s="68"/>
      <c r="NVA24" s="68"/>
      <c r="NVB24" s="68"/>
      <c r="NVC24" s="68"/>
      <c r="NVD24" s="68"/>
      <c r="NVE24" s="68"/>
      <c r="NVF24" s="68"/>
      <c r="NVG24" s="68"/>
      <c r="NVH24" s="68"/>
      <c r="NVI24" s="68"/>
      <c r="NVJ24" s="68"/>
      <c r="NVK24" s="68"/>
      <c r="NVL24" s="68"/>
      <c r="NVM24" s="68"/>
      <c r="NVN24" s="68"/>
      <c r="NVO24" s="68"/>
      <c r="NVP24" s="68"/>
      <c r="NVQ24" s="68"/>
      <c r="NVR24" s="68"/>
      <c r="NVS24" s="68"/>
      <c r="NVT24" s="68"/>
      <c r="NVU24" s="68"/>
      <c r="NVV24" s="68"/>
      <c r="NVW24" s="68"/>
      <c r="NVX24" s="68"/>
      <c r="NVY24" s="68"/>
      <c r="NVZ24" s="68"/>
      <c r="NWA24" s="68"/>
      <c r="NWB24" s="68"/>
      <c r="NWC24" s="68"/>
      <c r="NWD24" s="68"/>
      <c r="NWE24" s="68"/>
      <c r="NWF24" s="68"/>
      <c r="NWG24" s="68"/>
      <c r="NWH24" s="68"/>
      <c r="NWI24" s="68"/>
      <c r="NWJ24" s="68"/>
      <c r="NWK24" s="68"/>
      <c r="NWL24" s="68"/>
      <c r="NWM24" s="68"/>
      <c r="NWN24" s="68"/>
      <c r="NWO24" s="68"/>
      <c r="NWP24" s="68"/>
      <c r="NWQ24" s="68"/>
      <c r="NWR24" s="68"/>
      <c r="NWS24" s="68"/>
      <c r="NWT24" s="68"/>
      <c r="NWU24" s="68"/>
      <c r="NWV24" s="68"/>
      <c r="NWW24" s="68"/>
      <c r="NWX24" s="68"/>
      <c r="NWY24" s="68"/>
      <c r="NWZ24" s="68"/>
      <c r="NXA24" s="68"/>
      <c r="NXB24" s="68"/>
      <c r="NXC24" s="68"/>
      <c r="NXD24" s="68"/>
      <c r="NXE24" s="68"/>
      <c r="NXF24" s="68"/>
      <c r="NXG24" s="68"/>
      <c r="NXH24" s="68"/>
      <c r="NXI24" s="68"/>
      <c r="NXJ24" s="68"/>
      <c r="NXK24" s="68"/>
      <c r="NXL24" s="68"/>
      <c r="NXM24" s="68"/>
      <c r="NXN24" s="68"/>
      <c r="NXO24" s="68"/>
      <c r="NXP24" s="68"/>
      <c r="NXQ24" s="68"/>
      <c r="NXR24" s="68"/>
      <c r="NXS24" s="68"/>
      <c r="NXT24" s="68"/>
      <c r="NXU24" s="68"/>
      <c r="NXV24" s="68"/>
      <c r="NXW24" s="68"/>
      <c r="NXX24" s="68"/>
      <c r="NXY24" s="68"/>
      <c r="NXZ24" s="68"/>
      <c r="NYA24" s="68"/>
      <c r="NYB24" s="68"/>
      <c r="NYC24" s="68"/>
      <c r="NYD24" s="68"/>
      <c r="NYE24" s="68"/>
      <c r="NYF24" s="68"/>
      <c r="NYG24" s="68"/>
      <c r="NYH24" s="68"/>
      <c r="NYI24" s="68"/>
      <c r="NYJ24" s="68"/>
      <c r="NYK24" s="68"/>
      <c r="NYL24" s="68"/>
      <c r="NYM24" s="68"/>
      <c r="NYN24" s="68"/>
      <c r="NYO24" s="68"/>
      <c r="NYP24" s="68"/>
      <c r="NYQ24" s="68"/>
      <c r="NYR24" s="68"/>
      <c r="NYS24" s="68"/>
      <c r="NYT24" s="68"/>
      <c r="NYU24" s="68"/>
      <c r="NYV24" s="68"/>
      <c r="NYW24" s="68"/>
      <c r="NYX24" s="68"/>
      <c r="NYY24" s="68"/>
      <c r="NYZ24" s="68"/>
      <c r="NZA24" s="68"/>
      <c r="NZB24" s="68"/>
      <c r="NZC24" s="68"/>
      <c r="NZD24" s="68"/>
      <c r="NZE24" s="68"/>
      <c r="NZF24" s="68"/>
      <c r="NZG24" s="68"/>
      <c r="NZH24" s="68"/>
      <c r="NZI24" s="68"/>
      <c r="NZJ24" s="68"/>
      <c r="NZK24" s="68"/>
      <c r="NZL24" s="68"/>
      <c r="NZM24" s="68"/>
      <c r="NZN24" s="68"/>
      <c r="NZO24" s="68"/>
      <c r="NZP24" s="68"/>
      <c r="NZQ24" s="68"/>
      <c r="NZR24" s="68"/>
      <c r="NZS24" s="68"/>
      <c r="NZT24" s="68"/>
      <c r="NZU24" s="68"/>
      <c r="NZV24" s="68"/>
      <c r="NZW24" s="68"/>
      <c r="NZX24" s="68"/>
      <c r="NZY24" s="68"/>
      <c r="NZZ24" s="68"/>
      <c r="OAA24" s="68"/>
      <c r="OAB24" s="68"/>
      <c r="OAC24" s="68"/>
      <c r="OAD24" s="68"/>
      <c r="OAE24" s="68"/>
      <c r="OAF24" s="68"/>
      <c r="OAG24" s="68"/>
      <c r="OAH24" s="68"/>
      <c r="OAI24" s="68"/>
      <c r="OAJ24" s="68"/>
      <c r="OAK24" s="68"/>
      <c r="OAL24" s="68"/>
      <c r="OAM24" s="68"/>
      <c r="OAN24" s="68"/>
      <c r="OAO24" s="68"/>
      <c r="OAP24" s="68"/>
      <c r="OAQ24" s="68"/>
      <c r="OAR24" s="68"/>
      <c r="OAS24" s="68"/>
      <c r="OAT24" s="68"/>
      <c r="OAU24" s="68"/>
      <c r="OAV24" s="68"/>
      <c r="OAW24" s="68"/>
      <c r="OAX24" s="68"/>
      <c r="OAY24" s="68"/>
      <c r="OAZ24" s="68"/>
      <c r="OBA24" s="68"/>
      <c r="OBB24" s="68"/>
      <c r="OBC24" s="68"/>
      <c r="OBD24" s="68"/>
      <c r="OBE24" s="68"/>
      <c r="OBF24" s="68"/>
      <c r="OBG24" s="68"/>
      <c r="OBH24" s="68"/>
      <c r="OBI24" s="68"/>
      <c r="OBJ24" s="68"/>
      <c r="OBK24" s="68"/>
      <c r="OBL24" s="68"/>
      <c r="OBM24" s="68"/>
      <c r="OBN24" s="68"/>
      <c r="OBO24" s="68"/>
      <c r="OBP24" s="68"/>
      <c r="OBQ24" s="68"/>
      <c r="OBR24" s="68"/>
      <c r="OBS24" s="68"/>
      <c r="OBT24" s="68"/>
      <c r="OBU24" s="68"/>
      <c r="OBV24" s="68"/>
      <c r="OBW24" s="68"/>
      <c r="OBX24" s="68"/>
      <c r="OBY24" s="68"/>
      <c r="OBZ24" s="68"/>
      <c r="OCA24" s="68"/>
      <c r="OCB24" s="68"/>
      <c r="OCC24" s="68"/>
      <c r="OCD24" s="68"/>
      <c r="OCE24" s="68"/>
      <c r="OCF24" s="68"/>
      <c r="OCG24" s="68"/>
      <c r="OCH24" s="68"/>
      <c r="OCI24" s="68"/>
      <c r="OCJ24" s="68"/>
      <c r="OCK24" s="68"/>
      <c r="OCL24" s="68"/>
      <c r="OCM24" s="68"/>
      <c r="OCN24" s="68"/>
      <c r="OCO24" s="68"/>
      <c r="OCP24" s="68"/>
      <c r="OCQ24" s="68"/>
      <c r="OCR24" s="68"/>
      <c r="OCS24" s="68"/>
      <c r="OCT24" s="68"/>
      <c r="OCU24" s="68"/>
      <c r="OCV24" s="68"/>
      <c r="OCW24" s="68"/>
      <c r="OCX24" s="68"/>
      <c r="OCY24" s="68"/>
      <c r="OCZ24" s="68"/>
      <c r="ODA24" s="68"/>
      <c r="ODB24" s="68"/>
      <c r="ODC24" s="68"/>
      <c r="ODD24" s="68"/>
      <c r="ODE24" s="68"/>
      <c r="ODF24" s="68"/>
      <c r="ODG24" s="68"/>
      <c r="ODH24" s="68"/>
      <c r="ODI24" s="68"/>
      <c r="ODJ24" s="68"/>
      <c r="ODK24" s="68"/>
      <c r="ODL24" s="68"/>
      <c r="ODM24" s="68"/>
      <c r="ODN24" s="68"/>
      <c r="ODO24" s="68"/>
      <c r="ODP24" s="68"/>
      <c r="ODQ24" s="68"/>
      <c r="ODR24" s="68"/>
      <c r="ODS24" s="68"/>
      <c r="ODT24" s="68"/>
      <c r="ODU24" s="68"/>
      <c r="ODV24" s="68"/>
      <c r="ODW24" s="68"/>
      <c r="ODX24" s="68"/>
      <c r="ODY24" s="68"/>
      <c r="ODZ24" s="68"/>
      <c r="OEA24" s="68"/>
      <c r="OEB24" s="68"/>
      <c r="OEC24" s="68"/>
      <c r="OED24" s="68"/>
      <c r="OEE24" s="68"/>
      <c r="OEF24" s="68"/>
      <c r="OEG24" s="68"/>
      <c r="OEH24" s="68"/>
      <c r="OEI24" s="68"/>
      <c r="OEJ24" s="68"/>
      <c r="OEK24" s="68"/>
      <c r="OEL24" s="68"/>
      <c r="OEM24" s="68"/>
      <c r="OEN24" s="68"/>
      <c r="OEO24" s="68"/>
      <c r="OEP24" s="68"/>
      <c r="OEQ24" s="68"/>
      <c r="OER24" s="68"/>
      <c r="OES24" s="68"/>
      <c r="OET24" s="68"/>
      <c r="OEU24" s="68"/>
      <c r="OEV24" s="68"/>
      <c r="OEW24" s="68"/>
      <c r="OEX24" s="68"/>
      <c r="OEY24" s="68"/>
      <c r="OEZ24" s="68"/>
      <c r="OFA24" s="68"/>
      <c r="OFB24" s="68"/>
      <c r="OFC24" s="68"/>
      <c r="OFD24" s="68"/>
      <c r="OFE24" s="68"/>
      <c r="OFF24" s="68"/>
      <c r="OFG24" s="68"/>
      <c r="OFH24" s="68"/>
      <c r="OFI24" s="68"/>
      <c r="OFJ24" s="68"/>
      <c r="OFK24" s="68"/>
      <c r="OFL24" s="68"/>
      <c r="OFM24" s="68"/>
      <c r="OFN24" s="68"/>
      <c r="OFO24" s="68"/>
      <c r="OFP24" s="68"/>
      <c r="OFQ24" s="68"/>
      <c r="OFR24" s="68"/>
      <c r="OFS24" s="68"/>
      <c r="OFT24" s="68"/>
      <c r="OFU24" s="68"/>
      <c r="OFV24" s="68"/>
      <c r="OFW24" s="68"/>
      <c r="OFX24" s="68"/>
      <c r="OFY24" s="68"/>
      <c r="OFZ24" s="68"/>
      <c r="OGA24" s="68"/>
      <c r="OGB24" s="68"/>
      <c r="OGC24" s="68"/>
      <c r="OGD24" s="68"/>
      <c r="OGE24" s="68"/>
      <c r="OGF24" s="68"/>
      <c r="OGG24" s="68"/>
      <c r="OGH24" s="68"/>
      <c r="OGI24" s="68"/>
      <c r="OGJ24" s="68"/>
      <c r="OGK24" s="68"/>
      <c r="OGL24" s="68"/>
      <c r="OGM24" s="68"/>
      <c r="OGN24" s="68"/>
      <c r="OGO24" s="68"/>
      <c r="OGP24" s="68"/>
      <c r="OGQ24" s="68"/>
      <c r="OGR24" s="68"/>
      <c r="OGS24" s="68"/>
      <c r="OGT24" s="68"/>
      <c r="OGU24" s="68"/>
      <c r="OGV24" s="68"/>
      <c r="OGW24" s="68"/>
      <c r="OGX24" s="68"/>
      <c r="OGY24" s="68"/>
      <c r="OGZ24" s="68"/>
      <c r="OHA24" s="68"/>
      <c r="OHB24" s="68"/>
      <c r="OHC24" s="68"/>
      <c r="OHD24" s="68"/>
      <c r="OHE24" s="68"/>
      <c r="OHF24" s="68"/>
      <c r="OHG24" s="68"/>
      <c r="OHH24" s="68"/>
      <c r="OHI24" s="68"/>
      <c r="OHJ24" s="68"/>
      <c r="OHK24" s="68"/>
      <c r="OHL24" s="68"/>
      <c r="OHM24" s="68"/>
      <c r="OHN24" s="68"/>
      <c r="OHO24" s="68"/>
      <c r="OHP24" s="68"/>
      <c r="OHQ24" s="68"/>
      <c r="OHR24" s="68"/>
      <c r="OHS24" s="68"/>
      <c r="OHT24" s="68"/>
      <c r="OHU24" s="68"/>
      <c r="OHV24" s="68"/>
      <c r="OHW24" s="68"/>
      <c r="OHX24" s="68"/>
      <c r="OHY24" s="68"/>
      <c r="OHZ24" s="68"/>
      <c r="OIA24" s="68"/>
      <c r="OIB24" s="68"/>
      <c r="OIC24" s="68"/>
      <c r="OID24" s="68"/>
      <c r="OIE24" s="68"/>
      <c r="OIF24" s="68"/>
      <c r="OIG24" s="68"/>
      <c r="OIH24" s="68"/>
      <c r="OII24" s="68"/>
      <c r="OIJ24" s="68"/>
      <c r="OIK24" s="68"/>
      <c r="OIL24" s="68"/>
      <c r="OIM24" s="68"/>
      <c r="OIN24" s="68"/>
      <c r="OIO24" s="68"/>
      <c r="OIP24" s="68"/>
      <c r="OIQ24" s="68"/>
      <c r="OIR24" s="68"/>
      <c r="OIS24" s="68"/>
      <c r="OIT24" s="68"/>
      <c r="OIU24" s="68"/>
      <c r="OIV24" s="68"/>
      <c r="OIW24" s="68"/>
      <c r="OIX24" s="68"/>
      <c r="OIY24" s="68"/>
      <c r="OIZ24" s="68"/>
      <c r="OJA24" s="68"/>
      <c r="OJB24" s="68"/>
      <c r="OJC24" s="68"/>
      <c r="OJD24" s="68"/>
      <c r="OJE24" s="68"/>
      <c r="OJF24" s="68"/>
      <c r="OJG24" s="68"/>
      <c r="OJH24" s="68"/>
      <c r="OJI24" s="68"/>
      <c r="OJJ24" s="68"/>
      <c r="OJK24" s="68"/>
      <c r="OJL24" s="68"/>
      <c r="OJM24" s="68"/>
      <c r="OJN24" s="68"/>
      <c r="OJO24" s="68"/>
      <c r="OJP24" s="68"/>
      <c r="OJQ24" s="68"/>
      <c r="OJR24" s="68"/>
      <c r="OJS24" s="68"/>
      <c r="OJT24" s="68"/>
      <c r="OJU24" s="68"/>
      <c r="OJV24" s="68"/>
      <c r="OJW24" s="68"/>
      <c r="OJX24" s="68"/>
      <c r="OJY24" s="68"/>
      <c r="OJZ24" s="68"/>
      <c r="OKA24" s="68"/>
      <c r="OKB24" s="68"/>
      <c r="OKC24" s="68"/>
      <c r="OKD24" s="68"/>
      <c r="OKE24" s="68"/>
      <c r="OKF24" s="68"/>
      <c r="OKG24" s="68"/>
      <c r="OKH24" s="68"/>
      <c r="OKI24" s="68"/>
      <c r="OKJ24" s="68"/>
      <c r="OKK24" s="68"/>
      <c r="OKL24" s="68"/>
      <c r="OKM24" s="68"/>
      <c r="OKN24" s="68"/>
      <c r="OKO24" s="68"/>
      <c r="OKP24" s="68"/>
      <c r="OKQ24" s="68"/>
      <c r="OKR24" s="68"/>
      <c r="OKS24" s="68"/>
      <c r="OKT24" s="68"/>
      <c r="OKU24" s="68"/>
      <c r="OKV24" s="68"/>
      <c r="OKW24" s="68"/>
      <c r="OKX24" s="68"/>
      <c r="OKY24" s="68"/>
      <c r="OKZ24" s="68"/>
      <c r="OLA24" s="68"/>
      <c r="OLB24" s="68"/>
      <c r="OLC24" s="68"/>
      <c r="OLD24" s="68"/>
      <c r="OLE24" s="68"/>
      <c r="OLF24" s="68"/>
      <c r="OLG24" s="68"/>
      <c r="OLH24" s="68"/>
      <c r="OLI24" s="68"/>
      <c r="OLJ24" s="68"/>
      <c r="OLK24" s="68"/>
      <c r="OLL24" s="68"/>
      <c r="OLM24" s="68"/>
      <c r="OLN24" s="68"/>
      <c r="OLO24" s="68"/>
      <c r="OLP24" s="68"/>
      <c r="OLQ24" s="68"/>
      <c r="OLR24" s="68"/>
      <c r="OLS24" s="68"/>
      <c r="OLT24" s="68"/>
      <c r="OLU24" s="68"/>
      <c r="OLV24" s="68"/>
      <c r="OLW24" s="68"/>
      <c r="OLX24" s="68"/>
      <c r="OLY24" s="68"/>
      <c r="OLZ24" s="68"/>
      <c r="OMA24" s="68"/>
      <c r="OMB24" s="68"/>
      <c r="OMC24" s="68"/>
      <c r="OMD24" s="68"/>
      <c r="OME24" s="68"/>
      <c r="OMF24" s="68"/>
      <c r="OMG24" s="68"/>
      <c r="OMH24" s="68"/>
      <c r="OMI24" s="68"/>
      <c r="OMJ24" s="68"/>
      <c r="OMK24" s="68"/>
      <c r="OML24" s="68"/>
      <c r="OMM24" s="68"/>
      <c r="OMN24" s="68"/>
      <c r="OMO24" s="68"/>
      <c r="OMP24" s="68"/>
      <c r="OMQ24" s="68"/>
      <c r="OMR24" s="68"/>
      <c r="OMS24" s="68"/>
      <c r="OMT24" s="68"/>
      <c r="OMU24" s="68"/>
      <c r="OMV24" s="68"/>
      <c r="OMW24" s="68"/>
      <c r="OMX24" s="68"/>
      <c r="OMY24" s="68"/>
      <c r="OMZ24" s="68"/>
      <c r="ONA24" s="68"/>
      <c r="ONB24" s="68"/>
      <c r="ONC24" s="68"/>
      <c r="OND24" s="68"/>
      <c r="ONE24" s="68"/>
      <c r="ONF24" s="68"/>
      <c r="ONG24" s="68"/>
      <c r="ONH24" s="68"/>
      <c r="ONI24" s="68"/>
      <c r="ONJ24" s="68"/>
      <c r="ONK24" s="68"/>
      <c r="ONL24" s="68"/>
      <c r="ONM24" s="68"/>
      <c r="ONN24" s="68"/>
      <c r="ONO24" s="68"/>
      <c r="ONP24" s="68"/>
      <c r="ONQ24" s="68"/>
      <c r="ONR24" s="68"/>
      <c r="ONS24" s="68"/>
      <c r="ONT24" s="68"/>
      <c r="ONU24" s="68"/>
      <c r="ONV24" s="68"/>
      <c r="ONW24" s="68"/>
      <c r="ONX24" s="68"/>
      <c r="ONY24" s="68"/>
      <c r="ONZ24" s="68"/>
      <c r="OOA24" s="68"/>
      <c r="OOB24" s="68"/>
      <c r="OOC24" s="68"/>
      <c r="OOD24" s="68"/>
      <c r="OOE24" s="68"/>
      <c r="OOF24" s="68"/>
      <c r="OOG24" s="68"/>
      <c r="OOH24" s="68"/>
      <c r="OOI24" s="68"/>
      <c r="OOJ24" s="68"/>
      <c r="OOK24" s="68"/>
      <c r="OOL24" s="68"/>
      <c r="OOM24" s="68"/>
      <c r="OON24" s="68"/>
      <c r="OOO24" s="68"/>
      <c r="OOP24" s="68"/>
      <c r="OOQ24" s="68"/>
      <c r="OOR24" s="68"/>
      <c r="OOS24" s="68"/>
      <c r="OOT24" s="68"/>
      <c r="OOU24" s="68"/>
      <c r="OOV24" s="68"/>
      <c r="OOW24" s="68"/>
      <c r="OOX24" s="68"/>
      <c r="OOY24" s="68"/>
      <c r="OOZ24" s="68"/>
      <c r="OPA24" s="68"/>
      <c r="OPB24" s="68"/>
      <c r="OPC24" s="68"/>
      <c r="OPD24" s="68"/>
      <c r="OPE24" s="68"/>
      <c r="OPF24" s="68"/>
      <c r="OPG24" s="68"/>
      <c r="OPH24" s="68"/>
      <c r="OPI24" s="68"/>
      <c r="OPJ24" s="68"/>
      <c r="OPK24" s="68"/>
      <c r="OPL24" s="68"/>
      <c r="OPM24" s="68"/>
      <c r="OPN24" s="68"/>
      <c r="OPO24" s="68"/>
      <c r="OPP24" s="68"/>
      <c r="OPQ24" s="68"/>
      <c r="OPR24" s="68"/>
      <c r="OPS24" s="68"/>
      <c r="OPT24" s="68"/>
      <c r="OPU24" s="68"/>
      <c r="OPV24" s="68"/>
      <c r="OPW24" s="68"/>
      <c r="OPX24" s="68"/>
      <c r="OPY24" s="68"/>
      <c r="OPZ24" s="68"/>
      <c r="OQA24" s="68"/>
      <c r="OQB24" s="68"/>
      <c r="OQC24" s="68"/>
      <c r="OQD24" s="68"/>
      <c r="OQE24" s="68"/>
      <c r="OQF24" s="68"/>
      <c r="OQG24" s="68"/>
      <c r="OQH24" s="68"/>
      <c r="OQI24" s="68"/>
      <c r="OQJ24" s="68"/>
      <c r="OQK24" s="68"/>
      <c r="OQL24" s="68"/>
      <c r="OQM24" s="68"/>
      <c r="OQN24" s="68"/>
      <c r="OQO24" s="68"/>
      <c r="OQP24" s="68"/>
      <c r="OQQ24" s="68"/>
      <c r="OQR24" s="68"/>
      <c r="OQS24" s="68"/>
      <c r="OQT24" s="68"/>
      <c r="OQU24" s="68"/>
      <c r="OQV24" s="68"/>
      <c r="OQW24" s="68"/>
      <c r="OQX24" s="68"/>
      <c r="OQY24" s="68"/>
      <c r="OQZ24" s="68"/>
      <c r="ORA24" s="68"/>
      <c r="ORB24" s="68"/>
      <c r="ORC24" s="68"/>
      <c r="ORD24" s="68"/>
      <c r="ORE24" s="68"/>
      <c r="ORF24" s="68"/>
      <c r="ORG24" s="68"/>
      <c r="ORH24" s="68"/>
      <c r="ORI24" s="68"/>
      <c r="ORJ24" s="68"/>
      <c r="ORK24" s="68"/>
      <c r="ORL24" s="68"/>
      <c r="ORM24" s="68"/>
      <c r="ORN24" s="68"/>
      <c r="ORO24" s="68"/>
      <c r="ORP24" s="68"/>
      <c r="ORQ24" s="68"/>
      <c r="ORR24" s="68"/>
      <c r="ORS24" s="68"/>
      <c r="ORT24" s="68"/>
      <c r="ORU24" s="68"/>
      <c r="ORV24" s="68"/>
      <c r="ORW24" s="68"/>
      <c r="ORX24" s="68"/>
      <c r="ORY24" s="68"/>
      <c r="ORZ24" s="68"/>
      <c r="OSA24" s="68"/>
      <c r="OSB24" s="68"/>
      <c r="OSC24" s="68"/>
      <c r="OSD24" s="68"/>
      <c r="OSE24" s="68"/>
      <c r="OSF24" s="68"/>
      <c r="OSG24" s="68"/>
      <c r="OSH24" s="68"/>
      <c r="OSI24" s="68"/>
      <c r="OSJ24" s="68"/>
      <c r="OSK24" s="68"/>
      <c r="OSL24" s="68"/>
      <c r="OSM24" s="68"/>
      <c r="OSN24" s="68"/>
      <c r="OSO24" s="68"/>
      <c r="OSP24" s="68"/>
      <c r="OSQ24" s="68"/>
      <c r="OSR24" s="68"/>
      <c r="OSS24" s="68"/>
      <c r="OST24" s="68"/>
      <c r="OSU24" s="68"/>
      <c r="OSV24" s="68"/>
      <c r="OSW24" s="68"/>
      <c r="OSX24" s="68"/>
      <c r="OSY24" s="68"/>
      <c r="OSZ24" s="68"/>
      <c r="OTA24" s="68"/>
      <c r="OTB24" s="68"/>
      <c r="OTC24" s="68"/>
      <c r="OTD24" s="68"/>
      <c r="OTE24" s="68"/>
      <c r="OTF24" s="68"/>
      <c r="OTG24" s="68"/>
      <c r="OTH24" s="68"/>
      <c r="OTI24" s="68"/>
      <c r="OTJ24" s="68"/>
      <c r="OTK24" s="68"/>
      <c r="OTL24" s="68"/>
      <c r="OTM24" s="68"/>
      <c r="OTN24" s="68"/>
      <c r="OTO24" s="68"/>
      <c r="OTP24" s="68"/>
      <c r="OTQ24" s="68"/>
      <c r="OTR24" s="68"/>
      <c r="OTS24" s="68"/>
      <c r="OTT24" s="68"/>
      <c r="OTU24" s="68"/>
      <c r="OTV24" s="68"/>
      <c r="OTW24" s="68"/>
      <c r="OTX24" s="68"/>
      <c r="OTY24" s="68"/>
      <c r="OTZ24" s="68"/>
      <c r="OUA24" s="68"/>
      <c r="OUB24" s="68"/>
      <c r="OUC24" s="68"/>
      <c r="OUD24" s="68"/>
      <c r="OUE24" s="68"/>
      <c r="OUF24" s="68"/>
      <c r="OUG24" s="68"/>
      <c r="OUH24" s="68"/>
      <c r="OUI24" s="68"/>
      <c r="OUJ24" s="68"/>
      <c r="OUK24" s="68"/>
      <c r="OUL24" s="68"/>
      <c r="OUM24" s="68"/>
      <c r="OUN24" s="68"/>
      <c r="OUO24" s="68"/>
      <c r="OUP24" s="68"/>
      <c r="OUQ24" s="68"/>
      <c r="OUR24" s="68"/>
      <c r="OUS24" s="68"/>
      <c r="OUT24" s="68"/>
      <c r="OUU24" s="68"/>
      <c r="OUV24" s="68"/>
      <c r="OUW24" s="68"/>
      <c r="OUX24" s="68"/>
      <c r="OUY24" s="68"/>
      <c r="OUZ24" s="68"/>
      <c r="OVA24" s="68"/>
      <c r="OVB24" s="68"/>
      <c r="OVC24" s="68"/>
      <c r="OVD24" s="68"/>
      <c r="OVE24" s="68"/>
      <c r="OVF24" s="68"/>
      <c r="OVG24" s="68"/>
      <c r="OVH24" s="68"/>
      <c r="OVI24" s="68"/>
      <c r="OVJ24" s="68"/>
      <c r="OVK24" s="68"/>
      <c r="OVL24" s="68"/>
      <c r="OVM24" s="68"/>
      <c r="OVN24" s="68"/>
      <c r="OVO24" s="68"/>
      <c r="OVP24" s="68"/>
      <c r="OVQ24" s="68"/>
      <c r="OVR24" s="68"/>
      <c r="OVS24" s="68"/>
      <c r="OVT24" s="68"/>
      <c r="OVU24" s="68"/>
      <c r="OVV24" s="68"/>
      <c r="OVW24" s="68"/>
      <c r="OVX24" s="68"/>
      <c r="OVY24" s="68"/>
      <c r="OVZ24" s="68"/>
      <c r="OWA24" s="68"/>
      <c r="OWB24" s="68"/>
      <c r="OWC24" s="68"/>
      <c r="OWD24" s="68"/>
      <c r="OWE24" s="68"/>
      <c r="OWF24" s="68"/>
      <c r="OWG24" s="68"/>
      <c r="OWH24" s="68"/>
      <c r="OWI24" s="68"/>
      <c r="OWJ24" s="68"/>
      <c r="OWK24" s="68"/>
      <c r="OWL24" s="68"/>
      <c r="OWM24" s="68"/>
      <c r="OWN24" s="68"/>
      <c r="OWO24" s="68"/>
      <c r="OWP24" s="68"/>
      <c r="OWQ24" s="68"/>
      <c r="OWR24" s="68"/>
      <c r="OWS24" s="68"/>
      <c r="OWT24" s="68"/>
      <c r="OWU24" s="68"/>
      <c r="OWV24" s="68"/>
      <c r="OWW24" s="68"/>
      <c r="OWX24" s="68"/>
      <c r="OWY24" s="68"/>
      <c r="OWZ24" s="68"/>
      <c r="OXA24" s="68"/>
      <c r="OXB24" s="68"/>
      <c r="OXC24" s="68"/>
      <c r="OXD24" s="68"/>
      <c r="OXE24" s="68"/>
      <c r="OXF24" s="68"/>
      <c r="OXG24" s="68"/>
      <c r="OXH24" s="68"/>
      <c r="OXI24" s="68"/>
      <c r="OXJ24" s="68"/>
      <c r="OXK24" s="68"/>
      <c r="OXL24" s="68"/>
      <c r="OXM24" s="68"/>
      <c r="OXN24" s="68"/>
      <c r="OXO24" s="68"/>
      <c r="OXP24" s="68"/>
      <c r="OXQ24" s="68"/>
      <c r="OXR24" s="68"/>
      <c r="OXS24" s="68"/>
      <c r="OXT24" s="68"/>
      <c r="OXU24" s="68"/>
      <c r="OXV24" s="68"/>
      <c r="OXW24" s="68"/>
      <c r="OXX24" s="68"/>
      <c r="OXY24" s="68"/>
      <c r="OXZ24" s="68"/>
      <c r="OYA24" s="68"/>
      <c r="OYB24" s="68"/>
      <c r="OYC24" s="68"/>
      <c r="OYD24" s="68"/>
      <c r="OYE24" s="68"/>
      <c r="OYF24" s="68"/>
      <c r="OYG24" s="68"/>
      <c r="OYH24" s="68"/>
      <c r="OYI24" s="68"/>
      <c r="OYJ24" s="68"/>
      <c r="OYK24" s="68"/>
      <c r="OYL24" s="68"/>
      <c r="OYM24" s="68"/>
      <c r="OYN24" s="68"/>
      <c r="OYO24" s="68"/>
      <c r="OYP24" s="68"/>
      <c r="OYQ24" s="68"/>
      <c r="OYR24" s="68"/>
      <c r="OYS24" s="68"/>
      <c r="OYT24" s="68"/>
      <c r="OYU24" s="68"/>
      <c r="OYV24" s="68"/>
      <c r="OYW24" s="68"/>
      <c r="OYX24" s="68"/>
      <c r="OYY24" s="68"/>
      <c r="OYZ24" s="68"/>
      <c r="OZA24" s="68"/>
      <c r="OZB24" s="68"/>
      <c r="OZC24" s="68"/>
      <c r="OZD24" s="68"/>
      <c r="OZE24" s="68"/>
      <c r="OZF24" s="68"/>
      <c r="OZG24" s="68"/>
      <c r="OZH24" s="68"/>
      <c r="OZI24" s="68"/>
      <c r="OZJ24" s="68"/>
      <c r="OZK24" s="68"/>
      <c r="OZL24" s="68"/>
      <c r="OZM24" s="68"/>
      <c r="OZN24" s="68"/>
      <c r="OZO24" s="68"/>
      <c r="OZP24" s="68"/>
      <c r="OZQ24" s="68"/>
      <c r="OZR24" s="68"/>
      <c r="OZS24" s="68"/>
      <c r="OZT24" s="68"/>
      <c r="OZU24" s="68"/>
      <c r="OZV24" s="68"/>
      <c r="OZW24" s="68"/>
      <c r="OZX24" s="68"/>
      <c r="OZY24" s="68"/>
      <c r="OZZ24" s="68"/>
      <c r="PAA24" s="68"/>
      <c r="PAB24" s="68"/>
      <c r="PAC24" s="68"/>
      <c r="PAD24" s="68"/>
      <c r="PAE24" s="68"/>
      <c r="PAF24" s="68"/>
      <c r="PAG24" s="68"/>
      <c r="PAH24" s="68"/>
      <c r="PAI24" s="68"/>
      <c r="PAJ24" s="68"/>
      <c r="PAK24" s="68"/>
      <c r="PAL24" s="68"/>
      <c r="PAM24" s="68"/>
      <c r="PAN24" s="68"/>
      <c r="PAO24" s="68"/>
      <c r="PAP24" s="68"/>
      <c r="PAQ24" s="68"/>
      <c r="PAR24" s="68"/>
      <c r="PAS24" s="68"/>
      <c r="PAT24" s="68"/>
      <c r="PAU24" s="68"/>
      <c r="PAV24" s="68"/>
      <c r="PAW24" s="68"/>
      <c r="PAX24" s="68"/>
      <c r="PAY24" s="68"/>
      <c r="PAZ24" s="68"/>
      <c r="PBA24" s="68"/>
      <c r="PBB24" s="68"/>
      <c r="PBC24" s="68"/>
      <c r="PBD24" s="68"/>
      <c r="PBE24" s="68"/>
      <c r="PBF24" s="68"/>
      <c r="PBG24" s="68"/>
      <c r="PBH24" s="68"/>
      <c r="PBI24" s="68"/>
      <c r="PBJ24" s="68"/>
      <c r="PBK24" s="68"/>
      <c r="PBL24" s="68"/>
      <c r="PBM24" s="68"/>
      <c r="PBN24" s="68"/>
      <c r="PBO24" s="68"/>
      <c r="PBP24" s="68"/>
      <c r="PBQ24" s="68"/>
      <c r="PBR24" s="68"/>
      <c r="PBS24" s="68"/>
      <c r="PBT24" s="68"/>
      <c r="PBU24" s="68"/>
      <c r="PBV24" s="68"/>
      <c r="PBW24" s="68"/>
      <c r="PBX24" s="68"/>
      <c r="PBY24" s="68"/>
      <c r="PBZ24" s="68"/>
      <c r="PCA24" s="68"/>
      <c r="PCB24" s="68"/>
      <c r="PCC24" s="68"/>
      <c r="PCD24" s="68"/>
      <c r="PCE24" s="68"/>
      <c r="PCF24" s="68"/>
      <c r="PCG24" s="68"/>
      <c r="PCH24" s="68"/>
      <c r="PCI24" s="68"/>
      <c r="PCJ24" s="68"/>
      <c r="PCK24" s="68"/>
      <c r="PCL24" s="68"/>
      <c r="PCM24" s="68"/>
      <c r="PCN24" s="68"/>
      <c r="PCO24" s="68"/>
      <c r="PCP24" s="68"/>
      <c r="PCQ24" s="68"/>
      <c r="PCR24" s="68"/>
      <c r="PCS24" s="68"/>
      <c r="PCT24" s="68"/>
      <c r="PCU24" s="68"/>
      <c r="PCV24" s="68"/>
      <c r="PCW24" s="68"/>
      <c r="PCX24" s="68"/>
      <c r="PCY24" s="68"/>
      <c r="PCZ24" s="68"/>
      <c r="PDA24" s="68"/>
      <c r="PDB24" s="68"/>
      <c r="PDC24" s="68"/>
      <c r="PDD24" s="68"/>
      <c r="PDE24" s="68"/>
      <c r="PDF24" s="68"/>
      <c r="PDG24" s="68"/>
      <c r="PDH24" s="68"/>
      <c r="PDI24" s="68"/>
      <c r="PDJ24" s="68"/>
      <c r="PDK24" s="68"/>
      <c r="PDL24" s="68"/>
      <c r="PDM24" s="68"/>
      <c r="PDN24" s="68"/>
      <c r="PDO24" s="68"/>
      <c r="PDP24" s="68"/>
      <c r="PDQ24" s="68"/>
      <c r="PDR24" s="68"/>
      <c r="PDS24" s="68"/>
      <c r="PDT24" s="68"/>
      <c r="PDU24" s="68"/>
      <c r="PDV24" s="68"/>
      <c r="PDW24" s="68"/>
      <c r="PDX24" s="68"/>
      <c r="PDY24" s="68"/>
      <c r="PDZ24" s="68"/>
      <c r="PEA24" s="68"/>
      <c r="PEB24" s="68"/>
      <c r="PEC24" s="68"/>
      <c r="PED24" s="68"/>
      <c r="PEE24" s="68"/>
      <c r="PEF24" s="68"/>
      <c r="PEG24" s="68"/>
      <c r="PEH24" s="68"/>
      <c r="PEI24" s="68"/>
      <c r="PEJ24" s="68"/>
      <c r="PEK24" s="68"/>
      <c r="PEL24" s="68"/>
      <c r="PEM24" s="68"/>
      <c r="PEN24" s="68"/>
      <c r="PEO24" s="68"/>
      <c r="PEP24" s="68"/>
      <c r="PEQ24" s="68"/>
      <c r="PER24" s="68"/>
      <c r="PES24" s="68"/>
      <c r="PET24" s="68"/>
      <c r="PEU24" s="68"/>
      <c r="PEV24" s="68"/>
      <c r="PEW24" s="68"/>
      <c r="PEX24" s="68"/>
      <c r="PEY24" s="68"/>
      <c r="PEZ24" s="68"/>
      <c r="PFA24" s="68"/>
      <c r="PFB24" s="68"/>
      <c r="PFC24" s="68"/>
      <c r="PFD24" s="68"/>
      <c r="PFE24" s="68"/>
      <c r="PFF24" s="68"/>
      <c r="PFG24" s="68"/>
      <c r="PFH24" s="68"/>
      <c r="PFI24" s="68"/>
      <c r="PFJ24" s="68"/>
      <c r="PFK24" s="68"/>
      <c r="PFL24" s="68"/>
      <c r="PFM24" s="68"/>
      <c r="PFN24" s="68"/>
      <c r="PFO24" s="68"/>
      <c r="PFP24" s="68"/>
      <c r="PFQ24" s="68"/>
      <c r="PFR24" s="68"/>
      <c r="PFS24" s="68"/>
      <c r="PFT24" s="68"/>
      <c r="PFU24" s="68"/>
      <c r="PFV24" s="68"/>
      <c r="PFW24" s="68"/>
      <c r="PFX24" s="68"/>
      <c r="PFY24" s="68"/>
      <c r="PFZ24" s="68"/>
      <c r="PGA24" s="68"/>
      <c r="PGB24" s="68"/>
      <c r="PGC24" s="68"/>
      <c r="PGD24" s="68"/>
      <c r="PGE24" s="68"/>
      <c r="PGF24" s="68"/>
      <c r="PGG24" s="68"/>
      <c r="PGH24" s="68"/>
      <c r="PGI24" s="68"/>
      <c r="PGJ24" s="68"/>
      <c r="PGK24" s="68"/>
      <c r="PGL24" s="68"/>
      <c r="PGM24" s="68"/>
      <c r="PGN24" s="68"/>
      <c r="PGO24" s="68"/>
      <c r="PGP24" s="68"/>
      <c r="PGQ24" s="68"/>
      <c r="PGR24" s="68"/>
      <c r="PGS24" s="68"/>
      <c r="PGT24" s="68"/>
      <c r="PGU24" s="68"/>
      <c r="PGV24" s="68"/>
      <c r="PGW24" s="68"/>
      <c r="PGX24" s="68"/>
      <c r="PGY24" s="68"/>
      <c r="PGZ24" s="68"/>
      <c r="PHA24" s="68"/>
      <c r="PHB24" s="68"/>
      <c r="PHC24" s="68"/>
      <c r="PHD24" s="68"/>
      <c r="PHE24" s="68"/>
      <c r="PHF24" s="68"/>
      <c r="PHG24" s="68"/>
      <c r="PHH24" s="68"/>
      <c r="PHI24" s="68"/>
      <c r="PHJ24" s="68"/>
      <c r="PHK24" s="68"/>
      <c r="PHL24" s="68"/>
      <c r="PHM24" s="68"/>
      <c r="PHN24" s="68"/>
      <c r="PHO24" s="68"/>
      <c r="PHP24" s="68"/>
      <c r="PHQ24" s="68"/>
      <c r="PHR24" s="68"/>
      <c r="PHS24" s="68"/>
      <c r="PHT24" s="68"/>
      <c r="PHU24" s="68"/>
      <c r="PHV24" s="68"/>
      <c r="PHW24" s="68"/>
      <c r="PHX24" s="68"/>
      <c r="PHY24" s="68"/>
      <c r="PHZ24" s="68"/>
      <c r="PIA24" s="68"/>
      <c r="PIB24" s="68"/>
      <c r="PIC24" s="68"/>
      <c r="PID24" s="68"/>
      <c r="PIE24" s="68"/>
      <c r="PIF24" s="68"/>
      <c r="PIG24" s="68"/>
      <c r="PIH24" s="68"/>
      <c r="PII24" s="68"/>
      <c r="PIJ24" s="68"/>
      <c r="PIK24" s="68"/>
      <c r="PIL24" s="68"/>
      <c r="PIM24" s="68"/>
      <c r="PIN24" s="68"/>
      <c r="PIO24" s="68"/>
      <c r="PIP24" s="68"/>
      <c r="PIQ24" s="68"/>
      <c r="PIR24" s="68"/>
      <c r="PIS24" s="68"/>
      <c r="PIT24" s="68"/>
      <c r="PIU24" s="68"/>
      <c r="PIV24" s="68"/>
      <c r="PIW24" s="68"/>
      <c r="PIX24" s="68"/>
      <c r="PIY24" s="68"/>
      <c r="PIZ24" s="68"/>
      <c r="PJA24" s="68"/>
      <c r="PJB24" s="68"/>
      <c r="PJC24" s="68"/>
      <c r="PJD24" s="68"/>
      <c r="PJE24" s="68"/>
      <c r="PJF24" s="68"/>
      <c r="PJG24" s="68"/>
      <c r="PJH24" s="68"/>
      <c r="PJI24" s="68"/>
      <c r="PJJ24" s="68"/>
      <c r="PJK24" s="68"/>
      <c r="PJL24" s="68"/>
      <c r="PJM24" s="68"/>
      <c r="PJN24" s="68"/>
      <c r="PJO24" s="68"/>
      <c r="PJP24" s="68"/>
      <c r="PJQ24" s="68"/>
      <c r="PJR24" s="68"/>
      <c r="PJS24" s="68"/>
      <c r="PJT24" s="68"/>
      <c r="PJU24" s="68"/>
      <c r="PJV24" s="68"/>
      <c r="PJW24" s="68"/>
      <c r="PJX24" s="68"/>
      <c r="PJY24" s="68"/>
      <c r="PJZ24" s="68"/>
      <c r="PKA24" s="68"/>
      <c r="PKB24" s="68"/>
      <c r="PKC24" s="68"/>
      <c r="PKD24" s="68"/>
      <c r="PKE24" s="68"/>
      <c r="PKF24" s="68"/>
      <c r="PKG24" s="68"/>
      <c r="PKH24" s="68"/>
      <c r="PKI24" s="68"/>
      <c r="PKJ24" s="68"/>
      <c r="PKK24" s="68"/>
      <c r="PKL24" s="68"/>
      <c r="PKM24" s="68"/>
      <c r="PKN24" s="68"/>
      <c r="PKO24" s="68"/>
      <c r="PKP24" s="68"/>
      <c r="PKQ24" s="68"/>
      <c r="PKR24" s="68"/>
      <c r="PKS24" s="68"/>
      <c r="PKT24" s="68"/>
      <c r="PKU24" s="68"/>
      <c r="PKV24" s="68"/>
      <c r="PKW24" s="68"/>
      <c r="PKX24" s="68"/>
      <c r="PKY24" s="68"/>
      <c r="PKZ24" s="68"/>
      <c r="PLA24" s="68"/>
      <c r="PLB24" s="68"/>
      <c r="PLC24" s="68"/>
      <c r="PLD24" s="68"/>
      <c r="PLE24" s="68"/>
      <c r="PLF24" s="68"/>
      <c r="PLG24" s="68"/>
      <c r="PLH24" s="68"/>
      <c r="PLI24" s="68"/>
      <c r="PLJ24" s="68"/>
      <c r="PLK24" s="68"/>
      <c r="PLL24" s="68"/>
      <c r="PLM24" s="68"/>
      <c r="PLN24" s="68"/>
      <c r="PLO24" s="68"/>
      <c r="PLP24" s="68"/>
      <c r="PLQ24" s="68"/>
      <c r="PLR24" s="68"/>
      <c r="PLS24" s="68"/>
      <c r="PLT24" s="68"/>
      <c r="PLU24" s="68"/>
      <c r="PLV24" s="68"/>
      <c r="PLW24" s="68"/>
      <c r="PLX24" s="68"/>
      <c r="PLY24" s="68"/>
      <c r="PLZ24" s="68"/>
      <c r="PMA24" s="68"/>
      <c r="PMB24" s="68"/>
      <c r="PMC24" s="68"/>
      <c r="PMD24" s="68"/>
      <c r="PME24" s="68"/>
      <c r="PMF24" s="68"/>
      <c r="PMG24" s="68"/>
      <c r="PMH24" s="68"/>
      <c r="PMI24" s="68"/>
      <c r="PMJ24" s="68"/>
      <c r="PMK24" s="68"/>
      <c r="PML24" s="68"/>
      <c r="PMM24" s="68"/>
      <c r="PMN24" s="68"/>
      <c r="PMO24" s="68"/>
      <c r="PMP24" s="68"/>
      <c r="PMQ24" s="68"/>
      <c r="PMR24" s="68"/>
      <c r="PMS24" s="68"/>
      <c r="PMT24" s="68"/>
      <c r="PMU24" s="68"/>
      <c r="PMV24" s="68"/>
      <c r="PMW24" s="68"/>
      <c r="PMX24" s="68"/>
      <c r="PMY24" s="68"/>
      <c r="PMZ24" s="68"/>
      <c r="PNA24" s="68"/>
      <c r="PNB24" s="68"/>
      <c r="PNC24" s="68"/>
      <c r="PND24" s="68"/>
      <c r="PNE24" s="68"/>
      <c r="PNF24" s="68"/>
      <c r="PNG24" s="68"/>
      <c r="PNH24" s="68"/>
      <c r="PNI24" s="68"/>
      <c r="PNJ24" s="68"/>
      <c r="PNK24" s="68"/>
      <c r="PNL24" s="68"/>
      <c r="PNM24" s="68"/>
      <c r="PNN24" s="68"/>
      <c r="PNO24" s="68"/>
      <c r="PNP24" s="68"/>
      <c r="PNQ24" s="68"/>
      <c r="PNR24" s="68"/>
      <c r="PNS24" s="68"/>
      <c r="PNT24" s="68"/>
      <c r="PNU24" s="68"/>
      <c r="PNV24" s="68"/>
      <c r="PNW24" s="68"/>
      <c r="PNX24" s="68"/>
      <c r="PNY24" s="68"/>
      <c r="PNZ24" s="68"/>
      <c r="POA24" s="68"/>
      <c r="POB24" s="68"/>
      <c r="POC24" s="68"/>
      <c r="POD24" s="68"/>
      <c r="POE24" s="68"/>
      <c r="POF24" s="68"/>
      <c r="POG24" s="68"/>
      <c r="POH24" s="68"/>
      <c r="POI24" s="68"/>
      <c r="POJ24" s="68"/>
      <c r="POK24" s="68"/>
      <c r="POL24" s="68"/>
      <c r="POM24" s="68"/>
      <c r="PON24" s="68"/>
      <c r="POO24" s="68"/>
      <c r="POP24" s="68"/>
      <c r="POQ24" s="68"/>
      <c r="POR24" s="68"/>
      <c r="POS24" s="68"/>
      <c r="POT24" s="68"/>
      <c r="POU24" s="68"/>
      <c r="POV24" s="68"/>
      <c r="POW24" s="68"/>
      <c r="POX24" s="68"/>
      <c r="POY24" s="68"/>
      <c r="POZ24" s="68"/>
      <c r="PPA24" s="68"/>
      <c r="PPB24" s="68"/>
      <c r="PPC24" s="68"/>
      <c r="PPD24" s="68"/>
      <c r="PPE24" s="68"/>
      <c r="PPF24" s="68"/>
      <c r="PPG24" s="68"/>
      <c r="PPH24" s="68"/>
      <c r="PPI24" s="68"/>
      <c r="PPJ24" s="68"/>
      <c r="PPK24" s="68"/>
      <c r="PPL24" s="68"/>
      <c r="PPM24" s="68"/>
      <c r="PPN24" s="68"/>
      <c r="PPO24" s="68"/>
      <c r="PPP24" s="68"/>
      <c r="PPQ24" s="68"/>
      <c r="PPR24" s="68"/>
      <c r="PPS24" s="68"/>
      <c r="PPT24" s="68"/>
      <c r="PPU24" s="68"/>
      <c r="PPV24" s="68"/>
      <c r="PPW24" s="68"/>
      <c r="PPX24" s="68"/>
      <c r="PPY24" s="68"/>
      <c r="PPZ24" s="68"/>
      <c r="PQA24" s="68"/>
      <c r="PQB24" s="68"/>
      <c r="PQC24" s="68"/>
      <c r="PQD24" s="68"/>
      <c r="PQE24" s="68"/>
      <c r="PQF24" s="68"/>
      <c r="PQG24" s="68"/>
      <c r="PQH24" s="68"/>
      <c r="PQI24" s="68"/>
      <c r="PQJ24" s="68"/>
      <c r="PQK24" s="68"/>
      <c r="PQL24" s="68"/>
      <c r="PQM24" s="68"/>
      <c r="PQN24" s="68"/>
      <c r="PQO24" s="68"/>
      <c r="PQP24" s="68"/>
      <c r="PQQ24" s="68"/>
      <c r="PQR24" s="68"/>
      <c r="PQS24" s="68"/>
      <c r="PQT24" s="68"/>
      <c r="PQU24" s="68"/>
      <c r="PQV24" s="68"/>
      <c r="PQW24" s="68"/>
      <c r="PQX24" s="68"/>
      <c r="PQY24" s="68"/>
      <c r="PQZ24" s="68"/>
      <c r="PRA24" s="68"/>
      <c r="PRB24" s="68"/>
      <c r="PRC24" s="68"/>
      <c r="PRD24" s="68"/>
      <c r="PRE24" s="68"/>
      <c r="PRF24" s="68"/>
      <c r="PRG24" s="68"/>
      <c r="PRH24" s="68"/>
      <c r="PRI24" s="68"/>
      <c r="PRJ24" s="68"/>
      <c r="PRK24" s="68"/>
      <c r="PRL24" s="68"/>
      <c r="PRM24" s="68"/>
      <c r="PRN24" s="68"/>
      <c r="PRO24" s="68"/>
      <c r="PRP24" s="68"/>
      <c r="PRQ24" s="68"/>
      <c r="PRR24" s="68"/>
      <c r="PRS24" s="68"/>
      <c r="PRT24" s="68"/>
      <c r="PRU24" s="68"/>
      <c r="PRV24" s="68"/>
      <c r="PRW24" s="68"/>
      <c r="PRX24" s="68"/>
      <c r="PRY24" s="68"/>
      <c r="PRZ24" s="68"/>
      <c r="PSA24" s="68"/>
      <c r="PSB24" s="68"/>
      <c r="PSC24" s="68"/>
      <c r="PSD24" s="68"/>
      <c r="PSE24" s="68"/>
      <c r="PSF24" s="68"/>
      <c r="PSG24" s="68"/>
      <c r="PSH24" s="68"/>
      <c r="PSI24" s="68"/>
      <c r="PSJ24" s="68"/>
      <c r="PSK24" s="68"/>
      <c r="PSL24" s="68"/>
      <c r="PSM24" s="68"/>
      <c r="PSN24" s="68"/>
      <c r="PSO24" s="68"/>
      <c r="PSP24" s="68"/>
      <c r="PSQ24" s="68"/>
      <c r="PSR24" s="68"/>
      <c r="PSS24" s="68"/>
      <c r="PST24" s="68"/>
      <c r="PSU24" s="68"/>
      <c r="PSV24" s="68"/>
      <c r="PSW24" s="68"/>
      <c r="PSX24" s="68"/>
      <c r="PSY24" s="68"/>
      <c r="PSZ24" s="68"/>
      <c r="PTA24" s="68"/>
      <c r="PTB24" s="68"/>
      <c r="PTC24" s="68"/>
      <c r="PTD24" s="68"/>
      <c r="PTE24" s="68"/>
      <c r="PTF24" s="68"/>
      <c r="PTG24" s="68"/>
      <c r="PTH24" s="68"/>
      <c r="PTI24" s="68"/>
      <c r="PTJ24" s="68"/>
      <c r="PTK24" s="68"/>
      <c r="PTL24" s="68"/>
      <c r="PTM24" s="68"/>
      <c r="PTN24" s="68"/>
      <c r="PTO24" s="68"/>
      <c r="PTP24" s="68"/>
      <c r="PTQ24" s="68"/>
      <c r="PTR24" s="68"/>
      <c r="PTS24" s="68"/>
      <c r="PTT24" s="68"/>
      <c r="PTU24" s="68"/>
      <c r="PTV24" s="68"/>
      <c r="PTW24" s="68"/>
      <c r="PTX24" s="68"/>
      <c r="PTY24" s="68"/>
      <c r="PTZ24" s="68"/>
      <c r="PUA24" s="68"/>
      <c r="PUB24" s="68"/>
      <c r="PUC24" s="68"/>
      <c r="PUD24" s="68"/>
      <c r="PUE24" s="68"/>
      <c r="PUF24" s="68"/>
      <c r="PUG24" s="68"/>
      <c r="PUH24" s="68"/>
      <c r="PUI24" s="68"/>
      <c r="PUJ24" s="68"/>
      <c r="PUK24" s="68"/>
      <c r="PUL24" s="68"/>
      <c r="PUM24" s="68"/>
      <c r="PUN24" s="68"/>
      <c r="PUO24" s="68"/>
      <c r="PUP24" s="68"/>
      <c r="PUQ24" s="68"/>
      <c r="PUR24" s="68"/>
      <c r="PUS24" s="68"/>
      <c r="PUT24" s="68"/>
      <c r="PUU24" s="68"/>
      <c r="PUV24" s="68"/>
      <c r="PUW24" s="68"/>
      <c r="PUX24" s="68"/>
      <c r="PUY24" s="68"/>
      <c r="PUZ24" s="68"/>
      <c r="PVA24" s="68"/>
      <c r="PVB24" s="68"/>
      <c r="PVC24" s="68"/>
      <c r="PVD24" s="68"/>
      <c r="PVE24" s="68"/>
      <c r="PVF24" s="68"/>
      <c r="PVG24" s="68"/>
      <c r="PVH24" s="68"/>
      <c r="PVI24" s="68"/>
      <c r="PVJ24" s="68"/>
      <c r="PVK24" s="68"/>
      <c r="PVL24" s="68"/>
      <c r="PVM24" s="68"/>
      <c r="PVN24" s="68"/>
      <c r="PVO24" s="68"/>
      <c r="PVP24" s="68"/>
      <c r="PVQ24" s="68"/>
      <c r="PVR24" s="68"/>
      <c r="PVS24" s="68"/>
      <c r="PVT24" s="68"/>
      <c r="PVU24" s="68"/>
      <c r="PVV24" s="68"/>
      <c r="PVW24" s="68"/>
      <c r="PVX24" s="68"/>
      <c r="PVY24" s="68"/>
      <c r="PVZ24" s="68"/>
      <c r="PWA24" s="68"/>
      <c r="PWB24" s="68"/>
      <c r="PWC24" s="68"/>
      <c r="PWD24" s="68"/>
      <c r="PWE24" s="68"/>
      <c r="PWF24" s="68"/>
      <c r="PWG24" s="68"/>
      <c r="PWH24" s="68"/>
      <c r="PWI24" s="68"/>
      <c r="PWJ24" s="68"/>
      <c r="PWK24" s="68"/>
      <c r="PWL24" s="68"/>
      <c r="PWM24" s="68"/>
      <c r="PWN24" s="68"/>
      <c r="PWO24" s="68"/>
      <c r="PWP24" s="68"/>
      <c r="PWQ24" s="68"/>
      <c r="PWR24" s="68"/>
      <c r="PWS24" s="68"/>
      <c r="PWT24" s="68"/>
      <c r="PWU24" s="68"/>
      <c r="PWV24" s="68"/>
      <c r="PWW24" s="68"/>
      <c r="PWX24" s="68"/>
      <c r="PWY24" s="68"/>
      <c r="PWZ24" s="68"/>
      <c r="PXA24" s="68"/>
      <c r="PXB24" s="68"/>
      <c r="PXC24" s="68"/>
      <c r="PXD24" s="68"/>
      <c r="PXE24" s="68"/>
      <c r="PXF24" s="68"/>
      <c r="PXG24" s="68"/>
      <c r="PXH24" s="68"/>
      <c r="PXI24" s="68"/>
      <c r="PXJ24" s="68"/>
      <c r="PXK24" s="68"/>
      <c r="PXL24" s="68"/>
      <c r="PXM24" s="68"/>
      <c r="PXN24" s="68"/>
      <c r="PXO24" s="68"/>
      <c r="PXP24" s="68"/>
      <c r="PXQ24" s="68"/>
      <c r="PXR24" s="68"/>
      <c r="PXS24" s="68"/>
      <c r="PXT24" s="68"/>
      <c r="PXU24" s="68"/>
      <c r="PXV24" s="68"/>
      <c r="PXW24" s="68"/>
      <c r="PXX24" s="68"/>
      <c r="PXY24" s="68"/>
      <c r="PXZ24" s="68"/>
      <c r="PYA24" s="68"/>
      <c r="PYB24" s="68"/>
      <c r="PYC24" s="68"/>
      <c r="PYD24" s="68"/>
      <c r="PYE24" s="68"/>
      <c r="PYF24" s="68"/>
      <c r="PYG24" s="68"/>
      <c r="PYH24" s="68"/>
      <c r="PYI24" s="68"/>
      <c r="PYJ24" s="68"/>
      <c r="PYK24" s="68"/>
      <c r="PYL24" s="68"/>
      <c r="PYM24" s="68"/>
      <c r="PYN24" s="68"/>
      <c r="PYO24" s="68"/>
      <c r="PYP24" s="68"/>
      <c r="PYQ24" s="68"/>
      <c r="PYR24" s="68"/>
      <c r="PYS24" s="68"/>
      <c r="PYT24" s="68"/>
      <c r="PYU24" s="68"/>
      <c r="PYV24" s="68"/>
      <c r="PYW24" s="68"/>
      <c r="PYX24" s="68"/>
      <c r="PYY24" s="68"/>
      <c r="PYZ24" s="68"/>
      <c r="PZA24" s="68"/>
      <c r="PZB24" s="68"/>
      <c r="PZC24" s="68"/>
      <c r="PZD24" s="68"/>
      <c r="PZE24" s="68"/>
      <c r="PZF24" s="68"/>
      <c r="PZG24" s="68"/>
      <c r="PZH24" s="68"/>
      <c r="PZI24" s="68"/>
      <c r="PZJ24" s="68"/>
      <c r="PZK24" s="68"/>
      <c r="PZL24" s="68"/>
      <c r="PZM24" s="68"/>
      <c r="PZN24" s="68"/>
      <c r="PZO24" s="68"/>
      <c r="PZP24" s="68"/>
      <c r="PZQ24" s="68"/>
      <c r="PZR24" s="68"/>
      <c r="PZS24" s="68"/>
      <c r="PZT24" s="68"/>
      <c r="PZU24" s="68"/>
      <c r="PZV24" s="68"/>
      <c r="PZW24" s="68"/>
      <c r="PZX24" s="68"/>
      <c r="PZY24" s="68"/>
      <c r="PZZ24" s="68"/>
      <c r="QAA24" s="68"/>
      <c r="QAB24" s="68"/>
      <c r="QAC24" s="68"/>
      <c r="QAD24" s="68"/>
      <c r="QAE24" s="68"/>
      <c r="QAF24" s="68"/>
      <c r="QAG24" s="68"/>
      <c r="QAH24" s="68"/>
      <c r="QAI24" s="68"/>
      <c r="QAJ24" s="68"/>
      <c r="QAK24" s="68"/>
      <c r="QAL24" s="68"/>
      <c r="QAM24" s="68"/>
      <c r="QAN24" s="68"/>
      <c r="QAO24" s="68"/>
      <c r="QAP24" s="68"/>
      <c r="QAQ24" s="68"/>
      <c r="QAR24" s="68"/>
      <c r="QAS24" s="68"/>
      <c r="QAT24" s="68"/>
      <c r="QAU24" s="68"/>
      <c r="QAV24" s="68"/>
      <c r="QAW24" s="68"/>
      <c r="QAX24" s="68"/>
      <c r="QAY24" s="68"/>
      <c r="QAZ24" s="68"/>
      <c r="QBA24" s="68"/>
      <c r="QBB24" s="68"/>
      <c r="QBC24" s="68"/>
      <c r="QBD24" s="68"/>
      <c r="QBE24" s="68"/>
      <c r="QBF24" s="68"/>
      <c r="QBG24" s="68"/>
      <c r="QBH24" s="68"/>
      <c r="QBI24" s="68"/>
      <c r="QBJ24" s="68"/>
      <c r="QBK24" s="68"/>
      <c r="QBL24" s="68"/>
      <c r="QBM24" s="68"/>
      <c r="QBN24" s="68"/>
      <c r="QBO24" s="68"/>
      <c r="QBP24" s="68"/>
      <c r="QBQ24" s="68"/>
      <c r="QBR24" s="68"/>
      <c r="QBS24" s="68"/>
      <c r="QBT24" s="68"/>
      <c r="QBU24" s="68"/>
      <c r="QBV24" s="68"/>
      <c r="QBW24" s="68"/>
      <c r="QBX24" s="68"/>
      <c r="QBY24" s="68"/>
      <c r="QBZ24" s="68"/>
      <c r="QCA24" s="68"/>
      <c r="QCB24" s="68"/>
      <c r="QCC24" s="68"/>
      <c r="QCD24" s="68"/>
      <c r="QCE24" s="68"/>
      <c r="QCF24" s="68"/>
      <c r="QCG24" s="68"/>
      <c r="QCH24" s="68"/>
      <c r="QCI24" s="68"/>
      <c r="QCJ24" s="68"/>
      <c r="QCK24" s="68"/>
      <c r="QCL24" s="68"/>
      <c r="QCM24" s="68"/>
      <c r="QCN24" s="68"/>
      <c r="QCO24" s="68"/>
      <c r="QCP24" s="68"/>
      <c r="QCQ24" s="68"/>
      <c r="QCR24" s="68"/>
      <c r="QCS24" s="68"/>
      <c r="QCT24" s="68"/>
      <c r="QCU24" s="68"/>
      <c r="QCV24" s="68"/>
      <c r="QCW24" s="68"/>
      <c r="QCX24" s="68"/>
      <c r="QCY24" s="68"/>
      <c r="QCZ24" s="68"/>
      <c r="QDA24" s="68"/>
      <c r="QDB24" s="68"/>
      <c r="QDC24" s="68"/>
      <c r="QDD24" s="68"/>
      <c r="QDE24" s="68"/>
      <c r="QDF24" s="68"/>
      <c r="QDG24" s="68"/>
      <c r="QDH24" s="68"/>
      <c r="QDI24" s="68"/>
      <c r="QDJ24" s="68"/>
      <c r="QDK24" s="68"/>
      <c r="QDL24" s="68"/>
      <c r="QDM24" s="68"/>
      <c r="QDN24" s="68"/>
      <c r="QDO24" s="68"/>
      <c r="QDP24" s="68"/>
      <c r="QDQ24" s="68"/>
      <c r="QDR24" s="68"/>
      <c r="QDS24" s="68"/>
      <c r="QDT24" s="68"/>
      <c r="QDU24" s="68"/>
      <c r="QDV24" s="68"/>
      <c r="QDW24" s="68"/>
      <c r="QDX24" s="68"/>
      <c r="QDY24" s="68"/>
      <c r="QDZ24" s="68"/>
      <c r="QEA24" s="68"/>
      <c r="QEB24" s="68"/>
      <c r="QEC24" s="68"/>
      <c r="QED24" s="68"/>
      <c r="QEE24" s="68"/>
      <c r="QEF24" s="68"/>
      <c r="QEG24" s="68"/>
      <c r="QEH24" s="68"/>
      <c r="QEI24" s="68"/>
      <c r="QEJ24" s="68"/>
      <c r="QEK24" s="68"/>
      <c r="QEL24" s="68"/>
      <c r="QEM24" s="68"/>
      <c r="QEN24" s="68"/>
      <c r="QEO24" s="68"/>
      <c r="QEP24" s="68"/>
      <c r="QEQ24" s="68"/>
      <c r="QER24" s="68"/>
      <c r="QES24" s="68"/>
      <c r="QET24" s="68"/>
      <c r="QEU24" s="68"/>
      <c r="QEV24" s="68"/>
      <c r="QEW24" s="68"/>
      <c r="QEX24" s="68"/>
      <c r="QEY24" s="68"/>
      <c r="QEZ24" s="68"/>
      <c r="QFA24" s="68"/>
      <c r="QFB24" s="68"/>
      <c r="QFC24" s="68"/>
      <c r="QFD24" s="68"/>
      <c r="QFE24" s="68"/>
      <c r="QFF24" s="68"/>
      <c r="QFG24" s="68"/>
      <c r="QFH24" s="68"/>
      <c r="QFI24" s="68"/>
      <c r="QFJ24" s="68"/>
      <c r="QFK24" s="68"/>
      <c r="QFL24" s="68"/>
      <c r="QFM24" s="68"/>
      <c r="QFN24" s="68"/>
      <c r="QFO24" s="68"/>
      <c r="QFP24" s="68"/>
      <c r="QFQ24" s="68"/>
      <c r="QFR24" s="68"/>
      <c r="QFS24" s="68"/>
      <c r="QFT24" s="68"/>
      <c r="QFU24" s="68"/>
      <c r="QFV24" s="68"/>
      <c r="QFW24" s="68"/>
      <c r="QFX24" s="68"/>
      <c r="QFY24" s="68"/>
      <c r="QFZ24" s="68"/>
      <c r="QGA24" s="68"/>
      <c r="QGB24" s="68"/>
      <c r="QGC24" s="68"/>
      <c r="QGD24" s="68"/>
      <c r="QGE24" s="68"/>
      <c r="QGF24" s="68"/>
      <c r="QGG24" s="68"/>
      <c r="QGH24" s="68"/>
      <c r="QGI24" s="68"/>
      <c r="QGJ24" s="68"/>
      <c r="QGK24" s="68"/>
      <c r="QGL24" s="68"/>
      <c r="QGM24" s="68"/>
      <c r="QGN24" s="68"/>
      <c r="QGO24" s="68"/>
      <c r="QGP24" s="68"/>
      <c r="QGQ24" s="68"/>
      <c r="QGR24" s="68"/>
      <c r="QGS24" s="68"/>
      <c r="QGT24" s="68"/>
      <c r="QGU24" s="68"/>
      <c r="QGV24" s="68"/>
      <c r="QGW24" s="68"/>
      <c r="QGX24" s="68"/>
      <c r="QGY24" s="68"/>
      <c r="QGZ24" s="68"/>
      <c r="QHA24" s="68"/>
      <c r="QHB24" s="68"/>
      <c r="QHC24" s="68"/>
      <c r="QHD24" s="68"/>
      <c r="QHE24" s="68"/>
      <c r="QHF24" s="68"/>
      <c r="QHG24" s="68"/>
      <c r="QHH24" s="68"/>
      <c r="QHI24" s="68"/>
      <c r="QHJ24" s="68"/>
      <c r="QHK24" s="68"/>
      <c r="QHL24" s="68"/>
      <c r="QHM24" s="68"/>
      <c r="QHN24" s="68"/>
      <c r="QHO24" s="68"/>
      <c r="QHP24" s="68"/>
      <c r="QHQ24" s="68"/>
      <c r="QHR24" s="68"/>
      <c r="QHS24" s="68"/>
      <c r="QHT24" s="68"/>
      <c r="QHU24" s="68"/>
      <c r="QHV24" s="68"/>
      <c r="QHW24" s="68"/>
      <c r="QHX24" s="68"/>
      <c r="QHY24" s="68"/>
      <c r="QHZ24" s="68"/>
      <c r="QIA24" s="68"/>
      <c r="QIB24" s="68"/>
      <c r="QIC24" s="68"/>
      <c r="QID24" s="68"/>
      <c r="QIE24" s="68"/>
      <c r="QIF24" s="68"/>
      <c r="QIG24" s="68"/>
      <c r="QIH24" s="68"/>
      <c r="QII24" s="68"/>
      <c r="QIJ24" s="68"/>
      <c r="QIK24" s="68"/>
      <c r="QIL24" s="68"/>
      <c r="QIM24" s="68"/>
      <c r="QIN24" s="68"/>
      <c r="QIO24" s="68"/>
      <c r="QIP24" s="68"/>
      <c r="QIQ24" s="68"/>
      <c r="QIR24" s="68"/>
      <c r="QIS24" s="68"/>
      <c r="QIT24" s="68"/>
      <c r="QIU24" s="68"/>
      <c r="QIV24" s="68"/>
      <c r="QIW24" s="68"/>
      <c r="QIX24" s="68"/>
      <c r="QIY24" s="68"/>
      <c r="QIZ24" s="68"/>
      <c r="QJA24" s="68"/>
      <c r="QJB24" s="68"/>
      <c r="QJC24" s="68"/>
      <c r="QJD24" s="68"/>
      <c r="QJE24" s="68"/>
      <c r="QJF24" s="68"/>
      <c r="QJG24" s="68"/>
      <c r="QJH24" s="68"/>
      <c r="QJI24" s="68"/>
      <c r="QJJ24" s="68"/>
      <c r="QJK24" s="68"/>
      <c r="QJL24" s="68"/>
      <c r="QJM24" s="68"/>
      <c r="QJN24" s="68"/>
      <c r="QJO24" s="68"/>
      <c r="QJP24" s="68"/>
      <c r="QJQ24" s="68"/>
      <c r="QJR24" s="68"/>
      <c r="QJS24" s="68"/>
      <c r="QJT24" s="68"/>
      <c r="QJU24" s="68"/>
      <c r="QJV24" s="68"/>
      <c r="QJW24" s="68"/>
      <c r="QJX24" s="68"/>
      <c r="QJY24" s="68"/>
      <c r="QJZ24" s="68"/>
      <c r="QKA24" s="68"/>
      <c r="QKB24" s="68"/>
      <c r="QKC24" s="68"/>
      <c r="QKD24" s="68"/>
      <c r="QKE24" s="68"/>
      <c r="QKF24" s="68"/>
      <c r="QKG24" s="68"/>
      <c r="QKH24" s="68"/>
      <c r="QKI24" s="68"/>
      <c r="QKJ24" s="68"/>
      <c r="QKK24" s="68"/>
      <c r="QKL24" s="68"/>
      <c r="QKM24" s="68"/>
      <c r="QKN24" s="68"/>
      <c r="QKO24" s="68"/>
      <c r="QKP24" s="68"/>
      <c r="QKQ24" s="68"/>
      <c r="QKR24" s="68"/>
      <c r="QKS24" s="68"/>
      <c r="QKT24" s="68"/>
      <c r="QKU24" s="68"/>
      <c r="QKV24" s="68"/>
      <c r="QKW24" s="68"/>
      <c r="QKX24" s="68"/>
      <c r="QKY24" s="68"/>
      <c r="QKZ24" s="68"/>
      <c r="QLA24" s="68"/>
      <c r="QLB24" s="68"/>
      <c r="QLC24" s="68"/>
      <c r="QLD24" s="68"/>
      <c r="QLE24" s="68"/>
      <c r="QLF24" s="68"/>
      <c r="QLG24" s="68"/>
      <c r="QLH24" s="68"/>
      <c r="QLI24" s="68"/>
      <c r="QLJ24" s="68"/>
      <c r="QLK24" s="68"/>
      <c r="QLL24" s="68"/>
      <c r="QLM24" s="68"/>
      <c r="QLN24" s="68"/>
      <c r="QLO24" s="68"/>
      <c r="QLP24" s="68"/>
      <c r="QLQ24" s="68"/>
      <c r="QLR24" s="68"/>
      <c r="QLS24" s="68"/>
      <c r="QLT24" s="68"/>
      <c r="QLU24" s="68"/>
      <c r="QLV24" s="68"/>
      <c r="QLW24" s="68"/>
      <c r="QLX24" s="68"/>
      <c r="QLY24" s="68"/>
      <c r="QLZ24" s="68"/>
      <c r="QMA24" s="68"/>
      <c r="QMB24" s="68"/>
      <c r="QMC24" s="68"/>
      <c r="QMD24" s="68"/>
      <c r="QME24" s="68"/>
      <c r="QMF24" s="68"/>
      <c r="QMG24" s="68"/>
      <c r="QMH24" s="68"/>
      <c r="QMI24" s="68"/>
      <c r="QMJ24" s="68"/>
      <c r="QMK24" s="68"/>
      <c r="QML24" s="68"/>
      <c r="QMM24" s="68"/>
      <c r="QMN24" s="68"/>
      <c r="QMO24" s="68"/>
      <c r="QMP24" s="68"/>
      <c r="QMQ24" s="68"/>
      <c r="QMR24" s="68"/>
      <c r="QMS24" s="68"/>
      <c r="QMT24" s="68"/>
      <c r="QMU24" s="68"/>
      <c r="QMV24" s="68"/>
      <c r="QMW24" s="68"/>
      <c r="QMX24" s="68"/>
      <c r="QMY24" s="68"/>
      <c r="QMZ24" s="68"/>
      <c r="QNA24" s="68"/>
      <c r="QNB24" s="68"/>
      <c r="QNC24" s="68"/>
      <c r="QND24" s="68"/>
      <c r="QNE24" s="68"/>
      <c r="QNF24" s="68"/>
      <c r="QNG24" s="68"/>
      <c r="QNH24" s="68"/>
      <c r="QNI24" s="68"/>
      <c r="QNJ24" s="68"/>
      <c r="QNK24" s="68"/>
      <c r="QNL24" s="68"/>
      <c r="QNM24" s="68"/>
      <c r="QNN24" s="68"/>
      <c r="QNO24" s="68"/>
      <c r="QNP24" s="68"/>
      <c r="QNQ24" s="68"/>
      <c r="QNR24" s="68"/>
      <c r="QNS24" s="68"/>
      <c r="QNT24" s="68"/>
      <c r="QNU24" s="68"/>
      <c r="QNV24" s="68"/>
      <c r="QNW24" s="68"/>
      <c r="QNX24" s="68"/>
      <c r="QNY24" s="68"/>
      <c r="QNZ24" s="68"/>
      <c r="QOA24" s="68"/>
      <c r="QOB24" s="68"/>
      <c r="QOC24" s="68"/>
      <c r="QOD24" s="68"/>
      <c r="QOE24" s="68"/>
      <c r="QOF24" s="68"/>
      <c r="QOG24" s="68"/>
      <c r="QOH24" s="68"/>
      <c r="QOI24" s="68"/>
      <c r="QOJ24" s="68"/>
      <c r="QOK24" s="68"/>
      <c r="QOL24" s="68"/>
      <c r="QOM24" s="68"/>
      <c r="QON24" s="68"/>
      <c r="QOO24" s="68"/>
      <c r="QOP24" s="68"/>
      <c r="QOQ24" s="68"/>
      <c r="QOR24" s="68"/>
      <c r="QOS24" s="68"/>
      <c r="QOT24" s="68"/>
      <c r="QOU24" s="68"/>
      <c r="QOV24" s="68"/>
      <c r="QOW24" s="68"/>
      <c r="QOX24" s="68"/>
      <c r="QOY24" s="68"/>
      <c r="QOZ24" s="68"/>
      <c r="QPA24" s="68"/>
      <c r="QPB24" s="68"/>
      <c r="QPC24" s="68"/>
      <c r="QPD24" s="68"/>
      <c r="QPE24" s="68"/>
      <c r="QPF24" s="68"/>
      <c r="QPG24" s="68"/>
      <c r="QPH24" s="68"/>
      <c r="QPI24" s="68"/>
      <c r="QPJ24" s="68"/>
      <c r="QPK24" s="68"/>
      <c r="QPL24" s="68"/>
      <c r="QPM24" s="68"/>
      <c r="QPN24" s="68"/>
      <c r="QPO24" s="68"/>
      <c r="QPP24" s="68"/>
      <c r="QPQ24" s="68"/>
      <c r="QPR24" s="68"/>
      <c r="QPS24" s="68"/>
      <c r="QPT24" s="68"/>
      <c r="QPU24" s="68"/>
      <c r="QPV24" s="68"/>
      <c r="QPW24" s="68"/>
      <c r="QPX24" s="68"/>
      <c r="QPY24" s="68"/>
      <c r="QPZ24" s="68"/>
      <c r="QQA24" s="68"/>
      <c r="QQB24" s="68"/>
      <c r="QQC24" s="68"/>
      <c r="QQD24" s="68"/>
      <c r="QQE24" s="68"/>
      <c r="QQF24" s="68"/>
      <c r="QQG24" s="68"/>
      <c r="QQH24" s="68"/>
      <c r="QQI24" s="68"/>
      <c r="QQJ24" s="68"/>
      <c r="QQK24" s="68"/>
      <c r="QQL24" s="68"/>
      <c r="QQM24" s="68"/>
      <c r="QQN24" s="68"/>
      <c r="QQO24" s="68"/>
      <c r="QQP24" s="68"/>
      <c r="QQQ24" s="68"/>
      <c r="QQR24" s="68"/>
      <c r="QQS24" s="68"/>
      <c r="QQT24" s="68"/>
      <c r="QQU24" s="68"/>
      <c r="QQV24" s="68"/>
      <c r="QQW24" s="68"/>
      <c r="QQX24" s="68"/>
      <c r="QQY24" s="68"/>
      <c r="QQZ24" s="68"/>
      <c r="QRA24" s="68"/>
      <c r="QRB24" s="68"/>
      <c r="QRC24" s="68"/>
      <c r="QRD24" s="68"/>
      <c r="QRE24" s="68"/>
      <c r="QRF24" s="68"/>
      <c r="QRG24" s="68"/>
      <c r="QRH24" s="68"/>
      <c r="QRI24" s="68"/>
      <c r="QRJ24" s="68"/>
      <c r="QRK24" s="68"/>
      <c r="QRL24" s="68"/>
      <c r="QRM24" s="68"/>
      <c r="QRN24" s="68"/>
      <c r="QRO24" s="68"/>
      <c r="QRP24" s="68"/>
      <c r="QRQ24" s="68"/>
      <c r="QRR24" s="68"/>
      <c r="QRS24" s="68"/>
      <c r="QRT24" s="68"/>
      <c r="QRU24" s="68"/>
      <c r="QRV24" s="68"/>
      <c r="QRW24" s="68"/>
      <c r="QRX24" s="68"/>
      <c r="QRY24" s="68"/>
      <c r="QRZ24" s="68"/>
      <c r="QSA24" s="68"/>
      <c r="QSB24" s="68"/>
      <c r="QSC24" s="68"/>
      <c r="QSD24" s="68"/>
      <c r="QSE24" s="68"/>
      <c r="QSF24" s="68"/>
      <c r="QSG24" s="68"/>
      <c r="QSH24" s="68"/>
      <c r="QSI24" s="68"/>
      <c r="QSJ24" s="68"/>
      <c r="QSK24" s="68"/>
      <c r="QSL24" s="68"/>
      <c r="QSM24" s="68"/>
      <c r="QSN24" s="68"/>
      <c r="QSO24" s="68"/>
      <c r="QSP24" s="68"/>
      <c r="QSQ24" s="68"/>
      <c r="QSR24" s="68"/>
      <c r="QSS24" s="68"/>
      <c r="QST24" s="68"/>
      <c r="QSU24" s="68"/>
      <c r="QSV24" s="68"/>
      <c r="QSW24" s="68"/>
      <c r="QSX24" s="68"/>
      <c r="QSY24" s="68"/>
      <c r="QSZ24" s="68"/>
      <c r="QTA24" s="68"/>
      <c r="QTB24" s="68"/>
      <c r="QTC24" s="68"/>
      <c r="QTD24" s="68"/>
      <c r="QTE24" s="68"/>
      <c r="QTF24" s="68"/>
      <c r="QTG24" s="68"/>
      <c r="QTH24" s="68"/>
      <c r="QTI24" s="68"/>
      <c r="QTJ24" s="68"/>
      <c r="QTK24" s="68"/>
      <c r="QTL24" s="68"/>
      <c r="QTM24" s="68"/>
      <c r="QTN24" s="68"/>
      <c r="QTO24" s="68"/>
      <c r="QTP24" s="68"/>
      <c r="QTQ24" s="68"/>
      <c r="QTR24" s="68"/>
      <c r="QTS24" s="68"/>
      <c r="QTT24" s="68"/>
      <c r="QTU24" s="68"/>
      <c r="QTV24" s="68"/>
      <c r="QTW24" s="68"/>
      <c r="QTX24" s="68"/>
      <c r="QTY24" s="68"/>
      <c r="QTZ24" s="68"/>
      <c r="QUA24" s="68"/>
      <c r="QUB24" s="68"/>
      <c r="QUC24" s="68"/>
      <c r="QUD24" s="68"/>
      <c r="QUE24" s="68"/>
      <c r="QUF24" s="68"/>
      <c r="QUG24" s="68"/>
      <c r="QUH24" s="68"/>
      <c r="QUI24" s="68"/>
      <c r="QUJ24" s="68"/>
      <c r="QUK24" s="68"/>
      <c r="QUL24" s="68"/>
      <c r="QUM24" s="68"/>
      <c r="QUN24" s="68"/>
      <c r="QUO24" s="68"/>
      <c r="QUP24" s="68"/>
      <c r="QUQ24" s="68"/>
      <c r="QUR24" s="68"/>
      <c r="QUS24" s="68"/>
      <c r="QUT24" s="68"/>
      <c r="QUU24" s="68"/>
      <c r="QUV24" s="68"/>
      <c r="QUW24" s="68"/>
      <c r="QUX24" s="68"/>
      <c r="QUY24" s="68"/>
      <c r="QUZ24" s="68"/>
      <c r="QVA24" s="68"/>
      <c r="QVB24" s="68"/>
      <c r="QVC24" s="68"/>
      <c r="QVD24" s="68"/>
      <c r="QVE24" s="68"/>
      <c r="QVF24" s="68"/>
      <c r="QVG24" s="68"/>
      <c r="QVH24" s="68"/>
      <c r="QVI24" s="68"/>
      <c r="QVJ24" s="68"/>
      <c r="QVK24" s="68"/>
      <c r="QVL24" s="68"/>
      <c r="QVM24" s="68"/>
      <c r="QVN24" s="68"/>
      <c r="QVO24" s="68"/>
      <c r="QVP24" s="68"/>
      <c r="QVQ24" s="68"/>
      <c r="QVR24" s="68"/>
      <c r="QVS24" s="68"/>
      <c r="QVT24" s="68"/>
      <c r="QVU24" s="68"/>
      <c r="QVV24" s="68"/>
      <c r="QVW24" s="68"/>
      <c r="QVX24" s="68"/>
      <c r="QVY24" s="68"/>
      <c r="QVZ24" s="68"/>
      <c r="QWA24" s="68"/>
      <c r="QWB24" s="68"/>
      <c r="QWC24" s="68"/>
      <c r="QWD24" s="68"/>
      <c r="QWE24" s="68"/>
      <c r="QWF24" s="68"/>
      <c r="QWG24" s="68"/>
      <c r="QWH24" s="68"/>
      <c r="QWI24" s="68"/>
      <c r="QWJ24" s="68"/>
      <c r="QWK24" s="68"/>
      <c r="QWL24" s="68"/>
      <c r="QWM24" s="68"/>
      <c r="QWN24" s="68"/>
      <c r="QWO24" s="68"/>
      <c r="QWP24" s="68"/>
      <c r="QWQ24" s="68"/>
      <c r="QWR24" s="68"/>
      <c r="QWS24" s="68"/>
      <c r="QWT24" s="68"/>
      <c r="QWU24" s="68"/>
      <c r="QWV24" s="68"/>
      <c r="QWW24" s="68"/>
      <c r="QWX24" s="68"/>
      <c r="QWY24" s="68"/>
      <c r="QWZ24" s="68"/>
      <c r="QXA24" s="68"/>
      <c r="QXB24" s="68"/>
      <c r="QXC24" s="68"/>
      <c r="QXD24" s="68"/>
      <c r="QXE24" s="68"/>
      <c r="QXF24" s="68"/>
      <c r="QXG24" s="68"/>
      <c r="QXH24" s="68"/>
      <c r="QXI24" s="68"/>
      <c r="QXJ24" s="68"/>
      <c r="QXK24" s="68"/>
      <c r="QXL24" s="68"/>
      <c r="QXM24" s="68"/>
      <c r="QXN24" s="68"/>
      <c r="QXO24" s="68"/>
      <c r="QXP24" s="68"/>
      <c r="QXQ24" s="68"/>
      <c r="QXR24" s="68"/>
      <c r="QXS24" s="68"/>
      <c r="QXT24" s="68"/>
      <c r="QXU24" s="68"/>
      <c r="QXV24" s="68"/>
      <c r="QXW24" s="68"/>
      <c r="QXX24" s="68"/>
      <c r="QXY24" s="68"/>
      <c r="QXZ24" s="68"/>
      <c r="QYA24" s="68"/>
      <c r="QYB24" s="68"/>
      <c r="QYC24" s="68"/>
      <c r="QYD24" s="68"/>
      <c r="QYE24" s="68"/>
      <c r="QYF24" s="68"/>
      <c r="QYG24" s="68"/>
      <c r="QYH24" s="68"/>
      <c r="QYI24" s="68"/>
      <c r="QYJ24" s="68"/>
      <c r="QYK24" s="68"/>
      <c r="QYL24" s="68"/>
      <c r="QYM24" s="68"/>
      <c r="QYN24" s="68"/>
      <c r="QYO24" s="68"/>
      <c r="QYP24" s="68"/>
      <c r="QYQ24" s="68"/>
      <c r="QYR24" s="68"/>
      <c r="QYS24" s="68"/>
      <c r="QYT24" s="68"/>
      <c r="QYU24" s="68"/>
      <c r="QYV24" s="68"/>
      <c r="QYW24" s="68"/>
      <c r="QYX24" s="68"/>
      <c r="QYY24" s="68"/>
      <c r="QYZ24" s="68"/>
      <c r="QZA24" s="68"/>
      <c r="QZB24" s="68"/>
      <c r="QZC24" s="68"/>
      <c r="QZD24" s="68"/>
      <c r="QZE24" s="68"/>
      <c r="QZF24" s="68"/>
      <c r="QZG24" s="68"/>
      <c r="QZH24" s="68"/>
      <c r="QZI24" s="68"/>
      <c r="QZJ24" s="68"/>
      <c r="QZK24" s="68"/>
      <c r="QZL24" s="68"/>
      <c r="QZM24" s="68"/>
      <c r="QZN24" s="68"/>
      <c r="QZO24" s="68"/>
      <c r="QZP24" s="68"/>
      <c r="QZQ24" s="68"/>
      <c r="QZR24" s="68"/>
      <c r="QZS24" s="68"/>
      <c r="QZT24" s="68"/>
      <c r="QZU24" s="68"/>
      <c r="QZV24" s="68"/>
      <c r="QZW24" s="68"/>
      <c r="QZX24" s="68"/>
      <c r="QZY24" s="68"/>
      <c r="QZZ24" s="68"/>
      <c r="RAA24" s="68"/>
      <c r="RAB24" s="68"/>
      <c r="RAC24" s="68"/>
      <c r="RAD24" s="68"/>
      <c r="RAE24" s="68"/>
      <c r="RAF24" s="68"/>
      <c r="RAG24" s="68"/>
      <c r="RAH24" s="68"/>
      <c r="RAI24" s="68"/>
      <c r="RAJ24" s="68"/>
      <c r="RAK24" s="68"/>
      <c r="RAL24" s="68"/>
      <c r="RAM24" s="68"/>
      <c r="RAN24" s="68"/>
      <c r="RAO24" s="68"/>
      <c r="RAP24" s="68"/>
      <c r="RAQ24" s="68"/>
      <c r="RAR24" s="68"/>
      <c r="RAS24" s="68"/>
      <c r="RAT24" s="68"/>
      <c r="RAU24" s="68"/>
      <c r="RAV24" s="68"/>
      <c r="RAW24" s="68"/>
      <c r="RAX24" s="68"/>
      <c r="RAY24" s="68"/>
      <c r="RAZ24" s="68"/>
      <c r="RBA24" s="68"/>
      <c r="RBB24" s="68"/>
      <c r="RBC24" s="68"/>
      <c r="RBD24" s="68"/>
      <c r="RBE24" s="68"/>
      <c r="RBF24" s="68"/>
      <c r="RBG24" s="68"/>
      <c r="RBH24" s="68"/>
      <c r="RBI24" s="68"/>
      <c r="RBJ24" s="68"/>
      <c r="RBK24" s="68"/>
      <c r="RBL24" s="68"/>
      <c r="RBM24" s="68"/>
      <c r="RBN24" s="68"/>
      <c r="RBO24" s="68"/>
      <c r="RBP24" s="68"/>
      <c r="RBQ24" s="68"/>
      <c r="RBR24" s="68"/>
      <c r="RBS24" s="68"/>
      <c r="RBT24" s="68"/>
      <c r="RBU24" s="68"/>
      <c r="RBV24" s="68"/>
      <c r="RBW24" s="68"/>
      <c r="RBX24" s="68"/>
      <c r="RBY24" s="68"/>
      <c r="RBZ24" s="68"/>
      <c r="RCA24" s="68"/>
      <c r="RCB24" s="68"/>
      <c r="RCC24" s="68"/>
      <c r="RCD24" s="68"/>
      <c r="RCE24" s="68"/>
      <c r="RCF24" s="68"/>
      <c r="RCG24" s="68"/>
      <c r="RCH24" s="68"/>
      <c r="RCI24" s="68"/>
      <c r="RCJ24" s="68"/>
      <c r="RCK24" s="68"/>
      <c r="RCL24" s="68"/>
      <c r="RCM24" s="68"/>
      <c r="RCN24" s="68"/>
      <c r="RCO24" s="68"/>
      <c r="RCP24" s="68"/>
      <c r="RCQ24" s="68"/>
      <c r="RCR24" s="68"/>
      <c r="RCS24" s="68"/>
      <c r="RCT24" s="68"/>
      <c r="RCU24" s="68"/>
      <c r="RCV24" s="68"/>
      <c r="RCW24" s="68"/>
      <c r="RCX24" s="68"/>
      <c r="RCY24" s="68"/>
      <c r="RCZ24" s="68"/>
      <c r="RDA24" s="68"/>
      <c r="RDB24" s="68"/>
      <c r="RDC24" s="68"/>
      <c r="RDD24" s="68"/>
      <c r="RDE24" s="68"/>
      <c r="RDF24" s="68"/>
      <c r="RDG24" s="68"/>
      <c r="RDH24" s="68"/>
      <c r="RDI24" s="68"/>
      <c r="RDJ24" s="68"/>
      <c r="RDK24" s="68"/>
      <c r="RDL24" s="68"/>
      <c r="RDM24" s="68"/>
      <c r="RDN24" s="68"/>
      <c r="RDO24" s="68"/>
      <c r="RDP24" s="68"/>
      <c r="RDQ24" s="68"/>
      <c r="RDR24" s="68"/>
      <c r="RDS24" s="68"/>
      <c r="RDT24" s="68"/>
      <c r="RDU24" s="68"/>
      <c r="RDV24" s="68"/>
      <c r="RDW24" s="68"/>
      <c r="RDX24" s="68"/>
      <c r="RDY24" s="68"/>
      <c r="RDZ24" s="68"/>
      <c r="REA24" s="68"/>
      <c r="REB24" s="68"/>
      <c r="REC24" s="68"/>
      <c r="RED24" s="68"/>
      <c r="REE24" s="68"/>
      <c r="REF24" s="68"/>
      <c r="REG24" s="68"/>
      <c r="REH24" s="68"/>
      <c r="REI24" s="68"/>
      <c r="REJ24" s="68"/>
      <c r="REK24" s="68"/>
      <c r="REL24" s="68"/>
      <c r="REM24" s="68"/>
      <c r="REN24" s="68"/>
      <c r="REO24" s="68"/>
      <c r="REP24" s="68"/>
      <c r="REQ24" s="68"/>
      <c r="RER24" s="68"/>
      <c r="RES24" s="68"/>
      <c r="RET24" s="68"/>
      <c r="REU24" s="68"/>
      <c r="REV24" s="68"/>
      <c r="REW24" s="68"/>
      <c r="REX24" s="68"/>
      <c r="REY24" s="68"/>
      <c r="REZ24" s="68"/>
      <c r="RFA24" s="68"/>
      <c r="RFB24" s="68"/>
      <c r="RFC24" s="68"/>
      <c r="RFD24" s="68"/>
      <c r="RFE24" s="68"/>
      <c r="RFF24" s="68"/>
      <c r="RFG24" s="68"/>
      <c r="RFH24" s="68"/>
      <c r="RFI24" s="68"/>
      <c r="RFJ24" s="68"/>
      <c r="RFK24" s="68"/>
      <c r="RFL24" s="68"/>
      <c r="RFM24" s="68"/>
      <c r="RFN24" s="68"/>
      <c r="RFO24" s="68"/>
      <c r="RFP24" s="68"/>
      <c r="RFQ24" s="68"/>
      <c r="RFR24" s="68"/>
      <c r="RFS24" s="68"/>
      <c r="RFT24" s="68"/>
      <c r="RFU24" s="68"/>
      <c r="RFV24" s="68"/>
      <c r="RFW24" s="68"/>
      <c r="RFX24" s="68"/>
      <c r="RFY24" s="68"/>
      <c r="RFZ24" s="68"/>
      <c r="RGA24" s="68"/>
      <c r="RGB24" s="68"/>
      <c r="RGC24" s="68"/>
      <c r="RGD24" s="68"/>
      <c r="RGE24" s="68"/>
      <c r="RGF24" s="68"/>
      <c r="RGG24" s="68"/>
      <c r="RGH24" s="68"/>
      <c r="RGI24" s="68"/>
      <c r="RGJ24" s="68"/>
      <c r="RGK24" s="68"/>
      <c r="RGL24" s="68"/>
      <c r="RGM24" s="68"/>
      <c r="RGN24" s="68"/>
      <c r="RGO24" s="68"/>
      <c r="RGP24" s="68"/>
      <c r="RGQ24" s="68"/>
      <c r="RGR24" s="68"/>
      <c r="RGS24" s="68"/>
      <c r="RGT24" s="68"/>
      <c r="RGU24" s="68"/>
      <c r="RGV24" s="68"/>
      <c r="RGW24" s="68"/>
      <c r="RGX24" s="68"/>
      <c r="RGY24" s="68"/>
      <c r="RGZ24" s="68"/>
      <c r="RHA24" s="68"/>
      <c r="RHB24" s="68"/>
      <c r="RHC24" s="68"/>
      <c r="RHD24" s="68"/>
      <c r="RHE24" s="68"/>
      <c r="RHF24" s="68"/>
      <c r="RHG24" s="68"/>
      <c r="RHH24" s="68"/>
      <c r="RHI24" s="68"/>
      <c r="RHJ24" s="68"/>
      <c r="RHK24" s="68"/>
      <c r="RHL24" s="68"/>
      <c r="RHM24" s="68"/>
      <c r="RHN24" s="68"/>
      <c r="RHO24" s="68"/>
      <c r="RHP24" s="68"/>
      <c r="RHQ24" s="68"/>
      <c r="RHR24" s="68"/>
      <c r="RHS24" s="68"/>
      <c r="RHT24" s="68"/>
      <c r="RHU24" s="68"/>
      <c r="RHV24" s="68"/>
      <c r="RHW24" s="68"/>
      <c r="RHX24" s="68"/>
      <c r="RHY24" s="68"/>
      <c r="RHZ24" s="68"/>
      <c r="RIA24" s="68"/>
      <c r="RIB24" s="68"/>
      <c r="RIC24" s="68"/>
      <c r="RID24" s="68"/>
      <c r="RIE24" s="68"/>
      <c r="RIF24" s="68"/>
      <c r="RIG24" s="68"/>
      <c r="RIH24" s="68"/>
      <c r="RII24" s="68"/>
      <c r="RIJ24" s="68"/>
      <c r="RIK24" s="68"/>
      <c r="RIL24" s="68"/>
      <c r="RIM24" s="68"/>
      <c r="RIN24" s="68"/>
      <c r="RIO24" s="68"/>
      <c r="RIP24" s="68"/>
      <c r="RIQ24" s="68"/>
      <c r="RIR24" s="68"/>
      <c r="RIS24" s="68"/>
      <c r="RIT24" s="68"/>
      <c r="RIU24" s="68"/>
      <c r="RIV24" s="68"/>
      <c r="RIW24" s="68"/>
      <c r="RIX24" s="68"/>
      <c r="RIY24" s="68"/>
      <c r="RIZ24" s="68"/>
      <c r="RJA24" s="68"/>
      <c r="RJB24" s="68"/>
      <c r="RJC24" s="68"/>
      <c r="RJD24" s="68"/>
      <c r="RJE24" s="68"/>
      <c r="RJF24" s="68"/>
      <c r="RJG24" s="68"/>
      <c r="RJH24" s="68"/>
      <c r="RJI24" s="68"/>
      <c r="RJJ24" s="68"/>
      <c r="RJK24" s="68"/>
      <c r="RJL24" s="68"/>
      <c r="RJM24" s="68"/>
      <c r="RJN24" s="68"/>
      <c r="RJO24" s="68"/>
      <c r="RJP24" s="68"/>
      <c r="RJQ24" s="68"/>
      <c r="RJR24" s="68"/>
      <c r="RJS24" s="68"/>
      <c r="RJT24" s="68"/>
      <c r="RJU24" s="68"/>
      <c r="RJV24" s="68"/>
      <c r="RJW24" s="68"/>
      <c r="RJX24" s="68"/>
      <c r="RJY24" s="68"/>
      <c r="RJZ24" s="68"/>
      <c r="RKA24" s="68"/>
      <c r="RKB24" s="68"/>
      <c r="RKC24" s="68"/>
      <c r="RKD24" s="68"/>
      <c r="RKE24" s="68"/>
      <c r="RKF24" s="68"/>
      <c r="RKG24" s="68"/>
      <c r="RKH24" s="68"/>
      <c r="RKI24" s="68"/>
      <c r="RKJ24" s="68"/>
      <c r="RKK24" s="68"/>
      <c r="RKL24" s="68"/>
      <c r="RKM24" s="68"/>
      <c r="RKN24" s="68"/>
      <c r="RKO24" s="68"/>
      <c r="RKP24" s="68"/>
      <c r="RKQ24" s="68"/>
      <c r="RKR24" s="68"/>
      <c r="RKS24" s="68"/>
      <c r="RKT24" s="68"/>
      <c r="RKU24" s="68"/>
      <c r="RKV24" s="68"/>
      <c r="RKW24" s="68"/>
      <c r="RKX24" s="68"/>
      <c r="RKY24" s="68"/>
      <c r="RKZ24" s="68"/>
      <c r="RLA24" s="68"/>
      <c r="RLB24" s="68"/>
      <c r="RLC24" s="68"/>
      <c r="RLD24" s="68"/>
      <c r="RLE24" s="68"/>
      <c r="RLF24" s="68"/>
      <c r="RLG24" s="68"/>
      <c r="RLH24" s="68"/>
      <c r="RLI24" s="68"/>
      <c r="RLJ24" s="68"/>
      <c r="RLK24" s="68"/>
      <c r="RLL24" s="68"/>
      <c r="RLM24" s="68"/>
      <c r="RLN24" s="68"/>
      <c r="RLO24" s="68"/>
      <c r="RLP24" s="68"/>
      <c r="RLQ24" s="68"/>
      <c r="RLR24" s="68"/>
      <c r="RLS24" s="68"/>
      <c r="RLT24" s="68"/>
      <c r="RLU24" s="68"/>
      <c r="RLV24" s="68"/>
      <c r="RLW24" s="68"/>
      <c r="RLX24" s="68"/>
      <c r="RLY24" s="68"/>
      <c r="RLZ24" s="68"/>
      <c r="RMA24" s="68"/>
      <c r="RMB24" s="68"/>
      <c r="RMC24" s="68"/>
      <c r="RMD24" s="68"/>
      <c r="RME24" s="68"/>
      <c r="RMF24" s="68"/>
      <c r="RMG24" s="68"/>
      <c r="RMH24" s="68"/>
      <c r="RMI24" s="68"/>
      <c r="RMJ24" s="68"/>
      <c r="RMK24" s="68"/>
      <c r="RML24" s="68"/>
      <c r="RMM24" s="68"/>
      <c r="RMN24" s="68"/>
      <c r="RMO24" s="68"/>
      <c r="RMP24" s="68"/>
      <c r="RMQ24" s="68"/>
      <c r="RMR24" s="68"/>
      <c r="RMS24" s="68"/>
      <c r="RMT24" s="68"/>
      <c r="RMU24" s="68"/>
      <c r="RMV24" s="68"/>
      <c r="RMW24" s="68"/>
      <c r="RMX24" s="68"/>
      <c r="RMY24" s="68"/>
      <c r="RMZ24" s="68"/>
      <c r="RNA24" s="68"/>
      <c r="RNB24" s="68"/>
      <c r="RNC24" s="68"/>
      <c r="RND24" s="68"/>
      <c r="RNE24" s="68"/>
      <c r="RNF24" s="68"/>
      <c r="RNG24" s="68"/>
      <c r="RNH24" s="68"/>
      <c r="RNI24" s="68"/>
      <c r="RNJ24" s="68"/>
      <c r="RNK24" s="68"/>
      <c r="RNL24" s="68"/>
      <c r="RNM24" s="68"/>
      <c r="RNN24" s="68"/>
      <c r="RNO24" s="68"/>
      <c r="RNP24" s="68"/>
      <c r="RNQ24" s="68"/>
      <c r="RNR24" s="68"/>
      <c r="RNS24" s="68"/>
      <c r="RNT24" s="68"/>
      <c r="RNU24" s="68"/>
      <c r="RNV24" s="68"/>
      <c r="RNW24" s="68"/>
      <c r="RNX24" s="68"/>
      <c r="RNY24" s="68"/>
      <c r="RNZ24" s="68"/>
      <c r="ROA24" s="68"/>
      <c r="ROB24" s="68"/>
      <c r="ROC24" s="68"/>
      <c r="ROD24" s="68"/>
      <c r="ROE24" s="68"/>
      <c r="ROF24" s="68"/>
      <c r="ROG24" s="68"/>
      <c r="ROH24" s="68"/>
      <c r="ROI24" s="68"/>
      <c r="ROJ24" s="68"/>
      <c r="ROK24" s="68"/>
      <c r="ROL24" s="68"/>
      <c r="ROM24" s="68"/>
      <c r="RON24" s="68"/>
      <c r="ROO24" s="68"/>
      <c r="ROP24" s="68"/>
      <c r="ROQ24" s="68"/>
      <c r="ROR24" s="68"/>
      <c r="ROS24" s="68"/>
      <c r="ROT24" s="68"/>
      <c r="ROU24" s="68"/>
      <c r="ROV24" s="68"/>
      <c r="ROW24" s="68"/>
      <c r="ROX24" s="68"/>
      <c r="ROY24" s="68"/>
      <c r="ROZ24" s="68"/>
      <c r="RPA24" s="68"/>
      <c r="RPB24" s="68"/>
      <c r="RPC24" s="68"/>
      <c r="RPD24" s="68"/>
      <c r="RPE24" s="68"/>
      <c r="RPF24" s="68"/>
      <c r="RPG24" s="68"/>
      <c r="RPH24" s="68"/>
      <c r="RPI24" s="68"/>
      <c r="RPJ24" s="68"/>
      <c r="RPK24" s="68"/>
      <c r="RPL24" s="68"/>
      <c r="RPM24" s="68"/>
      <c r="RPN24" s="68"/>
      <c r="RPO24" s="68"/>
      <c r="RPP24" s="68"/>
      <c r="RPQ24" s="68"/>
      <c r="RPR24" s="68"/>
      <c r="RPS24" s="68"/>
      <c r="RPT24" s="68"/>
      <c r="RPU24" s="68"/>
      <c r="RPV24" s="68"/>
      <c r="RPW24" s="68"/>
      <c r="RPX24" s="68"/>
      <c r="RPY24" s="68"/>
      <c r="RPZ24" s="68"/>
      <c r="RQA24" s="68"/>
      <c r="RQB24" s="68"/>
      <c r="RQC24" s="68"/>
      <c r="RQD24" s="68"/>
      <c r="RQE24" s="68"/>
      <c r="RQF24" s="68"/>
      <c r="RQG24" s="68"/>
      <c r="RQH24" s="68"/>
      <c r="RQI24" s="68"/>
      <c r="RQJ24" s="68"/>
      <c r="RQK24" s="68"/>
      <c r="RQL24" s="68"/>
      <c r="RQM24" s="68"/>
      <c r="RQN24" s="68"/>
      <c r="RQO24" s="68"/>
      <c r="RQP24" s="68"/>
      <c r="RQQ24" s="68"/>
      <c r="RQR24" s="68"/>
      <c r="RQS24" s="68"/>
      <c r="RQT24" s="68"/>
      <c r="RQU24" s="68"/>
      <c r="RQV24" s="68"/>
      <c r="RQW24" s="68"/>
      <c r="RQX24" s="68"/>
      <c r="RQY24" s="68"/>
      <c r="RQZ24" s="68"/>
      <c r="RRA24" s="68"/>
      <c r="RRB24" s="68"/>
      <c r="RRC24" s="68"/>
      <c r="RRD24" s="68"/>
      <c r="RRE24" s="68"/>
      <c r="RRF24" s="68"/>
      <c r="RRG24" s="68"/>
      <c r="RRH24" s="68"/>
      <c r="RRI24" s="68"/>
      <c r="RRJ24" s="68"/>
      <c r="RRK24" s="68"/>
      <c r="RRL24" s="68"/>
      <c r="RRM24" s="68"/>
      <c r="RRN24" s="68"/>
      <c r="RRO24" s="68"/>
      <c r="RRP24" s="68"/>
      <c r="RRQ24" s="68"/>
      <c r="RRR24" s="68"/>
      <c r="RRS24" s="68"/>
      <c r="RRT24" s="68"/>
      <c r="RRU24" s="68"/>
      <c r="RRV24" s="68"/>
      <c r="RRW24" s="68"/>
      <c r="RRX24" s="68"/>
      <c r="RRY24" s="68"/>
      <c r="RRZ24" s="68"/>
      <c r="RSA24" s="68"/>
      <c r="RSB24" s="68"/>
      <c r="RSC24" s="68"/>
      <c r="RSD24" s="68"/>
      <c r="RSE24" s="68"/>
      <c r="RSF24" s="68"/>
      <c r="RSG24" s="68"/>
      <c r="RSH24" s="68"/>
      <c r="RSI24" s="68"/>
      <c r="RSJ24" s="68"/>
      <c r="RSK24" s="68"/>
      <c r="RSL24" s="68"/>
      <c r="RSM24" s="68"/>
      <c r="RSN24" s="68"/>
      <c r="RSO24" s="68"/>
      <c r="RSP24" s="68"/>
      <c r="RSQ24" s="68"/>
      <c r="RSR24" s="68"/>
      <c r="RSS24" s="68"/>
      <c r="RST24" s="68"/>
      <c r="RSU24" s="68"/>
      <c r="RSV24" s="68"/>
      <c r="RSW24" s="68"/>
      <c r="RSX24" s="68"/>
      <c r="RSY24" s="68"/>
      <c r="RSZ24" s="68"/>
      <c r="RTA24" s="68"/>
      <c r="RTB24" s="68"/>
      <c r="RTC24" s="68"/>
      <c r="RTD24" s="68"/>
      <c r="RTE24" s="68"/>
      <c r="RTF24" s="68"/>
      <c r="RTG24" s="68"/>
      <c r="RTH24" s="68"/>
      <c r="RTI24" s="68"/>
      <c r="RTJ24" s="68"/>
      <c r="RTK24" s="68"/>
      <c r="RTL24" s="68"/>
      <c r="RTM24" s="68"/>
      <c r="RTN24" s="68"/>
      <c r="RTO24" s="68"/>
      <c r="RTP24" s="68"/>
      <c r="RTQ24" s="68"/>
      <c r="RTR24" s="68"/>
      <c r="RTS24" s="68"/>
      <c r="RTT24" s="68"/>
      <c r="RTU24" s="68"/>
      <c r="RTV24" s="68"/>
      <c r="RTW24" s="68"/>
      <c r="RTX24" s="68"/>
      <c r="RTY24" s="68"/>
      <c r="RTZ24" s="68"/>
      <c r="RUA24" s="68"/>
      <c r="RUB24" s="68"/>
      <c r="RUC24" s="68"/>
      <c r="RUD24" s="68"/>
      <c r="RUE24" s="68"/>
      <c r="RUF24" s="68"/>
      <c r="RUG24" s="68"/>
      <c r="RUH24" s="68"/>
      <c r="RUI24" s="68"/>
      <c r="RUJ24" s="68"/>
      <c r="RUK24" s="68"/>
      <c r="RUL24" s="68"/>
      <c r="RUM24" s="68"/>
      <c r="RUN24" s="68"/>
      <c r="RUO24" s="68"/>
      <c r="RUP24" s="68"/>
      <c r="RUQ24" s="68"/>
      <c r="RUR24" s="68"/>
      <c r="RUS24" s="68"/>
      <c r="RUT24" s="68"/>
      <c r="RUU24" s="68"/>
      <c r="RUV24" s="68"/>
      <c r="RUW24" s="68"/>
      <c r="RUX24" s="68"/>
      <c r="RUY24" s="68"/>
      <c r="RUZ24" s="68"/>
      <c r="RVA24" s="68"/>
      <c r="RVB24" s="68"/>
      <c r="RVC24" s="68"/>
      <c r="RVD24" s="68"/>
      <c r="RVE24" s="68"/>
      <c r="RVF24" s="68"/>
      <c r="RVG24" s="68"/>
      <c r="RVH24" s="68"/>
      <c r="RVI24" s="68"/>
      <c r="RVJ24" s="68"/>
      <c r="RVK24" s="68"/>
      <c r="RVL24" s="68"/>
      <c r="RVM24" s="68"/>
      <c r="RVN24" s="68"/>
      <c r="RVO24" s="68"/>
      <c r="RVP24" s="68"/>
      <c r="RVQ24" s="68"/>
      <c r="RVR24" s="68"/>
      <c r="RVS24" s="68"/>
      <c r="RVT24" s="68"/>
      <c r="RVU24" s="68"/>
      <c r="RVV24" s="68"/>
      <c r="RVW24" s="68"/>
      <c r="RVX24" s="68"/>
      <c r="RVY24" s="68"/>
      <c r="RVZ24" s="68"/>
      <c r="RWA24" s="68"/>
      <c r="RWB24" s="68"/>
      <c r="RWC24" s="68"/>
      <c r="RWD24" s="68"/>
      <c r="RWE24" s="68"/>
      <c r="RWF24" s="68"/>
      <c r="RWG24" s="68"/>
      <c r="RWH24" s="68"/>
      <c r="RWI24" s="68"/>
      <c r="RWJ24" s="68"/>
      <c r="RWK24" s="68"/>
      <c r="RWL24" s="68"/>
      <c r="RWM24" s="68"/>
      <c r="RWN24" s="68"/>
      <c r="RWO24" s="68"/>
      <c r="RWP24" s="68"/>
      <c r="RWQ24" s="68"/>
      <c r="RWR24" s="68"/>
      <c r="RWS24" s="68"/>
      <c r="RWT24" s="68"/>
      <c r="RWU24" s="68"/>
      <c r="RWV24" s="68"/>
      <c r="RWW24" s="68"/>
      <c r="RWX24" s="68"/>
      <c r="RWY24" s="68"/>
      <c r="RWZ24" s="68"/>
      <c r="RXA24" s="68"/>
      <c r="RXB24" s="68"/>
      <c r="RXC24" s="68"/>
      <c r="RXD24" s="68"/>
      <c r="RXE24" s="68"/>
      <c r="RXF24" s="68"/>
      <c r="RXG24" s="68"/>
      <c r="RXH24" s="68"/>
      <c r="RXI24" s="68"/>
      <c r="RXJ24" s="68"/>
      <c r="RXK24" s="68"/>
      <c r="RXL24" s="68"/>
      <c r="RXM24" s="68"/>
      <c r="RXN24" s="68"/>
      <c r="RXO24" s="68"/>
      <c r="RXP24" s="68"/>
      <c r="RXQ24" s="68"/>
      <c r="RXR24" s="68"/>
      <c r="RXS24" s="68"/>
      <c r="RXT24" s="68"/>
      <c r="RXU24" s="68"/>
      <c r="RXV24" s="68"/>
      <c r="RXW24" s="68"/>
      <c r="RXX24" s="68"/>
      <c r="RXY24" s="68"/>
      <c r="RXZ24" s="68"/>
      <c r="RYA24" s="68"/>
      <c r="RYB24" s="68"/>
      <c r="RYC24" s="68"/>
      <c r="RYD24" s="68"/>
      <c r="RYE24" s="68"/>
      <c r="RYF24" s="68"/>
      <c r="RYG24" s="68"/>
      <c r="RYH24" s="68"/>
      <c r="RYI24" s="68"/>
      <c r="RYJ24" s="68"/>
      <c r="RYK24" s="68"/>
      <c r="RYL24" s="68"/>
      <c r="RYM24" s="68"/>
      <c r="RYN24" s="68"/>
      <c r="RYO24" s="68"/>
      <c r="RYP24" s="68"/>
      <c r="RYQ24" s="68"/>
      <c r="RYR24" s="68"/>
      <c r="RYS24" s="68"/>
      <c r="RYT24" s="68"/>
      <c r="RYU24" s="68"/>
      <c r="RYV24" s="68"/>
      <c r="RYW24" s="68"/>
      <c r="RYX24" s="68"/>
      <c r="RYY24" s="68"/>
      <c r="RYZ24" s="68"/>
      <c r="RZA24" s="68"/>
      <c r="RZB24" s="68"/>
      <c r="RZC24" s="68"/>
      <c r="RZD24" s="68"/>
      <c r="RZE24" s="68"/>
      <c r="RZF24" s="68"/>
      <c r="RZG24" s="68"/>
      <c r="RZH24" s="68"/>
      <c r="RZI24" s="68"/>
      <c r="RZJ24" s="68"/>
      <c r="RZK24" s="68"/>
      <c r="RZL24" s="68"/>
      <c r="RZM24" s="68"/>
      <c r="RZN24" s="68"/>
      <c r="RZO24" s="68"/>
      <c r="RZP24" s="68"/>
      <c r="RZQ24" s="68"/>
      <c r="RZR24" s="68"/>
      <c r="RZS24" s="68"/>
      <c r="RZT24" s="68"/>
      <c r="RZU24" s="68"/>
      <c r="RZV24" s="68"/>
      <c r="RZW24" s="68"/>
      <c r="RZX24" s="68"/>
      <c r="RZY24" s="68"/>
      <c r="RZZ24" s="68"/>
      <c r="SAA24" s="68"/>
      <c r="SAB24" s="68"/>
      <c r="SAC24" s="68"/>
      <c r="SAD24" s="68"/>
      <c r="SAE24" s="68"/>
      <c r="SAF24" s="68"/>
      <c r="SAG24" s="68"/>
      <c r="SAH24" s="68"/>
      <c r="SAI24" s="68"/>
      <c r="SAJ24" s="68"/>
      <c r="SAK24" s="68"/>
      <c r="SAL24" s="68"/>
      <c r="SAM24" s="68"/>
      <c r="SAN24" s="68"/>
      <c r="SAO24" s="68"/>
      <c r="SAP24" s="68"/>
      <c r="SAQ24" s="68"/>
      <c r="SAR24" s="68"/>
      <c r="SAS24" s="68"/>
      <c r="SAT24" s="68"/>
      <c r="SAU24" s="68"/>
      <c r="SAV24" s="68"/>
      <c r="SAW24" s="68"/>
      <c r="SAX24" s="68"/>
      <c r="SAY24" s="68"/>
      <c r="SAZ24" s="68"/>
      <c r="SBA24" s="68"/>
      <c r="SBB24" s="68"/>
      <c r="SBC24" s="68"/>
      <c r="SBD24" s="68"/>
      <c r="SBE24" s="68"/>
      <c r="SBF24" s="68"/>
      <c r="SBG24" s="68"/>
      <c r="SBH24" s="68"/>
      <c r="SBI24" s="68"/>
      <c r="SBJ24" s="68"/>
      <c r="SBK24" s="68"/>
      <c r="SBL24" s="68"/>
      <c r="SBM24" s="68"/>
      <c r="SBN24" s="68"/>
      <c r="SBO24" s="68"/>
      <c r="SBP24" s="68"/>
      <c r="SBQ24" s="68"/>
      <c r="SBR24" s="68"/>
      <c r="SBS24" s="68"/>
      <c r="SBT24" s="68"/>
      <c r="SBU24" s="68"/>
      <c r="SBV24" s="68"/>
      <c r="SBW24" s="68"/>
      <c r="SBX24" s="68"/>
      <c r="SBY24" s="68"/>
      <c r="SBZ24" s="68"/>
      <c r="SCA24" s="68"/>
      <c r="SCB24" s="68"/>
      <c r="SCC24" s="68"/>
      <c r="SCD24" s="68"/>
      <c r="SCE24" s="68"/>
      <c r="SCF24" s="68"/>
      <c r="SCG24" s="68"/>
      <c r="SCH24" s="68"/>
      <c r="SCI24" s="68"/>
      <c r="SCJ24" s="68"/>
      <c r="SCK24" s="68"/>
      <c r="SCL24" s="68"/>
      <c r="SCM24" s="68"/>
      <c r="SCN24" s="68"/>
      <c r="SCO24" s="68"/>
      <c r="SCP24" s="68"/>
      <c r="SCQ24" s="68"/>
      <c r="SCR24" s="68"/>
      <c r="SCS24" s="68"/>
      <c r="SCT24" s="68"/>
      <c r="SCU24" s="68"/>
      <c r="SCV24" s="68"/>
      <c r="SCW24" s="68"/>
      <c r="SCX24" s="68"/>
      <c r="SCY24" s="68"/>
      <c r="SCZ24" s="68"/>
      <c r="SDA24" s="68"/>
      <c r="SDB24" s="68"/>
      <c r="SDC24" s="68"/>
      <c r="SDD24" s="68"/>
      <c r="SDE24" s="68"/>
      <c r="SDF24" s="68"/>
      <c r="SDG24" s="68"/>
      <c r="SDH24" s="68"/>
      <c r="SDI24" s="68"/>
      <c r="SDJ24" s="68"/>
      <c r="SDK24" s="68"/>
      <c r="SDL24" s="68"/>
      <c r="SDM24" s="68"/>
      <c r="SDN24" s="68"/>
      <c r="SDO24" s="68"/>
      <c r="SDP24" s="68"/>
      <c r="SDQ24" s="68"/>
      <c r="SDR24" s="68"/>
      <c r="SDS24" s="68"/>
      <c r="SDT24" s="68"/>
      <c r="SDU24" s="68"/>
      <c r="SDV24" s="68"/>
      <c r="SDW24" s="68"/>
      <c r="SDX24" s="68"/>
      <c r="SDY24" s="68"/>
      <c r="SDZ24" s="68"/>
      <c r="SEA24" s="68"/>
      <c r="SEB24" s="68"/>
      <c r="SEC24" s="68"/>
      <c r="SED24" s="68"/>
      <c r="SEE24" s="68"/>
      <c r="SEF24" s="68"/>
      <c r="SEG24" s="68"/>
      <c r="SEH24" s="68"/>
      <c r="SEI24" s="68"/>
      <c r="SEJ24" s="68"/>
      <c r="SEK24" s="68"/>
      <c r="SEL24" s="68"/>
      <c r="SEM24" s="68"/>
      <c r="SEN24" s="68"/>
      <c r="SEO24" s="68"/>
      <c r="SEP24" s="68"/>
      <c r="SEQ24" s="68"/>
      <c r="SER24" s="68"/>
      <c r="SES24" s="68"/>
      <c r="SET24" s="68"/>
      <c r="SEU24" s="68"/>
      <c r="SEV24" s="68"/>
      <c r="SEW24" s="68"/>
      <c r="SEX24" s="68"/>
      <c r="SEY24" s="68"/>
      <c r="SEZ24" s="68"/>
      <c r="SFA24" s="68"/>
      <c r="SFB24" s="68"/>
      <c r="SFC24" s="68"/>
      <c r="SFD24" s="68"/>
      <c r="SFE24" s="68"/>
      <c r="SFF24" s="68"/>
      <c r="SFG24" s="68"/>
      <c r="SFH24" s="68"/>
      <c r="SFI24" s="68"/>
      <c r="SFJ24" s="68"/>
      <c r="SFK24" s="68"/>
      <c r="SFL24" s="68"/>
      <c r="SFM24" s="68"/>
      <c r="SFN24" s="68"/>
      <c r="SFO24" s="68"/>
      <c r="SFP24" s="68"/>
      <c r="SFQ24" s="68"/>
      <c r="SFR24" s="68"/>
      <c r="SFS24" s="68"/>
      <c r="SFT24" s="68"/>
      <c r="SFU24" s="68"/>
      <c r="SFV24" s="68"/>
      <c r="SFW24" s="68"/>
      <c r="SFX24" s="68"/>
      <c r="SFY24" s="68"/>
      <c r="SFZ24" s="68"/>
      <c r="SGA24" s="68"/>
      <c r="SGB24" s="68"/>
      <c r="SGC24" s="68"/>
      <c r="SGD24" s="68"/>
      <c r="SGE24" s="68"/>
      <c r="SGF24" s="68"/>
      <c r="SGG24" s="68"/>
      <c r="SGH24" s="68"/>
      <c r="SGI24" s="68"/>
      <c r="SGJ24" s="68"/>
      <c r="SGK24" s="68"/>
      <c r="SGL24" s="68"/>
      <c r="SGM24" s="68"/>
      <c r="SGN24" s="68"/>
      <c r="SGO24" s="68"/>
      <c r="SGP24" s="68"/>
      <c r="SGQ24" s="68"/>
      <c r="SGR24" s="68"/>
      <c r="SGS24" s="68"/>
      <c r="SGT24" s="68"/>
      <c r="SGU24" s="68"/>
      <c r="SGV24" s="68"/>
      <c r="SGW24" s="68"/>
      <c r="SGX24" s="68"/>
      <c r="SGY24" s="68"/>
      <c r="SGZ24" s="68"/>
      <c r="SHA24" s="68"/>
      <c r="SHB24" s="68"/>
      <c r="SHC24" s="68"/>
      <c r="SHD24" s="68"/>
      <c r="SHE24" s="68"/>
      <c r="SHF24" s="68"/>
      <c r="SHG24" s="68"/>
      <c r="SHH24" s="68"/>
      <c r="SHI24" s="68"/>
      <c r="SHJ24" s="68"/>
      <c r="SHK24" s="68"/>
      <c r="SHL24" s="68"/>
      <c r="SHM24" s="68"/>
      <c r="SHN24" s="68"/>
      <c r="SHO24" s="68"/>
      <c r="SHP24" s="68"/>
      <c r="SHQ24" s="68"/>
      <c r="SHR24" s="68"/>
      <c r="SHS24" s="68"/>
      <c r="SHT24" s="68"/>
      <c r="SHU24" s="68"/>
      <c r="SHV24" s="68"/>
      <c r="SHW24" s="68"/>
      <c r="SHX24" s="68"/>
      <c r="SHY24" s="68"/>
      <c r="SHZ24" s="68"/>
      <c r="SIA24" s="68"/>
      <c r="SIB24" s="68"/>
      <c r="SIC24" s="68"/>
      <c r="SID24" s="68"/>
      <c r="SIE24" s="68"/>
      <c r="SIF24" s="68"/>
      <c r="SIG24" s="68"/>
      <c r="SIH24" s="68"/>
      <c r="SII24" s="68"/>
      <c r="SIJ24" s="68"/>
      <c r="SIK24" s="68"/>
      <c r="SIL24" s="68"/>
      <c r="SIM24" s="68"/>
      <c r="SIN24" s="68"/>
      <c r="SIO24" s="68"/>
      <c r="SIP24" s="68"/>
      <c r="SIQ24" s="68"/>
      <c r="SIR24" s="68"/>
      <c r="SIS24" s="68"/>
      <c r="SIT24" s="68"/>
      <c r="SIU24" s="68"/>
      <c r="SIV24" s="68"/>
      <c r="SIW24" s="68"/>
      <c r="SIX24" s="68"/>
      <c r="SIY24" s="68"/>
      <c r="SIZ24" s="68"/>
      <c r="SJA24" s="68"/>
      <c r="SJB24" s="68"/>
      <c r="SJC24" s="68"/>
      <c r="SJD24" s="68"/>
      <c r="SJE24" s="68"/>
      <c r="SJF24" s="68"/>
      <c r="SJG24" s="68"/>
      <c r="SJH24" s="68"/>
      <c r="SJI24" s="68"/>
      <c r="SJJ24" s="68"/>
      <c r="SJK24" s="68"/>
      <c r="SJL24" s="68"/>
      <c r="SJM24" s="68"/>
      <c r="SJN24" s="68"/>
      <c r="SJO24" s="68"/>
      <c r="SJP24" s="68"/>
      <c r="SJQ24" s="68"/>
      <c r="SJR24" s="68"/>
      <c r="SJS24" s="68"/>
      <c r="SJT24" s="68"/>
      <c r="SJU24" s="68"/>
      <c r="SJV24" s="68"/>
      <c r="SJW24" s="68"/>
      <c r="SJX24" s="68"/>
      <c r="SJY24" s="68"/>
      <c r="SJZ24" s="68"/>
      <c r="SKA24" s="68"/>
      <c r="SKB24" s="68"/>
      <c r="SKC24" s="68"/>
      <c r="SKD24" s="68"/>
      <c r="SKE24" s="68"/>
      <c r="SKF24" s="68"/>
      <c r="SKG24" s="68"/>
      <c r="SKH24" s="68"/>
      <c r="SKI24" s="68"/>
      <c r="SKJ24" s="68"/>
      <c r="SKK24" s="68"/>
      <c r="SKL24" s="68"/>
      <c r="SKM24" s="68"/>
      <c r="SKN24" s="68"/>
      <c r="SKO24" s="68"/>
      <c r="SKP24" s="68"/>
      <c r="SKQ24" s="68"/>
      <c r="SKR24" s="68"/>
      <c r="SKS24" s="68"/>
      <c r="SKT24" s="68"/>
      <c r="SKU24" s="68"/>
      <c r="SKV24" s="68"/>
      <c r="SKW24" s="68"/>
      <c r="SKX24" s="68"/>
      <c r="SKY24" s="68"/>
      <c r="SKZ24" s="68"/>
      <c r="SLA24" s="68"/>
      <c r="SLB24" s="68"/>
      <c r="SLC24" s="68"/>
      <c r="SLD24" s="68"/>
      <c r="SLE24" s="68"/>
      <c r="SLF24" s="68"/>
      <c r="SLG24" s="68"/>
      <c r="SLH24" s="68"/>
      <c r="SLI24" s="68"/>
      <c r="SLJ24" s="68"/>
      <c r="SLK24" s="68"/>
      <c r="SLL24" s="68"/>
      <c r="SLM24" s="68"/>
      <c r="SLN24" s="68"/>
      <c r="SLO24" s="68"/>
      <c r="SLP24" s="68"/>
      <c r="SLQ24" s="68"/>
      <c r="SLR24" s="68"/>
      <c r="SLS24" s="68"/>
      <c r="SLT24" s="68"/>
      <c r="SLU24" s="68"/>
      <c r="SLV24" s="68"/>
      <c r="SLW24" s="68"/>
      <c r="SLX24" s="68"/>
      <c r="SLY24" s="68"/>
      <c r="SLZ24" s="68"/>
      <c r="SMA24" s="68"/>
      <c r="SMB24" s="68"/>
      <c r="SMC24" s="68"/>
      <c r="SMD24" s="68"/>
      <c r="SME24" s="68"/>
      <c r="SMF24" s="68"/>
      <c r="SMG24" s="68"/>
      <c r="SMH24" s="68"/>
      <c r="SMI24" s="68"/>
      <c r="SMJ24" s="68"/>
      <c r="SMK24" s="68"/>
      <c r="SML24" s="68"/>
      <c r="SMM24" s="68"/>
      <c r="SMN24" s="68"/>
      <c r="SMO24" s="68"/>
      <c r="SMP24" s="68"/>
      <c r="SMQ24" s="68"/>
      <c r="SMR24" s="68"/>
      <c r="SMS24" s="68"/>
      <c r="SMT24" s="68"/>
      <c r="SMU24" s="68"/>
      <c r="SMV24" s="68"/>
      <c r="SMW24" s="68"/>
      <c r="SMX24" s="68"/>
      <c r="SMY24" s="68"/>
      <c r="SMZ24" s="68"/>
      <c r="SNA24" s="68"/>
      <c r="SNB24" s="68"/>
      <c r="SNC24" s="68"/>
      <c r="SND24" s="68"/>
      <c r="SNE24" s="68"/>
      <c r="SNF24" s="68"/>
      <c r="SNG24" s="68"/>
      <c r="SNH24" s="68"/>
      <c r="SNI24" s="68"/>
      <c r="SNJ24" s="68"/>
      <c r="SNK24" s="68"/>
      <c r="SNL24" s="68"/>
      <c r="SNM24" s="68"/>
      <c r="SNN24" s="68"/>
      <c r="SNO24" s="68"/>
      <c r="SNP24" s="68"/>
      <c r="SNQ24" s="68"/>
      <c r="SNR24" s="68"/>
      <c r="SNS24" s="68"/>
      <c r="SNT24" s="68"/>
      <c r="SNU24" s="68"/>
      <c r="SNV24" s="68"/>
      <c r="SNW24" s="68"/>
      <c r="SNX24" s="68"/>
      <c r="SNY24" s="68"/>
      <c r="SNZ24" s="68"/>
      <c r="SOA24" s="68"/>
      <c r="SOB24" s="68"/>
      <c r="SOC24" s="68"/>
      <c r="SOD24" s="68"/>
      <c r="SOE24" s="68"/>
      <c r="SOF24" s="68"/>
      <c r="SOG24" s="68"/>
      <c r="SOH24" s="68"/>
      <c r="SOI24" s="68"/>
      <c r="SOJ24" s="68"/>
      <c r="SOK24" s="68"/>
      <c r="SOL24" s="68"/>
      <c r="SOM24" s="68"/>
      <c r="SON24" s="68"/>
      <c r="SOO24" s="68"/>
      <c r="SOP24" s="68"/>
      <c r="SOQ24" s="68"/>
      <c r="SOR24" s="68"/>
      <c r="SOS24" s="68"/>
      <c r="SOT24" s="68"/>
      <c r="SOU24" s="68"/>
      <c r="SOV24" s="68"/>
      <c r="SOW24" s="68"/>
      <c r="SOX24" s="68"/>
      <c r="SOY24" s="68"/>
      <c r="SOZ24" s="68"/>
      <c r="SPA24" s="68"/>
      <c r="SPB24" s="68"/>
      <c r="SPC24" s="68"/>
      <c r="SPD24" s="68"/>
      <c r="SPE24" s="68"/>
      <c r="SPF24" s="68"/>
      <c r="SPG24" s="68"/>
      <c r="SPH24" s="68"/>
      <c r="SPI24" s="68"/>
      <c r="SPJ24" s="68"/>
      <c r="SPK24" s="68"/>
      <c r="SPL24" s="68"/>
      <c r="SPM24" s="68"/>
      <c r="SPN24" s="68"/>
      <c r="SPO24" s="68"/>
      <c r="SPP24" s="68"/>
      <c r="SPQ24" s="68"/>
      <c r="SPR24" s="68"/>
      <c r="SPS24" s="68"/>
      <c r="SPT24" s="68"/>
      <c r="SPU24" s="68"/>
      <c r="SPV24" s="68"/>
      <c r="SPW24" s="68"/>
      <c r="SPX24" s="68"/>
      <c r="SPY24" s="68"/>
      <c r="SPZ24" s="68"/>
      <c r="SQA24" s="68"/>
      <c r="SQB24" s="68"/>
      <c r="SQC24" s="68"/>
      <c r="SQD24" s="68"/>
      <c r="SQE24" s="68"/>
      <c r="SQF24" s="68"/>
      <c r="SQG24" s="68"/>
      <c r="SQH24" s="68"/>
      <c r="SQI24" s="68"/>
      <c r="SQJ24" s="68"/>
      <c r="SQK24" s="68"/>
      <c r="SQL24" s="68"/>
      <c r="SQM24" s="68"/>
      <c r="SQN24" s="68"/>
      <c r="SQO24" s="68"/>
      <c r="SQP24" s="68"/>
      <c r="SQQ24" s="68"/>
      <c r="SQR24" s="68"/>
      <c r="SQS24" s="68"/>
      <c r="SQT24" s="68"/>
      <c r="SQU24" s="68"/>
      <c r="SQV24" s="68"/>
      <c r="SQW24" s="68"/>
      <c r="SQX24" s="68"/>
      <c r="SQY24" s="68"/>
      <c r="SQZ24" s="68"/>
      <c r="SRA24" s="68"/>
      <c r="SRB24" s="68"/>
      <c r="SRC24" s="68"/>
      <c r="SRD24" s="68"/>
      <c r="SRE24" s="68"/>
      <c r="SRF24" s="68"/>
      <c r="SRG24" s="68"/>
      <c r="SRH24" s="68"/>
      <c r="SRI24" s="68"/>
      <c r="SRJ24" s="68"/>
      <c r="SRK24" s="68"/>
      <c r="SRL24" s="68"/>
      <c r="SRM24" s="68"/>
      <c r="SRN24" s="68"/>
      <c r="SRO24" s="68"/>
      <c r="SRP24" s="68"/>
      <c r="SRQ24" s="68"/>
      <c r="SRR24" s="68"/>
      <c r="SRS24" s="68"/>
      <c r="SRT24" s="68"/>
      <c r="SRU24" s="68"/>
      <c r="SRV24" s="68"/>
      <c r="SRW24" s="68"/>
      <c r="SRX24" s="68"/>
      <c r="SRY24" s="68"/>
      <c r="SRZ24" s="68"/>
      <c r="SSA24" s="68"/>
      <c r="SSB24" s="68"/>
      <c r="SSC24" s="68"/>
      <c r="SSD24" s="68"/>
      <c r="SSE24" s="68"/>
      <c r="SSF24" s="68"/>
      <c r="SSG24" s="68"/>
      <c r="SSH24" s="68"/>
      <c r="SSI24" s="68"/>
      <c r="SSJ24" s="68"/>
      <c r="SSK24" s="68"/>
      <c r="SSL24" s="68"/>
      <c r="SSM24" s="68"/>
      <c r="SSN24" s="68"/>
      <c r="SSO24" s="68"/>
      <c r="SSP24" s="68"/>
      <c r="SSQ24" s="68"/>
      <c r="SSR24" s="68"/>
      <c r="SSS24" s="68"/>
      <c r="SST24" s="68"/>
      <c r="SSU24" s="68"/>
      <c r="SSV24" s="68"/>
      <c r="SSW24" s="68"/>
      <c r="SSX24" s="68"/>
      <c r="SSY24" s="68"/>
      <c r="SSZ24" s="68"/>
      <c r="STA24" s="68"/>
      <c r="STB24" s="68"/>
      <c r="STC24" s="68"/>
      <c r="STD24" s="68"/>
      <c r="STE24" s="68"/>
      <c r="STF24" s="68"/>
      <c r="STG24" s="68"/>
      <c r="STH24" s="68"/>
      <c r="STI24" s="68"/>
      <c r="STJ24" s="68"/>
      <c r="STK24" s="68"/>
      <c r="STL24" s="68"/>
      <c r="STM24" s="68"/>
      <c r="STN24" s="68"/>
      <c r="STO24" s="68"/>
      <c r="STP24" s="68"/>
      <c r="STQ24" s="68"/>
      <c r="STR24" s="68"/>
      <c r="STS24" s="68"/>
      <c r="STT24" s="68"/>
      <c r="STU24" s="68"/>
      <c r="STV24" s="68"/>
      <c r="STW24" s="68"/>
      <c r="STX24" s="68"/>
      <c r="STY24" s="68"/>
      <c r="STZ24" s="68"/>
      <c r="SUA24" s="68"/>
      <c r="SUB24" s="68"/>
      <c r="SUC24" s="68"/>
      <c r="SUD24" s="68"/>
      <c r="SUE24" s="68"/>
      <c r="SUF24" s="68"/>
      <c r="SUG24" s="68"/>
      <c r="SUH24" s="68"/>
      <c r="SUI24" s="68"/>
      <c r="SUJ24" s="68"/>
      <c r="SUK24" s="68"/>
      <c r="SUL24" s="68"/>
      <c r="SUM24" s="68"/>
      <c r="SUN24" s="68"/>
      <c r="SUO24" s="68"/>
      <c r="SUP24" s="68"/>
      <c r="SUQ24" s="68"/>
      <c r="SUR24" s="68"/>
      <c r="SUS24" s="68"/>
      <c r="SUT24" s="68"/>
      <c r="SUU24" s="68"/>
      <c r="SUV24" s="68"/>
      <c r="SUW24" s="68"/>
      <c r="SUX24" s="68"/>
      <c r="SUY24" s="68"/>
      <c r="SUZ24" s="68"/>
      <c r="SVA24" s="68"/>
      <c r="SVB24" s="68"/>
      <c r="SVC24" s="68"/>
      <c r="SVD24" s="68"/>
      <c r="SVE24" s="68"/>
      <c r="SVF24" s="68"/>
      <c r="SVG24" s="68"/>
      <c r="SVH24" s="68"/>
      <c r="SVI24" s="68"/>
      <c r="SVJ24" s="68"/>
      <c r="SVK24" s="68"/>
      <c r="SVL24" s="68"/>
      <c r="SVM24" s="68"/>
      <c r="SVN24" s="68"/>
      <c r="SVO24" s="68"/>
      <c r="SVP24" s="68"/>
      <c r="SVQ24" s="68"/>
      <c r="SVR24" s="68"/>
      <c r="SVS24" s="68"/>
      <c r="SVT24" s="68"/>
      <c r="SVU24" s="68"/>
      <c r="SVV24" s="68"/>
      <c r="SVW24" s="68"/>
      <c r="SVX24" s="68"/>
      <c r="SVY24" s="68"/>
      <c r="SVZ24" s="68"/>
      <c r="SWA24" s="68"/>
      <c r="SWB24" s="68"/>
      <c r="SWC24" s="68"/>
      <c r="SWD24" s="68"/>
      <c r="SWE24" s="68"/>
      <c r="SWF24" s="68"/>
      <c r="SWG24" s="68"/>
      <c r="SWH24" s="68"/>
      <c r="SWI24" s="68"/>
      <c r="SWJ24" s="68"/>
      <c r="SWK24" s="68"/>
      <c r="SWL24" s="68"/>
      <c r="SWM24" s="68"/>
      <c r="SWN24" s="68"/>
      <c r="SWO24" s="68"/>
      <c r="SWP24" s="68"/>
      <c r="SWQ24" s="68"/>
      <c r="SWR24" s="68"/>
      <c r="SWS24" s="68"/>
      <c r="SWT24" s="68"/>
      <c r="SWU24" s="68"/>
      <c r="SWV24" s="68"/>
      <c r="SWW24" s="68"/>
      <c r="SWX24" s="68"/>
      <c r="SWY24" s="68"/>
      <c r="SWZ24" s="68"/>
      <c r="SXA24" s="68"/>
      <c r="SXB24" s="68"/>
      <c r="SXC24" s="68"/>
      <c r="SXD24" s="68"/>
      <c r="SXE24" s="68"/>
      <c r="SXF24" s="68"/>
      <c r="SXG24" s="68"/>
      <c r="SXH24" s="68"/>
      <c r="SXI24" s="68"/>
      <c r="SXJ24" s="68"/>
      <c r="SXK24" s="68"/>
      <c r="SXL24" s="68"/>
      <c r="SXM24" s="68"/>
      <c r="SXN24" s="68"/>
      <c r="SXO24" s="68"/>
      <c r="SXP24" s="68"/>
      <c r="SXQ24" s="68"/>
      <c r="SXR24" s="68"/>
      <c r="SXS24" s="68"/>
      <c r="SXT24" s="68"/>
      <c r="SXU24" s="68"/>
      <c r="SXV24" s="68"/>
      <c r="SXW24" s="68"/>
      <c r="SXX24" s="68"/>
      <c r="SXY24" s="68"/>
      <c r="SXZ24" s="68"/>
      <c r="SYA24" s="68"/>
      <c r="SYB24" s="68"/>
      <c r="SYC24" s="68"/>
      <c r="SYD24" s="68"/>
      <c r="SYE24" s="68"/>
      <c r="SYF24" s="68"/>
      <c r="SYG24" s="68"/>
      <c r="SYH24" s="68"/>
      <c r="SYI24" s="68"/>
      <c r="SYJ24" s="68"/>
      <c r="SYK24" s="68"/>
      <c r="SYL24" s="68"/>
      <c r="SYM24" s="68"/>
      <c r="SYN24" s="68"/>
      <c r="SYO24" s="68"/>
      <c r="SYP24" s="68"/>
      <c r="SYQ24" s="68"/>
      <c r="SYR24" s="68"/>
      <c r="SYS24" s="68"/>
      <c r="SYT24" s="68"/>
      <c r="SYU24" s="68"/>
      <c r="SYV24" s="68"/>
      <c r="SYW24" s="68"/>
      <c r="SYX24" s="68"/>
      <c r="SYY24" s="68"/>
      <c r="SYZ24" s="68"/>
      <c r="SZA24" s="68"/>
      <c r="SZB24" s="68"/>
      <c r="SZC24" s="68"/>
      <c r="SZD24" s="68"/>
      <c r="SZE24" s="68"/>
      <c r="SZF24" s="68"/>
      <c r="SZG24" s="68"/>
      <c r="SZH24" s="68"/>
      <c r="SZI24" s="68"/>
      <c r="SZJ24" s="68"/>
      <c r="SZK24" s="68"/>
      <c r="SZL24" s="68"/>
      <c r="SZM24" s="68"/>
      <c r="SZN24" s="68"/>
      <c r="SZO24" s="68"/>
      <c r="SZP24" s="68"/>
      <c r="SZQ24" s="68"/>
      <c r="SZR24" s="68"/>
      <c r="SZS24" s="68"/>
      <c r="SZT24" s="68"/>
      <c r="SZU24" s="68"/>
      <c r="SZV24" s="68"/>
      <c r="SZW24" s="68"/>
      <c r="SZX24" s="68"/>
      <c r="SZY24" s="68"/>
      <c r="SZZ24" s="68"/>
      <c r="TAA24" s="68"/>
      <c r="TAB24" s="68"/>
      <c r="TAC24" s="68"/>
      <c r="TAD24" s="68"/>
      <c r="TAE24" s="68"/>
      <c r="TAF24" s="68"/>
      <c r="TAG24" s="68"/>
      <c r="TAH24" s="68"/>
      <c r="TAI24" s="68"/>
      <c r="TAJ24" s="68"/>
      <c r="TAK24" s="68"/>
      <c r="TAL24" s="68"/>
      <c r="TAM24" s="68"/>
      <c r="TAN24" s="68"/>
      <c r="TAO24" s="68"/>
      <c r="TAP24" s="68"/>
      <c r="TAQ24" s="68"/>
      <c r="TAR24" s="68"/>
      <c r="TAS24" s="68"/>
      <c r="TAT24" s="68"/>
      <c r="TAU24" s="68"/>
      <c r="TAV24" s="68"/>
      <c r="TAW24" s="68"/>
      <c r="TAX24" s="68"/>
      <c r="TAY24" s="68"/>
      <c r="TAZ24" s="68"/>
      <c r="TBA24" s="68"/>
      <c r="TBB24" s="68"/>
      <c r="TBC24" s="68"/>
      <c r="TBD24" s="68"/>
      <c r="TBE24" s="68"/>
      <c r="TBF24" s="68"/>
      <c r="TBG24" s="68"/>
      <c r="TBH24" s="68"/>
      <c r="TBI24" s="68"/>
      <c r="TBJ24" s="68"/>
      <c r="TBK24" s="68"/>
      <c r="TBL24" s="68"/>
      <c r="TBM24" s="68"/>
      <c r="TBN24" s="68"/>
      <c r="TBO24" s="68"/>
      <c r="TBP24" s="68"/>
      <c r="TBQ24" s="68"/>
      <c r="TBR24" s="68"/>
      <c r="TBS24" s="68"/>
      <c r="TBT24" s="68"/>
      <c r="TBU24" s="68"/>
      <c r="TBV24" s="68"/>
      <c r="TBW24" s="68"/>
      <c r="TBX24" s="68"/>
      <c r="TBY24" s="68"/>
      <c r="TBZ24" s="68"/>
      <c r="TCA24" s="68"/>
      <c r="TCB24" s="68"/>
      <c r="TCC24" s="68"/>
      <c r="TCD24" s="68"/>
      <c r="TCE24" s="68"/>
      <c r="TCF24" s="68"/>
      <c r="TCG24" s="68"/>
      <c r="TCH24" s="68"/>
      <c r="TCI24" s="68"/>
      <c r="TCJ24" s="68"/>
      <c r="TCK24" s="68"/>
      <c r="TCL24" s="68"/>
      <c r="TCM24" s="68"/>
      <c r="TCN24" s="68"/>
      <c r="TCO24" s="68"/>
      <c r="TCP24" s="68"/>
      <c r="TCQ24" s="68"/>
      <c r="TCR24" s="68"/>
      <c r="TCS24" s="68"/>
      <c r="TCT24" s="68"/>
      <c r="TCU24" s="68"/>
      <c r="TCV24" s="68"/>
      <c r="TCW24" s="68"/>
      <c r="TCX24" s="68"/>
      <c r="TCY24" s="68"/>
      <c r="TCZ24" s="68"/>
      <c r="TDA24" s="68"/>
      <c r="TDB24" s="68"/>
      <c r="TDC24" s="68"/>
      <c r="TDD24" s="68"/>
      <c r="TDE24" s="68"/>
      <c r="TDF24" s="68"/>
      <c r="TDG24" s="68"/>
      <c r="TDH24" s="68"/>
      <c r="TDI24" s="68"/>
      <c r="TDJ24" s="68"/>
      <c r="TDK24" s="68"/>
      <c r="TDL24" s="68"/>
      <c r="TDM24" s="68"/>
      <c r="TDN24" s="68"/>
      <c r="TDO24" s="68"/>
      <c r="TDP24" s="68"/>
      <c r="TDQ24" s="68"/>
      <c r="TDR24" s="68"/>
      <c r="TDS24" s="68"/>
      <c r="TDT24" s="68"/>
      <c r="TDU24" s="68"/>
      <c r="TDV24" s="68"/>
      <c r="TDW24" s="68"/>
      <c r="TDX24" s="68"/>
      <c r="TDY24" s="68"/>
      <c r="TDZ24" s="68"/>
      <c r="TEA24" s="68"/>
      <c r="TEB24" s="68"/>
      <c r="TEC24" s="68"/>
      <c r="TED24" s="68"/>
      <c r="TEE24" s="68"/>
      <c r="TEF24" s="68"/>
      <c r="TEG24" s="68"/>
      <c r="TEH24" s="68"/>
      <c r="TEI24" s="68"/>
      <c r="TEJ24" s="68"/>
      <c r="TEK24" s="68"/>
      <c r="TEL24" s="68"/>
      <c r="TEM24" s="68"/>
      <c r="TEN24" s="68"/>
      <c r="TEO24" s="68"/>
      <c r="TEP24" s="68"/>
      <c r="TEQ24" s="68"/>
      <c r="TER24" s="68"/>
      <c r="TES24" s="68"/>
      <c r="TET24" s="68"/>
      <c r="TEU24" s="68"/>
      <c r="TEV24" s="68"/>
      <c r="TEW24" s="68"/>
      <c r="TEX24" s="68"/>
      <c r="TEY24" s="68"/>
      <c r="TEZ24" s="68"/>
      <c r="TFA24" s="68"/>
      <c r="TFB24" s="68"/>
      <c r="TFC24" s="68"/>
      <c r="TFD24" s="68"/>
      <c r="TFE24" s="68"/>
      <c r="TFF24" s="68"/>
      <c r="TFG24" s="68"/>
      <c r="TFH24" s="68"/>
      <c r="TFI24" s="68"/>
      <c r="TFJ24" s="68"/>
      <c r="TFK24" s="68"/>
      <c r="TFL24" s="68"/>
      <c r="TFM24" s="68"/>
      <c r="TFN24" s="68"/>
      <c r="TFO24" s="68"/>
      <c r="TFP24" s="68"/>
      <c r="TFQ24" s="68"/>
      <c r="TFR24" s="68"/>
      <c r="TFS24" s="68"/>
      <c r="TFT24" s="68"/>
      <c r="TFU24" s="68"/>
      <c r="TFV24" s="68"/>
      <c r="TFW24" s="68"/>
      <c r="TFX24" s="68"/>
      <c r="TFY24" s="68"/>
      <c r="TFZ24" s="68"/>
      <c r="TGA24" s="68"/>
      <c r="TGB24" s="68"/>
      <c r="TGC24" s="68"/>
      <c r="TGD24" s="68"/>
      <c r="TGE24" s="68"/>
      <c r="TGF24" s="68"/>
      <c r="TGG24" s="68"/>
      <c r="TGH24" s="68"/>
      <c r="TGI24" s="68"/>
      <c r="TGJ24" s="68"/>
      <c r="TGK24" s="68"/>
      <c r="TGL24" s="68"/>
      <c r="TGM24" s="68"/>
      <c r="TGN24" s="68"/>
      <c r="TGO24" s="68"/>
      <c r="TGP24" s="68"/>
      <c r="TGQ24" s="68"/>
      <c r="TGR24" s="68"/>
      <c r="TGS24" s="68"/>
      <c r="TGT24" s="68"/>
      <c r="TGU24" s="68"/>
      <c r="TGV24" s="68"/>
      <c r="TGW24" s="68"/>
      <c r="TGX24" s="68"/>
      <c r="TGY24" s="68"/>
      <c r="TGZ24" s="68"/>
      <c r="THA24" s="68"/>
      <c r="THB24" s="68"/>
      <c r="THC24" s="68"/>
      <c r="THD24" s="68"/>
      <c r="THE24" s="68"/>
      <c r="THF24" s="68"/>
      <c r="THG24" s="68"/>
      <c r="THH24" s="68"/>
      <c r="THI24" s="68"/>
      <c r="THJ24" s="68"/>
      <c r="THK24" s="68"/>
      <c r="THL24" s="68"/>
      <c r="THM24" s="68"/>
      <c r="THN24" s="68"/>
      <c r="THO24" s="68"/>
      <c r="THP24" s="68"/>
      <c r="THQ24" s="68"/>
      <c r="THR24" s="68"/>
      <c r="THS24" s="68"/>
      <c r="THT24" s="68"/>
      <c r="THU24" s="68"/>
      <c r="THV24" s="68"/>
      <c r="THW24" s="68"/>
      <c r="THX24" s="68"/>
      <c r="THY24" s="68"/>
      <c r="THZ24" s="68"/>
      <c r="TIA24" s="68"/>
      <c r="TIB24" s="68"/>
      <c r="TIC24" s="68"/>
      <c r="TID24" s="68"/>
      <c r="TIE24" s="68"/>
      <c r="TIF24" s="68"/>
      <c r="TIG24" s="68"/>
      <c r="TIH24" s="68"/>
      <c r="TII24" s="68"/>
      <c r="TIJ24" s="68"/>
      <c r="TIK24" s="68"/>
      <c r="TIL24" s="68"/>
      <c r="TIM24" s="68"/>
      <c r="TIN24" s="68"/>
      <c r="TIO24" s="68"/>
      <c r="TIP24" s="68"/>
      <c r="TIQ24" s="68"/>
      <c r="TIR24" s="68"/>
      <c r="TIS24" s="68"/>
      <c r="TIT24" s="68"/>
      <c r="TIU24" s="68"/>
      <c r="TIV24" s="68"/>
      <c r="TIW24" s="68"/>
      <c r="TIX24" s="68"/>
      <c r="TIY24" s="68"/>
      <c r="TIZ24" s="68"/>
      <c r="TJA24" s="68"/>
      <c r="TJB24" s="68"/>
      <c r="TJC24" s="68"/>
      <c r="TJD24" s="68"/>
      <c r="TJE24" s="68"/>
      <c r="TJF24" s="68"/>
      <c r="TJG24" s="68"/>
      <c r="TJH24" s="68"/>
      <c r="TJI24" s="68"/>
      <c r="TJJ24" s="68"/>
      <c r="TJK24" s="68"/>
      <c r="TJL24" s="68"/>
      <c r="TJM24" s="68"/>
      <c r="TJN24" s="68"/>
      <c r="TJO24" s="68"/>
      <c r="TJP24" s="68"/>
      <c r="TJQ24" s="68"/>
      <c r="TJR24" s="68"/>
      <c r="TJS24" s="68"/>
      <c r="TJT24" s="68"/>
      <c r="TJU24" s="68"/>
      <c r="TJV24" s="68"/>
      <c r="TJW24" s="68"/>
      <c r="TJX24" s="68"/>
      <c r="TJY24" s="68"/>
      <c r="TJZ24" s="68"/>
      <c r="TKA24" s="68"/>
      <c r="TKB24" s="68"/>
      <c r="TKC24" s="68"/>
      <c r="TKD24" s="68"/>
      <c r="TKE24" s="68"/>
      <c r="TKF24" s="68"/>
      <c r="TKG24" s="68"/>
      <c r="TKH24" s="68"/>
      <c r="TKI24" s="68"/>
      <c r="TKJ24" s="68"/>
      <c r="TKK24" s="68"/>
      <c r="TKL24" s="68"/>
      <c r="TKM24" s="68"/>
      <c r="TKN24" s="68"/>
      <c r="TKO24" s="68"/>
      <c r="TKP24" s="68"/>
      <c r="TKQ24" s="68"/>
      <c r="TKR24" s="68"/>
      <c r="TKS24" s="68"/>
      <c r="TKT24" s="68"/>
      <c r="TKU24" s="68"/>
      <c r="TKV24" s="68"/>
      <c r="TKW24" s="68"/>
      <c r="TKX24" s="68"/>
      <c r="TKY24" s="68"/>
      <c r="TKZ24" s="68"/>
      <c r="TLA24" s="68"/>
      <c r="TLB24" s="68"/>
      <c r="TLC24" s="68"/>
      <c r="TLD24" s="68"/>
      <c r="TLE24" s="68"/>
      <c r="TLF24" s="68"/>
      <c r="TLG24" s="68"/>
      <c r="TLH24" s="68"/>
      <c r="TLI24" s="68"/>
      <c r="TLJ24" s="68"/>
      <c r="TLK24" s="68"/>
      <c r="TLL24" s="68"/>
      <c r="TLM24" s="68"/>
      <c r="TLN24" s="68"/>
      <c r="TLO24" s="68"/>
      <c r="TLP24" s="68"/>
      <c r="TLQ24" s="68"/>
      <c r="TLR24" s="68"/>
      <c r="TLS24" s="68"/>
      <c r="TLT24" s="68"/>
      <c r="TLU24" s="68"/>
      <c r="TLV24" s="68"/>
      <c r="TLW24" s="68"/>
      <c r="TLX24" s="68"/>
      <c r="TLY24" s="68"/>
      <c r="TLZ24" s="68"/>
      <c r="TMA24" s="68"/>
      <c r="TMB24" s="68"/>
      <c r="TMC24" s="68"/>
      <c r="TMD24" s="68"/>
      <c r="TME24" s="68"/>
      <c r="TMF24" s="68"/>
      <c r="TMG24" s="68"/>
      <c r="TMH24" s="68"/>
      <c r="TMI24" s="68"/>
      <c r="TMJ24" s="68"/>
      <c r="TMK24" s="68"/>
      <c r="TML24" s="68"/>
      <c r="TMM24" s="68"/>
      <c r="TMN24" s="68"/>
      <c r="TMO24" s="68"/>
      <c r="TMP24" s="68"/>
      <c r="TMQ24" s="68"/>
      <c r="TMR24" s="68"/>
      <c r="TMS24" s="68"/>
      <c r="TMT24" s="68"/>
      <c r="TMU24" s="68"/>
      <c r="TMV24" s="68"/>
      <c r="TMW24" s="68"/>
      <c r="TMX24" s="68"/>
      <c r="TMY24" s="68"/>
      <c r="TMZ24" s="68"/>
      <c r="TNA24" s="68"/>
      <c r="TNB24" s="68"/>
      <c r="TNC24" s="68"/>
      <c r="TND24" s="68"/>
      <c r="TNE24" s="68"/>
      <c r="TNF24" s="68"/>
      <c r="TNG24" s="68"/>
      <c r="TNH24" s="68"/>
      <c r="TNI24" s="68"/>
      <c r="TNJ24" s="68"/>
      <c r="TNK24" s="68"/>
      <c r="TNL24" s="68"/>
      <c r="TNM24" s="68"/>
      <c r="TNN24" s="68"/>
      <c r="TNO24" s="68"/>
      <c r="TNP24" s="68"/>
      <c r="TNQ24" s="68"/>
      <c r="TNR24" s="68"/>
      <c r="TNS24" s="68"/>
      <c r="TNT24" s="68"/>
      <c r="TNU24" s="68"/>
      <c r="TNV24" s="68"/>
      <c r="TNW24" s="68"/>
      <c r="TNX24" s="68"/>
      <c r="TNY24" s="68"/>
      <c r="TNZ24" s="68"/>
      <c r="TOA24" s="68"/>
      <c r="TOB24" s="68"/>
      <c r="TOC24" s="68"/>
      <c r="TOD24" s="68"/>
      <c r="TOE24" s="68"/>
      <c r="TOF24" s="68"/>
      <c r="TOG24" s="68"/>
      <c r="TOH24" s="68"/>
      <c r="TOI24" s="68"/>
      <c r="TOJ24" s="68"/>
      <c r="TOK24" s="68"/>
      <c r="TOL24" s="68"/>
      <c r="TOM24" s="68"/>
      <c r="TON24" s="68"/>
      <c r="TOO24" s="68"/>
      <c r="TOP24" s="68"/>
      <c r="TOQ24" s="68"/>
      <c r="TOR24" s="68"/>
      <c r="TOS24" s="68"/>
      <c r="TOT24" s="68"/>
      <c r="TOU24" s="68"/>
      <c r="TOV24" s="68"/>
      <c r="TOW24" s="68"/>
      <c r="TOX24" s="68"/>
      <c r="TOY24" s="68"/>
      <c r="TOZ24" s="68"/>
      <c r="TPA24" s="68"/>
      <c r="TPB24" s="68"/>
      <c r="TPC24" s="68"/>
      <c r="TPD24" s="68"/>
      <c r="TPE24" s="68"/>
      <c r="TPF24" s="68"/>
      <c r="TPG24" s="68"/>
      <c r="TPH24" s="68"/>
      <c r="TPI24" s="68"/>
      <c r="TPJ24" s="68"/>
      <c r="TPK24" s="68"/>
      <c r="TPL24" s="68"/>
      <c r="TPM24" s="68"/>
      <c r="TPN24" s="68"/>
      <c r="TPO24" s="68"/>
      <c r="TPP24" s="68"/>
      <c r="TPQ24" s="68"/>
      <c r="TPR24" s="68"/>
      <c r="TPS24" s="68"/>
      <c r="TPT24" s="68"/>
      <c r="TPU24" s="68"/>
      <c r="TPV24" s="68"/>
      <c r="TPW24" s="68"/>
      <c r="TPX24" s="68"/>
      <c r="TPY24" s="68"/>
      <c r="TPZ24" s="68"/>
      <c r="TQA24" s="68"/>
      <c r="TQB24" s="68"/>
      <c r="TQC24" s="68"/>
      <c r="TQD24" s="68"/>
      <c r="TQE24" s="68"/>
      <c r="TQF24" s="68"/>
      <c r="TQG24" s="68"/>
      <c r="TQH24" s="68"/>
      <c r="TQI24" s="68"/>
      <c r="TQJ24" s="68"/>
      <c r="TQK24" s="68"/>
      <c r="TQL24" s="68"/>
      <c r="TQM24" s="68"/>
      <c r="TQN24" s="68"/>
      <c r="TQO24" s="68"/>
      <c r="TQP24" s="68"/>
      <c r="TQQ24" s="68"/>
      <c r="TQR24" s="68"/>
      <c r="TQS24" s="68"/>
      <c r="TQT24" s="68"/>
      <c r="TQU24" s="68"/>
      <c r="TQV24" s="68"/>
      <c r="TQW24" s="68"/>
      <c r="TQX24" s="68"/>
      <c r="TQY24" s="68"/>
      <c r="TQZ24" s="68"/>
      <c r="TRA24" s="68"/>
      <c r="TRB24" s="68"/>
      <c r="TRC24" s="68"/>
      <c r="TRD24" s="68"/>
      <c r="TRE24" s="68"/>
      <c r="TRF24" s="68"/>
      <c r="TRG24" s="68"/>
      <c r="TRH24" s="68"/>
      <c r="TRI24" s="68"/>
      <c r="TRJ24" s="68"/>
      <c r="TRK24" s="68"/>
      <c r="TRL24" s="68"/>
      <c r="TRM24" s="68"/>
      <c r="TRN24" s="68"/>
      <c r="TRO24" s="68"/>
      <c r="TRP24" s="68"/>
      <c r="TRQ24" s="68"/>
      <c r="TRR24" s="68"/>
      <c r="TRS24" s="68"/>
      <c r="TRT24" s="68"/>
      <c r="TRU24" s="68"/>
      <c r="TRV24" s="68"/>
      <c r="TRW24" s="68"/>
      <c r="TRX24" s="68"/>
      <c r="TRY24" s="68"/>
      <c r="TRZ24" s="68"/>
      <c r="TSA24" s="68"/>
      <c r="TSB24" s="68"/>
      <c r="TSC24" s="68"/>
      <c r="TSD24" s="68"/>
      <c r="TSE24" s="68"/>
      <c r="TSF24" s="68"/>
      <c r="TSG24" s="68"/>
      <c r="TSH24" s="68"/>
      <c r="TSI24" s="68"/>
      <c r="TSJ24" s="68"/>
      <c r="TSK24" s="68"/>
      <c r="TSL24" s="68"/>
      <c r="TSM24" s="68"/>
      <c r="TSN24" s="68"/>
      <c r="TSO24" s="68"/>
      <c r="TSP24" s="68"/>
      <c r="TSQ24" s="68"/>
      <c r="TSR24" s="68"/>
      <c r="TSS24" s="68"/>
      <c r="TST24" s="68"/>
      <c r="TSU24" s="68"/>
      <c r="TSV24" s="68"/>
      <c r="TSW24" s="68"/>
      <c r="TSX24" s="68"/>
      <c r="TSY24" s="68"/>
      <c r="TSZ24" s="68"/>
      <c r="TTA24" s="68"/>
      <c r="TTB24" s="68"/>
      <c r="TTC24" s="68"/>
      <c r="TTD24" s="68"/>
      <c r="TTE24" s="68"/>
      <c r="TTF24" s="68"/>
      <c r="TTG24" s="68"/>
      <c r="TTH24" s="68"/>
      <c r="TTI24" s="68"/>
      <c r="TTJ24" s="68"/>
      <c r="TTK24" s="68"/>
      <c r="TTL24" s="68"/>
      <c r="TTM24" s="68"/>
      <c r="TTN24" s="68"/>
      <c r="TTO24" s="68"/>
      <c r="TTP24" s="68"/>
      <c r="TTQ24" s="68"/>
      <c r="TTR24" s="68"/>
      <c r="TTS24" s="68"/>
      <c r="TTT24" s="68"/>
      <c r="TTU24" s="68"/>
      <c r="TTV24" s="68"/>
      <c r="TTW24" s="68"/>
      <c r="TTX24" s="68"/>
      <c r="TTY24" s="68"/>
      <c r="TTZ24" s="68"/>
      <c r="TUA24" s="68"/>
      <c r="TUB24" s="68"/>
      <c r="TUC24" s="68"/>
      <c r="TUD24" s="68"/>
      <c r="TUE24" s="68"/>
      <c r="TUF24" s="68"/>
      <c r="TUG24" s="68"/>
      <c r="TUH24" s="68"/>
      <c r="TUI24" s="68"/>
      <c r="TUJ24" s="68"/>
      <c r="TUK24" s="68"/>
      <c r="TUL24" s="68"/>
      <c r="TUM24" s="68"/>
      <c r="TUN24" s="68"/>
      <c r="TUO24" s="68"/>
      <c r="TUP24" s="68"/>
      <c r="TUQ24" s="68"/>
      <c r="TUR24" s="68"/>
      <c r="TUS24" s="68"/>
      <c r="TUT24" s="68"/>
      <c r="TUU24" s="68"/>
      <c r="TUV24" s="68"/>
      <c r="TUW24" s="68"/>
      <c r="TUX24" s="68"/>
      <c r="TUY24" s="68"/>
      <c r="TUZ24" s="68"/>
      <c r="TVA24" s="68"/>
      <c r="TVB24" s="68"/>
      <c r="TVC24" s="68"/>
      <c r="TVD24" s="68"/>
      <c r="TVE24" s="68"/>
      <c r="TVF24" s="68"/>
      <c r="TVG24" s="68"/>
      <c r="TVH24" s="68"/>
      <c r="TVI24" s="68"/>
      <c r="TVJ24" s="68"/>
      <c r="TVK24" s="68"/>
      <c r="TVL24" s="68"/>
      <c r="TVM24" s="68"/>
      <c r="TVN24" s="68"/>
      <c r="TVO24" s="68"/>
      <c r="TVP24" s="68"/>
      <c r="TVQ24" s="68"/>
      <c r="TVR24" s="68"/>
      <c r="TVS24" s="68"/>
      <c r="TVT24" s="68"/>
      <c r="TVU24" s="68"/>
      <c r="TVV24" s="68"/>
      <c r="TVW24" s="68"/>
      <c r="TVX24" s="68"/>
      <c r="TVY24" s="68"/>
      <c r="TVZ24" s="68"/>
      <c r="TWA24" s="68"/>
      <c r="TWB24" s="68"/>
      <c r="TWC24" s="68"/>
      <c r="TWD24" s="68"/>
      <c r="TWE24" s="68"/>
      <c r="TWF24" s="68"/>
      <c r="TWG24" s="68"/>
      <c r="TWH24" s="68"/>
      <c r="TWI24" s="68"/>
      <c r="TWJ24" s="68"/>
      <c r="TWK24" s="68"/>
      <c r="TWL24" s="68"/>
      <c r="TWM24" s="68"/>
      <c r="TWN24" s="68"/>
      <c r="TWO24" s="68"/>
      <c r="TWP24" s="68"/>
      <c r="TWQ24" s="68"/>
      <c r="TWR24" s="68"/>
      <c r="TWS24" s="68"/>
      <c r="TWT24" s="68"/>
      <c r="TWU24" s="68"/>
      <c r="TWV24" s="68"/>
      <c r="TWW24" s="68"/>
      <c r="TWX24" s="68"/>
      <c r="TWY24" s="68"/>
      <c r="TWZ24" s="68"/>
      <c r="TXA24" s="68"/>
      <c r="TXB24" s="68"/>
      <c r="TXC24" s="68"/>
      <c r="TXD24" s="68"/>
      <c r="TXE24" s="68"/>
      <c r="TXF24" s="68"/>
      <c r="TXG24" s="68"/>
      <c r="TXH24" s="68"/>
      <c r="TXI24" s="68"/>
      <c r="TXJ24" s="68"/>
      <c r="TXK24" s="68"/>
      <c r="TXL24" s="68"/>
      <c r="TXM24" s="68"/>
      <c r="TXN24" s="68"/>
      <c r="TXO24" s="68"/>
      <c r="TXP24" s="68"/>
      <c r="TXQ24" s="68"/>
      <c r="TXR24" s="68"/>
      <c r="TXS24" s="68"/>
      <c r="TXT24" s="68"/>
      <c r="TXU24" s="68"/>
      <c r="TXV24" s="68"/>
      <c r="TXW24" s="68"/>
      <c r="TXX24" s="68"/>
      <c r="TXY24" s="68"/>
      <c r="TXZ24" s="68"/>
      <c r="TYA24" s="68"/>
      <c r="TYB24" s="68"/>
      <c r="TYC24" s="68"/>
      <c r="TYD24" s="68"/>
      <c r="TYE24" s="68"/>
      <c r="TYF24" s="68"/>
      <c r="TYG24" s="68"/>
      <c r="TYH24" s="68"/>
      <c r="TYI24" s="68"/>
      <c r="TYJ24" s="68"/>
      <c r="TYK24" s="68"/>
      <c r="TYL24" s="68"/>
      <c r="TYM24" s="68"/>
      <c r="TYN24" s="68"/>
      <c r="TYO24" s="68"/>
      <c r="TYP24" s="68"/>
      <c r="TYQ24" s="68"/>
      <c r="TYR24" s="68"/>
      <c r="TYS24" s="68"/>
      <c r="TYT24" s="68"/>
      <c r="TYU24" s="68"/>
      <c r="TYV24" s="68"/>
      <c r="TYW24" s="68"/>
      <c r="TYX24" s="68"/>
      <c r="TYY24" s="68"/>
      <c r="TYZ24" s="68"/>
      <c r="TZA24" s="68"/>
      <c r="TZB24" s="68"/>
      <c r="TZC24" s="68"/>
      <c r="TZD24" s="68"/>
      <c r="TZE24" s="68"/>
      <c r="TZF24" s="68"/>
      <c r="TZG24" s="68"/>
      <c r="TZH24" s="68"/>
      <c r="TZI24" s="68"/>
      <c r="TZJ24" s="68"/>
      <c r="TZK24" s="68"/>
      <c r="TZL24" s="68"/>
      <c r="TZM24" s="68"/>
      <c r="TZN24" s="68"/>
      <c r="TZO24" s="68"/>
      <c r="TZP24" s="68"/>
      <c r="TZQ24" s="68"/>
      <c r="TZR24" s="68"/>
      <c r="TZS24" s="68"/>
      <c r="TZT24" s="68"/>
      <c r="TZU24" s="68"/>
      <c r="TZV24" s="68"/>
      <c r="TZW24" s="68"/>
      <c r="TZX24" s="68"/>
      <c r="TZY24" s="68"/>
      <c r="TZZ24" s="68"/>
      <c r="UAA24" s="68"/>
      <c r="UAB24" s="68"/>
      <c r="UAC24" s="68"/>
      <c r="UAD24" s="68"/>
      <c r="UAE24" s="68"/>
      <c r="UAF24" s="68"/>
      <c r="UAG24" s="68"/>
      <c r="UAH24" s="68"/>
      <c r="UAI24" s="68"/>
      <c r="UAJ24" s="68"/>
      <c r="UAK24" s="68"/>
      <c r="UAL24" s="68"/>
      <c r="UAM24" s="68"/>
      <c r="UAN24" s="68"/>
      <c r="UAO24" s="68"/>
      <c r="UAP24" s="68"/>
      <c r="UAQ24" s="68"/>
      <c r="UAR24" s="68"/>
      <c r="UAS24" s="68"/>
      <c r="UAT24" s="68"/>
      <c r="UAU24" s="68"/>
      <c r="UAV24" s="68"/>
      <c r="UAW24" s="68"/>
      <c r="UAX24" s="68"/>
      <c r="UAY24" s="68"/>
      <c r="UAZ24" s="68"/>
      <c r="UBA24" s="68"/>
      <c r="UBB24" s="68"/>
      <c r="UBC24" s="68"/>
      <c r="UBD24" s="68"/>
      <c r="UBE24" s="68"/>
      <c r="UBF24" s="68"/>
      <c r="UBG24" s="68"/>
      <c r="UBH24" s="68"/>
      <c r="UBI24" s="68"/>
      <c r="UBJ24" s="68"/>
      <c r="UBK24" s="68"/>
      <c r="UBL24" s="68"/>
      <c r="UBM24" s="68"/>
      <c r="UBN24" s="68"/>
      <c r="UBO24" s="68"/>
      <c r="UBP24" s="68"/>
      <c r="UBQ24" s="68"/>
      <c r="UBR24" s="68"/>
      <c r="UBS24" s="68"/>
      <c r="UBT24" s="68"/>
      <c r="UBU24" s="68"/>
      <c r="UBV24" s="68"/>
      <c r="UBW24" s="68"/>
      <c r="UBX24" s="68"/>
      <c r="UBY24" s="68"/>
      <c r="UBZ24" s="68"/>
      <c r="UCA24" s="68"/>
      <c r="UCB24" s="68"/>
      <c r="UCC24" s="68"/>
      <c r="UCD24" s="68"/>
      <c r="UCE24" s="68"/>
      <c r="UCF24" s="68"/>
      <c r="UCG24" s="68"/>
      <c r="UCH24" s="68"/>
      <c r="UCI24" s="68"/>
      <c r="UCJ24" s="68"/>
      <c r="UCK24" s="68"/>
      <c r="UCL24" s="68"/>
      <c r="UCM24" s="68"/>
      <c r="UCN24" s="68"/>
      <c r="UCO24" s="68"/>
      <c r="UCP24" s="68"/>
      <c r="UCQ24" s="68"/>
      <c r="UCR24" s="68"/>
      <c r="UCS24" s="68"/>
      <c r="UCT24" s="68"/>
      <c r="UCU24" s="68"/>
      <c r="UCV24" s="68"/>
      <c r="UCW24" s="68"/>
      <c r="UCX24" s="68"/>
      <c r="UCY24" s="68"/>
      <c r="UCZ24" s="68"/>
      <c r="UDA24" s="68"/>
      <c r="UDB24" s="68"/>
      <c r="UDC24" s="68"/>
      <c r="UDD24" s="68"/>
      <c r="UDE24" s="68"/>
      <c r="UDF24" s="68"/>
      <c r="UDG24" s="68"/>
      <c r="UDH24" s="68"/>
      <c r="UDI24" s="68"/>
      <c r="UDJ24" s="68"/>
      <c r="UDK24" s="68"/>
      <c r="UDL24" s="68"/>
      <c r="UDM24" s="68"/>
      <c r="UDN24" s="68"/>
      <c r="UDO24" s="68"/>
      <c r="UDP24" s="68"/>
      <c r="UDQ24" s="68"/>
      <c r="UDR24" s="68"/>
      <c r="UDS24" s="68"/>
      <c r="UDT24" s="68"/>
      <c r="UDU24" s="68"/>
      <c r="UDV24" s="68"/>
      <c r="UDW24" s="68"/>
      <c r="UDX24" s="68"/>
      <c r="UDY24" s="68"/>
      <c r="UDZ24" s="68"/>
      <c r="UEA24" s="68"/>
      <c r="UEB24" s="68"/>
      <c r="UEC24" s="68"/>
      <c r="UED24" s="68"/>
      <c r="UEE24" s="68"/>
      <c r="UEF24" s="68"/>
      <c r="UEG24" s="68"/>
      <c r="UEH24" s="68"/>
      <c r="UEI24" s="68"/>
      <c r="UEJ24" s="68"/>
      <c r="UEK24" s="68"/>
      <c r="UEL24" s="68"/>
      <c r="UEM24" s="68"/>
      <c r="UEN24" s="68"/>
      <c r="UEO24" s="68"/>
      <c r="UEP24" s="68"/>
      <c r="UEQ24" s="68"/>
      <c r="UER24" s="68"/>
      <c r="UES24" s="68"/>
      <c r="UET24" s="68"/>
      <c r="UEU24" s="68"/>
      <c r="UEV24" s="68"/>
      <c r="UEW24" s="68"/>
      <c r="UEX24" s="68"/>
      <c r="UEY24" s="68"/>
      <c r="UEZ24" s="68"/>
      <c r="UFA24" s="68"/>
      <c r="UFB24" s="68"/>
      <c r="UFC24" s="68"/>
      <c r="UFD24" s="68"/>
      <c r="UFE24" s="68"/>
      <c r="UFF24" s="68"/>
      <c r="UFG24" s="68"/>
      <c r="UFH24" s="68"/>
      <c r="UFI24" s="68"/>
      <c r="UFJ24" s="68"/>
      <c r="UFK24" s="68"/>
      <c r="UFL24" s="68"/>
      <c r="UFM24" s="68"/>
      <c r="UFN24" s="68"/>
      <c r="UFO24" s="68"/>
      <c r="UFP24" s="68"/>
      <c r="UFQ24" s="68"/>
      <c r="UFR24" s="68"/>
      <c r="UFS24" s="68"/>
      <c r="UFT24" s="68"/>
      <c r="UFU24" s="68"/>
      <c r="UFV24" s="68"/>
      <c r="UFW24" s="68"/>
      <c r="UFX24" s="68"/>
      <c r="UFY24" s="68"/>
      <c r="UFZ24" s="68"/>
      <c r="UGA24" s="68"/>
      <c r="UGB24" s="68"/>
      <c r="UGC24" s="68"/>
      <c r="UGD24" s="68"/>
      <c r="UGE24" s="68"/>
      <c r="UGF24" s="68"/>
      <c r="UGG24" s="68"/>
      <c r="UGH24" s="68"/>
      <c r="UGI24" s="68"/>
      <c r="UGJ24" s="68"/>
      <c r="UGK24" s="68"/>
      <c r="UGL24" s="68"/>
      <c r="UGM24" s="68"/>
      <c r="UGN24" s="68"/>
      <c r="UGO24" s="68"/>
      <c r="UGP24" s="68"/>
      <c r="UGQ24" s="68"/>
      <c r="UGR24" s="68"/>
      <c r="UGS24" s="68"/>
      <c r="UGT24" s="68"/>
      <c r="UGU24" s="68"/>
      <c r="UGV24" s="68"/>
      <c r="UGW24" s="68"/>
      <c r="UGX24" s="68"/>
      <c r="UGY24" s="68"/>
      <c r="UGZ24" s="68"/>
      <c r="UHA24" s="68"/>
      <c r="UHB24" s="68"/>
      <c r="UHC24" s="68"/>
      <c r="UHD24" s="68"/>
      <c r="UHE24" s="68"/>
      <c r="UHF24" s="68"/>
      <c r="UHG24" s="68"/>
      <c r="UHH24" s="68"/>
      <c r="UHI24" s="68"/>
      <c r="UHJ24" s="68"/>
      <c r="UHK24" s="68"/>
      <c r="UHL24" s="68"/>
      <c r="UHM24" s="68"/>
      <c r="UHN24" s="68"/>
      <c r="UHO24" s="68"/>
      <c r="UHP24" s="68"/>
      <c r="UHQ24" s="68"/>
      <c r="UHR24" s="68"/>
      <c r="UHS24" s="68"/>
      <c r="UHT24" s="68"/>
      <c r="UHU24" s="68"/>
      <c r="UHV24" s="68"/>
      <c r="UHW24" s="68"/>
      <c r="UHX24" s="68"/>
      <c r="UHY24" s="68"/>
      <c r="UHZ24" s="68"/>
      <c r="UIA24" s="68"/>
      <c r="UIB24" s="68"/>
      <c r="UIC24" s="68"/>
      <c r="UID24" s="68"/>
      <c r="UIE24" s="68"/>
      <c r="UIF24" s="68"/>
      <c r="UIG24" s="68"/>
      <c r="UIH24" s="68"/>
      <c r="UII24" s="68"/>
      <c r="UIJ24" s="68"/>
      <c r="UIK24" s="68"/>
      <c r="UIL24" s="68"/>
      <c r="UIM24" s="68"/>
      <c r="UIN24" s="68"/>
      <c r="UIO24" s="68"/>
      <c r="UIP24" s="68"/>
      <c r="UIQ24" s="68"/>
      <c r="UIR24" s="68"/>
      <c r="UIS24" s="68"/>
      <c r="UIT24" s="68"/>
      <c r="UIU24" s="68"/>
      <c r="UIV24" s="68"/>
      <c r="UIW24" s="68"/>
      <c r="UIX24" s="68"/>
      <c r="UIY24" s="68"/>
      <c r="UIZ24" s="68"/>
      <c r="UJA24" s="68"/>
      <c r="UJB24" s="68"/>
      <c r="UJC24" s="68"/>
      <c r="UJD24" s="68"/>
      <c r="UJE24" s="68"/>
      <c r="UJF24" s="68"/>
      <c r="UJG24" s="68"/>
      <c r="UJH24" s="68"/>
      <c r="UJI24" s="68"/>
      <c r="UJJ24" s="68"/>
      <c r="UJK24" s="68"/>
      <c r="UJL24" s="68"/>
      <c r="UJM24" s="68"/>
      <c r="UJN24" s="68"/>
      <c r="UJO24" s="68"/>
      <c r="UJP24" s="68"/>
      <c r="UJQ24" s="68"/>
      <c r="UJR24" s="68"/>
      <c r="UJS24" s="68"/>
      <c r="UJT24" s="68"/>
      <c r="UJU24" s="68"/>
      <c r="UJV24" s="68"/>
      <c r="UJW24" s="68"/>
      <c r="UJX24" s="68"/>
      <c r="UJY24" s="68"/>
      <c r="UJZ24" s="68"/>
      <c r="UKA24" s="68"/>
      <c r="UKB24" s="68"/>
      <c r="UKC24" s="68"/>
      <c r="UKD24" s="68"/>
      <c r="UKE24" s="68"/>
      <c r="UKF24" s="68"/>
      <c r="UKG24" s="68"/>
      <c r="UKH24" s="68"/>
      <c r="UKI24" s="68"/>
      <c r="UKJ24" s="68"/>
      <c r="UKK24" s="68"/>
      <c r="UKL24" s="68"/>
      <c r="UKM24" s="68"/>
      <c r="UKN24" s="68"/>
      <c r="UKO24" s="68"/>
      <c r="UKP24" s="68"/>
      <c r="UKQ24" s="68"/>
      <c r="UKR24" s="68"/>
      <c r="UKS24" s="68"/>
      <c r="UKT24" s="68"/>
      <c r="UKU24" s="68"/>
      <c r="UKV24" s="68"/>
      <c r="UKW24" s="68"/>
      <c r="UKX24" s="68"/>
      <c r="UKY24" s="68"/>
      <c r="UKZ24" s="68"/>
      <c r="ULA24" s="68"/>
      <c r="ULB24" s="68"/>
      <c r="ULC24" s="68"/>
      <c r="ULD24" s="68"/>
      <c r="ULE24" s="68"/>
      <c r="ULF24" s="68"/>
      <c r="ULG24" s="68"/>
      <c r="ULH24" s="68"/>
      <c r="ULI24" s="68"/>
      <c r="ULJ24" s="68"/>
      <c r="ULK24" s="68"/>
      <c r="ULL24" s="68"/>
      <c r="ULM24" s="68"/>
      <c r="ULN24" s="68"/>
      <c r="ULO24" s="68"/>
      <c r="ULP24" s="68"/>
      <c r="ULQ24" s="68"/>
      <c r="ULR24" s="68"/>
      <c r="ULS24" s="68"/>
      <c r="ULT24" s="68"/>
      <c r="ULU24" s="68"/>
      <c r="ULV24" s="68"/>
      <c r="ULW24" s="68"/>
      <c r="ULX24" s="68"/>
      <c r="ULY24" s="68"/>
      <c r="ULZ24" s="68"/>
      <c r="UMA24" s="68"/>
      <c r="UMB24" s="68"/>
      <c r="UMC24" s="68"/>
      <c r="UMD24" s="68"/>
      <c r="UME24" s="68"/>
      <c r="UMF24" s="68"/>
      <c r="UMG24" s="68"/>
      <c r="UMH24" s="68"/>
      <c r="UMI24" s="68"/>
      <c r="UMJ24" s="68"/>
      <c r="UMK24" s="68"/>
      <c r="UML24" s="68"/>
      <c r="UMM24" s="68"/>
      <c r="UMN24" s="68"/>
      <c r="UMO24" s="68"/>
      <c r="UMP24" s="68"/>
      <c r="UMQ24" s="68"/>
      <c r="UMR24" s="68"/>
      <c r="UMS24" s="68"/>
      <c r="UMT24" s="68"/>
      <c r="UMU24" s="68"/>
      <c r="UMV24" s="68"/>
      <c r="UMW24" s="68"/>
      <c r="UMX24" s="68"/>
      <c r="UMY24" s="68"/>
      <c r="UMZ24" s="68"/>
      <c r="UNA24" s="68"/>
      <c r="UNB24" s="68"/>
      <c r="UNC24" s="68"/>
      <c r="UND24" s="68"/>
      <c r="UNE24" s="68"/>
      <c r="UNF24" s="68"/>
      <c r="UNG24" s="68"/>
      <c r="UNH24" s="68"/>
      <c r="UNI24" s="68"/>
      <c r="UNJ24" s="68"/>
      <c r="UNK24" s="68"/>
      <c r="UNL24" s="68"/>
      <c r="UNM24" s="68"/>
      <c r="UNN24" s="68"/>
      <c r="UNO24" s="68"/>
      <c r="UNP24" s="68"/>
      <c r="UNQ24" s="68"/>
      <c r="UNR24" s="68"/>
      <c r="UNS24" s="68"/>
      <c r="UNT24" s="68"/>
      <c r="UNU24" s="68"/>
      <c r="UNV24" s="68"/>
      <c r="UNW24" s="68"/>
      <c r="UNX24" s="68"/>
      <c r="UNY24" s="68"/>
      <c r="UNZ24" s="68"/>
      <c r="UOA24" s="68"/>
      <c r="UOB24" s="68"/>
      <c r="UOC24" s="68"/>
      <c r="UOD24" s="68"/>
      <c r="UOE24" s="68"/>
      <c r="UOF24" s="68"/>
      <c r="UOG24" s="68"/>
      <c r="UOH24" s="68"/>
      <c r="UOI24" s="68"/>
      <c r="UOJ24" s="68"/>
      <c r="UOK24" s="68"/>
      <c r="UOL24" s="68"/>
      <c r="UOM24" s="68"/>
      <c r="UON24" s="68"/>
      <c r="UOO24" s="68"/>
      <c r="UOP24" s="68"/>
      <c r="UOQ24" s="68"/>
      <c r="UOR24" s="68"/>
      <c r="UOS24" s="68"/>
      <c r="UOT24" s="68"/>
      <c r="UOU24" s="68"/>
      <c r="UOV24" s="68"/>
      <c r="UOW24" s="68"/>
      <c r="UOX24" s="68"/>
      <c r="UOY24" s="68"/>
      <c r="UOZ24" s="68"/>
      <c r="UPA24" s="68"/>
      <c r="UPB24" s="68"/>
      <c r="UPC24" s="68"/>
      <c r="UPD24" s="68"/>
      <c r="UPE24" s="68"/>
      <c r="UPF24" s="68"/>
      <c r="UPG24" s="68"/>
      <c r="UPH24" s="68"/>
      <c r="UPI24" s="68"/>
      <c r="UPJ24" s="68"/>
      <c r="UPK24" s="68"/>
      <c r="UPL24" s="68"/>
      <c r="UPM24" s="68"/>
      <c r="UPN24" s="68"/>
      <c r="UPO24" s="68"/>
      <c r="UPP24" s="68"/>
      <c r="UPQ24" s="68"/>
      <c r="UPR24" s="68"/>
      <c r="UPS24" s="68"/>
      <c r="UPT24" s="68"/>
      <c r="UPU24" s="68"/>
      <c r="UPV24" s="68"/>
      <c r="UPW24" s="68"/>
      <c r="UPX24" s="68"/>
      <c r="UPY24" s="68"/>
      <c r="UPZ24" s="68"/>
      <c r="UQA24" s="68"/>
      <c r="UQB24" s="68"/>
      <c r="UQC24" s="68"/>
      <c r="UQD24" s="68"/>
      <c r="UQE24" s="68"/>
      <c r="UQF24" s="68"/>
      <c r="UQG24" s="68"/>
      <c r="UQH24" s="68"/>
      <c r="UQI24" s="68"/>
      <c r="UQJ24" s="68"/>
      <c r="UQK24" s="68"/>
      <c r="UQL24" s="68"/>
      <c r="UQM24" s="68"/>
      <c r="UQN24" s="68"/>
      <c r="UQO24" s="68"/>
      <c r="UQP24" s="68"/>
      <c r="UQQ24" s="68"/>
      <c r="UQR24" s="68"/>
      <c r="UQS24" s="68"/>
      <c r="UQT24" s="68"/>
      <c r="UQU24" s="68"/>
      <c r="UQV24" s="68"/>
      <c r="UQW24" s="68"/>
      <c r="UQX24" s="68"/>
      <c r="UQY24" s="68"/>
      <c r="UQZ24" s="68"/>
      <c r="URA24" s="68"/>
      <c r="URB24" s="68"/>
      <c r="URC24" s="68"/>
      <c r="URD24" s="68"/>
      <c r="URE24" s="68"/>
      <c r="URF24" s="68"/>
      <c r="URG24" s="68"/>
      <c r="URH24" s="68"/>
      <c r="URI24" s="68"/>
      <c r="URJ24" s="68"/>
      <c r="URK24" s="68"/>
      <c r="URL24" s="68"/>
      <c r="URM24" s="68"/>
      <c r="URN24" s="68"/>
      <c r="URO24" s="68"/>
      <c r="URP24" s="68"/>
      <c r="URQ24" s="68"/>
      <c r="URR24" s="68"/>
      <c r="URS24" s="68"/>
      <c r="URT24" s="68"/>
      <c r="URU24" s="68"/>
      <c r="URV24" s="68"/>
      <c r="URW24" s="68"/>
      <c r="URX24" s="68"/>
      <c r="URY24" s="68"/>
      <c r="URZ24" s="68"/>
      <c r="USA24" s="68"/>
      <c r="USB24" s="68"/>
      <c r="USC24" s="68"/>
      <c r="USD24" s="68"/>
      <c r="USE24" s="68"/>
      <c r="USF24" s="68"/>
      <c r="USG24" s="68"/>
      <c r="USH24" s="68"/>
      <c r="USI24" s="68"/>
      <c r="USJ24" s="68"/>
      <c r="USK24" s="68"/>
      <c r="USL24" s="68"/>
      <c r="USM24" s="68"/>
      <c r="USN24" s="68"/>
      <c r="USO24" s="68"/>
      <c r="USP24" s="68"/>
      <c r="USQ24" s="68"/>
      <c r="USR24" s="68"/>
      <c r="USS24" s="68"/>
      <c r="UST24" s="68"/>
      <c r="USU24" s="68"/>
      <c r="USV24" s="68"/>
      <c r="USW24" s="68"/>
      <c r="USX24" s="68"/>
      <c r="USY24" s="68"/>
      <c r="USZ24" s="68"/>
      <c r="UTA24" s="68"/>
      <c r="UTB24" s="68"/>
      <c r="UTC24" s="68"/>
      <c r="UTD24" s="68"/>
      <c r="UTE24" s="68"/>
      <c r="UTF24" s="68"/>
      <c r="UTG24" s="68"/>
      <c r="UTH24" s="68"/>
      <c r="UTI24" s="68"/>
      <c r="UTJ24" s="68"/>
      <c r="UTK24" s="68"/>
      <c r="UTL24" s="68"/>
      <c r="UTM24" s="68"/>
      <c r="UTN24" s="68"/>
      <c r="UTO24" s="68"/>
      <c r="UTP24" s="68"/>
      <c r="UTQ24" s="68"/>
      <c r="UTR24" s="68"/>
      <c r="UTS24" s="68"/>
      <c r="UTT24" s="68"/>
      <c r="UTU24" s="68"/>
      <c r="UTV24" s="68"/>
      <c r="UTW24" s="68"/>
      <c r="UTX24" s="68"/>
      <c r="UTY24" s="68"/>
      <c r="UTZ24" s="68"/>
      <c r="UUA24" s="68"/>
      <c r="UUB24" s="68"/>
      <c r="UUC24" s="68"/>
      <c r="UUD24" s="68"/>
      <c r="UUE24" s="68"/>
      <c r="UUF24" s="68"/>
      <c r="UUG24" s="68"/>
      <c r="UUH24" s="68"/>
      <c r="UUI24" s="68"/>
      <c r="UUJ24" s="68"/>
      <c r="UUK24" s="68"/>
      <c r="UUL24" s="68"/>
      <c r="UUM24" s="68"/>
      <c r="UUN24" s="68"/>
      <c r="UUO24" s="68"/>
      <c r="UUP24" s="68"/>
      <c r="UUQ24" s="68"/>
      <c r="UUR24" s="68"/>
      <c r="UUS24" s="68"/>
      <c r="UUT24" s="68"/>
      <c r="UUU24" s="68"/>
      <c r="UUV24" s="68"/>
      <c r="UUW24" s="68"/>
      <c r="UUX24" s="68"/>
      <c r="UUY24" s="68"/>
      <c r="UUZ24" s="68"/>
      <c r="UVA24" s="68"/>
      <c r="UVB24" s="68"/>
      <c r="UVC24" s="68"/>
      <c r="UVD24" s="68"/>
      <c r="UVE24" s="68"/>
      <c r="UVF24" s="68"/>
      <c r="UVG24" s="68"/>
      <c r="UVH24" s="68"/>
      <c r="UVI24" s="68"/>
      <c r="UVJ24" s="68"/>
      <c r="UVK24" s="68"/>
      <c r="UVL24" s="68"/>
      <c r="UVM24" s="68"/>
      <c r="UVN24" s="68"/>
      <c r="UVO24" s="68"/>
      <c r="UVP24" s="68"/>
      <c r="UVQ24" s="68"/>
      <c r="UVR24" s="68"/>
      <c r="UVS24" s="68"/>
      <c r="UVT24" s="68"/>
      <c r="UVU24" s="68"/>
      <c r="UVV24" s="68"/>
      <c r="UVW24" s="68"/>
      <c r="UVX24" s="68"/>
      <c r="UVY24" s="68"/>
      <c r="UVZ24" s="68"/>
      <c r="UWA24" s="68"/>
      <c r="UWB24" s="68"/>
      <c r="UWC24" s="68"/>
      <c r="UWD24" s="68"/>
      <c r="UWE24" s="68"/>
      <c r="UWF24" s="68"/>
      <c r="UWG24" s="68"/>
      <c r="UWH24" s="68"/>
      <c r="UWI24" s="68"/>
      <c r="UWJ24" s="68"/>
      <c r="UWK24" s="68"/>
      <c r="UWL24" s="68"/>
      <c r="UWM24" s="68"/>
      <c r="UWN24" s="68"/>
      <c r="UWO24" s="68"/>
      <c r="UWP24" s="68"/>
      <c r="UWQ24" s="68"/>
      <c r="UWR24" s="68"/>
      <c r="UWS24" s="68"/>
      <c r="UWT24" s="68"/>
      <c r="UWU24" s="68"/>
      <c r="UWV24" s="68"/>
      <c r="UWW24" s="68"/>
      <c r="UWX24" s="68"/>
      <c r="UWY24" s="68"/>
      <c r="UWZ24" s="68"/>
      <c r="UXA24" s="68"/>
      <c r="UXB24" s="68"/>
      <c r="UXC24" s="68"/>
      <c r="UXD24" s="68"/>
      <c r="UXE24" s="68"/>
      <c r="UXF24" s="68"/>
      <c r="UXG24" s="68"/>
      <c r="UXH24" s="68"/>
      <c r="UXI24" s="68"/>
      <c r="UXJ24" s="68"/>
      <c r="UXK24" s="68"/>
      <c r="UXL24" s="68"/>
      <c r="UXM24" s="68"/>
      <c r="UXN24" s="68"/>
      <c r="UXO24" s="68"/>
      <c r="UXP24" s="68"/>
      <c r="UXQ24" s="68"/>
      <c r="UXR24" s="68"/>
      <c r="UXS24" s="68"/>
      <c r="UXT24" s="68"/>
      <c r="UXU24" s="68"/>
      <c r="UXV24" s="68"/>
      <c r="UXW24" s="68"/>
      <c r="UXX24" s="68"/>
      <c r="UXY24" s="68"/>
      <c r="UXZ24" s="68"/>
      <c r="UYA24" s="68"/>
      <c r="UYB24" s="68"/>
      <c r="UYC24" s="68"/>
      <c r="UYD24" s="68"/>
      <c r="UYE24" s="68"/>
      <c r="UYF24" s="68"/>
      <c r="UYG24" s="68"/>
      <c r="UYH24" s="68"/>
      <c r="UYI24" s="68"/>
      <c r="UYJ24" s="68"/>
      <c r="UYK24" s="68"/>
      <c r="UYL24" s="68"/>
      <c r="UYM24" s="68"/>
      <c r="UYN24" s="68"/>
      <c r="UYO24" s="68"/>
      <c r="UYP24" s="68"/>
      <c r="UYQ24" s="68"/>
      <c r="UYR24" s="68"/>
      <c r="UYS24" s="68"/>
      <c r="UYT24" s="68"/>
      <c r="UYU24" s="68"/>
      <c r="UYV24" s="68"/>
      <c r="UYW24" s="68"/>
      <c r="UYX24" s="68"/>
      <c r="UYY24" s="68"/>
      <c r="UYZ24" s="68"/>
      <c r="UZA24" s="68"/>
      <c r="UZB24" s="68"/>
      <c r="UZC24" s="68"/>
      <c r="UZD24" s="68"/>
      <c r="UZE24" s="68"/>
      <c r="UZF24" s="68"/>
      <c r="UZG24" s="68"/>
      <c r="UZH24" s="68"/>
      <c r="UZI24" s="68"/>
      <c r="UZJ24" s="68"/>
      <c r="UZK24" s="68"/>
      <c r="UZL24" s="68"/>
      <c r="UZM24" s="68"/>
      <c r="UZN24" s="68"/>
      <c r="UZO24" s="68"/>
      <c r="UZP24" s="68"/>
      <c r="UZQ24" s="68"/>
      <c r="UZR24" s="68"/>
      <c r="UZS24" s="68"/>
      <c r="UZT24" s="68"/>
      <c r="UZU24" s="68"/>
      <c r="UZV24" s="68"/>
      <c r="UZW24" s="68"/>
      <c r="UZX24" s="68"/>
      <c r="UZY24" s="68"/>
      <c r="UZZ24" s="68"/>
      <c r="VAA24" s="68"/>
      <c r="VAB24" s="68"/>
      <c r="VAC24" s="68"/>
      <c r="VAD24" s="68"/>
      <c r="VAE24" s="68"/>
      <c r="VAF24" s="68"/>
      <c r="VAG24" s="68"/>
      <c r="VAH24" s="68"/>
      <c r="VAI24" s="68"/>
      <c r="VAJ24" s="68"/>
      <c r="VAK24" s="68"/>
      <c r="VAL24" s="68"/>
      <c r="VAM24" s="68"/>
      <c r="VAN24" s="68"/>
      <c r="VAO24" s="68"/>
      <c r="VAP24" s="68"/>
      <c r="VAQ24" s="68"/>
      <c r="VAR24" s="68"/>
      <c r="VAS24" s="68"/>
      <c r="VAT24" s="68"/>
      <c r="VAU24" s="68"/>
      <c r="VAV24" s="68"/>
      <c r="VAW24" s="68"/>
      <c r="VAX24" s="68"/>
      <c r="VAY24" s="68"/>
      <c r="VAZ24" s="68"/>
      <c r="VBA24" s="68"/>
      <c r="VBB24" s="68"/>
      <c r="VBC24" s="68"/>
      <c r="VBD24" s="68"/>
      <c r="VBE24" s="68"/>
      <c r="VBF24" s="68"/>
      <c r="VBG24" s="68"/>
      <c r="VBH24" s="68"/>
      <c r="VBI24" s="68"/>
      <c r="VBJ24" s="68"/>
      <c r="VBK24" s="68"/>
      <c r="VBL24" s="68"/>
      <c r="VBM24" s="68"/>
      <c r="VBN24" s="68"/>
      <c r="VBO24" s="68"/>
      <c r="VBP24" s="68"/>
      <c r="VBQ24" s="68"/>
      <c r="VBR24" s="68"/>
      <c r="VBS24" s="68"/>
      <c r="VBT24" s="68"/>
      <c r="VBU24" s="68"/>
      <c r="VBV24" s="68"/>
      <c r="VBW24" s="68"/>
      <c r="VBX24" s="68"/>
      <c r="VBY24" s="68"/>
      <c r="VBZ24" s="68"/>
      <c r="VCA24" s="68"/>
      <c r="VCB24" s="68"/>
      <c r="VCC24" s="68"/>
      <c r="VCD24" s="68"/>
      <c r="VCE24" s="68"/>
      <c r="VCF24" s="68"/>
      <c r="VCG24" s="68"/>
      <c r="VCH24" s="68"/>
      <c r="VCI24" s="68"/>
      <c r="VCJ24" s="68"/>
      <c r="VCK24" s="68"/>
      <c r="VCL24" s="68"/>
      <c r="VCM24" s="68"/>
      <c r="VCN24" s="68"/>
      <c r="VCO24" s="68"/>
      <c r="VCP24" s="68"/>
      <c r="VCQ24" s="68"/>
      <c r="VCR24" s="68"/>
      <c r="VCS24" s="68"/>
      <c r="VCT24" s="68"/>
      <c r="VCU24" s="68"/>
      <c r="VCV24" s="68"/>
      <c r="VCW24" s="68"/>
      <c r="VCX24" s="68"/>
      <c r="VCY24" s="68"/>
      <c r="VCZ24" s="68"/>
      <c r="VDA24" s="68"/>
      <c r="VDB24" s="68"/>
      <c r="VDC24" s="68"/>
      <c r="VDD24" s="68"/>
      <c r="VDE24" s="68"/>
      <c r="VDF24" s="68"/>
      <c r="VDG24" s="68"/>
      <c r="VDH24" s="68"/>
      <c r="VDI24" s="68"/>
      <c r="VDJ24" s="68"/>
      <c r="VDK24" s="68"/>
      <c r="VDL24" s="68"/>
      <c r="VDM24" s="68"/>
      <c r="VDN24" s="68"/>
      <c r="VDO24" s="68"/>
      <c r="VDP24" s="68"/>
      <c r="VDQ24" s="68"/>
      <c r="VDR24" s="68"/>
      <c r="VDS24" s="68"/>
      <c r="VDT24" s="68"/>
      <c r="VDU24" s="68"/>
      <c r="VDV24" s="68"/>
      <c r="VDW24" s="68"/>
      <c r="VDX24" s="68"/>
      <c r="VDY24" s="68"/>
      <c r="VDZ24" s="68"/>
      <c r="VEA24" s="68"/>
      <c r="VEB24" s="68"/>
      <c r="VEC24" s="68"/>
      <c r="VED24" s="68"/>
      <c r="VEE24" s="68"/>
      <c r="VEF24" s="68"/>
      <c r="VEG24" s="68"/>
      <c r="VEH24" s="68"/>
      <c r="VEI24" s="68"/>
      <c r="VEJ24" s="68"/>
      <c r="VEK24" s="68"/>
      <c r="VEL24" s="68"/>
      <c r="VEM24" s="68"/>
      <c r="VEN24" s="68"/>
      <c r="VEO24" s="68"/>
      <c r="VEP24" s="68"/>
      <c r="VEQ24" s="68"/>
      <c r="VER24" s="68"/>
      <c r="VES24" s="68"/>
      <c r="VET24" s="68"/>
      <c r="VEU24" s="68"/>
      <c r="VEV24" s="68"/>
      <c r="VEW24" s="68"/>
      <c r="VEX24" s="68"/>
      <c r="VEY24" s="68"/>
      <c r="VEZ24" s="68"/>
      <c r="VFA24" s="68"/>
      <c r="VFB24" s="68"/>
      <c r="VFC24" s="68"/>
      <c r="VFD24" s="68"/>
      <c r="VFE24" s="68"/>
      <c r="VFF24" s="68"/>
      <c r="VFG24" s="68"/>
      <c r="VFH24" s="68"/>
      <c r="VFI24" s="68"/>
      <c r="VFJ24" s="68"/>
      <c r="VFK24" s="68"/>
      <c r="VFL24" s="68"/>
      <c r="VFM24" s="68"/>
      <c r="VFN24" s="68"/>
      <c r="VFO24" s="68"/>
      <c r="VFP24" s="68"/>
      <c r="VFQ24" s="68"/>
      <c r="VFR24" s="68"/>
      <c r="VFS24" s="68"/>
      <c r="VFT24" s="68"/>
      <c r="VFU24" s="68"/>
      <c r="VFV24" s="68"/>
      <c r="VFW24" s="68"/>
      <c r="VFX24" s="68"/>
      <c r="VFY24" s="68"/>
      <c r="VFZ24" s="68"/>
      <c r="VGA24" s="68"/>
      <c r="VGB24" s="68"/>
      <c r="VGC24" s="68"/>
      <c r="VGD24" s="68"/>
      <c r="VGE24" s="68"/>
      <c r="VGF24" s="68"/>
      <c r="VGG24" s="68"/>
      <c r="VGH24" s="68"/>
      <c r="VGI24" s="68"/>
      <c r="VGJ24" s="68"/>
      <c r="VGK24" s="68"/>
      <c r="VGL24" s="68"/>
      <c r="VGM24" s="68"/>
      <c r="VGN24" s="68"/>
      <c r="VGO24" s="68"/>
      <c r="VGP24" s="68"/>
      <c r="VGQ24" s="68"/>
      <c r="VGR24" s="68"/>
      <c r="VGS24" s="68"/>
      <c r="VGT24" s="68"/>
      <c r="VGU24" s="68"/>
      <c r="VGV24" s="68"/>
      <c r="VGW24" s="68"/>
      <c r="VGX24" s="68"/>
      <c r="VGY24" s="68"/>
      <c r="VGZ24" s="68"/>
      <c r="VHA24" s="68"/>
      <c r="VHB24" s="68"/>
      <c r="VHC24" s="68"/>
      <c r="VHD24" s="68"/>
      <c r="VHE24" s="68"/>
      <c r="VHF24" s="68"/>
      <c r="VHG24" s="68"/>
      <c r="VHH24" s="68"/>
      <c r="VHI24" s="68"/>
      <c r="VHJ24" s="68"/>
      <c r="VHK24" s="68"/>
      <c r="VHL24" s="68"/>
      <c r="VHM24" s="68"/>
      <c r="VHN24" s="68"/>
      <c r="VHO24" s="68"/>
      <c r="VHP24" s="68"/>
      <c r="VHQ24" s="68"/>
      <c r="VHR24" s="68"/>
      <c r="VHS24" s="68"/>
      <c r="VHT24" s="68"/>
      <c r="VHU24" s="68"/>
      <c r="VHV24" s="68"/>
      <c r="VHW24" s="68"/>
      <c r="VHX24" s="68"/>
      <c r="VHY24" s="68"/>
      <c r="VHZ24" s="68"/>
      <c r="VIA24" s="68"/>
      <c r="VIB24" s="68"/>
      <c r="VIC24" s="68"/>
      <c r="VID24" s="68"/>
      <c r="VIE24" s="68"/>
      <c r="VIF24" s="68"/>
      <c r="VIG24" s="68"/>
      <c r="VIH24" s="68"/>
      <c r="VII24" s="68"/>
      <c r="VIJ24" s="68"/>
      <c r="VIK24" s="68"/>
      <c r="VIL24" s="68"/>
      <c r="VIM24" s="68"/>
      <c r="VIN24" s="68"/>
      <c r="VIO24" s="68"/>
      <c r="VIP24" s="68"/>
      <c r="VIQ24" s="68"/>
      <c r="VIR24" s="68"/>
      <c r="VIS24" s="68"/>
      <c r="VIT24" s="68"/>
      <c r="VIU24" s="68"/>
      <c r="VIV24" s="68"/>
      <c r="VIW24" s="68"/>
      <c r="VIX24" s="68"/>
      <c r="VIY24" s="68"/>
      <c r="VIZ24" s="68"/>
      <c r="VJA24" s="68"/>
      <c r="VJB24" s="68"/>
      <c r="VJC24" s="68"/>
      <c r="VJD24" s="68"/>
      <c r="VJE24" s="68"/>
      <c r="VJF24" s="68"/>
      <c r="VJG24" s="68"/>
      <c r="VJH24" s="68"/>
      <c r="VJI24" s="68"/>
      <c r="VJJ24" s="68"/>
      <c r="VJK24" s="68"/>
      <c r="VJL24" s="68"/>
      <c r="VJM24" s="68"/>
      <c r="VJN24" s="68"/>
      <c r="VJO24" s="68"/>
      <c r="VJP24" s="68"/>
      <c r="VJQ24" s="68"/>
      <c r="VJR24" s="68"/>
      <c r="VJS24" s="68"/>
      <c r="VJT24" s="68"/>
      <c r="VJU24" s="68"/>
      <c r="VJV24" s="68"/>
      <c r="VJW24" s="68"/>
      <c r="VJX24" s="68"/>
      <c r="VJY24" s="68"/>
      <c r="VJZ24" s="68"/>
      <c r="VKA24" s="68"/>
      <c r="VKB24" s="68"/>
      <c r="VKC24" s="68"/>
      <c r="VKD24" s="68"/>
      <c r="VKE24" s="68"/>
      <c r="VKF24" s="68"/>
      <c r="VKG24" s="68"/>
      <c r="VKH24" s="68"/>
      <c r="VKI24" s="68"/>
      <c r="VKJ24" s="68"/>
      <c r="VKK24" s="68"/>
      <c r="VKL24" s="68"/>
      <c r="VKM24" s="68"/>
      <c r="VKN24" s="68"/>
      <c r="VKO24" s="68"/>
      <c r="VKP24" s="68"/>
      <c r="VKQ24" s="68"/>
      <c r="VKR24" s="68"/>
      <c r="VKS24" s="68"/>
      <c r="VKT24" s="68"/>
      <c r="VKU24" s="68"/>
      <c r="VKV24" s="68"/>
      <c r="VKW24" s="68"/>
      <c r="VKX24" s="68"/>
      <c r="VKY24" s="68"/>
      <c r="VKZ24" s="68"/>
      <c r="VLA24" s="68"/>
      <c r="VLB24" s="68"/>
      <c r="VLC24" s="68"/>
      <c r="VLD24" s="68"/>
      <c r="VLE24" s="68"/>
      <c r="VLF24" s="68"/>
      <c r="VLG24" s="68"/>
      <c r="VLH24" s="68"/>
      <c r="VLI24" s="68"/>
      <c r="VLJ24" s="68"/>
      <c r="VLK24" s="68"/>
      <c r="VLL24" s="68"/>
      <c r="VLM24" s="68"/>
      <c r="VLN24" s="68"/>
      <c r="VLO24" s="68"/>
      <c r="VLP24" s="68"/>
      <c r="VLQ24" s="68"/>
      <c r="VLR24" s="68"/>
      <c r="VLS24" s="68"/>
      <c r="VLT24" s="68"/>
      <c r="VLU24" s="68"/>
      <c r="VLV24" s="68"/>
      <c r="VLW24" s="68"/>
      <c r="VLX24" s="68"/>
      <c r="VLY24" s="68"/>
      <c r="VLZ24" s="68"/>
      <c r="VMA24" s="68"/>
      <c r="VMB24" s="68"/>
      <c r="VMC24" s="68"/>
      <c r="VMD24" s="68"/>
      <c r="VME24" s="68"/>
      <c r="VMF24" s="68"/>
      <c r="VMG24" s="68"/>
      <c r="VMH24" s="68"/>
      <c r="VMI24" s="68"/>
      <c r="VMJ24" s="68"/>
      <c r="VMK24" s="68"/>
      <c r="VML24" s="68"/>
      <c r="VMM24" s="68"/>
      <c r="VMN24" s="68"/>
      <c r="VMO24" s="68"/>
      <c r="VMP24" s="68"/>
      <c r="VMQ24" s="68"/>
      <c r="VMR24" s="68"/>
      <c r="VMS24" s="68"/>
      <c r="VMT24" s="68"/>
      <c r="VMU24" s="68"/>
      <c r="VMV24" s="68"/>
      <c r="VMW24" s="68"/>
      <c r="VMX24" s="68"/>
      <c r="VMY24" s="68"/>
      <c r="VMZ24" s="68"/>
      <c r="VNA24" s="68"/>
      <c r="VNB24" s="68"/>
      <c r="VNC24" s="68"/>
      <c r="VND24" s="68"/>
      <c r="VNE24" s="68"/>
      <c r="VNF24" s="68"/>
      <c r="VNG24" s="68"/>
      <c r="VNH24" s="68"/>
      <c r="VNI24" s="68"/>
      <c r="VNJ24" s="68"/>
      <c r="VNK24" s="68"/>
      <c r="VNL24" s="68"/>
      <c r="VNM24" s="68"/>
      <c r="VNN24" s="68"/>
      <c r="VNO24" s="68"/>
      <c r="VNP24" s="68"/>
      <c r="VNQ24" s="68"/>
      <c r="VNR24" s="68"/>
      <c r="VNS24" s="68"/>
      <c r="VNT24" s="68"/>
      <c r="VNU24" s="68"/>
      <c r="VNV24" s="68"/>
      <c r="VNW24" s="68"/>
      <c r="VNX24" s="68"/>
      <c r="VNY24" s="68"/>
      <c r="VNZ24" s="68"/>
      <c r="VOA24" s="68"/>
      <c r="VOB24" s="68"/>
      <c r="VOC24" s="68"/>
      <c r="VOD24" s="68"/>
      <c r="VOE24" s="68"/>
      <c r="VOF24" s="68"/>
      <c r="VOG24" s="68"/>
      <c r="VOH24" s="68"/>
      <c r="VOI24" s="68"/>
      <c r="VOJ24" s="68"/>
      <c r="VOK24" s="68"/>
      <c r="VOL24" s="68"/>
      <c r="VOM24" s="68"/>
      <c r="VON24" s="68"/>
      <c r="VOO24" s="68"/>
      <c r="VOP24" s="68"/>
      <c r="VOQ24" s="68"/>
      <c r="VOR24" s="68"/>
      <c r="VOS24" s="68"/>
      <c r="VOT24" s="68"/>
      <c r="VOU24" s="68"/>
      <c r="VOV24" s="68"/>
      <c r="VOW24" s="68"/>
      <c r="VOX24" s="68"/>
      <c r="VOY24" s="68"/>
      <c r="VOZ24" s="68"/>
      <c r="VPA24" s="68"/>
      <c r="VPB24" s="68"/>
      <c r="VPC24" s="68"/>
      <c r="VPD24" s="68"/>
      <c r="VPE24" s="68"/>
      <c r="VPF24" s="68"/>
      <c r="VPG24" s="68"/>
      <c r="VPH24" s="68"/>
      <c r="VPI24" s="68"/>
      <c r="VPJ24" s="68"/>
      <c r="VPK24" s="68"/>
      <c r="VPL24" s="68"/>
      <c r="VPM24" s="68"/>
      <c r="VPN24" s="68"/>
      <c r="VPO24" s="68"/>
      <c r="VPP24" s="68"/>
      <c r="VPQ24" s="68"/>
      <c r="VPR24" s="68"/>
      <c r="VPS24" s="68"/>
      <c r="VPT24" s="68"/>
      <c r="VPU24" s="68"/>
      <c r="VPV24" s="68"/>
      <c r="VPW24" s="68"/>
      <c r="VPX24" s="68"/>
      <c r="VPY24" s="68"/>
      <c r="VPZ24" s="68"/>
      <c r="VQA24" s="68"/>
      <c r="VQB24" s="68"/>
      <c r="VQC24" s="68"/>
      <c r="VQD24" s="68"/>
      <c r="VQE24" s="68"/>
      <c r="VQF24" s="68"/>
      <c r="VQG24" s="68"/>
      <c r="VQH24" s="68"/>
      <c r="VQI24" s="68"/>
      <c r="VQJ24" s="68"/>
      <c r="VQK24" s="68"/>
      <c r="VQL24" s="68"/>
      <c r="VQM24" s="68"/>
      <c r="VQN24" s="68"/>
      <c r="VQO24" s="68"/>
      <c r="VQP24" s="68"/>
      <c r="VQQ24" s="68"/>
      <c r="VQR24" s="68"/>
      <c r="VQS24" s="68"/>
      <c r="VQT24" s="68"/>
      <c r="VQU24" s="68"/>
      <c r="VQV24" s="68"/>
      <c r="VQW24" s="68"/>
      <c r="VQX24" s="68"/>
      <c r="VQY24" s="68"/>
      <c r="VQZ24" s="68"/>
      <c r="VRA24" s="68"/>
      <c r="VRB24" s="68"/>
      <c r="VRC24" s="68"/>
      <c r="VRD24" s="68"/>
      <c r="VRE24" s="68"/>
      <c r="VRF24" s="68"/>
      <c r="VRG24" s="68"/>
      <c r="VRH24" s="68"/>
      <c r="VRI24" s="68"/>
      <c r="VRJ24" s="68"/>
      <c r="VRK24" s="68"/>
      <c r="VRL24" s="68"/>
      <c r="VRM24" s="68"/>
      <c r="VRN24" s="68"/>
      <c r="VRO24" s="68"/>
      <c r="VRP24" s="68"/>
      <c r="VRQ24" s="68"/>
      <c r="VRR24" s="68"/>
      <c r="VRS24" s="68"/>
      <c r="VRT24" s="68"/>
      <c r="VRU24" s="68"/>
      <c r="VRV24" s="68"/>
      <c r="VRW24" s="68"/>
      <c r="VRX24" s="68"/>
      <c r="VRY24" s="68"/>
      <c r="VRZ24" s="68"/>
      <c r="VSA24" s="68"/>
      <c r="VSB24" s="68"/>
      <c r="VSC24" s="68"/>
      <c r="VSD24" s="68"/>
      <c r="VSE24" s="68"/>
      <c r="VSF24" s="68"/>
      <c r="VSG24" s="68"/>
      <c r="VSH24" s="68"/>
      <c r="VSI24" s="68"/>
      <c r="VSJ24" s="68"/>
      <c r="VSK24" s="68"/>
      <c r="VSL24" s="68"/>
      <c r="VSM24" s="68"/>
      <c r="VSN24" s="68"/>
      <c r="VSO24" s="68"/>
      <c r="VSP24" s="68"/>
      <c r="VSQ24" s="68"/>
      <c r="VSR24" s="68"/>
      <c r="VSS24" s="68"/>
      <c r="VST24" s="68"/>
      <c r="VSU24" s="68"/>
      <c r="VSV24" s="68"/>
      <c r="VSW24" s="68"/>
      <c r="VSX24" s="68"/>
      <c r="VSY24" s="68"/>
      <c r="VSZ24" s="68"/>
      <c r="VTA24" s="68"/>
      <c r="VTB24" s="68"/>
      <c r="VTC24" s="68"/>
      <c r="VTD24" s="68"/>
      <c r="VTE24" s="68"/>
      <c r="VTF24" s="68"/>
      <c r="VTG24" s="68"/>
      <c r="VTH24" s="68"/>
      <c r="VTI24" s="68"/>
      <c r="VTJ24" s="68"/>
      <c r="VTK24" s="68"/>
      <c r="VTL24" s="68"/>
      <c r="VTM24" s="68"/>
      <c r="VTN24" s="68"/>
      <c r="VTO24" s="68"/>
      <c r="VTP24" s="68"/>
      <c r="VTQ24" s="68"/>
      <c r="VTR24" s="68"/>
      <c r="VTS24" s="68"/>
      <c r="VTT24" s="68"/>
      <c r="VTU24" s="68"/>
      <c r="VTV24" s="68"/>
      <c r="VTW24" s="68"/>
      <c r="VTX24" s="68"/>
      <c r="VTY24" s="68"/>
      <c r="VTZ24" s="68"/>
      <c r="VUA24" s="68"/>
      <c r="VUB24" s="68"/>
      <c r="VUC24" s="68"/>
      <c r="VUD24" s="68"/>
      <c r="VUE24" s="68"/>
      <c r="VUF24" s="68"/>
      <c r="VUG24" s="68"/>
      <c r="VUH24" s="68"/>
      <c r="VUI24" s="68"/>
      <c r="VUJ24" s="68"/>
      <c r="VUK24" s="68"/>
      <c r="VUL24" s="68"/>
      <c r="VUM24" s="68"/>
      <c r="VUN24" s="68"/>
      <c r="VUO24" s="68"/>
      <c r="VUP24" s="68"/>
      <c r="VUQ24" s="68"/>
      <c r="VUR24" s="68"/>
      <c r="VUS24" s="68"/>
      <c r="VUT24" s="68"/>
      <c r="VUU24" s="68"/>
      <c r="VUV24" s="68"/>
      <c r="VUW24" s="68"/>
      <c r="VUX24" s="68"/>
      <c r="VUY24" s="68"/>
      <c r="VUZ24" s="68"/>
      <c r="VVA24" s="68"/>
      <c r="VVB24" s="68"/>
      <c r="VVC24" s="68"/>
      <c r="VVD24" s="68"/>
      <c r="VVE24" s="68"/>
      <c r="VVF24" s="68"/>
      <c r="VVG24" s="68"/>
      <c r="VVH24" s="68"/>
      <c r="VVI24" s="68"/>
      <c r="VVJ24" s="68"/>
      <c r="VVK24" s="68"/>
      <c r="VVL24" s="68"/>
      <c r="VVM24" s="68"/>
      <c r="VVN24" s="68"/>
      <c r="VVO24" s="68"/>
      <c r="VVP24" s="68"/>
      <c r="VVQ24" s="68"/>
      <c r="VVR24" s="68"/>
      <c r="VVS24" s="68"/>
      <c r="VVT24" s="68"/>
      <c r="VVU24" s="68"/>
      <c r="VVV24" s="68"/>
      <c r="VVW24" s="68"/>
      <c r="VVX24" s="68"/>
      <c r="VVY24" s="68"/>
      <c r="VVZ24" s="68"/>
      <c r="VWA24" s="68"/>
      <c r="VWB24" s="68"/>
      <c r="VWC24" s="68"/>
      <c r="VWD24" s="68"/>
      <c r="VWE24" s="68"/>
      <c r="VWF24" s="68"/>
      <c r="VWG24" s="68"/>
      <c r="VWH24" s="68"/>
      <c r="VWI24" s="68"/>
      <c r="VWJ24" s="68"/>
      <c r="VWK24" s="68"/>
      <c r="VWL24" s="68"/>
      <c r="VWM24" s="68"/>
      <c r="VWN24" s="68"/>
      <c r="VWO24" s="68"/>
      <c r="VWP24" s="68"/>
      <c r="VWQ24" s="68"/>
      <c r="VWR24" s="68"/>
      <c r="VWS24" s="68"/>
      <c r="VWT24" s="68"/>
      <c r="VWU24" s="68"/>
      <c r="VWV24" s="68"/>
      <c r="VWW24" s="68"/>
      <c r="VWX24" s="68"/>
      <c r="VWY24" s="68"/>
      <c r="VWZ24" s="68"/>
      <c r="VXA24" s="68"/>
      <c r="VXB24" s="68"/>
      <c r="VXC24" s="68"/>
      <c r="VXD24" s="68"/>
      <c r="VXE24" s="68"/>
      <c r="VXF24" s="68"/>
      <c r="VXG24" s="68"/>
      <c r="VXH24" s="68"/>
      <c r="VXI24" s="68"/>
      <c r="VXJ24" s="68"/>
      <c r="VXK24" s="68"/>
      <c r="VXL24" s="68"/>
      <c r="VXM24" s="68"/>
      <c r="VXN24" s="68"/>
      <c r="VXO24" s="68"/>
      <c r="VXP24" s="68"/>
      <c r="VXQ24" s="68"/>
      <c r="VXR24" s="68"/>
      <c r="VXS24" s="68"/>
      <c r="VXT24" s="68"/>
      <c r="VXU24" s="68"/>
      <c r="VXV24" s="68"/>
      <c r="VXW24" s="68"/>
      <c r="VXX24" s="68"/>
      <c r="VXY24" s="68"/>
      <c r="VXZ24" s="68"/>
      <c r="VYA24" s="68"/>
      <c r="VYB24" s="68"/>
      <c r="VYC24" s="68"/>
      <c r="VYD24" s="68"/>
      <c r="VYE24" s="68"/>
      <c r="VYF24" s="68"/>
      <c r="VYG24" s="68"/>
      <c r="VYH24" s="68"/>
      <c r="VYI24" s="68"/>
      <c r="VYJ24" s="68"/>
      <c r="VYK24" s="68"/>
      <c r="VYL24" s="68"/>
      <c r="VYM24" s="68"/>
      <c r="VYN24" s="68"/>
      <c r="VYO24" s="68"/>
      <c r="VYP24" s="68"/>
      <c r="VYQ24" s="68"/>
      <c r="VYR24" s="68"/>
      <c r="VYS24" s="68"/>
      <c r="VYT24" s="68"/>
      <c r="VYU24" s="68"/>
      <c r="VYV24" s="68"/>
      <c r="VYW24" s="68"/>
      <c r="VYX24" s="68"/>
      <c r="VYY24" s="68"/>
      <c r="VYZ24" s="68"/>
      <c r="VZA24" s="68"/>
      <c r="VZB24" s="68"/>
      <c r="VZC24" s="68"/>
      <c r="VZD24" s="68"/>
      <c r="VZE24" s="68"/>
      <c r="VZF24" s="68"/>
      <c r="VZG24" s="68"/>
      <c r="VZH24" s="68"/>
      <c r="VZI24" s="68"/>
      <c r="VZJ24" s="68"/>
      <c r="VZK24" s="68"/>
      <c r="VZL24" s="68"/>
      <c r="VZM24" s="68"/>
      <c r="VZN24" s="68"/>
      <c r="VZO24" s="68"/>
      <c r="VZP24" s="68"/>
      <c r="VZQ24" s="68"/>
      <c r="VZR24" s="68"/>
      <c r="VZS24" s="68"/>
      <c r="VZT24" s="68"/>
      <c r="VZU24" s="68"/>
      <c r="VZV24" s="68"/>
      <c r="VZW24" s="68"/>
      <c r="VZX24" s="68"/>
      <c r="VZY24" s="68"/>
      <c r="VZZ24" s="68"/>
      <c r="WAA24" s="68"/>
      <c r="WAB24" s="68"/>
      <c r="WAC24" s="68"/>
      <c r="WAD24" s="68"/>
      <c r="WAE24" s="68"/>
      <c r="WAF24" s="68"/>
      <c r="WAG24" s="68"/>
      <c r="WAH24" s="68"/>
      <c r="WAI24" s="68"/>
      <c r="WAJ24" s="68"/>
      <c r="WAK24" s="68"/>
      <c r="WAL24" s="68"/>
      <c r="WAM24" s="68"/>
      <c r="WAN24" s="68"/>
      <c r="WAO24" s="68"/>
      <c r="WAP24" s="68"/>
      <c r="WAQ24" s="68"/>
      <c r="WAR24" s="68"/>
      <c r="WAS24" s="68"/>
      <c r="WAT24" s="68"/>
      <c r="WAU24" s="68"/>
      <c r="WAV24" s="68"/>
      <c r="WAW24" s="68"/>
      <c r="WAX24" s="68"/>
      <c r="WAY24" s="68"/>
      <c r="WAZ24" s="68"/>
      <c r="WBA24" s="68"/>
      <c r="WBB24" s="68"/>
      <c r="WBC24" s="68"/>
      <c r="WBD24" s="68"/>
      <c r="WBE24" s="68"/>
      <c r="WBF24" s="68"/>
      <c r="WBG24" s="68"/>
      <c r="WBH24" s="68"/>
      <c r="WBI24" s="68"/>
      <c r="WBJ24" s="68"/>
      <c r="WBK24" s="68"/>
      <c r="WBL24" s="68"/>
      <c r="WBM24" s="68"/>
      <c r="WBN24" s="68"/>
      <c r="WBO24" s="68"/>
      <c r="WBP24" s="68"/>
      <c r="WBQ24" s="68"/>
      <c r="WBR24" s="68"/>
      <c r="WBS24" s="68"/>
      <c r="WBT24" s="68"/>
      <c r="WBU24" s="68"/>
      <c r="WBV24" s="68"/>
      <c r="WBW24" s="68"/>
      <c r="WBX24" s="68"/>
      <c r="WBY24" s="68"/>
      <c r="WBZ24" s="68"/>
      <c r="WCA24" s="68"/>
      <c r="WCB24" s="68"/>
      <c r="WCC24" s="68"/>
      <c r="WCD24" s="68"/>
      <c r="WCE24" s="68"/>
      <c r="WCF24" s="68"/>
      <c r="WCG24" s="68"/>
      <c r="WCH24" s="68"/>
      <c r="WCI24" s="68"/>
      <c r="WCJ24" s="68"/>
      <c r="WCK24" s="68"/>
      <c r="WCL24" s="68"/>
      <c r="WCM24" s="68"/>
      <c r="WCN24" s="68"/>
      <c r="WCO24" s="68"/>
      <c r="WCP24" s="68"/>
      <c r="WCQ24" s="68"/>
      <c r="WCR24" s="68"/>
      <c r="WCS24" s="68"/>
      <c r="WCT24" s="68"/>
      <c r="WCU24" s="68"/>
      <c r="WCV24" s="68"/>
      <c r="WCW24" s="68"/>
      <c r="WCX24" s="68"/>
      <c r="WCY24" s="68"/>
      <c r="WCZ24" s="68"/>
      <c r="WDA24" s="68"/>
      <c r="WDB24" s="68"/>
      <c r="WDC24" s="68"/>
      <c r="WDD24" s="68"/>
      <c r="WDE24" s="68"/>
      <c r="WDF24" s="68"/>
      <c r="WDG24" s="68"/>
      <c r="WDH24" s="68"/>
      <c r="WDI24" s="68"/>
      <c r="WDJ24" s="68"/>
      <c r="WDK24" s="68"/>
      <c r="WDL24" s="68"/>
      <c r="WDM24" s="68"/>
      <c r="WDN24" s="68"/>
      <c r="WDO24" s="68"/>
      <c r="WDP24" s="68"/>
      <c r="WDQ24" s="68"/>
      <c r="WDR24" s="68"/>
      <c r="WDS24" s="68"/>
      <c r="WDT24" s="68"/>
      <c r="WDU24" s="68"/>
      <c r="WDV24" s="68"/>
      <c r="WDW24" s="68"/>
      <c r="WDX24" s="68"/>
      <c r="WDY24" s="68"/>
      <c r="WDZ24" s="68"/>
      <c r="WEA24" s="68"/>
      <c r="WEB24" s="68"/>
      <c r="WEC24" s="68"/>
      <c r="WED24" s="68"/>
      <c r="WEE24" s="68"/>
      <c r="WEF24" s="68"/>
      <c r="WEG24" s="68"/>
      <c r="WEH24" s="68"/>
      <c r="WEI24" s="68"/>
      <c r="WEJ24" s="68"/>
      <c r="WEK24" s="68"/>
      <c r="WEL24" s="68"/>
      <c r="WEM24" s="68"/>
      <c r="WEN24" s="68"/>
      <c r="WEO24" s="68"/>
      <c r="WEP24" s="68"/>
      <c r="WEQ24" s="68"/>
      <c r="WER24" s="68"/>
      <c r="WES24" s="68"/>
      <c r="WET24" s="68"/>
      <c r="WEU24" s="68"/>
      <c r="WEV24" s="68"/>
      <c r="WEW24" s="68"/>
      <c r="WEX24" s="68"/>
      <c r="WEY24" s="68"/>
      <c r="WEZ24" s="68"/>
      <c r="WFA24" s="68"/>
      <c r="WFB24" s="68"/>
      <c r="WFC24" s="68"/>
      <c r="WFD24" s="68"/>
      <c r="WFE24" s="68"/>
      <c r="WFF24" s="68"/>
      <c r="WFG24" s="68"/>
      <c r="WFH24" s="68"/>
      <c r="WFI24" s="68"/>
      <c r="WFJ24" s="68"/>
      <c r="WFK24" s="68"/>
      <c r="WFL24" s="68"/>
      <c r="WFM24" s="68"/>
      <c r="WFN24" s="68"/>
      <c r="WFO24" s="68"/>
      <c r="WFP24" s="68"/>
      <c r="WFQ24" s="68"/>
      <c r="WFR24" s="68"/>
      <c r="WFS24" s="68"/>
      <c r="WFT24" s="68"/>
      <c r="WFU24" s="68"/>
      <c r="WFV24" s="68"/>
      <c r="WFW24" s="68"/>
      <c r="WFX24" s="68"/>
      <c r="WFY24" s="68"/>
      <c r="WFZ24" s="68"/>
      <c r="WGA24" s="68"/>
      <c r="WGB24" s="68"/>
      <c r="WGC24" s="68"/>
      <c r="WGD24" s="68"/>
      <c r="WGE24" s="68"/>
      <c r="WGF24" s="68"/>
      <c r="WGG24" s="68"/>
      <c r="WGH24" s="68"/>
      <c r="WGI24" s="68"/>
      <c r="WGJ24" s="68"/>
      <c r="WGK24" s="68"/>
      <c r="WGL24" s="68"/>
      <c r="WGM24" s="68"/>
      <c r="WGN24" s="68"/>
      <c r="WGO24" s="68"/>
      <c r="WGP24" s="68"/>
      <c r="WGQ24" s="68"/>
      <c r="WGR24" s="68"/>
      <c r="WGS24" s="68"/>
      <c r="WGT24" s="68"/>
      <c r="WGU24" s="68"/>
      <c r="WGV24" s="68"/>
      <c r="WGW24" s="68"/>
      <c r="WGX24" s="68"/>
      <c r="WGY24" s="68"/>
      <c r="WGZ24" s="68"/>
      <c r="WHA24" s="68"/>
      <c r="WHB24" s="68"/>
      <c r="WHC24" s="68"/>
      <c r="WHD24" s="68"/>
      <c r="WHE24" s="68"/>
      <c r="WHF24" s="68"/>
      <c r="WHG24" s="68"/>
      <c r="WHH24" s="68"/>
      <c r="WHI24" s="68"/>
      <c r="WHJ24" s="68"/>
      <c r="WHK24" s="68"/>
      <c r="WHL24" s="68"/>
      <c r="WHM24" s="68"/>
      <c r="WHN24" s="68"/>
      <c r="WHO24" s="68"/>
      <c r="WHP24" s="68"/>
      <c r="WHQ24" s="68"/>
      <c r="WHR24" s="68"/>
      <c r="WHS24" s="68"/>
      <c r="WHT24" s="68"/>
      <c r="WHU24" s="68"/>
      <c r="WHV24" s="68"/>
      <c r="WHW24" s="68"/>
      <c r="WHX24" s="68"/>
      <c r="WHY24" s="68"/>
      <c r="WHZ24" s="68"/>
      <c r="WIA24" s="68"/>
      <c r="WIB24" s="68"/>
      <c r="WIC24" s="68"/>
      <c r="WID24" s="68"/>
      <c r="WIE24" s="68"/>
      <c r="WIF24" s="68"/>
      <c r="WIG24" s="68"/>
      <c r="WIH24" s="68"/>
      <c r="WII24" s="68"/>
      <c r="WIJ24" s="68"/>
      <c r="WIK24" s="68"/>
      <c r="WIL24" s="68"/>
      <c r="WIM24" s="68"/>
      <c r="WIN24" s="68"/>
      <c r="WIO24" s="68"/>
      <c r="WIP24" s="68"/>
      <c r="WIQ24" s="68"/>
      <c r="WIR24" s="68"/>
      <c r="WIS24" s="68"/>
      <c r="WIT24" s="68"/>
      <c r="WIU24" s="68"/>
      <c r="WIV24" s="68"/>
      <c r="WIW24" s="68"/>
      <c r="WIX24" s="68"/>
      <c r="WIY24" s="68"/>
      <c r="WIZ24" s="68"/>
      <c r="WJA24" s="68"/>
      <c r="WJB24" s="68"/>
      <c r="WJC24" s="68"/>
      <c r="WJD24" s="68"/>
      <c r="WJE24" s="68"/>
      <c r="WJF24" s="68"/>
      <c r="WJG24" s="68"/>
      <c r="WJH24" s="68"/>
      <c r="WJI24" s="68"/>
      <c r="WJJ24" s="68"/>
      <c r="WJK24" s="68"/>
      <c r="WJL24" s="68"/>
      <c r="WJM24" s="68"/>
      <c r="WJN24" s="68"/>
      <c r="WJO24" s="68"/>
      <c r="WJP24" s="68"/>
      <c r="WJQ24" s="68"/>
      <c r="WJR24" s="68"/>
      <c r="WJS24" s="68"/>
      <c r="WJT24" s="68"/>
      <c r="WJU24" s="68"/>
      <c r="WJV24" s="68"/>
      <c r="WJW24" s="68"/>
      <c r="WJX24" s="68"/>
      <c r="WJY24" s="68"/>
      <c r="WJZ24" s="68"/>
      <c r="WKA24" s="68"/>
      <c r="WKB24" s="68"/>
      <c r="WKC24" s="68"/>
      <c r="WKD24" s="68"/>
      <c r="WKE24" s="68"/>
      <c r="WKF24" s="68"/>
      <c r="WKG24" s="68"/>
      <c r="WKH24" s="68"/>
      <c r="WKI24" s="68"/>
      <c r="WKJ24" s="68"/>
      <c r="WKK24" s="68"/>
      <c r="WKL24" s="68"/>
      <c r="WKM24" s="68"/>
      <c r="WKN24" s="68"/>
      <c r="WKO24" s="68"/>
      <c r="WKP24" s="68"/>
      <c r="WKQ24" s="68"/>
      <c r="WKR24" s="68"/>
      <c r="WKS24" s="68"/>
      <c r="WKT24" s="68"/>
      <c r="WKU24" s="68"/>
      <c r="WKV24" s="68"/>
      <c r="WKW24" s="68"/>
      <c r="WKX24" s="68"/>
      <c r="WKY24" s="68"/>
      <c r="WKZ24" s="68"/>
      <c r="WLA24" s="68"/>
      <c r="WLB24" s="68"/>
      <c r="WLC24" s="68"/>
      <c r="WLD24" s="68"/>
      <c r="WLE24" s="68"/>
      <c r="WLF24" s="68"/>
      <c r="WLG24" s="68"/>
      <c r="WLH24" s="68"/>
      <c r="WLI24" s="68"/>
      <c r="WLJ24" s="68"/>
      <c r="WLK24" s="68"/>
      <c r="WLL24" s="68"/>
      <c r="WLM24" s="68"/>
      <c r="WLN24" s="68"/>
      <c r="WLO24" s="68"/>
      <c r="WLP24" s="68"/>
      <c r="WLQ24" s="68"/>
      <c r="WLR24" s="68"/>
      <c r="WLS24" s="68"/>
      <c r="WLT24" s="68"/>
      <c r="WLU24" s="68"/>
      <c r="WLV24" s="68"/>
      <c r="WLW24" s="68"/>
      <c r="WLX24" s="68"/>
      <c r="WLY24" s="68"/>
      <c r="WLZ24" s="68"/>
      <c r="WMA24" s="68"/>
      <c r="WMB24" s="68"/>
      <c r="WMC24" s="68"/>
      <c r="WMD24" s="68"/>
      <c r="WME24" s="68"/>
      <c r="WMF24" s="68"/>
      <c r="WMG24" s="68"/>
      <c r="WMH24" s="68"/>
      <c r="WMI24" s="68"/>
      <c r="WMJ24" s="68"/>
      <c r="WMK24" s="68"/>
      <c r="WML24" s="68"/>
      <c r="WMM24" s="68"/>
      <c r="WMN24" s="68"/>
      <c r="WMO24" s="68"/>
      <c r="WMP24" s="68"/>
      <c r="WMQ24" s="68"/>
      <c r="WMR24" s="68"/>
      <c r="WMS24" s="68"/>
      <c r="WMT24" s="68"/>
      <c r="WMU24" s="68"/>
      <c r="WMV24" s="68"/>
      <c r="WMW24" s="68"/>
      <c r="WMX24" s="68"/>
      <c r="WMY24" s="68"/>
      <c r="WMZ24" s="68"/>
      <c r="WNA24" s="68"/>
      <c r="WNB24" s="68"/>
      <c r="WNC24" s="68"/>
      <c r="WND24" s="68"/>
      <c r="WNE24" s="68"/>
      <c r="WNF24" s="68"/>
      <c r="WNG24" s="68"/>
      <c r="WNH24" s="68"/>
      <c r="WNI24" s="68"/>
      <c r="WNJ24" s="68"/>
      <c r="WNK24" s="68"/>
      <c r="WNL24" s="68"/>
      <c r="WNM24" s="68"/>
      <c r="WNN24" s="68"/>
      <c r="WNO24" s="68"/>
      <c r="WNP24" s="68"/>
      <c r="WNQ24" s="68"/>
      <c r="WNR24" s="68"/>
      <c r="WNS24" s="68"/>
      <c r="WNT24" s="68"/>
      <c r="WNU24" s="68"/>
      <c r="WNV24" s="68"/>
      <c r="WNW24" s="68"/>
      <c r="WNX24" s="68"/>
      <c r="WNY24" s="68"/>
      <c r="WNZ24" s="68"/>
      <c r="WOA24" s="68"/>
      <c r="WOB24" s="68"/>
      <c r="WOC24" s="68"/>
      <c r="WOD24" s="68"/>
      <c r="WOE24" s="68"/>
      <c r="WOF24" s="68"/>
      <c r="WOG24" s="68"/>
      <c r="WOH24" s="68"/>
      <c r="WOI24" s="68"/>
      <c r="WOJ24" s="68"/>
      <c r="WOK24" s="68"/>
      <c r="WOL24" s="68"/>
      <c r="WOM24" s="68"/>
      <c r="WON24" s="68"/>
      <c r="WOO24" s="68"/>
      <c r="WOP24" s="68"/>
      <c r="WOQ24" s="68"/>
      <c r="WOR24" s="68"/>
      <c r="WOS24" s="68"/>
      <c r="WOT24" s="68"/>
      <c r="WOU24" s="68"/>
      <c r="WOV24" s="68"/>
      <c r="WOW24" s="68"/>
      <c r="WOX24" s="68"/>
      <c r="WOY24" s="68"/>
      <c r="WOZ24" s="68"/>
      <c r="WPA24" s="68"/>
      <c r="WPB24" s="68"/>
      <c r="WPC24" s="68"/>
      <c r="WPD24" s="68"/>
      <c r="WPE24" s="68"/>
      <c r="WPF24" s="68"/>
      <c r="WPG24" s="68"/>
      <c r="WPH24" s="68"/>
      <c r="WPI24" s="68"/>
      <c r="WPJ24" s="68"/>
      <c r="WPK24" s="68"/>
      <c r="WPL24" s="68"/>
      <c r="WPM24" s="68"/>
      <c r="WPN24" s="68"/>
      <c r="WPO24" s="68"/>
      <c r="WPP24" s="68"/>
      <c r="WPQ24" s="68"/>
      <c r="WPR24" s="68"/>
      <c r="WPS24" s="68"/>
      <c r="WPT24" s="68"/>
      <c r="WPU24" s="68"/>
      <c r="WPV24" s="68"/>
      <c r="WPW24" s="68"/>
      <c r="WPX24" s="68"/>
      <c r="WPY24" s="68"/>
      <c r="WPZ24" s="68"/>
      <c r="WQA24" s="68"/>
      <c r="WQB24" s="68"/>
      <c r="WQC24" s="68"/>
      <c r="WQD24" s="68"/>
      <c r="WQE24" s="68"/>
      <c r="WQF24" s="68"/>
      <c r="WQG24" s="68"/>
      <c r="WQH24" s="68"/>
      <c r="WQI24" s="68"/>
      <c r="WQJ24" s="68"/>
      <c r="WQK24" s="68"/>
      <c r="WQL24" s="68"/>
      <c r="WQM24" s="68"/>
      <c r="WQN24" s="68"/>
      <c r="WQO24" s="68"/>
      <c r="WQP24" s="68"/>
      <c r="WQQ24" s="68"/>
      <c r="WQR24" s="68"/>
      <c r="WQS24" s="68"/>
      <c r="WQT24" s="68"/>
      <c r="WQU24" s="68"/>
      <c r="WQV24" s="68"/>
      <c r="WQW24" s="68"/>
      <c r="WQX24" s="68"/>
      <c r="WQY24" s="68"/>
      <c r="WQZ24" s="68"/>
      <c r="WRA24" s="68"/>
      <c r="WRB24" s="68"/>
      <c r="WRC24" s="68"/>
      <c r="WRD24" s="68"/>
      <c r="WRE24" s="68"/>
      <c r="WRF24" s="68"/>
      <c r="WRG24" s="68"/>
      <c r="WRH24" s="68"/>
      <c r="WRI24" s="68"/>
      <c r="WRJ24" s="68"/>
      <c r="WRK24" s="68"/>
      <c r="WRL24" s="68"/>
      <c r="WRM24" s="68"/>
      <c r="WRN24" s="68"/>
      <c r="WRO24" s="68"/>
      <c r="WRP24" s="68"/>
      <c r="WRQ24" s="68"/>
      <c r="WRR24" s="68"/>
      <c r="WRS24" s="68"/>
      <c r="WRT24" s="68"/>
      <c r="WRU24" s="68"/>
      <c r="WRV24" s="68"/>
      <c r="WRW24" s="68"/>
      <c r="WRX24" s="68"/>
      <c r="WRY24" s="68"/>
      <c r="WRZ24" s="68"/>
      <c r="WSA24" s="68"/>
      <c r="WSB24" s="68"/>
      <c r="WSC24" s="68"/>
      <c r="WSD24" s="68"/>
      <c r="WSE24" s="68"/>
      <c r="WSF24" s="68"/>
      <c r="WSG24" s="68"/>
      <c r="WSH24" s="68"/>
      <c r="WSI24" s="68"/>
      <c r="WSJ24" s="68"/>
      <c r="WSK24" s="68"/>
      <c r="WSL24" s="68"/>
      <c r="WSM24" s="68"/>
      <c r="WSN24" s="68"/>
      <c r="WSO24" s="68"/>
      <c r="WSP24" s="68"/>
      <c r="WSQ24" s="68"/>
      <c r="WSR24" s="68"/>
      <c r="WSS24" s="68"/>
      <c r="WST24" s="68"/>
      <c r="WSU24" s="68"/>
      <c r="WSV24" s="68"/>
      <c r="WSW24" s="68"/>
      <c r="WSX24" s="68"/>
      <c r="WSY24" s="68"/>
      <c r="WSZ24" s="68"/>
      <c r="WTA24" s="68"/>
      <c r="WTB24" s="68"/>
      <c r="WTC24" s="68"/>
      <c r="WTD24" s="68"/>
      <c r="WTE24" s="68"/>
      <c r="WTF24" s="68"/>
      <c r="WTG24" s="68"/>
      <c r="WTH24" s="68"/>
      <c r="WTI24" s="68"/>
      <c r="WTJ24" s="68"/>
      <c r="WTK24" s="68"/>
      <c r="WTL24" s="68"/>
      <c r="WTM24" s="68"/>
      <c r="WTN24" s="68"/>
      <c r="WTO24" s="68"/>
      <c r="WTP24" s="68"/>
      <c r="WTQ24" s="68"/>
      <c r="WTR24" s="68"/>
      <c r="WTS24" s="68"/>
      <c r="WTT24" s="68"/>
      <c r="WTU24" s="68"/>
      <c r="WTV24" s="68"/>
      <c r="WTW24" s="68"/>
      <c r="WTX24" s="68"/>
      <c r="WTY24" s="68"/>
      <c r="WTZ24" s="68"/>
      <c r="WUA24" s="68"/>
      <c r="WUB24" s="68"/>
      <c r="WUC24" s="68"/>
      <c r="WUD24" s="68"/>
      <c r="WUE24" s="68"/>
      <c r="WUF24" s="68"/>
      <c r="WUG24" s="68"/>
      <c r="WUH24" s="68"/>
      <c r="WUI24" s="68"/>
      <c r="WUJ24" s="68"/>
      <c r="WUK24" s="68"/>
      <c r="WUL24" s="68"/>
      <c r="WUM24" s="68"/>
      <c r="WUN24" s="68"/>
      <c r="WUO24" s="68"/>
      <c r="WUP24" s="68"/>
      <c r="WUQ24" s="68"/>
      <c r="WUR24" s="68"/>
      <c r="WUS24" s="68"/>
      <c r="WUT24" s="68"/>
      <c r="WUU24" s="68"/>
      <c r="WUV24" s="68"/>
      <c r="WUW24" s="68"/>
      <c r="WUX24" s="68"/>
      <c r="WUY24" s="68"/>
      <c r="WUZ24" s="68"/>
      <c r="WVA24" s="68"/>
      <c r="WVB24" s="68"/>
      <c r="WVC24" s="68"/>
      <c r="WVD24" s="68"/>
      <c r="WVE24" s="68"/>
      <c r="WVF24" s="68"/>
      <c r="WVG24" s="68"/>
      <c r="WVH24" s="68"/>
      <c r="WVI24" s="68"/>
      <c r="WVJ24" s="68"/>
      <c r="WVK24" s="68"/>
      <c r="WVL24" s="68"/>
      <c r="WVM24" s="68"/>
      <c r="WVN24" s="68"/>
      <c r="WVO24" s="68"/>
      <c r="WVP24" s="68"/>
      <c r="WVQ24" s="68"/>
      <c r="WVR24" s="68"/>
      <c r="WVS24" s="68"/>
      <c r="WVT24" s="68"/>
      <c r="WVU24" s="68"/>
      <c r="WVV24" s="68"/>
      <c r="WVW24" s="68"/>
      <c r="WVX24" s="68"/>
      <c r="WVY24" s="68"/>
      <c r="WVZ24" s="68"/>
      <c r="WWA24" s="68"/>
      <c r="WWB24" s="68"/>
      <c r="WWC24" s="68"/>
      <c r="WWD24" s="68"/>
      <c r="WWE24" s="68"/>
      <c r="WWF24" s="68"/>
      <c r="WWG24" s="68"/>
      <c r="WWH24" s="68"/>
      <c r="WWI24" s="68"/>
      <c r="WWJ24" s="68"/>
      <c r="WWK24" s="68"/>
      <c r="WWL24" s="68"/>
      <c r="WWM24" s="68"/>
      <c r="WWN24" s="68"/>
      <c r="WWO24" s="68"/>
      <c r="WWP24" s="68"/>
      <c r="WWQ24" s="68"/>
      <c r="WWR24" s="68"/>
      <c r="WWS24" s="68"/>
      <c r="WWT24" s="68"/>
      <c r="WWU24" s="68"/>
      <c r="WWV24" s="68"/>
      <c r="WWW24" s="68"/>
      <c r="WWX24" s="68"/>
      <c r="WWY24" s="68"/>
      <c r="WWZ24" s="68"/>
      <c r="WXA24" s="68"/>
      <c r="WXB24" s="68"/>
      <c r="WXC24" s="68"/>
      <c r="WXD24" s="68"/>
      <c r="WXE24" s="68"/>
      <c r="WXF24" s="68"/>
      <c r="WXG24" s="68"/>
      <c r="WXH24" s="68"/>
      <c r="WXI24" s="68"/>
      <c r="WXJ24" s="68"/>
      <c r="WXK24" s="68"/>
      <c r="WXL24" s="68"/>
      <c r="WXM24" s="68"/>
      <c r="WXN24" s="68"/>
      <c r="WXO24" s="68"/>
      <c r="WXP24" s="68"/>
      <c r="WXQ24" s="68"/>
      <c r="WXR24" s="68"/>
      <c r="WXS24" s="68"/>
      <c r="WXT24" s="68"/>
      <c r="WXU24" s="68"/>
      <c r="WXV24" s="68"/>
      <c r="WXW24" s="68"/>
      <c r="WXX24" s="68"/>
      <c r="WXY24" s="68"/>
      <c r="WXZ24" s="68"/>
      <c r="WYA24" s="68"/>
      <c r="WYB24" s="68"/>
      <c r="WYC24" s="68"/>
      <c r="WYD24" s="68"/>
      <c r="WYE24" s="68"/>
      <c r="WYF24" s="68"/>
      <c r="WYG24" s="68"/>
      <c r="WYH24" s="68"/>
      <c r="WYI24" s="68"/>
      <c r="WYJ24" s="68"/>
      <c r="WYK24" s="68"/>
      <c r="WYL24" s="68"/>
      <c r="WYM24" s="68"/>
      <c r="WYN24" s="68"/>
      <c r="WYO24" s="68"/>
      <c r="WYP24" s="68"/>
      <c r="WYQ24" s="68"/>
      <c r="WYR24" s="68"/>
      <c r="WYS24" s="68"/>
      <c r="WYT24" s="68"/>
      <c r="WYU24" s="68"/>
      <c r="WYV24" s="68"/>
      <c r="WYW24" s="68"/>
      <c r="WYX24" s="68"/>
      <c r="WYY24" s="68"/>
      <c r="WYZ24" s="68"/>
      <c r="WZA24" s="68"/>
      <c r="WZB24" s="68"/>
      <c r="WZC24" s="68"/>
      <c r="WZD24" s="68"/>
      <c r="WZE24" s="68"/>
      <c r="WZF24" s="68"/>
      <c r="WZG24" s="68"/>
      <c r="WZH24" s="68"/>
      <c r="WZI24" s="68"/>
      <c r="WZJ24" s="68"/>
      <c r="WZK24" s="68"/>
      <c r="WZL24" s="68"/>
      <c r="WZM24" s="68"/>
      <c r="WZN24" s="68"/>
      <c r="WZO24" s="68"/>
      <c r="WZP24" s="68"/>
      <c r="WZQ24" s="68"/>
      <c r="WZR24" s="68"/>
      <c r="WZS24" s="68"/>
      <c r="WZT24" s="68"/>
      <c r="WZU24" s="68"/>
      <c r="WZV24" s="68"/>
      <c r="WZW24" s="68"/>
      <c r="WZX24" s="68"/>
      <c r="WZY24" s="68"/>
      <c r="WZZ24" s="68"/>
      <c r="XAA24" s="68"/>
      <c r="XAB24" s="68"/>
      <c r="XAC24" s="68"/>
      <c r="XAD24" s="68"/>
      <c r="XAE24" s="68"/>
      <c r="XAF24" s="68"/>
      <c r="XAG24" s="68"/>
      <c r="XAH24" s="68"/>
      <c r="XAI24" s="68"/>
      <c r="XAJ24" s="68"/>
      <c r="XAK24" s="68"/>
      <c r="XAL24" s="68"/>
      <c r="XAM24" s="68"/>
      <c r="XAN24" s="68"/>
      <c r="XAO24" s="68"/>
      <c r="XAP24" s="68"/>
      <c r="XAQ24" s="68"/>
      <c r="XAR24" s="68"/>
      <c r="XAS24" s="68"/>
      <c r="XAT24" s="68"/>
      <c r="XAU24" s="68"/>
      <c r="XAV24" s="68"/>
      <c r="XAW24" s="68"/>
      <c r="XAX24" s="68"/>
      <c r="XAY24" s="68"/>
      <c r="XAZ24" s="68"/>
      <c r="XBA24" s="68"/>
      <c r="XBB24" s="68"/>
      <c r="XBC24" s="68"/>
      <c r="XBD24" s="68"/>
      <c r="XBE24" s="68"/>
      <c r="XBF24" s="68"/>
      <c r="XBG24" s="68"/>
      <c r="XBH24" s="68"/>
      <c r="XBI24" s="68"/>
      <c r="XBJ24" s="68"/>
      <c r="XBK24" s="68"/>
      <c r="XBL24" s="68"/>
      <c r="XBM24" s="68"/>
      <c r="XBN24" s="68"/>
      <c r="XBO24" s="68"/>
      <c r="XBP24" s="68"/>
      <c r="XBQ24" s="68"/>
      <c r="XBR24" s="68"/>
      <c r="XBS24" s="68"/>
      <c r="XBT24" s="68"/>
      <c r="XBU24" s="68"/>
      <c r="XBV24" s="68"/>
      <c r="XBW24" s="68"/>
      <c r="XBX24" s="68"/>
      <c r="XBY24" s="68"/>
      <c r="XBZ24" s="68"/>
      <c r="XCA24" s="68"/>
      <c r="XCB24" s="68"/>
      <c r="XCC24" s="68"/>
      <c r="XCD24" s="68"/>
      <c r="XCE24" s="68"/>
      <c r="XCF24" s="68"/>
      <c r="XCG24" s="68"/>
      <c r="XCH24" s="68"/>
      <c r="XCI24" s="68"/>
      <c r="XCJ24" s="68"/>
      <c r="XCK24" s="68"/>
      <c r="XCL24" s="68"/>
      <c r="XCM24" s="68"/>
      <c r="XCN24" s="68"/>
      <c r="XCO24" s="68"/>
      <c r="XCP24" s="68"/>
      <c r="XCQ24" s="68"/>
      <c r="XCR24" s="68"/>
      <c r="XCS24" s="68"/>
      <c r="XCT24" s="68"/>
      <c r="XCU24" s="68"/>
      <c r="XCV24" s="68"/>
      <c r="XCW24" s="68"/>
      <c r="XCX24" s="68"/>
      <c r="XCY24" s="68"/>
      <c r="XCZ24" s="68"/>
      <c r="XDA24" s="68"/>
      <c r="XDB24" s="68"/>
      <c r="XDC24" s="68"/>
      <c r="XDD24" s="68"/>
      <c r="XDE24" s="68"/>
      <c r="XDF24" s="68"/>
      <c r="XDG24" s="68"/>
      <c r="XDH24" s="68"/>
      <c r="XDI24" s="68"/>
      <c r="XDJ24" s="68"/>
      <c r="XDK24" s="68"/>
      <c r="XDL24" s="68"/>
      <c r="XDM24" s="68"/>
      <c r="XDN24" s="68"/>
      <c r="XDO24" s="68"/>
      <c r="XDP24" s="68"/>
      <c r="XDQ24" s="68"/>
      <c r="XDR24" s="68"/>
      <c r="XDS24" s="68"/>
      <c r="XDT24" s="68"/>
      <c r="XDU24" s="68"/>
      <c r="XDV24" s="68"/>
      <c r="XDW24" s="68"/>
      <c r="XDX24" s="68"/>
      <c r="XDY24" s="68"/>
      <c r="XDZ24" s="68"/>
      <c r="XEA24" s="68"/>
      <c r="XEB24" s="68"/>
      <c r="XEC24" s="68"/>
      <c r="XED24" s="68"/>
      <c r="XEE24" s="68"/>
      <c r="XEF24" s="68"/>
      <c r="XEG24" s="68"/>
      <c r="XEH24" s="68"/>
      <c r="XEI24" s="68"/>
      <c r="XEJ24" s="68"/>
      <c r="XEK24" s="68"/>
      <c r="XEL24" s="68"/>
      <c r="XEM24" s="68"/>
      <c r="XEN24" s="68"/>
      <c r="XEO24" s="68"/>
      <c r="XEP24" s="68"/>
      <c r="XEQ24" s="68"/>
      <c r="XER24" s="68"/>
      <c r="XES24" s="68"/>
      <c r="XET24" s="68"/>
      <c r="XEU24" s="68"/>
      <c r="XEV24" s="68"/>
      <c r="XEW24" s="68"/>
      <c r="XEX24" s="68"/>
      <c r="XEY24" s="68"/>
      <c r="XEZ24" s="68"/>
      <c r="XFA24" s="68"/>
      <c r="XFB24" s="68"/>
      <c r="XFC24" s="68"/>
      <c r="XFD24" s="68"/>
    </row>
    <row r="25" spans="1:16384">
      <c r="A25" s="62" t="s">
        <v>155</v>
      </c>
      <c r="B25" s="67" t="s">
        <v>144</v>
      </c>
      <c r="C25" s="67"/>
      <c r="D25" s="67"/>
    </row>
    <row r="26" spans="1:16384">
      <c r="A26" s="62" t="s">
        <v>156</v>
      </c>
      <c r="B26" s="67" t="s">
        <v>146</v>
      </c>
      <c r="C26" s="67"/>
      <c r="D26" s="67"/>
    </row>
    <row r="27" spans="1:16384">
      <c r="A27" s="62" t="s">
        <v>159</v>
      </c>
      <c r="B27" s="67" t="s">
        <v>149</v>
      </c>
      <c r="C27" s="67"/>
      <c r="D27" s="67"/>
    </row>
    <row r="28" spans="1:16384">
      <c r="A28" s="62" t="s">
        <v>164</v>
      </c>
      <c r="B28" s="67" t="s">
        <v>153</v>
      </c>
      <c r="C28" s="67"/>
      <c r="D28" s="67"/>
    </row>
    <row r="29" spans="1:16384">
      <c r="A29" s="62" t="s">
        <v>180</v>
      </c>
      <c r="B29" s="67" t="s">
        <v>157</v>
      </c>
      <c r="C29" s="67"/>
      <c r="D29" s="67"/>
    </row>
    <row r="30" spans="1:16384">
      <c r="A30" s="62" t="s">
        <v>181</v>
      </c>
      <c r="B30" s="67" t="s">
        <v>160</v>
      </c>
      <c r="C30" s="67"/>
      <c r="D30" s="67"/>
    </row>
    <row r="31" spans="1:16384">
      <c r="A31" s="62" t="s">
        <v>182</v>
      </c>
      <c r="B31" s="67" t="s">
        <v>166</v>
      </c>
      <c r="C31" s="67"/>
      <c r="D31" s="67"/>
    </row>
    <row r="32" spans="1:16384">
      <c r="A32" s="62" t="s">
        <v>183</v>
      </c>
      <c r="B32" s="67" t="s">
        <v>163</v>
      </c>
      <c r="C32" s="67"/>
      <c r="D32" s="67"/>
    </row>
    <row r="33" spans="1:2">
      <c r="A33" s="69"/>
      <c r="B33" s="69"/>
    </row>
    <row r="35" spans="1:2">
      <c r="B35" s="11"/>
    </row>
  </sheetData>
  <mergeCells count="8220">
    <mergeCell ref="B25:D25"/>
    <mergeCell ref="B26:D26"/>
    <mergeCell ref="B27:D27"/>
    <mergeCell ref="B28:D28"/>
    <mergeCell ref="B29:D29"/>
    <mergeCell ref="A33:B33"/>
    <mergeCell ref="O24:P24"/>
    <mergeCell ref="Q24:R24"/>
    <mergeCell ref="S24:T24"/>
    <mergeCell ref="U24:V24"/>
    <mergeCell ref="W24:X24"/>
    <mergeCell ref="E24:F24"/>
    <mergeCell ref="G24:H24"/>
    <mergeCell ref="I24:J24"/>
    <mergeCell ref="K24:L24"/>
    <mergeCell ref="M24:N24"/>
    <mergeCell ref="B30:D30"/>
    <mergeCell ref="B31:D31"/>
    <mergeCell ref="AI24:AJ24"/>
    <mergeCell ref="AK24:AL24"/>
    <mergeCell ref="AM24:AN24"/>
    <mergeCell ref="AO24:AP24"/>
    <mergeCell ref="AQ24:AR24"/>
    <mergeCell ref="Y24:Z24"/>
    <mergeCell ref="AA24:AB24"/>
    <mergeCell ref="AC24:AD24"/>
    <mergeCell ref="AE24:AF24"/>
    <mergeCell ref="AG24:AH24"/>
    <mergeCell ref="A6:B6"/>
    <mergeCell ref="A24:B24"/>
    <mergeCell ref="C24:D24"/>
    <mergeCell ref="BC24:BD24"/>
    <mergeCell ref="BE24:BF24"/>
    <mergeCell ref="BG24:BH24"/>
    <mergeCell ref="B9:D9"/>
    <mergeCell ref="B10:D10"/>
    <mergeCell ref="A23:D23"/>
    <mergeCell ref="B11:D11"/>
    <mergeCell ref="B12:D12"/>
    <mergeCell ref="B13:D13"/>
    <mergeCell ref="B14:D14"/>
    <mergeCell ref="B15:D15"/>
    <mergeCell ref="B17:D17"/>
    <mergeCell ref="B18:D18"/>
    <mergeCell ref="B19:D19"/>
    <mergeCell ref="B20:D20"/>
    <mergeCell ref="B21:D21"/>
    <mergeCell ref="B22:D22"/>
    <mergeCell ref="B16:D16"/>
    <mergeCell ref="BW24:BX24"/>
    <mergeCell ref="BY24:BZ24"/>
    <mergeCell ref="CA24:CB24"/>
    <mergeCell ref="CC24:CD24"/>
    <mergeCell ref="CE24:CF24"/>
    <mergeCell ref="BM24:BN24"/>
    <mergeCell ref="BO24:BP24"/>
    <mergeCell ref="BQ24:BR24"/>
    <mergeCell ref="BS24:BT24"/>
    <mergeCell ref="BU24:BV24"/>
    <mergeCell ref="BI24:BJ24"/>
    <mergeCell ref="BK24:BL24"/>
    <mergeCell ref="AS24:AT24"/>
    <mergeCell ref="AU24:AV24"/>
    <mergeCell ref="AW24:AX24"/>
    <mergeCell ref="AY24:AZ24"/>
    <mergeCell ref="BA24:BB24"/>
    <mergeCell ref="DK24:DL24"/>
    <mergeCell ref="DM24:DN24"/>
    <mergeCell ref="DO24:DP24"/>
    <mergeCell ref="DQ24:DR24"/>
    <mergeCell ref="DS24:DT24"/>
    <mergeCell ref="DA24:DB24"/>
    <mergeCell ref="DC24:DD24"/>
    <mergeCell ref="DE24:DF24"/>
    <mergeCell ref="DG24:DH24"/>
    <mergeCell ref="DI24:DJ24"/>
    <mergeCell ref="CQ24:CR24"/>
    <mergeCell ref="CS24:CT24"/>
    <mergeCell ref="CU24:CV24"/>
    <mergeCell ref="CW24:CX24"/>
    <mergeCell ref="CY24:CZ24"/>
    <mergeCell ref="CG24:CH24"/>
    <mergeCell ref="CI24:CJ24"/>
    <mergeCell ref="CK24:CL24"/>
    <mergeCell ref="CM24:CN24"/>
    <mergeCell ref="CO24:CP24"/>
    <mergeCell ref="EY24:EZ24"/>
    <mergeCell ref="FA24:FB24"/>
    <mergeCell ref="FC24:FD24"/>
    <mergeCell ref="FE24:FF24"/>
    <mergeCell ref="FG24:FH24"/>
    <mergeCell ref="EO24:EP24"/>
    <mergeCell ref="EQ24:ER24"/>
    <mergeCell ref="ES24:ET24"/>
    <mergeCell ref="EU24:EV24"/>
    <mergeCell ref="EW24:EX24"/>
    <mergeCell ref="EE24:EF24"/>
    <mergeCell ref="EG24:EH24"/>
    <mergeCell ref="EI24:EJ24"/>
    <mergeCell ref="EK24:EL24"/>
    <mergeCell ref="EM24:EN24"/>
    <mergeCell ref="DU24:DV24"/>
    <mergeCell ref="DW24:DX24"/>
    <mergeCell ref="DY24:DZ24"/>
    <mergeCell ref="EA24:EB24"/>
    <mergeCell ref="EC24:ED24"/>
    <mergeCell ref="GM24:GN24"/>
    <mergeCell ref="GO24:GP24"/>
    <mergeCell ref="GQ24:GR24"/>
    <mergeCell ref="GS24:GT24"/>
    <mergeCell ref="GU24:GV24"/>
    <mergeCell ref="GC24:GD24"/>
    <mergeCell ref="GE24:GF24"/>
    <mergeCell ref="GG24:GH24"/>
    <mergeCell ref="GI24:GJ24"/>
    <mergeCell ref="GK24:GL24"/>
    <mergeCell ref="FS24:FT24"/>
    <mergeCell ref="FU24:FV24"/>
    <mergeCell ref="FW24:FX24"/>
    <mergeCell ref="FY24:FZ24"/>
    <mergeCell ref="GA24:GB24"/>
    <mergeCell ref="FI24:FJ24"/>
    <mergeCell ref="FK24:FL24"/>
    <mergeCell ref="FM24:FN24"/>
    <mergeCell ref="FO24:FP24"/>
    <mergeCell ref="FQ24:FR24"/>
    <mergeCell ref="IA24:IB24"/>
    <mergeCell ref="IC24:ID24"/>
    <mergeCell ref="IE24:IF24"/>
    <mergeCell ref="IG24:IH24"/>
    <mergeCell ref="II24:IJ24"/>
    <mergeCell ref="HQ24:HR24"/>
    <mergeCell ref="HS24:HT24"/>
    <mergeCell ref="HU24:HV24"/>
    <mergeCell ref="HW24:HX24"/>
    <mergeCell ref="HY24:HZ24"/>
    <mergeCell ref="HG24:HH24"/>
    <mergeCell ref="HI24:HJ24"/>
    <mergeCell ref="HK24:HL24"/>
    <mergeCell ref="HM24:HN24"/>
    <mergeCell ref="HO24:HP24"/>
    <mergeCell ref="GW24:GX24"/>
    <mergeCell ref="GY24:GZ24"/>
    <mergeCell ref="HA24:HB24"/>
    <mergeCell ref="HC24:HD24"/>
    <mergeCell ref="HE24:HF24"/>
    <mergeCell ref="JO24:JP24"/>
    <mergeCell ref="JQ24:JR24"/>
    <mergeCell ref="JS24:JT24"/>
    <mergeCell ref="JU24:JV24"/>
    <mergeCell ref="JW24:JX24"/>
    <mergeCell ref="JE24:JF24"/>
    <mergeCell ref="JG24:JH24"/>
    <mergeCell ref="JI24:JJ24"/>
    <mergeCell ref="JK24:JL24"/>
    <mergeCell ref="JM24:JN24"/>
    <mergeCell ref="IU24:IV24"/>
    <mergeCell ref="IW24:IX24"/>
    <mergeCell ref="IY24:IZ24"/>
    <mergeCell ref="JA24:JB24"/>
    <mergeCell ref="JC24:JD24"/>
    <mergeCell ref="IK24:IL24"/>
    <mergeCell ref="IM24:IN24"/>
    <mergeCell ref="IO24:IP24"/>
    <mergeCell ref="IQ24:IR24"/>
    <mergeCell ref="IS24:IT24"/>
    <mergeCell ref="LC24:LD24"/>
    <mergeCell ref="LE24:LF24"/>
    <mergeCell ref="LG24:LH24"/>
    <mergeCell ref="LI24:LJ24"/>
    <mergeCell ref="LK24:LL24"/>
    <mergeCell ref="KS24:KT24"/>
    <mergeCell ref="KU24:KV24"/>
    <mergeCell ref="KW24:KX24"/>
    <mergeCell ref="KY24:KZ24"/>
    <mergeCell ref="LA24:LB24"/>
    <mergeCell ref="KI24:KJ24"/>
    <mergeCell ref="KK24:KL24"/>
    <mergeCell ref="KM24:KN24"/>
    <mergeCell ref="KO24:KP24"/>
    <mergeCell ref="KQ24:KR24"/>
    <mergeCell ref="JY24:JZ24"/>
    <mergeCell ref="KA24:KB24"/>
    <mergeCell ref="KC24:KD24"/>
    <mergeCell ref="KE24:KF24"/>
    <mergeCell ref="KG24:KH24"/>
    <mergeCell ref="MQ24:MR24"/>
    <mergeCell ref="MS24:MT24"/>
    <mergeCell ref="MU24:MV24"/>
    <mergeCell ref="MW24:MX24"/>
    <mergeCell ref="MY24:MZ24"/>
    <mergeCell ref="MG24:MH24"/>
    <mergeCell ref="MI24:MJ24"/>
    <mergeCell ref="MK24:ML24"/>
    <mergeCell ref="MM24:MN24"/>
    <mergeCell ref="MO24:MP24"/>
    <mergeCell ref="LW24:LX24"/>
    <mergeCell ref="LY24:LZ24"/>
    <mergeCell ref="MA24:MB24"/>
    <mergeCell ref="MC24:MD24"/>
    <mergeCell ref="ME24:MF24"/>
    <mergeCell ref="LM24:LN24"/>
    <mergeCell ref="LO24:LP24"/>
    <mergeCell ref="LQ24:LR24"/>
    <mergeCell ref="LS24:LT24"/>
    <mergeCell ref="LU24:LV24"/>
    <mergeCell ref="OE24:OF24"/>
    <mergeCell ref="OG24:OH24"/>
    <mergeCell ref="OI24:OJ24"/>
    <mergeCell ref="OK24:OL24"/>
    <mergeCell ref="OM24:ON24"/>
    <mergeCell ref="NU24:NV24"/>
    <mergeCell ref="NW24:NX24"/>
    <mergeCell ref="NY24:NZ24"/>
    <mergeCell ref="OA24:OB24"/>
    <mergeCell ref="OC24:OD24"/>
    <mergeCell ref="NK24:NL24"/>
    <mergeCell ref="NM24:NN24"/>
    <mergeCell ref="NO24:NP24"/>
    <mergeCell ref="NQ24:NR24"/>
    <mergeCell ref="NS24:NT24"/>
    <mergeCell ref="NA24:NB24"/>
    <mergeCell ref="NC24:ND24"/>
    <mergeCell ref="NE24:NF24"/>
    <mergeCell ref="NG24:NH24"/>
    <mergeCell ref="NI24:NJ24"/>
    <mergeCell ref="PS24:PT24"/>
    <mergeCell ref="PU24:PV24"/>
    <mergeCell ref="PW24:PX24"/>
    <mergeCell ref="PY24:PZ24"/>
    <mergeCell ref="QA24:QB24"/>
    <mergeCell ref="PI24:PJ24"/>
    <mergeCell ref="PK24:PL24"/>
    <mergeCell ref="PM24:PN24"/>
    <mergeCell ref="PO24:PP24"/>
    <mergeCell ref="PQ24:PR24"/>
    <mergeCell ref="OY24:OZ24"/>
    <mergeCell ref="PA24:PB24"/>
    <mergeCell ref="PC24:PD24"/>
    <mergeCell ref="PE24:PF24"/>
    <mergeCell ref="PG24:PH24"/>
    <mergeCell ref="OO24:OP24"/>
    <mergeCell ref="OQ24:OR24"/>
    <mergeCell ref="OS24:OT24"/>
    <mergeCell ref="OU24:OV24"/>
    <mergeCell ref="OW24:OX24"/>
    <mergeCell ref="RG24:RH24"/>
    <mergeCell ref="RI24:RJ24"/>
    <mergeCell ref="RK24:RL24"/>
    <mergeCell ref="RM24:RN24"/>
    <mergeCell ref="RO24:RP24"/>
    <mergeCell ref="QW24:QX24"/>
    <mergeCell ref="QY24:QZ24"/>
    <mergeCell ref="RA24:RB24"/>
    <mergeCell ref="RC24:RD24"/>
    <mergeCell ref="RE24:RF24"/>
    <mergeCell ref="QM24:QN24"/>
    <mergeCell ref="QO24:QP24"/>
    <mergeCell ref="QQ24:QR24"/>
    <mergeCell ref="QS24:QT24"/>
    <mergeCell ref="QU24:QV24"/>
    <mergeCell ref="QC24:QD24"/>
    <mergeCell ref="QE24:QF24"/>
    <mergeCell ref="QG24:QH24"/>
    <mergeCell ref="QI24:QJ24"/>
    <mergeCell ref="QK24:QL24"/>
    <mergeCell ref="SU24:SV24"/>
    <mergeCell ref="SW24:SX24"/>
    <mergeCell ref="SY24:SZ24"/>
    <mergeCell ref="TA24:TB24"/>
    <mergeCell ref="TC24:TD24"/>
    <mergeCell ref="SK24:SL24"/>
    <mergeCell ref="SM24:SN24"/>
    <mergeCell ref="SO24:SP24"/>
    <mergeCell ref="SQ24:SR24"/>
    <mergeCell ref="SS24:ST24"/>
    <mergeCell ref="SA24:SB24"/>
    <mergeCell ref="SC24:SD24"/>
    <mergeCell ref="SE24:SF24"/>
    <mergeCell ref="SG24:SH24"/>
    <mergeCell ref="SI24:SJ24"/>
    <mergeCell ref="RQ24:RR24"/>
    <mergeCell ref="RS24:RT24"/>
    <mergeCell ref="RU24:RV24"/>
    <mergeCell ref="RW24:RX24"/>
    <mergeCell ref="RY24:RZ24"/>
    <mergeCell ref="UI24:UJ24"/>
    <mergeCell ref="UK24:UL24"/>
    <mergeCell ref="UM24:UN24"/>
    <mergeCell ref="UO24:UP24"/>
    <mergeCell ref="UQ24:UR24"/>
    <mergeCell ref="TY24:TZ24"/>
    <mergeCell ref="UA24:UB24"/>
    <mergeCell ref="UC24:UD24"/>
    <mergeCell ref="UE24:UF24"/>
    <mergeCell ref="UG24:UH24"/>
    <mergeCell ref="TO24:TP24"/>
    <mergeCell ref="TQ24:TR24"/>
    <mergeCell ref="TS24:TT24"/>
    <mergeCell ref="TU24:TV24"/>
    <mergeCell ref="TW24:TX24"/>
    <mergeCell ref="TE24:TF24"/>
    <mergeCell ref="TG24:TH24"/>
    <mergeCell ref="TI24:TJ24"/>
    <mergeCell ref="TK24:TL24"/>
    <mergeCell ref="TM24:TN24"/>
    <mergeCell ref="VW24:VX24"/>
    <mergeCell ref="VY24:VZ24"/>
    <mergeCell ref="WA24:WB24"/>
    <mergeCell ref="WC24:WD24"/>
    <mergeCell ref="WE24:WF24"/>
    <mergeCell ref="VM24:VN24"/>
    <mergeCell ref="VO24:VP24"/>
    <mergeCell ref="VQ24:VR24"/>
    <mergeCell ref="VS24:VT24"/>
    <mergeCell ref="VU24:VV24"/>
    <mergeCell ref="VC24:VD24"/>
    <mergeCell ref="VE24:VF24"/>
    <mergeCell ref="VG24:VH24"/>
    <mergeCell ref="VI24:VJ24"/>
    <mergeCell ref="VK24:VL24"/>
    <mergeCell ref="US24:UT24"/>
    <mergeCell ref="UU24:UV24"/>
    <mergeCell ref="UW24:UX24"/>
    <mergeCell ref="UY24:UZ24"/>
    <mergeCell ref="VA24:VB24"/>
    <mergeCell ref="XK24:XL24"/>
    <mergeCell ref="XM24:XN24"/>
    <mergeCell ref="XO24:XP24"/>
    <mergeCell ref="XQ24:XR24"/>
    <mergeCell ref="XS24:XT24"/>
    <mergeCell ref="XA24:XB24"/>
    <mergeCell ref="XC24:XD24"/>
    <mergeCell ref="XE24:XF24"/>
    <mergeCell ref="XG24:XH24"/>
    <mergeCell ref="XI24:XJ24"/>
    <mergeCell ref="WQ24:WR24"/>
    <mergeCell ref="WS24:WT24"/>
    <mergeCell ref="WU24:WV24"/>
    <mergeCell ref="WW24:WX24"/>
    <mergeCell ref="WY24:WZ24"/>
    <mergeCell ref="WG24:WH24"/>
    <mergeCell ref="WI24:WJ24"/>
    <mergeCell ref="WK24:WL24"/>
    <mergeCell ref="WM24:WN24"/>
    <mergeCell ref="WO24:WP24"/>
    <mergeCell ref="YY24:YZ24"/>
    <mergeCell ref="ZA24:ZB24"/>
    <mergeCell ref="ZC24:ZD24"/>
    <mergeCell ref="ZE24:ZF24"/>
    <mergeCell ref="ZG24:ZH24"/>
    <mergeCell ref="YO24:YP24"/>
    <mergeCell ref="YQ24:YR24"/>
    <mergeCell ref="YS24:YT24"/>
    <mergeCell ref="YU24:YV24"/>
    <mergeCell ref="YW24:YX24"/>
    <mergeCell ref="YE24:YF24"/>
    <mergeCell ref="YG24:YH24"/>
    <mergeCell ref="YI24:YJ24"/>
    <mergeCell ref="YK24:YL24"/>
    <mergeCell ref="YM24:YN24"/>
    <mergeCell ref="XU24:XV24"/>
    <mergeCell ref="XW24:XX24"/>
    <mergeCell ref="XY24:XZ24"/>
    <mergeCell ref="YA24:YB24"/>
    <mergeCell ref="YC24:YD24"/>
    <mergeCell ref="AAM24:AAN24"/>
    <mergeCell ref="AAO24:AAP24"/>
    <mergeCell ref="AAQ24:AAR24"/>
    <mergeCell ref="AAS24:AAT24"/>
    <mergeCell ref="AAU24:AAV24"/>
    <mergeCell ref="AAC24:AAD24"/>
    <mergeCell ref="AAE24:AAF24"/>
    <mergeCell ref="AAG24:AAH24"/>
    <mergeCell ref="AAI24:AAJ24"/>
    <mergeCell ref="AAK24:AAL24"/>
    <mergeCell ref="ZS24:ZT24"/>
    <mergeCell ref="ZU24:ZV24"/>
    <mergeCell ref="ZW24:ZX24"/>
    <mergeCell ref="ZY24:ZZ24"/>
    <mergeCell ref="AAA24:AAB24"/>
    <mergeCell ref="ZI24:ZJ24"/>
    <mergeCell ref="ZK24:ZL24"/>
    <mergeCell ref="ZM24:ZN24"/>
    <mergeCell ref="ZO24:ZP24"/>
    <mergeCell ref="ZQ24:ZR24"/>
    <mergeCell ref="ACA24:ACB24"/>
    <mergeCell ref="ACC24:ACD24"/>
    <mergeCell ref="ACE24:ACF24"/>
    <mergeCell ref="ACG24:ACH24"/>
    <mergeCell ref="ACI24:ACJ24"/>
    <mergeCell ref="ABQ24:ABR24"/>
    <mergeCell ref="ABS24:ABT24"/>
    <mergeCell ref="ABU24:ABV24"/>
    <mergeCell ref="ABW24:ABX24"/>
    <mergeCell ref="ABY24:ABZ24"/>
    <mergeCell ref="ABG24:ABH24"/>
    <mergeCell ref="ABI24:ABJ24"/>
    <mergeCell ref="ABK24:ABL24"/>
    <mergeCell ref="ABM24:ABN24"/>
    <mergeCell ref="ABO24:ABP24"/>
    <mergeCell ref="AAW24:AAX24"/>
    <mergeCell ref="AAY24:AAZ24"/>
    <mergeCell ref="ABA24:ABB24"/>
    <mergeCell ref="ABC24:ABD24"/>
    <mergeCell ref="ABE24:ABF24"/>
    <mergeCell ref="ADO24:ADP24"/>
    <mergeCell ref="ADQ24:ADR24"/>
    <mergeCell ref="ADS24:ADT24"/>
    <mergeCell ref="ADU24:ADV24"/>
    <mergeCell ref="ADW24:ADX24"/>
    <mergeCell ref="ADE24:ADF24"/>
    <mergeCell ref="ADG24:ADH24"/>
    <mergeCell ref="ADI24:ADJ24"/>
    <mergeCell ref="ADK24:ADL24"/>
    <mergeCell ref="ADM24:ADN24"/>
    <mergeCell ref="ACU24:ACV24"/>
    <mergeCell ref="ACW24:ACX24"/>
    <mergeCell ref="ACY24:ACZ24"/>
    <mergeCell ref="ADA24:ADB24"/>
    <mergeCell ref="ADC24:ADD24"/>
    <mergeCell ref="ACK24:ACL24"/>
    <mergeCell ref="ACM24:ACN24"/>
    <mergeCell ref="ACO24:ACP24"/>
    <mergeCell ref="ACQ24:ACR24"/>
    <mergeCell ref="ACS24:ACT24"/>
    <mergeCell ref="AFC24:AFD24"/>
    <mergeCell ref="AFE24:AFF24"/>
    <mergeCell ref="AFG24:AFH24"/>
    <mergeCell ref="AFI24:AFJ24"/>
    <mergeCell ref="AFK24:AFL24"/>
    <mergeCell ref="AES24:AET24"/>
    <mergeCell ref="AEU24:AEV24"/>
    <mergeCell ref="AEW24:AEX24"/>
    <mergeCell ref="AEY24:AEZ24"/>
    <mergeCell ref="AFA24:AFB24"/>
    <mergeCell ref="AEI24:AEJ24"/>
    <mergeCell ref="AEK24:AEL24"/>
    <mergeCell ref="AEM24:AEN24"/>
    <mergeCell ref="AEO24:AEP24"/>
    <mergeCell ref="AEQ24:AER24"/>
    <mergeCell ref="ADY24:ADZ24"/>
    <mergeCell ref="AEA24:AEB24"/>
    <mergeCell ref="AEC24:AED24"/>
    <mergeCell ref="AEE24:AEF24"/>
    <mergeCell ref="AEG24:AEH24"/>
    <mergeCell ref="AGQ24:AGR24"/>
    <mergeCell ref="AGS24:AGT24"/>
    <mergeCell ref="AGU24:AGV24"/>
    <mergeCell ref="AGW24:AGX24"/>
    <mergeCell ref="AGY24:AGZ24"/>
    <mergeCell ref="AGG24:AGH24"/>
    <mergeCell ref="AGI24:AGJ24"/>
    <mergeCell ref="AGK24:AGL24"/>
    <mergeCell ref="AGM24:AGN24"/>
    <mergeCell ref="AGO24:AGP24"/>
    <mergeCell ref="AFW24:AFX24"/>
    <mergeCell ref="AFY24:AFZ24"/>
    <mergeCell ref="AGA24:AGB24"/>
    <mergeCell ref="AGC24:AGD24"/>
    <mergeCell ref="AGE24:AGF24"/>
    <mergeCell ref="AFM24:AFN24"/>
    <mergeCell ref="AFO24:AFP24"/>
    <mergeCell ref="AFQ24:AFR24"/>
    <mergeCell ref="AFS24:AFT24"/>
    <mergeCell ref="AFU24:AFV24"/>
    <mergeCell ref="AIE24:AIF24"/>
    <mergeCell ref="AIG24:AIH24"/>
    <mergeCell ref="AII24:AIJ24"/>
    <mergeCell ref="AIK24:AIL24"/>
    <mergeCell ref="AIM24:AIN24"/>
    <mergeCell ref="AHU24:AHV24"/>
    <mergeCell ref="AHW24:AHX24"/>
    <mergeCell ref="AHY24:AHZ24"/>
    <mergeCell ref="AIA24:AIB24"/>
    <mergeCell ref="AIC24:AID24"/>
    <mergeCell ref="AHK24:AHL24"/>
    <mergeCell ref="AHM24:AHN24"/>
    <mergeCell ref="AHO24:AHP24"/>
    <mergeCell ref="AHQ24:AHR24"/>
    <mergeCell ref="AHS24:AHT24"/>
    <mergeCell ref="AHA24:AHB24"/>
    <mergeCell ref="AHC24:AHD24"/>
    <mergeCell ref="AHE24:AHF24"/>
    <mergeCell ref="AHG24:AHH24"/>
    <mergeCell ref="AHI24:AHJ24"/>
    <mergeCell ref="AJS24:AJT24"/>
    <mergeCell ref="AJU24:AJV24"/>
    <mergeCell ref="AJW24:AJX24"/>
    <mergeCell ref="AJY24:AJZ24"/>
    <mergeCell ref="AKA24:AKB24"/>
    <mergeCell ref="AJI24:AJJ24"/>
    <mergeCell ref="AJK24:AJL24"/>
    <mergeCell ref="AJM24:AJN24"/>
    <mergeCell ref="AJO24:AJP24"/>
    <mergeCell ref="AJQ24:AJR24"/>
    <mergeCell ref="AIY24:AIZ24"/>
    <mergeCell ref="AJA24:AJB24"/>
    <mergeCell ref="AJC24:AJD24"/>
    <mergeCell ref="AJE24:AJF24"/>
    <mergeCell ref="AJG24:AJH24"/>
    <mergeCell ref="AIO24:AIP24"/>
    <mergeCell ref="AIQ24:AIR24"/>
    <mergeCell ref="AIS24:AIT24"/>
    <mergeCell ref="AIU24:AIV24"/>
    <mergeCell ref="AIW24:AIX24"/>
    <mergeCell ref="ALG24:ALH24"/>
    <mergeCell ref="ALI24:ALJ24"/>
    <mergeCell ref="ALK24:ALL24"/>
    <mergeCell ref="ALM24:ALN24"/>
    <mergeCell ref="ALO24:ALP24"/>
    <mergeCell ref="AKW24:AKX24"/>
    <mergeCell ref="AKY24:AKZ24"/>
    <mergeCell ref="ALA24:ALB24"/>
    <mergeCell ref="ALC24:ALD24"/>
    <mergeCell ref="ALE24:ALF24"/>
    <mergeCell ref="AKM24:AKN24"/>
    <mergeCell ref="AKO24:AKP24"/>
    <mergeCell ref="AKQ24:AKR24"/>
    <mergeCell ref="AKS24:AKT24"/>
    <mergeCell ref="AKU24:AKV24"/>
    <mergeCell ref="AKC24:AKD24"/>
    <mergeCell ref="AKE24:AKF24"/>
    <mergeCell ref="AKG24:AKH24"/>
    <mergeCell ref="AKI24:AKJ24"/>
    <mergeCell ref="AKK24:AKL24"/>
    <mergeCell ref="AMU24:AMV24"/>
    <mergeCell ref="AMW24:AMX24"/>
    <mergeCell ref="AMY24:AMZ24"/>
    <mergeCell ref="ANA24:ANB24"/>
    <mergeCell ref="ANC24:AND24"/>
    <mergeCell ref="AMK24:AML24"/>
    <mergeCell ref="AMM24:AMN24"/>
    <mergeCell ref="AMO24:AMP24"/>
    <mergeCell ref="AMQ24:AMR24"/>
    <mergeCell ref="AMS24:AMT24"/>
    <mergeCell ref="AMA24:AMB24"/>
    <mergeCell ref="AMC24:AMD24"/>
    <mergeCell ref="AME24:AMF24"/>
    <mergeCell ref="AMG24:AMH24"/>
    <mergeCell ref="AMI24:AMJ24"/>
    <mergeCell ref="ALQ24:ALR24"/>
    <mergeCell ref="ALS24:ALT24"/>
    <mergeCell ref="ALU24:ALV24"/>
    <mergeCell ref="ALW24:ALX24"/>
    <mergeCell ref="ALY24:ALZ24"/>
    <mergeCell ref="AOI24:AOJ24"/>
    <mergeCell ref="AOK24:AOL24"/>
    <mergeCell ref="AOM24:AON24"/>
    <mergeCell ref="AOO24:AOP24"/>
    <mergeCell ref="AOQ24:AOR24"/>
    <mergeCell ref="ANY24:ANZ24"/>
    <mergeCell ref="AOA24:AOB24"/>
    <mergeCell ref="AOC24:AOD24"/>
    <mergeCell ref="AOE24:AOF24"/>
    <mergeCell ref="AOG24:AOH24"/>
    <mergeCell ref="ANO24:ANP24"/>
    <mergeCell ref="ANQ24:ANR24"/>
    <mergeCell ref="ANS24:ANT24"/>
    <mergeCell ref="ANU24:ANV24"/>
    <mergeCell ref="ANW24:ANX24"/>
    <mergeCell ref="ANE24:ANF24"/>
    <mergeCell ref="ANG24:ANH24"/>
    <mergeCell ref="ANI24:ANJ24"/>
    <mergeCell ref="ANK24:ANL24"/>
    <mergeCell ref="ANM24:ANN24"/>
    <mergeCell ref="APW24:APX24"/>
    <mergeCell ref="APY24:APZ24"/>
    <mergeCell ref="AQA24:AQB24"/>
    <mergeCell ref="AQC24:AQD24"/>
    <mergeCell ref="AQE24:AQF24"/>
    <mergeCell ref="APM24:APN24"/>
    <mergeCell ref="APO24:APP24"/>
    <mergeCell ref="APQ24:APR24"/>
    <mergeCell ref="APS24:APT24"/>
    <mergeCell ref="APU24:APV24"/>
    <mergeCell ref="APC24:APD24"/>
    <mergeCell ref="APE24:APF24"/>
    <mergeCell ref="APG24:APH24"/>
    <mergeCell ref="API24:APJ24"/>
    <mergeCell ref="APK24:APL24"/>
    <mergeCell ref="AOS24:AOT24"/>
    <mergeCell ref="AOU24:AOV24"/>
    <mergeCell ref="AOW24:AOX24"/>
    <mergeCell ref="AOY24:AOZ24"/>
    <mergeCell ref="APA24:APB24"/>
    <mergeCell ref="ARK24:ARL24"/>
    <mergeCell ref="ARM24:ARN24"/>
    <mergeCell ref="ARO24:ARP24"/>
    <mergeCell ref="ARQ24:ARR24"/>
    <mergeCell ref="ARS24:ART24"/>
    <mergeCell ref="ARA24:ARB24"/>
    <mergeCell ref="ARC24:ARD24"/>
    <mergeCell ref="ARE24:ARF24"/>
    <mergeCell ref="ARG24:ARH24"/>
    <mergeCell ref="ARI24:ARJ24"/>
    <mergeCell ref="AQQ24:AQR24"/>
    <mergeCell ref="AQS24:AQT24"/>
    <mergeCell ref="AQU24:AQV24"/>
    <mergeCell ref="AQW24:AQX24"/>
    <mergeCell ref="AQY24:AQZ24"/>
    <mergeCell ref="AQG24:AQH24"/>
    <mergeCell ref="AQI24:AQJ24"/>
    <mergeCell ref="AQK24:AQL24"/>
    <mergeCell ref="AQM24:AQN24"/>
    <mergeCell ref="AQO24:AQP24"/>
    <mergeCell ref="ASY24:ASZ24"/>
    <mergeCell ref="ATA24:ATB24"/>
    <mergeCell ref="ATC24:ATD24"/>
    <mergeCell ref="ATE24:ATF24"/>
    <mergeCell ref="ATG24:ATH24"/>
    <mergeCell ref="ASO24:ASP24"/>
    <mergeCell ref="ASQ24:ASR24"/>
    <mergeCell ref="ASS24:AST24"/>
    <mergeCell ref="ASU24:ASV24"/>
    <mergeCell ref="ASW24:ASX24"/>
    <mergeCell ref="ASE24:ASF24"/>
    <mergeCell ref="ASG24:ASH24"/>
    <mergeCell ref="ASI24:ASJ24"/>
    <mergeCell ref="ASK24:ASL24"/>
    <mergeCell ref="ASM24:ASN24"/>
    <mergeCell ref="ARU24:ARV24"/>
    <mergeCell ref="ARW24:ARX24"/>
    <mergeCell ref="ARY24:ARZ24"/>
    <mergeCell ref="ASA24:ASB24"/>
    <mergeCell ref="ASC24:ASD24"/>
    <mergeCell ref="AUM24:AUN24"/>
    <mergeCell ref="AUO24:AUP24"/>
    <mergeCell ref="AUQ24:AUR24"/>
    <mergeCell ref="AUS24:AUT24"/>
    <mergeCell ref="AUU24:AUV24"/>
    <mergeCell ref="AUC24:AUD24"/>
    <mergeCell ref="AUE24:AUF24"/>
    <mergeCell ref="AUG24:AUH24"/>
    <mergeCell ref="AUI24:AUJ24"/>
    <mergeCell ref="AUK24:AUL24"/>
    <mergeCell ref="ATS24:ATT24"/>
    <mergeCell ref="ATU24:ATV24"/>
    <mergeCell ref="ATW24:ATX24"/>
    <mergeCell ref="ATY24:ATZ24"/>
    <mergeCell ref="AUA24:AUB24"/>
    <mergeCell ref="ATI24:ATJ24"/>
    <mergeCell ref="ATK24:ATL24"/>
    <mergeCell ref="ATM24:ATN24"/>
    <mergeCell ref="ATO24:ATP24"/>
    <mergeCell ref="ATQ24:ATR24"/>
    <mergeCell ref="AWA24:AWB24"/>
    <mergeCell ref="AWC24:AWD24"/>
    <mergeCell ref="AWE24:AWF24"/>
    <mergeCell ref="AWG24:AWH24"/>
    <mergeCell ref="AWI24:AWJ24"/>
    <mergeCell ref="AVQ24:AVR24"/>
    <mergeCell ref="AVS24:AVT24"/>
    <mergeCell ref="AVU24:AVV24"/>
    <mergeCell ref="AVW24:AVX24"/>
    <mergeCell ref="AVY24:AVZ24"/>
    <mergeCell ref="AVG24:AVH24"/>
    <mergeCell ref="AVI24:AVJ24"/>
    <mergeCell ref="AVK24:AVL24"/>
    <mergeCell ref="AVM24:AVN24"/>
    <mergeCell ref="AVO24:AVP24"/>
    <mergeCell ref="AUW24:AUX24"/>
    <mergeCell ref="AUY24:AUZ24"/>
    <mergeCell ref="AVA24:AVB24"/>
    <mergeCell ref="AVC24:AVD24"/>
    <mergeCell ref="AVE24:AVF24"/>
    <mergeCell ref="AXO24:AXP24"/>
    <mergeCell ref="AXQ24:AXR24"/>
    <mergeCell ref="AXS24:AXT24"/>
    <mergeCell ref="AXU24:AXV24"/>
    <mergeCell ref="AXW24:AXX24"/>
    <mergeCell ref="AXE24:AXF24"/>
    <mergeCell ref="AXG24:AXH24"/>
    <mergeCell ref="AXI24:AXJ24"/>
    <mergeCell ref="AXK24:AXL24"/>
    <mergeCell ref="AXM24:AXN24"/>
    <mergeCell ref="AWU24:AWV24"/>
    <mergeCell ref="AWW24:AWX24"/>
    <mergeCell ref="AWY24:AWZ24"/>
    <mergeCell ref="AXA24:AXB24"/>
    <mergeCell ref="AXC24:AXD24"/>
    <mergeCell ref="AWK24:AWL24"/>
    <mergeCell ref="AWM24:AWN24"/>
    <mergeCell ref="AWO24:AWP24"/>
    <mergeCell ref="AWQ24:AWR24"/>
    <mergeCell ref="AWS24:AWT24"/>
    <mergeCell ref="AZC24:AZD24"/>
    <mergeCell ref="AZE24:AZF24"/>
    <mergeCell ref="AZG24:AZH24"/>
    <mergeCell ref="AZI24:AZJ24"/>
    <mergeCell ref="AZK24:AZL24"/>
    <mergeCell ref="AYS24:AYT24"/>
    <mergeCell ref="AYU24:AYV24"/>
    <mergeCell ref="AYW24:AYX24"/>
    <mergeCell ref="AYY24:AYZ24"/>
    <mergeCell ref="AZA24:AZB24"/>
    <mergeCell ref="AYI24:AYJ24"/>
    <mergeCell ref="AYK24:AYL24"/>
    <mergeCell ref="AYM24:AYN24"/>
    <mergeCell ref="AYO24:AYP24"/>
    <mergeCell ref="AYQ24:AYR24"/>
    <mergeCell ref="AXY24:AXZ24"/>
    <mergeCell ref="AYA24:AYB24"/>
    <mergeCell ref="AYC24:AYD24"/>
    <mergeCell ref="AYE24:AYF24"/>
    <mergeCell ref="AYG24:AYH24"/>
    <mergeCell ref="BAQ24:BAR24"/>
    <mergeCell ref="BAS24:BAT24"/>
    <mergeCell ref="BAU24:BAV24"/>
    <mergeCell ref="BAW24:BAX24"/>
    <mergeCell ref="BAY24:BAZ24"/>
    <mergeCell ref="BAG24:BAH24"/>
    <mergeCell ref="BAI24:BAJ24"/>
    <mergeCell ref="BAK24:BAL24"/>
    <mergeCell ref="BAM24:BAN24"/>
    <mergeCell ref="BAO24:BAP24"/>
    <mergeCell ref="AZW24:AZX24"/>
    <mergeCell ref="AZY24:AZZ24"/>
    <mergeCell ref="BAA24:BAB24"/>
    <mergeCell ref="BAC24:BAD24"/>
    <mergeCell ref="BAE24:BAF24"/>
    <mergeCell ref="AZM24:AZN24"/>
    <mergeCell ref="AZO24:AZP24"/>
    <mergeCell ref="AZQ24:AZR24"/>
    <mergeCell ref="AZS24:AZT24"/>
    <mergeCell ref="AZU24:AZV24"/>
    <mergeCell ref="BCE24:BCF24"/>
    <mergeCell ref="BCG24:BCH24"/>
    <mergeCell ref="BCI24:BCJ24"/>
    <mergeCell ref="BCK24:BCL24"/>
    <mergeCell ref="BCM24:BCN24"/>
    <mergeCell ref="BBU24:BBV24"/>
    <mergeCell ref="BBW24:BBX24"/>
    <mergeCell ref="BBY24:BBZ24"/>
    <mergeCell ref="BCA24:BCB24"/>
    <mergeCell ref="BCC24:BCD24"/>
    <mergeCell ref="BBK24:BBL24"/>
    <mergeCell ref="BBM24:BBN24"/>
    <mergeCell ref="BBO24:BBP24"/>
    <mergeCell ref="BBQ24:BBR24"/>
    <mergeCell ref="BBS24:BBT24"/>
    <mergeCell ref="BBA24:BBB24"/>
    <mergeCell ref="BBC24:BBD24"/>
    <mergeCell ref="BBE24:BBF24"/>
    <mergeCell ref="BBG24:BBH24"/>
    <mergeCell ref="BBI24:BBJ24"/>
    <mergeCell ref="BDS24:BDT24"/>
    <mergeCell ref="BDU24:BDV24"/>
    <mergeCell ref="BDW24:BDX24"/>
    <mergeCell ref="BDY24:BDZ24"/>
    <mergeCell ref="BEA24:BEB24"/>
    <mergeCell ref="BDI24:BDJ24"/>
    <mergeCell ref="BDK24:BDL24"/>
    <mergeCell ref="BDM24:BDN24"/>
    <mergeCell ref="BDO24:BDP24"/>
    <mergeCell ref="BDQ24:BDR24"/>
    <mergeCell ref="BCY24:BCZ24"/>
    <mergeCell ref="BDA24:BDB24"/>
    <mergeCell ref="BDC24:BDD24"/>
    <mergeCell ref="BDE24:BDF24"/>
    <mergeCell ref="BDG24:BDH24"/>
    <mergeCell ref="BCO24:BCP24"/>
    <mergeCell ref="BCQ24:BCR24"/>
    <mergeCell ref="BCS24:BCT24"/>
    <mergeCell ref="BCU24:BCV24"/>
    <mergeCell ref="BCW24:BCX24"/>
    <mergeCell ref="BFG24:BFH24"/>
    <mergeCell ref="BFI24:BFJ24"/>
    <mergeCell ref="BFK24:BFL24"/>
    <mergeCell ref="BFM24:BFN24"/>
    <mergeCell ref="BFO24:BFP24"/>
    <mergeCell ref="BEW24:BEX24"/>
    <mergeCell ref="BEY24:BEZ24"/>
    <mergeCell ref="BFA24:BFB24"/>
    <mergeCell ref="BFC24:BFD24"/>
    <mergeCell ref="BFE24:BFF24"/>
    <mergeCell ref="BEM24:BEN24"/>
    <mergeCell ref="BEO24:BEP24"/>
    <mergeCell ref="BEQ24:BER24"/>
    <mergeCell ref="BES24:BET24"/>
    <mergeCell ref="BEU24:BEV24"/>
    <mergeCell ref="BEC24:BED24"/>
    <mergeCell ref="BEE24:BEF24"/>
    <mergeCell ref="BEG24:BEH24"/>
    <mergeCell ref="BEI24:BEJ24"/>
    <mergeCell ref="BEK24:BEL24"/>
    <mergeCell ref="BGU24:BGV24"/>
    <mergeCell ref="BGW24:BGX24"/>
    <mergeCell ref="BGY24:BGZ24"/>
    <mergeCell ref="BHA24:BHB24"/>
    <mergeCell ref="BHC24:BHD24"/>
    <mergeCell ref="BGK24:BGL24"/>
    <mergeCell ref="BGM24:BGN24"/>
    <mergeCell ref="BGO24:BGP24"/>
    <mergeCell ref="BGQ24:BGR24"/>
    <mergeCell ref="BGS24:BGT24"/>
    <mergeCell ref="BGA24:BGB24"/>
    <mergeCell ref="BGC24:BGD24"/>
    <mergeCell ref="BGE24:BGF24"/>
    <mergeCell ref="BGG24:BGH24"/>
    <mergeCell ref="BGI24:BGJ24"/>
    <mergeCell ref="BFQ24:BFR24"/>
    <mergeCell ref="BFS24:BFT24"/>
    <mergeCell ref="BFU24:BFV24"/>
    <mergeCell ref="BFW24:BFX24"/>
    <mergeCell ref="BFY24:BFZ24"/>
    <mergeCell ref="BII24:BIJ24"/>
    <mergeCell ref="BIK24:BIL24"/>
    <mergeCell ref="BIM24:BIN24"/>
    <mergeCell ref="BIO24:BIP24"/>
    <mergeCell ref="BIQ24:BIR24"/>
    <mergeCell ref="BHY24:BHZ24"/>
    <mergeCell ref="BIA24:BIB24"/>
    <mergeCell ref="BIC24:BID24"/>
    <mergeCell ref="BIE24:BIF24"/>
    <mergeCell ref="BIG24:BIH24"/>
    <mergeCell ref="BHO24:BHP24"/>
    <mergeCell ref="BHQ24:BHR24"/>
    <mergeCell ref="BHS24:BHT24"/>
    <mergeCell ref="BHU24:BHV24"/>
    <mergeCell ref="BHW24:BHX24"/>
    <mergeCell ref="BHE24:BHF24"/>
    <mergeCell ref="BHG24:BHH24"/>
    <mergeCell ref="BHI24:BHJ24"/>
    <mergeCell ref="BHK24:BHL24"/>
    <mergeCell ref="BHM24:BHN24"/>
    <mergeCell ref="BJW24:BJX24"/>
    <mergeCell ref="BJY24:BJZ24"/>
    <mergeCell ref="BKA24:BKB24"/>
    <mergeCell ref="BKC24:BKD24"/>
    <mergeCell ref="BKE24:BKF24"/>
    <mergeCell ref="BJM24:BJN24"/>
    <mergeCell ref="BJO24:BJP24"/>
    <mergeCell ref="BJQ24:BJR24"/>
    <mergeCell ref="BJS24:BJT24"/>
    <mergeCell ref="BJU24:BJV24"/>
    <mergeCell ref="BJC24:BJD24"/>
    <mergeCell ref="BJE24:BJF24"/>
    <mergeCell ref="BJG24:BJH24"/>
    <mergeCell ref="BJI24:BJJ24"/>
    <mergeCell ref="BJK24:BJL24"/>
    <mergeCell ref="BIS24:BIT24"/>
    <mergeCell ref="BIU24:BIV24"/>
    <mergeCell ref="BIW24:BIX24"/>
    <mergeCell ref="BIY24:BIZ24"/>
    <mergeCell ref="BJA24:BJB24"/>
    <mergeCell ref="BLK24:BLL24"/>
    <mergeCell ref="BLM24:BLN24"/>
    <mergeCell ref="BLO24:BLP24"/>
    <mergeCell ref="BLQ24:BLR24"/>
    <mergeCell ref="BLS24:BLT24"/>
    <mergeCell ref="BLA24:BLB24"/>
    <mergeCell ref="BLC24:BLD24"/>
    <mergeCell ref="BLE24:BLF24"/>
    <mergeCell ref="BLG24:BLH24"/>
    <mergeCell ref="BLI24:BLJ24"/>
    <mergeCell ref="BKQ24:BKR24"/>
    <mergeCell ref="BKS24:BKT24"/>
    <mergeCell ref="BKU24:BKV24"/>
    <mergeCell ref="BKW24:BKX24"/>
    <mergeCell ref="BKY24:BKZ24"/>
    <mergeCell ref="BKG24:BKH24"/>
    <mergeCell ref="BKI24:BKJ24"/>
    <mergeCell ref="BKK24:BKL24"/>
    <mergeCell ref="BKM24:BKN24"/>
    <mergeCell ref="BKO24:BKP24"/>
    <mergeCell ref="BMY24:BMZ24"/>
    <mergeCell ref="BNA24:BNB24"/>
    <mergeCell ref="BNC24:BND24"/>
    <mergeCell ref="BNE24:BNF24"/>
    <mergeCell ref="BNG24:BNH24"/>
    <mergeCell ref="BMO24:BMP24"/>
    <mergeCell ref="BMQ24:BMR24"/>
    <mergeCell ref="BMS24:BMT24"/>
    <mergeCell ref="BMU24:BMV24"/>
    <mergeCell ref="BMW24:BMX24"/>
    <mergeCell ref="BME24:BMF24"/>
    <mergeCell ref="BMG24:BMH24"/>
    <mergeCell ref="BMI24:BMJ24"/>
    <mergeCell ref="BMK24:BML24"/>
    <mergeCell ref="BMM24:BMN24"/>
    <mergeCell ref="BLU24:BLV24"/>
    <mergeCell ref="BLW24:BLX24"/>
    <mergeCell ref="BLY24:BLZ24"/>
    <mergeCell ref="BMA24:BMB24"/>
    <mergeCell ref="BMC24:BMD24"/>
    <mergeCell ref="BOM24:BON24"/>
    <mergeCell ref="BOO24:BOP24"/>
    <mergeCell ref="BOQ24:BOR24"/>
    <mergeCell ref="BOS24:BOT24"/>
    <mergeCell ref="BOU24:BOV24"/>
    <mergeCell ref="BOC24:BOD24"/>
    <mergeCell ref="BOE24:BOF24"/>
    <mergeCell ref="BOG24:BOH24"/>
    <mergeCell ref="BOI24:BOJ24"/>
    <mergeCell ref="BOK24:BOL24"/>
    <mergeCell ref="BNS24:BNT24"/>
    <mergeCell ref="BNU24:BNV24"/>
    <mergeCell ref="BNW24:BNX24"/>
    <mergeCell ref="BNY24:BNZ24"/>
    <mergeCell ref="BOA24:BOB24"/>
    <mergeCell ref="BNI24:BNJ24"/>
    <mergeCell ref="BNK24:BNL24"/>
    <mergeCell ref="BNM24:BNN24"/>
    <mergeCell ref="BNO24:BNP24"/>
    <mergeCell ref="BNQ24:BNR24"/>
    <mergeCell ref="BQA24:BQB24"/>
    <mergeCell ref="BQC24:BQD24"/>
    <mergeCell ref="BQE24:BQF24"/>
    <mergeCell ref="BQG24:BQH24"/>
    <mergeCell ref="BQI24:BQJ24"/>
    <mergeCell ref="BPQ24:BPR24"/>
    <mergeCell ref="BPS24:BPT24"/>
    <mergeCell ref="BPU24:BPV24"/>
    <mergeCell ref="BPW24:BPX24"/>
    <mergeCell ref="BPY24:BPZ24"/>
    <mergeCell ref="BPG24:BPH24"/>
    <mergeCell ref="BPI24:BPJ24"/>
    <mergeCell ref="BPK24:BPL24"/>
    <mergeCell ref="BPM24:BPN24"/>
    <mergeCell ref="BPO24:BPP24"/>
    <mergeCell ref="BOW24:BOX24"/>
    <mergeCell ref="BOY24:BOZ24"/>
    <mergeCell ref="BPA24:BPB24"/>
    <mergeCell ref="BPC24:BPD24"/>
    <mergeCell ref="BPE24:BPF24"/>
    <mergeCell ref="BRO24:BRP24"/>
    <mergeCell ref="BRQ24:BRR24"/>
    <mergeCell ref="BRS24:BRT24"/>
    <mergeCell ref="BRU24:BRV24"/>
    <mergeCell ref="BRW24:BRX24"/>
    <mergeCell ref="BRE24:BRF24"/>
    <mergeCell ref="BRG24:BRH24"/>
    <mergeCell ref="BRI24:BRJ24"/>
    <mergeCell ref="BRK24:BRL24"/>
    <mergeCell ref="BRM24:BRN24"/>
    <mergeCell ref="BQU24:BQV24"/>
    <mergeCell ref="BQW24:BQX24"/>
    <mergeCell ref="BQY24:BQZ24"/>
    <mergeCell ref="BRA24:BRB24"/>
    <mergeCell ref="BRC24:BRD24"/>
    <mergeCell ref="BQK24:BQL24"/>
    <mergeCell ref="BQM24:BQN24"/>
    <mergeCell ref="BQO24:BQP24"/>
    <mergeCell ref="BQQ24:BQR24"/>
    <mergeCell ref="BQS24:BQT24"/>
    <mergeCell ref="BTC24:BTD24"/>
    <mergeCell ref="BTE24:BTF24"/>
    <mergeCell ref="BTG24:BTH24"/>
    <mergeCell ref="BTI24:BTJ24"/>
    <mergeCell ref="BTK24:BTL24"/>
    <mergeCell ref="BSS24:BST24"/>
    <mergeCell ref="BSU24:BSV24"/>
    <mergeCell ref="BSW24:BSX24"/>
    <mergeCell ref="BSY24:BSZ24"/>
    <mergeCell ref="BTA24:BTB24"/>
    <mergeCell ref="BSI24:BSJ24"/>
    <mergeCell ref="BSK24:BSL24"/>
    <mergeCell ref="BSM24:BSN24"/>
    <mergeCell ref="BSO24:BSP24"/>
    <mergeCell ref="BSQ24:BSR24"/>
    <mergeCell ref="BRY24:BRZ24"/>
    <mergeCell ref="BSA24:BSB24"/>
    <mergeCell ref="BSC24:BSD24"/>
    <mergeCell ref="BSE24:BSF24"/>
    <mergeCell ref="BSG24:BSH24"/>
    <mergeCell ref="BUQ24:BUR24"/>
    <mergeCell ref="BUS24:BUT24"/>
    <mergeCell ref="BUU24:BUV24"/>
    <mergeCell ref="BUW24:BUX24"/>
    <mergeCell ref="BUY24:BUZ24"/>
    <mergeCell ref="BUG24:BUH24"/>
    <mergeCell ref="BUI24:BUJ24"/>
    <mergeCell ref="BUK24:BUL24"/>
    <mergeCell ref="BUM24:BUN24"/>
    <mergeCell ref="BUO24:BUP24"/>
    <mergeCell ref="BTW24:BTX24"/>
    <mergeCell ref="BTY24:BTZ24"/>
    <mergeCell ref="BUA24:BUB24"/>
    <mergeCell ref="BUC24:BUD24"/>
    <mergeCell ref="BUE24:BUF24"/>
    <mergeCell ref="BTM24:BTN24"/>
    <mergeCell ref="BTO24:BTP24"/>
    <mergeCell ref="BTQ24:BTR24"/>
    <mergeCell ref="BTS24:BTT24"/>
    <mergeCell ref="BTU24:BTV24"/>
    <mergeCell ref="BWE24:BWF24"/>
    <mergeCell ref="BWG24:BWH24"/>
    <mergeCell ref="BWI24:BWJ24"/>
    <mergeCell ref="BWK24:BWL24"/>
    <mergeCell ref="BWM24:BWN24"/>
    <mergeCell ref="BVU24:BVV24"/>
    <mergeCell ref="BVW24:BVX24"/>
    <mergeCell ref="BVY24:BVZ24"/>
    <mergeCell ref="BWA24:BWB24"/>
    <mergeCell ref="BWC24:BWD24"/>
    <mergeCell ref="BVK24:BVL24"/>
    <mergeCell ref="BVM24:BVN24"/>
    <mergeCell ref="BVO24:BVP24"/>
    <mergeCell ref="BVQ24:BVR24"/>
    <mergeCell ref="BVS24:BVT24"/>
    <mergeCell ref="BVA24:BVB24"/>
    <mergeCell ref="BVC24:BVD24"/>
    <mergeCell ref="BVE24:BVF24"/>
    <mergeCell ref="BVG24:BVH24"/>
    <mergeCell ref="BVI24:BVJ24"/>
    <mergeCell ref="BXS24:BXT24"/>
    <mergeCell ref="BXU24:BXV24"/>
    <mergeCell ref="BXW24:BXX24"/>
    <mergeCell ref="BXY24:BXZ24"/>
    <mergeCell ref="BYA24:BYB24"/>
    <mergeCell ref="BXI24:BXJ24"/>
    <mergeCell ref="BXK24:BXL24"/>
    <mergeCell ref="BXM24:BXN24"/>
    <mergeCell ref="BXO24:BXP24"/>
    <mergeCell ref="BXQ24:BXR24"/>
    <mergeCell ref="BWY24:BWZ24"/>
    <mergeCell ref="BXA24:BXB24"/>
    <mergeCell ref="BXC24:BXD24"/>
    <mergeCell ref="BXE24:BXF24"/>
    <mergeCell ref="BXG24:BXH24"/>
    <mergeCell ref="BWO24:BWP24"/>
    <mergeCell ref="BWQ24:BWR24"/>
    <mergeCell ref="BWS24:BWT24"/>
    <mergeCell ref="BWU24:BWV24"/>
    <mergeCell ref="BWW24:BWX24"/>
    <mergeCell ref="BZG24:BZH24"/>
    <mergeCell ref="BZI24:BZJ24"/>
    <mergeCell ref="BZK24:BZL24"/>
    <mergeCell ref="BZM24:BZN24"/>
    <mergeCell ref="BZO24:BZP24"/>
    <mergeCell ref="BYW24:BYX24"/>
    <mergeCell ref="BYY24:BYZ24"/>
    <mergeCell ref="BZA24:BZB24"/>
    <mergeCell ref="BZC24:BZD24"/>
    <mergeCell ref="BZE24:BZF24"/>
    <mergeCell ref="BYM24:BYN24"/>
    <mergeCell ref="BYO24:BYP24"/>
    <mergeCell ref="BYQ24:BYR24"/>
    <mergeCell ref="BYS24:BYT24"/>
    <mergeCell ref="BYU24:BYV24"/>
    <mergeCell ref="BYC24:BYD24"/>
    <mergeCell ref="BYE24:BYF24"/>
    <mergeCell ref="BYG24:BYH24"/>
    <mergeCell ref="BYI24:BYJ24"/>
    <mergeCell ref="BYK24:BYL24"/>
    <mergeCell ref="CAU24:CAV24"/>
    <mergeCell ref="CAW24:CAX24"/>
    <mergeCell ref="CAY24:CAZ24"/>
    <mergeCell ref="CBA24:CBB24"/>
    <mergeCell ref="CBC24:CBD24"/>
    <mergeCell ref="CAK24:CAL24"/>
    <mergeCell ref="CAM24:CAN24"/>
    <mergeCell ref="CAO24:CAP24"/>
    <mergeCell ref="CAQ24:CAR24"/>
    <mergeCell ref="CAS24:CAT24"/>
    <mergeCell ref="CAA24:CAB24"/>
    <mergeCell ref="CAC24:CAD24"/>
    <mergeCell ref="CAE24:CAF24"/>
    <mergeCell ref="CAG24:CAH24"/>
    <mergeCell ref="CAI24:CAJ24"/>
    <mergeCell ref="BZQ24:BZR24"/>
    <mergeCell ref="BZS24:BZT24"/>
    <mergeCell ref="BZU24:BZV24"/>
    <mergeCell ref="BZW24:BZX24"/>
    <mergeCell ref="BZY24:BZZ24"/>
    <mergeCell ref="CCI24:CCJ24"/>
    <mergeCell ref="CCK24:CCL24"/>
    <mergeCell ref="CCM24:CCN24"/>
    <mergeCell ref="CCO24:CCP24"/>
    <mergeCell ref="CCQ24:CCR24"/>
    <mergeCell ref="CBY24:CBZ24"/>
    <mergeCell ref="CCA24:CCB24"/>
    <mergeCell ref="CCC24:CCD24"/>
    <mergeCell ref="CCE24:CCF24"/>
    <mergeCell ref="CCG24:CCH24"/>
    <mergeCell ref="CBO24:CBP24"/>
    <mergeCell ref="CBQ24:CBR24"/>
    <mergeCell ref="CBS24:CBT24"/>
    <mergeCell ref="CBU24:CBV24"/>
    <mergeCell ref="CBW24:CBX24"/>
    <mergeCell ref="CBE24:CBF24"/>
    <mergeCell ref="CBG24:CBH24"/>
    <mergeCell ref="CBI24:CBJ24"/>
    <mergeCell ref="CBK24:CBL24"/>
    <mergeCell ref="CBM24:CBN24"/>
    <mergeCell ref="CDW24:CDX24"/>
    <mergeCell ref="CDY24:CDZ24"/>
    <mergeCell ref="CEA24:CEB24"/>
    <mergeCell ref="CEC24:CED24"/>
    <mergeCell ref="CEE24:CEF24"/>
    <mergeCell ref="CDM24:CDN24"/>
    <mergeCell ref="CDO24:CDP24"/>
    <mergeCell ref="CDQ24:CDR24"/>
    <mergeCell ref="CDS24:CDT24"/>
    <mergeCell ref="CDU24:CDV24"/>
    <mergeCell ref="CDC24:CDD24"/>
    <mergeCell ref="CDE24:CDF24"/>
    <mergeCell ref="CDG24:CDH24"/>
    <mergeCell ref="CDI24:CDJ24"/>
    <mergeCell ref="CDK24:CDL24"/>
    <mergeCell ref="CCS24:CCT24"/>
    <mergeCell ref="CCU24:CCV24"/>
    <mergeCell ref="CCW24:CCX24"/>
    <mergeCell ref="CCY24:CCZ24"/>
    <mergeCell ref="CDA24:CDB24"/>
    <mergeCell ref="CFK24:CFL24"/>
    <mergeCell ref="CFM24:CFN24"/>
    <mergeCell ref="CFO24:CFP24"/>
    <mergeCell ref="CFQ24:CFR24"/>
    <mergeCell ref="CFS24:CFT24"/>
    <mergeCell ref="CFA24:CFB24"/>
    <mergeCell ref="CFC24:CFD24"/>
    <mergeCell ref="CFE24:CFF24"/>
    <mergeCell ref="CFG24:CFH24"/>
    <mergeCell ref="CFI24:CFJ24"/>
    <mergeCell ref="CEQ24:CER24"/>
    <mergeCell ref="CES24:CET24"/>
    <mergeCell ref="CEU24:CEV24"/>
    <mergeCell ref="CEW24:CEX24"/>
    <mergeCell ref="CEY24:CEZ24"/>
    <mergeCell ref="CEG24:CEH24"/>
    <mergeCell ref="CEI24:CEJ24"/>
    <mergeCell ref="CEK24:CEL24"/>
    <mergeCell ref="CEM24:CEN24"/>
    <mergeCell ref="CEO24:CEP24"/>
    <mergeCell ref="CGY24:CGZ24"/>
    <mergeCell ref="CHA24:CHB24"/>
    <mergeCell ref="CHC24:CHD24"/>
    <mergeCell ref="CHE24:CHF24"/>
    <mergeCell ref="CHG24:CHH24"/>
    <mergeCell ref="CGO24:CGP24"/>
    <mergeCell ref="CGQ24:CGR24"/>
    <mergeCell ref="CGS24:CGT24"/>
    <mergeCell ref="CGU24:CGV24"/>
    <mergeCell ref="CGW24:CGX24"/>
    <mergeCell ref="CGE24:CGF24"/>
    <mergeCell ref="CGG24:CGH24"/>
    <mergeCell ref="CGI24:CGJ24"/>
    <mergeCell ref="CGK24:CGL24"/>
    <mergeCell ref="CGM24:CGN24"/>
    <mergeCell ref="CFU24:CFV24"/>
    <mergeCell ref="CFW24:CFX24"/>
    <mergeCell ref="CFY24:CFZ24"/>
    <mergeCell ref="CGA24:CGB24"/>
    <mergeCell ref="CGC24:CGD24"/>
    <mergeCell ref="CIM24:CIN24"/>
    <mergeCell ref="CIO24:CIP24"/>
    <mergeCell ref="CIQ24:CIR24"/>
    <mergeCell ref="CIS24:CIT24"/>
    <mergeCell ref="CIU24:CIV24"/>
    <mergeCell ref="CIC24:CID24"/>
    <mergeCell ref="CIE24:CIF24"/>
    <mergeCell ref="CIG24:CIH24"/>
    <mergeCell ref="CII24:CIJ24"/>
    <mergeCell ref="CIK24:CIL24"/>
    <mergeCell ref="CHS24:CHT24"/>
    <mergeCell ref="CHU24:CHV24"/>
    <mergeCell ref="CHW24:CHX24"/>
    <mergeCell ref="CHY24:CHZ24"/>
    <mergeCell ref="CIA24:CIB24"/>
    <mergeCell ref="CHI24:CHJ24"/>
    <mergeCell ref="CHK24:CHL24"/>
    <mergeCell ref="CHM24:CHN24"/>
    <mergeCell ref="CHO24:CHP24"/>
    <mergeCell ref="CHQ24:CHR24"/>
    <mergeCell ref="CKA24:CKB24"/>
    <mergeCell ref="CKC24:CKD24"/>
    <mergeCell ref="CKE24:CKF24"/>
    <mergeCell ref="CKG24:CKH24"/>
    <mergeCell ref="CKI24:CKJ24"/>
    <mergeCell ref="CJQ24:CJR24"/>
    <mergeCell ref="CJS24:CJT24"/>
    <mergeCell ref="CJU24:CJV24"/>
    <mergeCell ref="CJW24:CJX24"/>
    <mergeCell ref="CJY24:CJZ24"/>
    <mergeCell ref="CJG24:CJH24"/>
    <mergeCell ref="CJI24:CJJ24"/>
    <mergeCell ref="CJK24:CJL24"/>
    <mergeCell ref="CJM24:CJN24"/>
    <mergeCell ref="CJO24:CJP24"/>
    <mergeCell ref="CIW24:CIX24"/>
    <mergeCell ref="CIY24:CIZ24"/>
    <mergeCell ref="CJA24:CJB24"/>
    <mergeCell ref="CJC24:CJD24"/>
    <mergeCell ref="CJE24:CJF24"/>
    <mergeCell ref="CLO24:CLP24"/>
    <mergeCell ref="CLQ24:CLR24"/>
    <mergeCell ref="CLS24:CLT24"/>
    <mergeCell ref="CLU24:CLV24"/>
    <mergeCell ref="CLW24:CLX24"/>
    <mergeCell ref="CLE24:CLF24"/>
    <mergeCell ref="CLG24:CLH24"/>
    <mergeCell ref="CLI24:CLJ24"/>
    <mergeCell ref="CLK24:CLL24"/>
    <mergeCell ref="CLM24:CLN24"/>
    <mergeCell ref="CKU24:CKV24"/>
    <mergeCell ref="CKW24:CKX24"/>
    <mergeCell ref="CKY24:CKZ24"/>
    <mergeCell ref="CLA24:CLB24"/>
    <mergeCell ref="CLC24:CLD24"/>
    <mergeCell ref="CKK24:CKL24"/>
    <mergeCell ref="CKM24:CKN24"/>
    <mergeCell ref="CKO24:CKP24"/>
    <mergeCell ref="CKQ24:CKR24"/>
    <mergeCell ref="CKS24:CKT24"/>
    <mergeCell ref="CNC24:CND24"/>
    <mergeCell ref="CNE24:CNF24"/>
    <mergeCell ref="CNG24:CNH24"/>
    <mergeCell ref="CNI24:CNJ24"/>
    <mergeCell ref="CNK24:CNL24"/>
    <mergeCell ref="CMS24:CMT24"/>
    <mergeCell ref="CMU24:CMV24"/>
    <mergeCell ref="CMW24:CMX24"/>
    <mergeCell ref="CMY24:CMZ24"/>
    <mergeCell ref="CNA24:CNB24"/>
    <mergeCell ref="CMI24:CMJ24"/>
    <mergeCell ref="CMK24:CML24"/>
    <mergeCell ref="CMM24:CMN24"/>
    <mergeCell ref="CMO24:CMP24"/>
    <mergeCell ref="CMQ24:CMR24"/>
    <mergeCell ref="CLY24:CLZ24"/>
    <mergeCell ref="CMA24:CMB24"/>
    <mergeCell ref="CMC24:CMD24"/>
    <mergeCell ref="CME24:CMF24"/>
    <mergeCell ref="CMG24:CMH24"/>
    <mergeCell ref="COQ24:COR24"/>
    <mergeCell ref="COS24:COT24"/>
    <mergeCell ref="COU24:COV24"/>
    <mergeCell ref="COW24:COX24"/>
    <mergeCell ref="COY24:COZ24"/>
    <mergeCell ref="COG24:COH24"/>
    <mergeCell ref="COI24:COJ24"/>
    <mergeCell ref="COK24:COL24"/>
    <mergeCell ref="COM24:CON24"/>
    <mergeCell ref="COO24:COP24"/>
    <mergeCell ref="CNW24:CNX24"/>
    <mergeCell ref="CNY24:CNZ24"/>
    <mergeCell ref="COA24:COB24"/>
    <mergeCell ref="COC24:COD24"/>
    <mergeCell ref="COE24:COF24"/>
    <mergeCell ref="CNM24:CNN24"/>
    <mergeCell ref="CNO24:CNP24"/>
    <mergeCell ref="CNQ24:CNR24"/>
    <mergeCell ref="CNS24:CNT24"/>
    <mergeCell ref="CNU24:CNV24"/>
    <mergeCell ref="CQE24:CQF24"/>
    <mergeCell ref="CQG24:CQH24"/>
    <mergeCell ref="CQI24:CQJ24"/>
    <mergeCell ref="CQK24:CQL24"/>
    <mergeCell ref="CQM24:CQN24"/>
    <mergeCell ref="CPU24:CPV24"/>
    <mergeCell ref="CPW24:CPX24"/>
    <mergeCell ref="CPY24:CPZ24"/>
    <mergeCell ref="CQA24:CQB24"/>
    <mergeCell ref="CQC24:CQD24"/>
    <mergeCell ref="CPK24:CPL24"/>
    <mergeCell ref="CPM24:CPN24"/>
    <mergeCell ref="CPO24:CPP24"/>
    <mergeCell ref="CPQ24:CPR24"/>
    <mergeCell ref="CPS24:CPT24"/>
    <mergeCell ref="CPA24:CPB24"/>
    <mergeCell ref="CPC24:CPD24"/>
    <mergeCell ref="CPE24:CPF24"/>
    <mergeCell ref="CPG24:CPH24"/>
    <mergeCell ref="CPI24:CPJ24"/>
    <mergeCell ref="CRS24:CRT24"/>
    <mergeCell ref="CRU24:CRV24"/>
    <mergeCell ref="CRW24:CRX24"/>
    <mergeCell ref="CRY24:CRZ24"/>
    <mergeCell ref="CSA24:CSB24"/>
    <mergeCell ref="CRI24:CRJ24"/>
    <mergeCell ref="CRK24:CRL24"/>
    <mergeCell ref="CRM24:CRN24"/>
    <mergeCell ref="CRO24:CRP24"/>
    <mergeCell ref="CRQ24:CRR24"/>
    <mergeCell ref="CQY24:CQZ24"/>
    <mergeCell ref="CRA24:CRB24"/>
    <mergeCell ref="CRC24:CRD24"/>
    <mergeCell ref="CRE24:CRF24"/>
    <mergeCell ref="CRG24:CRH24"/>
    <mergeCell ref="CQO24:CQP24"/>
    <mergeCell ref="CQQ24:CQR24"/>
    <mergeCell ref="CQS24:CQT24"/>
    <mergeCell ref="CQU24:CQV24"/>
    <mergeCell ref="CQW24:CQX24"/>
    <mergeCell ref="CTG24:CTH24"/>
    <mergeCell ref="CTI24:CTJ24"/>
    <mergeCell ref="CTK24:CTL24"/>
    <mergeCell ref="CTM24:CTN24"/>
    <mergeCell ref="CTO24:CTP24"/>
    <mergeCell ref="CSW24:CSX24"/>
    <mergeCell ref="CSY24:CSZ24"/>
    <mergeCell ref="CTA24:CTB24"/>
    <mergeCell ref="CTC24:CTD24"/>
    <mergeCell ref="CTE24:CTF24"/>
    <mergeCell ref="CSM24:CSN24"/>
    <mergeCell ref="CSO24:CSP24"/>
    <mergeCell ref="CSQ24:CSR24"/>
    <mergeCell ref="CSS24:CST24"/>
    <mergeCell ref="CSU24:CSV24"/>
    <mergeCell ref="CSC24:CSD24"/>
    <mergeCell ref="CSE24:CSF24"/>
    <mergeCell ref="CSG24:CSH24"/>
    <mergeCell ref="CSI24:CSJ24"/>
    <mergeCell ref="CSK24:CSL24"/>
    <mergeCell ref="CUU24:CUV24"/>
    <mergeCell ref="CUW24:CUX24"/>
    <mergeCell ref="CUY24:CUZ24"/>
    <mergeCell ref="CVA24:CVB24"/>
    <mergeCell ref="CVC24:CVD24"/>
    <mergeCell ref="CUK24:CUL24"/>
    <mergeCell ref="CUM24:CUN24"/>
    <mergeCell ref="CUO24:CUP24"/>
    <mergeCell ref="CUQ24:CUR24"/>
    <mergeCell ref="CUS24:CUT24"/>
    <mergeCell ref="CUA24:CUB24"/>
    <mergeCell ref="CUC24:CUD24"/>
    <mergeCell ref="CUE24:CUF24"/>
    <mergeCell ref="CUG24:CUH24"/>
    <mergeCell ref="CUI24:CUJ24"/>
    <mergeCell ref="CTQ24:CTR24"/>
    <mergeCell ref="CTS24:CTT24"/>
    <mergeCell ref="CTU24:CTV24"/>
    <mergeCell ref="CTW24:CTX24"/>
    <mergeCell ref="CTY24:CTZ24"/>
    <mergeCell ref="CWI24:CWJ24"/>
    <mergeCell ref="CWK24:CWL24"/>
    <mergeCell ref="CWM24:CWN24"/>
    <mergeCell ref="CWO24:CWP24"/>
    <mergeCell ref="CWQ24:CWR24"/>
    <mergeCell ref="CVY24:CVZ24"/>
    <mergeCell ref="CWA24:CWB24"/>
    <mergeCell ref="CWC24:CWD24"/>
    <mergeCell ref="CWE24:CWF24"/>
    <mergeCell ref="CWG24:CWH24"/>
    <mergeCell ref="CVO24:CVP24"/>
    <mergeCell ref="CVQ24:CVR24"/>
    <mergeCell ref="CVS24:CVT24"/>
    <mergeCell ref="CVU24:CVV24"/>
    <mergeCell ref="CVW24:CVX24"/>
    <mergeCell ref="CVE24:CVF24"/>
    <mergeCell ref="CVG24:CVH24"/>
    <mergeCell ref="CVI24:CVJ24"/>
    <mergeCell ref="CVK24:CVL24"/>
    <mergeCell ref="CVM24:CVN24"/>
    <mergeCell ref="CXW24:CXX24"/>
    <mergeCell ref="CXY24:CXZ24"/>
    <mergeCell ref="CYA24:CYB24"/>
    <mergeCell ref="CYC24:CYD24"/>
    <mergeCell ref="CYE24:CYF24"/>
    <mergeCell ref="CXM24:CXN24"/>
    <mergeCell ref="CXO24:CXP24"/>
    <mergeCell ref="CXQ24:CXR24"/>
    <mergeCell ref="CXS24:CXT24"/>
    <mergeCell ref="CXU24:CXV24"/>
    <mergeCell ref="CXC24:CXD24"/>
    <mergeCell ref="CXE24:CXF24"/>
    <mergeCell ref="CXG24:CXH24"/>
    <mergeCell ref="CXI24:CXJ24"/>
    <mergeCell ref="CXK24:CXL24"/>
    <mergeCell ref="CWS24:CWT24"/>
    <mergeCell ref="CWU24:CWV24"/>
    <mergeCell ref="CWW24:CWX24"/>
    <mergeCell ref="CWY24:CWZ24"/>
    <mergeCell ref="CXA24:CXB24"/>
    <mergeCell ref="CZK24:CZL24"/>
    <mergeCell ref="CZM24:CZN24"/>
    <mergeCell ref="CZO24:CZP24"/>
    <mergeCell ref="CZQ24:CZR24"/>
    <mergeCell ref="CZS24:CZT24"/>
    <mergeCell ref="CZA24:CZB24"/>
    <mergeCell ref="CZC24:CZD24"/>
    <mergeCell ref="CZE24:CZF24"/>
    <mergeCell ref="CZG24:CZH24"/>
    <mergeCell ref="CZI24:CZJ24"/>
    <mergeCell ref="CYQ24:CYR24"/>
    <mergeCell ref="CYS24:CYT24"/>
    <mergeCell ref="CYU24:CYV24"/>
    <mergeCell ref="CYW24:CYX24"/>
    <mergeCell ref="CYY24:CYZ24"/>
    <mergeCell ref="CYG24:CYH24"/>
    <mergeCell ref="CYI24:CYJ24"/>
    <mergeCell ref="CYK24:CYL24"/>
    <mergeCell ref="CYM24:CYN24"/>
    <mergeCell ref="CYO24:CYP24"/>
    <mergeCell ref="DAY24:DAZ24"/>
    <mergeCell ref="DBA24:DBB24"/>
    <mergeCell ref="DBC24:DBD24"/>
    <mergeCell ref="DBE24:DBF24"/>
    <mergeCell ref="DBG24:DBH24"/>
    <mergeCell ref="DAO24:DAP24"/>
    <mergeCell ref="DAQ24:DAR24"/>
    <mergeCell ref="DAS24:DAT24"/>
    <mergeCell ref="DAU24:DAV24"/>
    <mergeCell ref="DAW24:DAX24"/>
    <mergeCell ref="DAE24:DAF24"/>
    <mergeCell ref="DAG24:DAH24"/>
    <mergeCell ref="DAI24:DAJ24"/>
    <mergeCell ref="DAK24:DAL24"/>
    <mergeCell ref="DAM24:DAN24"/>
    <mergeCell ref="CZU24:CZV24"/>
    <mergeCell ref="CZW24:CZX24"/>
    <mergeCell ref="CZY24:CZZ24"/>
    <mergeCell ref="DAA24:DAB24"/>
    <mergeCell ref="DAC24:DAD24"/>
    <mergeCell ref="DCM24:DCN24"/>
    <mergeCell ref="DCO24:DCP24"/>
    <mergeCell ref="DCQ24:DCR24"/>
    <mergeCell ref="DCS24:DCT24"/>
    <mergeCell ref="DCU24:DCV24"/>
    <mergeCell ref="DCC24:DCD24"/>
    <mergeCell ref="DCE24:DCF24"/>
    <mergeCell ref="DCG24:DCH24"/>
    <mergeCell ref="DCI24:DCJ24"/>
    <mergeCell ref="DCK24:DCL24"/>
    <mergeCell ref="DBS24:DBT24"/>
    <mergeCell ref="DBU24:DBV24"/>
    <mergeCell ref="DBW24:DBX24"/>
    <mergeCell ref="DBY24:DBZ24"/>
    <mergeCell ref="DCA24:DCB24"/>
    <mergeCell ref="DBI24:DBJ24"/>
    <mergeCell ref="DBK24:DBL24"/>
    <mergeCell ref="DBM24:DBN24"/>
    <mergeCell ref="DBO24:DBP24"/>
    <mergeCell ref="DBQ24:DBR24"/>
    <mergeCell ref="DEA24:DEB24"/>
    <mergeCell ref="DEC24:DED24"/>
    <mergeCell ref="DEE24:DEF24"/>
    <mergeCell ref="DEG24:DEH24"/>
    <mergeCell ref="DEI24:DEJ24"/>
    <mergeCell ref="DDQ24:DDR24"/>
    <mergeCell ref="DDS24:DDT24"/>
    <mergeCell ref="DDU24:DDV24"/>
    <mergeCell ref="DDW24:DDX24"/>
    <mergeCell ref="DDY24:DDZ24"/>
    <mergeCell ref="DDG24:DDH24"/>
    <mergeCell ref="DDI24:DDJ24"/>
    <mergeCell ref="DDK24:DDL24"/>
    <mergeCell ref="DDM24:DDN24"/>
    <mergeCell ref="DDO24:DDP24"/>
    <mergeCell ref="DCW24:DCX24"/>
    <mergeCell ref="DCY24:DCZ24"/>
    <mergeCell ref="DDA24:DDB24"/>
    <mergeCell ref="DDC24:DDD24"/>
    <mergeCell ref="DDE24:DDF24"/>
    <mergeCell ref="DFO24:DFP24"/>
    <mergeCell ref="DFQ24:DFR24"/>
    <mergeCell ref="DFS24:DFT24"/>
    <mergeCell ref="DFU24:DFV24"/>
    <mergeCell ref="DFW24:DFX24"/>
    <mergeCell ref="DFE24:DFF24"/>
    <mergeCell ref="DFG24:DFH24"/>
    <mergeCell ref="DFI24:DFJ24"/>
    <mergeCell ref="DFK24:DFL24"/>
    <mergeCell ref="DFM24:DFN24"/>
    <mergeCell ref="DEU24:DEV24"/>
    <mergeCell ref="DEW24:DEX24"/>
    <mergeCell ref="DEY24:DEZ24"/>
    <mergeCell ref="DFA24:DFB24"/>
    <mergeCell ref="DFC24:DFD24"/>
    <mergeCell ref="DEK24:DEL24"/>
    <mergeCell ref="DEM24:DEN24"/>
    <mergeCell ref="DEO24:DEP24"/>
    <mergeCell ref="DEQ24:DER24"/>
    <mergeCell ref="DES24:DET24"/>
    <mergeCell ref="DHC24:DHD24"/>
    <mergeCell ref="DHE24:DHF24"/>
    <mergeCell ref="DHG24:DHH24"/>
    <mergeCell ref="DHI24:DHJ24"/>
    <mergeCell ref="DHK24:DHL24"/>
    <mergeCell ref="DGS24:DGT24"/>
    <mergeCell ref="DGU24:DGV24"/>
    <mergeCell ref="DGW24:DGX24"/>
    <mergeCell ref="DGY24:DGZ24"/>
    <mergeCell ref="DHA24:DHB24"/>
    <mergeCell ref="DGI24:DGJ24"/>
    <mergeCell ref="DGK24:DGL24"/>
    <mergeCell ref="DGM24:DGN24"/>
    <mergeCell ref="DGO24:DGP24"/>
    <mergeCell ref="DGQ24:DGR24"/>
    <mergeCell ref="DFY24:DFZ24"/>
    <mergeCell ref="DGA24:DGB24"/>
    <mergeCell ref="DGC24:DGD24"/>
    <mergeCell ref="DGE24:DGF24"/>
    <mergeCell ref="DGG24:DGH24"/>
    <mergeCell ref="DIQ24:DIR24"/>
    <mergeCell ref="DIS24:DIT24"/>
    <mergeCell ref="DIU24:DIV24"/>
    <mergeCell ref="DIW24:DIX24"/>
    <mergeCell ref="DIY24:DIZ24"/>
    <mergeCell ref="DIG24:DIH24"/>
    <mergeCell ref="DII24:DIJ24"/>
    <mergeCell ref="DIK24:DIL24"/>
    <mergeCell ref="DIM24:DIN24"/>
    <mergeCell ref="DIO24:DIP24"/>
    <mergeCell ref="DHW24:DHX24"/>
    <mergeCell ref="DHY24:DHZ24"/>
    <mergeCell ref="DIA24:DIB24"/>
    <mergeCell ref="DIC24:DID24"/>
    <mergeCell ref="DIE24:DIF24"/>
    <mergeCell ref="DHM24:DHN24"/>
    <mergeCell ref="DHO24:DHP24"/>
    <mergeCell ref="DHQ24:DHR24"/>
    <mergeCell ref="DHS24:DHT24"/>
    <mergeCell ref="DHU24:DHV24"/>
    <mergeCell ref="DKE24:DKF24"/>
    <mergeCell ref="DKG24:DKH24"/>
    <mergeCell ref="DKI24:DKJ24"/>
    <mergeCell ref="DKK24:DKL24"/>
    <mergeCell ref="DKM24:DKN24"/>
    <mergeCell ref="DJU24:DJV24"/>
    <mergeCell ref="DJW24:DJX24"/>
    <mergeCell ref="DJY24:DJZ24"/>
    <mergeCell ref="DKA24:DKB24"/>
    <mergeCell ref="DKC24:DKD24"/>
    <mergeCell ref="DJK24:DJL24"/>
    <mergeCell ref="DJM24:DJN24"/>
    <mergeCell ref="DJO24:DJP24"/>
    <mergeCell ref="DJQ24:DJR24"/>
    <mergeCell ref="DJS24:DJT24"/>
    <mergeCell ref="DJA24:DJB24"/>
    <mergeCell ref="DJC24:DJD24"/>
    <mergeCell ref="DJE24:DJF24"/>
    <mergeCell ref="DJG24:DJH24"/>
    <mergeCell ref="DJI24:DJJ24"/>
    <mergeCell ref="DLS24:DLT24"/>
    <mergeCell ref="DLU24:DLV24"/>
    <mergeCell ref="DLW24:DLX24"/>
    <mergeCell ref="DLY24:DLZ24"/>
    <mergeCell ref="DMA24:DMB24"/>
    <mergeCell ref="DLI24:DLJ24"/>
    <mergeCell ref="DLK24:DLL24"/>
    <mergeCell ref="DLM24:DLN24"/>
    <mergeCell ref="DLO24:DLP24"/>
    <mergeCell ref="DLQ24:DLR24"/>
    <mergeCell ref="DKY24:DKZ24"/>
    <mergeCell ref="DLA24:DLB24"/>
    <mergeCell ref="DLC24:DLD24"/>
    <mergeCell ref="DLE24:DLF24"/>
    <mergeCell ref="DLG24:DLH24"/>
    <mergeCell ref="DKO24:DKP24"/>
    <mergeCell ref="DKQ24:DKR24"/>
    <mergeCell ref="DKS24:DKT24"/>
    <mergeCell ref="DKU24:DKV24"/>
    <mergeCell ref="DKW24:DKX24"/>
    <mergeCell ref="DNG24:DNH24"/>
    <mergeCell ref="DNI24:DNJ24"/>
    <mergeCell ref="DNK24:DNL24"/>
    <mergeCell ref="DNM24:DNN24"/>
    <mergeCell ref="DNO24:DNP24"/>
    <mergeCell ref="DMW24:DMX24"/>
    <mergeCell ref="DMY24:DMZ24"/>
    <mergeCell ref="DNA24:DNB24"/>
    <mergeCell ref="DNC24:DND24"/>
    <mergeCell ref="DNE24:DNF24"/>
    <mergeCell ref="DMM24:DMN24"/>
    <mergeCell ref="DMO24:DMP24"/>
    <mergeCell ref="DMQ24:DMR24"/>
    <mergeCell ref="DMS24:DMT24"/>
    <mergeCell ref="DMU24:DMV24"/>
    <mergeCell ref="DMC24:DMD24"/>
    <mergeCell ref="DME24:DMF24"/>
    <mergeCell ref="DMG24:DMH24"/>
    <mergeCell ref="DMI24:DMJ24"/>
    <mergeCell ref="DMK24:DML24"/>
    <mergeCell ref="DOU24:DOV24"/>
    <mergeCell ref="DOW24:DOX24"/>
    <mergeCell ref="DOY24:DOZ24"/>
    <mergeCell ref="DPA24:DPB24"/>
    <mergeCell ref="DPC24:DPD24"/>
    <mergeCell ref="DOK24:DOL24"/>
    <mergeCell ref="DOM24:DON24"/>
    <mergeCell ref="DOO24:DOP24"/>
    <mergeCell ref="DOQ24:DOR24"/>
    <mergeCell ref="DOS24:DOT24"/>
    <mergeCell ref="DOA24:DOB24"/>
    <mergeCell ref="DOC24:DOD24"/>
    <mergeCell ref="DOE24:DOF24"/>
    <mergeCell ref="DOG24:DOH24"/>
    <mergeCell ref="DOI24:DOJ24"/>
    <mergeCell ref="DNQ24:DNR24"/>
    <mergeCell ref="DNS24:DNT24"/>
    <mergeCell ref="DNU24:DNV24"/>
    <mergeCell ref="DNW24:DNX24"/>
    <mergeCell ref="DNY24:DNZ24"/>
    <mergeCell ref="DQI24:DQJ24"/>
    <mergeCell ref="DQK24:DQL24"/>
    <mergeCell ref="DQM24:DQN24"/>
    <mergeCell ref="DQO24:DQP24"/>
    <mergeCell ref="DQQ24:DQR24"/>
    <mergeCell ref="DPY24:DPZ24"/>
    <mergeCell ref="DQA24:DQB24"/>
    <mergeCell ref="DQC24:DQD24"/>
    <mergeCell ref="DQE24:DQF24"/>
    <mergeCell ref="DQG24:DQH24"/>
    <mergeCell ref="DPO24:DPP24"/>
    <mergeCell ref="DPQ24:DPR24"/>
    <mergeCell ref="DPS24:DPT24"/>
    <mergeCell ref="DPU24:DPV24"/>
    <mergeCell ref="DPW24:DPX24"/>
    <mergeCell ref="DPE24:DPF24"/>
    <mergeCell ref="DPG24:DPH24"/>
    <mergeCell ref="DPI24:DPJ24"/>
    <mergeCell ref="DPK24:DPL24"/>
    <mergeCell ref="DPM24:DPN24"/>
    <mergeCell ref="DRW24:DRX24"/>
    <mergeCell ref="DRY24:DRZ24"/>
    <mergeCell ref="DSA24:DSB24"/>
    <mergeCell ref="DSC24:DSD24"/>
    <mergeCell ref="DSE24:DSF24"/>
    <mergeCell ref="DRM24:DRN24"/>
    <mergeCell ref="DRO24:DRP24"/>
    <mergeCell ref="DRQ24:DRR24"/>
    <mergeCell ref="DRS24:DRT24"/>
    <mergeCell ref="DRU24:DRV24"/>
    <mergeCell ref="DRC24:DRD24"/>
    <mergeCell ref="DRE24:DRF24"/>
    <mergeCell ref="DRG24:DRH24"/>
    <mergeCell ref="DRI24:DRJ24"/>
    <mergeCell ref="DRK24:DRL24"/>
    <mergeCell ref="DQS24:DQT24"/>
    <mergeCell ref="DQU24:DQV24"/>
    <mergeCell ref="DQW24:DQX24"/>
    <mergeCell ref="DQY24:DQZ24"/>
    <mergeCell ref="DRA24:DRB24"/>
    <mergeCell ref="DTK24:DTL24"/>
    <mergeCell ref="DTM24:DTN24"/>
    <mergeCell ref="DTO24:DTP24"/>
    <mergeCell ref="DTQ24:DTR24"/>
    <mergeCell ref="DTS24:DTT24"/>
    <mergeCell ref="DTA24:DTB24"/>
    <mergeCell ref="DTC24:DTD24"/>
    <mergeCell ref="DTE24:DTF24"/>
    <mergeCell ref="DTG24:DTH24"/>
    <mergeCell ref="DTI24:DTJ24"/>
    <mergeCell ref="DSQ24:DSR24"/>
    <mergeCell ref="DSS24:DST24"/>
    <mergeCell ref="DSU24:DSV24"/>
    <mergeCell ref="DSW24:DSX24"/>
    <mergeCell ref="DSY24:DSZ24"/>
    <mergeCell ref="DSG24:DSH24"/>
    <mergeCell ref="DSI24:DSJ24"/>
    <mergeCell ref="DSK24:DSL24"/>
    <mergeCell ref="DSM24:DSN24"/>
    <mergeCell ref="DSO24:DSP24"/>
    <mergeCell ref="DUY24:DUZ24"/>
    <mergeCell ref="DVA24:DVB24"/>
    <mergeCell ref="DVC24:DVD24"/>
    <mergeCell ref="DVE24:DVF24"/>
    <mergeCell ref="DVG24:DVH24"/>
    <mergeCell ref="DUO24:DUP24"/>
    <mergeCell ref="DUQ24:DUR24"/>
    <mergeCell ref="DUS24:DUT24"/>
    <mergeCell ref="DUU24:DUV24"/>
    <mergeCell ref="DUW24:DUX24"/>
    <mergeCell ref="DUE24:DUF24"/>
    <mergeCell ref="DUG24:DUH24"/>
    <mergeCell ref="DUI24:DUJ24"/>
    <mergeCell ref="DUK24:DUL24"/>
    <mergeCell ref="DUM24:DUN24"/>
    <mergeCell ref="DTU24:DTV24"/>
    <mergeCell ref="DTW24:DTX24"/>
    <mergeCell ref="DTY24:DTZ24"/>
    <mergeCell ref="DUA24:DUB24"/>
    <mergeCell ref="DUC24:DUD24"/>
    <mergeCell ref="DWM24:DWN24"/>
    <mergeCell ref="DWO24:DWP24"/>
    <mergeCell ref="DWQ24:DWR24"/>
    <mergeCell ref="DWS24:DWT24"/>
    <mergeCell ref="DWU24:DWV24"/>
    <mergeCell ref="DWC24:DWD24"/>
    <mergeCell ref="DWE24:DWF24"/>
    <mergeCell ref="DWG24:DWH24"/>
    <mergeCell ref="DWI24:DWJ24"/>
    <mergeCell ref="DWK24:DWL24"/>
    <mergeCell ref="DVS24:DVT24"/>
    <mergeCell ref="DVU24:DVV24"/>
    <mergeCell ref="DVW24:DVX24"/>
    <mergeCell ref="DVY24:DVZ24"/>
    <mergeCell ref="DWA24:DWB24"/>
    <mergeCell ref="DVI24:DVJ24"/>
    <mergeCell ref="DVK24:DVL24"/>
    <mergeCell ref="DVM24:DVN24"/>
    <mergeCell ref="DVO24:DVP24"/>
    <mergeCell ref="DVQ24:DVR24"/>
    <mergeCell ref="DYA24:DYB24"/>
    <mergeCell ref="DYC24:DYD24"/>
    <mergeCell ref="DYE24:DYF24"/>
    <mergeCell ref="DYG24:DYH24"/>
    <mergeCell ref="DYI24:DYJ24"/>
    <mergeCell ref="DXQ24:DXR24"/>
    <mergeCell ref="DXS24:DXT24"/>
    <mergeCell ref="DXU24:DXV24"/>
    <mergeCell ref="DXW24:DXX24"/>
    <mergeCell ref="DXY24:DXZ24"/>
    <mergeCell ref="DXG24:DXH24"/>
    <mergeCell ref="DXI24:DXJ24"/>
    <mergeCell ref="DXK24:DXL24"/>
    <mergeCell ref="DXM24:DXN24"/>
    <mergeCell ref="DXO24:DXP24"/>
    <mergeCell ref="DWW24:DWX24"/>
    <mergeCell ref="DWY24:DWZ24"/>
    <mergeCell ref="DXA24:DXB24"/>
    <mergeCell ref="DXC24:DXD24"/>
    <mergeCell ref="DXE24:DXF24"/>
    <mergeCell ref="DZO24:DZP24"/>
    <mergeCell ref="DZQ24:DZR24"/>
    <mergeCell ref="DZS24:DZT24"/>
    <mergeCell ref="DZU24:DZV24"/>
    <mergeCell ref="DZW24:DZX24"/>
    <mergeCell ref="DZE24:DZF24"/>
    <mergeCell ref="DZG24:DZH24"/>
    <mergeCell ref="DZI24:DZJ24"/>
    <mergeCell ref="DZK24:DZL24"/>
    <mergeCell ref="DZM24:DZN24"/>
    <mergeCell ref="DYU24:DYV24"/>
    <mergeCell ref="DYW24:DYX24"/>
    <mergeCell ref="DYY24:DYZ24"/>
    <mergeCell ref="DZA24:DZB24"/>
    <mergeCell ref="DZC24:DZD24"/>
    <mergeCell ref="DYK24:DYL24"/>
    <mergeCell ref="DYM24:DYN24"/>
    <mergeCell ref="DYO24:DYP24"/>
    <mergeCell ref="DYQ24:DYR24"/>
    <mergeCell ref="DYS24:DYT24"/>
    <mergeCell ref="EBC24:EBD24"/>
    <mergeCell ref="EBE24:EBF24"/>
    <mergeCell ref="EBG24:EBH24"/>
    <mergeCell ref="EBI24:EBJ24"/>
    <mergeCell ref="EBK24:EBL24"/>
    <mergeCell ref="EAS24:EAT24"/>
    <mergeCell ref="EAU24:EAV24"/>
    <mergeCell ref="EAW24:EAX24"/>
    <mergeCell ref="EAY24:EAZ24"/>
    <mergeCell ref="EBA24:EBB24"/>
    <mergeCell ref="EAI24:EAJ24"/>
    <mergeCell ref="EAK24:EAL24"/>
    <mergeCell ref="EAM24:EAN24"/>
    <mergeCell ref="EAO24:EAP24"/>
    <mergeCell ref="EAQ24:EAR24"/>
    <mergeCell ref="DZY24:DZZ24"/>
    <mergeCell ref="EAA24:EAB24"/>
    <mergeCell ref="EAC24:EAD24"/>
    <mergeCell ref="EAE24:EAF24"/>
    <mergeCell ref="EAG24:EAH24"/>
    <mergeCell ref="ECQ24:ECR24"/>
    <mergeCell ref="ECS24:ECT24"/>
    <mergeCell ref="ECU24:ECV24"/>
    <mergeCell ref="ECW24:ECX24"/>
    <mergeCell ref="ECY24:ECZ24"/>
    <mergeCell ref="ECG24:ECH24"/>
    <mergeCell ref="ECI24:ECJ24"/>
    <mergeCell ref="ECK24:ECL24"/>
    <mergeCell ref="ECM24:ECN24"/>
    <mergeCell ref="ECO24:ECP24"/>
    <mergeCell ref="EBW24:EBX24"/>
    <mergeCell ref="EBY24:EBZ24"/>
    <mergeCell ref="ECA24:ECB24"/>
    <mergeCell ref="ECC24:ECD24"/>
    <mergeCell ref="ECE24:ECF24"/>
    <mergeCell ref="EBM24:EBN24"/>
    <mergeCell ref="EBO24:EBP24"/>
    <mergeCell ref="EBQ24:EBR24"/>
    <mergeCell ref="EBS24:EBT24"/>
    <mergeCell ref="EBU24:EBV24"/>
    <mergeCell ref="EEE24:EEF24"/>
    <mergeCell ref="EEG24:EEH24"/>
    <mergeCell ref="EEI24:EEJ24"/>
    <mergeCell ref="EEK24:EEL24"/>
    <mergeCell ref="EEM24:EEN24"/>
    <mergeCell ref="EDU24:EDV24"/>
    <mergeCell ref="EDW24:EDX24"/>
    <mergeCell ref="EDY24:EDZ24"/>
    <mergeCell ref="EEA24:EEB24"/>
    <mergeCell ref="EEC24:EED24"/>
    <mergeCell ref="EDK24:EDL24"/>
    <mergeCell ref="EDM24:EDN24"/>
    <mergeCell ref="EDO24:EDP24"/>
    <mergeCell ref="EDQ24:EDR24"/>
    <mergeCell ref="EDS24:EDT24"/>
    <mergeCell ref="EDA24:EDB24"/>
    <mergeCell ref="EDC24:EDD24"/>
    <mergeCell ref="EDE24:EDF24"/>
    <mergeCell ref="EDG24:EDH24"/>
    <mergeCell ref="EDI24:EDJ24"/>
    <mergeCell ref="EFS24:EFT24"/>
    <mergeCell ref="EFU24:EFV24"/>
    <mergeCell ref="EFW24:EFX24"/>
    <mergeCell ref="EFY24:EFZ24"/>
    <mergeCell ref="EGA24:EGB24"/>
    <mergeCell ref="EFI24:EFJ24"/>
    <mergeCell ref="EFK24:EFL24"/>
    <mergeCell ref="EFM24:EFN24"/>
    <mergeCell ref="EFO24:EFP24"/>
    <mergeCell ref="EFQ24:EFR24"/>
    <mergeCell ref="EEY24:EEZ24"/>
    <mergeCell ref="EFA24:EFB24"/>
    <mergeCell ref="EFC24:EFD24"/>
    <mergeCell ref="EFE24:EFF24"/>
    <mergeCell ref="EFG24:EFH24"/>
    <mergeCell ref="EEO24:EEP24"/>
    <mergeCell ref="EEQ24:EER24"/>
    <mergeCell ref="EES24:EET24"/>
    <mergeCell ref="EEU24:EEV24"/>
    <mergeCell ref="EEW24:EEX24"/>
    <mergeCell ref="EHG24:EHH24"/>
    <mergeCell ref="EHI24:EHJ24"/>
    <mergeCell ref="EHK24:EHL24"/>
    <mergeCell ref="EHM24:EHN24"/>
    <mergeCell ref="EHO24:EHP24"/>
    <mergeCell ref="EGW24:EGX24"/>
    <mergeCell ref="EGY24:EGZ24"/>
    <mergeCell ref="EHA24:EHB24"/>
    <mergeCell ref="EHC24:EHD24"/>
    <mergeCell ref="EHE24:EHF24"/>
    <mergeCell ref="EGM24:EGN24"/>
    <mergeCell ref="EGO24:EGP24"/>
    <mergeCell ref="EGQ24:EGR24"/>
    <mergeCell ref="EGS24:EGT24"/>
    <mergeCell ref="EGU24:EGV24"/>
    <mergeCell ref="EGC24:EGD24"/>
    <mergeCell ref="EGE24:EGF24"/>
    <mergeCell ref="EGG24:EGH24"/>
    <mergeCell ref="EGI24:EGJ24"/>
    <mergeCell ref="EGK24:EGL24"/>
    <mergeCell ref="EIU24:EIV24"/>
    <mergeCell ref="EIW24:EIX24"/>
    <mergeCell ref="EIY24:EIZ24"/>
    <mergeCell ref="EJA24:EJB24"/>
    <mergeCell ref="EJC24:EJD24"/>
    <mergeCell ref="EIK24:EIL24"/>
    <mergeCell ref="EIM24:EIN24"/>
    <mergeCell ref="EIO24:EIP24"/>
    <mergeCell ref="EIQ24:EIR24"/>
    <mergeCell ref="EIS24:EIT24"/>
    <mergeCell ref="EIA24:EIB24"/>
    <mergeCell ref="EIC24:EID24"/>
    <mergeCell ref="EIE24:EIF24"/>
    <mergeCell ref="EIG24:EIH24"/>
    <mergeCell ref="EII24:EIJ24"/>
    <mergeCell ref="EHQ24:EHR24"/>
    <mergeCell ref="EHS24:EHT24"/>
    <mergeCell ref="EHU24:EHV24"/>
    <mergeCell ref="EHW24:EHX24"/>
    <mergeCell ref="EHY24:EHZ24"/>
    <mergeCell ref="EKI24:EKJ24"/>
    <mergeCell ref="EKK24:EKL24"/>
    <mergeCell ref="EKM24:EKN24"/>
    <mergeCell ref="EKO24:EKP24"/>
    <mergeCell ref="EKQ24:EKR24"/>
    <mergeCell ref="EJY24:EJZ24"/>
    <mergeCell ref="EKA24:EKB24"/>
    <mergeCell ref="EKC24:EKD24"/>
    <mergeCell ref="EKE24:EKF24"/>
    <mergeCell ref="EKG24:EKH24"/>
    <mergeCell ref="EJO24:EJP24"/>
    <mergeCell ref="EJQ24:EJR24"/>
    <mergeCell ref="EJS24:EJT24"/>
    <mergeCell ref="EJU24:EJV24"/>
    <mergeCell ref="EJW24:EJX24"/>
    <mergeCell ref="EJE24:EJF24"/>
    <mergeCell ref="EJG24:EJH24"/>
    <mergeCell ref="EJI24:EJJ24"/>
    <mergeCell ref="EJK24:EJL24"/>
    <mergeCell ref="EJM24:EJN24"/>
    <mergeCell ref="ELW24:ELX24"/>
    <mergeCell ref="ELY24:ELZ24"/>
    <mergeCell ref="EMA24:EMB24"/>
    <mergeCell ref="EMC24:EMD24"/>
    <mergeCell ref="EME24:EMF24"/>
    <mergeCell ref="ELM24:ELN24"/>
    <mergeCell ref="ELO24:ELP24"/>
    <mergeCell ref="ELQ24:ELR24"/>
    <mergeCell ref="ELS24:ELT24"/>
    <mergeCell ref="ELU24:ELV24"/>
    <mergeCell ref="ELC24:ELD24"/>
    <mergeCell ref="ELE24:ELF24"/>
    <mergeCell ref="ELG24:ELH24"/>
    <mergeCell ref="ELI24:ELJ24"/>
    <mergeCell ref="ELK24:ELL24"/>
    <mergeCell ref="EKS24:EKT24"/>
    <mergeCell ref="EKU24:EKV24"/>
    <mergeCell ref="EKW24:EKX24"/>
    <mergeCell ref="EKY24:EKZ24"/>
    <mergeCell ref="ELA24:ELB24"/>
    <mergeCell ref="ENK24:ENL24"/>
    <mergeCell ref="ENM24:ENN24"/>
    <mergeCell ref="ENO24:ENP24"/>
    <mergeCell ref="ENQ24:ENR24"/>
    <mergeCell ref="ENS24:ENT24"/>
    <mergeCell ref="ENA24:ENB24"/>
    <mergeCell ref="ENC24:END24"/>
    <mergeCell ref="ENE24:ENF24"/>
    <mergeCell ref="ENG24:ENH24"/>
    <mergeCell ref="ENI24:ENJ24"/>
    <mergeCell ref="EMQ24:EMR24"/>
    <mergeCell ref="EMS24:EMT24"/>
    <mergeCell ref="EMU24:EMV24"/>
    <mergeCell ref="EMW24:EMX24"/>
    <mergeCell ref="EMY24:EMZ24"/>
    <mergeCell ref="EMG24:EMH24"/>
    <mergeCell ref="EMI24:EMJ24"/>
    <mergeCell ref="EMK24:EML24"/>
    <mergeCell ref="EMM24:EMN24"/>
    <mergeCell ref="EMO24:EMP24"/>
    <mergeCell ref="EOY24:EOZ24"/>
    <mergeCell ref="EPA24:EPB24"/>
    <mergeCell ref="EPC24:EPD24"/>
    <mergeCell ref="EPE24:EPF24"/>
    <mergeCell ref="EPG24:EPH24"/>
    <mergeCell ref="EOO24:EOP24"/>
    <mergeCell ref="EOQ24:EOR24"/>
    <mergeCell ref="EOS24:EOT24"/>
    <mergeCell ref="EOU24:EOV24"/>
    <mergeCell ref="EOW24:EOX24"/>
    <mergeCell ref="EOE24:EOF24"/>
    <mergeCell ref="EOG24:EOH24"/>
    <mergeCell ref="EOI24:EOJ24"/>
    <mergeCell ref="EOK24:EOL24"/>
    <mergeCell ref="EOM24:EON24"/>
    <mergeCell ref="ENU24:ENV24"/>
    <mergeCell ref="ENW24:ENX24"/>
    <mergeCell ref="ENY24:ENZ24"/>
    <mergeCell ref="EOA24:EOB24"/>
    <mergeCell ref="EOC24:EOD24"/>
    <mergeCell ref="EQM24:EQN24"/>
    <mergeCell ref="EQO24:EQP24"/>
    <mergeCell ref="EQQ24:EQR24"/>
    <mergeCell ref="EQS24:EQT24"/>
    <mergeCell ref="EQU24:EQV24"/>
    <mergeCell ref="EQC24:EQD24"/>
    <mergeCell ref="EQE24:EQF24"/>
    <mergeCell ref="EQG24:EQH24"/>
    <mergeCell ref="EQI24:EQJ24"/>
    <mergeCell ref="EQK24:EQL24"/>
    <mergeCell ref="EPS24:EPT24"/>
    <mergeCell ref="EPU24:EPV24"/>
    <mergeCell ref="EPW24:EPX24"/>
    <mergeCell ref="EPY24:EPZ24"/>
    <mergeCell ref="EQA24:EQB24"/>
    <mergeCell ref="EPI24:EPJ24"/>
    <mergeCell ref="EPK24:EPL24"/>
    <mergeCell ref="EPM24:EPN24"/>
    <mergeCell ref="EPO24:EPP24"/>
    <mergeCell ref="EPQ24:EPR24"/>
    <mergeCell ref="ESA24:ESB24"/>
    <mergeCell ref="ESC24:ESD24"/>
    <mergeCell ref="ESE24:ESF24"/>
    <mergeCell ref="ESG24:ESH24"/>
    <mergeCell ref="ESI24:ESJ24"/>
    <mergeCell ref="ERQ24:ERR24"/>
    <mergeCell ref="ERS24:ERT24"/>
    <mergeCell ref="ERU24:ERV24"/>
    <mergeCell ref="ERW24:ERX24"/>
    <mergeCell ref="ERY24:ERZ24"/>
    <mergeCell ref="ERG24:ERH24"/>
    <mergeCell ref="ERI24:ERJ24"/>
    <mergeCell ref="ERK24:ERL24"/>
    <mergeCell ref="ERM24:ERN24"/>
    <mergeCell ref="ERO24:ERP24"/>
    <mergeCell ref="EQW24:EQX24"/>
    <mergeCell ref="EQY24:EQZ24"/>
    <mergeCell ref="ERA24:ERB24"/>
    <mergeCell ref="ERC24:ERD24"/>
    <mergeCell ref="ERE24:ERF24"/>
    <mergeCell ref="ETO24:ETP24"/>
    <mergeCell ref="ETQ24:ETR24"/>
    <mergeCell ref="ETS24:ETT24"/>
    <mergeCell ref="ETU24:ETV24"/>
    <mergeCell ref="ETW24:ETX24"/>
    <mergeCell ref="ETE24:ETF24"/>
    <mergeCell ref="ETG24:ETH24"/>
    <mergeCell ref="ETI24:ETJ24"/>
    <mergeCell ref="ETK24:ETL24"/>
    <mergeCell ref="ETM24:ETN24"/>
    <mergeCell ref="ESU24:ESV24"/>
    <mergeCell ref="ESW24:ESX24"/>
    <mergeCell ref="ESY24:ESZ24"/>
    <mergeCell ref="ETA24:ETB24"/>
    <mergeCell ref="ETC24:ETD24"/>
    <mergeCell ref="ESK24:ESL24"/>
    <mergeCell ref="ESM24:ESN24"/>
    <mergeCell ref="ESO24:ESP24"/>
    <mergeCell ref="ESQ24:ESR24"/>
    <mergeCell ref="ESS24:EST24"/>
    <mergeCell ref="EVC24:EVD24"/>
    <mergeCell ref="EVE24:EVF24"/>
    <mergeCell ref="EVG24:EVH24"/>
    <mergeCell ref="EVI24:EVJ24"/>
    <mergeCell ref="EVK24:EVL24"/>
    <mergeCell ref="EUS24:EUT24"/>
    <mergeCell ref="EUU24:EUV24"/>
    <mergeCell ref="EUW24:EUX24"/>
    <mergeCell ref="EUY24:EUZ24"/>
    <mergeCell ref="EVA24:EVB24"/>
    <mergeCell ref="EUI24:EUJ24"/>
    <mergeCell ref="EUK24:EUL24"/>
    <mergeCell ref="EUM24:EUN24"/>
    <mergeCell ref="EUO24:EUP24"/>
    <mergeCell ref="EUQ24:EUR24"/>
    <mergeCell ref="ETY24:ETZ24"/>
    <mergeCell ref="EUA24:EUB24"/>
    <mergeCell ref="EUC24:EUD24"/>
    <mergeCell ref="EUE24:EUF24"/>
    <mergeCell ref="EUG24:EUH24"/>
    <mergeCell ref="EWQ24:EWR24"/>
    <mergeCell ref="EWS24:EWT24"/>
    <mergeCell ref="EWU24:EWV24"/>
    <mergeCell ref="EWW24:EWX24"/>
    <mergeCell ref="EWY24:EWZ24"/>
    <mergeCell ref="EWG24:EWH24"/>
    <mergeCell ref="EWI24:EWJ24"/>
    <mergeCell ref="EWK24:EWL24"/>
    <mergeCell ref="EWM24:EWN24"/>
    <mergeCell ref="EWO24:EWP24"/>
    <mergeCell ref="EVW24:EVX24"/>
    <mergeCell ref="EVY24:EVZ24"/>
    <mergeCell ref="EWA24:EWB24"/>
    <mergeCell ref="EWC24:EWD24"/>
    <mergeCell ref="EWE24:EWF24"/>
    <mergeCell ref="EVM24:EVN24"/>
    <mergeCell ref="EVO24:EVP24"/>
    <mergeCell ref="EVQ24:EVR24"/>
    <mergeCell ref="EVS24:EVT24"/>
    <mergeCell ref="EVU24:EVV24"/>
    <mergeCell ref="EYE24:EYF24"/>
    <mergeCell ref="EYG24:EYH24"/>
    <mergeCell ref="EYI24:EYJ24"/>
    <mergeCell ref="EYK24:EYL24"/>
    <mergeCell ref="EYM24:EYN24"/>
    <mergeCell ref="EXU24:EXV24"/>
    <mergeCell ref="EXW24:EXX24"/>
    <mergeCell ref="EXY24:EXZ24"/>
    <mergeCell ref="EYA24:EYB24"/>
    <mergeCell ref="EYC24:EYD24"/>
    <mergeCell ref="EXK24:EXL24"/>
    <mergeCell ref="EXM24:EXN24"/>
    <mergeCell ref="EXO24:EXP24"/>
    <mergeCell ref="EXQ24:EXR24"/>
    <mergeCell ref="EXS24:EXT24"/>
    <mergeCell ref="EXA24:EXB24"/>
    <mergeCell ref="EXC24:EXD24"/>
    <mergeCell ref="EXE24:EXF24"/>
    <mergeCell ref="EXG24:EXH24"/>
    <mergeCell ref="EXI24:EXJ24"/>
    <mergeCell ref="EZS24:EZT24"/>
    <mergeCell ref="EZU24:EZV24"/>
    <mergeCell ref="EZW24:EZX24"/>
    <mergeCell ref="EZY24:EZZ24"/>
    <mergeCell ref="FAA24:FAB24"/>
    <mergeCell ref="EZI24:EZJ24"/>
    <mergeCell ref="EZK24:EZL24"/>
    <mergeCell ref="EZM24:EZN24"/>
    <mergeCell ref="EZO24:EZP24"/>
    <mergeCell ref="EZQ24:EZR24"/>
    <mergeCell ref="EYY24:EYZ24"/>
    <mergeCell ref="EZA24:EZB24"/>
    <mergeCell ref="EZC24:EZD24"/>
    <mergeCell ref="EZE24:EZF24"/>
    <mergeCell ref="EZG24:EZH24"/>
    <mergeCell ref="EYO24:EYP24"/>
    <mergeCell ref="EYQ24:EYR24"/>
    <mergeCell ref="EYS24:EYT24"/>
    <mergeCell ref="EYU24:EYV24"/>
    <mergeCell ref="EYW24:EYX24"/>
    <mergeCell ref="FBG24:FBH24"/>
    <mergeCell ref="FBI24:FBJ24"/>
    <mergeCell ref="FBK24:FBL24"/>
    <mergeCell ref="FBM24:FBN24"/>
    <mergeCell ref="FBO24:FBP24"/>
    <mergeCell ref="FAW24:FAX24"/>
    <mergeCell ref="FAY24:FAZ24"/>
    <mergeCell ref="FBA24:FBB24"/>
    <mergeCell ref="FBC24:FBD24"/>
    <mergeCell ref="FBE24:FBF24"/>
    <mergeCell ref="FAM24:FAN24"/>
    <mergeCell ref="FAO24:FAP24"/>
    <mergeCell ref="FAQ24:FAR24"/>
    <mergeCell ref="FAS24:FAT24"/>
    <mergeCell ref="FAU24:FAV24"/>
    <mergeCell ref="FAC24:FAD24"/>
    <mergeCell ref="FAE24:FAF24"/>
    <mergeCell ref="FAG24:FAH24"/>
    <mergeCell ref="FAI24:FAJ24"/>
    <mergeCell ref="FAK24:FAL24"/>
    <mergeCell ref="FCU24:FCV24"/>
    <mergeCell ref="FCW24:FCX24"/>
    <mergeCell ref="FCY24:FCZ24"/>
    <mergeCell ref="FDA24:FDB24"/>
    <mergeCell ref="FDC24:FDD24"/>
    <mergeCell ref="FCK24:FCL24"/>
    <mergeCell ref="FCM24:FCN24"/>
    <mergeCell ref="FCO24:FCP24"/>
    <mergeCell ref="FCQ24:FCR24"/>
    <mergeCell ref="FCS24:FCT24"/>
    <mergeCell ref="FCA24:FCB24"/>
    <mergeCell ref="FCC24:FCD24"/>
    <mergeCell ref="FCE24:FCF24"/>
    <mergeCell ref="FCG24:FCH24"/>
    <mergeCell ref="FCI24:FCJ24"/>
    <mergeCell ref="FBQ24:FBR24"/>
    <mergeCell ref="FBS24:FBT24"/>
    <mergeCell ref="FBU24:FBV24"/>
    <mergeCell ref="FBW24:FBX24"/>
    <mergeCell ref="FBY24:FBZ24"/>
    <mergeCell ref="FEI24:FEJ24"/>
    <mergeCell ref="FEK24:FEL24"/>
    <mergeCell ref="FEM24:FEN24"/>
    <mergeCell ref="FEO24:FEP24"/>
    <mergeCell ref="FEQ24:FER24"/>
    <mergeCell ref="FDY24:FDZ24"/>
    <mergeCell ref="FEA24:FEB24"/>
    <mergeCell ref="FEC24:FED24"/>
    <mergeCell ref="FEE24:FEF24"/>
    <mergeCell ref="FEG24:FEH24"/>
    <mergeCell ref="FDO24:FDP24"/>
    <mergeCell ref="FDQ24:FDR24"/>
    <mergeCell ref="FDS24:FDT24"/>
    <mergeCell ref="FDU24:FDV24"/>
    <mergeCell ref="FDW24:FDX24"/>
    <mergeCell ref="FDE24:FDF24"/>
    <mergeCell ref="FDG24:FDH24"/>
    <mergeCell ref="FDI24:FDJ24"/>
    <mergeCell ref="FDK24:FDL24"/>
    <mergeCell ref="FDM24:FDN24"/>
    <mergeCell ref="FFW24:FFX24"/>
    <mergeCell ref="FFY24:FFZ24"/>
    <mergeCell ref="FGA24:FGB24"/>
    <mergeCell ref="FGC24:FGD24"/>
    <mergeCell ref="FGE24:FGF24"/>
    <mergeCell ref="FFM24:FFN24"/>
    <mergeCell ref="FFO24:FFP24"/>
    <mergeCell ref="FFQ24:FFR24"/>
    <mergeCell ref="FFS24:FFT24"/>
    <mergeCell ref="FFU24:FFV24"/>
    <mergeCell ref="FFC24:FFD24"/>
    <mergeCell ref="FFE24:FFF24"/>
    <mergeCell ref="FFG24:FFH24"/>
    <mergeCell ref="FFI24:FFJ24"/>
    <mergeCell ref="FFK24:FFL24"/>
    <mergeCell ref="FES24:FET24"/>
    <mergeCell ref="FEU24:FEV24"/>
    <mergeCell ref="FEW24:FEX24"/>
    <mergeCell ref="FEY24:FEZ24"/>
    <mergeCell ref="FFA24:FFB24"/>
    <mergeCell ref="FHK24:FHL24"/>
    <mergeCell ref="FHM24:FHN24"/>
    <mergeCell ref="FHO24:FHP24"/>
    <mergeCell ref="FHQ24:FHR24"/>
    <mergeCell ref="FHS24:FHT24"/>
    <mergeCell ref="FHA24:FHB24"/>
    <mergeCell ref="FHC24:FHD24"/>
    <mergeCell ref="FHE24:FHF24"/>
    <mergeCell ref="FHG24:FHH24"/>
    <mergeCell ref="FHI24:FHJ24"/>
    <mergeCell ref="FGQ24:FGR24"/>
    <mergeCell ref="FGS24:FGT24"/>
    <mergeCell ref="FGU24:FGV24"/>
    <mergeCell ref="FGW24:FGX24"/>
    <mergeCell ref="FGY24:FGZ24"/>
    <mergeCell ref="FGG24:FGH24"/>
    <mergeCell ref="FGI24:FGJ24"/>
    <mergeCell ref="FGK24:FGL24"/>
    <mergeCell ref="FGM24:FGN24"/>
    <mergeCell ref="FGO24:FGP24"/>
    <mergeCell ref="FIY24:FIZ24"/>
    <mergeCell ref="FJA24:FJB24"/>
    <mergeCell ref="FJC24:FJD24"/>
    <mergeCell ref="FJE24:FJF24"/>
    <mergeCell ref="FJG24:FJH24"/>
    <mergeCell ref="FIO24:FIP24"/>
    <mergeCell ref="FIQ24:FIR24"/>
    <mergeCell ref="FIS24:FIT24"/>
    <mergeCell ref="FIU24:FIV24"/>
    <mergeCell ref="FIW24:FIX24"/>
    <mergeCell ref="FIE24:FIF24"/>
    <mergeCell ref="FIG24:FIH24"/>
    <mergeCell ref="FII24:FIJ24"/>
    <mergeCell ref="FIK24:FIL24"/>
    <mergeCell ref="FIM24:FIN24"/>
    <mergeCell ref="FHU24:FHV24"/>
    <mergeCell ref="FHW24:FHX24"/>
    <mergeCell ref="FHY24:FHZ24"/>
    <mergeCell ref="FIA24:FIB24"/>
    <mergeCell ref="FIC24:FID24"/>
    <mergeCell ref="FKM24:FKN24"/>
    <mergeCell ref="FKO24:FKP24"/>
    <mergeCell ref="FKQ24:FKR24"/>
    <mergeCell ref="FKS24:FKT24"/>
    <mergeCell ref="FKU24:FKV24"/>
    <mergeCell ref="FKC24:FKD24"/>
    <mergeCell ref="FKE24:FKF24"/>
    <mergeCell ref="FKG24:FKH24"/>
    <mergeCell ref="FKI24:FKJ24"/>
    <mergeCell ref="FKK24:FKL24"/>
    <mergeCell ref="FJS24:FJT24"/>
    <mergeCell ref="FJU24:FJV24"/>
    <mergeCell ref="FJW24:FJX24"/>
    <mergeCell ref="FJY24:FJZ24"/>
    <mergeCell ref="FKA24:FKB24"/>
    <mergeCell ref="FJI24:FJJ24"/>
    <mergeCell ref="FJK24:FJL24"/>
    <mergeCell ref="FJM24:FJN24"/>
    <mergeCell ref="FJO24:FJP24"/>
    <mergeCell ref="FJQ24:FJR24"/>
    <mergeCell ref="FMA24:FMB24"/>
    <mergeCell ref="FMC24:FMD24"/>
    <mergeCell ref="FME24:FMF24"/>
    <mergeCell ref="FMG24:FMH24"/>
    <mergeCell ref="FMI24:FMJ24"/>
    <mergeCell ref="FLQ24:FLR24"/>
    <mergeCell ref="FLS24:FLT24"/>
    <mergeCell ref="FLU24:FLV24"/>
    <mergeCell ref="FLW24:FLX24"/>
    <mergeCell ref="FLY24:FLZ24"/>
    <mergeCell ref="FLG24:FLH24"/>
    <mergeCell ref="FLI24:FLJ24"/>
    <mergeCell ref="FLK24:FLL24"/>
    <mergeCell ref="FLM24:FLN24"/>
    <mergeCell ref="FLO24:FLP24"/>
    <mergeCell ref="FKW24:FKX24"/>
    <mergeCell ref="FKY24:FKZ24"/>
    <mergeCell ref="FLA24:FLB24"/>
    <mergeCell ref="FLC24:FLD24"/>
    <mergeCell ref="FLE24:FLF24"/>
    <mergeCell ref="FNO24:FNP24"/>
    <mergeCell ref="FNQ24:FNR24"/>
    <mergeCell ref="FNS24:FNT24"/>
    <mergeCell ref="FNU24:FNV24"/>
    <mergeCell ref="FNW24:FNX24"/>
    <mergeCell ref="FNE24:FNF24"/>
    <mergeCell ref="FNG24:FNH24"/>
    <mergeCell ref="FNI24:FNJ24"/>
    <mergeCell ref="FNK24:FNL24"/>
    <mergeCell ref="FNM24:FNN24"/>
    <mergeCell ref="FMU24:FMV24"/>
    <mergeCell ref="FMW24:FMX24"/>
    <mergeCell ref="FMY24:FMZ24"/>
    <mergeCell ref="FNA24:FNB24"/>
    <mergeCell ref="FNC24:FND24"/>
    <mergeCell ref="FMK24:FML24"/>
    <mergeCell ref="FMM24:FMN24"/>
    <mergeCell ref="FMO24:FMP24"/>
    <mergeCell ref="FMQ24:FMR24"/>
    <mergeCell ref="FMS24:FMT24"/>
    <mergeCell ref="FPC24:FPD24"/>
    <mergeCell ref="FPE24:FPF24"/>
    <mergeCell ref="FPG24:FPH24"/>
    <mergeCell ref="FPI24:FPJ24"/>
    <mergeCell ref="FPK24:FPL24"/>
    <mergeCell ref="FOS24:FOT24"/>
    <mergeCell ref="FOU24:FOV24"/>
    <mergeCell ref="FOW24:FOX24"/>
    <mergeCell ref="FOY24:FOZ24"/>
    <mergeCell ref="FPA24:FPB24"/>
    <mergeCell ref="FOI24:FOJ24"/>
    <mergeCell ref="FOK24:FOL24"/>
    <mergeCell ref="FOM24:FON24"/>
    <mergeCell ref="FOO24:FOP24"/>
    <mergeCell ref="FOQ24:FOR24"/>
    <mergeCell ref="FNY24:FNZ24"/>
    <mergeCell ref="FOA24:FOB24"/>
    <mergeCell ref="FOC24:FOD24"/>
    <mergeCell ref="FOE24:FOF24"/>
    <mergeCell ref="FOG24:FOH24"/>
    <mergeCell ref="FQQ24:FQR24"/>
    <mergeCell ref="FQS24:FQT24"/>
    <mergeCell ref="FQU24:FQV24"/>
    <mergeCell ref="FQW24:FQX24"/>
    <mergeCell ref="FQY24:FQZ24"/>
    <mergeCell ref="FQG24:FQH24"/>
    <mergeCell ref="FQI24:FQJ24"/>
    <mergeCell ref="FQK24:FQL24"/>
    <mergeCell ref="FQM24:FQN24"/>
    <mergeCell ref="FQO24:FQP24"/>
    <mergeCell ref="FPW24:FPX24"/>
    <mergeCell ref="FPY24:FPZ24"/>
    <mergeCell ref="FQA24:FQB24"/>
    <mergeCell ref="FQC24:FQD24"/>
    <mergeCell ref="FQE24:FQF24"/>
    <mergeCell ref="FPM24:FPN24"/>
    <mergeCell ref="FPO24:FPP24"/>
    <mergeCell ref="FPQ24:FPR24"/>
    <mergeCell ref="FPS24:FPT24"/>
    <mergeCell ref="FPU24:FPV24"/>
    <mergeCell ref="FSE24:FSF24"/>
    <mergeCell ref="FSG24:FSH24"/>
    <mergeCell ref="FSI24:FSJ24"/>
    <mergeCell ref="FSK24:FSL24"/>
    <mergeCell ref="FSM24:FSN24"/>
    <mergeCell ref="FRU24:FRV24"/>
    <mergeCell ref="FRW24:FRX24"/>
    <mergeCell ref="FRY24:FRZ24"/>
    <mergeCell ref="FSA24:FSB24"/>
    <mergeCell ref="FSC24:FSD24"/>
    <mergeCell ref="FRK24:FRL24"/>
    <mergeCell ref="FRM24:FRN24"/>
    <mergeCell ref="FRO24:FRP24"/>
    <mergeCell ref="FRQ24:FRR24"/>
    <mergeCell ref="FRS24:FRT24"/>
    <mergeCell ref="FRA24:FRB24"/>
    <mergeCell ref="FRC24:FRD24"/>
    <mergeCell ref="FRE24:FRF24"/>
    <mergeCell ref="FRG24:FRH24"/>
    <mergeCell ref="FRI24:FRJ24"/>
    <mergeCell ref="FTS24:FTT24"/>
    <mergeCell ref="FTU24:FTV24"/>
    <mergeCell ref="FTW24:FTX24"/>
    <mergeCell ref="FTY24:FTZ24"/>
    <mergeCell ref="FUA24:FUB24"/>
    <mergeCell ref="FTI24:FTJ24"/>
    <mergeCell ref="FTK24:FTL24"/>
    <mergeCell ref="FTM24:FTN24"/>
    <mergeCell ref="FTO24:FTP24"/>
    <mergeCell ref="FTQ24:FTR24"/>
    <mergeCell ref="FSY24:FSZ24"/>
    <mergeCell ref="FTA24:FTB24"/>
    <mergeCell ref="FTC24:FTD24"/>
    <mergeCell ref="FTE24:FTF24"/>
    <mergeCell ref="FTG24:FTH24"/>
    <mergeCell ref="FSO24:FSP24"/>
    <mergeCell ref="FSQ24:FSR24"/>
    <mergeCell ref="FSS24:FST24"/>
    <mergeCell ref="FSU24:FSV24"/>
    <mergeCell ref="FSW24:FSX24"/>
    <mergeCell ref="FVG24:FVH24"/>
    <mergeCell ref="FVI24:FVJ24"/>
    <mergeCell ref="FVK24:FVL24"/>
    <mergeCell ref="FVM24:FVN24"/>
    <mergeCell ref="FVO24:FVP24"/>
    <mergeCell ref="FUW24:FUX24"/>
    <mergeCell ref="FUY24:FUZ24"/>
    <mergeCell ref="FVA24:FVB24"/>
    <mergeCell ref="FVC24:FVD24"/>
    <mergeCell ref="FVE24:FVF24"/>
    <mergeCell ref="FUM24:FUN24"/>
    <mergeCell ref="FUO24:FUP24"/>
    <mergeCell ref="FUQ24:FUR24"/>
    <mergeCell ref="FUS24:FUT24"/>
    <mergeCell ref="FUU24:FUV24"/>
    <mergeCell ref="FUC24:FUD24"/>
    <mergeCell ref="FUE24:FUF24"/>
    <mergeCell ref="FUG24:FUH24"/>
    <mergeCell ref="FUI24:FUJ24"/>
    <mergeCell ref="FUK24:FUL24"/>
    <mergeCell ref="FWU24:FWV24"/>
    <mergeCell ref="FWW24:FWX24"/>
    <mergeCell ref="FWY24:FWZ24"/>
    <mergeCell ref="FXA24:FXB24"/>
    <mergeCell ref="FXC24:FXD24"/>
    <mergeCell ref="FWK24:FWL24"/>
    <mergeCell ref="FWM24:FWN24"/>
    <mergeCell ref="FWO24:FWP24"/>
    <mergeCell ref="FWQ24:FWR24"/>
    <mergeCell ref="FWS24:FWT24"/>
    <mergeCell ref="FWA24:FWB24"/>
    <mergeCell ref="FWC24:FWD24"/>
    <mergeCell ref="FWE24:FWF24"/>
    <mergeCell ref="FWG24:FWH24"/>
    <mergeCell ref="FWI24:FWJ24"/>
    <mergeCell ref="FVQ24:FVR24"/>
    <mergeCell ref="FVS24:FVT24"/>
    <mergeCell ref="FVU24:FVV24"/>
    <mergeCell ref="FVW24:FVX24"/>
    <mergeCell ref="FVY24:FVZ24"/>
    <mergeCell ref="FYI24:FYJ24"/>
    <mergeCell ref="FYK24:FYL24"/>
    <mergeCell ref="FYM24:FYN24"/>
    <mergeCell ref="FYO24:FYP24"/>
    <mergeCell ref="FYQ24:FYR24"/>
    <mergeCell ref="FXY24:FXZ24"/>
    <mergeCell ref="FYA24:FYB24"/>
    <mergeCell ref="FYC24:FYD24"/>
    <mergeCell ref="FYE24:FYF24"/>
    <mergeCell ref="FYG24:FYH24"/>
    <mergeCell ref="FXO24:FXP24"/>
    <mergeCell ref="FXQ24:FXR24"/>
    <mergeCell ref="FXS24:FXT24"/>
    <mergeCell ref="FXU24:FXV24"/>
    <mergeCell ref="FXW24:FXX24"/>
    <mergeCell ref="FXE24:FXF24"/>
    <mergeCell ref="FXG24:FXH24"/>
    <mergeCell ref="FXI24:FXJ24"/>
    <mergeCell ref="FXK24:FXL24"/>
    <mergeCell ref="FXM24:FXN24"/>
    <mergeCell ref="FZW24:FZX24"/>
    <mergeCell ref="FZY24:FZZ24"/>
    <mergeCell ref="GAA24:GAB24"/>
    <mergeCell ref="GAC24:GAD24"/>
    <mergeCell ref="GAE24:GAF24"/>
    <mergeCell ref="FZM24:FZN24"/>
    <mergeCell ref="FZO24:FZP24"/>
    <mergeCell ref="FZQ24:FZR24"/>
    <mergeCell ref="FZS24:FZT24"/>
    <mergeCell ref="FZU24:FZV24"/>
    <mergeCell ref="FZC24:FZD24"/>
    <mergeCell ref="FZE24:FZF24"/>
    <mergeCell ref="FZG24:FZH24"/>
    <mergeCell ref="FZI24:FZJ24"/>
    <mergeCell ref="FZK24:FZL24"/>
    <mergeCell ref="FYS24:FYT24"/>
    <mergeCell ref="FYU24:FYV24"/>
    <mergeCell ref="FYW24:FYX24"/>
    <mergeCell ref="FYY24:FYZ24"/>
    <mergeCell ref="FZA24:FZB24"/>
    <mergeCell ref="GBK24:GBL24"/>
    <mergeCell ref="GBM24:GBN24"/>
    <mergeCell ref="GBO24:GBP24"/>
    <mergeCell ref="GBQ24:GBR24"/>
    <mergeCell ref="GBS24:GBT24"/>
    <mergeCell ref="GBA24:GBB24"/>
    <mergeCell ref="GBC24:GBD24"/>
    <mergeCell ref="GBE24:GBF24"/>
    <mergeCell ref="GBG24:GBH24"/>
    <mergeCell ref="GBI24:GBJ24"/>
    <mergeCell ref="GAQ24:GAR24"/>
    <mergeCell ref="GAS24:GAT24"/>
    <mergeCell ref="GAU24:GAV24"/>
    <mergeCell ref="GAW24:GAX24"/>
    <mergeCell ref="GAY24:GAZ24"/>
    <mergeCell ref="GAG24:GAH24"/>
    <mergeCell ref="GAI24:GAJ24"/>
    <mergeCell ref="GAK24:GAL24"/>
    <mergeCell ref="GAM24:GAN24"/>
    <mergeCell ref="GAO24:GAP24"/>
    <mergeCell ref="GCY24:GCZ24"/>
    <mergeCell ref="GDA24:GDB24"/>
    <mergeCell ref="GDC24:GDD24"/>
    <mergeCell ref="GDE24:GDF24"/>
    <mergeCell ref="GDG24:GDH24"/>
    <mergeCell ref="GCO24:GCP24"/>
    <mergeCell ref="GCQ24:GCR24"/>
    <mergeCell ref="GCS24:GCT24"/>
    <mergeCell ref="GCU24:GCV24"/>
    <mergeCell ref="GCW24:GCX24"/>
    <mergeCell ref="GCE24:GCF24"/>
    <mergeCell ref="GCG24:GCH24"/>
    <mergeCell ref="GCI24:GCJ24"/>
    <mergeCell ref="GCK24:GCL24"/>
    <mergeCell ref="GCM24:GCN24"/>
    <mergeCell ref="GBU24:GBV24"/>
    <mergeCell ref="GBW24:GBX24"/>
    <mergeCell ref="GBY24:GBZ24"/>
    <mergeCell ref="GCA24:GCB24"/>
    <mergeCell ref="GCC24:GCD24"/>
    <mergeCell ref="GEM24:GEN24"/>
    <mergeCell ref="GEO24:GEP24"/>
    <mergeCell ref="GEQ24:GER24"/>
    <mergeCell ref="GES24:GET24"/>
    <mergeCell ref="GEU24:GEV24"/>
    <mergeCell ref="GEC24:GED24"/>
    <mergeCell ref="GEE24:GEF24"/>
    <mergeCell ref="GEG24:GEH24"/>
    <mergeCell ref="GEI24:GEJ24"/>
    <mergeCell ref="GEK24:GEL24"/>
    <mergeCell ref="GDS24:GDT24"/>
    <mergeCell ref="GDU24:GDV24"/>
    <mergeCell ref="GDW24:GDX24"/>
    <mergeCell ref="GDY24:GDZ24"/>
    <mergeCell ref="GEA24:GEB24"/>
    <mergeCell ref="GDI24:GDJ24"/>
    <mergeCell ref="GDK24:GDL24"/>
    <mergeCell ref="GDM24:GDN24"/>
    <mergeCell ref="GDO24:GDP24"/>
    <mergeCell ref="GDQ24:GDR24"/>
    <mergeCell ref="GGA24:GGB24"/>
    <mergeCell ref="GGC24:GGD24"/>
    <mergeCell ref="GGE24:GGF24"/>
    <mergeCell ref="GGG24:GGH24"/>
    <mergeCell ref="GGI24:GGJ24"/>
    <mergeCell ref="GFQ24:GFR24"/>
    <mergeCell ref="GFS24:GFT24"/>
    <mergeCell ref="GFU24:GFV24"/>
    <mergeCell ref="GFW24:GFX24"/>
    <mergeCell ref="GFY24:GFZ24"/>
    <mergeCell ref="GFG24:GFH24"/>
    <mergeCell ref="GFI24:GFJ24"/>
    <mergeCell ref="GFK24:GFL24"/>
    <mergeCell ref="GFM24:GFN24"/>
    <mergeCell ref="GFO24:GFP24"/>
    <mergeCell ref="GEW24:GEX24"/>
    <mergeCell ref="GEY24:GEZ24"/>
    <mergeCell ref="GFA24:GFB24"/>
    <mergeCell ref="GFC24:GFD24"/>
    <mergeCell ref="GFE24:GFF24"/>
    <mergeCell ref="GHO24:GHP24"/>
    <mergeCell ref="GHQ24:GHR24"/>
    <mergeCell ref="GHS24:GHT24"/>
    <mergeCell ref="GHU24:GHV24"/>
    <mergeCell ref="GHW24:GHX24"/>
    <mergeCell ref="GHE24:GHF24"/>
    <mergeCell ref="GHG24:GHH24"/>
    <mergeCell ref="GHI24:GHJ24"/>
    <mergeCell ref="GHK24:GHL24"/>
    <mergeCell ref="GHM24:GHN24"/>
    <mergeCell ref="GGU24:GGV24"/>
    <mergeCell ref="GGW24:GGX24"/>
    <mergeCell ref="GGY24:GGZ24"/>
    <mergeCell ref="GHA24:GHB24"/>
    <mergeCell ref="GHC24:GHD24"/>
    <mergeCell ref="GGK24:GGL24"/>
    <mergeCell ref="GGM24:GGN24"/>
    <mergeCell ref="GGO24:GGP24"/>
    <mergeCell ref="GGQ24:GGR24"/>
    <mergeCell ref="GGS24:GGT24"/>
    <mergeCell ref="GJC24:GJD24"/>
    <mergeCell ref="GJE24:GJF24"/>
    <mergeCell ref="GJG24:GJH24"/>
    <mergeCell ref="GJI24:GJJ24"/>
    <mergeCell ref="GJK24:GJL24"/>
    <mergeCell ref="GIS24:GIT24"/>
    <mergeCell ref="GIU24:GIV24"/>
    <mergeCell ref="GIW24:GIX24"/>
    <mergeCell ref="GIY24:GIZ24"/>
    <mergeCell ref="GJA24:GJB24"/>
    <mergeCell ref="GII24:GIJ24"/>
    <mergeCell ref="GIK24:GIL24"/>
    <mergeCell ref="GIM24:GIN24"/>
    <mergeCell ref="GIO24:GIP24"/>
    <mergeCell ref="GIQ24:GIR24"/>
    <mergeCell ref="GHY24:GHZ24"/>
    <mergeCell ref="GIA24:GIB24"/>
    <mergeCell ref="GIC24:GID24"/>
    <mergeCell ref="GIE24:GIF24"/>
    <mergeCell ref="GIG24:GIH24"/>
    <mergeCell ref="GKQ24:GKR24"/>
    <mergeCell ref="GKS24:GKT24"/>
    <mergeCell ref="GKU24:GKV24"/>
    <mergeCell ref="GKW24:GKX24"/>
    <mergeCell ref="GKY24:GKZ24"/>
    <mergeCell ref="GKG24:GKH24"/>
    <mergeCell ref="GKI24:GKJ24"/>
    <mergeCell ref="GKK24:GKL24"/>
    <mergeCell ref="GKM24:GKN24"/>
    <mergeCell ref="GKO24:GKP24"/>
    <mergeCell ref="GJW24:GJX24"/>
    <mergeCell ref="GJY24:GJZ24"/>
    <mergeCell ref="GKA24:GKB24"/>
    <mergeCell ref="GKC24:GKD24"/>
    <mergeCell ref="GKE24:GKF24"/>
    <mergeCell ref="GJM24:GJN24"/>
    <mergeCell ref="GJO24:GJP24"/>
    <mergeCell ref="GJQ24:GJR24"/>
    <mergeCell ref="GJS24:GJT24"/>
    <mergeCell ref="GJU24:GJV24"/>
    <mergeCell ref="GME24:GMF24"/>
    <mergeCell ref="GMG24:GMH24"/>
    <mergeCell ref="GMI24:GMJ24"/>
    <mergeCell ref="GMK24:GML24"/>
    <mergeCell ref="GMM24:GMN24"/>
    <mergeCell ref="GLU24:GLV24"/>
    <mergeCell ref="GLW24:GLX24"/>
    <mergeCell ref="GLY24:GLZ24"/>
    <mergeCell ref="GMA24:GMB24"/>
    <mergeCell ref="GMC24:GMD24"/>
    <mergeCell ref="GLK24:GLL24"/>
    <mergeCell ref="GLM24:GLN24"/>
    <mergeCell ref="GLO24:GLP24"/>
    <mergeCell ref="GLQ24:GLR24"/>
    <mergeCell ref="GLS24:GLT24"/>
    <mergeCell ref="GLA24:GLB24"/>
    <mergeCell ref="GLC24:GLD24"/>
    <mergeCell ref="GLE24:GLF24"/>
    <mergeCell ref="GLG24:GLH24"/>
    <mergeCell ref="GLI24:GLJ24"/>
    <mergeCell ref="GNS24:GNT24"/>
    <mergeCell ref="GNU24:GNV24"/>
    <mergeCell ref="GNW24:GNX24"/>
    <mergeCell ref="GNY24:GNZ24"/>
    <mergeCell ref="GOA24:GOB24"/>
    <mergeCell ref="GNI24:GNJ24"/>
    <mergeCell ref="GNK24:GNL24"/>
    <mergeCell ref="GNM24:GNN24"/>
    <mergeCell ref="GNO24:GNP24"/>
    <mergeCell ref="GNQ24:GNR24"/>
    <mergeCell ref="GMY24:GMZ24"/>
    <mergeCell ref="GNA24:GNB24"/>
    <mergeCell ref="GNC24:GND24"/>
    <mergeCell ref="GNE24:GNF24"/>
    <mergeCell ref="GNG24:GNH24"/>
    <mergeCell ref="GMO24:GMP24"/>
    <mergeCell ref="GMQ24:GMR24"/>
    <mergeCell ref="GMS24:GMT24"/>
    <mergeCell ref="GMU24:GMV24"/>
    <mergeCell ref="GMW24:GMX24"/>
    <mergeCell ref="GPG24:GPH24"/>
    <mergeCell ref="GPI24:GPJ24"/>
    <mergeCell ref="GPK24:GPL24"/>
    <mergeCell ref="GPM24:GPN24"/>
    <mergeCell ref="GPO24:GPP24"/>
    <mergeCell ref="GOW24:GOX24"/>
    <mergeCell ref="GOY24:GOZ24"/>
    <mergeCell ref="GPA24:GPB24"/>
    <mergeCell ref="GPC24:GPD24"/>
    <mergeCell ref="GPE24:GPF24"/>
    <mergeCell ref="GOM24:GON24"/>
    <mergeCell ref="GOO24:GOP24"/>
    <mergeCell ref="GOQ24:GOR24"/>
    <mergeCell ref="GOS24:GOT24"/>
    <mergeCell ref="GOU24:GOV24"/>
    <mergeCell ref="GOC24:GOD24"/>
    <mergeCell ref="GOE24:GOF24"/>
    <mergeCell ref="GOG24:GOH24"/>
    <mergeCell ref="GOI24:GOJ24"/>
    <mergeCell ref="GOK24:GOL24"/>
    <mergeCell ref="GQU24:GQV24"/>
    <mergeCell ref="GQW24:GQX24"/>
    <mergeCell ref="GQY24:GQZ24"/>
    <mergeCell ref="GRA24:GRB24"/>
    <mergeCell ref="GRC24:GRD24"/>
    <mergeCell ref="GQK24:GQL24"/>
    <mergeCell ref="GQM24:GQN24"/>
    <mergeCell ref="GQO24:GQP24"/>
    <mergeCell ref="GQQ24:GQR24"/>
    <mergeCell ref="GQS24:GQT24"/>
    <mergeCell ref="GQA24:GQB24"/>
    <mergeCell ref="GQC24:GQD24"/>
    <mergeCell ref="GQE24:GQF24"/>
    <mergeCell ref="GQG24:GQH24"/>
    <mergeCell ref="GQI24:GQJ24"/>
    <mergeCell ref="GPQ24:GPR24"/>
    <mergeCell ref="GPS24:GPT24"/>
    <mergeCell ref="GPU24:GPV24"/>
    <mergeCell ref="GPW24:GPX24"/>
    <mergeCell ref="GPY24:GPZ24"/>
    <mergeCell ref="GSI24:GSJ24"/>
    <mergeCell ref="GSK24:GSL24"/>
    <mergeCell ref="GSM24:GSN24"/>
    <mergeCell ref="GSO24:GSP24"/>
    <mergeCell ref="GSQ24:GSR24"/>
    <mergeCell ref="GRY24:GRZ24"/>
    <mergeCell ref="GSA24:GSB24"/>
    <mergeCell ref="GSC24:GSD24"/>
    <mergeCell ref="GSE24:GSF24"/>
    <mergeCell ref="GSG24:GSH24"/>
    <mergeCell ref="GRO24:GRP24"/>
    <mergeCell ref="GRQ24:GRR24"/>
    <mergeCell ref="GRS24:GRT24"/>
    <mergeCell ref="GRU24:GRV24"/>
    <mergeCell ref="GRW24:GRX24"/>
    <mergeCell ref="GRE24:GRF24"/>
    <mergeCell ref="GRG24:GRH24"/>
    <mergeCell ref="GRI24:GRJ24"/>
    <mergeCell ref="GRK24:GRL24"/>
    <mergeCell ref="GRM24:GRN24"/>
    <mergeCell ref="GTW24:GTX24"/>
    <mergeCell ref="GTY24:GTZ24"/>
    <mergeCell ref="GUA24:GUB24"/>
    <mergeCell ref="GUC24:GUD24"/>
    <mergeCell ref="GUE24:GUF24"/>
    <mergeCell ref="GTM24:GTN24"/>
    <mergeCell ref="GTO24:GTP24"/>
    <mergeCell ref="GTQ24:GTR24"/>
    <mergeCell ref="GTS24:GTT24"/>
    <mergeCell ref="GTU24:GTV24"/>
    <mergeCell ref="GTC24:GTD24"/>
    <mergeCell ref="GTE24:GTF24"/>
    <mergeCell ref="GTG24:GTH24"/>
    <mergeCell ref="GTI24:GTJ24"/>
    <mergeCell ref="GTK24:GTL24"/>
    <mergeCell ref="GSS24:GST24"/>
    <mergeCell ref="GSU24:GSV24"/>
    <mergeCell ref="GSW24:GSX24"/>
    <mergeCell ref="GSY24:GSZ24"/>
    <mergeCell ref="GTA24:GTB24"/>
    <mergeCell ref="GVK24:GVL24"/>
    <mergeCell ref="GVM24:GVN24"/>
    <mergeCell ref="GVO24:GVP24"/>
    <mergeCell ref="GVQ24:GVR24"/>
    <mergeCell ref="GVS24:GVT24"/>
    <mergeCell ref="GVA24:GVB24"/>
    <mergeCell ref="GVC24:GVD24"/>
    <mergeCell ref="GVE24:GVF24"/>
    <mergeCell ref="GVG24:GVH24"/>
    <mergeCell ref="GVI24:GVJ24"/>
    <mergeCell ref="GUQ24:GUR24"/>
    <mergeCell ref="GUS24:GUT24"/>
    <mergeCell ref="GUU24:GUV24"/>
    <mergeCell ref="GUW24:GUX24"/>
    <mergeCell ref="GUY24:GUZ24"/>
    <mergeCell ref="GUG24:GUH24"/>
    <mergeCell ref="GUI24:GUJ24"/>
    <mergeCell ref="GUK24:GUL24"/>
    <mergeCell ref="GUM24:GUN24"/>
    <mergeCell ref="GUO24:GUP24"/>
    <mergeCell ref="GWY24:GWZ24"/>
    <mergeCell ref="GXA24:GXB24"/>
    <mergeCell ref="GXC24:GXD24"/>
    <mergeCell ref="GXE24:GXF24"/>
    <mergeCell ref="GXG24:GXH24"/>
    <mergeCell ref="GWO24:GWP24"/>
    <mergeCell ref="GWQ24:GWR24"/>
    <mergeCell ref="GWS24:GWT24"/>
    <mergeCell ref="GWU24:GWV24"/>
    <mergeCell ref="GWW24:GWX24"/>
    <mergeCell ref="GWE24:GWF24"/>
    <mergeCell ref="GWG24:GWH24"/>
    <mergeCell ref="GWI24:GWJ24"/>
    <mergeCell ref="GWK24:GWL24"/>
    <mergeCell ref="GWM24:GWN24"/>
    <mergeCell ref="GVU24:GVV24"/>
    <mergeCell ref="GVW24:GVX24"/>
    <mergeCell ref="GVY24:GVZ24"/>
    <mergeCell ref="GWA24:GWB24"/>
    <mergeCell ref="GWC24:GWD24"/>
    <mergeCell ref="GYM24:GYN24"/>
    <mergeCell ref="GYO24:GYP24"/>
    <mergeCell ref="GYQ24:GYR24"/>
    <mergeCell ref="GYS24:GYT24"/>
    <mergeCell ref="GYU24:GYV24"/>
    <mergeCell ref="GYC24:GYD24"/>
    <mergeCell ref="GYE24:GYF24"/>
    <mergeCell ref="GYG24:GYH24"/>
    <mergeCell ref="GYI24:GYJ24"/>
    <mergeCell ref="GYK24:GYL24"/>
    <mergeCell ref="GXS24:GXT24"/>
    <mergeCell ref="GXU24:GXV24"/>
    <mergeCell ref="GXW24:GXX24"/>
    <mergeCell ref="GXY24:GXZ24"/>
    <mergeCell ref="GYA24:GYB24"/>
    <mergeCell ref="GXI24:GXJ24"/>
    <mergeCell ref="GXK24:GXL24"/>
    <mergeCell ref="GXM24:GXN24"/>
    <mergeCell ref="GXO24:GXP24"/>
    <mergeCell ref="GXQ24:GXR24"/>
    <mergeCell ref="HAA24:HAB24"/>
    <mergeCell ref="HAC24:HAD24"/>
    <mergeCell ref="HAE24:HAF24"/>
    <mergeCell ref="HAG24:HAH24"/>
    <mergeCell ref="HAI24:HAJ24"/>
    <mergeCell ref="GZQ24:GZR24"/>
    <mergeCell ref="GZS24:GZT24"/>
    <mergeCell ref="GZU24:GZV24"/>
    <mergeCell ref="GZW24:GZX24"/>
    <mergeCell ref="GZY24:GZZ24"/>
    <mergeCell ref="GZG24:GZH24"/>
    <mergeCell ref="GZI24:GZJ24"/>
    <mergeCell ref="GZK24:GZL24"/>
    <mergeCell ref="GZM24:GZN24"/>
    <mergeCell ref="GZO24:GZP24"/>
    <mergeCell ref="GYW24:GYX24"/>
    <mergeCell ref="GYY24:GYZ24"/>
    <mergeCell ref="GZA24:GZB24"/>
    <mergeCell ref="GZC24:GZD24"/>
    <mergeCell ref="GZE24:GZF24"/>
    <mergeCell ref="HBO24:HBP24"/>
    <mergeCell ref="HBQ24:HBR24"/>
    <mergeCell ref="HBS24:HBT24"/>
    <mergeCell ref="HBU24:HBV24"/>
    <mergeCell ref="HBW24:HBX24"/>
    <mergeCell ref="HBE24:HBF24"/>
    <mergeCell ref="HBG24:HBH24"/>
    <mergeCell ref="HBI24:HBJ24"/>
    <mergeCell ref="HBK24:HBL24"/>
    <mergeCell ref="HBM24:HBN24"/>
    <mergeCell ref="HAU24:HAV24"/>
    <mergeCell ref="HAW24:HAX24"/>
    <mergeCell ref="HAY24:HAZ24"/>
    <mergeCell ref="HBA24:HBB24"/>
    <mergeCell ref="HBC24:HBD24"/>
    <mergeCell ref="HAK24:HAL24"/>
    <mergeCell ref="HAM24:HAN24"/>
    <mergeCell ref="HAO24:HAP24"/>
    <mergeCell ref="HAQ24:HAR24"/>
    <mergeCell ref="HAS24:HAT24"/>
    <mergeCell ref="HDC24:HDD24"/>
    <mergeCell ref="HDE24:HDF24"/>
    <mergeCell ref="HDG24:HDH24"/>
    <mergeCell ref="HDI24:HDJ24"/>
    <mergeCell ref="HDK24:HDL24"/>
    <mergeCell ref="HCS24:HCT24"/>
    <mergeCell ref="HCU24:HCV24"/>
    <mergeCell ref="HCW24:HCX24"/>
    <mergeCell ref="HCY24:HCZ24"/>
    <mergeCell ref="HDA24:HDB24"/>
    <mergeCell ref="HCI24:HCJ24"/>
    <mergeCell ref="HCK24:HCL24"/>
    <mergeCell ref="HCM24:HCN24"/>
    <mergeCell ref="HCO24:HCP24"/>
    <mergeCell ref="HCQ24:HCR24"/>
    <mergeCell ref="HBY24:HBZ24"/>
    <mergeCell ref="HCA24:HCB24"/>
    <mergeCell ref="HCC24:HCD24"/>
    <mergeCell ref="HCE24:HCF24"/>
    <mergeCell ref="HCG24:HCH24"/>
    <mergeCell ref="HEQ24:HER24"/>
    <mergeCell ref="HES24:HET24"/>
    <mergeCell ref="HEU24:HEV24"/>
    <mergeCell ref="HEW24:HEX24"/>
    <mergeCell ref="HEY24:HEZ24"/>
    <mergeCell ref="HEG24:HEH24"/>
    <mergeCell ref="HEI24:HEJ24"/>
    <mergeCell ref="HEK24:HEL24"/>
    <mergeCell ref="HEM24:HEN24"/>
    <mergeCell ref="HEO24:HEP24"/>
    <mergeCell ref="HDW24:HDX24"/>
    <mergeCell ref="HDY24:HDZ24"/>
    <mergeCell ref="HEA24:HEB24"/>
    <mergeCell ref="HEC24:HED24"/>
    <mergeCell ref="HEE24:HEF24"/>
    <mergeCell ref="HDM24:HDN24"/>
    <mergeCell ref="HDO24:HDP24"/>
    <mergeCell ref="HDQ24:HDR24"/>
    <mergeCell ref="HDS24:HDT24"/>
    <mergeCell ref="HDU24:HDV24"/>
    <mergeCell ref="HGE24:HGF24"/>
    <mergeCell ref="HGG24:HGH24"/>
    <mergeCell ref="HGI24:HGJ24"/>
    <mergeCell ref="HGK24:HGL24"/>
    <mergeCell ref="HGM24:HGN24"/>
    <mergeCell ref="HFU24:HFV24"/>
    <mergeCell ref="HFW24:HFX24"/>
    <mergeCell ref="HFY24:HFZ24"/>
    <mergeCell ref="HGA24:HGB24"/>
    <mergeCell ref="HGC24:HGD24"/>
    <mergeCell ref="HFK24:HFL24"/>
    <mergeCell ref="HFM24:HFN24"/>
    <mergeCell ref="HFO24:HFP24"/>
    <mergeCell ref="HFQ24:HFR24"/>
    <mergeCell ref="HFS24:HFT24"/>
    <mergeCell ref="HFA24:HFB24"/>
    <mergeCell ref="HFC24:HFD24"/>
    <mergeCell ref="HFE24:HFF24"/>
    <mergeCell ref="HFG24:HFH24"/>
    <mergeCell ref="HFI24:HFJ24"/>
    <mergeCell ref="HHS24:HHT24"/>
    <mergeCell ref="HHU24:HHV24"/>
    <mergeCell ref="HHW24:HHX24"/>
    <mergeCell ref="HHY24:HHZ24"/>
    <mergeCell ref="HIA24:HIB24"/>
    <mergeCell ref="HHI24:HHJ24"/>
    <mergeCell ref="HHK24:HHL24"/>
    <mergeCell ref="HHM24:HHN24"/>
    <mergeCell ref="HHO24:HHP24"/>
    <mergeCell ref="HHQ24:HHR24"/>
    <mergeCell ref="HGY24:HGZ24"/>
    <mergeCell ref="HHA24:HHB24"/>
    <mergeCell ref="HHC24:HHD24"/>
    <mergeCell ref="HHE24:HHF24"/>
    <mergeCell ref="HHG24:HHH24"/>
    <mergeCell ref="HGO24:HGP24"/>
    <mergeCell ref="HGQ24:HGR24"/>
    <mergeCell ref="HGS24:HGT24"/>
    <mergeCell ref="HGU24:HGV24"/>
    <mergeCell ref="HGW24:HGX24"/>
    <mergeCell ref="HJG24:HJH24"/>
    <mergeCell ref="HJI24:HJJ24"/>
    <mergeCell ref="HJK24:HJL24"/>
    <mergeCell ref="HJM24:HJN24"/>
    <mergeCell ref="HJO24:HJP24"/>
    <mergeCell ref="HIW24:HIX24"/>
    <mergeCell ref="HIY24:HIZ24"/>
    <mergeCell ref="HJA24:HJB24"/>
    <mergeCell ref="HJC24:HJD24"/>
    <mergeCell ref="HJE24:HJF24"/>
    <mergeCell ref="HIM24:HIN24"/>
    <mergeCell ref="HIO24:HIP24"/>
    <mergeCell ref="HIQ24:HIR24"/>
    <mergeCell ref="HIS24:HIT24"/>
    <mergeCell ref="HIU24:HIV24"/>
    <mergeCell ref="HIC24:HID24"/>
    <mergeCell ref="HIE24:HIF24"/>
    <mergeCell ref="HIG24:HIH24"/>
    <mergeCell ref="HII24:HIJ24"/>
    <mergeCell ref="HIK24:HIL24"/>
    <mergeCell ref="HKU24:HKV24"/>
    <mergeCell ref="HKW24:HKX24"/>
    <mergeCell ref="HKY24:HKZ24"/>
    <mergeCell ref="HLA24:HLB24"/>
    <mergeCell ref="HLC24:HLD24"/>
    <mergeCell ref="HKK24:HKL24"/>
    <mergeCell ref="HKM24:HKN24"/>
    <mergeCell ref="HKO24:HKP24"/>
    <mergeCell ref="HKQ24:HKR24"/>
    <mergeCell ref="HKS24:HKT24"/>
    <mergeCell ref="HKA24:HKB24"/>
    <mergeCell ref="HKC24:HKD24"/>
    <mergeCell ref="HKE24:HKF24"/>
    <mergeCell ref="HKG24:HKH24"/>
    <mergeCell ref="HKI24:HKJ24"/>
    <mergeCell ref="HJQ24:HJR24"/>
    <mergeCell ref="HJS24:HJT24"/>
    <mergeCell ref="HJU24:HJV24"/>
    <mergeCell ref="HJW24:HJX24"/>
    <mergeCell ref="HJY24:HJZ24"/>
    <mergeCell ref="HMI24:HMJ24"/>
    <mergeCell ref="HMK24:HML24"/>
    <mergeCell ref="HMM24:HMN24"/>
    <mergeCell ref="HMO24:HMP24"/>
    <mergeCell ref="HMQ24:HMR24"/>
    <mergeCell ref="HLY24:HLZ24"/>
    <mergeCell ref="HMA24:HMB24"/>
    <mergeCell ref="HMC24:HMD24"/>
    <mergeCell ref="HME24:HMF24"/>
    <mergeCell ref="HMG24:HMH24"/>
    <mergeCell ref="HLO24:HLP24"/>
    <mergeCell ref="HLQ24:HLR24"/>
    <mergeCell ref="HLS24:HLT24"/>
    <mergeCell ref="HLU24:HLV24"/>
    <mergeCell ref="HLW24:HLX24"/>
    <mergeCell ref="HLE24:HLF24"/>
    <mergeCell ref="HLG24:HLH24"/>
    <mergeCell ref="HLI24:HLJ24"/>
    <mergeCell ref="HLK24:HLL24"/>
    <mergeCell ref="HLM24:HLN24"/>
    <mergeCell ref="HNW24:HNX24"/>
    <mergeCell ref="HNY24:HNZ24"/>
    <mergeCell ref="HOA24:HOB24"/>
    <mergeCell ref="HOC24:HOD24"/>
    <mergeCell ref="HOE24:HOF24"/>
    <mergeCell ref="HNM24:HNN24"/>
    <mergeCell ref="HNO24:HNP24"/>
    <mergeCell ref="HNQ24:HNR24"/>
    <mergeCell ref="HNS24:HNT24"/>
    <mergeCell ref="HNU24:HNV24"/>
    <mergeCell ref="HNC24:HND24"/>
    <mergeCell ref="HNE24:HNF24"/>
    <mergeCell ref="HNG24:HNH24"/>
    <mergeCell ref="HNI24:HNJ24"/>
    <mergeCell ref="HNK24:HNL24"/>
    <mergeCell ref="HMS24:HMT24"/>
    <mergeCell ref="HMU24:HMV24"/>
    <mergeCell ref="HMW24:HMX24"/>
    <mergeCell ref="HMY24:HMZ24"/>
    <mergeCell ref="HNA24:HNB24"/>
    <mergeCell ref="HPK24:HPL24"/>
    <mergeCell ref="HPM24:HPN24"/>
    <mergeCell ref="HPO24:HPP24"/>
    <mergeCell ref="HPQ24:HPR24"/>
    <mergeCell ref="HPS24:HPT24"/>
    <mergeCell ref="HPA24:HPB24"/>
    <mergeCell ref="HPC24:HPD24"/>
    <mergeCell ref="HPE24:HPF24"/>
    <mergeCell ref="HPG24:HPH24"/>
    <mergeCell ref="HPI24:HPJ24"/>
    <mergeCell ref="HOQ24:HOR24"/>
    <mergeCell ref="HOS24:HOT24"/>
    <mergeCell ref="HOU24:HOV24"/>
    <mergeCell ref="HOW24:HOX24"/>
    <mergeCell ref="HOY24:HOZ24"/>
    <mergeCell ref="HOG24:HOH24"/>
    <mergeCell ref="HOI24:HOJ24"/>
    <mergeCell ref="HOK24:HOL24"/>
    <mergeCell ref="HOM24:HON24"/>
    <mergeCell ref="HOO24:HOP24"/>
    <mergeCell ref="HQY24:HQZ24"/>
    <mergeCell ref="HRA24:HRB24"/>
    <mergeCell ref="HRC24:HRD24"/>
    <mergeCell ref="HRE24:HRF24"/>
    <mergeCell ref="HRG24:HRH24"/>
    <mergeCell ref="HQO24:HQP24"/>
    <mergeCell ref="HQQ24:HQR24"/>
    <mergeCell ref="HQS24:HQT24"/>
    <mergeCell ref="HQU24:HQV24"/>
    <mergeCell ref="HQW24:HQX24"/>
    <mergeCell ref="HQE24:HQF24"/>
    <mergeCell ref="HQG24:HQH24"/>
    <mergeCell ref="HQI24:HQJ24"/>
    <mergeCell ref="HQK24:HQL24"/>
    <mergeCell ref="HQM24:HQN24"/>
    <mergeCell ref="HPU24:HPV24"/>
    <mergeCell ref="HPW24:HPX24"/>
    <mergeCell ref="HPY24:HPZ24"/>
    <mergeCell ref="HQA24:HQB24"/>
    <mergeCell ref="HQC24:HQD24"/>
    <mergeCell ref="HSM24:HSN24"/>
    <mergeCell ref="HSO24:HSP24"/>
    <mergeCell ref="HSQ24:HSR24"/>
    <mergeCell ref="HSS24:HST24"/>
    <mergeCell ref="HSU24:HSV24"/>
    <mergeCell ref="HSC24:HSD24"/>
    <mergeCell ref="HSE24:HSF24"/>
    <mergeCell ref="HSG24:HSH24"/>
    <mergeCell ref="HSI24:HSJ24"/>
    <mergeCell ref="HSK24:HSL24"/>
    <mergeCell ref="HRS24:HRT24"/>
    <mergeCell ref="HRU24:HRV24"/>
    <mergeCell ref="HRW24:HRX24"/>
    <mergeCell ref="HRY24:HRZ24"/>
    <mergeCell ref="HSA24:HSB24"/>
    <mergeCell ref="HRI24:HRJ24"/>
    <mergeCell ref="HRK24:HRL24"/>
    <mergeCell ref="HRM24:HRN24"/>
    <mergeCell ref="HRO24:HRP24"/>
    <mergeCell ref="HRQ24:HRR24"/>
    <mergeCell ref="HUA24:HUB24"/>
    <mergeCell ref="HUC24:HUD24"/>
    <mergeCell ref="HUE24:HUF24"/>
    <mergeCell ref="HUG24:HUH24"/>
    <mergeCell ref="HUI24:HUJ24"/>
    <mergeCell ref="HTQ24:HTR24"/>
    <mergeCell ref="HTS24:HTT24"/>
    <mergeCell ref="HTU24:HTV24"/>
    <mergeCell ref="HTW24:HTX24"/>
    <mergeCell ref="HTY24:HTZ24"/>
    <mergeCell ref="HTG24:HTH24"/>
    <mergeCell ref="HTI24:HTJ24"/>
    <mergeCell ref="HTK24:HTL24"/>
    <mergeCell ref="HTM24:HTN24"/>
    <mergeCell ref="HTO24:HTP24"/>
    <mergeCell ref="HSW24:HSX24"/>
    <mergeCell ref="HSY24:HSZ24"/>
    <mergeCell ref="HTA24:HTB24"/>
    <mergeCell ref="HTC24:HTD24"/>
    <mergeCell ref="HTE24:HTF24"/>
    <mergeCell ref="HVO24:HVP24"/>
    <mergeCell ref="HVQ24:HVR24"/>
    <mergeCell ref="HVS24:HVT24"/>
    <mergeCell ref="HVU24:HVV24"/>
    <mergeCell ref="HVW24:HVX24"/>
    <mergeCell ref="HVE24:HVF24"/>
    <mergeCell ref="HVG24:HVH24"/>
    <mergeCell ref="HVI24:HVJ24"/>
    <mergeCell ref="HVK24:HVL24"/>
    <mergeCell ref="HVM24:HVN24"/>
    <mergeCell ref="HUU24:HUV24"/>
    <mergeCell ref="HUW24:HUX24"/>
    <mergeCell ref="HUY24:HUZ24"/>
    <mergeCell ref="HVA24:HVB24"/>
    <mergeCell ref="HVC24:HVD24"/>
    <mergeCell ref="HUK24:HUL24"/>
    <mergeCell ref="HUM24:HUN24"/>
    <mergeCell ref="HUO24:HUP24"/>
    <mergeCell ref="HUQ24:HUR24"/>
    <mergeCell ref="HUS24:HUT24"/>
    <mergeCell ref="HXC24:HXD24"/>
    <mergeCell ref="HXE24:HXF24"/>
    <mergeCell ref="HXG24:HXH24"/>
    <mergeCell ref="HXI24:HXJ24"/>
    <mergeCell ref="HXK24:HXL24"/>
    <mergeCell ref="HWS24:HWT24"/>
    <mergeCell ref="HWU24:HWV24"/>
    <mergeCell ref="HWW24:HWX24"/>
    <mergeCell ref="HWY24:HWZ24"/>
    <mergeCell ref="HXA24:HXB24"/>
    <mergeCell ref="HWI24:HWJ24"/>
    <mergeCell ref="HWK24:HWL24"/>
    <mergeCell ref="HWM24:HWN24"/>
    <mergeCell ref="HWO24:HWP24"/>
    <mergeCell ref="HWQ24:HWR24"/>
    <mergeCell ref="HVY24:HVZ24"/>
    <mergeCell ref="HWA24:HWB24"/>
    <mergeCell ref="HWC24:HWD24"/>
    <mergeCell ref="HWE24:HWF24"/>
    <mergeCell ref="HWG24:HWH24"/>
    <mergeCell ref="HYQ24:HYR24"/>
    <mergeCell ref="HYS24:HYT24"/>
    <mergeCell ref="HYU24:HYV24"/>
    <mergeCell ref="HYW24:HYX24"/>
    <mergeCell ref="HYY24:HYZ24"/>
    <mergeCell ref="HYG24:HYH24"/>
    <mergeCell ref="HYI24:HYJ24"/>
    <mergeCell ref="HYK24:HYL24"/>
    <mergeCell ref="HYM24:HYN24"/>
    <mergeCell ref="HYO24:HYP24"/>
    <mergeCell ref="HXW24:HXX24"/>
    <mergeCell ref="HXY24:HXZ24"/>
    <mergeCell ref="HYA24:HYB24"/>
    <mergeCell ref="HYC24:HYD24"/>
    <mergeCell ref="HYE24:HYF24"/>
    <mergeCell ref="HXM24:HXN24"/>
    <mergeCell ref="HXO24:HXP24"/>
    <mergeCell ref="HXQ24:HXR24"/>
    <mergeCell ref="HXS24:HXT24"/>
    <mergeCell ref="HXU24:HXV24"/>
    <mergeCell ref="IAE24:IAF24"/>
    <mergeCell ref="IAG24:IAH24"/>
    <mergeCell ref="IAI24:IAJ24"/>
    <mergeCell ref="IAK24:IAL24"/>
    <mergeCell ref="IAM24:IAN24"/>
    <mergeCell ref="HZU24:HZV24"/>
    <mergeCell ref="HZW24:HZX24"/>
    <mergeCell ref="HZY24:HZZ24"/>
    <mergeCell ref="IAA24:IAB24"/>
    <mergeCell ref="IAC24:IAD24"/>
    <mergeCell ref="HZK24:HZL24"/>
    <mergeCell ref="HZM24:HZN24"/>
    <mergeCell ref="HZO24:HZP24"/>
    <mergeCell ref="HZQ24:HZR24"/>
    <mergeCell ref="HZS24:HZT24"/>
    <mergeCell ref="HZA24:HZB24"/>
    <mergeCell ref="HZC24:HZD24"/>
    <mergeCell ref="HZE24:HZF24"/>
    <mergeCell ref="HZG24:HZH24"/>
    <mergeCell ref="HZI24:HZJ24"/>
    <mergeCell ref="IBS24:IBT24"/>
    <mergeCell ref="IBU24:IBV24"/>
    <mergeCell ref="IBW24:IBX24"/>
    <mergeCell ref="IBY24:IBZ24"/>
    <mergeCell ref="ICA24:ICB24"/>
    <mergeCell ref="IBI24:IBJ24"/>
    <mergeCell ref="IBK24:IBL24"/>
    <mergeCell ref="IBM24:IBN24"/>
    <mergeCell ref="IBO24:IBP24"/>
    <mergeCell ref="IBQ24:IBR24"/>
    <mergeCell ref="IAY24:IAZ24"/>
    <mergeCell ref="IBA24:IBB24"/>
    <mergeCell ref="IBC24:IBD24"/>
    <mergeCell ref="IBE24:IBF24"/>
    <mergeCell ref="IBG24:IBH24"/>
    <mergeCell ref="IAO24:IAP24"/>
    <mergeCell ref="IAQ24:IAR24"/>
    <mergeCell ref="IAS24:IAT24"/>
    <mergeCell ref="IAU24:IAV24"/>
    <mergeCell ref="IAW24:IAX24"/>
    <mergeCell ref="IDG24:IDH24"/>
    <mergeCell ref="IDI24:IDJ24"/>
    <mergeCell ref="IDK24:IDL24"/>
    <mergeCell ref="IDM24:IDN24"/>
    <mergeCell ref="IDO24:IDP24"/>
    <mergeCell ref="ICW24:ICX24"/>
    <mergeCell ref="ICY24:ICZ24"/>
    <mergeCell ref="IDA24:IDB24"/>
    <mergeCell ref="IDC24:IDD24"/>
    <mergeCell ref="IDE24:IDF24"/>
    <mergeCell ref="ICM24:ICN24"/>
    <mergeCell ref="ICO24:ICP24"/>
    <mergeCell ref="ICQ24:ICR24"/>
    <mergeCell ref="ICS24:ICT24"/>
    <mergeCell ref="ICU24:ICV24"/>
    <mergeCell ref="ICC24:ICD24"/>
    <mergeCell ref="ICE24:ICF24"/>
    <mergeCell ref="ICG24:ICH24"/>
    <mergeCell ref="ICI24:ICJ24"/>
    <mergeCell ref="ICK24:ICL24"/>
    <mergeCell ref="IEU24:IEV24"/>
    <mergeCell ref="IEW24:IEX24"/>
    <mergeCell ref="IEY24:IEZ24"/>
    <mergeCell ref="IFA24:IFB24"/>
    <mergeCell ref="IFC24:IFD24"/>
    <mergeCell ref="IEK24:IEL24"/>
    <mergeCell ref="IEM24:IEN24"/>
    <mergeCell ref="IEO24:IEP24"/>
    <mergeCell ref="IEQ24:IER24"/>
    <mergeCell ref="IES24:IET24"/>
    <mergeCell ref="IEA24:IEB24"/>
    <mergeCell ref="IEC24:IED24"/>
    <mergeCell ref="IEE24:IEF24"/>
    <mergeCell ref="IEG24:IEH24"/>
    <mergeCell ref="IEI24:IEJ24"/>
    <mergeCell ref="IDQ24:IDR24"/>
    <mergeCell ref="IDS24:IDT24"/>
    <mergeCell ref="IDU24:IDV24"/>
    <mergeCell ref="IDW24:IDX24"/>
    <mergeCell ref="IDY24:IDZ24"/>
    <mergeCell ref="IGI24:IGJ24"/>
    <mergeCell ref="IGK24:IGL24"/>
    <mergeCell ref="IGM24:IGN24"/>
    <mergeCell ref="IGO24:IGP24"/>
    <mergeCell ref="IGQ24:IGR24"/>
    <mergeCell ref="IFY24:IFZ24"/>
    <mergeCell ref="IGA24:IGB24"/>
    <mergeCell ref="IGC24:IGD24"/>
    <mergeCell ref="IGE24:IGF24"/>
    <mergeCell ref="IGG24:IGH24"/>
    <mergeCell ref="IFO24:IFP24"/>
    <mergeCell ref="IFQ24:IFR24"/>
    <mergeCell ref="IFS24:IFT24"/>
    <mergeCell ref="IFU24:IFV24"/>
    <mergeCell ref="IFW24:IFX24"/>
    <mergeCell ref="IFE24:IFF24"/>
    <mergeCell ref="IFG24:IFH24"/>
    <mergeCell ref="IFI24:IFJ24"/>
    <mergeCell ref="IFK24:IFL24"/>
    <mergeCell ref="IFM24:IFN24"/>
    <mergeCell ref="IHW24:IHX24"/>
    <mergeCell ref="IHY24:IHZ24"/>
    <mergeCell ref="IIA24:IIB24"/>
    <mergeCell ref="IIC24:IID24"/>
    <mergeCell ref="IIE24:IIF24"/>
    <mergeCell ref="IHM24:IHN24"/>
    <mergeCell ref="IHO24:IHP24"/>
    <mergeCell ref="IHQ24:IHR24"/>
    <mergeCell ref="IHS24:IHT24"/>
    <mergeCell ref="IHU24:IHV24"/>
    <mergeCell ref="IHC24:IHD24"/>
    <mergeCell ref="IHE24:IHF24"/>
    <mergeCell ref="IHG24:IHH24"/>
    <mergeCell ref="IHI24:IHJ24"/>
    <mergeCell ref="IHK24:IHL24"/>
    <mergeCell ref="IGS24:IGT24"/>
    <mergeCell ref="IGU24:IGV24"/>
    <mergeCell ref="IGW24:IGX24"/>
    <mergeCell ref="IGY24:IGZ24"/>
    <mergeCell ref="IHA24:IHB24"/>
    <mergeCell ref="IJK24:IJL24"/>
    <mergeCell ref="IJM24:IJN24"/>
    <mergeCell ref="IJO24:IJP24"/>
    <mergeCell ref="IJQ24:IJR24"/>
    <mergeCell ref="IJS24:IJT24"/>
    <mergeCell ref="IJA24:IJB24"/>
    <mergeCell ref="IJC24:IJD24"/>
    <mergeCell ref="IJE24:IJF24"/>
    <mergeCell ref="IJG24:IJH24"/>
    <mergeCell ref="IJI24:IJJ24"/>
    <mergeCell ref="IIQ24:IIR24"/>
    <mergeCell ref="IIS24:IIT24"/>
    <mergeCell ref="IIU24:IIV24"/>
    <mergeCell ref="IIW24:IIX24"/>
    <mergeCell ref="IIY24:IIZ24"/>
    <mergeCell ref="IIG24:IIH24"/>
    <mergeCell ref="III24:IIJ24"/>
    <mergeCell ref="IIK24:IIL24"/>
    <mergeCell ref="IIM24:IIN24"/>
    <mergeCell ref="IIO24:IIP24"/>
    <mergeCell ref="IKY24:IKZ24"/>
    <mergeCell ref="ILA24:ILB24"/>
    <mergeCell ref="ILC24:ILD24"/>
    <mergeCell ref="ILE24:ILF24"/>
    <mergeCell ref="ILG24:ILH24"/>
    <mergeCell ref="IKO24:IKP24"/>
    <mergeCell ref="IKQ24:IKR24"/>
    <mergeCell ref="IKS24:IKT24"/>
    <mergeCell ref="IKU24:IKV24"/>
    <mergeCell ref="IKW24:IKX24"/>
    <mergeCell ref="IKE24:IKF24"/>
    <mergeCell ref="IKG24:IKH24"/>
    <mergeCell ref="IKI24:IKJ24"/>
    <mergeCell ref="IKK24:IKL24"/>
    <mergeCell ref="IKM24:IKN24"/>
    <mergeCell ref="IJU24:IJV24"/>
    <mergeCell ref="IJW24:IJX24"/>
    <mergeCell ref="IJY24:IJZ24"/>
    <mergeCell ref="IKA24:IKB24"/>
    <mergeCell ref="IKC24:IKD24"/>
    <mergeCell ref="IMM24:IMN24"/>
    <mergeCell ref="IMO24:IMP24"/>
    <mergeCell ref="IMQ24:IMR24"/>
    <mergeCell ref="IMS24:IMT24"/>
    <mergeCell ref="IMU24:IMV24"/>
    <mergeCell ref="IMC24:IMD24"/>
    <mergeCell ref="IME24:IMF24"/>
    <mergeCell ref="IMG24:IMH24"/>
    <mergeCell ref="IMI24:IMJ24"/>
    <mergeCell ref="IMK24:IML24"/>
    <mergeCell ref="ILS24:ILT24"/>
    <mergeCell ref="ILU24:ILV24"/>
    <mergeCell ref="ILW24:ILX24"/>
    <mergeCell ref="ILY24:ILZ24"/>
    <mergeCell ref="IMA24:IMB24"/>
    <mergeCell ref="ILI24:ILJ24"/>
    <mergeCell ref="ILK24:ILL24"/>
    <mergeCell ref="ILM24:ILN24"/>
    <mergeCell ref="ILO24:ILP24"/>
    <mergeCell ref="ILQ24:ILR24"/>
    <mergeCell ref="IOA24:IOB24"/>
    <mergeCell ref="IOC24:IOD24"/>
    <mergeCell ref="IOE24:IOF24"/>
    <mergeCell ref="IOG24:IOH24"/>
    <mergeCell ref="IOI24:IOJ24"/>
    <mergeCell ref="INQ24:INR24"/>
    <mergeCell ref="INS24:INT24"/>
    <mergeCell ref="INU24:INV24"/>
    <mergeCell ref="INW24:INX24"/>
    <mergeCell ref="INY24:INZ24"/>
    <mergeCell ref="ING24:INH24"/>
    <mergeCell ref="INI24:INJ24"/>
    <mergeCell ref="INK24:INL24"/>
    <mergeCell ref="INM24:INN24"/>
    <mergeCell ref="INO24:INP24"/>
    <mergeCell ref="IMW24:IMX24"/>
    <mergeCell ref="IMY24:IMZ24"/>
    <mergeCell ref="INA24:INB24"/>
    <mergeCell ref="INC24:IND24"/>
    <mergeCell ref="INE24:INF24"/>
    <mergeCell ref="IPO24:IPP24"/>
    <mergeCell ref="IPQ24:IPR24"/>
    <mergeCell ref="IPS24:IPT24"/>
    <mergeCell ref="IPU24:IPV24"/>
    <mergeCell ref="IPW24:IPX24"/>
    <mergeCell ref="IPE24:IPF24"/>
    <mergeCell ref="IPG24:IPH24"/>
    <mergeCell ref="IPI24:IPJ24"/>
    <mergeCell ref="IPK24:IPL24"/>
    <mergeCell ref="IPM24:IPN24"/>
    <mergeCell ref="IOU24:IOV24"/>
    <mergeCell ref="IOW24:IOX24"/>
    <mergeCell ref="IOY24:IOZ24"/>
    <mergeCell ref="IPA24:IPB24"/>
    <mergeCell ref="IPC24:IPD24"/>
    <mergeCell ref="IOK24:IOL24"/>
    <mergeCell ref="IOM24:ION24"/>
    <mergeCell ref="IOO24:IOP24"/>
    <mergeCell ref="IOQ24:IOR24"/>
    <mergeCell ref="IOS24:IOT24"/>
    <mergeCell ref="IRC24:IRD24"/>
    <mergeCell ref="IRE24:IRF24"/>
    <mergeCell ref="IRG24:IRH24"/>
    <mergeCell ref="IRI24:IRJ24"/>
    <mergeCell ref="IRK24:IRL24"/>
    <mergeCell ref="IQS24:IQT24"/>
    <mergeCell ref="IQU24:IQV24"/>
    <mergeCell ref="IQW24:IQX24"/>
    <mergeCell ref="IQY24:IQZ24"/>
    <mergeCell ref="IRA24:IRB24"/>
    <mergeCell ref="IQI24:IQJ24"/>
    <mergeCell ref="IQK24:IQL24"/>
    <mergeCell ref="IQM24:IQN24"/>
    <mergeCell ref="IQO24:IQP24"/>
    <mergeCell ref="IQQ24:IQR24"/>
    <mergeCell ref="IPY24:IPZ24"/>
    <mergeCell ref="IQA24:IQB24"/>
    <mergeCell ref="IQC24:IQD24"/>
    <mergeCell ref="IQE24:IQF24"/>
    <mergeCell ref="IQG24:IQH24"/>
    <mergeCell ref="ISQ24:ISR24"/>
    <mergeCell ref="ISS24:IST24"/>
    <mergeCell ref="ISU24:ISV24"/>
    <mergeCell ref="ISW24:ISX24"/>
    <mergeCell ref="ISY24:ISZ24"/>
    <mergeCell ref="ISG24:ISH24"/>
    <mergeCell ref="ISI24:ISJ24"/>
    <mergeCell ref="ISK24:ISL24"/>
    <mergeCell ref="ISM24:ISN24"/>
    <mergeCell ref="ISO24:ISP24"/>
    <mergeCell ref="IRW24:IRX24"/>
    <mergeCell ref="IRY24:IRZ24"/>
    <mergeCell ref="ISA24:ISB24"/>
    <mergeCell ref="ISC24:ISD24"/>
    <mergeCell ref="ISE24:ISF24"/>
    <mergeCell ref="IRM24:IRN24"/>
    <mergeCell ref="IRO24:IRP24"/>
    <mergeCell ref="IRQ24:IRR24"/>
    <mergeCell ref="IRS24:IRT24"/>
    <mergeCell ref="IRU24:IRV24"/>
    <mergeCell ref="IUE24:IUF24"/>
    <mergeCell ref="IUG24:IUH24"/>
    <mergeCell ref="IUI24:IUJ24"/>
    <mergeCell ref="IUK24:IUL24"/>
    <mergeCell ref="IUM24:IUN24"/>
    <mergeCell ref="ITU24:ITV24"/>
    <mergeCell ref="ITW24:ITX24"/>
    <mergeCell ref="ITY24:ITZ24"/>
    <mergeCell ref="IUA24:IUB24"/>
    <mergeCell ref="IUC24:IUD24"/>
    <mergeCell ref="ITK24:ITL24"/>
    <mergeCell ref="ITM24:ITN24"/>
    <mergeCell ref="ITO24:ITP24"/>
    <mergeCell ref="ITQ24:ITR24"/>
    <mergeCell ref="ITS24:ITT24"/>
    <mergeCell ref="ITA24:ITB24"/>
    <mergeCell ref="ITC24:ITD24"/>
    <mergeCell ref="ITE24:ITF24"/>
    <mergeCell ref="ITG24:ITH24"/>
    <mergeCell ref="ITI24:ITJ24"/>
    <mergeCell ref="IVS24:IVT24"/>
    <mergeCell ref="IVU24:IVV24"/>
    <mergeCell ref="IVW24:IVX24"/>
    <mergeCell ref="IVY24:IVZ24"/>
    <mergeCell ref="IWA24:IWB24"/>
    <mergeCell ref="IVI24:IVJ24"/>
    <mergeCell ref="IVK24:IVL24"/>
    <mergeCell ref="IVM24:IVN24"/>
    <mergeCell ref="IVO24:IVP24"/>
    <mergeCell ref="IVQ24:IVR24"/>
    <mergeCell ref="IUY24:IUZ24"/>
    <mergeCell ref="IVA24:IVB24"/>
    <mergeCell ref="IVC24:IVD24"/>
    <mergeCell ref="IVE24:IVF24"/>
    <mergeCell ref="IVG24:IVH24"/>
    <mergeCell ref="IUO24:IUP24"/>
    <mergeCell ref="IUQ24:IUR24"/>
    <mergeCell ref="IUS24:IUT24"/>
    <mergeCell ref="IUU24:IUV24"/>
    <mergeCell ref="IUW24:IUX24"/>
    <mergeCell ref="IXG24:IXH24"/>
    <mergeCell ref="IXI24:IXJ24"/>
    <mergeCell ref="IXK24:IXL24"/>
    <mergeCell ref="IXM24:IXN24"/>
    <mergeCell ref="IXO24:IXP24"/>
    <mergeCell ref="IWW24:IWX24"/>
    <mergeCell ref="IWY24:IWZ24"/>
    <mergeCell ref="IXA24:IXB24"/>
    <mergeCell ref="IXC24:IXD24"/>
    <mergeCell ref="IXE24:IXF24"/>
    <mergeCell ref="IWM24:IWN24"/>
    <mergeCell ref="IWO24:IWP24"/>
    <mergeCell ref="IWQ24:IWR24"/>
    <mergeCell ref="IWS24:IWT24"/>
    <mergeCell ref="IWU24:IWV24"/>
    <mergeCell ref="IWC24:IWD24"/>
    <mergeCell ref="IWE24:IWF24"/>
    <mergeCell ref="IWG24:IWH24"/>
    <mergeCell ref="IWI24:IWJ24"/>
    <mergeCell ref="IWK24:IWL24"/>
    <mergeCell ref="IYU24:IYV24"/>
    <mergeCell ref="IYW24:IYX24"/>
    <mergeCell ref="IYY24:IYZ24"/>
    <mergeCell ref="IZA24:IZB24"/>
    <mergeCell ref="IZC24:IZD24"/>
    <mergeCell ref="IYK24:IYL24"/>
    <mergeCell ref="IYM24:IYN24"/>
    <mergeCell ref="IYO24:IYP24"/>
    <mergeCell ref="IYQ24:IYR24"/>
    <mergeCell ref="IYS24:IYT24"/>
    <mergeCell ref="IYA24:IYB24"/>
    <mergeCell ref="IYC24:IYD24"/>
    <mergeCell ref="IYE24:IYF24"/>
    <mergeCell ref="IYG24:IYH24"/>
    <mergeCell ref="IYI24:IYJ24"/>
    <mergeCell ref="IXQ24:IXR24"/>
    <mergeCell ref="IXS24:IXT24"/>
    <mergeCell ref="IXU24:IXV24"/>
    <mergeCell ref="IXW24:IXX24"/>
    <mergeCell ref="IXY24:IXZ24"/>
    <mergeCell ref="JAI24:JAJ24"/>
    <mergeCell ref="JAK24:JAL24"/>
    <mergeCell ref="JAM24:JAN24"/>
    <mergeCell ref="JAO24:JAP24"/>
    <mergeCell ref="JAQ24:JAR24"/>
    <mergeCell ref="IZY24:IZZ24"/>
    <mergeCell ref="JAA24:JAB24"/>
    <mergeCell ref="JAC24:JAD24"/>
    <mergeCell ref="JAE24:JAF24"/>
    <mergeCell ref="JAG24:JAH24"/>
    <mergeCell ref="IZO24:IZP24"/>
    <mergeCell ref="IZQ24:IZR24"/>
    <mergeCell ref="IZS24:IZT24"/>
    <mergeCell ref="IZU24:IZV24"/>
    <mergeCell ref="IZW24:IZX24"/>
    <mergeCell ref="IZE24:IZF24"/>
    <mergeCell ref="IZG24:IZH24"/>
    <mergeCell ref="IZI24:IZJ24"/>
    <mergeCell ref="IZK24:IZL24"/>
    <mergeCell ref="IZM24:IZN24"/>
    <mergeCell ref="JBW24:JBX24"/>
    <mergeCell ref="JBY24:JBZ24"/>
    <mergeCell ref="JCA24:JCB24"/>
    <mergeCell ref="JCC24:JCD24"/>
    <mergeCell ref="JCE24:JCF24"/>
    <mergeCell ref="JBM24:JBN24"/>
    <mergeCell ref="JBO24:JBP24"/>
    <mergeCell ref="JBQ24:JBR24"/>
    <mergeCell ref="JBS24:JBT24"/>
    <mergeCell ref="JBU24:JBV24"/>
    <mergeCell ref="JBC24:JBD24"/>
    <mergeCell ref="JBE24:JBF24"/>
    <mergeCell ref="JBG24:JBH24"/>
    <mergeCell ref="JBI24:JBJ24"/>
    <mergeCell ref="JBK24:JBL24"/>
    <mergeCell ref="JAS24:JAT24"/>
    <mergeCell ref="JAU24:JAV24"/>
    <mergeCell ref="JAW24:JAX24"/>
    <mergeCell ref="JAY24:JAZ24"/>
    <mergeCell ref="JBA24:JBB24"/>
    <mergeCell ref="JDK24:JDL24"/>
    <mergeCell ref="JDM24:JDN24"/>
    <mergeCell ref="JDO24:JDP24"/>
    <mergeCell ref="JDQ24:JDR24"/>
    <mergeCell ref="JDS24:JDT24"/>
    <mergeCell ref="JDA24:JDB24"/>
    <mergeCell ref="JDC24:JDD24"/>
    <mergeCell ref="JDE24:JDF24"/>
    <mergeCell ref="JDG24:JDH24"/>
    <mergeCell ref="JDI24:JDJ24"/>
    <mergeCell ref="JCQ24:JCR24"/>
    <mergeCell ref="JCS24:JCT24"/>
    <mergeCell ref="JCU24:JCV24"/>
    <mergeCell ref="JCW24:JCX24"/>
    <mergeCell ref="JCY24:JCZ24"/>
    <mergeCell ref="JCG24:JCH24"/>
    <mergeCell ref="JCI24:JCJ24"/>
    <mergeCell ref="JCK24:JCL24"/>
    <mergeCell ref="JCM24:JCN24"/>
    <mergeCell ref="JCO24:JCP24"/>
    <mergeCell ref="JEY24:JEZ24"/>
    <mergeCell ref="JFA24:JFB24"/>
    <mergeCell ref="JFC24:JFD24"/>
    <mergeCell ref="JFE24:JFF24"/>
    <mergeCell ref="JFG24:JFH24"/>
    <mergeCell ref="JEO24:JEP24"/>
    <mergeCell ref="JEQ24:JER24"/>
    <mergeCell ref="JES24:JET24"/>
    <mergeCell ref="JEU24:JEV24"/>
    <mergeCell ref="JEW24:JEX24"/>
    <mergeCell ref="JEE24:JEF24"/>
    <mergeCell ref="JEG24:JEH24"/>
    <mergeCell ref="JEI24:JEJ24"/>
    <mergeCell ref="JEK24:JEL24"/>
    <mergeCell ref="JEM24:JEN24"/>
    <mergeCell ref="JDU24:JDV24"/>
    <mergeCell ref="JDW24:JDX24"/>
    <mergeCell ref="JDY24:JDZ24"/>
    <mergeCell ref="JEA24:JEB24"/>
    <mergeCell ref="JEC24:JED24"/>
    <mergeCell ref="JGM24:JGN24"/>
    <mergeCell ref="JGO24:JGP24"/>
    <mergeCell ref="JGQ24:JGR24"/>
    <mergeCell ref="JGS24:JGT24"/>
    <mergeCell ref="JGU24:JGV24"/>
    <mergeCell ref="JGC24:JGD24"/>
    <mergeCell ref="JGE24:JGF24"/>
    <mergeCell ref="JGG24:JGH24"/>
    <mergeCell ref="JGI24:JGJ24"/>
    <mergeCell ref="JGK24:JGL24"/>
    <mergeCell ref="JFS24:JFT24"/>
    <mergeCell ref="JFU24:JFV24"/>
    <mergeCell ref="JFW24:JFX24"/>
    <mergeCell ref="JFY24:JFZ24"/>
    <mergeCell ref="JGA24:JGB24"/>
    <mergeCell ref="JFI24:JFJ24"/>
    <mergeCell ref="JFK24:JFL24"/>
    <mergeCell ref="JFM24:JFN24"/>
    <mergeCell ref="JFO24:JFP24"/>
    <mergeCell ref="JFQ24:JFR24"/>
    <mergeCell ref="JIA24:JIB24"/>
    <mergeCell ref="JIC24:JID24"/>
    <mergeCell ref="JIE24:JIF24"/>
    <mergeCell ref="JIG24:JIH24"/>
    <mergeCell ref="JII24:JIJ24"/>
    <mergeCell ref="JHQ24:JHR24"/>
    <mergeCell ref="JHS24:JHT24"/>
    <mergeCell ref="JHU24:JHV24"/>
    <mergeCell ref="JHW24:JHX24"/>
    <mergeCell ref="JHY24:JHZ24"/>
    <mergeCell ref="JHG24:JHH24"/>
    <mergeCell ref="JHI24:JHJ24"/>
    <mergeCell ref="JHK24:JHL24"/>
    <mergeCell ref="JHM24:JHN24"/>
    <mergeCell ref="JHO24:JHP24"/>
    <mergeCell ref="JGW24:JGX24"/>
    <mergeCell ref="JGY24:JGZ24"/>
    <mergeCell ref="JHA24:JHB24"/>
    <mergeCell ref="JHC24:JHD24"/>
    <mergeCell ref="JHE24:JHF24"/>
    <mergeCell ref="JJO24:JJP24"/>
    <mergeCell ref="JJQ24:JJR24"/>
    <mergeCell ref="JJS24:JJT24"/>
    <mergeCell ref="JJU24:JJV24"/>
    <mergeCell ref="JJW24:JJX24"/>
    <mergeCell ref="JJE24:JJF24"/>
    <mergeCell ref="JJG24:JJH24"/>
    <mergeCell ref="JJI24:JJJ24"/>
    <mergeCell ref="JJK24:JJL24"/>
    <mergeCell ref="JJM24:JJN24"/>
    <mergeCell ref="JIU24:JIV24"/>
    <mergeCell ref="JIW24:JIX24"/>
    <mergeCell ref="JIY24:JIZ24"/>
    <mergeCell ref="JJA24:JJB24"/>
    <mergeCell ref="JJC24:JJD24"/>
    <mergeCell ref="JIK24:JIL24"/>
    <mergeCell ref="JIM24:JIN24"/>
    <mergeCell ref="JIO24:JIP24"/>
    <mergeCell ref="JIQ24:JIR24"/>
    <mergeCell ref="JIS24:JIT24"/>
    <mergeCell ref="JLC24:JLD24"/>
    <mergeCell ref="JLE24:JLF24"/>
    <mergeCell ref="JLG24:JLH24"/>
    <mergeCell ref="JLI24:JLJ24"/>
    <mergeCell ref="JLK24:JLL24"/>
    <mergeCell ref="JKS24:JKT24"/>
    <mergeCell ref="JKU24:JKV24"/>
    <mergeCell ref="JKW24:JKX24"/>
    <mergeCell ref="JKY24:JKZ24"/>
    <mergeCell ref="JLA24:JLB24"/>
    <mergeCell ref="JKI24:JKJ24"/>
    <mergeCell ref="JKK24:JKL24"/>
    <mergeCell ref="JKM24:JKN24"/>
    <mergeCell ref="JKO24:JKP24"/>
    <mergeCell ref="JKQ24:JKR24"/>
    <mergeCell ref="JJY24:JJZ24"/>
    <mergeCell ref="JKA24:JKB24"/>
    <mergeCell ref="JKC24:JKD24"/>
    <mergeCell ref="JKE24:JKF24"/>
    <mergeCell ref="JKG24:JKH24"/>
    <mergeCell ref="JMQ24:JMR24"/>
    <mergeCell ref="JMS24:JMT24"/>
    <mergeCell ref="JMU24:JMV24"/>
    <mergeCell ref="JMW24:JMX24"/>
    <mergeCell ref="JMY24:JMZ24"/>
    <mergeCell ref="JMG24:JMH24"/>
    <mergeCell ref="JMI24:JMJ24"/>
    <mergeCell ref="JMK24:JML24"/>
    <mergeCell ref="JMM24:JMN24"/>
    <mergeCell ref="JMO24:JMP24"/>
    <mergeCell ref="JLW24:JLX24"/>
    <mergeCell ref="JLY24:JLZ24"/>
    <mergeCell ref="JMA24:JMB24"/>
    <mergeCell ref="JMC24:JMD24"/>
    <mergeCell ref="JME24:JMF24"/>
    <mergeCell ref="JLM24:JLN24"/>
    <mergeCell ref="JLO24:JLP24"/>
    <mergeCell ref="JLQ24:JLR24"/>
    <mergeCell ref="JLS24:JLT24"/>
    <mergeCell ref="JLU24:JLV24"/>
    <mergeCell ref="JOE24:JOF24"/>
    <mergeCell ref="JOG24:JOH24"/>
    <mergeCell ref="JOI24:JOJ24"/>
    <mergeCell ref="JOK24:JOL24"/>
    <mergeCell ref="JOM24:JON24"/>
    <mergeCell ref="JNU24:JNV24"/>
    <mergeCell ref="JNW24:JNX24"/>
    <mergeCell ref="JNY24:JNZ24"/>
    <mergeCell ref="JOA24:JOB24"/>
    <mergeCell ref="JOC24:JOD24"/>
    <mergeCell ref="JNK24:JNL24"/>
    <mergeCell ref="JNM24:JNN24"/>
    <mergeCell ref="JNO24:JNP24"/>
    <mergeCell ref="JNQ24:JNR24"/>
    <mergeCell ref="JNS24:JNT24"/>
    <mergeCell ref="JNA24:JNB24"/>
    <mergeCell ref="JNC24:JND24"/>
    <mergeCell ref="JNE24:JNF24"/>
    <mergeCell ref="JNG24:JNH24"/>
    <mergeCell ref="JNI24:JNJ24"/>
    <mergeCell ref="JPS24:JPT24"/>
    <mergeCell ref="JPU24:JPV24"/>
    <mergeCell ref="JPW24:JPX24"/>
    <mergeCell ref="JPY24:JPZ24"/>
    <mergeCell ref="JQA24:JQB24"/>
    <mergeCell ref="JPI24:JPJ24"/>
    <mergeCell ref="JPK24:JPL24"/>
    <mergeCell ref="JPM24:JPN24"/>
    <mergeCell ref="JPO24:JPP24"/>
    <mergeCell ref="JPQ24:JPR24"/>
    <mergeCell ref="JOY24:JOZ24"/>
    <mergeCell ref="JPA24:JPB24"/>
    <mergeCell ref="JPC24:JPD24"/>
    <mergeCell ref="JPE24:JPF24"/>
    <mergeCell ref="JPG24:JPH24"/>
    <mergeCell ref="JOO24:JOP24"/>
    <mergeCell ref="JOQ24:JOR24"/>
    <mergeCell ref="JOS24:JOT24"/>
    <mergeCell ref="JOU24:JOV24"/>
    <mergeCell ref="JOW24:JOX24"/>
    <mergeCell ref="JRG24:JRH24"/>
    <mergeCell ref="JRI24:JRJ24"/>
    <mergeCell ref="JRK24:JRL24"/>
    <mergeCell ref="JRM24:JRN24"/>
    <mergeCell ref="JRO24:JRP24"/>
    <mergeCell ref="JQW24:JQX24"/>
    <mergeCell ref="JQY24:JQZ24"/>
    <mergeCell ref="JRA24:JRB24"/>
    <mergeCell ref="JRC24:JRD24"/>
    <mergeCell ref="JRE24:JRF24"/>
    <mergeCell ref="JQM24:JQN24"/>
    <mergeCell ref="JQO24:JQP24"/>
    <mergeCell ref="JQQ24:JQR24"/>
    <mergeCell ref="JQS24:JQT24"/>
    <mergeCell ref="JQU24:JQV24"/>
    <mergeCell ref="JQC24:JQD24"/>
    <mergeCell ref="JQE24:JQF24"/>
    <mergeCell ref="JQG24:JQH24"/>
    <mergeCell ref="JQI24:JQJ24"/>
    <mergeCell ref="JQK24:JQL24"/>
    <mergeCell ref="JSU24:JSV24"/>
    <mergeCell ref="JSW24:JSX24"/>
    <mergeCell ref="JSY24:JSZ24"/>
    <mergeCell ref="JTA24:JTB24"/>
    <mergeCell ref="JTC24:JTD24"/>
    <mergeCell ref="JSK24:JSL24"/>
    <mergeCell ref="JSM24:JSN24"/>
    <mergeCell ref="JSO24:JSP24"/>
    <mergeCell ref="JSQ24:JSR24"/>
    <mergeCell ref="JSS24:JST24"/>
    <mergeCell ref="JSA24:JSB24"/>
    <mergeCell ref="JSC24:JSD24"/>
    <mergeCell ref="JSE24:JSF24"/>
    <mergeCell ref="JSG24:JSH24"/>
    <mergeCell ref="JSI24:JSJ24"/>
    <mergeCell ref="JRQ24:JRR24"/>
    <mergeCell ref="JRS24:JRT24"/>
    <mergeCell ref="JRU24:JRV24"/>
    <mergeCell ref="JRW24:JRX24"/>
    <mergeCell ref="JRY24:JRZ24"/>
    <mergeCell ref="JUI24:JUJ24"/>
    <mergeCell ref="JUK24:JUL24"/>
    <mergeCell ref="JUM24:JUN24"/>
    <mergeCell ref="JUO24:JUP24"/>
    <mergeCell ref="JUQ24:JUR24"/>
    <mergeCell ref="JTY24:JTZ24"/>
    <mergeCell ref="JUA24:JUB24"/>
    <mergeCell ref="JUC24:JUD24"/>
    <mergeCell ref="JUE24:JUF24"/>
    <mergeCell ref="JUG24:JUH24"/>
    <mergeCell ref="JTO24:JTP24"/>
    <mergeCell ref="JTQ24:JTR24"/>
    <mergeCell ref="JTS24:JTT24"/>
    <mergeCell ref="JTU24:JTV24"/>
    <mergeCell ref="JTW24:JTX24"/>
    <mergeCell ref="JTE24:JTF24"/>
    <mergeCell ref="JTG24:JTH24"/>
    <mergeCell ref="JTI24:JTJ24"/>
    <mergeCell ref="JTK24:JTL24"/>
    <mergeCell ref="JTM24:JTN24"/>
    <mergeCell ref="JVW24:JVX24"/>
    <mergeCell ref="JVY24:JVZ24"/>
    <mergeCell ref="JWA24:JWB24"/>
    <mergeCell ref="JWC24:JWD24"/>
    <mergeCell ref="JWE24:JWF24"/>
    <mergeCell ref="JVM24:JVN24"/>
    <mergeCell ref="JVO24:JVP24"/>
    <mergeCell ref="JVQ24:JVR24"/>
    <mergeCell ref="JVS24:JVT24"/>
    <mergeCell ref="JVU24:JVV24"/>
    <mergeCell ref="JVC24:JVD24"/>
    <mergeCell ref="JVE24:JVF24"/>
    <mergeCell ref="JVG24:JVH24"/>
    <mergeCell ref="JVI24:JVJ24"/>
    <mergeCell ref="JVK24:JVL24"/>
    <mergeCell ref="JUS24:JUT24"/>
    <mergeCell ref="JUU24:JUV24"/>
    <mergeCell ref="JUW24:JUX24"/>
    <mergeCell ref="JUY24:JUZ24"/>
    <mergeCell ref="JVA24:JVB24"/>
    <mergeCell ref="JXK24:JXL24"/>
    <mergeCell ref="JXM24:JXN24"/>
    <mergeCell ref="JXO24:JXP24"/>
    <mergeCell ref="JXQ24:JXR24"/>
    <mergeCell ref="JXS24:JXT24"/>
    <mergeCell ref="JXA24:JXB24"/>
    <mergeCell ref="JXC24:JXD24"/>
    <mergeCell ref="JXE24:JXF24"/>
    <mergeCell ref="JXG24:JXH24"/>
    <mergeCell ref="JXI24:JXJ24"/>
    <mergeCell ref="JWQ24:JWR24"/>
    <mergeCell ref="JWS24:JWT24"/>
    <mergeCell ref="JWU24:JWV24"/>
    <mergeCell ref="JWW24:JWX24"/>
    <mergeCell ref="JWY24:JWZ24"/>
    <mergeCell ref="JWG24:JWH24"/>
    <mergeCell ref="JWI24:JWJ24"/>
    <mergeCell ref="JWK24:JWL24"/>
    <mergeCell ref="JWM24:JWN24"/>
    <mergeCell ref="JWO24:JWP24"/>
    <mergeCell ref="JYY24:JYZ24"/>
    <mergeCell ref="JZA24:JZB24"/>
    <mergeCell ref="JZC24:JZD24"/>
    <mergeCell ref="JZE24:JZF24"/>
    <mergeCell ref="JZG24:JZH24"/>
    <mergeCell ref="JYO24:JYP24"/>
    <mergeCell ref="JYQ24:JYR24"/>
    <mergeCell ref="JYS24:JYT24"/>
    <mergeCell ref="JYU24:JYV24"/>
    <mergeCell ref="JYW24:JYX24"/>
    <mergeCell ref="JYE24:JYF24"/>
    <mergeCell ref="JYG24:JYH24"/>
    <mergeCell ref="JYI24:JYJ24"/>
    <mergeCell ref="JYK24:JYL24"/>
    <mergeCell ref="JYM24:JYN24"/>
    <mergeCell ref="JXU24:JXV24"/>
    <mergeCell ref="JXW24:JXX24"/>
    <mergeCell ref="JXY24:JXZ24"/>
    <mergeCell ref="JYA24:JYB24"/>
    <mergeCell ref="JYC24:JYD24"/>
    <mergeCell ref="KAM24:KAN24"/>
    <mergeCell ref="KAO24:KAP24"/>
    <mergeCell ref="KAQ24:KAR24"/>
    <mergeCell ref="KAS24:KAT24"/>
    <mergeCell ref="KAU24:KAV24"/>
    <mergeCell ref="KAC24:KAD24"/>
    <mergeCell ref="KAE24:KAF24"/>
    <mergeCell ref="KAG24:KAH24"/>
    <mergeCell ref="KAI24:KAJ24"/>
    <mergeCell ref="KAK24:KAL24"/>
    <mergeCell ref="JZS24:JZT24"/>
    <mergeCell ref="JZU24:JZV24"/>
    <mergeCell ref="JZW24:JZX24"/>
    <mergeCell ref="JZY24:JZZ24"/>
    <mergeCell ref="KAA24:KAB24"/>
    <mergeCell ref="JZI24:JZJ24"/>
    <mergeCell ref="JZK24:JZL24"/>
    <mergeCell ref="JZM24:JZN24"/>
    <mergeCell ref="JZO24:JZP24"/>
    <mergeCell ref="JZQ24:JZR24"/>
    <mergeCell ref="KCA24:KCB24"/>
    <mergeCell ref="KCC24:KCD24"/>
    <mergeCell ref="KCE24:KCF24"/>
    <mergeCell ref="KCG24:KCH24"/>
    <mergeCell ref="KCI24:KCJ24"/>
    <mergeCell ref="KBQ24:KBR24"/>
    <mergeCell ref="KBS24:KBT24"/>
    <mergeCell ref="KBU24:KBV24"/>
    <mergeCell ref="KBW24:KBX24"/>
    <mergeCell ref="KBY24:KBZ24"/>
    <mergeCell ref="KBG24:KBH24"/>
    <mergeCell ref="KBI24:KBJ24"/>
    <mergeCell ref="KBK24:KBL24"/>
    <mergeCell ref="KBM24:KBN24"/>
    <mergeCell ref="KBO24:KBP24"/>
    <mergeCell ref="KAW24:KAX24"/>
    <mergeCell ref="KAY24:KAZ24"/>
    <mergeCell ref="KBA24:KBB24"/>
    <mergeCell ref="KBC24:KBD24"/>
    <mergeCell ref="KBE24:KBF24"/>
    <mergeCell ref="KDO24:KDP24"/>
    <mergeCell ref="KDQ24:KDR24"/>
    <mergeCell ref="KDS24:KDT24"/>
    <mergeCell ref="KDU24:KDV24"/>
    <mergeCell ref="KDW24:KDX24"/>
    <mergeCell ref="KDE24:KDF24"/>
    <mergeCell ref="KDG24:KDH24"/>
    <mergeCell ref="KDI24:KDJ24"/>
    <mergeCell ref="KDK24:KDL24"/>
    <mergeCell ref="KDM24:KDN24"/>
    <mergeCell ref="KCU24:KCV24"/>
    <mergeCell ref="KCW24:KCX24"/>
    <mergeCell ref="KCY24:KCZ24"/>
    <mergeCell ref="KDA24:KDB24"/>
    <mergeCell ref="KDC24:KDD24"/>
    <mergeCell ref="KCK24:KCL24"/>
    <mergeCell ref="KCM24:KCN24"/>
    <mergeCell ref="KCO24:KCP24"/>
    <mergeCell ref="KCQ24:KCR24"/>
    <mergeCell ref="KCS24:KCT24"/>
    <mergeCell ref="KFC24:KFD24"/>
    <mergeCell ref="KFE24:KFF24"/>
    <mergeCell ref="KFG24:KFH24"/>
    <mergeCell ref="KFI24:KFJ24"/>
    <mergeCell ref="KFK24:KFL24"/>
    <mergeCell ref="KES24:KET24"/>
    <mergeCell ref="KEU24:KEV24"/>
    <mergeCell ref="KEW24:KEX24"/>
    <mergeCell ref="KEY24:KEZ24"/>
    <mergeCell ref="KFA24:KFB24"/>
    <mergeCell ref="KEI24:KEJ24"/>
    <mergeCell ref="KEK24:KEL24"/>
    <mergeCell ref="KEM24:KEN24"/>
    <mergeCell ref="KEO24:KEP24"/>
    <mergeCell ref="KEQ24:KER24"/>
    <mergeCell ref="KDY24:KDZ24"/>
    <mergeCell ref="KEA24:KEB24"/>
    <mergeCell ref="KEC24:KED24"/>
    <mergeCell ref="KEE24:KEF24"/>
    <mergeCell ref="KEG24:KEH24"/>
    <mergeCell ref="KGQ24:KGR24"/>
    <mergeCell ref="KGS24:KGT24"/>
    <mergeCell ref="KGU24:KGV24"/>
    <mergeCell ref="KGW24:KGX24"/>
    <mergeCell ref="KGY24:KGZ24"/>
    <mergeCell ref="KGG24:KGH24"/>
    <mergeCell ref="KGI24:KGJ24"/>
    <mergeCell ref="KGK24:KGL24"/>
    <mergeCell ref="KGM24:KGN24"/>
    <mergeCell ref="KGO24:KGP24"/>
    <mergeCell ref="KFW24:KFX24"/>
    <mergeCell ref="KFY24:KFZ24"/>
    <mergeCell ref="KGA24:KGB24"/>
    <mergeCell ref="KGC24:KGD24"/>
    <mergeCell ref="KGE24:KGF24"/>
    <mergeCell ref="KFM24:KFN24"/>
    <mergeCell ref="KFO24:KFP24"/>
    <mergeCell ref="KFQ24:KFR24"/>
    <mergeCell ref="KFS24:KFT24"/>
    <mergeCell ref="KFU24:KFV24"/>
    <mergeCell ref="KIE24:KIF24"/>
    <mergeCell ref="KIG24:KIH24"/>
    <mergeCell ref="KII24:KIJ24"/>
    <mergeCell ref="KIK24:KIL24"/>
    <mergeCell ref="KIM24:KIN24"/>
    <mergeCell ref="KHU24:KHV24"/>
    <mergeCell ref="KHW24:KHX24"/>
    <mergeCell ref="KHY24:KHZ24"/>
    <mergeCell ref="KIA24:KIB24"/>
    <mergeCell ref="KIC24:KID24"/>
    <mergeCell ref="KHK24:KHL24"/>
    <mergeCell ref="KHM24:KHN24"/>
    <mergeCell ref="KHO24:KHP24"/>
    <mergeCell ref="KHQ24:KHR24"/>
    <mergeCell ref="KHS24:KHT24"/>
    <mergeCell ref="KHA24:KHB24"/>
    <mergeCell ref="KHC24:KHD24"/>
    <mergeCell ref="KHE24:KHF24"/>
    <mergeCell ref="KHG24:KHH24"/>
    <mergeCell ref="KHI24:KHJ24"/>
    <mergeCell ref="KJS24:KJT24"/>
    <mergeCell ref="KJU24:KJV24"/>
    <mergeCell ref="KJW24:KJX24"/>
    <mergeCell ref="KJY24:KJZ24"/>
    <mergeCell ref="KKA24:KKB24"/>
    <mergeCell ref="KJI24:KJJ24"/>
    <mergeCell ref="KJK24:KJL24"/>
    <mergeCell ref="KJM24:KJN24"/>
    <mergeCell ref="KJO24:KJP24"/>
    <mergeCell ref="KJQ24:KJR24"/>
    <mergeCell ref="KIY24:KIZ24"/>
    <mergeCell ref="KJA24:KJB24"/>
    <mergeCell ref="KJC24:KJD24"/>
    <mergeCell ref="KJE24:KJF24"/>
    <mergeCell ref="KJG24:KJH24"/>
    <mergeCell ref="KIO24:KIP24"/>
    <mergeCell ref="KIQ24:KIR24"/>
    <mergeCell ref="KIS24:KIT24"/>
    <mergeCell ref="KIU24:KIV24"/>
    <mergeCell ref="KIW24:KIX24"/>
    <mergeCell ref="KLG24:KLH24"/>
    <mergeCell ref="KLI24:KLJ24"/>
    <mergeCell ref="KLK24:KLL24"/>
    <mergeCell ref="KLM24:KLN24"/>
    <mergeCell ref="KLO24:KLP24"/>
    <mergeCell ref="KKW24:KKX24"/>
    <mergeCell ref="KKY24:KKZ24"/>
    <mergeCell ref="KLA24:KLB24"/>
    <mergeCell ref="KLC24:KLD24"/>
    <mergeCell ref="KLE24:KLF24"/>
    <mergeCell ref="KKM24:KKN24"/>
    <mergeCell ref="KKO24:KKP24"/>
    <mergeCell ref="KKQ24:KKR24"/>
    <mergeCell ref="KKS24:KKT24"/>
    <mergeCell ref="KKU24:KKV24"/>
    <mergeCell ref="KKC24:KKD24"/>
    <mergeCell ref="KKE24:KKF24"/>
    <mergeCell ref="KKG24:KKH24"/>
    <mergeCell ref="KKI24:KKJ24"/>
    <mergeCell ref="KKK24:KKL24"/>
    <mergeCell ref="KMU24:KMV24"/>
    <mergeCell ref="KMW24:KMX24"/>
    <mergeCell ref="KMY24:KMZ24"/>
    <mergeCell ref="KNA24:KNB24"/>
    <mergeCell ref="KNC24:KND24"/>
    <mergeCell ref="KMK24:KML24"/>
    <mergeCell ref="KMM24:KMN24"/>
    <mergeCell ref="KMO24:KMP24"/>
    <mergeCell ref="KMQ24:KMR24"/>
    <mergeCell ref="KMS24:KMT24"/>
    <mergeCell ref="KMA24:KMB24"/>
    <mergeCell ref="KMC24:KMD24"/>
    <mergeCell ref="KME24:KMF24"/>
    <mergeCell ref="KMG24:KMH24"/>
    <mergeCell ref="KMI24:KMJ24"/>
    <mergeCell ref="KLQ24:KLR24"/>
    <mergeCell ref="KLS24:KLT24"/>
    <mergeCell ref="KLU24:KLV24"/>
    <mergeCell ref="KLW24:KLX24"/>
    <mergeCell ref="KLY24:KLZ24"/>
    <mergeCell ref="KOI24:KOJ24"/>
    <mergeCell ref="KOK24:KOL24"/>
    <mergeCell ref="KOM24:KON24"/>
    <mergeCell ref="KOO24:KOP24"/>
    <mergeCell ref="KOQ24:KOR24"/>
    <mergeCell ref="KNY24:KNZ24"/>
    <mergeCell ref="KOA24:KOB24"/>
    <mergeCell ref="KOC24:KOD24"/>
    <mergeCell ref="KOE24:KOF24"/>
    <mergeCell ref="KOG24:KOH24"/>
    <mergeCell ref="KNO24:KNP24"/>
    <mergeCell ref="KNQ24:KNR24"/>
    <mergeCell ref="KNS24:KNT24"/>
    <mergeCell ref="KNU24:KNV24"/>
    <mergeCell ref="KNW24:KNX24"/>
    <mergeCell ref="KNE24:KNF24"/>
    <mergeCell ref="KNG24:KNH24"/>
    <mergeCell ref="KNI24:KNJ24"/>
    <mergeCell ref="KNK24:KNL24"/>
    <mergeCell ref="KNM24:KNN24"/>
    <mergeCell ref="KPW24:KPX24"/>
    <mergeCell ref="KPY24:KPZ24"/>
    <mergeCell ref="KQA24:KQB24"/>
    <mergeCell ref="KQC24:KQD24"/>
    <mergeCell ref="KQE24:KQF24"/>
    <mergeCell ref="KPM24:KPN24"/>
    <mergeCell ref="KPO24:KPP24"/>
    <mergeCell ref="KPQ24:KPR24"/>
    <mergeCell ref="KPS24:KPT24"/>
    <mergeCell ref="KPU24:KPV24"/>
    <mergeCell ref="KPC24:KPD24"/>
    <mergeCell ref="KPE24:KPF24"/>
    <mergeCell ref="KPG24:KPH24"/>
    <mergeCell ref="KPI24:KPJ24"/>
    <mergeCell ref="KPK24:KPL24"/>
    <mergeCell ref="KOS24:KOT24"/>
    <mergeCell ref="KOU24:KOV24"/>
    <mergeCell ref="KOW24:KOX24"/>
    <mergeCell ref="KOY24:KOZ24"/>
    <mergeCell ref="KPA24:KPB24"/>
    <mergeCell ref="KRK24:KRL24"/>
    <mergeCell ref="KRM24:KRN24"/>
    <mergeCell ref="KRO24:KRP24"/>
    <mergeCell ref="KRQ24:KRR24"/>
    <mergeCell ref="KRS24:KRT24"/>
    <mergeCell ref="KRA24:KRB24"/>
    <mergeCell ref="KRC24:KRD24"/>
    <mergeCell ref="KRE24:KRF24"/>
    <mergeCell ref="KRG24:KRH24"/>
    <mergeCell ref="KRI24:KRJ24"/>
    <mergeCell ref="KQQ24:KQR24"/>
    <mergeCell ref="KQS24:KQT24"/>
    <mergeCell ref="KQU24:KQV24"/>
    <mergeCell ref="KQW24:KQX24"/>
    <mergeCell ref="KQY24:KQZ24"/>
    <mergeCell ref="KQG24:KQH24"/>
    <mergeCell ref="KQI24:KQJ24"/>
    <mergeCell ref="KQK24:KQL24"/>
    <mergeCell ref="KQM24:KQN24"/>
    <mergeCell ref="KQO24:KQP24"/>
    <mergeCell ref="KSY24:KSZ24"/>
    <mergeCell ref="KTA24:KTB24"/>
    <mergeCell ref="KTC24:KTD24"/>
    <mergeCell ref="KTE24:KTF24"/>
    <mergeCell ref="KTG24:KTH24"/>
    <mergeCell ref="KSO24:KSP24"/>
    <mergeCell ref="KSQ24:KSR24"/>
    <mergeCell ref="KSS24:KST24"/>
    <mergeCell ref="KSU24:KSV24"/>
    <mergeCell ref="KSW24:KSX24"/>
    <mergeCell ref="KSE24:KSF24"/>
    <mergeCell ref="KSG24:KSH24"/>
    <mergeCell ref="KSI24:KSJ24"/>
    <mergeCell ref="KSK24:KSL24"/>
    <mergeCell ref="KSM24:KSN24"/>
    <mergeCell ref="KRU24:KRV24"/>
    <mergeCell ref="KRW24:KRX24"/>
    <mergeCell ref="KRY24:KRZ24"/>
    <mergeCell ref="KSA24:KSB24"/>
    <mergeCell ref="KSC24:KSD24"/>
    <mergeCell ref="KUM24:KUN24"/>
    <mergeCell ref="KUO24:KUP24"/>
    <mergeCell ref="KUQ24:KUR24"/>
    <mergeCell ref="KUS24:KUT24"/>
    <mergeCell ref="KUU24:KUV24"/>
    <mergeCell ref="KUC24:KUD24"/>
    <mergeCell ref="KUE24:KUF24"/>
    <mergeCell ref="KUG24:KUH24"/>
    <mergeCell ref="KUI24:KUJ24"/>
    <mergeCell ref="KUK24:KUL24"/>
    <mergeCell ref="KTS24:KTT24"/>
    <mergeCell ref="KTU24:KTV24"/>
    <mergeCell ref="KTW24:KTX24"/>
    <mergeCell ref="KTY24:KTZ24"/>
    <mergeCell ref="KUA24:KUB24"/>
    <mergeCell ref="KTI24:KTJ24"/>
    <mergeCell ref="KTK24:KTL24"/>
    <mergeCell ref="KTM24:KTN24"/>
    <mergeCell ref="KTO24:KTP24"/>
    <mergeCell ref="KTQ24:KTR24"/>
    <mergeCell ref="KWA24:KWB24"/>
    <mergeCell ref="KWC24:KWD24"/>
    <mergeCell ref="KWE24:KWF24"/>
    <mergeCell ref="KWG24:KWH24"/>
    <mergeCell ref="KWI24:KWJ24"/>
    <mergeCell ref="KVQ24:KVR24"/>
    <mergeCell ref="KVS24:KVT24"/>
    <mergeCell ref="KVU24:KVV24"/>
    <mergeCell ref="KVW24:KVX24"/>
    <mergeCell ref="KVY24:KVZ24"/>
    <mergeCell ref="KVG24:KVH24"/>
    <mergeCell ref="KVI24:KVJ24"/>
    <mergeCell ref="KVK24:KVL24"/>
    <mergeCell ref="KVM24:KVN24"/>
    <mergeCell ref="KVO24:KVP24"/>
    <mergeCell ref="KUW24:KUX24"/>
    <mergeCell ref="KUY24:KUZ24"/>
    <mergeCell ref="KVA24:KVB24"/>
    <mergeCell ref="KVC24:KVD24"/>
    <mergeCell ref="KVE24:KVF24"/>
    <mergeCell ref="KXO24:KXP24"/>
    <mergeCell ref="KXQ24:KXR24"/>
    <mergeCell ref="KXS24:KXT24"/>
    <mergeCell ref="KXU24:KXV24"/>
    <mergeCell ref="KXW24:KXX24"/>
    <mergeCell ref="KXE24:KXF24"/>
    <mergeCell ref="KXG24:KXH24"/>
    <mergeCell ref="KXI24:KXJ24"/>
    <mergeCell ref="KXK24:KXL24"/>
    <mergeCell ref="KXM24:KXN24"/>
    <mergeCell ref="KWU24:KWV24"/>
    <mergeCell ref="KWW24:KWX24"/>
    <mergeCell ref="KWY24:KWZ24"/>
    <mergeCell ref="KXA24:KXB24"/>
    <mergeCell ref="KXC24:KXD24"/>
    <mergeCell ref="KWK24:KWL24"/>
    <mergeCell ref="KWM24:KWN24"/>
    <mergeCell ref="KWO24:KWP24"/>
    <mergeCell ref="KWQ24:KWR24"/>
    <mergeCell ref="KWS24:KWT24"/>
    <mergeCell ref="KZC24:KZD24"/>
    <mergeCell ref="KZE24:KZF24"/>
    <mergeCell ref="KZG24:KZH24"/>
    <mergeCell ref="KZI24:KZJ24"/>
    <mergeCell ref="KZK24:KZL24"/>
    <mergeCell ref="KYS24:KYT24"/>
    <mergeCell ref="KYU24:KYV24"/>
    <mergeCell ref="KYW24:KYX24"/>
    <mergeCell ref="KYY24:KYZ24"/>
    <mergeCell ref="KZA24:KZB24"/>
    <mergeCell ref="KYI24:KYJ24"/>
    <mergeCell ref="KYK24:KYL24"/>
    <mergeCell ref="KYM24:KYN24"/>
    <mergeCell ref="KYO24:KYP24"/>
    <mergeCell ref="KYQ24:KYR24"/>
    <mergeCell ref="KXY24:KXZ24"/>
    <mergeCell ref="KYA24:KYB24"/>
    <mergeCell ref="KYC24:KYD24"/>
    <mergeCell ref="KYE24:KYF24"/>
    <mergeCell ref="KYG24:KYH24"/>
    <mergeCell ref="LAQ24:LAR24"/>
    <mergeCell ref="LAS24:LAT24"/>
    <mergeCell ref="LAU24:LAV24"/>
    <mergeCell ref="LAW24:LAX24"/>
    <mergeCell ref="LAY24:LAZ24"/>
    <mergeCell ref="LAG24:LAH24"/>
    <mergeCell ref="LAI24:LAJ24"/>
    <mergeCell ref="LAK24:LAL24"/>
    <mergeCell ref="LAM24:LAN24"/>
    <mergeCell ref="LAO24:LAP24"/>
    <mergeCell ref="KZW24:KZX24"/>
    <mergeCell ref="KZY24:KZZ24"/>
    <mergeCell ref="LAA24:LAB24"/>
    <mergeCell ref="LAC24:LAD24"/>
    <mergeCell ref="LAE24:LAF24"/>
    <mergeCell ref="KZM24:KZN24"/>
    <mergeCell ref="KZO24:KZP24"/>
    <mergeCell ref="KZQ24:KZR24"/>
    <mergeCell ref="KZS24:KZT24"/>
    <mergeCell ref="KZU24:KZV24"/>
    <mergeCell ref="LCE24:LCF24"/>
    <mergeCell ref="LCG24:LCH24"/>
    <mergeCell ref="LCI24:LCJ24"/>
    <mergeCell ref="LCK24:LCL24"/>
    <mergeCell ref="LCM24:LCN24"/>
    <mergeCell ref="LBU24:LBV24"/>
    <mergeCell ref="LBW24:LBX24"/>
    <mergeCell ref="LBY24:LBZ24"/>
    <mergeCell ref="LCA24:LCB24"/>
    <mergeCell ref="LCC24:LCD24"/>
    <mergeCell ref="LBK24:LBL24"/>
    <mergeCell ref="LBM24:LBN24"/>
    <mergeCell ref="LBO24:LBP24"/>
    <mergeCell ref="LBQ24:LBR24"/>
    <mergeCell ref="LBS24:LBT24"/>
    <mergeCell ref="LBA24:LBB24"/>
    <mergeCell ref="LBC24:LBD24"/>
    <mergeCell ref="LBE24:LBF24"/>
    <mergeCell ref="LBG24:LBH24"/>
    <mergeCell ref="LBI24:LBJ24"/>
    <mergeCell ref="LDS24:LDT24"/>
    <mergeCell ref="LDU24:LDV24"/>
    <mergeCell ref="LDW24:LDX24"/>
    <mergeCell ref="LDY24:LDZ24"/>
    <mergeCell ref="LEA24:LEB24"/>
    <mergeCell ref="LDI24:LDJ24"/>
    <mergeCell ref="LDK24:LDL24"/>
    <mergeCell ref="LDM24:LDN24"/>
    <mergeCell ref="LDO24:LDP24"/>
    <mergeCell ref="LDQ24:LDR24"/>
    <mergeCell ref="LCY24:LCZ24"/>
    <mergeCell ref="LDA24:LDB24"/>
    <mergeCell ref="LDC24:LDD24"/>
    <mergeCell ref="LDE24:LDF24"/>
    <mergeCell ref="LDG24:LDH24"/>
    <mergeCell ref="LCO24:LCP24"/>
    <mergeCell ref="LCQ24:LCR24"/>
    <mergeCell ref="LCS24:LCT24"/>
    <mergeCell ref="LCU24:LCV24"/>
    <mergeCell ref="LCW24:LCX24"/>
    <mergeCell ref="LFG24:LFH24"/>
    <mergeCell ref="LFI24:LFJ24"/>
    <mergeCell ref="LFK24:LFL24"/>
    <mergeCell ref="LFM24:LFN24"/>
    <mergeCell ref="LFO24:LFP24"/>
    <mergeCell ref="LEW24:LEX24"/>
    <mergeCell ref="LEY24:LEZ24"/>
    <mergeCell ref="LFA24:LFB24"/>
    <mergeCell ref="LFC24:LFD24"/>
    <mergeCell ref="LFE24:LFF24"/>
    <mergeCell ref="LEM24:LEN24"/>
    <mergeCell ref="LEO24:LEP24"/>
    <mergeCell ref="LEQ24:LER24"/>
    <mergeCell ref="LES24:LET24"/>
    <mergeCell ref="LEU24:LEV24"/>
    <mergeCell ref="LEC24:LED24"/>
    <mergeCell ref="LEE24:LEF24"/>
    <mergeCell ref="LEG24:LEH24"/>
    <mergeCell ref="LEI24:LEJ24"/>
    <mergeCell ref="LEK24:LEL24"/>
    <mergeCell ref="LGU24:LGV24"/>
    <mergeCell ref="LGW24:LGX24"/>
    <mergeCell ref="LGY24:LGZ24"/>
    <mergeCell ref="LHA24:LHB24"/>
    <mergeCell ref="LHC24:LHD24"/>
    <mergeCell ref="LGK24:LGL24"/>
    <mergeCell ref="LGM24:LGN24"/>
    <mergeCell ref="LGO24:LGP24"/>
    <mergeCell ref="LGQ24:LGR24"/>
    <mergeCell ref="LGS24:LGT24"/>
    <mergeCell ref="LGA24:LGB24"/>
    <mergeCell ref="LGC24:LGD24"/>
    <mergeCell ref="LGE24:LGF24"/>
    <mergeCell ref="LGG24:LGH24"/>
    <mergeCell ref="LGI24:LGJ24"/>
    <mergeCell ref="LFQ24:LFR24"/>
    <mergeCell ref="LFS24:LFT24"/>
    <mergeCell ref="LFU24:LFV24"/>
    <mergeCell ref="LFW24:LFX24"/>
    <mergeCell ref="LFY24:LFZ24"/>
    <mergeCell ref="LII24:LIJ24"/>
    <mergeCell ref="LIK24:LIL24"/>
    <mergeCell ref="LIM24:LIN24"/>
    <mergeCell ref="LIO24:LIP24"/>
    <mergeCell ref="LIQ24:LIR24"/>
    <mergeCell ref="LHY24:LHZ24"/>
    <mergeCell ref="LIA24:LIB24"/>
    <mergeCell ref="LIC24:LID24"/>
    <mergeCell ref="LIE24:LIF24"/>
    <mergeCell ref="LIG24:LIH24"/>
    <mergeCell ref="LHO24:LHP24"/>
    <mergeCell ref="LHQ24:LHR24"/>
    <mergeCell ref="LHS24:LHT24"/>
    <mergeCell ref="LHU24:LHV24"/>
    <mergeCell ref="LHW24:LHX24"/>
    <mergeCell ref="LHE24:LHF24"/>
    <mergeCell ref="LHG24:LHH24"/>
    <mergeCell ref="LHI24:LHJ24"/>
    <mergeCell ref="LHK24:LHL24"/>
    <mergeCell ref="LHM24:LHN24"/>
    <mergeCell ref="LJW24:LJX24"/>
    <mergeCell ref="LJY24:LJZ24"/>
    <mergeCell ref="LKA24:LKB24"/>
    <mergeCell ref="LKC24:LKD24"/>
    <mergeCell ref="LKE24:LKF24"/>
    <mergeCell ref="LJM24:LJN24"/>
    <mergeCell ref="LJO24:LJP24"/>
    <mergeCell ref="LJQ24:LJR24"/>
    <mergeCell ref="LJS24:LJT24"/>
    <mergeCell ref="LJU24:LJV24"/>
    <mergeCell ref="LJC24:LJD24"/>
    <mergeCell ref="LJE24:LJF24"/>
    <mergeCell ref="LJG24:LJH24"/>
    <mergeCell ref="LJI24:LJJ24"/>
    <mergeCell ref="LJK24:LJL24"/>
    <mergeCell ref="LIS24:LIT24"/>
    <mergeCell ref="LIU24:LIV24"/>
    <mergeCell ref="LIW24:LIX24"/>
    <mergeCell ref="LIY24:LIZ24"/>
    <mergeCell ref="LJA24:LJB24"/>
    <mergeCell ref="LLK24:LLL24"/>
    <mergeCell ref="LLM24:LLN24"/>
    <mergeCell ref="LLO24:LLP24"/>
    <mergeCell ref="LLQ24:LLR24"/>
    <mergeCell ref="LLS24:LLT24"/>
    <mergeCell ref="LLA24:LLB24"/>
    <mergeCell ref="LLC24:LLD24"/>
    <mergeCell ref="LLE24:LLF24"/>
    <mergeCell ref="LLG24:LLH24"/>
    <mergeCell ref="LLI24:LLJ24"/>
    <mergeCell ref="LKQ24:LKR24"/>
    <mergeCell ref="LKS24:LKT24"/>
    <mergeCell ref="LKU24:LKV24"/>
    <mergeCell ref="LKW24:LKX24"/>
    <mergeCell ref="LKY24:LKZ24"/>
    <mergeCell ref="LKG24:LKH24"/>
    <mergeCell ref="LKI24:LKJ24"/>
    <mergeCell ref="LKK24:LKL24"/>
    <mergeCell ref="LKM24:LKN24"/>
    <mergeCell ref="LKO24:LKP24"/>
    <mergeCell ref="LMY24:LMZ24"/>
    <mergeCell ref="LNA24:LNB24"/>
    <mergeCell ref="LNC24:LND24"/>
    <mergeCell ref="LNE24:LNF24"/>
    <mergeCell ref="LNG24:LNH24"/>
    <mergeCell ref="LMO24:LMP24"/>
    <mergeCell ref="LMQ24:LMR24"/>
    <mergeCell ref="LMS24:LMT24"/>
    <mergeCell ref="LMU24:LMV24"/>
    <mergeCell ref="LMW24:LMX24"/>
    <mergeCell ref="LME24:LMF24"/>
    <mergeCell ref="LMG24:LMH24"/>
    <mergeCell ref="LMI24:LMJ24"/>
    <mergeCell ref="LMK24:LML24"/>
    <mergeCell ref="LMM24:LMN24"/>
    <mergeCell ref="LLU24:LLV24"/>
    <mergeCell ref="LLW24:LLX24"/>
    <mergeCell ref="LLY24:LLZ24"/>
    <mergeCell ref="LMA24:LMB24"/>
    <mergeCell ref="LMC24:LMD24"/>
    <mergeCell ref="LOM24:LON24"/>
    <mergeCell ref="LOO24:LOP24"/>
    <mergeCell ref="LOQ24:LOR24"/>
    <mergeCell ref="LOS24:LOT24"/>
    <mergeCell ref="LOU24:LOV24"/>
    <mergeCell ref="LOC24:LOD24"/>
    <mergeCell ref="LOE24:LOF24"/>
    <mergeCell ref="LOG24:LOH24"/>
    <mergeCell ref="LOI24:LOJ24"/>
    <mergeCell ref="LOK24:LOL24"/>
    <mergeCell ref="LNS24:LNT24"/>
    <mergeCell ref="LNU24:LNV24"/>
    <mergeCell ref="LNW24:LNX24"/>
    <mergeCell ref="LNY24:LNZ24"/>
    <mergeCell ref="LOA24:LOB24"/>
    <mergeCell ref="LNI24:LNJ24"/>
    <mergeCell ref="LNK24:LNL24"/>
    <mergeCell ref="LNM24:LNN24"/>
    <mergeCell ref="LNO24:LNP24"/>
    <mergeCell ref="LNQ24:LNR24"/>
    <mergeCell ref="LQA24:LQB24"/>
    <mergeCell ref="LQC24:LQD24"/>
    <mergeCell ref="LQE24:LQF24"/>
    <mergeCell ref="LQG24:LQH24"/>
    <mergeCell ref="LQI24:LQJ24"/>
    <mergeCell ref="LPQ24:LPR24"/>
    <mergeCell ref="LPS24:LPT24"/>
    <mergeCell ref="LPU24:LPV24"/>
    <mergeCell ref="LPW24:LPX24"/>
    <mergeCell ref="LPY24:LPZ24"/>
    <mergeCell ref="LPG24:LPH24"/>
    <mergeCell ref="LPI24:LPJ24"/>
    <mergeCell ref="LPK24:LPL24"/>
    <mergeCell ref="LPM24:LPN24"/>
    <mergeCell ref="LPO24:LPP24"/>
    <mergeCell ref="LOW24:LOX24"/>
    <mergeCell ref="LOY24:LOZ24"/>
    <mergeCell ref="LPA24:LPB24"/>
    <mergeCell ref="LPC24:LPD24"/>
    <mergeCell ref="LPE24:LPF24"/>
    <mergeCell ref="LRO24:LRP24"/>
    <mergeCell ref="LRQ24:LRR24"/>
    <mergeCell ref="LRS24:LRT24"/>
    <mergeCell ref="LRU24:LRV24"/>
    <mergeCell ref="LRW24:LRX24"/>
    <mergeCell ref="LRE24:LRF24"/>
    <mergeCell ref="LRG24:LRH24"/>
    <mergeCell ref="LRI24:LRJ24"/>
    <mergeCell ref="LRK24:LRL24"/>
    <mergeCell ref="LRM24:LRN24"/>
    <mergeCell ref="LQU24:LQV24"/>
    <mergeCell ref="LQW24:LQX24"/>
    <mergeCell ref="LQY24:LQZ24"/>
    <mergeCell ref="LRA24:LRB24"/>
    <mergeCell ref="LRC24:LRD24"/>
    <mergeCell ref="LQK24:LQL24"/>
    <mergeCell ref="LQM24:LQN24"/>
    <mergeCell ref="LQO24:LQP24"/>
    <mergeCell ref="LQQ24:LQR24"/>
    <mergeCell ref="LQS24:LQT24"/>
    <mergeCell ref="LTC24:LTD24"/>
    <mergeCell ref="LTE24:LTF24"/>
    <mergeCell ref="LTG24:LTH24"/>
    <mergeCell ref="LTI24:LTJ24"/>
    <mergeCell ref="LTK24:LTL24"/>
    <mergeCell ref="LSS24:LST24"/>
    <mergeCell ref="LSU24:LSV24"/>
    <mergeCell ref="LSW24:LSX24"/>
    <mergeCell ref="LSY24:LSZ24"/>
    <mergeCell ref="LTA24:LTB24"/>
    <mergeCell ref="LSI24:LSJ24"/>
    <mergeCell ref="LSK24:LSL24"/>
    <mergeCell ref="LSM24:LSN24"/>
    <mergeCell ref="LSO24:LSP24"/>
    <mergeCell ref="LSQ24:LSR24"/>
    <mergeCell ref="LRY24:LRZ24"/>
    <mergeCell ref="LSA24:LSB24"/>
    <mergeCell ref="LSC24:LSD24"/>
    <mergeCell ref="LSE24:LSF24"/>
    <mergeCell ref="LSG24:LSH24"/>
    <mergeCell ref="LUQ24:LUR24"/>
    <mergeCell ref="LUS24:LUT24"/>
    <mergeCell ref="LUU24:LUV24"/>
    <mergeCell ref="LUW24:LUX24"/>
    <mergeCell ref="LUY24:LUZ24"/>
    <mergeCell ref="LUG24:LUH24"/>
    <mergeCell ref="LUI24:LUJ24"/>
    <mergeCell ref="LUK24:LUL24"/>
    <mergeCell ref="LUM24:LUN24"/>
    <mergeCell ref="LUO24:LUP24"/>
    <mergeCell ref="LTW24:LTX24"/>
    <mergeCell ref="LTY24:LTZ24"/>
    <mergeCell ref="LUA24:LUB24"/>
    <mergeCell ref="LUC24:LUD24"/>
    <mergeCell ref="LUE24:LUF24"/>
    <mergeCell ref="LTM24:LTN24"/>
    <mergeCell ref="LTO24:LTP24"/>
    <mergeCell ref="LTQ24:LTR24"/>
    <mergeCell ref="LTS24:LTT24"/>
    <mergeCell ref="LTU24:LTV24"/>
    <mergeCell ref="LWE24:LWF24"/>
    <mergeCell ref="LWG24:LWH24"/>
    <mergeCell ref="LWI24:LWJ24"/>
    <mergeCell ref="LWK24:LWL24"/>
    <mergeCell ref="LWM24:LWN24"/>
    <mergeCell ref="LVU24:LVV24"/>
    <mergeCell ref="LVW24:LVX24"/>
    <mergeCell ref="LVY24:LVZ24"/>
    <mergeCell ref="LWA24:LWB24"/>
    <mergeCell ref="LWC24:LWD24"/>
    <mergeCell ref="LVK24:LVL24"/>
    <mergeCell ref="LVM24:LVN24"/>
    <mergeCell ref="LVO24:LVP24"/>
    <mergeCell ref="LVQ24:LVR24"/>
    <mergeCell ref="LVS24:LVT24"/>
    <mergeCell ref="LVA24:LVB24"/>
    <mergeCell ref="LVC24:LVD24"/>
    <mergeCell ref="LVE24:LVF24"/>
    <mergeCell ref="LVG24:LVH24"/>
    <mergeCell ref="LVI24:LVJ24"/>
    <mergeCell ref="LXS24:LXT24"/>
    <mergeCell ref="LXU24:LXV24"/>
    <mergeCell ref="LXW24:LXX24"/>
    <mergeCell ref="LXY24:LXZ24"/>
    <mergeCell ref="LYA24:LYB24"/>
    <mergeCell ref="LXI24:LXJ24"/>
    <mergeCell ref="LXK24:LXL24"/>
    <mergeCell ref="LXM24:LXN24"/>
    <mergeCell ref="LXO24:LXP24"/>
    <mergeCell ref="LXQ24:LXR24"/>
    <mergeCell ref="LWY24:LWZ24"/>
    <mergeCell ref="LXA24:LXB24"/>
    <mergeCell ref="LXC24:LXD24"/>
    <mergeCell ref="LXE24:LXF24"/>
    <mergeCell ref="LXG24:LXH24"/>
    <mergeCell ref="LWO24:LWP24"/>
    <mergeCell ref="LWQ24:LWR24"/>
    <mergeCell ref="LWS24:LWT24"/>
    <mergeCell ref="LWU24:LWV24"/>
    <mergeCell ref="LWW24:LWX24"/>
    <mergeCell ref="LZG24:LZH24"/>
    <mergeCell ref="LZI24:LZJ24"/>
    <mergeCell ref="LZK24:LZL24"/>
    <mergeCell ref="LZM24:LZN24"/>
    <mergeCell ref="LZO24:LZP24"/>
    <mergeCell ref="LYW24:LYX24"/>
    <mergeCell ref="LYY24:LYZ24"/>
    <mergeCell ref="LZA24:LZB24"/>
    <mergeCell ref="LZC24:LZD24"/>
    <mergeCell ref="LZE24:LZF24"/>
    <mergeCell ref="LYM24:LYN24"/>
    <mergeCell ref="LYO24:LYP24"/>
    <mergeCell ref="LYQ24:LYR24"/>
    <mergeCell ref="LYS24:LYT24"/>
    <mergeCell ref="LYU24:LYV24"/>
    <mergeCell ref="LYC24:LYD24"/>
    <mergeCell ref="LYE24:LYF24"/>
    <mergeCell ref="LYG24:LYH24"/>
    <mergeCell ref="LYI24:LYJ24"/>
    <mergeCell ref="LYK24:LYL24"/>
    <mergeCell ref="MAU24:MAV24"/>
    <mergeCell ref="MAW24:MAX24"/>
    <mergeCell ref="MAY24:MAZ24"/>
    <mergeCell ref="MBA24:MBB24"/>
    <mergeCell ref="MBC24:MBD24"/>
    <mergeCell ref="MAK24:MAL24"/>
    <mergeCell ref="MAM24:MAN24"/>
    <mergeCell ref="MAO24:MAP24"/>
    <mergeCell ref="MAQ24:MAR24"/>
    <mergeCell ref="MAS24:MAT24"/>
    <mergeCell ref="MAA24:MAB24"/>
    <mergeCell ref="MAC24:MAD24"/>
    <mergeCell ref="MAE24:MAF24"/>
    <mergeCell ref="MAG24:MAH24"/>
    <mergeCell ref="MAI24:MAJ24"/>
    <mergeCell ref="LZQ24:LZR24"/>
    <mergeCell ref="LZS24:LZT24"/>
    <mergeCell ref="LZU24:LZV24"/>
    <mergeCell ref="LZW24:LZX24"/>
    <mergeCell ref="LZY24:LZZ24"/>
    <mergeCell ref="MCI24:MCJ24"/>
    <mergeCell ref="MCK24:MCL24"/>
    <mergeCell ref="MCM24:MCN24"/>
    <mergeCell ref="MCO24:MCP24"/>
    <mergeCell ref="MCQ24:MCR24"/>
    <mergeCell ref="MBY24:MBZ24"/>
    <mergeCell ref="MCA24:MCB24"/>
    <mergeCell ref="MCC24:MCD24"/>
    <mergeCell ref="MCE24:MCF24"/>
    <mergeCell ref="MCG24:MCH24"/>
    <mergeCell ref="MBO24:MBP24"/>
    <mergeCell ref="MBQ24:MBR24"/>
    <mergeCell ref="MBS24:MBT24"/>
    <mergeCell ref="MBU24:MBV24"/>
    <mergeCell ref="MBW24:MBX24"/>
    <mergeCell ref="MBE24:MBF24"/>
    <mergeCell ref="MBG24:MBH24"/>
    <mergeCell ref="MBI24:MBJ24"/>
    <mergeCell ref="MBK24:MBL24"/>
    <mergeCell ref="MBM24:MBN24"/>
    <mergeCell ref="MDW24:MDX24"/>
    <mergeCell ref="MDY24:MDZ24"/>
    <mergeCell ref="MEA24:MEB24"/>
    <mergeCell ref="MEC24:MED24"/>
    <mergeCell ref="MEE24:MEF24"/>
    <mergeCell ref="MDM24:MDN24"/>
    <mergeCell ref="MDO24:MDP24"/>
    <mergeCell ref="MDQ24:MDR24"/>
    <mergeCell ref="MDS24:MDT24"/>
    <mergeCell ref="MDU24:MDV24"/>
    <mergeCell ref="MDC24:MDD24"/>
    <mergeCell ref="MDE24:MDF24"/>
    <mergeCell ref="MDG24:MDH24"/>
    <mergeCell ref="MDI24:MDJ24"/>
    <mergeCell ref="MDK24:MDL24"/>
    <mergeCell ref="MCS24:MCT24"/>
    <mergeCell ref="MCU24:MCV24"/>
    <mergeCell ref="MCW24:MCX24"/>
    <mergeCell ref="MCY24:MCZ24"/>
    <mergeCell ref="MDA24:MDB24"/>
    <mergeCell ref="MFK24:MFL24"/>
    <mergeCell ref="MFM24:MFN24"/>
    <mergeCell ref="MFO24:MFP24"/>
    <mergeCell ref="MFQ24:MFR24"/>
    <mergeCell ref="MFS24:MFT24"/>
    <mergeCell ref="MFA24:MFB24"/>
    <mergeCell ref="MFC24:MFD24"/>
    <mergeCell ref="MFE24:MFF24"/>
    <mergeCell ref="MFG24:MFH24"/>
    <mergeCell ref="MFI24:MFJ24"/>
    <mergeCell ref="MEQ24:MER24"/>
    <mergeCell ref="MES24:MET24"/>
    <mergeCell ref="MEU24:MEV24"/>
    <mergeCell ref="MEW24:MEX24"/>
    <mergeCell ref="MEY24:MEZ24"/>
    <mergeCell ref="MEG24:MEH24"/>
    <mergeCell ref="MEI24:MEJ24"/>
    <mergeCell ref="MEK24:MEL24"/>
    <mergeCell ref="MEM24:MEN24"/>
    <mergeCell ref="MEO24:MEP24"/>
    <mergeCell ref="MGY24:MGZ24"/>
    <mergeCell ref="MHA24:MHB24"/>
    <mergeCell ref="MHC24:MHD24"/>
    <mergeCell ref="MHE24:MHF24"/>
    <mergeCell ref="MHG24:MHH24"/>
    <mergeCell ref="MGO24:MGP24"/>
    <mergeCell ref="MGQ24:MGR24"/>
    <mergeCell ref="MGS24:MGT24"/>
    <mergeCell ref="MGU24:MGV24"/>
    <mergeCell ref="MGW24:MGX24"/>
    <mergeCell ref="MGE24:MGF24"/>
    <mergeCell ref="MGG24:MGH24"/>
    <mergeCell ref="MGI24:MGJ24"/>
    <mergeCell ref="MGK24:MGL24"/>
    <mergeCell ref="MGM24:MGN24"/>
    <mergeCell ref="MFU24:MFV24"/>
    <mergeCell ref="MFW24:MFX24"/>
    <mergeCell ref="MFY24:MFZ24"/>
    <mergeCell ref="MGA24:MGB24"/>
    <mergeCell ref="MGC24:MGD24"/>
    <mergeCell ref="MIM24:MIN24"/>
    <mergeCell ref="MIO24:MIP24"/>
    <mergeCell ref="MIQ24:MIR24"/>
    <mergeCell ref="MIS24:MIT24"/>
    <mergeCell ref="MIU24:MIV24"/>
    <mergeCell ref="MIC24:MID24"/>
    <mergeCell ref="MIE24:MIF24"/>
    <mergeCell ref="MIG24:MIH24"/>
    <mergeCell ref="MII24:MIJ24"/>
    <mergeCell ref="MIK24:MIL24"/>
    <mergeCell ref="MHS24:MHT24"/>
    <mergeCell ref="MHU24:MHV24"/>
    <mergeCell ref="MHW24:MHX24"/>
    <mergeCell ref="MHY24:MHZ24"/>
    <mergeCell ref="MIA24:MIB24"/>
    <mergeCell ref="MHI24:MHJ24"/>
    <mergeCell ref="MHK24:MHL24"/>
    <mergeCell ref="MHM24:MHN24"/>
    <mergeCell ref="MHO24:MHP24"/>
    <mergeCell ref="MHQ24:MHR24"/>
    <mergeCell ref="MKA24:MKB24"/>
    <mergeCell ref="MKC24:MKD24"/>
    <mergeCell ref="MKE24:MKF24"/>
    <mergeCell ref="MKG24:MKH24"/>
    <mergeCell ref="MKI24:MKJ24"/>
    <mergeCell ref="MJQ24:MJR24"/>
    <mergeCell ref="MJS24:MJT24"/>
    <mergeCell ref="MJU24:MJV24"/>
    <mergeCell ref="MJW24:MJX24"/>
    <mergeCell ref="MJY24:MJZ24"/>
    <mergeCell ref="MJG24:MJH24"/>
    <mergeCell ref="MJI24:MJJ24"/>
    <mergeCell ref="MJK24:MJL24"/>
    <mergeCell ref="MJM24:MJN24"/>
    <mergeCell ref="MJO24:MJP24"/>
    <mergeCell ref="MIW24:MIX24"/>
    <mergeCell ref="MIY24:MIZ24"/>
    <mergeCell ref="MJA24:MJB24"/>
    <mergeCell ref="MJC24:MJD24"/>
    <mergeCell ref="MJE24:MJF24"/>
    <mergeCell ref="MLO24:MLP24"/>
    <mergeCell ref="MLQ24:MLR24"/>
    <mergeCell ref="MLS24:MLT24"/>
    <mergeCell ref="MLU24:MLV24"/>
    <mergeCell ref="MLW24:MLX24"/>
    <mergeCell ref="MLE24:MLF24"/>
    <mergeCell ref="MLG24:MLH24"/>
    <mergeCell ref="MLI24:MLJ24"/>
    <mergeCell ref="MLK24:MLL24"/>
    <mergeCell ref="MLM24:MLN24"/>
    <mergeCell ref="MKU24:MKV24"/>
    <mergeCell ref="MKW24:MKX24"/>
    <mergeCell ref="MKY24:MKZ24"/>
    <mergeCell ref="MLA24:MLB24"/>
    <mergeCell ref="MLC24:MLD24"/>
    <mergeCell ref="MKK24:MKL24"/>
    <mergeCell ref="MKM24:MKN24"/>
    <mergeCell ref="MKO24:MKP24"/>
    <mergeCell ref="MKQ24:MKR24"/>
    <mergeCell ref="MKS24:MKT24"/>
    <mergeCell ref="MNC24:MND24"/>
    <mergeCell ref="MNE24:MNF24"/>
    <mergeCell ref="MNG24:MNH24"/>
    <mergeCell ref="MNI24:MNJ24"/>
    <mergeCell ref="MNK24:MNL24"/>
    <mergeCell ref="MMS24:MMT24"/>
    <mergeCell ref="MMU24:MMV24"/>
    <mergeCell ref="MMW24:MMX24"/>
    <mergeCell ref="MMY24:MMZ24"/>
    <mergeCell ref="MNA24:MNB24"/>
    <mergeCell ref="MMI24:MMJ24"/>
    <mergeCell ref="MMK24:MML24"/>
    <mergeCell ref="MMM24:MMN24"/>
    <mergeCell ref="MMO24:MMP24"/>
    <mergeCell ref="MMQ24:MMR24"/>
    <mergeCell ref="MLY24:MLZ24"/>
    <mergeCell ref="MMA24:MMB24"/>
    <mergeCell ref="MMC24:MMD24"/>
    <mergeCell ref="MME24:MMF24"/>
    <mergeCell ref="MMG24:MMH24"/>
    <mergeCell ref="MOQ24:MOR24"/>
    <mergeCell ref="MOS24:MOT24"/>
    <mergeCell ref="MOU24:MOV24"/>
    <mergeCell ref="MOW24:MOX24"/>
    <mergeCell ref="MOY24:MOZ24"/>
    <mergeCell ref="MOG24:MOH24"/>
    <mergeCell ref="MOI24:MOJ24"/>
    <mergeCell ref="MOK24:MOL24"/>
    <mergeCell ref="MOM24:MON24"/>
    <mergeCell ref="MOO24:MOP24"/>
    <mergeCell ref="MNW24:MNX24"/>
    <mergeCell ref="MNY24:MNZ24"/>
    <mergeCell ref="MOA24:MOB24"/>
    <mergeCell ref="MOC24:MOD24"/>
    <mergeCell ref="MOE24:MOF24"/>
    <mergeCell ref="MNM24:MNN24"/>
    <mergeCell ref="MNO24:MNP24"/>
    <mergeCell ref="MNQ24:MNR24"/>
    <mergeCell ref="MNS24:MNT24"/>
    <mergeCell ref="MNU24:MNV24"/>
    <mergeCell ref="MQE24:MQF24"/>
    <mergeCell ref="MQG24:MQH24"/>
    <mergeCell ref="MQI24:MQJ24"/>
    <mergeCell ref="MQK24:MQL24"/>
    <mergeCell ref="MQM24:MQN24"/>
    <mergeCell ref="MPU24:MPV24"/>
    <mergeCell ref="MPW24:MPX24"/>
    <mergeCell ref="MPY24:MPZ24"/>
    <mergeCell ref="MQA24:MQB24"/>
    <mergeCell ref="MQC24:MQD24"/>
    <mergeCell ref="MPK24:MPL24"/>
    <mergeCell ref="MPM24:MPN24"/>
    <mergeCell ref="MPO24:MPP24"/>
    <mergeCell ref="MPQ24:MPR24"/>
    <mergeCell ref="MPS24:MPT24"/>
    <mergeCell ref="MPA24:MPB24"/>
    <mergeCell ref="MPC24:MPD24"/>
    <mergeCell ref="MPE24:MPF24"/>
    <mergeCell ref="MPG24:MPH24"/>
    <mergeCell ref="MPI24:MPJ24"/>
    <mergeCell ref="MRS24:MRT24"/>
    <mergeCell ref="MRU24:MRV24"/>
    <mergeCell ref="MRW24:MRX24"/>
    <mergeCell ref="MRY24:MRZ24"/>
    <mergeCell ref="MSA24:MSB24"/>
    <mergeCell ref="MRI24:MRJ24"/>
    <mergeCell ref="MRK24:MRL24"/>
    <mergeCell ref="MRM24:MRN24"/>
    <mergeCell ref="MRO24:MRP24"/>
    <mergeCell ref="MRQ24:MRR24"/>
    <mergeCell ref="MQY24:MQZ24"/>
    <mergeCell ref="MRA24:MRB24"/>
    <mergeCell ref="MRC24:MRD24"/>
    <mergeCell ref="MRE24:MRF24"/>
    <mergeCell ref="MRG24:MRH24"/>
    <mergeCell ref="MQO24:MQP24"/>
    <mergeCell ref="MQQ24:MQR24"/>
    <mergeCell ref="MQS24:MQT24"/>
    <mergeCell ref="MQU24:MQV24"/>
    <mergeCell ref="MQW24:MQX24"/>
    <mergeCell ref="MTG24:MTH24"/>
    <mergeCell ref="MTI24:MTJ24"/>
    <mergeCell ref="MTK24:MTL24"/>
    <mergeCell ref="MTM24:MTN24"/>
    <mergeCell ref="MTO24:MTP24"/>
    <mergeCell ref="MSW24:MSX24"/>
    <mergeCell ref="MSY24:MSZ24"/>
    <mergeCell ref="MTA24:MTB24"/>
    <mergeCell ref="MTC24:MTD24"/>
    <mergeCell ref="MTE24:MTF24"/>
    <mergeCell ref="MSM24:MSN24"/>
    <mergeCell ref="MSO24:MSP24"/>
    <mergeCell ref="MSQ24:MSR24"/>
    <mergeCell ref="MSS24:MST24"/>
    <mergeCell ref="MSU24:MSV24"/>
    <mergeCell ref="MSC24:MSD24"/>
    <mergeCell ref="MSE24:MSF24"/>
    <mergeCell ref="MSG24:MSH24"/>
    <mergeCell ref="MSI24:MSJ24"/>
    <mergeCell ref="MSK24:MSL24"/>
    <mergeCell ref="MUU24:MUV24"/>
    <mergeCell ref="MUW24:MUX24"/>
    <mergeCell ref="MUY24:MUZ24"/>
    <mergeCell ref="MVA24:MVB24"/>
    <mergeCell ref="MVC24:MVD24"/>
    <mergeCell ref="MUK24:MUL24"/>
    <mergeCell ref="MUM24:MUN24"/>
    <mergeCell ref="MUO24:MUP24"/>
    <mergeCell ref="MUQ24:MUR24"/>
    <mergeCell ref="MUS24:MUT24"/>
    <mergeCell ref="MUA24:MUB24"/>
    <mergeCell ref="MUC24:MUD24"/>
    <mergeCell ref="MUE24:MUF24"/>
    <mergeCell ref="MUG24:MUH24"/>
    <mergeCell ref="MUI24:MUJ24"/>
    <mergeCell ref="MTQ24:MTR24"/>
    <mergeCell ref="MTS24:MTT24"/>
    <mergeCell ref="MTU24:MTV24"/>
    <mergeCell ref="MTW24:MTX24"/>
    <mergeCell ref="MTY24:MTZ24"/>
    <mergeCell ref="MWI24:MWJ24"/>
    <mergeCell ref="MWK24:MWL24"/>
    <mergeCell ref="MWM24:MWN24"/>
    <mergeCell ref="MWO24:MWP24"/>
    <mergeCell ref="MWQ24:MWR24"/>
    <mergeCell ref="MVY24:MVZ24"/>
    <mergeCell ref="MWA24:MWB24"/>
    <mergeCell ref="MWC24:MWD24"/>
    <mergeCell ref="MWE24:MWF24"/>
    <mergeCell ref="MWG24:MWH24"/>
    <mergeCell ref="MVO24:MVP24"/>
    <mergeCell ref="MVQ24:MVR24"/>
    <mergeCell ref="MVS24:MVT24"/>
    <mergeCell ref="MVU24:MVV24"/>
    <mergeCell ref="MVW24:MVX24"/>
    <mergeCell ref="MVE24:MVF24"/>
    <mergeCell ref="MVG24:MVH24"/>
    <mergeCell ref="MVI24:MVJ24"/>
    <mergeCell ref="MVK24:MVL24"/>
    <mergeCell ref="MVM24:MVN24"/>
    <mergeCell ref="MXW24:MXX24"/>
    <mergeCell ref="MXY24:MXZ24"/>
    <mergeCell ref="MYA24:MYB24"/>
    <mergeCell ref="MYC24:MYD24"/>
    <mergeCell ref="MYE24:MYF24"/>
    <mergeCell ref="MXM24:MXN24"/>
    <mergeCell ref="MXO24:MXP24"/>
    <mergeCell ref="MXQ24:MXR24"/>
    <mergeCell ref="MXS24:MXT24"/>
    <mergeCell ref="MXU24:MXV24"/>
    <mergeCell ref="MXC24:MXD24"/>
    <mergeCell ref="MXE24:MXF24"/>
    <mergeCell ref="MXG24:MXH24"/>
    <mergeCell ref="MXI24:MXJ24"/>
    <mergeCell ref="MXK24:MXL24"/>
    <mergeCell ref="MWS24:MWT24"/>
    <mergeCell ref="MWU24:MWV24"/>
    <mergeCell ref="MWW24:MWX24"/>
    <mergeCell ref="MWY24:MWZ24"/>
    <mergeCell ref="MXA24:MXB24"/>
    <mergeCell ref="MZK24:MZL24"/>
    <mergeCell ref="MZM24:MZN24"/>
    <mergeCell ref="MZO24:MZP24"/>
    <mergeCell ref="MZQ24:MZR24"/>
    <mergeCell ref="MZS24:MZT24"/>
    <mergeCell ref="MZA24:MZB24"/>
    <mergeCell ref="MZC24:MZD24"/>
    <mergeCell ref="MZE24:MZF24"/>
    <mergeCell ref="MZG24:MZH24"/>
    <mergeCell ref="MZI24:MZJ24"/>
    <mergeCell ref="MYQ24:MYR24"/>
    <mergeCell ref="MYS24:MYT24"/>
    <mergeCell ref="MYU24:MYV24"/>
    <mergeCell ref="MYW24:MYX24"/>
    <mergeCell ref="MYY24:MYZ24"/>
    <mergeCell ref="MYG24:MYH24"/>
    <mergeCell ref="MYI24:MYJ24"/>
    <mergeCell ref="MYK24:MYL24"/>
    <mergeCell ref="MYM24:MYN24"/>
    <mergeCell ref="MYO24:MYP24"/>
    <mergeCell ref="NAY24:NAZ24"/>
    <mergeCell ref="NBA24:NBB24"/>
    <mergeCell ref="NBC24:NBD24"/>
    <mergeCell ref="NBE24:NBF24"/>
    <mergeCell ref="NBG24:NBH24"/>
    <mergeCell ref="NAO24:NAP24"/>
    <mergeCell ref="NAQ24:NAR24"/>
    <mergeCell ref="NAS24:NAT24"/>
    <mergeCell ref="NAU24:NAV24"/>
    <mergeCell ref="NAW24:NAX24"/>
    <mergeCell ref="NAE24:NAF24"/>
    <mergeCell ref="NAG24:NAH24"/>
    <mergeCell ref="NAI24:NAJ24"/>
    <mergeCell ref="NAK24:NAL24"/>
    <mergeCell ref="NAM24:NAN24"/>
    <mergeCell ref="MZU24:MZV24"/>
    <mergeCell ref="MZW24:MZX24"/>
    <mergeCell ref="MZY24:MZZ24"/>
    <mergeCell ref="NAA24:NAB24"/>
    <mergeCell ref="NAC24:NAD24"/>
    <mergeCell ref="NCM24:NCN24"/>
    <mergeCell ref="NCO24:NCP24"/>
    <mergeCell ref="NCQ24:NCR24"/>
    <mergeCell ref="NCS24:NCT24"/>
    <mergeCell ref="NCU24:NCV24"/>
    <mergeCell ref="NCC24:NCD24"/>
    <mergeCell ref="NCE24:NCF24"/>
    <mergeCell ref="NCG24:NCH24"/>
    <mergeCell ref="NCI24:NCJ24"/>
    <mergeCell ref="NCK24:NCL24"/>
    <mergeCell ref="NBS24:NBT24"/>
    <mergeCell ref="NBU24:NBV24"/>
    <mergeCell ref="NBW24:NBX24"/>
    <mergeCell ref="NBY24:NBZ24"/>
    <mergeCell ref="NCA24:NCB24"/>
    <mergeCell ref="NBI24:NBJ24"/>
    <mergeCell ref="NBK24:NBL24"/>
    <mergeCell ref="NBM24:NBN24"/>
    <mergeCell ref="NBO24:NBP24"/>
    <mergeCell ref="NBQ24:NBR24"/>
    <mergeCell ref="NEA24:NEB24"/>
    <mergeCell ref="NEC24:NED24"/>
    <mergeCell ref="NEE24:NEF24"/>
    <mergeCell ref="NEG24:NEH24"/>
    <mergeCell ref="NEI24:NEJ24"/>
    <mergeCell ref="NDQ24:NDR24"/>
    <mergeCell ref="NDS24:NDT24"/>
    <mergeCell ref="NDU24:NDV24"/>
    <mergeCell ref="NDW24:NDX24"/>
    <mergeCell ref="NDY24:NDZ24"/>
    <mergeCell ref="NDG24:NDH24"/>
    <mergeCell ref="NDI24:NDJ24"/>
    <mergeCell ref="NDK24:NDL24"/>
    <mergeCell ref="NDM24:NDN24"/>
    <mergeCell ref="NDO24:NDP24"/>
    <mergeCell ref="NCW24:NCX24"/>
    <mergeCell ref="NCY24:NCZ24"/>
    <mergeCell ref="NDA24:NDB24"/>
    <mergeCell ref="NDC24:NDD24"/>
    <mergeCell ref="NDE24:NDF24"/>
    <mergeCell ref="NFO24:NFP24"/>
    <mergeCell ref="NFQ24:NFR24"/>
    <mergeCell ref="NFS24:NFT24"/>
    <mergeCell ref="NFU24:NFV24"/>
    <mergeCell ref="NFW24:NFX24"/>
    <mergeCell ref="NFE24:NFF24"/>
    <mergeCell ref="NFG24:NFH24"/>
    <mergeCell ref="NFI24:NFJ24"/>
    <mergeCell ref="NFK24:NFL24"/>
    <mergeCell ref="NFM24:NFN24"/>
    <mergeCell ref="NEU24:NEV24"/>
    <mergeCell ref="NEW24:NEX24"/>
    <mergeCell ref="NEY24:NEZ24"/>
    <mergeCell ref="NFA24:NFB24"/>
    <mergeCell ref="NFC24:NFD24"/>
    <mergeCell ref="NEK24:NEL24"/>
    <mergeCell ref="NEM24:NEN24"/>
    <mergeCell ref="NEO24:NEP24"/>
    <mergeCell ref="NEQ24:NER24"/>
    <mergeCell ref="NES24:NET24"/>
    <mergeCell ref="NHC24:NHD24"/>
    <mergeCell ref="NHE24:NHF24"/>
    <mergeCell ref="NHG24:NHH24"/>
    <mergeCell ref="NHI24:NHJ24"/>
    <mergeCell ref="NHK24:NHL24"/>
    <mergeCell ref="NGS24:NGT24"/>
    <mergeCell ref="NGU24:NGV24"/>
    <mergeCell ref="NGW24:NGX24"/>
    <mergeCell ref="NGY24:NGZ24"/>
    <mergeCell ref="NHA24:NHB24"/>
    <mergeCell ref="NGI24:NGJ24"/>
    <mergeCell ref="NGK24:NGL24"/>
    <mergeCell ref="NGM24:NGN24"/>
    <mergeCell ref="NGO24:NGP24"/>
    <mergeCell ref="NGQ24:NGR24"/>
    <mergeCell ref="NFY24:NFZ24"/>
    <mergeCell ref="NGA24:NGB24"/>
    <mergeCell ref="NGC24:NGD24"/>
    <mergeCell ref="NGE24:NGF24"/>
    <mergeCell ref="NGG24:NGH24"/>
    <mergeCell ref="NIQ24:NIR24"/>
    <mergeCell ref="NIS24:NIT24"/>
    <mergeCell ref="NIU24:NIV24"/>
    <mergeCell ref="NIW24:NIX24"/>
    <mergeCell ref="NIY24:NIZ24"/>
    <mergeCell ref="NIG24:NIH24"/>
    <mergeCell ref="NII24:NIJ24"/>
    <mergeCell ref="NIK24:NIL24"/>
    <mergeCell ref="NIM24:NIN24"/>
    <mergeCell ref="NIO24:NIP24"/>
    <mergeCell ref="NHW24:NHX24"/>
    <mergeCell ref="NHY24:NHZ24"/>
    <mergeCell ref="NIA24:NIB24"/>
    <mergeCell ref="NIC24:NID24"/>
    <mergeCell ref="NIE24:NIF24"/>
    <mergeCell ref="NHM24:NHN24"/>
    <mergeCell ref="NHO24:NHP24"/>
    <mergeCell ref="NHQ24:NHR24"/>
    <mergeCell ref="NHS24:NHT24"/>
    <mergeCell ref="NHU24:NHV24"/>
    <mergeCell ref="NKE24:NKF24"/>
    <mergeCell ref="NKG24:NKH24"/>
    <mergeCell ref="NKI24:NKJ24"/>
    <mergeCell ref="NKK24:NKL24"/>
    <mergeCell ref="NKM24:NKN24"/>
    <mergeCell ref="NJU24:NJV24"/>
    <mergeCell ref="NJW24:NJX24"/>
    <mergeCell ref="NJY24:NJZ24"/>
    <mergeCell ref="NKA24:NKB24"/>
    <mergeCell ref="NKC24:NKD24"/>
    <mergeCell ref="NJK24:NJL24"/>
    <mergeCell ref="NJM24:NJN24"/>
    <mergeCell ref="NJO24:NJP24"/>
    <mergeCell ref="NJQ24:NJR24"/>
    <mergeCell ref="NJS24:NJT24"/>
    <mergeCell ref="NJA24:NJB24"/>
    <mergeCell ref="NJC24:NJD24"/>
    <mergeCell ref="NJE24:NJF24"/>
    <mergeCell ref="NJG24:NJH24"/>
    <mergeCell ref="NJI24:NJJ24"/>
    <mergeCell ref="NLS24:NLT24"/>
    <mergeCell ref="NLU24:NLV24"/>
    <mergeCell ref="NLW24:NLX24"/>
    <mergeCell ref="NLY24:NLZ24"/>
    <mergeCell ref="NMA24:NMB24"/>
    <mergeCell ref="NLI24:NLJ24"/>
    <mergeCell ref="NLK24:NLL24"/>
    <mergeCell ref="NLM24:NLN24"/>
    <mergeCell ref="NLO24:NLP24"/>
    <mergeCell ref="NLQ24:NLR24"/>
    <mergeCell ref="NKY24:NKZ24"/>
    <mergeCell ref="NLA24:NLB24"/>
    <mergeCell ref="NLC24:NLD24"/>
    <mergeCell ref="NLE24:NLF24"/>
    <mergeCell ref="NLG24:NLH24"/>
    <mergeCell ref="NKO24:NKP24"/>
    <mergeCell ref="NKQ24:NKR24"/>
    <mergeCell ref="NKS24:NKT24"/>
    <mergeCell ref="NKU24:NKV24"/>
    <mergeCell ref="NKW24:NKX24"/>
    <mergeCell ref="NNG24:NNH24"/>
    <mergeCell ref="NNI24:NNJ24"/>
    <mergeCell ref="NNK24:NNL24"/>
    <mergeCell ref="NNM24:NNN24"/>
    <mergeCell ref="NNO24:NNP24"/>
    <mergeCell ref="NMW24:NMX24"/>
    <mergeCell ref="NMY24:NMZ24"/>
    <mergeCell ref="NNA24:NNB24"/>
    <mergeCell ref="NNC24:NND24"/>
    <mergeCell ref="NNE24:NNF24"/>
    <mergeCell ref="NMM24:NMN24"/>
    <mergeCell ref="NMO24:NMP24"/>
    <mergeCell ref="NMQ24:NMR24"/>
    <mergeCell ref="NMS24:NMT24"/>
    <mergeCell ref="NMU24:NMV24"/>
    <mergeCell ref="NMC24:NMD24"/>
    <mergeCell ref="NME24:NMF24"/>
    <mergeCell ref="NMG24:NMH24"/>
    <mergeCell ref="NMI24:NMJ24"/>
    <mergeCell ref="NMK24:NML24"/>
    <mergeCell ref="NOU24:NOV24"/>
    <mergeCell ref="NOW24:NOX24"/>
    <mergeCell ref="NOY24:NOZ24"/>
    <mergeCell ref="NPA24:NPB24"/>
    <mergeCell ref="NPC24:NPD24"/>
    <mergeCell ref="NOK24:NOL24"/>
    <mergeCell ref="NOM24:NON24"/>
    <mergeCell ref="NOO24:NOP24"/>
    <mergeCell ref="NOQ24:NOR24"/>
    <mergeCell ref="NOS24:NOT24"/>
    <mergeCell ref="NOA24:NOB24"/>
    <mergeCell ref="NOC24:NOD24"/>
    <mergeCell ref="NOE24:NOF24"/>
    <mergeCell ref="NOG24:NOH24"/>
    <mergeCell ref="NOI24:NOJ24"/>
    <mergeCell ref="NNQ24:NNR24"/>
    <mergeCell ref="NNS24:NNT24"/>
    <mergeCell ref="NNU24:NNV24"/>
    <mergeCell ref="NNW24:NNX24"/>
    <mergeCell ref="NNY24:NNZ24"/>
    <mergeCell ref="NQI24:NQJ24"/>
    <mergeCell ref="NQK24:NQL24"/>
    <mergeCell ref="NQM24:NQN24"/>
    <mergeCell ref="NQO24:NQP24"/>
    <mergeCell ref="NQQ24:NQR24"/>
    <mergeCell ref="NPY24:NPZ24"/>
    <mergeCell ref="NQA24:NQB24"/>
    <mergeCell ref="NQC24:NQD24"/>
    <mergeCell ref="NQE24:NQF24"/>
    <mergeCell ref="NQG24:NQH24"/>
    <mergeCell ref="NPO24:NPP24"/>
    <mergeCell ref="NPQ24:NPR24"/>
    <mergeCell ref="NPS24:NPT24"/>
    <mergeCell ref="NPU24:NPV24"/>
    <mergeCell ref="NPW24:NPX24"/>
    <mergeCell ref="NPE24:NPF24"/>
    <mergeCell ref="NPG24:NPH24"/>
    <mergeCell ref="NPI24:NPJ24"/>
    <mergeCell ref="NPK24:NPL24"/>
    <mergeCell ref="NPM24:NPN24"/>
    <mergeCell ref="NRW24:NRX24"/>
    <mergeCell ref="NRY24:NRZ24"/>
    <mergeCell ref="NSA24:NSB24"/>
    <mergeCell ref="NSC24:NSD24"/>
    <mergeCell ref="NSE24:NSF24"/>
    <mergeCell ref="NRM24:NRN24"/>
    <mergeCell ref="NRO24:NRP24"/>
    <mergeCell ref="NRQ24:NRR24"/>
    <mergeCell ref="NRS24:NRT24"/>
    <mergeCell ref="NRU24:NRV24"/>
    <mergeCell ref="NRC24:NRD24"/>
    <mergeCell ref="NRE24:NRF24"/>
    <mergeCell ref="NRG24:NRH24"/>
    <mergeCell ref="NRI24:NRJ24"/>
    <mergeCell ref="NRK24:NRL24"/>
    <mergeCell ref="NQS24:NQT24"/>
    <mergeCell ref="NQU24:NQV24"/>
    <mergeCell ref="NQW24:NQX24"/>
    <mergeCell ref="NQY24:NQZ24"/>
    <mergeCell ref="NRA24:NRB24"/>
    <mergeCell ref="NTK24:NTL24"/>
    <mergeCell ref="NTM24:NTN24"/>
    <mergeCell ref="NTO24:NTP24"/>
    <mergeCell ref="NTQ24:NTR24"/>
    <mergeCell ref="NTS24:NTT24"/>
    <mergeCell ref="NTA24:NTB24"/>
    <mergeCell ref="NTC24:NTD24"/>
    <mergeCell ref="NTE24:NTF24"/>
    <mergeCell ref="NTG24:NTH24"/>
    <mergeCell ref="NTI24:NTJ24"/>
    <mergeCell ref="NSQ24:NSR24"/>
    <mergeCell ref="NSS24:NST24"/>
    <mergeCell ref="NSU24:NSV24"/>
    <mergeCell ref="NSW24:NSX24"/>
    <mergeCell ref="NSY24:NSZ24"/>
    <mergeCell ref="NSG24:NSH24"/>
    <mergeCell ref="NSI24:NSJ24"/>
    <mergeCell ref="NSK24:NSL24"/>
    <mergeCell ref="NSM24:NSN24"/>
    <mergeCell ref="NSO24:NSP24"/>
    <mergeCell ref="NUY24:NUZ24"/>
    <mergeCell ref="NVA24:NVB24"/>
    <mergeCell ref="NVC24:NVD24"/>
    <mergeCell ref="NVE24:NVF24"/>
    <mergeCell ref="NVG24:NVH24"/>
    <mergeCell ref="NUO24:NUP24"/>
    <mergeCell ref="NUQ24:NUR24"/>
    <mergeCell ref="NUS24:NUT24"/>
    <mergeCell ref="NUU24:NUV24"/>
    <mergeCell ref="NUW24:NUX24"/>
    <mergeCell ref="NUE24:NUF24"/>
    <mergeCell ref="NUG24:NUH24"/>
    <mergeCell ref="NUI24:NUJ24"/>
    <mergeCell ref="NUK24:NUL24"/>
    <mergeCell ref="NUM24:NUN24"/>
    <mergeCell ref="NTU24:NTV24"/>
    <mergeCell ref="NTW24:NTX24"/>
    <mergeCell ref="NTY24:NTZ24"/>
    <mergeCell ref="NUA24:NUB24"/>
    <mergeCell ref="NUC24:NUD24"/>
    <mergeCell ref="NWM24:NWN24"/>
    <mergeCell ref="NWO24:NWP24"/>
    <mergeCell ref="NWQ24:NWR24"/>
    <mergeCell ref="NWS24:NWT24"/>
    <mergeCell ref="NWU24:NWV24"/>
    <mergeCell ref="NWC24:NWD24"/>
    <mergeCell ref="NWE24:NWF24"/>
    <mergeCell ref="NWG24:NWH24"/>
    <mergeCell ref="NWI24:NWJ24"/>
    <mergeCell ref="NWK24:NWL24"/>
    <mergeCell ref="NVS24:NVT24"/>
    <mergeCell ref="NVU24:NVV24"/>
    <mergeCell ref="NVW24:NVX24"/>
    <mergeCell ref="NVY24:NVZ24"/>
    <mergeCell ref="NWA24:NWB24"/>
    <mergeCell ref="NVI24:NVJ24"/>
    <mergeCell ref="NVK24:NVL24"/>
    <mergeCell ref="NVM24:NVN24"/>
    <mergeCell ref="NVO24:NVP24"/>
    <mergeCell ref="NVQ24:NVR24"/>
    <mergeCell ref="NYA24:NYB24"/>
    <mergeCell ref="NYC24:NYD24"/>
    <mergeCell ref="NYE24:NYF24"/>
    <mergeCell ref="NYG24:NYH24"/>
    <mergeCell ref="NYI24:NYJ24"/>
    <mergeCell ref="NXQ24:NXR24"/>
    <mergeCell ref="NXS24:NXT24"/>
    <mergeCell ref="NXU24:NXV24"/>
    <mergeCell ref="NXW24:NXX24"/>
    <mergeCell ref="NXY24:NXZ24"/>
    <mergeCell ref="NXG24:NXH24"/>
    <mergeCell ref="NXI24:NXJ24"/>
    <mergeCell ref="NXK24:NXL24"/>
    <mergeCell ref="NXM24:NXN24"/>
    <mergeCell ref="NXO24:NXP24"/>
    <mergeCell ref="NWW24:NWX24"/>
    <mergeCell ref="NWY24:NWZ24"/>
    <mergeCell ref="NXA24:NXB24"/>
    <mergeCell ref="NXC24:NXD24"/>
    <mergeCell ref="NXE24:NXF24"/>
    <mergeCell ref="NZO24:NZP24"/>
    <mergeCell ref="NZQ24:NZR24"/>
    <mergeCell ref="NZS24:NZT24"/>
    <mergeCell ref="NZU24:NZV24"/>
    <mergeCell ref="NZW24:NZX24"/>
    <mergeCell ref="NZE24:NZF24"/>
    <mergeCell ref="NZG24:NZH24"/>
    <mergeCell ref="NZI24:NZJ24"/>
    <mergeCell ref="NZK24:NZL24"/>
    <mergeCell ref="NZM24:NZN24"/>
    <mergeCell ref="NYU24:NYV24"/>
    <mergeCell ref="NYW24:NYX24"/>
    <mergeCell ref="NYY24:NYZ24"/>
    <mergeCell ref="NZA24:NZB24"/>
    <mergeCell ref="NZC24:NZD24"/>
    <mergeCell ref="NYK24:NYL24"/>
    <mergeCell ref="NYM24:NYN24"/>
    <mergeCell ref="NYO24:NYP24"/>
    <mergeCell ref="NYQ24:NYR24"/>
    <mergeCell ref="NYS24:NYT24"/>
    <mergeCell ref="OBC24:OBD24"/>
    <mergeCell ref="OBE24:OBF24"/>
    <mergeCell ref="OBG24:OBH24"/>
    <mergeCell ref="OBI24:OBJ24"/>
    <mergeCell ref="OBK24:OBL24"/>
    <mergeCell ref="OAS24:OAT24"/>
    <mergeCell ref="OAU24:OAV24"/>
    <mergeCell ref="OAW24:OAX24"/>
    <mergeCell ref="OAY24:OAZ24"/>
    <mergeCell ref="OBA24:OBB24"/>
    <mergeCell ref="OAI24:OAJ24"/>
    <mergeCell ref="OAK24:OAL24"/>
    <mergeCell ref="OAM24:OAN24"/>
    <mergeCell ref="OAO24:OAP24"/>
    <mergeCell ref="OAQ24:OAR24"/>
    <mergeCell ref="NZY24:NZZ24"/>
    <mergeCell ref="OAA24:OAB24"/>
    <mergeCell ref="OAC24:OAD24"/>
    <mergeCell ref="OAE24:OAF24"/>
    <mergeCell ref="OAG24:OAH24"/>
    <mergeCell ref="OCQ24:OCR24"/>
    <mergeCell ref="OCS24:OCT24"/>
    <mergeCell ref="OCU24:OCV24"/>
    <mergeCell ref="OCW24:OCX24"/>
    <mergeCell ref="OCY24:OCZ24"/>
    <mergeCell ref="OCG24:OCH24"/>
    <mergeCell ref="OCI24:OCJ24"/>
    <mergeCell ref="OCK24:OCL24"/>
    <mergeCell ref="OCM24:OCN24"/>
    <mergeCell ref="OCO24:OCP24"/>
    <mergeCell ref="OBW24:OBX24"/>
    <mergeCell ref="OBY24:OBZ24"/>
    <mergeCell ref="OCA24:OCB24"/>
    <mergeCell ref="OCC24:OCD24"/>
    <mergeCell ref="OCE24:OCF24"/>
    <mergeCell ref="OBM24:OBN24"/>
    <mergeCell ref="OBO24:OBP24"/>
    <mergeCell ref="OBQ24:OBR24"/>
    <mergeCell ref="OBS24:OBT24"/>
    <mergeCell ref="OBU24:OBV24"/>
    <mergeCell ref="OEE24:OEF24"/>
    <mergeCell ref="OEG24:OEH24"/>
    <mergeCell ref="OEI24:OEJ24"/>
    <mergeCell ref="OEK24:OEL24"/>
    <mergeCell ref="OEM24:OEN24"/>
    <mergeCell ref="ODU24:ODV24"/>
    <mergeCell ref="ODW24:ODX24"/>
    <mergeCell ref="ODY24:ODZ24"/>
    <mergeCell ref="OEA24:OEB24"/>
    <mergeCell ref="OEC24:OED24"/>
    <mergeCell ref="ODK24:ODL24"/>
    <mergeCell ref="ODM24:ODN24"/>
    <mergeCell ref="ODO24:ODP24"/>
    <mergeCell ref="ODQ24:ODR24"/>
    <mergeCell ref="ODS24:ODT24"/>
    <mergeCell ref="ODA24:ODB24"/>
    <mergeCell ref="ODC24:ODD24"/>
    <mergeCell ref="ODE24:ODF24"/>
    <mergeCell ref="ODG24:ODH24"/>
    <mergeCell ref="ODI24:ODJ24"/>
    <mergeCell ref="OFS24:OFT24"/>
    <mergeCell ref="OFU24:OFV24"/>
    <mergeCell ref="OFW24:OFX24"/>
    <mergeCell ref="OFY24:OFZ24"/>
    <mergeCell ref="OGA24:OGB24"/>
    <mergeCell ref="OFI24:OFJ24"/>
    <mergeCell ref="OFK24:OFL24"/>
    <mergeCell ref="OFM24:OFN24"/>
    <mergeCell ref="OFO24:OFP24"/>
    <mergeCell ref="OFQ24:OFR24"/>
    <mergeCell ref="OEY24:OEZ24"/>
    <mergeCell ref="OFA24:OFB24"/>
    <mergeCell ref="OFC24:OFD24"/>
    <mergeCell ref="OFE24:OFF24"/>
    <mergeCell ref="OFG24:OFH24"/>
    <mergeCell ref="OEO24:OEP24"/>
    <mergeCell ref="OEQ24:OER24"/>
    <mergeCell ref="OES24:OET24"/>
    <mergeCell ref="OEU24:OEV24"/>
    <mergeCell ref="OEW24:OEX24"/>
    <mergeCell ref="OHG24:OHH24"/>
    <mergeCell ref="OHI24:OHJ24"/>
    <mergeCell ref="OHK24:OHL24"/>
    <mergeCell ref="OHM24:OHN24"/>
    <mergeCell ref="OHO24:OHP24"/>
    <mergeCell ref="OGW24:OGX24"/>
    <mergeCell ref="OGY24:OGZ24"/>
    <mergeCell ref="OHA24:OHB24"/>
    <mergeCell ref="OHC24:OHD24"/>
    <mergeCell ref="OHE24:OHF24"/>
    <mergeCell ref="OGM24:OGN24"/>
    <mergeCell ref="OGO24:OGP24"/>
    <mergeCell ref="OGQ24:OGR24"/>
    <mergeCell ref="OGS24:OGT24"/>
    <mergeCell ref="OGU24:OGV24"/>
    <mergeCell ref="OGC24:OGD24"/>
    <mergeCell ref="OGE24:OGF24"/>
    <mergeCell ref="OGG24:OGH24"/>
    <mergeCell ref="OGI24:OGJ24"/>
    <mergeCell ref="OGK24:OGL24"/>
    <mergeCell ref="OIU24:OIV24"/>
    <mergeCell ref="OIW24:OIX24"/>
    <mergeCell ref="OIY24:OIZ24"/>
    <mergeCell ref="OJA24:OJB24"/>
    <mergeCell ref="OJC24:OJD24"/>
    <mergeCell ref="OIK24:OIL24"/>
    <mergeCell ref="OIM24:OIN24"/>
    <mergeCell ref="OIO24:OIP24"/>
    <mergeCell ref="OIQ24:OIR24"/>
    <mergeCell ref="OIS24:OIT24"/>
    <mergeCell ref="OIA24:OIB24"/>
    <mergeCell ref="OIC24:OID24"/>
    <mergeCell ref="OIE24:OIF24"/>
    <mergeCell ref="OIG24:OIH24"/>
    <mergeCell ref="OII24:OIJ24"/>
    <mergeCell ref="OHQ24:OHR24"/>
    <mergeCell ref="OHS24:OHT24"/>
    <mergeCell ref="OHU24:OHV24"/>
    <mergeCell ref="OHW24:OHX24"/>
    <mergeCell ref="OHY24:OHZ24"/>
    <mergeCell ref="OKI24:OKJ24"/>
    <mergeCell ref="OKK24:OKL24"/>
    <mergeCell ref="OKM24:OKN24"/>
    <mergeCell ref="OKO24:OKP24"/>
    <mergeCell ref="OKQ24:OKR24"/>
    <mergeCell ref="OJY24:OJZ24"/>
    <mergeCell ref="OKA24:OKB24"/>
    <mergeCell ref="OKC24:OKD24"/>
    <mergeCell ref="OKE24:OKF24"/>
    <mergeCell ref="OKG24:OKH24"/>
    <mergeCell ref="OJO24:OJP24"/>
    <mergeCell ref="OJQ24:OJR24"/>
    <mergeCell ref="OJS24:OJT24"/>
    <mergeCell ref="OJU24:OJV24"/>
    <mergeCell ref="OJW24:OJX24"/>
    <mergeCell ref="OJE24:OJF24"/>
    <mergeCell ref="OJG24:OJH24"/>
    <mergeCell ref="OJI24:OJJ24"/>
    <mergeCell ref="OJK24:OJL24"/>
    <mergeCell ref="OJM24:OJN24"/>
    <mergeCell ref="OLW24:OLX24"/>
    <mergeCell ref="OLY24:OLZ24"/>
    <mergeCell ref="OMA24:OMB24"/>
    <mergeCell ref="OMC24:OMD24"/>
    <mergeCell ref="OME24:OMF24"/>
    <mergeCell ref="OLM24:OLN24"/>
    <mergeCell ref="OLO24:OLP24"/>
    <mergeCell ref="OLQ24:OLR24"/>
    <mergeCell ref="OLS24:OLT24"/>
    <mergeCell ref="OLU24:OLV24"/>
    <mergeCell ref="OLC24:OLD24"/>
    <mergeCell ref="OLE24:OLF24"/>
    <mergeCell ref="OLG24:OLH24"/>
    <mergeCell ref="OLI24:OLJ24"/>
    <mergeCell ref="OLK24:OLL24"/>
    <mergeCell ref="OKS24:OKT24"/>
    <mergeCell ref="OKU24:OKV24"/>
    <mergeCell ref="OKW24:OKX24"/>
    <mergeCell ref="OKY24:OKZ24"/>
    <mergeCell ref="OLA24:OLB24"/>
    <mergeCell ref="ONK24:ONL24"/>
    <mergeCell ref="ONM24:ONN24"/>
    <mergeCell ref="ONO24:ONP24"/>
    <mergeCell ref="ONQ24:ONR24"/>
    <mergeCell ref="ONS24:ONT24"/>
    <mergeCell ref="ONA24:ONB24"/>
    <mergeCell ref="ONC24:OND24"/>
    <mergeCell ref="ONE24:ONF24"/>
    <mergeCell ref="ONG24:ONH24"/>
    <mergeCell ref="ONI24:ONJ24"/>
    <mergeCell ref="OMQ24:OMR24"/>
    <mergeCell ref="OMS24:OMT24"/>
    <mergeCell ref="OMU24:OMV24"/>
    <mergeCell ref="OMW24:OMX24"/>
    <mergeCell ref="OMY24:OMZ24"/>
    <mergeCell ref="OMG24:OMH24"/>
    <mergeCell ref="OMI24:OMJ24"/>
    <mergeCell ref="OMK24:OML24"/>
    <mergeCell ref="OMM24:OMN24"/>
    <mergeCell ref="OMO24:OMP24"/>
    <mergeCell ref="OOY24:OOZ24"/>
    <mergeCell ref="OPA24:OPB24"/>
    <mergeCell ref="OPC24:OPD24"/>
    <mergeCell ref="OPE24:OPF24"/>
    <mergeCell ref="OPG24:OPH24"/>
    <mergeCell ref="OOO24:OOP24"/>
    <mergeCell ref="OOQ24:OOR24"/>
    <mergeCell ref="OOS24:OOT24"/>
    <mergeCell ref="OOU24:OOV24"/>
    <mergeCell ref="OOW24:OOX24"/>
    <mergeCell ref="OOE24:OOF24"/>
    <mergeCell ref="OOG24:OOH24"/>
    <mergeCell ref="OOI24:OOJ24"/>
    <mergeCell ref="OOK24:OOL24"/>
    <mergeCell ref="OOM24:OON24"/>
    <mergeCell ref="ONU24:ONV24"/>
    <mergeCell ref="ONW24:ONX24"/>
    <mergeCell ref="ONY24:ONZ24"/>
    <mergeCell ref="OOA24:OOB24"/>
    <mergeCell ref="OOC24:OOD24"/>
    <mergeCell ref="OQM24:OQN24"/>
    <mergeCell ref="OQO24:OQP24"/>
    <mergeCell ref="OQQ24:OQR24"/>
    <mergeCell ref="OQS24:OQT24"/>
    <mergeCell ref="OQU24:OQV24"/>
    <mergeCell ref="OQC24:OQD24"/>
    <mergeCell ref="OQE24:OQF24"/>
    <mergeCell ref="OQG24:OQH24"/>
    <mergeCell ref="OQI24:OQJ24"/>
    <mergeCell ref="OQK24:OQL24"/>
    <mergeCell ref="OPS24:OPT24"/>
    <mergeCell ref="OPU24:OPV24"/>
    <mergeCell ref="OPW24:OPX24"/>
    <mergeCell ref="OPY24:OPZ24"/>
    <mergeCell ref="OQA24:OQB24"/>
    <mergeCell ref="OPI24:OPJ24"/>
    <mergeCell ref="OPK24:OPL24"/>
    <mergeCell ref="OPM24:OPN24"/>
    <mergeCell ref="OPO24:OPP24"/>
    <mergeCell ref="OPQ24:OPR24"/>
    <mergeCell ref="OSA24:OSB24"/>
    <mergeCell ref="OSC24:OSD24"/>
    <mergeCell ref="OSE24:OSF24"/>
    <mergeCell ref="OSG24:OSH24"/>
    <mergeCell ref="OSI24:OSJ24"/>
    <mergeCell ref="ORQ24:ORR24"/>
    <mergeCell ref="ORS24:ORT24"/>
    <mergeCell ref="ORU24:ORV24"/>
    <mergeCell ref="ORW24:ORX24"/>
    <mergeCell ref="ORY24:ORZ24"/>
    <mergeCell ref="ORG24:ORH24"/>
    <mergeCell ref="ORI24:ORJ24"/>
    <mergeCell ref="ORK24:ORL24"/>
    <mergeCell ref="ORM24:ORN24"/>
    <mergeCell ref="ORO24:ORP24"/>
    <mergeCell ref="OQW24:OQX24"/>
    <mergeCell ref="OQY24:OQZ24"/>
    <mergeCell ref="ORA24:ORB24"/>
    <mergeCell ref="ORC24:ORD24"/>
    <mergeCell ref="ORE24:ORF24"/>
    <mergeCell ref="OTO24:OTP24"/>
    <mergeCell ref="OTQ24:OTR24"/>
    <mergeCell ref="OTS24:OTT24"/>
    <mergeCell ref="OTU24:OTV24"/>
    <mergeCell ref="OTW24:OTX24"/>
    <mergeCell ref="OTE24:OTF24"/>
    <mergeCell ref="OTG24:OTH24"/>
    <mergeCell ref="OTI24:OTJ24"/>
    <mergeCell ref="OTK24:OTL24"/>
    <mergeCell ref="OTM24:OTN24"/>
    <mergeCell ref="OSU24:OSV24"/>
    <mergeCell ref="OSW24:OSX24"/>
    <mergeCell ref="OSY24:OSZ24"/>
    <mergeCell ref="OTA24:OTB24"/>
    <mergeCell ref="OTC24:OTD24"/>
    <mergeCell ref="OSK24:OSL24"/>
    <mergeCell ref="OSM24:OSN24"/>
    <mergeCell ref="OSO24:OSP24"/>
    <mergeCell ref="OSQ24:OSR24"/>
    <mergeCell ref="OSS24:OST24"/>
    <mergeCell ref="OVC24:OVD24"/>
    <mergeCell ref="OVE24:OVF24"/>
    <mergeCell ref="OVG24:OVH24"/>
    <mergeCell ref="OVI24:OVJ24"/>
    <mergeCell ref="OVK24:OVL24"/>
    <mergeCell ref="OUS24:OUT24"/>
    <mergeCell ref="OUU24:OUV24"/>
    <mergeCell ref="OUW24:OUX24"/>
    <mergeCell ref="OUY24:OUZ24"/>
    <mergeCell ref="OVA24:OVB24"/>
    <mergeCell ref="OUI24:OUJ24"/>
    <mergeCell ref="OUK24:OUL24"/>
    <mergeCell ref="OUM24:OUN24"/>
    <mergeCell ref="OUO24:OUP24"/>
    <mergeCell ref="OUQ24:OUR24"/>
    <mergeCell ref="OTY24:OTZ24"/>
    <mergeCell ref="OUA24:OUB24"/>
    <mergeCell ref="OUC24:OUD24"/>
    <mergeCell ref="OUE24:OUF24"/>
    <mergeCell ref="OUG24:OUH24"/>
    <mergeCell ref="OWQ24:OWR24"/>
    <mergeCell ref="OWS24:OWT24"/>
    <mergeCell ref="OWU24:OWV24"/>
    <mergeCell ref="OWW24:OWX24"/>
    <mergeCell ref="OWY24:OWZ24"/>
    <mergeCell ref="OWG24:OWH24"/>
    <mergeCell ref="OWI24:OWJ24"/>
    <mergeCell ref="OWK24:OWL24"/>
    <mergeCell ref="OWM24:OWN24"/>
    <mergeCell ref="OWO24:OWP24"/>
    <mergeCell ref="OVW24:OVX24"/>
    <mergeCell ref="OVY24:OVZ24"/>
    <mergeCell ref="OWA24:OWB24"/>
    <mergeCell ref="OWC24:OWD24"/>
    <mergeCell ref="OWE24:OWF24"/>
    <mergeCell ref="OVM24:OVN24"/>
    <mergeCell ref="OVO24:OVP24"/>
    <mergeCell ref="OVQ24:OVR24"/>
    <mergeCell ref="OVS24:OVT24"/>
    <mergeCell ref="OVU24:OVV24"/>
    <mergeCell ref="OYE24:OYF24"/>
    <mergeCell ref="OYG24:OYH24"/>
    <mergeCell ref="OYI24:OYJ24"/>
    <mergeCell ref="OYK24:OYL24"/>
    <mergeCell ref="OYM24:OYN24"/>
    <mergeCell ref="OXU24:OXV24"/>
    <mergeCell ref="OXW24:OXX24"/>
    <mergeCell ref="OXY24:OXZ24"/>
    <mergeCell ref="OYA24:OYB24"/>
    <mergeCell ref="OYC24:OYD24"/>
    <mergeCell ref="OXK24:OXL24"/>
    <mergeCell ref="OXM24:OXN24"/>
    <mergeCell ref="OXO24:OXP24"/>
    <mergeCell ref="OXQ24:OXR24"/>
    <mergeCell ref="OXS24:OXT24"/>
    <mergeCell ref="OXA24:OXB24"/>
    <mergeCell ref="OXC24:OXD24"/>
    <mergeCell ref="OXE24:OXF24"/>
    <mergeCell ref="OXG24:OXH24"/>
    <mergeCell ref="OXI24:OXJ24"/>
    <mergeCell ref="OZS24:OZT24"/>
    <mergeCell ref="OZU24:OZV24"/>
    <mergeCell ref="OZW24:OZX24"/>
    <mergeCell ref="OZY24:OZZ24"/>
    <mergeCell ref="PAA24:PAB24"/>
    <mergeCell ref="OZI24:OZJ24"/>
    <mergeCell ref="OZK24:OZL24"/>
    <mergeCell ref="OZM24:OZN24"/>
    <mergeCell ref="OZO24:OZP24"/>
    <mergeCell ref="OZQ24:OZR24"/>
    <mergeCell ref="OYY24:OYZ24"/>
    <mergeCell ref="OZA24:OZB24"/>
    <mergeCell ref="OZC24:OZD24"/>
    <mergeCell ref="OZE24:OZF24"/>
    <mergeCell ref="OZG24:OZH24"/>
    <mergeCell ref="OYO24:OYP24"/>
    <mergeCell ref="OYQ24:OYR24"/>
    <mergeCell ref="OYS24:OYT24"/>
    <mergeCell ref="OYU24:OYV24"/>
    <mergeCell ref="OYW24:OYX24"/>
    <mergeCell ref="PBG24:PBH24"/>
    <mergeCell ref="PBI24:PBJ24"/>
    <mergeCell ref="PBK24:PBL24"/>
    <mergeCell ref="PBM24:PBN24"/>
    <mergeCell ref="PBO24:PBP24"/>
    <mergeCell ref="PAW24:PAX24"/>
    <mergeCell ref="PAY24:PAZ24"/>
    <mergeCell ref="PBA24:PBB24"/>
    <mergeCell ref="PBC24:PBD24"/>
    <mergeCell ref="PBE24:PBF24"/>
    <mergeCell ref="PAM24:PAN24"/>
    <mergeCell ref="PAO24:PAP24"/>
    <mergeCell ref="PAQ24:PAR24"/>
    <mergeCell ref="PAS24:PAT24"/>
    <mergeCell ref="PAU24:PAV24"/>
    <mergeCell ref="PAC24:PAD24"/>
    <mergeCell ref="PAE24:PAF24"/>
    <mergeCell ref="PAG24:PAH24"/>
    <mergeCell ref="PAI24:PAJ24"/>
    <mergeCell ref="PAK24:PAL24"/>
    <mergeCell ref="PCU24:PCV24"/>
    <mergeCell ref="PCW24:PCX24"/>
    <mergeCell ref="PCY24:PCZ24"/>
    <mergeCell ref="PDA24:PDB24"/>
    <mergeCell ref="PDC24:PDD24"/>
    <mergeCell ref="PCK24:PCL24"/>
    <mergeCell ref="PCM24:PCN24"/>
    <mergeCell ref="PCO24:PCP24"/>
    <mergeCell ref="PCQ24:PCR24"/>
    <mergeCell ref="PCS24:PCT24"/>
    <mergeCell ref="PCA24:PCB24"/>
    <mergeCell ref="PCC24:PCD24"/>
    <mergeCell ref="PCE24:PCF24"/>
    <mergeCell ref="PCG24:PCH24"/>
    <mergeCell ref="PCI24:PCJ24"/>
    <mergeCell ref="PBQ24:PBR24"/>
    <mergeCell ref="PBS24:PBT24"/>
    <mergeCell ref="PBU24:PBV24"/>
    <mergeCell ref="PBW24:PBX24"/>
    <mergeCell ref="PBY24:PBZ24"/>
    <mergeCell ref="PEI24:PEJ24"/>
    <mergeCell ref="PEK24:PEL24"/>
    <mergeCell ref="PEM24:PEN24"/>
    <mergeCell ref="PEO24:PEP24"/>
    <mergeCell ref="PEQ24:PER24"/>
    <mergeCell ref="PDY24:PDZ24"/>
    <mergeCell ref="PEA24:PEB24"/>
    <mergeCell ref="PEC24:PED24"/>
    <mergeCell ref="PEE24:PEF24"/>
    <mergeCell ref="PEG24:PEH24"/>
    <mergeCell ref="PDO24:PDP24"/>
    <mergeCell ref="PDQ24:PDR24"/>
    <mergeCell ref="PDS24:PDT24"/>
    <mergeCell ref="PDU24:PDV24"/>
    <mergeCell ref="PDW24:PDX24"/>
    <mergeCell ref="PDE24:PDF24"/>
    <mergeCell ref="PDG24:PDH24"/>
    <mergeCell ref="PDI24:PDJ24"/>
    <mergeCell ref="PDK24:PDL24"/>
    <mergeCell ref="PDM24:PDN24"/>
    <mergeCell ref="PFW24:PFX24"/>
    <mergeCell ref="PFY24:PFZ24"/>
    <mergeCell ref="PGA24:PGB24"/>
    <mergeCell ref="PGC24:PGD24"/>
    <mergeCell ref="PGE24:PGF24"/>
    <mergeCell ref="PFM24:PFN24"/>
    <mergeCell ref="PFO24:PFP24"/>
    <mergeCell ref="PFQ24:PFR24"/>
    <mergeCell ref="PFS24:PFT24"/>
    <mergeCell ref="PFU24:PFV24"/>
    <mergeCell ref="PFC24:PFD24"/>
    <mergeCell ref="PFE24:PFF24"/>
    <mergeCell ref="PFG24:PFH24"/>
    <mergeCell ref="PFI24:PFJ24"/>
    <mergeCell ref="PFK24:PFL24"/>
    <mergeCell ref="PES24:PET24"/>
    <mergeCell ref="PEU24:PEV24"/>
    <mergeCell ref="PEW24:PEX24"/>
    <mergeCell ref="PEY24:PEZ24"/>
    <mergeCell ref="PFA24:PFB24"/>
    <mergeCell ref="PHK24:PHL24"/>
    <mergeCell ref="PHM24:PHN24"/>
    <mergeCell ref="PHO24:PHP24"/>
    <mergeCell ref="PHQ24:PHR24"/>
    <mergeCell ref="PHS24:PHT24"/>
    <mergeCell ref="PHA24:PHB24"/>
    <mergeCell ref="PHC24:PHD24"/>
    <mergeCell ref="PHE24:PHF24"/>
    <mergeCell ref="PHG24:PHH24"/>
    <mergeCell ref="PHI24:PHJ24"/>
    <mergeCell ref="PGQ24:PGR24"/>
    <mergeCell ref="PGS24:PGT24"/>
    <mergeCell ref="PGU24:PGV24"/>
    <mergeCell ref="PGW24:PGX24"/>
    <mergeCell ref="PGY24:PGZ24"/>
    <mergeCell ref="PGG24:PGH24"/>
    <mergeCell ref="PGI24:PGJ24"/>
    <mergeCell ref="PGK24:PGL24"/>
    <mergeCell ref="PGM24:PGN24"/>
    <mergeCell ref="PGO24:PGP24"/>
    <mergeCell ref="PIY24:PIZ24"/>
    <mergeCell ref="PJA24:PJB24"/>
    <mergeCell ref="PJC24:PJD24"/>
    <mergeCell ref="PJE24:PJF24"/>
    <mergeCell ref="PJG24:PJH24"/>
    <mergeCell ref="PIO24:PIP24"/>
    <mergeCell ref="PIQ24:PIR24"/>
    <mergeCell ref="PIS24:PIT24"/>
    <mergeCell ref="PIU24:PIV24"/>
    <mergeCell ref="PIW24:PIX24"/>
    <mergeCell ref="PIE24:PIF24"/>
    <mergeCell ref="PIG24:PIH24"/>
    <mergeCell ref="PII24:PIJ24"/>
    <mergeCell ref="PIK24:PIL24"/>
    <mergeCell ref="PIM24:PIN24"/>
    <mergeCell ref="PHU24:PHV24"/>
    <mergeCell ref="PHW24:PHX24"/>
    <mergeCell ref="PHY24:PHZ24"/>
    <mergeCell ref="PIA24:PIB24"/>
    <mergeCell ref="PIC24:PID24"/>
    <mergeCell ref="PKM24:PKN24"/>
    <mergeCell ref="PKO24:PKP24"/>
    <mergeCell ref="PKQ24:PKR24"/>
    <mergeCell ref="PKS24:PKT24"/>
    <mergeCell ref="PKU24:PKV24"/>
    <mergeCell ref="PKC24:PKD24"/>
    <mergeCell ref="PKE24:PKF24"/>
    <mergeCell ref="PKG24:PKH24"/>
    <mergeCell ref="PKI24:PKJ24"/>
    <mergeCell ref="PKK24:PKL24"/>
    <mergeCell ref="PJS24:PJT24"/>
    <mergeCell ref="PJU24:PJV24"/>
    <mergeCell ref="PJW24:PJX24"/>
    <mergeCell ref="PJY24:PJZ24"/>
    <mergeCell ref="PKA24:PKB24"/>
    <mergeCell ref="PJI24:PJJ24"/>
    <mergeCell ref="PJK24:PJL24"/>
    <mergeCell ref="PJM24:PJN24"/>
    <mergeCell ref="PJO24:PJP24"/>
    <mergeCell ref="PJQ24:PJR24"/>
    <mergeCell ref="PMA24:PMB24"/>
    <mergeCell ref="PMC24:PMD24"/>
    <mergeCell ref="PME24:PMF24"/>
    <mergeCell ref="PMG24:PMH24"/>
    <mergeCell ref="PMI24:PMJ24"/>
    <mergeCell ref="PLQ24:PLR24"/>
    <mergeCell ref="PLS24:PLT24"/>
    <mergeCell ref="PLU24:PLV24"/>
    <mergeCell ref="PLW24:PLX24"/>
    <mergeCell ref="PLY24:PLZ24"/>
    <mergeCell ref="PLG24:PLH24"/>
    <mergeCell ref="PLI24:PLJ24"/>
    <mergeCell ref="PLK24:PLL24"/>
    <mergeCell ref="PLM24:PLN24"/>
    <mergeCell ref="PLO24:PLP24"/>
    <mergeCell ref="PKW24:PKX24"/>
    <mergeCell ref="PKY24:PKZ24"/>
    <mergeCell ref="PLA24:PLB24"/>
    <mergeCell ref="PLC24:PLD24"/>
    <mergeCell ref="PLE24:PLF24"/>
    <mergeCell ref="PNO24:PNP24"/>
    <mergeCell ref="PNQ24:PNR24"/>
    <mergeCell ref="PNS24:PNT24"/>
    <mergeCell ref="PNU24:PNV24"/>
    <mergeCell ref="PNW24:PNX24"/>
    <mergeCell ref="PNE24:PNF24"/>
    <mergeCell ref="PNG24:PNH24"/>
    <mergeCell ref="PNI24:PNJ24"/>
    <mergeCell ref="PNK24:PNL24"/>
    <mergeCell ref="PNM24:PNN24"/>
    <mergeCell ref="PMU24:PMV24"/>
    <mergeCell ref="PMW24:PMX24"/>
    <mergeCell ref="PMY24:PMZ24"/>
    <mergeCell ref="PNA24:PNB24"/>
    <mergeCell ref="PNC24:PND24"/>
    <mergeCell ref="PMK24:PML24"/>
    <mergeCell ref="PMM24:PMN24"/>
    <mergeCell ref="PMO24:PMP24"/>
    <mergeCell ref="PMQ24:PMR24"/>
    <mergeCell ref="PMS24:PMT24"/>
    <mergeCell ref="PPC24:PPD24"/>
    <mergeCell ref="PPE24:PPF24"/>
    <mergeCell ref="PPG24:PPH24"/>
    <mergeCell ref="PPI24:PPJ24"/>
    <mergeCell ref="PPK24:PPL24"/>
    <mergeCell ref="POS24:POT24"/>
    <mergeCell ref="POU24:POV24"/>
    <mergeCell ref="POW24:POX24"/>
    <mergeCell ref="POY24:POZ24"/>
    <mergeCell ref="PPA24:PPB24"/>
    <mergeCell ref="POI24:POJ24"/>
    <mergeCell ref="POK24:POL24"/>
    <mergeCell ref="POM24:PON24"/>
    <mergeCell ref="POO24:POP24"/>
    <mergeCell ref="POQ24:POR24"/>
    <mergeCell ref="PNY24:PNZ24"/>
    <mergeCell ref="POA24:POB24"/>
    <mergeCell ref="POC24:POD24"/>
    <mergeCell ref="POE24:POF24"/>
    <mergeCell ref="POG24:POH24"/>
    <mergeCell ref="PQQ24:PQR24"/>
    <mergeCell ref="PQS24:PQT24"/>
    <mergeCell ref="PQU24:PQV24"/>
    <mergeCell ref="PQW24:PQX24"/>
    <mergeCell ref="PQY24:PQZ24"/>
    <mergeCell ref="PQG24:PQH24"/>
    <mergeCell ref="PQI24:PQJ24"/>
    <mergeCell ref="PQK24:PQL24"/>
    <mergeCell ref="PQM24:PQN24"/>
    <mergeCell ref="PQO24:PQP24"/>
    <mergeCell ref="PPW24:PPX24"/>
    <mergeCell ref="PPY24:PPZ24"/>
    <mergeCell ref="PQA24:PQB24"/>
    <mergeCell ref="PQC24:PQD24"/>
    <mergeCell ref="PQE24:PQF24"/>
    <mergeCell ref="PPM24:PPN24"/>
    <mergeCell ref="PPO24:PPP24"/>
    <mergeCell ref="PPQ24:PPR24"/>
    <mergeCell ref="PPS24:PPT24"/>
    <mergeCell ref="PPU24:PPV24"/>
    <mergeCell ref="PSE24:PSF24"/>
    <mergeCell ref="PSG24:PSH24"/>
    <mergeCell ref="PSI24:PSJ24"/>
    <mergeCell ref="PSK24:PSL24"/>
    <mergeCell ref="PSM24:PSN24"/>
    <mergeCell ref="PRU24:PRV24"/>
    <mergeCell ref="PRW24:PRX24"/>
    <mergeCell ref="PRY24:PRZ24"/>
    <mergeCell ref="PSA24:PSB24"/>
    <mergeCell ref="PSC24:PSD24"/>
    <mergeCell ref="PRK24:PRL24"/>
    <mergeCell ref="PRM24:PRN24"/>
    <mergeCell ref="PRO24:PRP24"/>
    <mergeCell ref="PRQ24:PRR24"/>
    <mergeCell ref="PRS24:PRT24"/>
    <mergeCell ref="PRA24:PRB24"/>
    <mergeCell ref="PRC24:PRD24"/>
    <mergeCell ref="PRE24:PRF24"/>
    <mergeCell ref="PRG24:PRH24"/>
    <mergeCell ref="PRI24:PRJ24"/>
    <mergeCell ref="PTS24:PTT24"/>
    <mergeCell ref="PTU24:PTV24"/>
    <mergeCell ref="PTW24:PTX24"/>
    <mergeCell ref="PTY24:PTZ24"/>
    <mergeCell ref="PUA24:PUB24"/>
    <mergeCell ref="PTI24:PTJ24"/>
    <mergeCell ref="PTK24:PTL24"/>
    <mergeCell ref="PTM24:PTN24"/>
    <mergeCell ref="PTO24:PTP24"/>
    <mergeCell ref="PTQ24:PTR24"/>
    <mergeCell ref="PSY24:PSZ24"/>
    <mergeCell ref="PTA24:PTB24"/>
    <mergeCell ref="PTC24:PTD24"/>
    <mergeCell ref="PTE24:PTF24"/>
    <mergeCell ref="PTG24:PTH24"/>
    <mergeCell ref="PSO24:PSP24"/>
    <mergeCell ref="PSQ24:PSR24"/>
    <mergeCell ref="PSS24:PST24"/>
    <mergeCell ref="PSU24:PSV24"/>
    <mergeCell ref="PSW24:PSX24"/>
    <mergeCell ref="PVG24:PVH24"/>
    <mergeCell ref="PVI24:PVJ24"/>
    <mergeCell ref="PVK24:PVL24"/>
    <mergeCell ref="PVM24:PVN24"/>
    <mergeCell ref="PVO24:PVP24"/>
    <mergeCell ref="PUW24:PUX24"/>
    <mergeCell ref="PUY24:PUZ24"/>
    <mergeCell ref="PVA24:PVB24"/>
    <mergeCell ref="PVC24:PVD24"/>
    <mergeCell ref="PVE24:PVF24"/>
    <mergeCell ref="PUM24:PUN24"/>
    <mergeCell ref="PUO24:PUP24"/>
    <mergeCell ref="PUQ24:PUR24"/>
    <mergeCell ref="PUS24:PUT24"/>
    <mergeCell ref="PUU24:PUV24"/>
    <mergeCell ref="PUC24:PUD24"/>
    <mergeCell ref="PUE24:PUF24"/>
    <mergeCell ref="PUG24:PUH24"/>
    <mergeCell ref="PUI24:PUJ24"/>
    <mergeCell ref="PUK24:PUL24"/>
    <mergeCell ref="PWU24:PWV24"/>
    <mergeCell ref="PWW24:PWX24"/>
    <mergeCell ref="PWY24:PWZ24"/>
    <mergeCell ref="PXA24:PXB24"/>
    <mergeCell ref="PXC24:PXD24"/>
    <mergeCell ref="PWK24:PWL24"/>
    <mergeCell ref="PWM24:PWN24"/>
    <mergeCell ref="PWO24:PWP24"/>
    <mergeCell ref="PWQ24:PWR24"/>
    <mergeCell ref="PWS24:PWT24"/>
    <mergeCell ref="PWA24:PWB24"/>
    <mergeCell ref="PWC24:PWD24"/>
    <mergeCell ref="PWE24:PWF24"/>
    <mergeCell ref="PWG24:PWH24"/>
    <mergeCell ref="PWI24:PWJ24"/>
    <mergeCell ref="PVQ24:PVR24"/>
    <mergeCell ref="PVS24:PVT24"/>
    <mergeCell ref="PVU24:PVV24"/>
    <mergeCell ref="PVW24:PVX24"/>
    <mergeCell ref="PVY24:PVZ24"/>
    <mergeCell ref="PYI24:PYJ24"/>
    <mergeCell ref="PYK24:PYL24"/>
    <mergeCell ref="PYM24:PYN24"/>
    <mergeCell ref="PYO24:PYP24"/>
    <mergeCell ref="PYQ24:PYR24"/>
    <mergeCell ref="PXY24:PXZ24"/>
    <mergeCell ref="PYA24:PYB24"/>
    <mergeCell ref="PYC24:PYD24"/>
    <mergeCell ref="PYE24:PYF24"/>
    <mergeCell ref="PYG24:PYH24"/>
    <mergeCell ref="PXO24:PXP24"/>
    <mergeCell ref="PXQ24:PXR24"/>
    <mergeCell ref="PXS24:PXT24"/>
    <mergeCell ref="PXU24:PXV24"/>
    <mergeCell ref="PXW24:PXX24"/>
    <mergeCell ref="PXE24:PXF24"/>
    <mergeCell ref="PXG24:PXH24"/>
    <mergeCell ref="PXI24:PXJ24"/>
    <mergeCell ref="PXK24:PXL24"/>
    <mergeCell ref="PXM24:PXN24"/>
    <mergeCell ref="PZW24:PZX24"/>
    <mergeCell ref="PZY24:PZZ24"/>
    <mergeCell ref="QAA24:QAB24"/>
    <mergeCell ref="QAC24:QAD24"/>
    <mergeCell ref="QAE24:QAF24"/>
    <mergeCell ref="PZM24:PZN24"/>
    <mergeCell ref="PZO24:PZP24"/>
    <mergeCell ref="PZQ24:PZR24"/>
    <mergeCell ref="PZS24:PZT24"/>
    <mergeCell ref="PZU24:PZV24"/>
    <mergeCell ref="PZC24:PZD24"/>
    <mergeCell ref="PZE24:PZF24"/>
    <mergeCell ref="PZG24:PZH24"/>
    <mergeCell ref="PZI24:PZJ24"/>
    <mergeCell ref="PZK24:PZL24"/>
    <mergeCell ref="PYS24:PYT24"/>
    <mergeCell ref="PYU24:PYV24"/>
    <mergeCell ref="PYW24:PYX24"/>
    <mergeCell ref="PYY24:PYZ24"/>
    <mergeCell ref="PZA24:PZB24"/>
    <mergeCell ref="QBK24:QBL24"/>
    <mergeCell ref="QBM24:QBN24"/>
    <mergeCell ref="QBO24:QBP24"/>
    <mergeCell ref="QBQ24:QBR24"/>
    <mergeCell ref="QBS24:QBT24"/>
    <mergeCell ref="QBA24:QBB24"/>
    <mergeCell ref="QBC24:QBD24"/>
    <mergeCell ref="QBE24:QBF24"/>
    <mergeCell ref="QBG24:QBH24"/>
    <mergeCell ref="QBI24:QBJ24"/>
    <mergeCell ref="QAQ24:QAR24"/>
    <mergeCell ref="QAS24:QAT24"/>
    <mergeCell ref="QAU24:QAV24"/>
    <mergeCell ref="QAW24:QAX24"/>
    <mergeCell ref="QAY24:QAZ24"/>
    <mergeCell ref="QAG24:QAH24"/>
    <mergeCell ref="QAI24:QAJ24"/>
    <mergeCell ref="QAK24:QAL24"/>
    <mergeCell ref="QAM24:QAN24"/>
    <mergeCell ref="QAO24:QAP24"/>
    <mergeCell ref="QCY24:QCZ24"/>
    <mergeCell ref="QDA24:QDB24"/>
    <mergeCell ref="QDC24:QDD24"/>
    <mergeCell ref="QDE24:QDF24"/>
    <mergeCell ref="QDG24:QDH24"/>
    <mergeCell ref="QCO24:QCP24"/>
    <mergeCell ref="QCQ24:QCR24"/>
    <mergeCell ref="QCS24:QCT24"/>
    <mergeCell ref="QCU24:QCV24"/>
    <mergeCell ref="QCW24:QCX24"/>
    <mergeCell ref="QCE24:QCF24"/>
    <mergeCell ref="QCG24:QCH24"/>
    <mergeCell ref="QCI24:QCJ24"/>
    <mergeCell ref="QCK24:QCL24"/>
    <mergeCell ref="QCM24:QCN24"/>
    <mergeCell ref="QBU24:QBV24"/>
    <mergeCell ref="QBW24:QBX24"/>
    <mergeCell ref="QBY24:QBZ24"/>
    <mergeCell ref="QCA24:QCB24"/>
    <mergeCell ref="QCC24:QCD24"/>
    <mergeCell ref="QEM24:QEN24"/>
    <mergeCell ref="QEO24:QEP24"/>
    <mergeCell ref="QEQ24:QER24"/>
    <mergeCell ref="QES24:QET24"/>
    <mergeCell ref="QEU24:QEV24"/>
    <mergeCell ref="QEC24:QED24"/>
    <mergeCell ref="QEE24:QEF24"/>
    <mergeCell ref="QEG24:QEH24"/>
    <mergeCell ref="QEI24:QEJ24"/>
    <mergeCell ref="QEK24:QEL24"/>
    <mergeCell ref="QDS24:QDT24"/>
    <mergeCell ref="QDU24:QDV24"/>
    <mergeCell ref="QDW24:QDX24"/>
    <mergeCell ref="QDY24:QDZ24"/>
    <mergeCell ref="QEA24:QEB24"/>
    <mergeCell ref="QDI24:QDJ24"/>
    <mergeCell ref="QDK24:QDL24"/>
    <mergeCell ref="QDM24:QDN24"/>
    <mergeCell ref="QDO24:QDP24"/>
    <mergeCell ref="QDQ24:QDR24"/>
    <mergeCell ref="QGA24:QGB24"/>
    <mergeCell ref="QGC24:QGD24"/>
    <mergeCell ref="QGE24:QGF24"/>
    <mergeCell ref="QGG24:QGH24"/>
    <mergeCell ref="QGI24:QGJ24"/>
    <mergeCell ref="QFQ24:QFR24"/>
    <mergeCell ref="QFS24:QFT24"/>
    <mergeCell ref="QFU24:QFV24"/>
    <mergeCell ref="QFW24:QFX24"/>
    <mergeCell ref="QFY24:QFZ24"/>
    <mergeCell ref="QFG24:QFH24"/>
    <mergeCell ref="QFI24:QFJ24"/>
    <mergeCell ref="QFK24:QFL24"/>
    <mergeCell ref="QFM24:QFN24"/>
    <mergeCell ref="QFO24:QFP24"/>
    <mergeCell ref="QEW24:QEX24"/>
    <mergeCell ref="QEY24:QEZ24"/>
    <mergeCell ref="QFA24:QFB24"/>
    <mergeCell ref="QFC24:QFD24"/>
    <mergeCell ref="QFE24:QFF24"/>
    <mergeCell ref="QHO24:QHP24"/>
    <mergeCell ref="QHQ24:QHR24"/>
    <mergeCell ref="QHS24:QHT24"/>
    <mergeCell ref="QHU24:QHV24"/>
    <mergeCell ref="QHW24:QHX24"/>
    <mergeCell ref="QHE24:QHF24"/>
    <mergeCell ref="QHG24:QHH24"/>
    <mergeCell ref="QHI24:QHJ24"/>
    <mergeCell ref="QHK24:QHL24"/>
    <mergeCell ref="QHM24:QHN24"/>
    <mergeCell ref="QGU24:QGV24"/>
    <mergeCell ref="QGW24:QGX24"/>
    <mergeCell ref="QGY24:QGZ24"/>
    <mergeCell ref="QHA24:QHB24"/>
    <mergeCell ref="QHC24:QHD24"/>
    <mergeCell ref="QGK24:QGL24"/>
    <mergeCell ref="QGM24:QGN24"/>
    <mergeCell ref="QGO24:QGP24"/>
    <mergeCell ref="QGQ24:QGR24"/>
    <mergeCell ref="QGS24:QGT24"/>
    <mergeCell ref="QJC24:QJD24"/>
    <mergeCell ref="QJE24:QJF24"/>
    <mergeCell ref="QJG24:QJH24"/>
    <mergeCell ref="QJI24:QJJ24"/>
    <mergeCell ref="QJK24:QJL24"/>
    <mergeCell ref="QIS24:QIT24"/>
    <mergeCell ref="QIU24:QIV24"/>
    <mergeCell ref="QIW24:QIX24"/>
    <mergeCell ref="QIY24:QIZ24"/>
    <mergeCell ref="QJA24:QJB24"/>
    <mergeCell ref="QII24:QIJ24"/>
    <mergeCell ref="QIK24:QIL24"/>
    <mergeCell ref="QIM24:QIN24"/>
    <mergeCell ref="QIO24:QIP24"/>
    <mergeCell ref="QIQ24:QIR24"/>
    <mergeCell ref="QHY24:QHZ24"/>
    <mergeCell ref="QIA24:QIB24"/>
    <mergeCell ref="QIC24:QID24"/>
    <mergeCell ref="QIE24:QIF24"/>
    <mergeCell ref="QIG24:QIH24"/>
    <mergeCell ref="QKQ24:QKR24"/>
    <mergeCell ref="QKS24:QKT24"/>
    <mergeCell ref="QKU24:QKV24"/>
    <mergeCell ref="QKW24:QKX24"/>
    <mergeCell ref="QKY24:QKZ24"/>
    <mergeCell ref="QKG24:QKH24"/>
    <mergeCell ref="QKI24:QKJ24"/>
    <mergeCell ref="QKK24:QKL24"/>
    <mergeCell ref="QKM24:QKN24"/>
    <mergeCell ref="QKO24:QKP24"/>
    <mergeCell ref="QJW24:QJX24"/>
    <mergeCell ref="QJY24:QJZ24"/>
    <mergeCell ref="QKA24:QKB24"/>
    <mergeCell ref="QKC24:QKD24"/>
    <mergeCell ref="QKE24:QKF24"/>
    <mergeCell ref="QJM24:QJN24"/>
    <mergeCell ref="QJO24:QJP24"/>
    <mergeCell ref="QJQ24:QJR24"/>
    <mergeCell ref="QJS24:QJT24"/>
    <mergeCell ref="QJU24:QJV24"/>
    <mergeCell ref="QME24:QMF24"/>
    <mergeCell ref="QMG24:QMH24"/>
    <mergeCell ref="QMI24:QMJ24"/>
    <mergeCell ref="QMK24:QML24"/>
    <mergeCell ref="QMM24:QMN24"/>
    <mergeCell ref="QLU24:QLV24"/>
    <mergeCell ref="QLW24:QLX24"/>
    <mergeCell ref="QLY24:QLZ24"/>
    <mergeCell ref="QMA24:QMB24"/>
    <mergeCell ref="QMC24:QMD24"/>
    <mergeCell ref="QLK24:QLL24"/>
    <mergeCell ref="QLM24:QLN24"/>
    <mergeCell ref="QLO24:QLP24"/>
    <mergeCell ref="QLQ24:QLR24"/>
    <mergeCell ref="QLS24:QLT24"/>
    <mergeCell ref="QLA24:QLB24"/>
    <mergeCell ref="QLC24:QLD24"/>
    <mergeCell ref="QLE24:QLF24"/>
    <mergeCell ref="QLG24:QLH24"/>
    <mergeCell ref="QLI24:QLJ24"/>
    <mergeCell ref="QNS24:QNT24"/>
    <mergeCell ref="QNU24:QNV24"/>
    <mergeCell ref="QNW24:QNX24"/>
    <mergeCell ref="QNY24:QNZ24"/>
    <mergeCell ref="QOA24:QOB24"/>
    <mergeCell ref="QNI24:QNJ24"/>
    <mergeCell ref="QNK24:QNL24"/>
    <mergeCell ref="QNM24:QNN24"/>
    <mergeCell ref="QNO24:QNP24"/>
    <mergeCell ref="QNQ24:QNR24"/>
    <mergeCell ref="QMY24:QMZ24"/>
    <mergeCell ref="QNA24:QNB24"/>
    <mergeCell ref="QNC24:QND24"/>
    <mergeCell ref="QNE24:QNF24"/>
    <mergeCell ref="QNG24:QNH24"/>
    <mergeCell ref="QMO24:QMP24"/>
    <mergeCell ref="QMQ24:QMR24"/>
    <mergeCell ref="QMS24:QMT24"/>
    <mergeCell ref="QMU24:QMV24"/>
    <mergeCell ref="QMW24:QMX24"/>
    <mergeCell ref="QPG24:QPH24"/>
    <mergeCell ref="QPI24:QPJ24"/>
    <mergeCell ref="QPK24:QPL24"/>
    <mergeCell ref="QPM24:QPN24"/>
    <mergeCell ref="QPO24:QPP24"/>
    <mergeCell ref="QOW24:QOX24"/>
    <mergeCell ref="QOY24:QOZ24"/>
    <mergeCell ref="QPA24:QPB24"/>
    <mergeCell ref="QPC24:QPD24"/>
    <mergeCell ref="QPE24:QPF24"/>
    <mergeCell ref="QOM24:QON24"/>
    <mergeCell ref="QOO24:QOP24"/>
    <mergeCell ref="QOQ24:QOR24"/>
    <mergeCell ref="QOS24:QOT24"/>
    <mergeCell ref="QOU24:QOV24"/>
    <mergeCell ref="QOC24:QOD24"/>
    <mergeCell ref="QOE24:QOF24"/>
    <mergeCell ref="QOG24:QOH24"/>
    <mergeCell ref="QOI24:QOJ24"/>
    <mergeCell ref="QOK24:QOL24"/>
    <mergeCell ref="QQU24:QQV24"/>
    <mergeCell ref="QQW24:QQX24"/>
    <mergeCell ref="QQY24:QQZ24"/>
    <mergeCell ref="QRA24:QRB24"/>
    <mergeCell ref="QRC24:QRD24"/>
    <mergeCell ref="QQK24:QQL24"/>
    <mergeCell ref="QQM24:QQN24"/>
    <mergeCell ref="QQO24:QQP24"/>
    <mergeCell ref="QQQ24:QQR24"/>
    <mergeCell ref="QQS24:QQT24"/>
    <mergeCell ref="QQA24:QQB24"/>
    <mergeCell ref="QQC24:QQD24"/>
    <mergeCell ref="QQE24:QQF24"/>
    <mergeCell ref="QQG24:QQH24"/>
    <mergeCell ref="QQI24:QQJ24"/>
    <mergeCell ref="QPQ24:QPR24"/>
    <mergeCell ref="QPS24:QPT24"/>
    <mergeCell ref="QPU24:QPV24"/>
    <mergeCell ref="QPW24:QPX24"/>
    <mergeCell ref="QPY24:QPZ24"/>
    <mergeCell ref="QSI24:QSJ24"/>
    <mergeCell ref="QSK24:QSL24"/>
    <mergeCell ref="QSM24:QSN24"/>
    <mergeCell ref="QSO24:QSP24"/>
    <mergeCell ref="QSQ24:QSR24"/>
    <mergeCell ref="QRY24:QRZ24"/>
    <mergeCell ref="QSA24:QSB24"/>
    <mergeCell ref="QSC24:QSD24"/>
    <mergeCell ref="QSE24:QSF24"/>
    <mergeCell ref="QSG24:QSH24"/>
    <mergeCell ref="QRO24:QRP24"/>
    <mergeCell ref="QRQ24:QRR24"/>
    <mergeCell ref="QRS24:QRT24"/>
    <mergeCell ref="QRU24:QRV24"/>
    <mergeCell ref="QRW24:QRX24"/>
    <mergeCell ref="QRE24:QRF24"/>
    <mergeCell ref="QRG24:QRH24"/>
    <mergeCell ref="QRI24:QRJ24"/>
    <mergeCell ref="QRK24:QRL24"/>
    <mergeCell ref="QRM24:QRN24"/>
    <mergeCell ref="QTW24:QTX24"/>
    <mergeCell ref="QTY24:QTZ24"/>
    <mergeCell ref="QUA24:QUB24"/>
    <mergeCell ref="QUC24:QUD24"/>
    <mergeCell ref="QUE24:QUF24"/>
    <mergeCell ref="QTM24:QTN24"/>
    <mergeCell ref="QTO24:QTP24"/>
    <mergeCell ref="QTQ24:QTR24"/>
    <mergeCell ref="QTS24:QTT24"/>
    <mergeCell ref="QTU24:QTV24"/>
    <mergeCell ref="QTC24:QTD24"/>
    <mergeCell ref="QTE24:QTF24"/>
    <mergeCell ref="QTG24:QTH24"/>
    <mergeCell ref="QTI24:QTJ24"/>
    <mergeCell ref="QTK24:QTL24"/>
    <mergeCell ref="QSS24:QST24"/>
    <mergeCell ref="QSU24:QSV24"/>
    <mergeCell ref="QSW24:QSX24"/>
    <mergeCell ref="QSY24:QSZ24"/>
    <mergeCell ref="QTA24:QTB24"/>
    <mergeCell ref="QVK24:QVL24"/>
    <mergeCell ref="QVM24:QVN24"/>
    <mergeCell ref="QVO24:QVP24"/>
    <mergeCell ref="QVQ24:QVR24"/>
    <mergeCell ref="QVS24:QVT24"/>
    <mergeCell ref="QVA24:QVB24"/>
    <mergeCell ref="QVC24:QVD24"/>
    <mergeCell ref="QVE24:QVF24"/>
    <mergeCell ref="QVG24:QVH24"/>
    <mergeCell ref="QVI24:QVJ24"/>
    <mergeCell ref="QUQ24:QUR24"/>
    <mergeCell ref="QUS24:QUT24"/>
    <mergeCell ref="QUU24:QUV24"/>
    <mergeCell ref="QUW24:QUX24"/>
    <mergeCell ref="QUY24:QUZ24"/>
    <mergeCell ref="QUG24:QUH24"/>
    <mergeCell ref="QUI24:QUJ24"/>
    <mergeCell ref="QUK24:QUL24"/>
    <mergeCell ref="QUM24:QUN24"/>
    <mergeCell ref="QUO24:QUP24"/>
    <mergeCell ref="QWY24:QWZ24"/>
    <mergeCell ref="QXA24:QXB24"/>
    <mergeCell ref="QXC24:QXD24"/>
    <mergeCell ref="QXE24:QXF24"/>
    <mergeCell ref="QXG24:QXH24"/>
    <mergeCell ref="QWO24:QWP24"/>
    <mergeCell ref="QWQ24:QWR24"/>
    <mergeCell ref="QWS24:QWT24"/>
    <mergeCell ref="QWU24:QWV24"/>
    <mergeCell ref="QWW24:QWX24"/>
    <mergeCell ref="QWE24:QWF24"/>
    <mergeCell ref="QWG24:QWH24"/>
    <mergeCell ref="QWI24:QWJ24"/>
    <mergeCell ref="QWK24:QWL24"/>
    <mergeCell ref="QWM24:QWN24"/>
    <mergeCell ref="QVU24:QVV24"/>
    <mergeCell ref="QVW24:QVX24"/>
    <mergeCell ref="QVY24:QVZ24"/>
    <mergeCell ref="QWA24:QWB24"/>
    <mergeCell ref="QWC24:QWD24"/>
    <mergeCell ref="QYM24:QYN24"/>
    <mergeCell ref="QYO24:QYP24"/>
    <mergeCell ref="QYQ24:QYR24"/>
    <mergeCell ref="QYS24:QYT24"/>
    <mergeCell ref="QYU24:QYV24"/>
    <mergeCell ref="QYC24:QYD24"/>
    <mergeCell ref="QYE24:QYF24"/>
    <mergeCell ref="QYG24:QYH24"/>
    <mergeCell ref="QYI24:QYJ24"/>
    <mergeCell ref="QYK24:QYL24"/>
    <mergeCell ref="QXS24:QXT24"/>
    <mergeCell ref="QXU24:QXV24"/>
    <mergeCell ref="QXW24:QXX24"/>
    <mergeCell ref="QXY24:QXZ24"/>
    <mergeCell ref="QYA24:QYB24"/>
    <mergeCell ref="QXI24:QXJ24"/>
    <mergeCell ref="QXK24:QXL24"/>
    <mergeCell ref="QXM24:QXN24"/>
    <mergeCell ref="QXO24:QXP24"/>
    <mergeCell ref="QXQ24:QXR24"/>
    <mergeCell ref="RAA24:RAB24"/>
    <mergeCell ref="RAC24:RAD24"/>
    <mergeCell ref="RAE24:RAF24"/>
    <mergeCell ref="RAG24:RAH24"/>
    <mergeCell ref="RAI24:RAJ24"/>
    <mergeCell ref="QZQ24:QZR24"/>
    <mergeCell ref="QZS24:QZT24"/>
    <mergeCell ref="QZU24:QZV24"/>
    <mergeCell ref="QZW24:QZX24"/>
    <mergeCell ref="QZY24:QZZ24"/>
    <mergeCell ref="QZG24:QZH24"/>
    <mergeCell ref="QZI24:QZJ24"/>
    <mergeCell ref="QZK24:QZL24"/>
    <mergeCell ref="QZM24:QZN24"/>
    <mergeCell ref="QZO24:QZP24"/>
    <mergeCell ref="QYW24:QYX24"/>
    <mergeCell ref="QYY24:QYZ24"/>
    <mergeCell ref="QZA24:QZB24"/>
    <mergeCell ref="QZC24:QZD24"/>
    <mergeCell ref="QZE24:QZF24"/>
    <mergeCell ref="RBO24:RBP24"/>
    <mergeCell ref="RBQ24:RBR24"/>
    <mergeCell ref="RBS24:RBT24"/>
    <mergeCell ref="RBU24:RBV24"/>
    <mergeCell ref="RBW24:RBX24"/>
    <mergeCell ref="RBE24:RBF24"/>
    <mergeCell ref="RBG24:RBH24"/>
    <mergeCell ref="RBI24:RBJ24"/>
    <mergeCell ref="RBK24:RBL24"/>
    <mergeCell ref="RBM24:RBN24"/>
    <mergeCell ref="RAU24:RAV24"/>
    <mergeCell ref="RAW24:RAX24"/>
    <mergeCell ref="RAY24:RAZ24"/>
    <mergeCell ref="RBA24:RBB24"/>
    <mergeCell ref="RBC24:RBD24"/>
    <mergeCell ref="RAK24:RAL24"/>
    <mergeCell ref="RAM24:RAN24"/>
    <mergeCell ref="RAO24:RAP24"/>
    <mergeCell ref="RAQ24:RAR24"/>
    <mergeCell ref="RAS24:RAT24"/>
    <mergeCell ref="RDC24:RDD24"/>
    <mergeCell ref="RDE24:RDF24"/>
    <mergeCell ref="RDG24:RDH24"/>
    <mergeCell ref="RDI24:RDJ24"/>
    <mergeCell ref="RDK24:RDL24"/>
    <mergeCell ref="RCS24:RCT24"/>
    <mergeCell ref="RCU24:RCV24"/>
    <mergeCell ref="RCW24:RCX24"/>
    <mergeCell ref="RCY24:RCZ24"/>
    <mergeCell ref="RDA24:RDB24"/>
    <mergeCell ref="RCI24:RCJ24"/>
    <mergeCell ref="RCK24:RCL24"/>
    <mergeCell ref="RCM24:RCN24"/>
    <mergeCell ref="RCO24:RCP24"/>
    <mergeCell ref="RCQ24:RCR24"/>
    <mergeCell ref="RBY24:RBZ24"/>
    <mergeCell ref="RCA24:RCB24"/>
    <mergeCell ref="RCC24:RCD24"/>
    <mergeCell ref="RCE24:RCF24"/>
    <mergeCell ref="RCG24:RCH24"/>
    <mergeCell ref="REQ24:RER24"/>
    <mergeCell ref="RES24:RET24"/>
    <mergeCell ref="REU24:REV24"/>
    <mergeCell ref="REW24:REX24"/>
    <mergeCell ref="REY24:REZ24"/>
    <mergeCell ref="REG24:REH24"/>
    <mergeCell ref="REI24:REJ24"/>
    <mergeCell ref="REK24:REL24"/>
    <mergeCell ref="REM24:REN24"/>
    <mergeCell ref="REO24:REP24"/>
    <mergeCell ref="RDW24:RDX24"/>
    <mergeCell ref="RDY24:RDZ24"/>
    <mergeCell ref="REA24:REB24"/>
    <mergeCell ref="REC24:RED24"/>
    <mergeCell ref="REE24:REF24"/>
    <mergeCell ref="RDM24:RDN24"/>
    <mergeCell ref="RDO24:RDP24"/>
    <mergeCell ref="RDQ24:RDR24"/>
    <mergeCell ref="RDS24:RDT24"/>
    <mergeCell ref="RDU24:RDV24"/>
    <mergeCell ref="RGE24:RGF24"/>
    <mergeCell ref="RGG24:RGH24"/>
    <mergeCell ref="RGI24:RGJ24"/>
    <mergeCell ref="RGK24:RGL24"/>
    <mergeCell ref="RGM24:RGN24"/>
    <mergeCell ref="RFU24:RFV24"/>
    <mergeCell ref="RFW24:RFX24"/>
    <mergeCell ref="RFY24:RFZ24"/>
    <mergeCell ref="RGA24:RGB24"/>
    <mergeCell ref="RGC24:RGD24"/>
    <mergeCell ref="RFK24:RFL24"/>
    <mergeCell ref="RFM24:RFN24"/>
    <mergeCell ref="RFO24:RFP24"/>
    <mergeCell ref="RFQ24:RFR24"/>
    <mergeCell ref="RFS24:RFT24"/>
    <mergeCell ref="RFA24:RFB24"/>
    <mergeCell ref="RFC24:RFD24"/>
    <mergeCell ref="RFE24:RFF24"/>
    <mergeCell ref="RFG24:RFH24"/>
    <mergeCell ref="RFI24:RFJ24"/>
    <mergeCell ref="RHS24:RHT24"/>
    <mergeCell ref="RHU24:RHV24"/>
    <mergeCell ref="RHW24:RHX24"/>
    <mergeCell ref="RHY24:RHZ24"/>
    <mergeCell ref="RIA24:RIB24"/>
    <mergeCell ref="RHI24:RHJ24"/>
    <mergeCell ref="RHK24:RHL24"/>
    <mergeCell ref="RHM24:RHN24"/>
    <mergeCell ref="RHO24:RHP24"/>
    <mergeCell ref="RHQ24:RHR24"/>
    <mergeCell ref="RGY24:RGZ24"/>
    <mergeCell ref="RHA24:RHB24"/>
    <mergeCell ref="RHC24:RHD24"/>
    <mergeCell ref="RHE24:RHF24"/>
    <mergeCell ref="RHG24:RHH24"/>
    <mergeCell ref="RGO24:RGP24"/>
    <mergeCell ref="RGQ24:RGR24"/>
    <mergeCell ref="RGS24:RGT24"/>
    <mergeCell ref="RGU24:RGV24"/>
    <mergeCell ref="RGW24:RGX24"/>
    <mergeCell ref="RJG24:RJH24"/>
    <mergeCell ref="RJI24:RJJ24"/>
    <mergeCell ref="RJK24:RJL24"/>
    <mergeCell ref="RJM24:RJN24"/>
    <mergeCell ref="RJO24:RJP24"/>
    <mergeCell ref="RIW24:RIX24"/>
    <mergeCell ref="RIY24:RIZ24"/>
    <mergeCell ref="RJA24:RJB24"/>
    <mergeCell ref="RJC24:RJD24"/>
    <mergeCell ref="RJE24:RJF24"/>
    <mergeCell ref="RIM24:RIN24"/>
    <mergeCell ref="RIO24:RIP24"/>
    <mergeCell ref="RIQ24:RIR24"/>
    <mergeCell ref="RIS24:RIT24"/>
    <mergeCell ref="RIU24:RIV24"/>
    <mergeCell ref="RIC24:RID24"/>
    <mergeCell ref="RIE24:RIF24"/>
    <mergeCell ref="RIG24:RIH24"/>
    <mergeCell ref="RII24:RIJ24"/>
    <mergeCell ref="RIK24:RIL24"/>
    <mergeCell ref="RKU24:RKV24"/>
    <mergeCell ref="RKW24:RKX24"/>
    <mergeCell ref="RKY24:RKZ24"/>
    <mergeCell ref="RLA24:RLB24"/>
    <mergeCell ref="RLC24:RLD24"/>
    <mergeCell ref="RKK24:RKL24"/>
    <mergeCell ref="RKM24:RKN24"/>
    <mergeCell ref="RKO24:RKP24"/>
    <mergeCell ref="RKQ24:RKR24"/>
    <mergeCell ref="RKS24:RKT24"/>
    <mergeCell ref="RKA24:RKB24"/>
    <mergeCell ref="RKC24:RKD24"/>
    <mergeCell ref="RKE24:RKF24"/>
    <mergeCell ref="RKG24:RKH24"/>
    <mergeCell ref="RKI24:RKJ24"/>
    <mergeCell ref="RJQ24:RJR24"/>
    <mergeCell ref="RJS24:RJT24"/>
    <mergeCell ref="RJU24:RJV24"/>
    <mergeCell ref="RJW24:RJX24"/>
    <mergeCell ref="RJY24:RJZ24"/>
    <mergeCell ref="RMI24:RMJ24"/>
    <mergeCell ref="RMK24:RML24"/>
    <mergeCell ref="RMM24:RMN24"/>
    <mergeCell ref="RMO24:RMP24"/>
    <mergeCell ref="RMQ24:RMR24"/>
    <mergeCell ref="RLY24:RLZ24"/>
    <mergeCell ref="RMA24:RMB24"/>
    <mergeCell ref="RMC24:RMD24"/>
    <mergeCell ref="RME24:RMF24"/>
    <mergeCell ref="RMG24:RMH24"/>
    <mergeCell ref="RLO24:RLP24"/>
    <mergeCell ref="RLQ24:RLR24"/>
    <mergeCell ref="RLS24:RLT24"/>
    <mergeCell ref="RLU24:RLV24"/>
    <mergeCell ref="RLW24:RLX24"/>
    <mergeCell ref="RLE24:RLF24"/>
    <mergeCell ref="RLG24:RLH24"/>
    <mergeCell ref="RLI24:RLJ24"/>
    <mergeCell ref="RLK24:RLL24"/>
    <mergeCell ref="RLM24:RLN24"/>
    <mergeCell ref="RNW24:RNX24"/>
    <mergeCell ref="RNY24:RNZ24"/>
    <mergeCell ref="ROA24:ROB24"/>
    <mergeCell ref="ROC24:ROD24"/>
    <mergeCell ref="ROE24:ROF24"/>
    <mergeCell ref="RNM24:RNN24"/>
    <mergeCell ref="RNO24:RNP24"/>
    <mergeCell ref="RNQ24:RNR24"/>
    <mergeCell ref="RNS24:RNT24"/>
    <mergeCell ref="RNU24:RNV24"/>
    <mergeCell ref="RNC24:RND24"/>
    <mergeCell ref="RNE24:RNF24"/>
    <mergeCell ref="RNG24:RNH24"/>
    <mergeCell ref="RNI24:RNJ24"/>
    <mergeCell ref="RNK24:RNL24"/>
    <mergeCell ref="RMS24:RMT24"/>
    <mergeCell ref="RMU24:RMV24"/>
    <mergeCell ref="RMW24:RMX24"/>
    <mergeCell ref="RMY24:RMZ24"/>
    <mergeCell ref="RNA24:RNB24"/>
    <mergeCell ref="RPK24:RPL24"/>
    <mergeCell ref="RPM24:RPN24"/>
    <mergeCell ref="RPO24:RPP24"/>
    <mergeCell ref="RPQ24:RPR24"/>
    <mergeCell ref="RPS24:RPT24"/>
    <mergeCell ref="RPA24:RPB24"/>
    <mergeCell ref="RPC24:RPD24"/>
    <mergeCell ref="RPE24:RPF24"/>
    <mergeCell ref="RPG24:RPH24"/>
    <mergeCell ref="RPI24:RPJ24"/>
    <mergeCell ref="ROQ24:ROR24"/>
    <mergeCell ref="ROS24:ROT24"/>
    <mergeCell ref="ROU24:ROV24"/>
    <mergeCell ref="ROW24:ROX24"/>
    <mergeCell ref="ROY24:ROZ24"/>
    <mergeCell ref="ROG24:ROH24"/>
    <mergeCell ref="ROI24:ROJ24"/>
    <mergeCell ref="ROK24:ROL24"/>
    <mergeCell ref="ROM24:RON24"/>
    <mergeCell ref="ROO24:ROP24"/>
    <mergeCell ref="RQY24:RQZ24"/>
    <mergeCell ref="RRA24:RRB24"/>
    <mergeCell ref="RRC24:RRD24"/>
    <mergeCell ref="RRE24:RRF24"/>
    <mergeCell ref="RRG24:RRH24"/>
    <mergeCell ref="RQO24:RQP24"/>
    <mergeCell ref="RQQ24:RQR24"/>
    <mergeCell ref="RQS24:RQT24"/>
    <mergeCell ref="RQU24:RQV24"/>
    <mergeCell ref="RQW24:RQX24"/>
    <mergeCell ref="RQE24:RQF24"/>
    <mergeCell ref="RQG24:RQH24"/>
    <mergeCell ref="RQI24:RQJ24"/>
    <mergeCell ref="RQK24:RQL24"/>
    <mergeCell ref="RQM24:RQN24"/>
    <mergeCell ref="RPU24:RPV24"/>
    <mergeCell ref="RPW24:RPX24"/>
    <mergeCell ref="RPY24:RPZ24"/>
    <mergeCell ref="RQA24:RQB24"/>
    <mergeCell ref="RQC24:RQD24"/>
    <mergeCell ref="RSM24:RSN24"/>
    <mergeCell ref="RSO24:RSP24"/>
    <mergeCell ref="RSQ24:RSR24"/>
    <mergeCell ref="RSS24:RST24"/>
    <mergeCell ref="RSU24:RSV24"/>
    <mergeCell ref="RSC24:RSD24"/>
    <mergeCell ref="RSE24:RSF24"/>
    <mergeCell ref="RSG24:RSH24"/>
    <mergeCell ref="RSI24:RSJ24"/>
    <mergeCell ref="RSK24:RSL24"/>
    <mergeCell ref="RRS24:RRT24"/>
    <mergeCell ref="RRU24:RRV24"/>
    <mergeCell ref="RRW24:RRX24"/>
    <mergeCell ref="RRY24:RRZ24"/>
    <mergeCell ref="RSA24:RSB24"/>
    <mergeCell ref="RRI24:RRJ24"/>
    <mergeCell ref="RRK24:RRL24"/>
    <mergeCell ref="RRM24:RRN24"/>
    <mergeCell ref="RRO24:RRP24"/>
    <mergeCell ref="RRQ24:RRR24"/>
    <mergeCell ref="RUA24:RUB24"/>
    <mergeCell ref="RUC24:RUD24"/>
    <mergeCell ref="RUE24:RUF24"/>
    <mergeCell ref="RUG24:RUH24"/>
    <mergeCell ref="RUI24:RUJ24"/>
    <mergeCell ref="RTQ24:RTR24"/>
    <mergeCell ref="RTS24:RTT24"/>
    <mergeCell ref="RTU24:RTV24"/>
    <mergeCell ref="RTW24:RTX24"/>
    <mergeCell ref="RTY24:RTZ24"/>
    <mergeCell ref="RTG24:RTH24"/>
    <mergeCell ref="RTI24:RTJ24"/>
    <mergeCell ref="RTK24:RTL24"/>
    <mergeCell ref="RTM24:RTN24"/>
    <mergeCell ref="RTO24:RTP24"/>
    <mergeCell ref="RSW24:RSX24"/>
    <mergeCell ref="RSY24:RSZ24"/>
    <mergeCell ref="RTA24:RTB24"/>
    <mergeCell ref="RTC24:RTD24"/>
    <mergeCell ref="RTE24:RTF24"/>
    <mergeCell ref="RVO24:RVP24"/>
    <mergeCell ref="RVQ24:RVR24"/>
    <mergeCell ref="RVS24:RVT24"/>
    <mergeCell ref="RVU24:RVV24"/>
    <mergeCell ref="RVW24:RVX24"/>
    <mergeCell ref="RVE24:RVF24"/>
    <mergeCell ref="RVG24:RVH24"/>
    <mergeCell ref="RVI24:RVJ24"/>
    <mergeCell ref="RVK24:RVL24"/>
    <mergeCell ref="RVM24:RVN24"/>
    <mergeCell ref="RUU24:RUV24"/>
    <mergeCell ref="RUW24:RUX24"/>
    <mergeCell ref="RUY24:RUZ24"/>
    <mergeCell ref="RVA24:RVB24"/>
    <mergeCell ref="RVC24:RVD24"/>
    <mergeCell ref="RUK24:RUL24"/>
    <mergeCell ref="RUM24:RUN24"/>
    <mergeCell ref="RUO24:RUP24"/>
    <mergeCell ref="RUQ24:RUR24"/>
    <mergeCell ref="RUS24:RUT24"/>
    <mergeCell ref="RXC24:RXD24"/>
    <mergeCell ref="RXE24:RXF24"/>
    <mergeCell ref="RXG24:RXH24"/>
    <mergeCell ref="RXI24:RXJ24"/>
    <mergeCell ref="RXK24:RXL24"/>
    <mergeCell ref="RWS24:RWT24"/>
    <mergeCell ref="RWU24:RWV24"/>
    <mergeCell ref="RWW24:RWX24"/>
    <mergeCell ref="RWY24:RWZ24"/>
    <mergeCell ref="RXA24:RXB24"/>
    <mergeCell ref="RWI24:RWJ24"/>
    <mergeCell ref="RWK24:RWL24"/>
    <mergeCell ref="RWM24:RWN24"/>
    <mergeCell ref="RWO24:RWP24"/>
    <mergeCell ref="RWQ24:RWR24"/>
    <mergeCell ref="RVY24:RVZ24"/>
    <mergeCell ref="RWA24:RWB24"/>
    <mergeCell ref="RWC24:RWD24"/>
    <mergeCell ref="RWE24:RWF24"/>
    <mergeCell ref="RWG24:RWH24"/>
    <mergeCell ref="RYQ24:RYR24"/>
    <mergeCell ref="RYS24:RYT24"/>
    <mergeCell ref="RYU24:RYV24"/>
    <mergeCell ref="RYW24:RYX24"/>
    <mergeCell ref="RYY24:RYZ24"/>
    <mergeCell ref="RYG24:RYH24"/>
    <mergeCell ref="RYI24:RYJ24"/>
    <mergeCell ref="RYK24:RYL24"/>
    <mergeCell ref="RYM24:RYN24"/>
    <mergeCell ref="RYO24:RYP24"/>
    <mergeCell ref="RXW24:RXX24"/>
    <mergeCell ref="RXY24:RXZ24"/>
    <mergeCell ref="RYA24:RYB24"/>
    <mergeCell ref="RYC24:RYD24"/>
    <mergeCell ref="RYE24:RYF24"/>
    <mergeCell ref="RXM24:RXN24"/>
    <mergeCell ref="RXO24:RXP24"/>
    <mergeCell ref="RXQ24:RXR24"/>
    <mergeCell ref="RXS24:RXT24"/>
    <mergeCell ref="RXU24:RXV24"/>
    <mergeCell ref="SAE24:SAF24"/>
    <mergeCell ref="SAG24:SAH24"/>
    <mergeCell ref="SAI24:SAJ24"/>
    <mergeCell ref="SAK24:SAL24"/>
    <mergeCell ref="SAM24:SAN24"/>
    <mergeCell ref="RZU24:RZV24"/>
    <mergeCell ref="RZW24:RZX24"/>
    <mergeCell ref="RZY24:RZZ24"/>
    <mergeCell ref="SAA24:SAB24"/>
    <mergeCell ref="SAC24:SAD24"/>
    <mergeCell ref="RZK24:RZL24"/>
    <mergeCell ref="RZM24:RZN24"/>
    <mergeCell ref="RZO24:RZP24"/>
    <mergeCell ref="RZQ24:RZR24"/>
    <mergeCell ref="RZS24:RZT24"/>
    <mergeCell ref="RZA24:RZB24"/>
    <mergeCell ref="RZC24:RZD24"/>
    <mergeCell ref="RZE24:RZF24"/>
    <mergeCell ref="RZG24:RZH24"/>
    <mergeCell ref="RZI24:RZJ24"/>
    <mergeCell ref="SBS24:SBT24"/>
    <mergeCell ref="SBU24:SBV24"/>
    <mergeCell ref="SBW24:SBX24"/>
    <mergeCell ref="SBY24:SBZ24"/>
    <mergeCell ref="SCA24:SCB24"/>
    <mergeCell ref="SBI24:SBJ24"/>
    <mergeCell ref="SBK24:SBL24"/>
    <mergeCell ref="SBM24:SBN24"/>
    <mergeCell ref="SBO24:SBP24"/>
    <mergeCell ref="SBQ24:SBR24"/>
    <mergeCell ref="SAY24:SAZ24"/>
    <mergeCell ref="SBA24:SBB24"/>
    <mergeCell ref="SBC24:SBD24"/>
    <mergeCell ref="SBE24:SBF24"/>
    <mergeCell ref="SBG24:SBH24"/>
    <mergeCell ref="SAO24:SAP24"/>
    <mergeCell ref="SAQ24:SAR24"/>
    <mergeCell ref="SAS24:SAT24"/>
    <mergeCell ref="SAU24:SAV24"/>
    <mergeCell ref="SAW24:SAX24"/>
    <mergeCell ref="SDG24:SDH24"/>
    <mergeCell ref="SDI24:SDJ24"/>
    <mergeCell ref="SDK24:SDL24"/>
    <mergeCell ref="SDM24:SDN24"/>
    <mergeCell ref="SDO24:SDP24"/>
    <mergeCell ref="SCW24:SCX24"/>
    <mergeCell ref="SCY24:SCZ24"/>
    <mergeCell ref="SDA24:SDB24"/>
    <mergeCell ref="SDC24:SDD24"/>
    <mergeCell ref="SDE24:SDF24"/>
    <mergeCell ref="SCM24:SCN24"/>
    <mergeCell ref="SCO24:SCP24"/>
    <mergeCell ref="SCQ24:SCR24"/>
    <mergeCell ref="SCS24:SCT24"/>
    <mergeCell ref="SCU24:SCV24"/>
    <mergeCell ref="SCC24:SCD24"/>
    <mergeCell ref="SCE24:SCF24"/>
    <mergeCell ref="SCG24:SCH24"/>
    <mergeCell ref="SCI24:SCJ24"/>
    <mergeCell ref="SCK24:SCL24"/>
    <mergeCell ref="SEU24:SEV24"/>
    <mergeCell ref="SEW24:SEX24"/>
    <mergeCell ref="SEY24:SEZ24"/>
    <mergeCell ref="SFA24:SFB24"/>
    <mergeCell ref="SFC24:SFD24"/>
    <mergeCell ref="SEK24:SEL24"/>
    <mergeCell ref="SEM24:SEN24"/>
    <mergeCell ref="SEO24:SEP24"/>
    <mergeCell ref="SEQ24:SER24"/>
    <mergeCell ref="SES24:SET24"/>
    <mergeCell ref="SEA24:SEB24"/>
    <mergeCell ref="SEC24:SED24"/>
    <mergeCell ref="SEE24:SEF24"/>
    <mergeCell ref="SEG24:SEH24"/>
    <mergeCell ref="SEI24:SEJ24"/>
    <mergeCell ref="SDQ24:SDR24"/>
    <mergeCell ref="SDS24:SDT24"/>
    <mergeCell ref="SDU24:SDV24"/>
    <mergeCell ref="SDW24:SDX24"/>
    <mergeCell ref="SDY24:SDZ24"/>
    <mergeCell ref="SGI24:SGJ24"/>
    <mergeCell ref="SGK24:SGL24"/>
    <mergeCell ref="SGM24:SGN24"/>
    <mergeCell ref="SGO24:SGP24"/>
    <mergeCell ref="SGQ24:SGR24"/>
    <mergeCell ref="SFY24:SFZ24"/>
    <mergeCell ref="SGA24:SGB24"/>
    <mergeCell ref="SGC24:SGD24"/>
    <mergeCell ref="SGE24:SGF24"/>
    <mergeCell ref="SGG24:SGH24"/>
    <mergeCell ref="SFO24:SFP24"/>
    <mergeCell ref="SFQ24:SFR24"/>
    <mergeCell ref="SFS24:SFT24"/>
    <mergeCell ref="SFU24:SFV24"/>
    <mergeCell ref="SFW24:SFX24"/>
    <mergeCell ref="SFE24:SFF24"/>
    <mergeCell ref="SFG24:SFH24"/>
    <mergeCell ref="SFI24:SFJ24"/>
    <mergeCell ref="SFK24:SFL24"/>
    <mergeCell ref="SFM24:SFN24"/>
    <mergeCell ref="SHW24:SHX24"/>
    <mergeCell ref="SHY24:SHZ24"/>
    <mergeCell ref="SIA24:SIB24"/>
    <mergeCell ref="SIC24:SID24"/>
    <mergeCell ref="SIE24:SIF24"/>
    <mergeCell ref="SHM24:SHN24"/>
    <mergeCell ref="SHO24:SHP24"/>
    <mergeCell ref="SHQ24:SHR24"/>
    <mergeCell ref="SHS24:SHT24"/>
    <mergeCell ref="SHU24:SHV24"/>
    <mergeCell ref="SHC24:SHD24"/>
    <mergeCell ref="SHE24:SHF24"/>
    <mergeCell ref="SHG24:SHH24"/>
    <mergeCell ref="SHI24:SHJ24"/>
    <mergeCell ref="SHK24:SHL24"/>
    <mergeCell ref="SGS24:SGT24"/>
    <mergeCell ref="SGU24:SGV24"/>
    <mergeCell ref="SGW24:SGX24"/>
    <mergeCell ref="SGY24:SGZ24"/>
    <mergeCell ref="SHA24:SHB24"/>
    <mergeCell ref="SJK24:SJL24"/>
    <mergeCell ref="SJM24:SJN24"/>
    <mergeCell ref="SJO24:SJP24"/>
    <mergeCell ref="SJQ24:SJR24"/>
    <mergeCell ref="SJS24:SJT24"/>
    <mergeCell ref="SJA24:SJB24"/>
    <mergeCell ref="SJC24:SJD24"/>
    <mergeCell ref="SJE24:SJF24"/>
    <mergeCell ref="SJG24:SJH24"/>
    <mergeCell ref="SJI24:SJJ24"/>
    <mergeCell ref="SIQ24:SIR24"/>
    <mergeCell ref="SIS24:SIT24"/>
    <mergeCell ref="SIU24:SIV24"/>
    <mergeCell ref="SIW24:SIX24"/>
    <mergeCell ref="SIY24:SIZ24"/>
    <mergeCell ref="SIG24:SIH24"/>
    <mergeCell ref="SII24:SIJ24"/>
    <mergeCell ref="SIK24:SIL24"/>
    <mergeCell ref="SIM24:SIN24"/>
    <mergeCell ref="SIO24:SIP24"/>
    <mergeCell ref="SKY24:SKZ24"/>
    <mergeCell ref="SLA24:SLB24"/>
    <mergeCell ref="SLC24:SLD24"/>
    <mergeCell ref="SLE24:SLF24"/>
    <mergeCell ref="SLG24:SLH24"/>
    <mergeCell ref="SKO24:SKP24"/>
    <mergeCell ref="SKQ24:SKR24"/>
    <mergeCell ref="SKS24:SKT24"/>
    <mergeCell ref="SKU24:SKV24"/>
    <mergeCell ref="SKW24:SKX24"/>
    <mergeCell ref="SKE24:SKF24"/>
    <mergeCell ref="SKG24:SKH24"/>
    <mergeCell ref="SKI24:SKJ24"/>
    <mergeCell ref="SKK24:SKL24"/>
    <mergeCell ref="SKM24:SKN24"/>
    <mergeCell ref="SJU24:SJV24"/>
    <mergeCell ref="SJW24:SJX24"/>
    <mergeCell ref="SJY24:SJZ24"/>
    <mergeCell ref="SKA24:SKB24"/>
    <mergeCell ref="SKC24:SKD24"/>
    <mergeCell ref="SMM24:SMN24"/>
    <mergeCell ref="SMO24:SMP24"/>
    <mergeCell ref="SMQ24:SMR24"/>
    <mergeCell ref="SMS24:SMT24"/>
    <mergeCell ref="SMU24:SMV24"/>
    <mergeCell ref="SMC24:SMD24"/>
    <mergeCell ref="SME24:SMF24"/>
    <mergeCell ref="SMG24:SMH24"/>
    <mergeCell ref="SMI24:SMJ24"/>
    <mergeCell ref="SMK24:SML24"/>
    <mergeCell ref="SLS24:SLT24"/>
    <mergeCell ref="SLU24:SLV24"/>
    <mergeCell ref="SLW24:SLX24"/>
    <mergeCell ref="SLY24:SLZ24"/>
    <mergeCell ref="SMA24:SMB24"/>
    <mergeCell ref="SLI24:SLJ24"/>
    <mergeCell ref="SLK24:SLL24"/>
    <mergeCell ref="SLM24:SLN24"/>
    <mergeCell ref="SLO24:SLP24"/>
    <mergeCell ref="SLQ24:SLR24"/>
    <mergeCell ref="SOA24:SOB24"/>
    <mergeCell ref="SOC24:SOD24"/>
    <mergeCell ref="SOE24:SOF24"/>
    <mergeCell ref="SOG24:SOH24"/>
    <mergeCell ref="SOI24:SOJ24"/>
    <mergeCell ref="SNQ24:SNR24"/>
    <mergeCell ref="SNS24:SNT24"/>
    <mergeCell ref="SNU24:SNV24"/>
    <mergeCell ref="SNW24:SNX24"/>
    <mergeCell ref="SNY24:SNZ24"/>
    <mergeCell ref="SNG24:SNH24"/>
    <mergeCell ref="SNI24:SNJ24"/>
    <mergeCell ref="SNK24:SNL24"/>
    <mergeCell ref="SNM24:SNN24"/>
    <mergeCell ref="SNO24:SNP24"/>
    <mergeCell ref="SMW24:SMX24"/>
    <mergeCell ref="SMY24:SMZ24"/>
    <mergeCell ref="SNA24:SNB24"/>
    <mergeCell ref="SNC24:SND24"/>
    <mergeCell ref="SNE24:SNF24"/>
    <mergeCell ref="SPO24:SPP24"/>
    <mergeCell ref="SPQ24:SPR24"/>
    <mergeCell ref="SPS24:SPT24"/>
    <mergeCell ref="SPU24:SPV24"/>
    <mergeCell ref="SPW24:SPX24"/>
    <mergeCell ref="SPE24:SPF24"/>
    <mergeCell ref="SPG24:SPH24"/>
    <mergeCell ref="SPI24:SPJ24"/>
    <mergeCell ref="SPK24:SPL24"/>
    <mergeCell ref="SPM24:SPN24"/>
    <mergeCell ref="SOU24:SOV24"/>
    <mergeCell ref="SOW24:SOX24"/>
    <mergeCell ref="SOY24:SOZ24"/>
    <mergeCell ref="SPA24:SPB24"/>
    <mergeCell ref="SPC24:SPD24"/>
    <mergeCell ref="SOK24:SOL24"/>
    <mergeCell ref="SOM24:SON24"/>
    <mergeCell ref="SOO24:SOP24"/>
    <mergeCell ref="SOQ24:SOR24"/>
    <mergeCell ref="SOS24:SOT24"/>
    <mergeCell ref="SRC24:SRD24"/>
    <mergeCell ref="SRE24:SRF24"/>
    <mergeCell ref="SRG24:SRH24"/>
    <mergeCell ref="SRI24:SRJ24"/>
    <mergeCell ref="SRK24:SRL24"/>
    <mergeCell ref="SQS24:SQT24"/>
    <mergeCell ref="SQU24:SQV24"/>
    <mergeCell ref="SQW24:SQX24"/>
    <mergeCell ref="SQY24:SQZ24"/>
    <mergeCell ref="SRA24:SRB24"/>
    <mergeCell ref="SQI24:SQJ24"/>
    <mergeCell ref="SQK24:SQL24"/>
    <mergeCell ref="SQM24:SQN24"/>
    <mergeCell ref="SQO24:SQP24"/>
    <mergeCell ref="SQQ24:SQR24"/>
    <mergeCell ref="SPY24:SPZ24"/>
    <mergeCell ref="SQA24:SQB24"/>
    <mergeCell ref="SQC24:SQD24"/>
    <mergeCell ref="SQE24:SQF24"/>
    <mergeCell ref="SQG24:SQH24"/>
    <mergeCell ref="SSQ24:SSR24"/>
    <mergeCell ref="SSS24:SST24"/>
    <mergeCell ref="SSU24:SSV24"/>
    <mergeCell ref="SSW24:SSX24"/>
    <mergeCell ref="SSY24:SSZ24"/>
    <mergeCell ref="SSG24:SSH24"/>
    <mergeCell ref="SSI24:SSJ24"/>
    <mergeCell ref="SSK24:SSL24"/>
    <mergeCell ref="SSM24:SSN24"/>
    <mergeCell ref="SSO24:SSP24"/>
    <mergeCell ref="SRW24:SRX24"/>
    <mergeCell ref="SRY24:SRZ24"/>
    <mergeCell ref="SSA24:SSB24"/>
    <mergeCell ref="SSC24:SSD24"/>
    <mergeCell ref="SSE24:SSF24"/>
    <mergeCell ref="SRM24:SRN24"/>
    <mergeCell ref="SRO24:SRP24"/>
    <mergeCell ref="SRQ24:SRR24"/>
    <mergeCell ref="SRS24:SRT24"/>
    <mergeCell ref="SRU24:SRV24"/>
    <mergeCell ref="SUE24:SUF24"/>
    <mergeCell ref="SUG24:SUH24"/>
    <mergeCell ref="SUI24:SUJ24"/>
    <mergeCell ref="SUK24:SUL24"/>
    <mergeCell ref="SUM24:SUN24"/>
    <mergeCell ref="STU24:STV24"/>
    <mergeCell ref="STW24:STX24"/>
    <mergeCell ref="STY24:STZ24"/>
    <mergeCell ref="SUA24:SUB24"/>
    <mergeCell ref="SUC24:SUD24"/>
    <mergeCell ref="STK24:STL24"/>
    <mergeCell ref="STM24:STN24"/>
    <mergeCell ref="STO24:STP24"/>
    <mergeCell ref="STQ24:STR24"/>
    <mergeCell ref="STS24:STT24"/>
    <mergeCell ref="STA24:STB24"/>
    <mergeCell ref="STC24:STD24"/>
    <mergeCell ref="STE24:STF24"/>
    <mergeCell ref="STG24:STH24"/>
    <mergeCell ref="STI24:STJ24"/>
    <mergeCell ref="SVS24:SVT24"/>
    <mergeCell ref="SVU24:SVV24"/>
    <mergeCell ref="SVW24:SVX24"/>
    <mergeCell ref="SVY24:SVZ24"/>
    <mergeCell ref="SWA24:SWB24"/>
    <mergeCell ref="SVI24:SVJ24"/>
    <mergeCell ref="SVK24:SVL24"/>
    <mergeCell ref="SVM24:SVN24"/>
    <mergeCell ref="SVO24:SVP24"/>
    <mergeCell ref="SVQ24:SVR24"/>
    <mergeCell ref="SUY24:SUZ24"/>
    <mergeCell ref="SVA24:SVB24"/>
    <mergeCell ref="SVC24:SVD24"/>
    <mergeCell ref="SVE24:SVF24"/>
    <mergeCell ref="SVG24:SVH24"/>
    <mergeCell ref="SUO24:SUP24"/>
    <mergeCell ref="SUQ24:SUR24"/>
    <mergeCell ref="SUS24:SUT24"/>
    <mergeCell ref="SUU24:SUV24"/>
    <mergeCell ref="SUW24:SUX24"/>
    <mergeCell ref="SXG24:SXH24"/>
    <mergeCell ref="SXI24:SXJ24"/>
    <mergeCell ref="SXK24:SXL24"/>
    <mergeCell ref="SXM24:SXN24"/>
    <mergeCell ref="SXO24:SXP24"/>
    <mergeCell ref="SWW24:SWX24"/>
    <mergeCell ref="SWY24:SWZ24"/>
    <mergeCell ref="SXA24:SXB24"/>
    <mergeCell ref="SXC24:SXD24"/>
    <mergeCell ref="SXE24:SXF24"/>
    <mergeCell ref="SWM24:SWN24"/>
    <mergeCell ref="SWO24:SWP24"/>
    <mergeCell ref="SWQ24:SWR24"/>
    <mergeCell ref="SWS24:SWT24"/>
    <mergeCell ref="SWU24:SWV24"/>
    <mergeCell ref="SWC24:SWD24"/>
    <mergeCell ref="SWE24:SWF24"/>
    <mergeCell ref="SWG24:SWH24"/>
    <mergeCell ref="SWI24:SWJ24"/>
    <mergeCell ref="SWK24:SWL24"/>
    <mergeCell ref="SYU24:SYV24"/>
    <mergeCell ref="SYW24:SYX24"/>
    <mergeCell ref="SYY24:SYZ24"/>
    <mergeCell ref="SZA24:SZB24"/>
    <mergeCell ref="SZC24:SZD24"/>
    <mergeCell ref="SYK24:SYL24"/>
    <mergeCell ref="SYM24:SYN24"/>
    <mergeCell ref="SYO24:SYP24"/>
    <mergeCell ref="SYQ24:SYR24"/>
    <mergeCell ref="SYS24:SYT24"/>
    <mergeCell ref="SYA24:SYB24"/>
    <mergeCell ref="SYC24:SYD24"/>
    <mergeCell ref="SYE24:SYF24"/>
    <mergeCell ref="SYG24:SYH24"/>
    <mergeCell ref="SYI24:SYJ24"/>
    <mergeCell ref="SXQ24:SXR24"/>
    <mergeCell ref="SXS24:SXT24"/>
    <mergeCell ref="SXU24:SXV24"/>
    <mergeCell ref="SXW24:SXX24"/>
    <mergeCell ref="SXY24:SXZ24"/>
    <mergeCell ref="TAI24:TAJ24"/>
    <mergeCell ref="TAK24:TAL24"/>
    <mergeCell ref="TAM24:TAN24"/>
    <mergeCell ref="TAO24:TAP24"/>
    <mergeCell ref="TAQ24:TAR24"/>
    <mergeCell ref="SZY24:SZZ24"/>
    <mergeCell ref="TAA24:TAB24"/>
    <mergeCell ref="TAC24:TAD24"/>
    <mergeCell ref="TAE24:TAF24"/>
    <mergeCell ref="TAG24:TAH24"/>
    <mergeCell ref="SZO24:SZP24"/>
    <mergeCell ref="SZQ24:SZR24"/>
    <mergeCell ref="SZS24:SZT24"/>
    <mergeCell ref="SZU24:SZV24"/>
    <mergeCell ref="SZW24:SZX24"/>
    <mergeCell ref="SZE24:SZF24"/>
    <mergeCell ref="SZG24:SZH24"/>
    <mergeCell ref="SZI24:SZJ24"/>
    <mergeCell ref="SZK24:SZL24"/>
    <mergeCell ref="SZM24:SZN24"/>
    <mergeCell ref="TBW24:TBX24"/>
    <mergeCell ref="TBY24:TBZ24"/>
    <mergeCell ref="TCA24:TCB24"/>
    <mergeCell ref="TCC24:TCD24"/>
    <mergeCell ref="TCE24:TCF24"/>
    <mergeCell ref="TBM24:TBN24"/>
    <mergeCell ref="TBO24:TBP24"/>
    <mergeCell ref="TBQ24:TBR24"/>
    <mergeCell ref="TBS24:TBT24"/>
    <mergeCell ref="TBU24:TBV24"/>
    <mergeCell ref="TBC24:TBD24"/>
    <mergeCell ref="TBE24:TBF24"/>
    <mergeCell ref="TBG24:TBH24"/>
    <mergeCell ref="TBI24:TBJ24"/>
    <mergeCell ref="TBK24:TBL24"/>
    <mergeCell ref="TAS24:TAT24"/>
    <mergeCell ref="TAU24:TAV24"/>
    <mergeCell ref="TAW24:TAX24"/>
    <mergeCell ref="TAY24:TAZ24"/>
    <mergeCell ref="TBA24:TBB24"/>
    <mergeCell ref="TDK24:TDL24"/>
    <mergeCell ref="TDM24:TDN24"/>
    <mergeCell ref="TDO24:TDP24"/>
    <mergeCell ref="TDQ24:TDR24"/>
    <mergeCell ref="TDS24:TDT24"/>
    <mergeCell ref="TDA24:TDB24"/>
    <mergeCell ref="TDC24:TDD24"/>
    <mergeCell ref="TDE24:TDF24"/>
    <mergeCell ref="TDG24:TDH24"/>
    <mergeCell ref="TDI24:TDJ24"/>
    <mergeCell ref="TCQ24:TCR24"/>
    <mergeCell ref="TCS24:TCT24"/>
    <mergeCell ref="TCU24:TCV24"/>
    <mergeCell ref="TCW24:TCX24"/>
    <mergeCell ref="TCY24:TCZ24"/>
    <mergeCell ref="TCG24:TCH24"/>
    <mergeCell ref="TCI24:TCJ24"/>
    <mergeCell ref="TCK24:TCL24"/>
    <mergeCell ref="TCM24:TCN24"/>
    <mergeCell ref="TCO24:TCP24"/>
    <mergeCell ref="TEY24:TEZ24"/>
    <mergeCell ref="TFA24:TFB24"/>
    <mergeCell ref="TFC24:TFD24"/>
    <mergeCell ref="TFE24:TFF24"/>
    <mergeCell ref="TFG24:TFH24"/>
    <mergeCell ref="TEO24:TEP24"/>
    <mergeCell ref="TEQ24:TER24"/>
    <mergeCell ref="TES24:TET24"/>
    <mergeCell ref="TEU24:TEV24"/>
    <mergeCell ref="TEW24:TEX24"/>
    <mergeCell ref="TEE24:TEF24"/>
    <mergeCell ref="TEG24:TEH24"/>
    <mergeCell ref="TEI24:TEJ24"/>
    <mergeCell ref="TEK24:TEL24"/>
    <mergeCell ref="TEM24:TEN24"/>
    <mergeCell ref="TDU24:TDV24"/>
    <mergeCell ref="TDW24:TDX24"/>
    <mergeCell ref="TDY24:TDZ24"/>
    <mergeCell ref="TEA24:TEB24"/>
    <mergeCell ref="TEC24:TED24"/>
    <mergeCell ref="TGM24:TGN24"/>
    <mergeCell ref="TGO24:TGP24"/>
    <mergeCell ref="TGQ24:TGR24"/>
    <mergeCell ref="TGS24:TGT24"/>
    <mergeCell ref="TGU24:TGV24"/>
    <mergeCell ref="TGC24:TGD24"/>
    <mergeCell ref="TGE24:TGF24"/>
    <mergeCell ref="TGG24:TGH24"/>
    <mergeCell ref="TGI24:TGJ24"/>
    <mergeCell ref="TGK24:TGL24"/>
    <mergeCell ref="TFS24:TFT24"/>
    <mergeCell ref="TFU24:TFV24"/>
    <mergeCell ref="TFW24:TFX24"/>
    <mergeCell ref="TFY24:TFZ24"/>
    <mergeCell ref="TGA24:TGB24"/>
    <mergeCell ref="TFI24:TFJ24"/>
    <mergeCell ref="TFK24:TFL24"/>
    <mergeCell ref="TFM24:TFN24"/>
    <mergeCell ref="TFO24:TFP24"/>
    <mergeCell ref="TFQ24:TFR24"/>
    <mergeCell ref="TIA24:TIB24"/>
    <mergeCell ref="TIC24:TID24"/>
    <mergeCell ref="TIE24:TIF24"/>
    <mergeCell ref="TIG24:TIH24"/>
    <mergeCell ref="TII24:TIJ24"/>
    <mergeCell ref="THQ24:THR24"/>
    <mergeCell ref="THS24:THT24"/>
    <mergeCell ref="THU24:THV24"/>
    <mergeCell ref="THW24:THX24"/>
    <mergeCell ref="THY24:THZ24"/>
    <mergeCell ref="THG24:THH24"/>
    <mergeCell ref="THI24:THJ24"/>
    <mergeCell ref="THK24:THL24"/>
    <mergeCell ref="THM24:THN24"/>
    <mergeCell ref="THO24:THP24"/>
    <mergeCell ref="TGW24:TGX24"/>
    <mergeCell ref="TGY24:TGZ24"/>
    <mergeCell ref="THA24:THB24"/>
    <mergeCell ref="THC24:THD24"/>
    <mergeCell ref="THE24:THF24"/>
    <mergeCell ref="TJO24:TJP24"/>
    <mergeCell ref="TJQ24:TJR24"/>
    <mergeCell ref="TJS24:TJT24"/>
    <mergeCell ref="TJU24:TJV24"/>
    <mergeCell ref="TJW24:TJX24"/>
    <mergeCell ref="TJE24:TJF24"/>
    <mergeCell ref="TJG24:TJH24"/>
    <mergeCell ref="TJI24:TJJ24"/>
    <mergeCell ref="TJK24:TJL24"/>
    <mergeCell ref="TJM24:TJN24"/>
    <mergeCell ref="TIU24:TIV24"/>
    <mergeCell ref="TIW24:TIX24"/>
    <mergeCell ref="TIY24:TIZ24"/>
    <mergeCell ref="TJA24:TJB24"/>
    <mergeCell ref="TJC24:TJD24"/>
    <mergeCell ref="TIK24:TIL24"/>
    <mergeCell ref="TIM24:TIN24"/>
    <mergeCell ref="TIO24:TIP24"/>
    <mergeCell ref="TIQ24:TIR24"/>
    <mergeCell ref="TIS24:TIT24"/>
    <mergeCell ref="TLC24:TLD24"/>
    <mergeCell ref="TLE24:TLF24"/>
    <mergeCell ref="TLG24:TLH24"/>
    <mergeCell ref="TLI24:TLJ24"/>
    <mergeCell ref="TLK24:TLL24"/>
    <mergeCell ref="TKS24:TKT24"/>
    <mergeCell ref="TKU24:TKV24"/>
    <mergeCell ref="TKW24:TKX24"/>
    <mergeCell ref="TKY24:TKZ24"/>
    <mergeCell ref="TLA24:TLB24"/>
    <mergeCell ref="TKI24:TKJ24"/>
    <mergeCell ref="TKK24:TKL24"/>
    <mergeCell ref="TKM24:TKN24"/>
    <mergeCell ref="TKO24:TKP24"/>
    <mergeCell ref="TKQ24:TKR24"/>
    <mergeCell ref="TJY24:TJZ24"/>
    <mergeCell ref="TKA24:TKB24"/>
    <mergeCell ref="TKC24:TKD24"/>
    <mergeCell ref="TKE24:TKF24"/>
    <mergeCell ref="TKG24:TKH24"/>
    <mergeCell ref="TMQ24:TMR24"/>
    <mergeCell ref="TMS24:TMT24"/>
    <mergeCell ref="TMU24:TMV24"/>
    <mergeCell ref="TMW24:TMX24"/>
    <mergeCell ref="TMY24:TMZ24"/>
    <mergeCell ref="TMG24:TMH24"/>
    <mergeCell ref="TMI24:TMJ24"/>
    <mergeCell ref="TMK24:TML24"/>
    <mergeCell ref="TMM24:TMN24"/>
    <mergeCell ref="TMO24:TMP24"/>
    <mergeCell ref="TLW24:TLX24"/>
    <mergeCell ref="TLY24:TLZ24"/>
    <mergeCell ref="TMA24:TMB24"/>
    <mergeCell ref="TMC24:TMD24"/>
    <mergeCell ref="TME24:TMF24"/>
    <mergeCell ref="TLM24:TLN24"/>
    <mergeCell ref="TLO24:TLP24"/>
    <mergeCell ref="TLQ24:TLR24"/>
    <mergeCell ref="TLS24:TLT24"/>
    <mergeCell ref="TLU24:TLV24"/>
    <mergeCell ref="TOE24:TOF24"/>
    <mergeCell ref="TOG24:TOH24"/>
    <mergeCell ref="TOI24:TOJ24"/>
    <mergeCell ref="TOK24:TOL24"/>
    <mergeCell ref="TOM24:TON24"/>
    <mergeCell ref="TNU24:TNV24"/>
    <mergeCell ref="TNW24:TNX24"/>
    <mergeCell ref="TNY24:TNZ24"/>
    <mergeCell ref="TOA24:TOB24"/>
    <mergeCell ref="TOC24:TOD24"/>
    <mergeCell ref="TNK24:TNL24"/>
    <mergeCell ref="TNM24:TNN24"/>
    <mergeCell ref="TNO24:TNP24"/>
    <mergeCell ref="TNQ24:TNR24"/>
    <mergeCell ref="TNS24:TNT24"/>
    <mergeCell ref="TNA24:TNB24"/>
    <mergeCell ref="TNC24:TND24"/>
    <mergeCell ref="TNE24:TNF24"/>
    <mergeCell ref="TNG24:TNH24"/>
    <mergeCell ref="TNI24:TNJ24"/>
    <mergeCell ref="TPS24:TPT24"/>
    <mergeCell ref="TPU24:TPV24"/>
    <mergeCell ref="TPW24:TPX24"/>
    <mergeCell ref="TPY24:TPZ24"/>
    <mergeCell ref="TQA24:TQB24"/>
    <mergeCell ref="TPI24:TPJ24"/>
    <mergeCell ref="TPK24:TPL24"/>
    <mergeCell ref="TPM24:TPN24"/>
    <mergeCell ref="TPO24:TPP24"/>
    <mergeCell ref="TPQ24:TPR24"/>
    <mergeCell ref="TOY24:TOZ24"/>
    <mergeCell ref="TPA24:TPB24"/>
    <mergeCell ref="TPC24:TPD24"/>
    <mergeCell ref="TPE24:TPF24"/>
    <mergeCell ref="TPG24:TPH24"/>
    <mergeCell ref="TOO24:TOP24"/>
    <mergeCell ref="TOQ24:TOR24"/>
    <mergeCell ref="TOS24:TOT24"/>
    <mergeCell ref="TOU24:TOV24"/>
    <mergeCell ref="TOW24:TOX24"/>
    <mergeCell ref="TRG24:TRH24"/>
    <mergeCell ref="TRI24:TRJ24"/>
    <mergeCell ref="TRK24:TRL24"/>
    <mergeCell ref="TRM24:TRN24"/>
    <mergeCell ref="TRO24:TRP24"/>
    <mergeCell ref="TQW24:TQX24"/>
    <mergeCell ref="TQY24:TQZ24"/>
    <mergeCell ref="TRA24:TRB24"/>
    <mergeCell ref="TRC24:TRD24"/>
    <mergeCell ref="TRE24:TRF24"/>
    <mergeCell ref="TQM24:TQN24"/>
    <mergeCell ref="TQO24:TQP24"/>
    <mergeCell ref="TQQ24:TQR24"/>
    <mergeCell ref="TQS24:TQT24"/>
    <mergeCell ref="TQU24:TQV24"/>
    <mergeCell ref="TQC24:TQD24"/>
    <mergeCell ref="TQE24:TQF24"/>
    <mergeCell ref="TQG24:TQH24"/>
    <mergeCell ref="TQI24:TQJ24"/>
    <mergeCell ref="TQK24:TQL24"/>
    <mergeCell ref="TSU24:TSV24"/>
    <mergeCell ref="TSW24:TSX24"/>
    <mergeCell ref="TSY24:TSZ24"/>
    <mergeCell ref="TTA24:TTB24"/>
    <mergeCell ref="TTC24:TTD24"/>
    <mergeCell ref="TSK24:TSL24"/>
    <mergeCell ref="TSM24:TSN24"/>
    <mergeCell ref="TSO24:TSP24"/>
    <mergeCell ref="TSQ24:TSR24"/>
    <mergeCell ref="TSS24:TST24"/>
    <mergeCell ref="TSA24:TSB24"/>
    <mergeCell ref="TSC24:TSD24"/>
    <mergeCell ref="TSE24:TSF24"/>
    <mergeCell ref="TSG24:TSH24"/>
    <mergeCell ref="TSI24:TSJ24"/>
    <mergeCell ref="TRQ24:TRR24"/>
    <mergeCell ref="TRS24:TRT24"/>
    <mergeCell ref="TRU24:TRV24"/>
    <mergeCell ref="TRW24:TRX24"/>
    <mergeCell ref="TRY24:TRZ24"/>
    <mergeCell ref="TUI24:TUJ24"/>
    <mergeCell ref="TUK24:TUL24"/>
    <mergeCell ref="TUM24:TUN24"/>
    <mergeCell ref="TUO24:TUP24"/>
    <mergeCell ref="TUQ24:TUR24"/>
    <mergeCell ref="TTY24:TTZ24"/>
    <mergeCell ref="TUA24:TUB24"/>
    <mergeCell ref="TUC24:TUD24"/>
    <mergeCell ref="TUE24:TUF24"/>
    <mergeCell ref="TUG24:TUH24"/>
    <mergeCell ref="TTO24:TTP24"/>
    <mergeCell ref="TTQ24:TTR24"/>
    <mergeCell ref="TTS24:TTT24"/>
    <mergeCell ref="TTU24:TTV24"/>
    <mergeCell ref="TTW24:TTX24"/>
    <mergeCell ref="TTE24:TTF24"/>
    <mergeCell ref="TTG24:TTH24"/>
    <mergeCell ref="TTI24:TTJ24"/>
    <mergeCell ref="TTK24:TTL24"/>
    <mergeCell ref="TTM24:TTN24"/>
    <mergeCell ref="TVW24:TVX24"/>
    <mergeCell ref="TVY24:TVZ24"/>
    <mergeCell ref="TWA24:TWB24"/>
    <mergeCell ref="TWC24:TWD24"/>
    <mergeCell ref="TWE24:TWF24"/>
    <mergeCell ref="TVM24:TVN24"/>
    <mergeCell ref="TVO24:TVP24"/>
    <mergeCell ref="TVQ24:TVR24"/>
    <mergeCell ref="TVS24:TVT24"/>
    <mergeCell ref="TVU24:TVV24"/>
    <mergeCell ref="TVC24:TVD24"/>
    <mergeCell ref="TVE24:TVF24"/>
    <mergeCell ref="TVG24:TVH24"/>
    <mergeCell ref="TVI24:TVJ24"/>
    <mergeCell ref="TVK24:TVL24"/>
    <mergeCell ref="TUS24:TUT24"/>
    <mergeCell ref="TUU24:TUV24"/>
    <mergeCell ref="TUW24:TUX24"/>
    <mergeCell ref="TUY24:TUZ24"/>
    <mergeCell ref="TVA24:TVB24"/>
    <mergeCell ref="TXK24:TXL24"/>
    <mergeCell ref="TXM24:TXN24"/>
    <mergeCell ref="TXO24:TXP24"/>
    <mergeCell ref="TXQ24:TXR24"/>
    <mergeCell ref="TXS24:TXT24"/>
    <mergeCell ref="TXA24:TXB24"/>
    <mergeCell ref="TXC24:TXD24"/>
    <mergeCell ref="TXE24:TXF24"/>
    <mergeCell ref="TXG24:TXH24"/>
    <mergeCell ref="TXI24:TXJ24"/>
    <mergeCell ref="TWQ24:TWR24"/>
    <mergeCell ref="TWS24:TWT24"/>
    <mergeCell ref="TWU24:TWV24"/>
    <mergeCell ref="TWW24:TWX24"/>
    <mergeCell ref="TWY24:TWZ24"/>
    <mergeCell ref="TWG24:TWH24"/>
    <mergeCell ref="TWI24:TWJ24"/>
    <mergeCell ref="TWK24:TWL24"/>
    <mergeCell ref="TWM24:TWN24"/>
    <mergeCell ref="TWO24:TWP24"/>
    <mergeCell ref="TYY24:TYZ24"/>
    <mergeCell ref="TZA24:TZB24"/>
    <mergeCell ref="TZC24:TZD24"/>
    <mergeCell ref="TZE24:TZF24"/>
    <mergeCell ref="TZG24:TZH24"/>
    <mergeCell ref="TYO24:TYP24"/>
    <mergeCell ref="TYQ24:TYR24"/>
    <mergeCell ref="TYS24:TYT24"/>
    <mergeCell ref="TYU24:TYV24"/>
    <mergeCell ref="TYW24:TYX24"/>
    <mergeCell ref="TYE24:TYF24"/>
    <mergeCell ref="TYG24:TYH24"/>
    <mergeCell ref="TYI24:TYJ24"/>
    <mergeCell ref="TYK24:TYL24"/>
    <mergeCell ref="TYM24:TYN24"/>
    <mergeCell ref="TXU24:TXV24"/>
    <mergeCell ref="TXW24:TXX24"/>
    <mergeCell ref="TXY24:TXZ24"/>
    <mergeCell ref="TYA24:TYB24"/>
    <mergeCell ref="TYC24:TYD24"/>
    <mergeCell ref="UAM24:UAN24"/>
    <mergeCell ref="UAO24:UAP24"/>
    <mergeCell ref="UAQ24:UAR24"/>
    <mergeCell ref="UAS24:UAT24"/>
    <mergeCell ref="UAU24:UAV24"/>
    <mergeCell ref="UAC24:UAD24"/>
    <mergeCell ref="UAE24:UAF24"/>
    <mergeCell ref="UAG24:UAH24"/>
    <mergeCell ref="UAI24:UAJ24"/>
    <mergeCell ref="UAK24:UAL24"/>
    <mergeCell ref="TZS24:TZT24"/>
    <mergeCell ref="TZU24:TZV24"/>
    <mergeCell ref="TZW24:TZX24"/>
    <mergeCell ref="TZY24:TZZ24"/>
    <mergeCell ref="UAA24:UAB24"/>
    <mergeCell ref="TZI24:TZJ24"/>
    <mergeCell ref="TZK24:TZL24"/>
    <mergeCell ref="TZM24:TZN24"/>
    <mergeCell ref="TZO24:TZP24"/>
    <mergeCell ref="TZQ24:TZR24"/>
    <mergeCell ref="UCA24:UCB24"/>
    <mergeCell ref="UCC24:UCD24"/>
    <mergeCell ref="UCE24:UCF24"/>
    <mergeCell ref="UCG24:UCH24"/>
    <mergeCell ref="UCI24:UCJ24"/>
    <mergeCell ref="UBQ24:UBR24"/>
    <mergeCell ref="UBS24:UBT24"/>
    <mergeCell ref="UBU24:UBV24"/>
    <mergeCell ref="UBW24:UBX24"/>
    <mergeCell ref="UBY24:UBZ24"/>
    <mergeCell ref="UBG24:UBH24"/>
    <mergeCell ref="UBI24:UBJ24"/>
    <mergeCell ref="UBK24:UBL24"/>
    <mergeCell ref="UBM24:UBN24"/>
    <mergeCell ref="UBO24:UBP24"/>
    <mergeCell ref="UAW24:UAX24"/>
    <mergeCell ref="UAY24:UAZ24"/>
    <mergeCell ref="UBA24:UBB24"/>
    <mergeCell ref="UBC24:UBD24"/>
    <mergeCell ref="UBE24:UBF24"/>
    <mergeCell ref="UDO24:UDP24"/>
    <mergeCell ref="UDQ24:UDR24"/>
    <mergeCell ref="UDS24:UDT24"/>
    <mergeCell ref="UDU24:UDV24"/>
    <mergeCell ref="UDW24:UDX24"/>
    <mergeCell ref="UDE24:UDF24"/>
    <mergeCell ref="UDG24:UDH24"/>
    <mergeCell ref="UDI24:UDJ24"/>
    <mergeCell ref="UDK24:UDL24"/>
    <mergeCell ref="UDM24:UDN24"/>
    <mergeCell ref="UCU24:UCV24"/>
    <mergeCell ref="UCW24:UCX24"/>
    <mergeCell ref="UCY24:UCZ24"/>
    <mergeCell ref="UDA24:UDB24"/>
    <mergeCell ref="UDC24:UDD24"/>
    <mergeCell ref="UCK24:UCL24"/>
    <mergeCell ref="UCM24:UCN24"/>
    <mergeCell ref="UCO24:UCP24"/>
    <mergeCell ref="UCQ24:UCR24"/>
    <mergeCell ref="UCS24:UCT24"/>
    <mergeCell ref="UFC24:UFD24"/>
    <mergeCell ref="UFE24:UFF24"/>
    <mergeCell ref="UFG24:UFH24"/>
    <mergeCell ref="UFI24:UFJ24"/>
    <mergeCell ref="UFK24:UFL24"/>
    <mergeCell ref="UES24:UET24"/>
    <mergeCell ref="UEU24:UEV24"/>
    <mergeCell ref="UEW24:UEX24"/>
    <mergeCell ref="UEY24:UEZ24"/>
    <mergeCell ref="UFA24:UFB24"/>
    <mergeCell ref="UEI24:UEJ24"/>
    <mergeCell ref="UEK24:UEL24"/>
    <mergeCell ref="UEM24:UEN24"/>
    <mergeCell ref="UEO24:UEP24"/>
    <mergeCell ref="UEQ24:UER24"/>
    <mergeCell ref="UDY24:UDZ24"/>
    <mergeCell ref="UEA24:UEB24"/>
    <mergeCell ref="UEC24:UED24"/>
    <mergeCell ref="UEE24:UEF24"/>
    <mergeCell ref="UEG24:UEH24"/>
    <mergeCell ref="UGQ24:UGR24"/>
    <mergeCell ref="UGS24:UGT24"/>
    <mergeCell ref="UGU24:UGV24"/>
    <mergeCell ref="UGW24:UGX24"/>
    <mergeCell ref="UGY24:UGZ24"/>
    <mergeCell ref="UGG24:UGH24"/>
    <mergeCell ref="UGI24:UGJ24"/>
    <mergeCell ref="UGK24:UGL24"/>
    <mergeCell ref="UGM24:UGN24"/>
    <mergeCell ref="UGO24:UGP24"/>
    <mergeCell ref="UFW24:UFX24"/>
    <mergeCell ref="UFY24:UFZ24"/>
    <mergeCell ref="UGA24:UGB24"/>
    <mergeCell ref="UGC24:UGD24"/>
    <mergeCell ref="UGE24:UGF24"/>
    <mergeCell ref="UFM24:UFN24"/>
    <mergeCell ref="UFO24:UFP24"/>
    <mergeCell ref="UFQ24:UFR24"/>
    <mergeCell ref="UFS24:UFT24"/>
    <mergeCell ref="UFU24:UFV24"/>
    <mergeCell ref="UIE24:UIF24"/>
    <mergeCell ref="UIG24:UIH24"/>
    <mergeCell ref="UII24:UIJ24"/>
    <mergeCell ref="UIK24:UIL24"/>
    <mergeCell ref="UIM24:UIN24"/>
    <mergeCell ref="UHU24:UHV24"/>
    <mergeCell ref="UHW24:UHX24"/>
    <mergeCell ref="UHY24:UHZ24"/>
    <mergeCell ref="UIA24:UIB24"/>
    <mergeCell ref="UIC24:UID24"/>
    <mergeCell ref="UHK24:UHL24"/>
    <mergeCell ref="UHM24:UHN24"/>
    <mergeCell ref="UHO24:UHP24"/>
    <mergeCell ref="UHQ24:UHR24"/>
    <mergeCell ref="UHS24:UHT24"/>
    <mergeCell ref="UHA24:UHB24"/>
    <mergeCell ref="UHC24:UHD24"/>
    <mergeCell ref="UHE24:UHF24"/>
    <mergeCell ref="UHG24:UHH24"/>
    <mergeCell ref="UHI24:UHJ24"/>
    <mergeCell ref="UJS24:UJT24"/>
    <mergeCell ref="UJU24:UJV24"/>
    <mergeCell ref="UJW24:UJX24"/>
    <mergeCell ref="UJY24:UJZ24"/>
    <mergeCell ref="UKA24:UKB24"/>
    <mergeCell ref="UJI24:UJJ24"/>
    <mergeCell ref="UJK24:UJL24"/>
    <mergeCell ref="UJM24:UJN24"/>
    <mergeCell ref="UJO24:UJP24"/>
    <mergeCell ref="UJQ24:UJR24"/>
    <mergeCell ref="UIY24:UIZ24"/>
    <mergeCell ref="UJA24:UJB24"/>
    <mergeCell ref="UJC24:UJD24"/>
    <mergeCell ref="UJE24:UJF24"/>
    <mergeCell ref="UJG24:UJH24"/>
    <mergeCell ref="UIO24:UIP24"/>
    <mergeCell ref="UIQ24:UIR24"/>
    <mergeCell ref="UIS24:UIT24"/>
    <mergeCell ref="UIU24:UIV24"/>
    <mergeCell ref="UIW24:UIX24"/>
    <mergeCell ref="ULG24:ULH24"/>
    <mergeCell ref="ULI24:ULJ24"/>
    <mergeCell ref="ULK24:ULL24"/>
    <mergeCell ref="ULM24:ULN24"/>
    <mergeCell ref="ULO24:ULP24"/>
    <mergeCell ref="UKW24:UKX24"/>
    <mergeCell ref="UKY24:UKZ24"/>
    <mergeCell ref="ULA24:ULB24"/>
    <mergeCell ref="ULC24:ULD24"/>
    <mergeCell ref="ULE24:ULF24"/>
    <mergeCell ref="UKM24:UKN24"/>
    <mergeCell ref="UKO24:UKP24"/>
    <mergeCell ref="UKQ24:UKR24"/>
    <mergeCell ref="UKS24:UKT24"/>
    <mergeCell ref="UKU24:UKV24"/>
    <mergeCell ref="UKC24:UKD24"/>
    <mergeCell ref="UKE24:UKF24"/>
    <mergeCell ref="UKG24:UKH24"/>
    <mergeCell ref="UKI24:UKJ24"/>
    <mergeCell ref="UKK24:UKL24"/>
    <mergeCell ref="UMU24:UMV24"/>
    <mergeCell ref="UMW24:UMX24"/>
    <mergeCell ref="UMY24:UMZ24"/>
    <mergeCell ref="UNA24:UNB24"/>
    <mergeCell ref="UNC24:UND24"/>
    <mergeCell ref="UMK24:UML24"/>
    <mergeCell ref="UMM24:UMN24"/>
    <mergeCell ref="UMO24:UMP24"/>
    <mergeCell ref="UMQ24:UMR24"/>
    <mergeCell ref="UMS24:UMT24"/>
    <mergeCell ref="UMA24:UMB24"/>
    <mergeCell ref="UMC24:UMD24"/>
    <mergeCell ref="UME24:UMF24"/>
    <mergeCell ref="UMG24:UMH24"/>
    <mergeCell ref="UMI24:UMJ24"/>
    <mergeCell ref="ULQ24:ULR24"/>
    <mergeCell ref="ULS24:ULT24"/>
    <mergeCell ref="ULU24:ULV24"/>
    <mergeCell ref="ULW24:ULX24"/>
    <mergeCell ref="ULY24:ULZ24"/>
    <mergeCell ref="UOI24:UOJ24"/>
    <mergeCell ref="UOK24:UOL24"/>
    <mergeCell ref="UOM24:UON24"/>
    <mergeCell ref="UOO24:UOP24"/>
    <mergeCell ref="UOQ24:UOR24"/>
    <mergeCell ref="UNY24:UNZ24"/>
    <mergeCell ref="UOA24:UOB24"/>
    <mergeCell ref="UOC24:UOD24"/>
    <mergeCell ref="UOE24:UOF24"/>
    <mergeCell ref="UOG24:UOH24"/>
    <mergeCell ref="UNO24:UNP24"/>
    <mergeCell ref="UNQ24:UNR24"/>
    <mergeCell ref="UNS24:UNT24"/>
    <mergeCell ref="UNU24:UNV24"/>
    <mergeCell ref="UNW24:UNX24"/>
    <mergeCell ref="UNE24:UNF24"/>
    <mergeCell ref="UNG24:UNH24"/>
    <mergeCell ref="UNI24:UNJ24"/>
    <mergeCell ref="UNK24:UNL24"/>
    <mergeCell ref="UNM24:UNN24"/>
    <mergeCell ref="UPW24:UPX24"/>
    <mergeCell ref="UPY24:UPZ24"/>
    <mergeCell ref="UQA24:UQB24"/>
    <mergeCell ref="UQC24:UQD24"/>
    <mergeCell ref="UQE24:UQF24"/>
    <mergeCell ref="UPM24:UPN24"/>
    <mergeCell ref="UPO24:UPP24"/>
    <mergeCell ref="UPQ24:UPR24"/>
    <mergeCell ref="UPS24:UPT24"/>
    <mergeCell ref="UPU24:UPV24"/>
    <mergeCell ref="UPC24:UPD24"/>
    <mergeCell ref="UPE24:UPF24"/>
    <mergeCell ref="UPG24:UPH24"/>
    <mergeCell ref="UPI24:UPJ24"/>
    <mergeCell ref="UPK24:UPL24"/>
    <mergeCell ref="UOS24:UOT24"/>
    <mergeCell ref="UOU24:UOV24"/>
    <mergeCell ref="UOW24:UOX24"/>
    <mergeCell ref="UOY24:UOZ24"/>
    <mergeCell ref="UPA24:UPB24"/>
    <mergeCell ref="URK24:URL24"/>
    <mergeCell ref="URM24:URN24"/>
    <mergeCell ref="URO24:URP24"/>
    <mergeCell ref="URQ24:URR24"/>
    <mergeCell ref="URS24:URT24"/>
    <mergeCell ref="URA24:URB24"/>
    <mergeCell ref="URC24:URD24"/>
    <mergeCell ref="URE24:URF24"/>
    <mergeCell ref="URG24:URH24"/>
    <mergeCell ref="URI24:URJ24"/>
    <mergeCell ref="UQQ24:UQR24"/>
    <mergeCell ref="UQS24:UQT24"/>
    <mergeCell ref="UQU24:UQV24"/>
    <mergeCell ref="UQW24:UQX24"/>
    <mergeCell ref="UQY24:UQZ24"/>
    <mergeCell ref="UQG24:UQH24"/>
    <mergeCell ref="UQI24:UQJ24"/>
    <mergeCell ref="UQK24:UQL24"/>
    <mergeCell ref="UQM24:UQN24"/>
    <mergeCell ref="UQO24:UQP24"/>
    <mergeCell ref="USY24:USZ24"/>
    <mergeCell ref="UTA24:UTB24"/>
    <mergeCell ref="UTC24:UTD24"/>
    <mergeCell ref="UTE24:UTF24"/>
    <mergeCell ref="UTG24:UTH24"/>
    <mergeCell ref="USO24:USP24"/>
    <mergeCell ref="USQ24:USR24"/>
    <mergeCell ref="USS24:UST24"/>
    <mergeCell ref="USU24:USV24"/>
    <mergeCell ref="USW24:USX24"/>
    <mergeCell ref="USE24:USF24"/>
    <mergeCell ref="USG24:USH24"/>
    <mergeCell ref="USI24:USJ24"/>
    <mergeCell ref="USK24:USL24"/>
    <mergeCell ref="USM24:USN24"/>
    <mergeCell ref="URU24:URV24"/>
    <mergeCell ref="URW24:URX24"/>
    <mergeCell ref="URY24:URZ24"/>
    <mergeCell ref="USA24:USB24"/>
    <mergeCell ref="USC24:USD24"/>
    <mergeCell ref="UUM24:UUN24"/>
    <mergeCell ref="UUO24:UUP24"/>
    <mergeCell ref="UUQ24:UUR24"/>
    <mergeCell ref="UUS24:UUT24"/>
    <mergeCell ref="UUU24:UUV24"/>
    <mergeCell ref="UUC24:UUD24"/>
    <mergeCell ref="UUE24:UUF24"/>
    <mergeCell ref="UUG24:UUH24"/>
    <mergeCell ref="UUI24:UUJ24"/>
    <mergeCell ref="UUK24:UUL24"/>
    <mergeCell ref="UTS24:UTT24"/>
    <mergeCell ref="UTU24:UTV24"/>
    <mergeCell ref="UTW24:UTX24"/>
    <mergeCell ref="UTY24:UTZ24"/>
    <mergeCell ref="UUA24:UUB24"/>
    <mergeCell ref="UTI24:UTJ24"/>
    <mergeCell ref="UTK24:UTL24"/>
    <mergeCell ref="UTM24:UTN24"/>
    <mergeCell ref="UTO24:UTP24"/>
    <mergeCell ref="UTQ24:UTR24"/>
    <mergeCell ref="UWA24:UWB24"/>
    <mergeCell ref="UWC24:UWD24"/>
    <mergeCell ref="UWE24:UWF24"/>
    <mergeCell ref="UWG24:UWH24"/>
    <mergeCell ref="UWI24:UWJ24"/>
    <mergeCell ref="UVQ24:UVR24"/>
    <mergeCell ref="UVS24:UVT24"/>
    <mergeCell ref="UVU24:UVV24"/>
    <mergeCell ref="UVW24:UVX24"/>
    <mergeCell ref="UVY24:UVZ24"/>
    <mergeCell ref="UVG24:UVH24"/>
    <mergeCell ref="UVI24:UVJ24"/>
    <mergeCell ref="UVK24:UVL24"/>
    <mergeCell ref="UVM24:UVN24"/>
    <mergeCell ref="UVO24:UVP24"/>
    <mergeCell ref="UUW24:UUX24"/>
    <mergeCell ref="UUY24:UUZ24"/>
    <mergeCell ref="UVA24:UVB24"/>
    <mergeCell ref="UVC24:UVD24"/>
    <mergeCell ref="UVE24:UVF24"/>
    <mergeCell ref="UXO24:UXP24"/>
    <mergeCell ref="UXQ24:UXR24"/>
    <mergeCell ref="UXS24:UXT24"/>
    <mergeCell ref="UXU24:UXV24"/>
    <mergeCell ref="UXW24:UXX24"/>
    <mergeCell ref="UXE24:UXF24"/>
    <mergeCell ref="UXG24:UXH24"/>
    <mergeCell ref="UXI24:UXJ24"/>
    <mergeCell ref="UXK24:UXL24"/>
    <mergeCell ref="UXM24:UXN24"/>
    <mergeCell ref="UWU24:UWV24"/>
    <mergeCell ref="UWW24:UWX24"/>
    <mergeCell ref="UWY24:UWZ24"/>
    <mergeCell ref="UXA24:UXB24"/>
    <mergeCell ref="UXC24:UXD24"/>
    <mergeCell ref="UWK24:UWL24"/>
    <mergeCell ref="UWM24:UWN24"/>
    <mergeCell ref="UWO24:UWP24"/>
    <mergeCell ref="UWQ24:UWR24"/>
    <mergeCell ref="UWS24:UWT24"/>
    <mergeCell ref="UZC24:UZD24"/>
    <mergeCell ref="UZE24:UZF24"/>
    <mergeCell ref="UZG24:UZH24"/>
    <mergeCell ref="UZI24:UZJ24"/>
    <mergeCell ref="UZK24:UZL24"/>
    <mergeCell ref="UYS24:UYT24"/>
    <mergeCell ref="UYU24:UYV24"/>
    <mergeCell ref="UYW24:UYX24"/>
    <mergeCell ref="UYY24:UYZ24"/>
    <mergeCell ref="UZA24:UZB24"/>
    <mergeCell ref="UYI24:UYJ24"/>
    <mergeCell ref="UYK24:UYL24"/>
    <mergeCell ref="UYM24:UYN24"/>
    <mergeCell ref="UYO24:UYP24"/>
    <mergeCell ref="UYQ24:UYR24"/>
    <mergeCell ref="UXY24:UXZ24"/>
    <mergeCell ref="UYA24:UYB24"/>
    <mergeCell ref="UYC24:UYD24"/>
    <mergeCell ref="UYE24:UYF24"/>
    <mergeCell ref="UYG24:UYH24"/>
    <mergeCell ref="VAQ24:VAR24"/>
    <mergeCell ref="VAS24:VAT24"/>
    <mergeCell ref="VAU24:VAV24"/>
    <mergeCell ref="VAW24:VAX24"/>
    <mergeCell ref="VAY24:VAZ24"/>
    <mergeCell ref="VAG24:VAH24"/>
    <mergeCell ref="VAI24:VAJ24"/>
    <mergeCell ref="VAK24:VAL24"/>
    <mergeCell ref="VAM24:VAN24"/>
    <mergeCell ref="VAO24:VAP24"/>
    <mergeCell ref="UZW24:UZX24"/>
    <mergeCell ref="UZY24:UZZ24"/>
    <mergeCell ref="VAA24:VAB24"/>
    <mergeCell ref="VAC24:VAD24"/>
    <mergeCell ref="VAE24:VAF24"/>
    <mergeCell ref="UZM24:UZN24"/>
    <mergeCell ref="UZO24:UZP24"/>
    <mergeCell ref="UZQ24:UZR24"/>
    <mergeCell ref="UZS24:UZT24"/>
    <mergeCell ref="UZU24:UZV24"/>
    <mergeCell ref="VCE24:VCF24"/>
    <mergeCell ref="VCG24:VCH24"/>
    <mergeCell ref="VCI24:VCJ24"/>
    <mergeCell ref="VCK24:VCL24"/>
    <mergeCell ref="VCM24:VCN24"/>
    <mergeCell ref="VBU24:VBV24"/>
    <mergeCell ref="VBW24:VBX24"/>
    <mergeCell ref="VBY24:VBZ24"/>
    <mergeCell ref="VCA24:VCB24"/>
    <mergeCell ref="VCC24:VCD24"/>
    <mergeCell ref="VBK24:VBL24"/>
    <mergeCell ref="VBM24:VBN24"/>
    <mergeCell ref="VBO24:VBP24"/>
    <mergeCell ref="VBQ24:VBR24"/>
    <mergeCell ref="VBS24:VBT24"/>
    <mergeCell ref="VBA24:VBB24"/>
    <mergeCell ref="VBC24:VBD24"/>
    <mergeCell ref="VBE24:VBF24"/>
    <mergeCell ref="VBG24:VBH24"/>
    <mergeCell ref="VBI24:VBJ24"/>
    <mergeCell ref="VDS24:VDT24"/>
    <mergeCell ref="VDU24:VDV24"/>
    <mergeCell ref="VDW24:VDX24"/>
    <mergeCell ref="VDY24:VDZ24"/>
    <mergeCell ref="VEA24:VEB24"/>
    <mergeCell ref="VDI24:VDJ24"/>
    <mergeCell ref="VDK24:VDL24"/>
    <mergeCell ref="VDM24:VDN24"/>
    <mergeCell ref="VDO24:VDP24"/>
    <mergeCell ref="VDQ24:VDR24"/>
    <mergeCell ref="VCY24:VCZ24"/>
    <mergeCell ref="VDA24:VDB24"/>
    <mergeCell ref="VDC24:VDD24"/>
    <mergeCell ref="VDE24:VDF24"/>
    <mergeCell ref="VDG24:VDH24"/>
    <mergeCell ref="VCO24:VCP24"/>
    <mergeCell ref="VCQ24:VCR24"/>
    <mergeCell ref="VCS24:VCT24"/>
    <mergeCell ref="VCU24:VCV24"/>
    <mergeCell ref="VCW24:VCX24"/>
    <mergeCell ref="VFG24:VFH24"/>
    <mergeCell ref="VFI24:VFJ24"/>
    <mergeCell ref="VFK24:VFL24"/>
    <mergeCell ref="VFM24:VFN24"/>
    <mergeCell ref="VFO24:VFP24"/>
    <mergeCell ref="VEW24:VEX24"/>
    <mergeCell ref="VEY24:VEZ24"/>
    <mergeCell ref="VFA24:VFB24"/>
    <mergeCell ref="VFC24:VFD24"/>
    <mergeCell ref="VFE24:VFF24"/>
    <mergeCell ref="VEM24:VEN24"/>
    <mergeCell ref="VEO24:VEP24"/>
    <mergeCell ref="VEQ24:VER24"/>
    <mergeCell ref="VES24:VET24"/>
    <mergeCell ref="VEU24:VEV24"/>
    <mergeCell ref="VEC24:VED24"/>
    <mergeCell ref="VEE24:VEF24"/>
    <mergeCell ref="VEG24:VEH24"/>
    <mergeCell ref="VEI24:VEJ24"/>
    <mergeCell ref="VEK24:VEL24"/>
    <mergeCell ref="VGU24:VGV24"/>
    <mergeCell ref="VGW24:VGX24"/>
    <mergeCell ref="VGY24:VGZ24"/>
    <mergeCell ref="VHA24:VHB24"/>
    <mergeCell ref="VHC24:VHD24"/>
    <mergeCell ref="VGK24:VGL24"/>
    <mergeCell ref="VGM24:VGN24"/>
    <mergeCell ref="VGO24:VGP24"/>
    <mergeCell ref="VGQ24:VGR24"/>
    <mergeCell ref="VGS24:VGT24"/>
    <mergeCell ref="VGA24:VGB24"/>
    <mergeCell ref="VGC24:VGD24"/>
    <mergeCell ref="VGE24:VGF24"/>
    <mergeCell ref="VGG24:VGH24"/>
    <mergeCell ref="VGI24:VGJ24"/>
    <mergeCell ref="VFQ24:VFR24"/>
    <mergeCell ref="VFS24:VFT24"/>
    <mergeCell ref="VFU24:VFV24"/>
    <mergeCell ref="VFW24:VFX24"/>
    <mergeCell ref="VFY24:VFZ24"/>
    <mergeCell ref="VII24:VIJ24"/>
    <mergeCell ref="VIK24:VIL24"/>
    <mergeCell ref="VIM24:VIN24"/>
    <mergeCell ref="VIO24:VIP24"/>
    <mergeCell ref="VIQ24:VIR24"/>
    <mergeCell ref="VHY24:VHZ24"/>
    <mergeCell ref="VIA24:VIB24"/>
    <mergeCell ref="VIC24:VID24"/>
    <mergeCell ref="VIE24:VIF24"/>
    <mergeCell ref="VIG24:VIH24"/>
    <mergeCell ref="VHO24:VHP24"/>
    <mergeCell ref="VHQ24:VHR24"/>
    <mergeCell ref="VHS24:VHT24"/>
    <mergeCell ref="VHU24:VHV24"/>
    <mergeCell ref="VHW24:VHX24"/>
    <mergeCell ref="VHE24:VHF24"/>
    <mergeCell ref="VHG24:VHH24"/>
    <mergeCell ref="VHI24:VHJ24"/>
    <mergeCell ref="VHK24:VHL24"/>
    <mergeCell ref="VHM24:VHN24"/>
    <mergeCell ref="VJW24:VJX24"/>
    <mergeCell ref="VJY24:VJZ24"/>
    <mergeCell ref="VKA24:VKB24"/>
    <mergeCell ref="VKC24:VKD24"/>
    <mergeCell ref="VKE24:VKF24"/>
    <mergeCell ref="VJM24:VJN24"/>
    <mergeCell ref="VJO24:VJP24"/>
    <mergeCell ref="VJQ24:VJR24"/>
    <mergeCell ref="VJS24:VJT24"/>
    <mergeCell ref="VJU24:VJV24"/>
    <mergeCell ref="VJC24:VJD24"/>
    <mergeCell ref="VJE24:VJF24"/>
    <mergeCell ref="VJG24:VJH24"/>
    <mergeCell ref="VJI24:VJJ24"/>
    <mergeCell ref="VJK24:VJL24"/>
    <mergeCell ref="VIS24:VIT24"/>
    <mergeCell ref="VIU24:VIV24"/>
    <mergeCell ref="VIW24:VIX24"/>
    <mergeCell ref="VIY24:VIZ24"/>
    <mergeCell ref="VJA24:VJB24"/>
    <mergeCell ref="VLK24:VLL24"/>
    <mergeCell ref="VLM24:VLN24"/>
    <mergeCell ref="VLO24:VLP24"/>
    <mergeCell ref="VLQ24:VLR24"/>
    <mergeCell ref="VLS24:VLT24"/>
    <mergeCell ref="VLA24:VLB24"/>
    <mergeCell ref="VLC24:VLD24"/>
    <mergeCell ref="VLE24:VLF24"/>
    <mergeCell ref="VLG24:VLH24"/>
    <mergeCell ref="VLI24:VLJ24"/>
    <mergeCell ref="VKQ24:VKR24"/>
    <mergeCell ref="VKS24:VKT24"/>
    <mergeCell ref="VKU24:VKV24"/>
    <mergeCell ref="VKW24:VKX24"/>
    <mergeCell ref="VKY24:VKZ24"/>
    <mergeCell ref="VKG24:VKH24"/>
    <mergeCell ref="VKI24:VKJ24"/>
    <mergeCell ref="VKK24:VKL24"/>
    <mergeCell ref="VKM24:VKN24"/>
    <mergeCell ref="VKO24:VKP24"/>
    <mergeCell ref="VMY24:VMZ24"/>
    <mergeCell ref="VNA24:VNB24"/>
    <mergeCell ref="VNC24:VND24"/>
    <mergeCell ref="VNE24:VNF24"/>
    <mergeCell ref="VNG24:VNH24"/>
    <mergeCell ref="VMO24:VMP24"/>
    <mergeCell ref="VMQ24:VMR24"/>
    <mergeCell ref="VMS24:VMT24"/>
    <mergeCell ref="VMU24:VMV24"/>
    <mergeCell ref="VMW24:VMX24"/>
    <mergeCell ref="VME24:VMF24"/>
    <mergeCell ref="VMG24:VMH24"/>
    <mergeCell ref="VMI24:VMJ24"/>
    <mergeCell ref="VMK24:VML24"/>
    <mergeCell ref="VMM24:VMN24"/>
    <mergeCell ref="VLU24:VLV24"/>
    <mergeCell ref="VLW24:VLX24"/>
    <mergeCell ref="VLY24:VLZ24"/>
    <mergeCell ref="VMA24:VMB24"/>
    <mergeCell ref="VMC24:VMD24"/>
    <mergeCell ref="VOM24:VON24"/>
    <mergeCell ref="VOO24:VOP24"/>
    <mergeCell ref="VOQ24:VOR24"/>
    <mergeCell ref="VOS24:VOT24"/>
    <mergeCell ref="VOU24:VOV24"/>
    <mergeCell ref="VOC24:VOD24"/>
    <mergeCell ref="VOE24:VOF24"/>
    <mergeCell ref="VOG24:VOH24"/>
    <mergeCell ref="VOI24:VOJ24"/>
    <mergeCell ref="VOK24:VOL24"/>
    <mergeCell ref="VNS24:VNT24"/>
    <mergeCell ref="VNU24:VNV24"/>
    <mergeCell ref="VNW24:VNX24"/>
    <mergeCell ref="VNY24:VNZ24"/>
    <mergeCell ref="VOA24:VOB24"/>
    <mergeCell ref="VNI24:VNJ24"/>
    <mergeCell ref="VNK24:VNL24"/>
    <mergeCell ref="VNM24:VNN24"/>
    <mergeCell ref="VNO24:VNP24"/>
    <mergeCell ref="VNQ24:VNR24"/>
    <mergeCell ref="VQA24:VQB24"/>
    <mergeCell ref="VQC24:VQD24"/>
    <mergeCell ref="VQE24:VQF24"/>
    <mergeCell ref="VQG24:VQH24"/>
    <mergeCell ref="VQI24:VQJ24"/>
    <mergeCell ref="VPQ24:VPR24"/>
    <mergeCell ref="VPS24:VPT24"/>
    <mergeCell ref="VPU24:VPV24"/>
    <mergeCell ref="VPW24:VPX24"/>
    <mergeCell ref="VPY24:VPZ24"/>
    <mergeCell ref="VPG24:VPH24"/>
    <mergeCell ref="VPI24:VPJ24"/>
    <mergeCell ref="VPK24:VPL24"/>
    <mergeCell ref="VPM24:VPN24"/>
    <mergeCell ref="VPO24:VPP24"/>
    <mergeCell ref="VOW24:VOX24"/>
    <mergeCell ref="VOY24:VOZ24"/>
    <mergeCell ref="VPA24:VPB24"/>
    <mergeCell ref="VPC24:VPD24"/>
    <mergeCell ref="VPE24:VPF24"/>
    <mergeCell ref="VRO24:VRP24"/>
    <mergeCell ref="VRQ24:VRR24"/>
    <mergeCell ref="VRS24:VRT24"/>
    <mergeCell ref="VRU24:VRV24"/>
    <mergeCell ref="VRW24:VRX24"/>
    <mergeCell ref="VRE24:VRF24"/>
    <mergeCell ref="VRG24:VRH24"/>
    <mergeCell ref="VRI24:VRJ24"/>
    <mergeCell ref="VRK24:VRL24"/>
    <mergeCell ref="VRM24:VRN24"/>
    <mergeCell ref="VQU24:VQV24"/>
    <mergeCell ref="VQW24:VQX24"/>
    <mergeCell ref="VQY24:VQZ24"/>
    <mergeCell ref="VRA24:VRB24"/>
    <mergeCell ref="VRC24:VRD24"/>
    <mergeCell ref="VQK24:VQL24"/>
    <mergeCell ref="VQM24:VQN24"/>
    <mergeCell ref="VQO24:VQP24"/>
    <mergeCell ref="VQQ24:VQR24"/>
    <mergeCell ref="VQS24:VQT24"/>
    <mergeCell ref="VTC24:VTD24"/>
    <mergeCell ref="VTE24:VTF24"/>
    <mergeCell ref="VTG24:VTH24"/>
    <mergeCell ref="VTI24:VTJ24"/>
    <mergeCell ref="VTK24:VTL24"/>
    <mergeCell ref="VSS24:VST24"/>
    <mergeCell ref="VSU24:VSV24"/>
    <mergeCell ref="VSW24:VSX24"/>
    <mergeCell ref="VSY24:VSZ24"/>
    <mergeCell ref="VTA24:VTB24"/>
    <mergeCell ref="VSI24:VSJ24"/>
    <mergeCell ref="VSK24:VSL24"/>
    <mergeCell ref="VSM24:VSN24"/>
    <mergeCell ref="VSO24:VSP24"/>
    <mergeCell ref="VSQ24:VSR24"/>
    <mergeCell ref="VRY24:VRZ24"/>
    <mergeCell ref="VSA24:VSB24"/>
    <mergeCell ref="VSC24:VSD24"/>
    <mergeCell ref="VSE24:VSF24"/>
    <mergeCell ref="VSG24:VSH24"/>
    <mergeCell ref="VUQ24:VUR24"/>
    <mergeCell ref="VUS24:VUT24"/>
    <mergeCell ref="VUU24:VUV24"/>
    <mergeCell ref="VUW24:VUX24"/>
    <mergeCell ref="VUY24:VUZ24"/>
    <mergeCell ref="VUG24:VUH24"/>
    <mergeCell ref="VUI24:VUJ24"/>
    <mergeCell ref="VUK24:VUL24"/>
    <mergeCell ref="VUM24:VUN24"/>
    <mergeCell ref="VUO24:VUP24"/>
    <mergeCell ref="VTW24:VTX24"/>
    <mergeCell ref="VTY24:VTZ24"/>
    <mergeCell ref="VUA24:VUB24"/>
    <mergeCell ref="VUC24:VUD24"/>
    <mergeCell ref="VUE24:VUF24"/>
    <mergeCell ref="VTM24:VTN24"/>
    <mergeCell ref="VTO24:VTP24"/>
    <mergeCell ref="VTQ24:VTR24"/>
    <mergeCell ref="VTS24:VTT24"/>
    <mergeCell ref="VTU24:VTV24"/>
    <mergeCell ref="VWE24:VWF24"/>
    <mergeCell ref="VWG24:VWH24"/>
    <mergeCell ref="VWI24:VWJ24"/>
    <mergeCell ref="VWK24:VWL24"/>
    <mergeCell ref="VWM24:VWN24"/>
    <mergeCell ref="VVU24:VVV24"/>
    <mergeCell ref="VVW24:VVX24"/>
    <mergeCell ref="VVY24:VVZ24"/>
    <mergeCell ref="VWA24:VWB24"/>
    <mergeCell ref="VWC24:VWD24"/>
    <mergeCell ref="VVK24:VVL24"/>
    <mergeCell ref="VVM24:VVN24"/>
    <mergeCell ref="VVO24:VVP24"/>
    <mergeCell ref="VVQ24:VVR24"/>
    <mergeCell ref="VVS24:VVT24"/>
    <mergeCell ref="VVA24:VVB24"/>
    <mergeCell ref="VVC24:VVD24"/>
    <mergeCell ref="VVE24:VVF24"/>
    <mergeCell ref="VVG24:VVH24"/>
    <mergeCell ref="VVI24:VVJ24"/>
    <mergeCell ref="VXS24:VXT24"/>
    <mergeCell ref="VXU24:VXV24"/>
    <mergeCell ref="VXW24:VXX24"/>
    <mergeCell ref="VXY24:VXZ24"/>
    <mergeCell ref="VYA24:VYB24"/>
    <mergeCell ref="VXI24:VXJ24"/>
    <mergeCell ref="VXK24:VXL24"/>
    <mergeCell ref="VXM24:VXN24"/>
    <mergeCell ref="VXO24:VXP24"/>
    <mergeCell ref="VXQ24:VXR24"/>
    <mergeCell ref="VWY24:VWZ24"/>
    <mergeCell ref="VXA24:VXB24"/>
    <mergeCell ref="VXC24:VXD24"/>
    <mergeCell ref="VXE24:VXF24"/>
    <mergeCell ref="VXG24:VXH24"/>
    <mergeCell ref="VWO24:VWP24"/>
    <mergeCell ref="VWQ24:VWR24"/>
    <mergeCell ref="VWS24:VWT24"/>
    <mergeCell ref="VWU24:VWV24"/>
    <mergeCell ref="VWW24:VWX24"/>
    <mergeCell ref="VZG24:VZH24"/>
    <mergeCell ref="VZI24:VZJ24"/>
    <mergeCell ref="VZK24:VZL24"/>
    <mergeCell ref="VZM24:VZN24"/>
    <mergeCell ref="VZO24:VZP24"/>
    <mergeCell ref="VYW24:VYX24"/>
    <mergeCell ref="VYY24:VYZ24"/>
    <mergeCell ref="VZA24:VZB24"/>
    <mergeCell ref="VZC24:VZD24"/>
    <mergeCell ref="VZE24:VZF24"/>
    <mergeCell ref="VYM24:VYN24"/>
    <mergeCell ref="VYO24:VYP24"/>
    <mergeCell ref="VYQ24:VYR24"/>
    <mergeCell ref="VYS24:VYT24"/>
    <mergeCell ref="VYU24:VYV24"/>
    <mergeCell ref="VYC24:VYD24"/>
    <mergeCell ref="VYE24:VYF24"/>
    <mergeCell ref="VYG24:VYH24"/>
    <mergeCell ref="VYI24:VYJ24"/>
    <mergeCell ref="VYK24:VYL24"/>
    <mergeCell ref="WAU24:WAV24"/>
    <mergeCell ref="WAW24:WAX24"/>
    <mergeCell ref="WAY24:WAZ24"/>
    <mergeCell ref="WBA24:WBB24"/>
    <mergeCell ref="WBC24:WBD24"/>
    <mergeCell ref="WAK24:WAL24"/>
    <mergeCell ref="WAM24:WAN24"/>
    <mergeCell ref="WAO24:WAP24"/>
    <mergeCell ref="WAQ24:WAR24"/>
    <mergeCell ref="WAS24:WAT24"/>
    <mergeCell ref="WAA24:WAB24"/>
    <mergeCell ref="WAC24:WAD24"/>
    <mergeCell ref="WAE24:WAF24"/>
    <mergeCell ref="WAG24:WAH24"/>
    <mergeCell ref="WAI24:WAJ24"/>
    <mergeCell ref="VZQ24:VZR24"/>
    <mergeCell ref="VZS24:VZT24"/>
    <mergeCell ref="VZU24:VZV24"/>
    <mergeCell ref="VZW24:VZX24"/>
    <mergeCell ref="VZY24:VZZ24"/>
    <mergeCell ref="WCI24:WCJ24"/>
    <mergeCell ref="WCK24:WCL24"/>
    <mergeCell ref="WCM24:WCN24"/>
    <mergeCell ref="WCO24:WCP24"/>
    <mergeCell ref="WCQ24:WCR24"/>
    <mergeCell ref="WBY24:WBZ24"/>
    <mergeCell ref="WCA24:WCB24"/>
    <mergeCell ref="WCC24:WCD24"/>
    <mergeCell ref="WCE24:WCF24"/>
    <mergeCell ref="WCG24:WCH24"/>
    <mergeCell ref="WBO24:WBP24"/>
    <mergeCell ref="WBQ24:WBR24"/>
    <mergeCell ref="WBS24:WBT24"/>
    <mergeCell ref="WBU24:WBV24"/>
    <mergeCell ref="WBW24:WBX24"/>
    <mergeCell ref="WBE24:WBF24"/>
    <mergeCell ref="WBG24:WBH24"/>
    <mergeCell ref="WBI24:WBJ24"/>
    <mergeCell ref="WBK24:WBL24"/>
    <mergeCell ref="WBM24:WBN24"/>
    <mergeCell ref="WDW24:WDX24"/>
    <mergeCell ref="WDY24:WDZ24"/>
    <mergeCell ref="WEA24:WEB24"/>
    <mergeCell ref="WEC24:WED24"/>
    <mergeCell ref="WEE24:WEF24"/>
    <mergeCell ref="WDM24:WDN24"/>
    <mergeCell ref="WDO24:WDP24"/>
    <mergeCell ref="WDQ24:WDR24"/>
    <mergeCell ref="WDS24:WDT24"/>
    <mergeCell ref="WDU24:WDV24"/>
    <mergeCell ref="WDC24:WDD24"/>
    <mergeCell ref="WDE24:WDF24"/>
    <mergeCell ref="WDG24:WDH24"/>
    <mergeCell ref="WDI24:WDJ24"/>
    <mergeCell ref="WDK24:WDL24"/>
    <mergeCell ref="WCS24:WCT24"/>
    <mergeCell ref="WCU24:WCV24"/>
    <mergeCell ref="WCW24:WCX24"/>
    <mergeCell ref="WCY24:WCZ24"/>
    <mergeCell ref="WDA24:WDB24"/>
    <mergeCell ref="WFK24:WFL24"/>
    <mergeCell ref="WFM24:WFN24"/>
    <mergeCell ref="WFO24:WFP24"/>
    <mergeCell ref="WFQ24:WFR24"/>
    <mergeCell ref="WFS24:WFT24"/>
    <mergeCell ref="WFA24:WFB24"/>
    <mergeCell ref="WFC24:WFD24"/>
    <mergeCell ref="WFE24:WFF24"/>
    <mergeCell ref="WFG24:WFH24"/>
    <mergeCell ref="WFI24:WFJ24"/>
    <mergeCell ref="WEQ24:WER24"/>
    <mergeCell ref="WES24:WET24"/>
    <mergeCell ref="WEU24:WEV24"/>
    <mergeCell ref="WEW24:WEX24"/>
    <mergeCell ref="WEY24:WEZ24"/>
    <mergeCell ref="WEG24:WEH24"/>
    <mergeCell ref="WEI24:WEJ24"/>
    <mergeCell ref="WEK24:WEL24"/>
    <mergeCell ref="WEM24:WEN24"/>
    <mergeCell ref="WEO24:WEP24"/>
    <mergeCell ref="WGY24:WGZ24"/>
    <mergeCell ref="WHA24:WHB24"/>
    <mergeCell ref="WHC24:WHD24"/>
    <mergeCell ref="WHE24:WHF24"/>
    <mergeCell ref="WHG24:WHH24"/>
    <mergeCell ref="WGO24:WGP24"/>
    <mergeCell ref="WGQ24:WGR24"/>
    <mergeCell ref="WGS24:WGT24"/>
    <mergeCell ref="WGU24:WGV24"/>
    <mergeCell ref="WGW24:WGX24"/>
    <mergeCell ref="WGE24:WGF24"/>
    <mergeCell ref="WGG24:WGH24"/>
    <mergeCell ref="WGI24:WGJ24"/>
    <mergeCell ref="WGK24:WGL24"/>
    <mergeCell ref="WGM24:WGN24"/>
    <mergeCell ref="WFU24:WFV24"/>
    <mergeCell ref="WFW24:WFX24"/>
    <mergeCell ref="WFY24:WFZ24"/>
    <mergeCell ref="WGA24:WGB24"/>
    <mergeCell ref="WGC24:WGD24"/>
    <mergeCell ref="WIM24:WIN24"/>
    <mergeCell ref="WIO24:WIP24"/>
    <mergeCell ref="WIQ24:WIR24"/>
    <mergeCell ref="WIS24:WIT24"/>
    <mergeCell ref="WIU24:WIV24"/>
    <mergeCell ref="WIC24:WID24"/>
    <mergeCell ref="WIE24:WIF24"/>
    <mergeCell ref="WIG24:WIH24"/>
    <mergeCell ref="WII24:WIJ24"/>
    <mergeCell ref="WIK24:WIL24"/>
    <mergeCell ref="WHS24:WHT24"/>
    <mergeCell ref="WHU24:WHV24"/>
    <mergeCell ref="WHW24:WHX24"/>
    <mergeCell ref="WHY24:WHZ24"/>
    <mergeCell ref="WIA24:WIB24"/>
    <mergeCell ref="WHI24:WHJ24"/>
    <mergeCell ref="WHK24:WHL24"/>
    <mergeCell ref="WHM24:WHN24"/>
    <mergeCell ref="WHO24:WHP24"/>
    <mergeCell ref="WHQ24:WHR24"/>
    <mergeCell ref="WKA24:WKB24"/>
    <mergeCell ref="WKC24:WKD24"/>
    <mergeCell ref="WKE24:WKF24"/>
    <mergeCell ref="WKG24:WKH24"/>
    <mergeCell ref="WKI24:WKJ24"/>
    <mergeCell ref="WJQ24:WJR24"/>
    <mergeCell ref="WJS24:WJT24"/>
    <mergeCell ref="WJU24:WJV24"/>
    <mergeCell ref="WJW24:WJX24"/>
    <mergeCell ref="WJY24:WJZ24"/>
    <mergeCell ref="WJG24:WJH24"/>
    <mergeCell ref="WJI24:WJJ24"/>
    <mergeCell ref="WJK24:WJL24"/>
    <mergeCell ref="WJM24:WJN24"/>
    <mergeCell ref="WJO24:WJP24"/>
    <mergeCell ref="WIW24:WIX24"/>
    <mergeCell ref="WIY24:WIZ24"/>
    <mergeCell ref="WJA24:WJB24"/>
    <mergeCell ref="WJC24:WJD24"/>
    <mergeCell ref="WJE24:WJF24"/>
    <mergeCell ref="WLO24:WLP24"/>
    <mergeCell ref="WLQ24:WLR24"/>
    <mergeCell ref="WLS24:WLT24"/>
    <mergeCell ref="WLU24:WLV24"/>
    <mergeCell ref="WLW24:WLX24"/>
    <mergeCell ref="WLE24:WLF24"/>
    <mergeCell ref="WLG24:WLH24"/>
    <mergeCell ref="WLI24:WLJ24"/>
    <mergeCell ref="WLK24:WLL24"/>
    <mergeCell ref="WLM24:WLN24"/>
    <mergeCell ref="WKU24:WKV24"/>
    <mergeCell ref="WKW24:WKX24"/>
    <mergeCell ref="WKY24:WKZ24"/>
    <mergeCell ref="WLA24:WLB24"/>
    <mergeCell ref="WLC24:WLD24"/>
    <mergeCell ref="WKK24:WKL24"/>
    <mergeCell ref="WKM24:WKN24"/>
    <mergeCell ref="WKO24:WKP24"/>
    <mergeCell ref="WKQ24:WKR24"/>
    <mergeCell ref="WKS24:WKT24"/>
    <mergeCell ref="WNC24:WND24"/>
    <mergeCell ref="WNE24:WNF24"/>
    <mergeCell ref="WNG24:WNH24"/>
    <mergeCell ref="WNI24:WNJ24"/>
    <mergeCell ref="WNK24:WNL24"/>
    <mergeCell ref="WMS24:WMT24"/>
    <mergeCell ref="WMU24:WMV24"/>
    <mergeCell ref="WMW24:WMX24"/>
    <mergeCell ref="WMY24:WMZ24"/>
    <mergeCell ref="WNA24:WNB24"/>
    <mergeCell ref="WMI24:WMJ24"/>
    <mergeCell ref="WMK24:WML24"/>
    <mergeCell ref="WMM24:WMN24"/>
    <mergeCell ref="WMO24:WMP24"/>
    <mergeCell ref="WMQ24:WMR24"/>
    <mergeCell ref="WLY24:WLZ24"/>
    <mergeCell ref="WMA24:WMB24"/>
    <mergeCell ref="WMC24:WMD24"/>
    <mergeCell ref="WME24:WMF24"/>
    <mergeCell ref="WMG24:WMH24"/>
    <mergeCell ref="WOQ24:WOR24"/>
    <mergeCell ref="WOS24:WOT24"/>
    <mergeCell ref="WOU24:WOV24"/>
    <mergeCell ref="WOW24:WOX24"/>
    <mergeCell ref="WOY24:WOZ24"/>
    <mergeCell ref="WOG24:WOH24"/>
    <mergeCell ref="WOI24:WOJ24"/>
    <mergeCell ref="WOK24:WOL24"/>
    <mergeCell ref="WOM24:WON24"/>
    <mergeCell ref="WOO24:WOP24"/>
    <mergeCell ref="WNW24:WNX24"/>
    <mergeCell ref="WNY24:WNZ24"/>
    <mergeCell ref="WOA24:WOB24"/>
    <mergeCell ref="WOC24:WOD24"/>
    <mergeCell ref="WOE24:WOF24"/>
    <mergeCell ref="WNM24:WNN24"/>
    <mergeCell ref="WNO24:WNP24"/>
    <mergeCell ref="WNQ24:WNR24"/>
    <mergeCell ref="WNS24:WNT24"/>
    <mergeCell ref="WNU24:WNV24"/>
    <mergeCell ref="WQE24:WQF24"/>
    <mergeCell ref="WQG24:WQH24"/>
    <mergeCell ref="WQI24:WQJ24"/>
    <mergeCell ref="WQK24:WQL24"/>
    <mergeCell ref="WQM24:WQN24"/>
    <mergeCell ref="WPU24:WPV24"/>
    <mergeCell ref="WPW24:WPX24"/>
    <mergeCell ref="WPY24:WPZ24"/>
    <mergeCell ref="WQA24:WQB24"/>
    <mergeCell ref="WQC24:WQD24"/>
    <mergeCell ref="WPK24:WPL24"/>
    <mergeCell ref="WPM24:WPN24"/>
    <mergeCell ref="WPO24:WPP24"/>
    <mergeCell ref="WPQ24:WPR24"/>
    <mergeCell ref="WPS24:WPT24"/>
    <mergeCell ref="WPA24:WPB24"/>
    <mergeCell ref="WPC24:WPD24"/>
    <mergeCell ref="WPE24:WPF24"/>
    <mergeCell ref="WPG24:WPH24"/>
    <mergeCell ref="WPI24:WPJ24"/>
    <mergeCell ref="WRS24:WRT24"/>
    <mergeCell ref="WRU24:WRV24"/>
    <mergeCell ref="WRW24:WRX24"/>
    <mergeCell ref="WRY24:WRZ24"/>
    <mergeCell ref="WSA24:WSB24"/>
    <mergeCell ref="WRI24:WRJ24"/>
    <mergeCell ref="WRK24:WRL24"/>
    <mergeCell ref="WRM24:WRN24"/>
    <mergeCell ref="WRO24:WRP24"/>
    <mergeCell ref="WRQ24:WRR24"/>
    <mergeCell ref="WQY24:WQZ24"/>
    <mergeCell ref="WRA24:WRB24"/>
    <mergeCell ref="WRC24:WRD24"/>
    <mergeCell ref="WRE24:WRF24"/>
    <mergeCell ref="WRG24:WRH24"/>
    <mergeCell ref="WQO24:WQP24"/>
    <mergeCell ref="WQQ24:WQR24"/>
    <mergeCell ref="WQS24:WQT24"/>
    <mergeCell ref="WQU24:WQV24"/>
    <mergeCell ref="WQW24:WQX24"/>
    <mergeCell ref="WTG24:WTH24"/>
    <mergeCell ref="WTI24:WTJ24"/>
    <mergeCell ref="WTK24:WTL24"/>
    <mergeCell ref="WTM24:WTN24"/>
    <mergeCell ref="WTO24:WTP24"/>
    <mergeCell ref="WSW24:WSX24"/>
    <mergeCell ref="WSY24:WSZ24"/>
    <mergeCell ref="WTA24:WTB24"/>
    <mergeCell ref="WTC24:WTD24"/>
    <mergeCell ref="WTE24:WTF24"/>
    <mergeCell ref="WSM24:WSN24"/>
    <mergeCell ref="WSO24:WSP24"/>
    <mergeCell ref="WSQ24:WSR24"/>
    <mergeCell ref="WSS24:WST24"/>
    <mergeCell ref="WSU24:WSV24"/>
    <mergeCell ref="WSC24:WSD24"/>
    <mergeCell ref="WSE24:WSF24"/>
    <mergeCell ref="WSG24:WSH24"/>
    <mergeCell ref="WSI24:WSJ24"/>
    <mergeCell ref="WSK24:WSL24"/>
    <mergeCell ref="WUU24:WUV24"/>
    <mergeCell ref="WUW24:WUX24"/>
    <mergeCell ref="WUY24:WUZ24"/>
    <mergeCell ref="WVA24:WVB24"/>
    <mergeCell ref="WVC24:WVD24"/>
    <mergeCell ref="WUK24:WUL24"/>
    <mergeCell ref="WUM24:WUN24"/>
    <mergeCell ref="WUO24:WUP24"/>
    <mergeCell ref="WUQ24:WUR24"/>
    <mergeCell ref="WUS24:WUT24"/>
    <mergeCell ref="WUA24:WUB24"/>
    <mergeCell ref="WUC24:WUD24"/>
    <mergeCell ref="WUE24:WUF24"/>
    <mergeCell ref="WUG24:WUH24"/>
    <mergeCell ref="WUI24:WUJ24"/>
    <mergeCell ref="WTQ24:WTR24"/>
    <mergeCell ref="WTS24:WTT24"/>
    <mergeCell ref="WTU24:WTV24"/>
    <mergeCell ref="WTW24:WTX24"/>
    <mergeCell ref="WTY24:WTZ24"/>
    <mergeCell ref="WWI24:WWJ24"/>
    <mergeCell ref="WWK24:WWL24"/>
    <mergeCell ref="WWM24:WWN24"/>
    <mergeCell ref="WWO24:WWP24"/>
    <mergeCell ref="WWQ24:WWR24"/>
    <mergeCell ref="WVY24:WVZ24"/>
    <mergeCell ref="WWA24:WWB24"/>
    <mergeCell ref="WWC24:WWD24"/>
    <mergeCell ref="WWE24:WWF24"/>
    <mergeCell ref="WWG24:WWH24"/>
    <mergeCell ref="WVO24:WVP24"/>
    <mergeCell ref="WVQ24:WVR24"/>
    <mergeCell ref="WVS24:WVT24"/>
    <mergeCell ref="WVU24:WVV24"/>
    <mergeCell ref="WVW24:WVX24"/>
    <mergeCell ref="WVE24:WVF24"/>
    <mergeCell ref="WVG24:WVH24"/>
    <mergeCell ref="WVI24:WVJ24"/>
    <mergeCell ref="WVK24:WVL24"/>
    <mergeCell ref="WVM24:WVN24"/>
    <mergeCell ref="WXW24:WXX24"/>
    <mergeCell ref="WXY24:WXZ24"/>
    <mergeCell ref="WYA24:WYB24"/>
    <mergeCell ref="WYC24:WYD24"/>
    <mergeCell ref="WYE24:WYF24"/>
    <mergeCell ref="WXM24:WXN24"/>
    <mergeCell ref="WXO24:WXP24"/>
    <mergeCell ref="WXQ24:WXR24"/>
    <mergeCell ref="WXS24:WXT24"/>
    <mergeCell ref="WXU24:WXV24"/>
    <mergeCell ref="WXC24:WXD24"/>
    <mergeCell ref="WXE24:WXF24"/>
    <mergeCell ref="WXG24:WXH24"/>
    <mergeCell ref="WXI24:WXJ24"/>
    <mergeCell ref="WXK24:WXL24"/>
    <mergeCell ref="WWS24:WWT24"/>
    <mergeCell ref="WWU24:WWV24"/>
    <mergeCell ref="WWW24:WWX24"/>
    <mergeCell ref="WWY24:WWZ24"/>
    <mergeCell ref="WXA24:WXB24"/>
    <mergeCell ref="WZK24:WZL24"/>
    <mergeCell ref="WZM24:WZN24"/>
    <mergeCell ref="WZO24:WZP24"/>
    <mergeCell ref="WZQ24:WZR24"/>
    <mergeCell ref="WZS24:WZT24"/>
    <mergeCell ref="WZA24:WZB24"/>
    <mergeCell ref="WZC24:WZD24"/>
    <mergeCell ref="WZE24:WZF24"/>
    <mergeCell ref="WZG24:WZH24"/>
    <mergeCell ref="WZI24:WZJ24"/>
    <mergeCell ref="WYQ24:WYR24"/>
    <mergeCell ref="WYS24:WYT24"/>
    <mergeCell ref="WYU24:WYV24"/>
    <mergeCell ref="WYW24:WYX24"/>
    <mergeCell ref="WYY24:WYZ24"/>
    <mergeCell ref="WYG24:WYH24"/>
    <mergeCell ref="WYI24:WYJ24"/>
    <mergeCell ref="WYK24:WYL24"/>
    <mergeCell ref="WYM24:WYN24"/>
    <mergeCell ref="WYO24:WYP24"/>
    <mergeCell ref="XBQ24:XBR24"/>
    <mergeCell ref="XAY24:XAZ24"/>
    <mergeCell ref="XBA24:XBB24"/>
    <mergeCell ref="XBC24:XBD24"/>
    <mergeCell ref="XBE24:XBF24"/>
    <mergeCell ref="XBG24:XBH24"/>
    <mergeCell ref="XAO24:XAP24"/>
    <mergeCell ref="XAQ24:XAR24"/>
    <mergeCell ref="XAS24:XAT24"/>
    <mergeCell ref="XAU24:XAV24"/>
    <mergeCell ref="XAW24:XAX24"/>
    <mergeCell ref="XAE24:XAF24"/>
    <mergeCell ref="XAG24:XAH24"/>
    <mergeCell ref="XAI24:XAJ24"/>
    <mergeCell ref="XAK24:XAL24"/>
    <mergeCell ref="XAM24:XAN24"/>
    <mergeCell ref="WZU24:WZV24"/>
    <mergeCell ref="WZW24:WZX24"/>
    <mergeCell ref="WZY24:WZZ24"/>
    <mergeCell ref="XAA24:XAB24"/>
    <mergeCell ref="XAC24:XAD24"/>
    <mergeCell ref="XFC24:XFD24"/>
    <mergeCell ref="XEK24:XEL24"/>
    <mergeCell ref="XEM24:XEN24"/>
    <mergeCell ref="XEO24:XEP24"/>
    <mergeCell ref="XEQ24:XER24"/>
    <mergeCell ref="XES24:XET24"/>
    <mergeCell ref="XEA24:XEB24"/>
    <mergeCell ref="XEC24:XED24"/>
    <mergeCell ref="XEE24:XEF24"/>
    <mergeCell ref="XEG24:XEH24"/>
    <mergeCell ref="XEI24:XEJ24"/>
    <mergeCell ref="XDQ24:XDR24"/>
    <mergeCell ref="XDS24:XDT24"/>
    <mergeCell ref="XDU24:XDV24"/>
    <mergeCell ref="XDW24:XDX24"/>
    <mergeCell ref="XDY24:XDZ24"/>
    <mergeCell ref="XDG24:XDH24"/>
    <mergeCell ref="XDI24:XDJ24"/>
    <mergeCell ref="XDK24:XDL24"/>
    <mergeCell ref="XDM24:XDN24"/>
    <mergeCell ref="XDO24:XDP24"/>
    <mergeCell ref="B2:D2"/>
    <mergeCell ref="B32:D32"/>
    <mergeCell ref="B7:D7"/>
    <mergeCell ref="B8:D8"/>
    <mergeCell ref="XEU24:XEV24"/>
    <mergeCell ref="XEW24:XEX24"/>
    <mergeCell ref="XEY24:XEZ24"/>
    <mergeCell ref="XFA24:XFB24"/>
    <mergeCell ref="XCW24:XCX24"/>
    <mergeCell ref="XCY24:XCZ24"/>
    <mergeCell ref="XDA24:XDB24"/>
    <mergeCell ref="XDC24:XDD24"/>
    <mergeCell ref="XDE24:XDF24"/>
    <mergeCell ref="XCM24:XCN24"/>
    <mergeCell ref="XCO24:XCP24"/>
    <mergeCell ref="XCQ24:XCR24"/>
    <mergeCell ref="XCS24:XCT24"/>
    <mergeCell ref="XCU24:XCV24"/>
    <mergeCell ref="XCC24:XCD24"/>
    <mergeCell ref="XCE24:XCF24"/>
    <mergeCell ref="XCG24:XCH24"/>
    <mergeCell ref="XCI24:XCJ24"/>
    <mergeCell ref="XCK24:XCL24"/>
    <mergeCell ref="XBS24:XBT24"/>
    <mergeCell ref="XBU24:XBV24"/>
    <mergeCell ref="XBW24:XBX24"/>
    <mergeCell ref="XBY24:XBZ24"/>
    <mergeCell ref="XCA24:XCB24"/>
    <mergeCell ref="XBI24:XBJ24"/>
    <mergeCell ref="XBK24:XBL24"/>
    <mergeCell ref="XBM24:XBN24"/>
    <mergeCell ref="XBO24:XBP24"/>
  </mergeCells>
  <hyperlinks>
    <hyperlink ref="A7" location="'2.1'!A1" display="Tabla 2.1" xr:uid="{00000000-0004-0000-0000-000000000000}"/>
    <hyperlink ref="A8" location="'2.2'!A1" display="Tabla 2.2" xr:uid="{00000000-0004-0000-0000-000001000000}"/>
    <hyperlink ref="A9" location="'2.3'!A1" display="Tabla 2.3" xr:uid="{00000000-0004-0000-0000-000002000000}"/>
    <hyperlink ref="A10" location="'2.4'!A1" display="Tabla 2.4" xr:uid="{00000000-0004-0000-0000-000003000000}"/>
    <hyperlink ref="A11" location="'2.5'!A1" display="Tabla 2.5" xr:uid="{00000000-0004-0000-0000-000004000000}"/>
    <hyperlink ref="A12" location="'2.7'!A1" display="Tabla 2.7" xr:uid="{00000000-0004-0000-0000-000005000000}"/>
    <hyperlink ref="A13" location="'2.8'!A1" display="Tabla 2.8" xr:uid="{00000000-0004-0000-0000-000006000000}"/>
    <hyperlink ref="A14" location="'2.9'!A1" display="Tabla 2.9" xr:uid="{00000000-0004-0000-0000-000007000000}"/>
    <hyperlink ref="A15" location="'2.10'!A1" display="Tabla 2.10" xr:uid="{00000000-0004-0000-0000-000008000000}"/>
    <hyperlink ref="A17" location="'2.12'!A1" display="Tabla 2.12" xr:uid="{00000000-0004-0000-0000-000009000000}"/>
    <hyperlink ref="A18" location="'2.13'!A1" display="Tabla 2.13" xr:uid="{00000000-0004-0000-0000-00000A000000}"/>
    <hyperlink ref="A19" location="'2.14'!A1" display="Tabla 2.14" xr:uid="{00000000-0004-0000-0000-00000B000000}"/>
    <hyperlink ref="A20" location="'2.15'!A1" display="Tabla 2.15" xr:uid="{00000000-0004-0000-0000-00000C000000}"/>
    <hyperlink ref="A21" location="'2.16'!A1" display="Tabla 2.16" xr:uid="{00000000-0004-0000-0000-00000D000000}"/>
    <hyperlink ref="A22" location="'2.18'!A1" display="Tabla 2.18" xr:uid="{00000000-0004-0000-0000-00000E000000}"/>
    <hyperlink ref="A16" location="'2.11'!A1" display="Tabla 2.11" xr:uid="{00000000-0004-0000-0000-00000F000000}"/>
    <hyperlink ref="A25" location="'2.20'!A1" display="Tabla 2.20" xr:uid="{00000000-0004-0000-0000-000010000000}"/>
    <hyperlink ref="A26" location="'2.21'!A1" display="Tabla 2.21" xr:uid="{00000000-0004-0000-0000-000011000000}"/>
    <hyperlink ref="A27" location="'2.22'!A1" display="Tabla 2.22" xr:uid="{00000000-0004-0000-0000-000012000000}"/>
    <hyperlink ref="A28" location="'2.24'!A1" display="Tabla 2.24" xr:uid="{00000000-0004-0000-0000-000013000000}"/>
    <hyperlink ref="A29" location="'2.26'!A1" display="Tabla 2.26" xr:uid="{00000000-0004-0000-0000-000014000000}"/>
    <hyperlink ref="A30" location="'2.27'!A1" display="Tabla 2.27" xr:uid="{00000000-0004-0000-0000-000015000000}"/>
    <hyperlink ref="A31" location="'2.29'!A1" display="Tabla 2.29" xr:uid="{00000000-0004-0000-0000-000016000000}"/>
    <hyperlink ref="A32" location="'2.30'!A1" display="Tabla 2.30" xr:uid="{00000000-0004-0000-0000-000017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73"/>
  <sheetViews>
    <sheetView zoomScaleNormal="100" workbookViewId="0">
      <selection activeCell="I3" sqref="I3"/>
    </sheetView>
  </sheetViews>
  <sheetFormatPr baseColWidth="10" defaultRowHeight="14.4"/>
  <cols>
    <col min="2" max="2" width="27.88671875" style="2" customWidth="1"/>
    <col min="3" max="4" width="13.88671875" customWidth="1"/>
  </cols>
  <sheetData>
    <row r="2" spans="1:4">
      <c r="B2" s="3" t="s">
        <v>80</v>
      </c>
    </row>
    <row r="3" spans="1:4" s="16" customFormat="1">
      <c r="B3" s="7" t="s">
        <v>79</v>
      </c>
    </row>
    <row r="4" spans="1:4" s="2" customFormat="1">
      <c r="B4" s="57" t="s">
        <v>91</v>
      </c>
    </row>
    <row r="5" spans="1:4">
      <c r="B5" s="4" t="s">
        <v>0</v>
      </c>
    </row>
    <row r="6" spans="1:4" s="16" customFormat="1" ht="19.5" customHeight="1">
      <c r="B6" s="4"/>
    </row>
    <row r="7" spans="1:4" s="16" customFormat="1" ht="28.5" customHeight="1">
      <c r="B7" s="71" t="s">
        <v>81</v>
      </c>
      <c r="C7" s="71"/>
      <c r="D7" s="71"/>
    </row>
    <row r="8" spans="1:4" s="16" customFormat="1" ht="31.5" customHeight="1">
      <c r="B8" s="21" t="s">
        <v>54</v>
      </c>
      <c r="C8" s="18" t="s">
        <v>56</v>
      </c>
      <c r="D8" s="18" t="s">
        <v>55</v>
      </c>
    </row>
    <row r="9" spans="1:4">
      <c r="A9" s="2"/>
      <c r="B9" s="27" t="s">
        <v>16</v>
      </c>
      <c r="C9" s="41">
        <v>474.82645400000001</v>
      </c>
      <c r="D9" s="44">
        <v>3.0648040000000001</v>
      </c>
    </row>
    <row r="10" spans="1:4">
      <c r="A10" s="2"/>
      <c r="B10" s="28" t="s">
        <v>14</v>
      </c>
      <c r="C10" s="42">
        <v>487.08425399999999</v>
      </c>
      <c r="D10" s="45">
        <v>1.779614</v>
      </c>
    </row>
    <row r="11" spans="1:4">
      <c r="A11" s="2"/>
      <c r="B11" s="28" t="s">
        <v>18</v>
      </c>
      <c r="C11" s="42">
        <v>487.26749899999999</v>
      </c>
      <c r="D11" s="45">
        <v>2.3377889999999999</v>
      </c>
    </row>
    <row r="12" spans="1:4">
      <c r="A12" s="2"/>
      <c r="B12" s="28" t="s">
        <v>28</v>
      </c>
      <c r="C12" s="42">
        <v>489.48681699999997</v>
      </c>
      <c r="D12" s="45">
        <v>2.202874</v>
      </c>
    </row>
    <row r="13" spans="1:4">
      <c r="A13" s="2"/>
      <c r="B13" s="28" t="s">
        <v>20</v>
      </c>
      <c r="C13" s="42">
        <v>417.3039</v>
      </c>
      <c r="D13" s="45">
        <v>3.3026879999999998</v>
      </c>
    </row>
    <row r="14" spans="1:4">
      <c r="A14" s="2"/>
      <c r="B14" s="28" t="s">
        <v>6</v>
      </c>
      <c r="C14" s="42">
        <v>496.94789400000002</v>
      </c>
      <c r="D14" s="45">
        <v>1.561804</v>
      </c>
    </row>
    <row r="15" spans="1:4">
      <c r="A15" s="2"/>
      <c r="B15" s="28" t="s">
        <v>1</v>
      </c>
      <c r="C15" s="42">
        <v>411.69657100000001</v>
      </c>
      <c r="D15" s="45">
        <v>2.0779019999999999</v>
      </c>
    </row>
    <row r="16" spans="1:4">
      <c r="A16" s="2"/>
      <c r="B16" s="28" t="s">
        <v>82</v>
      </c>
      <c r="C16" s="42">
        <v>418.30667999999997</v>
      </c>
      <c r="D16" s="45">
        <v>1.1789259999999999</v>
      </c>
    </row>
    <row r="17" spans="1:4">
      <c r="A17" s="2"/>
      <c r="B17" s="28" t="s">
        <v>29</v>
      </c>
      <c r="C17" s="42">
        <v>382.69683500000002</v>
      </c>
      <c r="D17" s="45">
        <v>3.0310130000000002</v>
      </c>
    </row>
    <row r="18" spans="1:4">
      <c r="A18" s="2"/>
      <c r="B18" s="28" t="s">
        <v>25</v>
      </c>
      <c r="C18" s="42">
        <v>527.302502</v>
      </c>
      <c r="D18" s="45">
        <v>3.8628089999999999</v>
      </c>
    </row>
    <row r="19" spans="1:4">
      <c r="A19" s="2"/>
      <c r="B19" s="28" t="s">
        <v>83</v>
      </c>
      <c r="C19" s="42">
        <v>384.57604099999998</v>
      </c>
      <c r="D19" s="45">
        <v>1.8877079999999999</v>
      </c>
    </row>
    <row r="20" spans="1:4">
      <c r="A20" s="2"/>
      <c r="B20" s="28" t="s">
        <v>15</v>
      </c>
      <c r="C20" s="42">
        <v>463.105189</v>
      </c>
      <c r="D20" s="45">
        <v>2.3789169999999999</v>
      </c>
    </row>
    <row r="21" spans="1:4">
      <c r="A21" s="2"/>
      <c r="B21" s="28" t="s">
        <v>8</v>
      </c>
      <c r="C21" s="42">
        <v>489.27387700000003</v>
      </c>
      <c r="D21" s="45">
        <v>1.9488220000000001</v>
      </c>
    </row>
    <row r="22" spans="1:4">
      <c r="A22" s="2"/>
      <c r="B22" s="28" t="s">
        <v>10</v>
      </c>
      <c r="C22" s="42">
        <v>484.52900899999997</v>
      </c>
      <c r="D22" s="45">
        <v>1.244059</v>
      </c>
    </row>
    <row r="23" spans="1:4">
      <c r="A23" s="2"/>
      <c r="B23" s="28" t="s">
        <v>26</v>
      </c>
      <c r="C23" s="42">
        <v>473.14020799999997</v>
      </c>
      <c r="D23" s="45">
        <v>1.5043759999999999</v>
      </c>
    </row>
    <row r="24" spans="1:4">
      <c r="A24" s="2"/>
      <c r="B24" s="28" t="s">
        <v>7</v>
      </c>
      <c r="C24" s="42">
        <v>464.88804299999998</v>
      </c>
      <c r="D24" s="45">
        <v>4.006723</v>
      </c>
    </row>
    <row r="25" spans="1:4">
      <c r="A25" s="2"/>
      <c r="B25" s="28" t="s">
        <v>21</v>
      </c>
      <c r="C25" s="42">
        <v>509.94695300000001</v>
      </c>
      <c r="D25" s="45">
        <v>1.984475</v>
      </c>
    </row>
    <row r="26" spans="1:4">
      <c r="A26" s="2"/>
      <c r="B26" s="28" t="s">
        <v>34</v>
      </c>
      <c r="C26" s="42">
        <v>484.13922600000001</v>
      </c>
      <c r="D26" s="45">
        <v>1.857156</v>
      </c>
    </row>
    <row r="27" spans="1:4">
      <c r="A27" s="2"/>
      <c r="B27" s="28" t="s">
        <v>5</v>
      </c>
      <c r="C27" s="42">
        <v>473.94441799999998</v>
      </c>
      <c r="D27" s="45">
        <v>2.4889739999999998</v>
      </c>
    </row>
    <row r="28" spans="1:4">
      <c r="A28" s="2"/>
      <c r="B28" s="28" t="s">
        <v>37</v>
      </c>
      <c r="C28" s="42">
        <v>430.146322</v>
      </c>
      <c r="D28" s="45">
        <v>2.3350230000000001</v>
      </c>
    </row>
    <row r="29" spans="1:4">
      <c r="A29" s="2"/>
      <c r="B29" s="28" t="s">
        <v>4</v>
      </c>
      <c r="C29" s="42">
        <v>472.77612199999999</v>
      </c>
      <c r="D29" s="45">
        <v>2.5140600000000002</v>
      </c>
    </row>
    <row r="30" spans="1:4">
      <c r="A30" s="3"/>
      <c r="B30" s="28" t="s">
        <v>9</v>
      </c>
      <c r="C30" s="42">
        <v>491.64828</v>
      </c>
      <c r="D30" s="45">
        <v>2.0222660000000001</v>
      </c>
    </row>
    <row r="31" spans="1:4">
      <c r="A31" s="2"/>
      <c r="B31" s="28" t="s">
        <v>19</v>
      </c>
      <c r="C31" s="42">
        <v>458.89645000000002</v>
      </c>
      <c r="D31" s="45">
        <v>1.5820639999999999</v>
      </c>
    </row>
    <row r="32" spans="1:4">
      <c r="A32" s="2"/>
      <c r="B32" s="28" t="s">
        <v>11</v>
      </c>
      <c r="C32" s="42">
        <v>457.89666699999998</v>
      </c>
      <c r="D32" s="45">
        <v>3.2691490000000001</v>
      </c>
    </row>
    <row r="33" spans="1:4">
      <c r="A33" s="2"/>
      <c r="B33" s="28" t="s">
        <v>12</v>
      </c>
      <c r="C33" s="42">
        <v>471.25947500000001</v>
      </c>
      <c r="D33" s="45">
        <v>3.093388</v>
      </c>
    </row>
    <row r="34" spans="1:4">
      <c r="A34" s="2"/>
      <c r="B34" s="28" t="s">
        <v>2</v>
      </c>
      <c r="C34" s="42">
        <v>535.57930599999997</v>
      </c>
      <c r="D34" s="45">
        <v>2.9338280000000001</v>
      </c>
    </row>
    <row r="35" spans="1:4">
      <c r="A35" s="2"/>
      <c r="B35" s="28" t="s">
        <v>23</v>
      </c>
      <c r="C35" s="42">
        <v>483.15945499999998</v>
      </c>
      <c r="D35" s="45">
        <v>2.0319129999999999</v>
      </c>
    </row>
    <row r="36" spans="1:4">
      <c r="B36" s="28" t="s">
        <v>32</v>
      </c>
      <c r="C36" s="42">
        <v>475.14676200000002</v>
      </c>
      <c r="D36" s="45">
        <v>1.84182</v>
      </c>
    </row>
    <row r="37" spans="1:4">
      <c r="B37" s="28" t="s">
        <v>17</v>
      </c>
      <c r="C37" s="42">
        <v>466.01611300000002</v>
      </c>
      <c r="D37" s="45">
        <v>1.578962</v>
      </c>
    </row>
    <row r="38" spans="1:4">
      <c r="B38" s="28" t="s">
        <v>3</v>
      </c>
      <c r="C38" s="42">
        <v>395.02991900000001</v>
      </c>
      <c r="D38" s="45">
        <v>2.2705890000000002</v>
      </c>
    </row>
    <row r="39" spans="1:4">
      <c r="B39" s="28" t="s">
        <v>13</v>
      </c>
      <c r="C39" s="42">
        <v>468.44995</v>
      </c>
      <c r="D39" s="45">
        <v>2.0624189999999998</v>
      </c>
    </row>
    <row r="40" spans="1:4">
      <c r="B40" s="28" t="s">
        <v>27</v>
      </c>
      <c r="C40" s="42">
        <v>479.07419299999998</v>
      </c>
      <c r="D40" s="45">
        <v>1.987025</v>
      </c>
    </row>
    <row r="41" spans="1:4">
      <c r="B41" s="28" t="s">
        <v>31</v>
      </c>
      <c r="C41" s="42">
        <v>492.67563899999999</v>
      </c>
      <c r="D41" s="45">
        <v>3.7659609999999999</v>
      </c>
    </row>
    <row r="42" spans="1:4">
      <c r="B42" s="28" t="s">
        <v>35</v>
      </c>
      <c r="C42" s="42">
        <v>488.96005400000001</v>
      </c>
      <c r="D42" s="45">
        <v>2.2748499999999998</v>
      </c>
    </row>
    <row r="43" spans="1:4">
      <c r="B43" s="28" t="s">
        <v>36</v>
      </c>
      <c r="C43" s="42">
        <v>471.91052200000001</v>
      </c>
      <c r="D43" s="45">
        <v>2.350571</v>
      </c>
    </row>
    <row r="44" spans="1:4">
      <c r="B44" s="28" t="s">
        <v>38</v>
      </c>
      <c r="C44" s="42">
        <v>488.97508499999998</v>
      </c>
      <c r="D44" s="45">
        <v>2.2179509999999998</v>
      </c>
    </row>
    <row r="45" spans="1:4">
      <c r="B45" s="28" t="s">
        <v>84</v>
      </c>
      <c r="C45" s="42">
        <v>486.99920800000001</v>
      </c>
      <c r="D45" s="45">
        <v>2.093645</v>
      </c>
    </row>
    <row r="46" spans="1:4">
      <c r="B46" s="28" t="s">
        <v>85</v>
      </c>
      <c r="C46" s="42">
        <v>463.994618</v>
      </c>
      <c r="D46" s="45">
        <v>2.8929279999999999</v>
      </c>
    </row>
    <row r="47" spans="1:4">
      <c r="B47" s="28" t="s">
        <v>33</v>
      </c>
      <c r="C47" s="42">
        <v>427.759997</v>
      </c>
      <c r="D47" s="45">
        <v>3.9984150000000001</v>
      </c>
    </row>
    <row r="48" spans="1:4">
      <c r="B48" s="28" t="s">
        <v>22</v>
      </c>
      <c r="C48" s="42">
        <v>481.76606500000003</v>
      </c>
      <c r="D48" s="45">
        <v>2.0631210000000002</v>
      </c>
    </row>
    <row r="49" spans="2:4">
      <c r="B49" s="28" t="s">
        <v>24</v>
      </c>
      <c r="C49" s="42">
        <v>507.99058600000001</v>
      </c>
      <c r="D49" s="45">
        <v>2.1436999999999999</v>
      </c>
    </row>
    <row r="50" spans="2:4">
      <c r="B50" s="28" t="s">
        <v>30</v>
      </c>
      <c r="C50" s="42">
        <v>453.15176700000001</v>
      </c>
      <c r="D50" s="45">
        <v>1.5881510000000001</v>
      </c>
    </row>
    <row r="51" spans="2:4" s="16" customFormat="1">
      <c r="B51" s="28"/>
      <c r="C51" s="42"/>
      <c r="D51" s="45"/>
    </row>
    <row r="52" spans="2:4">
      <c r="B52" s="63" t="s">
        <v>39</v>
      </c>
      <c r="C52" s="42">
        <v>472.35764999999998</v>
      </c>
      <c r="D52" s="45">
        <v>0.397754</v>
      </c>
    </row>
    <row r="53" spans="2:4">
      <c r="B53" s="28" t="s">
        <v>40</v>
      </c>
      <c r="C53" s="42">
        <v>473.73910999999998</v>
      </c>
      <c r="D53" s="45">
        <v>0.86982700000000002</v>
      </c>
    </row>
    <row r="54" spans="2:4">
      <c r="B54" s="63"/>
      <c r="C54" s="42"/>
      <c r="D54" s="45"/>
    </row>
    <row r="55" spans="2:4">
      <c r="B55" s="63" t="s">
        <v>43</v>
      </c>
      <c r="C55" s="42">
        <v>457.22283900000002</v>
      </c>
      <c r="D55" s="45">
        <v>4.8503489999999996</v>
      </c>
    </row>
    <row r="56" spans="2:4">
      <c r="B56" s="63" t="s">
        <v>44</v>
      </c>
      <c r="C56" s="42">
        <v>486.87795299999999</v>
      </c>
      <c r="D56" s="45">
        <v>4.6013539999999997</v>
      </c>
    </row>
    <row r="57" spans="2:4">
      <c r="B57" s="63" t="s">
        <v>175</v>
      </c>
      <c r="C57" s="42">
        <v>494.93053600000002</v>
      </c>
      <c r="D57" s="45">
        <v>4.3827109999999996</v>
      </c>
    </row>
    <row r="58" spans="2:4">
      <c r="B58" s="63" t="s">
        <v>57</v>
      </c>
      <c r="C58" s="42">
        <v>470.89201300000002</v>
      </c>
      <c r="D58" s="45">
        <v>3.7975919999999999</v>
      </c>
    </row>
    <row r="59" spans="2:4">
      <c r="B59" s="63" t="s">
        <v>176</v>
      </c>
      <c r="C59" s="42">
        <v>472.762698</v>
      </c>
      <c r="D59" s="45">
        <v>3.850228</v>
      </c>
    </row>
    <row r="60" spans="2:4">
      <c r="B60" s="63" t="s">
        <v>46</v>
      </c>
      <c r="C60" s="42">
        <v>447.12840799999998</v>
      </c>
      <c r="D60" s="45">
        <v>4.4988049999999999</v>
      </c>
    </row>
    <row r="61" spans="2:4">
      <c r="B61" s="63" t="s">
        <v>47</v>
      </c>
      <c r="C61" s="42">
        <v>494.60128800000001</v>
      </c>
      <c r="D61" s="45">
        <v>4.6174390000000001</v>
      </c>
    </row>
    <row r="62" spans="2:4">
      <c r="B62" s="63" t="s">
        <v>48</v>
      </c>
      <c r="C62" s="42">
        <v>499.24788000000001</v>
      </c>
      <c r="D62" s="45">
        <v>3.7961170000000002</v>
      </c>
    </row>
    <row r="63" spans="2:4">
      <c r="B63" s="63" t="s">
        <v>49</v>
      </c>
      <c r="C63" s="42">
        <v>463.58142800000002</v>
      </c>
      <c r="D63" s="45">
        <v>3.40246</v>
      </c>
    </row>
    <row r="64" spans="2:4">
      <c r="B64" s="63" t="s">
        <v>50</v>
      </c>
      <c r="C64" s="42">
        <v>469.32383399999998</v>
      </c>
      <c r="D64" s="45">
        <v>5.7637289999999997</v>
      </c>
    </row>
    <row r="65" spans="2:4">
      <c r="B65" s="63" t="s">
        <v>51</v>
      </c>
      <c r="C65" s="42">
        <v>394.845147</v>
      </c>
      <c r="D65" s="45">
        <v>6.3184849999999999</v>
      </c>
    </row>
    <row r="66" spans="2:4">
      <c r="B66" s="63" t="s">
        <v>41</v>
      </c>
      <c r="C66" s="42">
        <v>469.05223799999999</v>
      </c>
      <c r="D66" s="45">
        <v>4.903257</v>
      </c>
    </row>
    <row r="67" spans="2:4">
      <c r="B67" s="63" t="s">
        <v>42</v>
      </c>
      <c r="C67" s="42">
        <v>486.48767299999997</v>
      </c>
      <c r="D67" s="45">
        <v>3.7093989999999999</v>
      </c>
    </row>
    <row r="68" spans="2:4">
      <c r="B68" s="63" t="s">
        <v>177</v>
      </c>
      <c r="C68" s="42">
        <v>493.66451899999998</v>
      </c>
      <c r="D68" s="45">
        <v>3.6420530000000002</v>
      </c>
    </row>
    <row r="69" spans="2:4">
      <c r="B69" s="63" t="s">
        <v>53</v>
      </c>
      <c r="C69" s="42">
        <v>403.79173900000001</v>
      </c>
      <c r="D69" s="45">
        <v>5.9947049999999997</v>
      </c>
    </row>
    <row r="70" spans="2:4">
      <c r="B70" s="63" t="s">
        <v>178</v>
      </c>
      <c r="C70" s="42">
        <v>463.21427799999998</v>
      </c>
      <c r="D70" s="45">
        <v>4.416601</v>
      </c>
    </row>
    <row r="71" spans="2:4">
      <c r="B71" s="63" t="s">
        <v>179</v>
      </c>
      <c r="C71" s="42">
        <v>492.43226499999997</v>
      </c>
      <c r="D71" s="45">
        <v>4.2242769999999998</v>
      </c>
    </row>
    <row r="72" spans="2:4">
      <c r="B72" s="63" t="s">
        <v>45</v>
      </c>
      <c r="C72" s="42">
        <v>482.06227799999999</v>
      </c>
      <c r="D72" s="45">
        <v>3.974993</v>
      </c>
    </row>
    <row r="73" spans="2:4">
      <c r="B73" s="64" t="s">
        <v>52</v>
      </c>
      <c r="C73" s="43">
        <v>492.645533</v>
      </c>
      <c r="D73" s="46">
        <v>4.1162559999999999</v>
      </c>
    </row>
  </sheetData>
  <sortState ref="F55:H73">
    <sortCondition ref="F55"/>
  </sortState>
  <mergeCells count="1">
    <mergeCell ref="B7:D7"/>
  </mergeCells>
  <hyperlinks>
    <hyperlink ref="B5" location="Índice!A1" display="Índice" xr:uid="{00000000-0004-0000-0100-000000000000}"/>
  </hyperlink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D73"/>
  <sheetViews>
    <sheetView zoomScaleNormal="100" workbookViewId="0">
      <selection activeCell="K42" sqref="K42"/>
    </sheetView>
  </sheetViews>
  <sheetFormatPr baseColWidth="10" defaultColWidth="11.44140625" defaultRowHeight="14.4"/>
  <cols>
    <col min="1" max="1" width="11.44140625" style="16"/>
    <col min="2" max="2" width="27.88671875" style="16" customWidth="1"/>
    <col min="3" max="4" width="13.88671875" style="16" customWidth="1"/>
    <col min="5" max="16384" width="11.44140625" style="16"/>
  </cols>
  <sheetData>
    <row r="2" spans="2:4">
      <c r="B2" s="57" t="s">
        <v>92</v>
      </c>
    </row>
    <row r="3" spans="2:4">
      <c r="B3" s="33" t="s">
        <v>79</v>
      </c>
    </row>
    <row r="4" spans="2:4">
      <c r="B4" s="3" t="s">
        <v>94</v>
      </c>
    </row>
    <row r="5" spans="2:4">
      <c r="B5" s="4" t="s">
        <v>0</v>
      </c>
    </row>
    <row r="6" spans="2:4" ht="19.5" customHeight="1">
      <c r="B6" s="4"/>
    </row>
    <row r="7" spans="2:4" ht="28.5" customHeight="1">
      <c r="B7" s="71" t="s">
        <v>92</v>
      </c>
      <c r="C7" s="71"/>
      <c r="D7" s="71"/>
    </row>
    <row r="8" spans="2:4" ht="31.5" customHeight="1">
      <c r="B8" s="34" t="s">
        <v>54</v>
      </c>
      <c r="C8" s="34" t="s">
        <v>93</v>
      </c>
      <c r="D8" s="34" t="s">
        <v>55</v>
      </c>
    </row>
    <row r="9" spans="2:4">
      <c r="B9" s="27" t="s">
        <v>16</v>
      </c>
      <c r="C9" s="41">
        <v>134.17179999999999</v>
      </c>
      <c r="D9" s="44">
        <v>2.9987279999999998</v>
      </c>
    </row>
    <row r="10" spans="2:4">
      <c r="B10" s="28" t="s">
        <v>14</v>
      </c>
      <c r="C10" s="42">
        <v>139.8373</v>
      </c>
      <c r="D10" s="45">
        <v>2.5413920000000001</v>
      </c>
    </row>
    <row r="11" spans="2:4">
      <c r="B11" s="28" t="s">
        <v>18</v>
      </c>
      <c r="C11" s="42">
        <v>133.96279999999999</v>
      </c>
      <c r="D11" s="45">
        <v>3.3306789999999999</v>
      </c>
    </row>
    <row r="12" spans="2:4">
      <c r="B12" s="28" t="s">
        <v>28</v>
      </c>
      <c r="C12" s="42">
        <v>138.6437</v>
      </c>
      <c r="D12" s="45">
        <v>2.8461560000000001</v>
      </c>
    </row>
    <row r="13" spans="2:4">
      <c r="B13" s="28" t="s">
        <v>20</v>
      </c>
      <c r="C13" s="42">
        <v>136.6635</v>
      </c>
      <c r="D13" s="45">
        <v>4.4091579999999997</v>
      </c>
    </row>
    <row r="14" spans="2:4">
      <c r="B14" s="28" t="s">
        <v>6</v>
      </c>
      <c r="C14" s="42">
        <v>131.1337</v>
      </c>
      <c r="D14" s="45">
        <v>1.800136</v>
      </c>
    </row>
    <row r="15" spans="2:4">
      <c r="B15" s="28" t="s">
        <v>1</v>
      </c>
      <c r="C15" s="42">
        <v>105.8728</v>
      </c>
      <c r="D15" s="45">
        <v>2.3258030000000001</v>
      </c>
    </row>
    <row r="16" spans="2:4">
      <c r="B16" s="28" t="s">
        <v>82</v>
      </c>
      <c r="C16" s="42">
        <v>144.34289999999999</v>
      </c>
      <c r="D16" s="45">
        <v>2.4194309999999999</v>
      </c>
    </row>
    <row r="17" spans="1:4">
      <c r="B17" s="28" t="s">
        <v>29</v>
      </c>
      <c r="C17" s="42">
        <v>97.656300000000002</v>
      </c>
      <c r="D17" s="45">
        <v>2.4590420000000002</v>
      </c>
    </row>
    <row r="18" spans="1:4">
      <c r="B18" s="28" t="s">
        <v>25</v>
      </c>
      <c r="C18" s="42">
        <v>144.10839999999999</v>
      </c>
      <c r="D18" s="45">
        <v>4.5569119999999996</v>
      </c>
    </row>
    <row r="19" spans="1:4">
      <c r="B19" s="28" t="s">
        <v>83</v>
      </c>
      <c r="C19" s="42">
        <v>87.646799999999999</v>
      </c>
      <c r="D19" s="45">
        <v>2.1737690000000001</v>
      </c>
    </row>
    <row r="20" spans="1:4">
      <c r="B20" s="28" t="s">
        <v>15</v>
      </c>
      <c r="C20" s="42">
        <v>123.31659999999999</v>
      </c>
      <c r="D20" s="45">
        <v>3.2009720000000002</v>
      </c>
    </row>
    <row r="21" spans="1:4">
      <c r="B21" s="28" t="s">
        <v>8</v>
      </c>
      <c r="C21" s="42">
        <v>112.3646</v>
      </c>
      <c r="D21" s="45">
        <v>2.508318</v>
      </c>
    </row>
    <row r="22" spans="1:4">
      <c r="B22" s="28" t="s">
        <v>10</v>
      </c>
      <c r="C22" s="42">
        <v>125.1066</v>
      </c>
      <c r="D22" s="45">
        <v>2.9468830000000001</v>
      </c>
    </row>
    <row r="23" spans="1:4">
      <c r="B23" s="28" t="s">
        <v>26</v>
      </c>
      <c r="C23" s="42">
        <v>119.87569999999999</v>
      </c>
      <c r="D23" s="45">
        <v>1.7129160000000001</v>
      </c>
    </row>
    <row r="24" spans="1:4">
      <c r="B24" s="28" t="s">
        <v>7</v>
      </c>
      <c r="C24" s="42">
        <v>134.94390000000001</v>
      </c>
      <c r="D24" s="45">
        <v>3.4293399999999998</v>
      </c>
    </row>
    <row r="25" spans="1:4">
      <c r="B25" s="28" t="s">
        <v>21</v>
      </c>
      <c r="C25" s="42">
        <v>119.0359</v>
      </c>
      <c r="D25" s="45">
        <v>2.4757370000000001</v>
      </c>
    </row>
    <row r="26" spans="1:4">
      <c r="B26" s="28" t="s">
        <v>34</v>
      </c>
      <c r="C26" s="42">
        <v>126.8382</v>
      </c>
      <c r="D26" s="45">
        <v>2.3171279999999999</v>
      </c>
    </row>
    <row r="27" spans="1:4">
      <c r="B27" s="28" t="s">
        <v>5</v>
      </c>
      <c r="C27" s="42">
        <v>130.57050000000001</v>
      </c>
      <c r="D27" s="45">
        <v>2.9485420000000002</v>
      </c>
    </row>
    <row r="28" spans="1:4">
      <c r="B28" s="28" t="s">
        <v>37</v>
      </c>
      <c r="C28" s="42">
        <v>117.4936</v>
      </c>
      <c r="D28" s="45">
        <v>2.337297</v>
      </c>
    </row>
    <row r="29" spans="1:4">
      <c r="B29" s="28" t="s">
        <v>4</v>
      </c>
      <c r="C29" s="42">
        <v>132.2199</v>
      </c>
      <c r="D29" s="45">
        <v>3.6155490000000001</v>
      </c>
    </row>
    <row r="30" spans="1:4">
      <c r="A30" s="3"/>
      <c r="B30" s="28" t="s">
        <v>9</v>
      </c>
      <c r="C30" s="42">
        <v>110.4164</v>
      </c>
      <c r="D30" s="45">
        <v>2.578748</v>
      </c>
    </row>
    <row r="31" spans="1:4">
      <c r="B31" s="28" t="s">
        <v>19</v>
      </c>
      <c r="C31" s="42">
        <v>124.0676</v>
      </c>
      <c r="D31" s="45">
        <v>3.1262840000000001</v>
      </c>
    </row>
    <row r="32" spans="1:4">
      <c r="B32" s="28" t="s">
        <v>11</v>
      </c>
      <c r="C32" s="42">
        <v>154.05199999999999</v>
      </c>
      <c r="D32" s="45">
        <v>3.4614240000000001</v>
      </c>
    </row>
    <row r="33" spans="2:4">
      <c r="B33" s="28" t="s">
        <v>12</v>
      </c>
      <c r="C33" s="42">
        <v>125.01130000000001</v>
      </c>
      <c r="D33" s="45">
        <v>3.535069</v>
      </c>
    </row>
    <row r="34" spans="2:4">
      <c r="B34" s="28" t="s">
        <v>2</v>
      </c>
      <c r="C34" s="42">
        <v>128.2199</v>
      </c>
      <c r="D34" s="45">
        <v>4.2203419999999996</v>
      </c>
    </row>
    <row r="35" spans="2:4">
      <c r="B35" s="28" t="s">
        <v>23</v>
      </c>
      <c r="C35" s="42">
        <v>109.6191</v>
      </c>
      <c r="D35" s="45">
        <v>2.4778359999999999</v>
      </c>
    </row>
    <row r="36" spans="2:4">
      <c r="B36" s="28" t="s">
        <v>32</v>
      </c>
      <c r="C36" s="42">
        <v>121.9957</v>
      </c>
      <c r="D36" s="45">
        <v>2.8769849999999999</v>
      </c>
    </row>
    <row r="37" spans="2:4">
      <c r="B37" s="28" t="s">
        <v>17</v>
      </c>
      <c r="C37" s="42">
        <v>142.48349999999999</v>
      </c>
      <c r="D37" s="45">
        <v>3.3900450000000002</v>
      </c>
    </row>
    <row r="38" spans="2:4">
      <c r="B38" s="28" t="s">
        <v>3</v>
      </c>
      <c r="C38" s="42">
        <v>93.347800000000007</v>
      </c>
      <c r="D38" s="45">
        <v>2.4976349999999998</v>
      </c>
    </row>
    <row r="39" spans="2:4">
      <c r="B39" s="28" t="s">
        <v>13</v>
      </c>
      <c r="C39" s="42">
        <v>133.6542</v>
      </c>
      <c r="D39" s="45">
        <v>2.5352229999999998</v>
      </c>
    </row>
    <row r="40" spans="2:4">
      <c r="B40" s="28" t="s">
        <v>27</v>
      </c>
      <c r="C40" s="42">
        <v>138.59739999999999</v>
      </c>
      <c r="D40" s="45">
        <v>3.4147959999999999</v>
      </c>
    </row>
    <row r="41" spans="2:4">
      <c r="B41" s="28" t="s">
        <v>31</v>
      </c>
      <c r="C41" s="42">
        <v>163.38650000000001</v>
      </c>
      <c r="D41" s="45">
        <v>6.1281790000000003</v>
      </c>
    </row>
    <row r="42" spans="2:4">
      <c r="B42" s="28" t="s">
        <v>35</v>
      </c>
      <c r="C42" s="42">
        <v>125.60120000000001</v>
      </c>
      <c r="D42" s="45">
        <v>3.0076890000000001</v>
      </c>
    </row>
    <row r="43" spans="2:4">
      <c r="B43" s="28" t="s">
        <v>36</v>
      </c>
      <c r="C43" s="42">
        <v>128.887</v>
      </c>
      <c r="D43" s="45">
        <v>2.7775050000000001</v>
      </c>
    </row>
    <row r="44" spans="2:4">
      <c r="B44" s="28" t="s">
        <v>38</v>
      </c>
      <c r="C44" s="42">
        <v>132.73099999999999</v>
      </c>
      <c r="D44" s="45">
        <v>2.8259439999999998</v>
      </c>
    </row>
    <row r="45" spans="2:4">
      <c r="B45" s="28" t="s">
        <v>84</v>
      </c>
      <c r="C45" s="42">
        <v>134.64019999999999</v>
      </c>
      <c r="D45" s="45">
        <v>3.024823</v>
      </c>
    </row>
    <row r="46" spans="2:4">
      <c r="B46" s="28" t="s">
        <v>85</v>
      </c>
      <c r="C46" s="42">
        <v>144.20240000000001</v>
      </c>
      <c r="D46" s="45">
        <v>4.1392850000000001</v>
      </c>
    </row>
    <row r="47" spans="2:4">
      <c r="B47" s="28" t="s">
        <v>33</v>
      </c>
      <c r="C47" s="42">
        <v>139.42609999999999</v>
      </c>
      <c r="D47" s="45">
        <v>4.3631460000000004</v>
      </c>
    </row>
    <row r="48" spans="2:4">
      <c r="B48" s="28" t="s">
        <v>22</v>
      </c>
      <c r="C48" s="42">
        <v>136.7038</v>
      </c>
      <c r="D48" s="45">
        <v>2.8751989999999998</v>
      </c>
    </row>
    <row r="49" spans="2:4">
      <c r="B49" s="28" t="s">
        <v>24</v>
      </c>
      <c r="C49" s="42">
        <v>138.2902</v>
      </c>
      <c r="D49" s="45">
        <v>3.0454080000000001</v>
      </c>
    </row>
    <row r="50" spans="2:4">
      <c r="B50" s="28" t="s">
        <v>30</v>
      </c>
      <c r="C50" s="42">
        <v>127.81789999999999</v>
      </c>
      <c r="D50" s="45">
        <v>2.7148409999999998</v>
      </c>
    </row>
    <row r="51" spans="2:4">
      <c r="B51" s="28"/>
      <c r="C51" s="42"/>
      <c r="D51" s="45"/>
    </row>
    <row r="52" spans="2:4">
      <c r="B52" s="28" t="s">
        <v>39</v>
      </c>
      <c r="C52" s="42">
        <v>128.23067037037038</v>
      </c>
      <c r="D52" s="45">
        <v>0.60814966321049491</v>
      </c>
    </row>
    <row r="53" spans="2:4">
      <c r="B53" s="28" t="s">
        <v>40</v>
      </c>
      <c r="C53" s="42">
        <v>132.02279999999999</v>
      </c>
      <c r="D53" s="45">
        <v>0.92560500000000001</v>
      </c>
    </row>
    <row r="54" spans="2:4">
      <c r="B54" s="28"/>
      <c r="C54" s="42"/>
      <c r="D54" s="45"/>
    </row>
    <row r="55" spans="2:4">
      <c r="B55" s="28" t="s">
        <v>43</v>
      </c>
      <c r="C55" s="42">
        <v>118.1464</v>
      </c>
      <c r="D55" s="45">
        <v>6.1818299999999997</v>
      </c>
    </row>
    <row r="56" spans="2:4">
      <c r="B56" s="28" t="s">
        <v>44</v>
      </c>
      <c r="C56" s="42">
        <v>117.2256</v>
      </c>
      <c r="D56" s="45">
        <v>5.2753969999999999</v>
      </c>
    </row>
    <row r="57" spans="2:4">
      <c r="B57" s="28" t="s">
        <v>86</v>
      </c>
      <c r="C57" s="42">
        <v>117.7069</v>
      </c>
      <c r="D57" s="45">
        <v>4.9759609999999999</v>
      </c>
    </row>
    <row r="58" spans="2:4">
      <c r="B58" s="28" t="s">
        <v>57</v>
      </c>
      <c r="C58" s="42">
        <v>117.4678</v>
      </c>
      <c r="D58" s="45">
        <v>4.8495350000000004</v>
      </c>
    </row>
    <row r="59" spans="2:4">
      <c r="B59" s="28" t="s">
        <v>46</v>
      </c>
      <c r="C59" s="42">
        <v>110.88890000000001</v>
      </c>
      <c r="D59" s="45">
        <v>4.7016489999999997</v>
      </c>
    </row>
    <row r="60" spans="2:4">
      <c r="B60" s="28" t="s">
        <v>47</v>
      </c>
      <c r="C60" s="42">
        <v>115.054</v>
      </c>
      <c r="D60" s="45">
        <v>4.6076889999999997</v>
      </c>
    </row>
    <row r="61" spans="2:4">
      <c r="B61" s="28" t="s">
        <v>48</v>
      </c>
      <c r="C61" s="42">
        <v>115.04730000000001</v>
      </c>
      <c r="D61" s="45">
        <v>4.7384339999999998</v>
      </c>
    </row>
    <row r="62" spans="2:4">
      <c r="B62" s="28" t="s">
        <v>49</v>
      </c>
      <c r="C62" s="42">
        <v>112.0493</v>
      </c>
      <c r="D62" s="45">
        <v>4.2490110000000003</v>
      </c>
    </row>
    <row r="63" spans="2:4">
      <c r="B63" s="28" t="s">
        <v>50</v>
      </c>
      <c r="C63" s="42">
        <v>123.17140000000001</v>
      </c>
      <c r="D63" s="45">
        <v>5.1575899999999999</v>
      </c>
    </row>
    <row r="64" spans="2:4">
      <c r="B64" s="28" t="s">
        <v>51</v>
      </c>
      <c r="C64" s="42">
        <v>114.74039999999999</v>
      </c>
      <c r="D64" s="45">
        <v>13.249192000000001</v>
      </c>
    </row>
    <row r="65" spans="2:4">
      <c r="B65" s="28" t="s">
        <v>87</v>
      </c>
      <c r="C65" s="42">
        <v>116.8205</v>
      </c>
      <c r="D65" s="45">
        <v>4.6804949999999996</v>
      </c>
    </row>
    <row r="66" spans="2:4">
      <c r="B66" s="28" t="s">
        <v>41</v>
      </c>
      <c r="C66" s="42">
        <v>114.69880000000001</v>
      </c>
      <c r="D66" s="45">
        <v>4.6459640000000002</v>
      </c>
    </row>
    <row r="67" spans="2:4">
      <c r="B67" s="28" t="s">
        <v>42</v>
      </c>
      <c r="C67" s="42">
        <v>110.6915</v>
      </c>
      <c r="D67" s="45">
        <v>5.2361719999999998</v>
      </c>
    </row>
    <row r="68" spans="2:4">
      <c r="B68" s="28" t="s">
        <v>173</v>
      </c>
      <c r="C68" s="42">
        <v>115.7349</v>
      </c>
      <c r="D68" s="45">
        <v>4.4084570000000003</v>
      </c>
    </row>
    <row r="69" spans="2:4">
      <c r="B69" s="28" t="s">
        <v>53</v>
      </c>
      <c r="C69" s="42">
        <v>111.31359999999999</v>
      </c>
      <c r="D69" s="45">
        <v>13.250610999999999</v>
      </c>
    </row>
    <row r="70" spans="2:4">
      <c r="B70" s="28" t="s">
        <v>88</v>
      </c>
      <c r="C70" s="42">
        <v>120.2786</v>
      </c>
      <c r="D70" s="45">
        <v>5.4538479999999998</v>
      </c>
    </row>
    <row r="71" spans="2:4">
      <c r="B71" s="28" t="s">
        <v>89</v>
      </c>
      <c r="C71" s="42">
        <v>118.69450000000001</v>
      </c>
      <c r="D71" s="45">
        <v>4.6256209999999998</v>
      </c>
    </row>
    <row r="72" spans="2:4">
      <c r="B72" s="28" t="s">
        <v>45</v>
      </c>
      <c r="C72" s="42">
        <v>113.8258</v>
      </c>
      <c r="D72" s="45">
        <v>3.6936490000000002</v>
      </c>
    </row>
    <row r="73" spans="2:4">
      <c r="B73" s="30" t="s">
        <v>52</v>
      </c>
      <c r="C73" s="43">
        <v>122.6129</v>
      </c>
      <c r="D73" s="46">
        <v>5.4177840000000002</v>
      </c>
    </row>
  </sheetData>
  <sortState ref="F55:H73">
    <sortCondition ref="F55"/>
  </sortState>
  <mergeCells count="1">
    <mergeCell ref="B7:D7"/>
  </mergeCells>
  <hyperlinks>
    <hyperlink ref="B5" location="Índice!A1" display="Índice" xr:uid="{00000000-0004-0000-0200-000000000000}"/>
  </hyperlink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73"/>
  <sheetViews>
    <sheetView zoomScaleNormal="100" workbookViewId="0">
      <selection activeCell="N54" sqref="N54"/>
    </sheetView>
  </sheetViews>
  <sheetFormatPr baseColWidth="10" defaultRowHeight="14.4"/>
  <cols>
    <col min="2" max="2" width="27.88671875" style="14" customWidth="1"/>
    <col min="3" max="3" width="15" customWidth="1"/>
    <col min="4" max="4" width="13.5546875" customWidth="1"/>
    <col min="5" max="5" width="14.88671875" customWidth="1"/>
    <col min="6" max="6" width="10.33203125" customWidth="1"/>
    <col min="7" max="7" width="6.5546875" customWidth="1"/>
    <col min="8" max="8" width="10.33203125" customWidth="1"/>
    <col min="9" max="9" width="6.5546875" customWidth="1"/>
    <col min="10" max="10" width="10.33203125" customWidth="1"/>
    <col min="11" max="11" width="6.5546875" customWidth="1"/>
  </cols>
  <sheetData>
    <row r="1" spans="1:8">
      <c r="A1" s="1"/>
    </row>
    <row r="2" spans="1:8" s="2" customFormat="1">
      <c r="B2" s="3" t="s">
        <v>95</v>
      </c>
      <c r="C2" s="22"/>
      <c r="D2" s="6"/>
      <c r="E2" s="6"/>
      <c r="F2" s="6"/>
      <c r="G2" s="5"/>
      <c r="H2" s="5"/>
    </row>
    <row r="3" spans="1:8" s="2" customFormat="1">
      <c r="B3" s="20" t="s">
        <v>79</v>
      </c>
      <c r="D3" s="6"/>
      <c r="E3" s="6"/>
      <c r="F3" s="6"/>
      <c r="G3" s="6"/>
      <c r="H3" s="6"/>
    </row>
    <row r="4" spans="1:8" s="2" customFormat="1">
      <c r="B4" s="3" t="s">
        <v>97</v>
      </c>
      <c r="D4" s="6"/>
      <c r="E4" s="6"/>
      <c r="F4" s="6"/>
      <c r="G4" s="6"/>
      <c r="H4" s="6"/>
    </row>
    <row r="5" spans="1:8" s="2" customFormat="1">
      <c r="B5" s="13" t="s">
        <v>0</v>
      </c>
    </row>
    <row r="6" spans="1:8" s="16" customFormat="1">
      <c r="B6" s="13"/>
    </row>
    <row r="7" spans="1:8" ht="63" customHeight="1">
      <c r="B7" s="71" t="s">
        <v>174</v>
      </c>
      <c r="C7" s="71"/>
    </row>
    <row r="8" spans="1:8" ht="29.25" customHeight="1">
      <c r="B8" s="21" t="s">
        <v>54</v>
      </c>
      <c r="C8" s="18" t="s">
        <v>96</v>
      </c>
    </row>
    <row r="9" spans="1:8">
      <c r="B9" s="26" t="s">
        <v>16</v>
      </c>
      <c r="C9" s="42">
        <v>3.3901000000000181</v>
      </c>
    </row>
    <row r="10" spans="1:8">
      <c r="B10" s="26" t="s">
        <v>14</v>
      </c>
      <c r="C10" s="42">
        <v>13.669400000000053</v>
      </c>
    </row>
    <row r="11" spans="1:8">
      <c r="B11" s="26" t="s">
        <v>18</v>
      </c>
      <c r="C11" s="42">
        <v>-7.8366999999999507</v>
      </c>
    </row>
    <row r="12" spans="1:8">
      <c r="B12" s="26" t="s">
        <v>28</v>
      </c>
      <c r="C12" s="42">
        <v>-12.019200000000012</v>
      </c>
    </row>
    <row r="13" spans="1:8">
      <c r="B13" s="26" t="s">
        <v>20</v>
      </c>
      <c r="C13" s="42">
        <v>35.282300000000077</v>
      </c>
    </row>
    <row r="14" spans="1:8">
      <c r="B14" s="26" t="s">
        <v>6</v>
      </c>
      <c r="C14" s="42">
        <v>4.61850000000004</v>
      </c>
    </row>
    <row r="15" spans="1:8">
      <c r="B15" s="26" t="s">
        <v>1</v>
      </c>
      <c r="C15" s="42">
        <v>17.309600000000046</v>
      </c>
    </row>
    <row r="16" spans="1:8">
      <c r="B16" s="26" t="s">
        <v>82</v>
      </c>
      <c r="C16" s="42">
        <v>39.07549999999992</v>
      </c>
    </row>
    <row r="17" spans="2:3">
      <c r="B17" s="26" t="s">
        <v>29</v>
      </c>
      <c r="C17" s="42">
        <v>27.664600000000007</v>
      </c>
    </row>
    <row r="18" spans="2:3">
      <c r="B18" s="26" t="s">
        <v>25</v>
      </c>
      <c r="C18" s="42">
        <v>-18.931899999999928</v>
      </c>
    </row>
    <row r="19" spans="2:3">
      <c r="B19" s="26" t="s">
        <v>83</v>
      </c>
      <c r="C19" s="42">
        <v>15.455400000000054</v>
      </c>
    </row>
    <row r="20" spans="2:3">
      <c r="B20" s="26" t="s">
        <v>15</v>
      </c>
      <c r="C20" s="42">
        <v>20.016099999999994</v>
      </c>
    </row>
    <row r="21" spans="2:3">
      <c r="B21" s="26" t="s">
        <v>8</v>
      </c>
      <c r="C21" s="42">
        <v>1.4033999999999764</v>
      </c>
    </row>
    <row r="22" spans="2:3">
      <c r="B22" s="26" t="s">
        <v>10</v>
      </c>
      <c r="C22" s="42">
        <v>14.343199999999968</v>
      </c>
    </row>
    <row r="23" spans="2:3">
      <c r="B23" s="26" t="s">
        <v>26</v>
      </c>
      <c r="C23" s="42">
        <v>-7.1339999999999577</v>
      </c>
    </row>
    <row r="24" spans="2:3">
      <c r="B24" s="26" t="s">
        <v>7</v>
      </c>
      <c r="C24" s="42">
        <v>18.696199999999976</v>
      </c>
    </row>
    <row r="25" spans="2:3">
      <c r="B25" s="26" t="s">
        <v>21</v>
      </c>
      <c r="C25" s="42">
        <v>5.151800000000037</v>
      </c>
    </row>
    <row r="26" spans="2:3">
      <c r="B26" s="26" t="s">
        <v>34</v>
      </c>
      <c r="C26" s="42">
        <v>-6.1381999999999266</v>
      </c>
    </row>
    <row r="27" spans="2:3">
      <c r="B27" s="26" t="s">
        <v>5</v>
      </c>
      <c r="C27" s="42">
        <v>-2.962099999999964</v>
      </c>
    </row>
    <row r="28" spans="2:3">
      <c r="B28" s="26" t="s">
        <v>37</v>
      </c>
      <c r="C28" s="42">
        <v>20.94969999999995</v>
      </c>
    </row>
    <row r="29" spans="2:3">
      <c r="B29" s="26" t="s">
        <v>4</v>
      </c>
      <c r="C29" s="42">
        <v>-3.9047999999999661</v>
      </c>
    </row>
    <row r="30" spans="2:3">
      <c r="B30" s="26" t="s">
        <v>9</v>
      </c>
      <c r="C30" s="42">
        <v>-5.9277000000000157</v>
      </c>
    </row>
    <row r="31" spans="2:3">
      <c r="B31" s="26" t="s">
        <v>19</v>
      </c>
      <c r="C31" s="42">
        <v>7.8170999999999822</v>
      </c>
    </row>
    <row r="32" spans="2:3">
      <c r="B32" s="26" t="s">
        <v>11</v>
      </c>
      <c r="C32" s="42">
        <v>0.68590000000000373</v>
      </c>
    </row>
    <row r="33" spans="2:3">
      <c r="B33" s="26" t="s">
        <v>12</v>
      </c>
      <c r="C33" s="42">
        <v>12.804699999999968</v>
      </c>
    </row>
    <row r="34" spans="2:3">
      <c r="B34" s="26" t="s">
        <v>2</v>
      </c>
      <c r="C34" s="42">
        <v>-23.413599999999974</v>
      </c>
    </row>
    <row r="35" spans="2:3">
      <c r="B35" s="26" t="s">
        <v>23</v>
      </c>
      <c r="C35" s="42">
        <v>9.192799999999977</v>
      </c>
    </row>
    <row r="36" spans="2:3">
      <c r="B36" s="26" t="s">
        <v>32</v>
      </c>
      <c r="C36" s="42">
        <v>15.460699999999974</v>
      </c>
    </row>
    <row r="37" spans="2:3">
      <c r="B37" s="26" t="s">
        <v>17</v>
      </c>
      <c r="C37" s="42">
        <v>-14.679700000000025</v>
      </c>
    </row>
    <row r="38" spans="2:3">
      <c r="B38" s="26" t="s">
        <v>3</v>
      </c>
      <c r="C38" s="42">
        <v>20.666999999999916</v>
      </c>
    </row>
    <row r="39" spans="2:3">
      <c r="B39" s="26" t="s">
        <v>13</v>
      </c>
      <c r="C39" s="42">
        <v>1.3571000000000026</v>
      </c>
    </row>
    <row r="40" spans="2:3">
      <c r="B40" s="26" t="s">
        <v>27</v>
      </c>
      <c r="C40" s="42">
        <v>8.4518999999999664</v>
      </c>
    </row>
    <row r="41" spans="2:3">
      <c r="B41" s="26" t="s">
        <v>31</v>
      </c>
      <c r="C41" s="42">
        <v>-16.044399999999939</v>
      </c>
    </row>
    <row r="42" spans="2:3">
      <c r="B42" s="26" t="s">
        <v>35</v>
      </c>
      <c r="C42" s="42">
        <v>-5.7395999999999958</v>
      </c>
    </row>
    <row r="43" spans="2:3">
      <c r="B43" s="26" t="s">
        <v>36</v>
      </c>
      <c r="C43" s="42">
        <v>3.2704000000001088</v>
      </c>
    </row>
    <row r="44" spans="2:3">
      <c r="B44" s="26" t="s">
        <v>38</v>
      </c>
      <c r="C44" s="42">
        <v>1.7785999999999831</v>
      </c>
    </row>
    <row r="45" spans="2:3">
      <c r="B45" s="26" t="s">
        <v>84</v>
      </c>
      <c r="C45" s="42">
        <v>8.485300000000052</v>
      </c>
    </row>
    <row r="46" spans="2:3">
      <c r="B46" s="26" t="s">
        <v>85</v>
      </c>
      <c r="C46" s="42">
        <v>-18.212699999999984</v>
      </c>
    </row>
    <row r="47" spans="2:3">
      <c r="B47" s="26" t="s">
        <v>33</v>
      </c>
      <c r="C47" s="42">
        <v>22.858599999999967</v>
      </c>
    </row>
    <row r="48" spans="2:3">
      <c r="B48" s="26" t="s">
        <v>22</v>
      </c>
      <c r="C48" s="42">
        <v>-2.4524999999999864</v>
      </c>
    </row>
    <row r="49" spans="2:3">
      <c r="B49" s="26" t="s">
        <v>24</v>
      </c>
      <c r="C49" s="42">
        <v>-5.4774999999999636</v>
      </c>
    </row>
    <row r="50" spans="2:3">
      <c r="B50" s="26" t="s">
        <v>30</v>
      </c>
      <c r="C50" s="42">
        <v>33.543299999999988</v>
      </c>
    </row>
    <row r="51" spans="2:3" s="16" customFormat="1">
      <c r="B51" s="26"/>
      <c r="C51" s="42"/>
    </row>
    <row r="52" spans="2:3">
      <c r="B52" s="26" t="s">
        <v>39</v>
      </c>
      <c r="C52" s="42">
        <v>3.5127519999999777</v>
      </c>
    </row>
    <row r="53" spans="2:3">
      <c r="B53" s="26" t="s">
        <v>40</v>
      </c>
      <c r="C53" s="42">
        <v>0.15249999999997499</v>
      </c>
    </row>
    <row r="54" spans="2:3">
      <c r="B54" s="26"/>
      <c r="C54" s="42"/>
    </row>
    <row r="55" spans="2:3">
      <c r="B55" s="26" t="s">
        <v>43</v>
      </c>
      <c r="C55" s="42">
        <v>1.3053999999999633</v>
      </c>
    </row>
    <row r="56" spans="2:3">
      <c r="B56" s="26" t="s">
        <v>44</v>
      </c>
      <c r="C56" s="42">
        <v>-16.248100000000022</v>
      </c>
    </row>
    <row r="57" spans="2:3">
      <c r="B57" s="26" t="s">
        <v>175</v>
      </c>
      <c r="C57" s="42">
        <v>-13.363100000000088</v>
      </c>
    </row>
    <row r="58" spans="2:3">
      <c r="B58" s="26" t="s">
        <v>57</v>
      </c>
      <c r="C58" s="42">
        <v>-5.8179000000000087</v>
      </c>
    </row>
    <row r="59" spans="2:3">
      <c r="B59" s="26" t="s">
        <v>176</v>
      </c>
      <c r="C59" s="42">
        <v>-2.2816000000000258</v>
      </c>
    </row>
    <row r="60" spans="2:3">
      <c r="B60" s="26" t="s">
        <v>46</v>
      </c>
      <c r="C60" s="42">
        <v>-1.2456999999999425</v>
      </c>
    </row>
    <row r="61" spans="2:3">
      <c r="B61" s="26" t="s">
        <v>47</v>
      </c>
      <c r="C61" s="42">
        <v>-18.692100000000096</v>
      </c>
    </row>
    <row r="62" spans="2:3">
      <c r="B62" s="26" t="s">
        <v>48</v>
      </c>
      <c r="C62" s="42">
        <v>-19.498900000000049</v>
      </c>
    </row>
    <row r="63" spans="2:3">
      <c r="B63" s="26" t="s">
        <v>49</v>
      </c>
      <c r="C63" s="42">
        <v>-5.1777999999999906</v>
      </c>
    </row>
    <row r="64" spans="2:3">
      <c r="B64" s="26" t="s">
        <v>50</v>
      </c>
      <c r="C64" s="42">
        <v>-2.7547000000000139</v>
      </c>
    </row>
    <row r="65" spans="2:3">
      <c r="B65" s="26" t="s">
        <v>51</v>
      </c>
      <c r="C65" s="42">
        <v>15.378000000000043</v>
      </c>
    </row>
    <row r="66" spans="2:3">
      <c r="B66" s="26" t="s">
        <v>41</v>
      </c>
      <c r="C66" s="42">
        <v>6.9213999999999487</v>
      </c>
    </row>
    <row r="67" spans="2:3">
      <c r="B67" s="26" t="s">
        <v>42</v>
      </c>
      <c r="C67" s="42">
        <v>-17.906299999999987</v>
      </c>
    </row>
    <row r="68" spans="2:3">
      <c r="B68" s="26" t="s">
        <v>177</v>
      </c>
      <c r="C68" s="42">
        <v>-21.147699999999986</v>
      </c>
    </row>
    <row r="69" spans="2:3">
      <c r="B69" s="26" t="s">
        <v>53</v>
      </c>
      <c r="C69" s="42">
        <v>52.66519999999997</v>
      </c>
    </row>
    <row r="70" spans="2:3">
      <c r="B70" s="26" t="s">
        <v>178</v>
      </c>
      <c r="C70" s="42">
        <v>-3.8663000000000238</v>
      </c>
    </row>
    <row r="71" spans="2:3">
      <c r="B71" s="26" t="s">
        <v>179</v>
      </c>
      <c r="C71" s="42">
        <v>-9.5178000000000225</v>
      </c>
    </row>
    <row r="72" spans="2:3">
      <c r="B72" s="26" t="s">
        <v>45</v>
      </c>
      <c r="C72" s="42">
        <v>-19.389499999999998</v>
      </c>
    </row>
    <row r="73" spans="2:3">
      <c r="B73" s="26" t="s">
        <v>52</v>
      </c>
      <c r="C73" s="42">
        <v>-4.8272999999999797</v>
      </c>
    </row>
  </sheetData>
  <sortState ref="E55:F73">
    <sortCondition ref="E55"/>
  </sortState>
  <mergeCells count="1">
    <mergeCell ref="B7:C7"/>
  </mergeCells>
  <hyperlinks>
    <hyperlink ref="B5" location="Índice!A1" display="Índice" xr:uid="{00000000-0004-0000-0300-000000000000}"/>
  </hyperlinks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D73"/>
  <sheetViews>
    <sheetView zoomScaleNormal="100" workbookViewId="0">
      <selection activeCell="J15" sqref="J15"/>
    </sheetView>
  </sheetViews>
  <sheetFormatPr baseColWidth="10" defaultColWidth="11.44140625" defaultRowHeight="14.4"/>
  <cols>
    <col min="1" max="1" width="11.44140625" style="16"/>
    <col min="2" max="2" width="27.88671875" style="16" customWidth="1"/>
    <col min="3" max="4" width="13.88671875" style="16" customWidth="1"/>
    <col min="5" max="16384" width="11.44140625" style="16"/>
  </cols>
  <sheetData>
    <row r="2" spans="2:4">
      <c r="B2" s="3" t="s">
        <v>98</v>
      </c>
    </row>
    <row r="3" spans="2:4">
      <c r="B3" s="33" t="s">
        <v>79</v>
      </c>
    </row>
    <row r="4" spans="2:4">
      <c r="B4" s="3" t="s">
        <v>78</v>
      </c>
    </row>
    <row r="5" spans="2:4">
      <c r="B5" s="4" t="s">
        <v>0</v>
      </c>
    </row>
    <row r="6" spans="2:4" ht="19.5" customHeight="1">
      <c r="B6" s="4"/>
    </row>
    <row r="7" spans="2:4" ht="28.5" customHeight="1">
      <c r="B7" s="71" t="s">
        <v>92</v>
      </c>
      <c r="C7" s="71"/>
      <c r="D7" s="71"/>
    </row>
    <row r="8" spans="2:4" ht="31.5" customHeight="1">
      <c r="B8" s="34" t="s">
        <v>54</v>
      </c>
      <c r="C8" s="34" t="s">
        <v>93</v>
      </c>
      <c r="D8" s="34" t="s">
        <v>99</v>
      </c>
    </row>
    <row r="9" spans="2:4">
      <c r="B9" s="27" t="s">
        <v>16</v>
      </c>
      <c r="C9" s="41">
        <v>134.17179999999996</v>
      </c>
      <c r="D9" s="47">
        <v>474.82645400000001</v>
      </c>
    </row>
    <row r="10" spans="2:4">
      <c r="B10" s="28" t="s">
        <v>14</v>
      </c>
      <c r="C10" s="42">
        <v>139.83730000000003</v>
      </c>
      <c r="D10" s="48">
        <v>487.08425399999999</v>
      </c>
    </row>
    <row r="11" spans="2:4">
      <c r="B11" s="28" t="s">
        <v>18</v>
      </c>
      <c r="C11" s="42">
        <v>133.96279999999996</v>
      </c>
      <c r="D11" s="48">
        <v>487.26749899999999</v>
      </c>
    </row>
    <row r="12" spans="2:4">
      <c r="B12" s="28" t="s">
        <v>28</v>
      </c>
      <c r="C12" s="42">
        <v>138.64370000000002</v>
      </c>
      <c r="D12" s="48">
        <v>489.48681699999997</v>
      </c>
    </row>
    <row r="13" spans="2:4">
      <c r="B13" s="28" t="s">
        <v>20</v>
      </c>
      <c r="C13" s="42">
        <v>136.6635</v>
      </c>
      <c r="D13" s="48">
        <v>417.3039</v>
      </c>
    </row>
    <row r="14" spans="2:4">
      <c r="B14" s="28" t="s">
        <v>6</v>
      </c>
      <c r="C14" s="42">
        <v>131.13370000000003</v>
      </c>
      <c r="D14" s="48">
        <v>496.94789400000002</v>
      </c>
    </row>
    <row r="15" spans="2:4">
      <c r="B15" s="28" t="s">
        <v>1</v>
      </c>
      <c r="C15" s="42">
        <v>105.87279999999998</v>
      </c>
      <c r="D15" s="48">
        <v>411.69657100000001</v>
      </c>
    </row>
    <row r="16" spans="2:4">
      <c r="B16" s="28" t="s">
        <v>82</v>
      </c>
      <c r="C16" s="42">
        <v>144.34289999999999</v>
      </c>
      <c r="D16" s="48">
        <v>418.30667999999997</v>
      </c>
    </row>
    <row r="17" spans="1:4">
      <c r="B17" s="28" t="s">
        <v>29</v>
      </c>
      <c r="C17" s="42">
        <v>97.656300000000044</v>
      </c>
      <c r="D17" s="48">
        <v>382.69683500000002</v>
      </c>
    </row>
    <row r="18" spans="1:4">
      <c r="B18" s="28" t="s">
        <v>25</v>
      </c>
      <c r="C18" s="42">
        <v>144.10840000000002</v>
      </c>
      <c r="D18" s="48">
        <v>527.302502</v>
      </c>
    </row>
    <row r="19" spans="1:4">
      <c r="B19" s="28" t="s">
        <v>83</v>
      </c>
      <c r="C19" s="42">
        <v>87.646799999999985</v>
      </c>
      <c r="D19" s="48">
        <v>384.57604099999998</v>
      </c>
    </row>
    <row r="20" spans="1:4">
      <c r="B20" s="28" t="s">
        <v>15</v>
      </c>
      <c r="C20" s="42">
        <v>123.31659999999999</v>
      </c>
      <c r="D20" s="48">
        <v>463.105189</v>
      </c>
    </row>
    <row r="21" spans="1:4">
      <c r="B21" s="28" t="s">
        <v>8</v>
      </c>
      <c r="C21" s="42">
        <v>112.36460000000005</v>
      </c>
      <c r="D21" s="48">
        <v>489.27387700000003</v>
      </c>
    </row>
    <row r="22" spans="1:4">
      <c r="B22" s="28" t="s">
        <v>10</v>
      </c>
      <c r="C22" s="42">
        <v>125.10660000000001</v>
      </c>
      <c r="D22" s="48">
        <v>484.52900899999997</v>
      </c>
    </row>
    <row r="23" spans="1:4">
      <c r="B23" s="28" t="s">
        <v>26</v>
      </c>
      <c r="C23" s="42">
        <v>119.87569999999994</v>
      </c>
      <c r="D23" s="48">
        <v>473.14020799999997</v>
      </c>
    </row>
    <row r="24" spans="1:4">
      <c r="B24" s="28" t="s">
        <v>7</v>
      </c>
      <c r="C24" s="42">
        <v>134.94390000000004</v>
      </c>
      <c r="D24" s="48">
        <v>464.88804299999998</v>
      </c>
    </row>
    <row r="25" spans="1:4">
      <c r="B25" s="28" t="s">
        <v>21</v>
      </c>
      <c r="C25" s="42">
        <v>119.03589999999997</v>
      </c>
      <c r="D25" s="48">
        <v>509.94695300000001</v>
      </c>
    </row>
    <row r="26" spans="1:4">
      <c r="B26" s="28" t="s">
        <v>34</v>
      </c>
      <c r="C26" s="42">
        <v>126.83820000000003</v>
      </c>
      <c r="D26" s="48">
        <v>484.13922600000001</v>
      </c>
    </row>
    <row r="27" spans="1:4">
      <c r="B27" s="28" t="s">
        <v>5</v>
      </c>
      <c r="C27" s="42">
        <v>130.57049999999998</v>
      </c>
      <c r="D27" s="48">
        <v>473.94441799999998</v>
      </c>
    </row>
    <row r="28" spans="1:4">
      <c r="B28" s="28" t="s">
        <v>37</v>
      </c>
      <c r="C28" s="42">
        <v>117.49360000000001</v>
      </c>
      <c r="D28" s="48">
        <v>430.146322</v>
      </c>
    </row>
    <row r="29" spans="1:4">
      <c r="B29" s="28" t="s">
        <v>4</v>
      </c>
      <c r="C29" s="42">
        <v>132.21989999999994</v>
      </c>
      <c r="D29" s="48">
        <v>472.77612199999999</v>
      </c>
    </row>
    <row r="30" spans="1:4">
      <c r="A30" s="3"/>
      <c r="B30" s="28" t="s">
        <v>9</v>
      </c>
      <c r="C30" s="42">
        <v>110.41640000000001</v>
      </c>
      <c r="D30" s="48">
        <v>491.64828</v>
      </c>
    </row>
    <row r="31" spans="1:4">
      <c r="B31" s="28" t="s">
        <v>19</v>
      </c>
      <c r="C31" s="42">
        <v>124.06760000000003</v>
      </c>
      <c r="D31" s="48">
        <v>458.89645000000002</v>
      </c>
    </row>
    <row r="32" spans="1:4">
      <c r="B32" s="28" t="s">
        <v>11</v>
      </c>
      <c r="C32" s="42">
        <v>154.05200000000002</v>
      </c>
      <c r="D32" s="48">
        <v>457.89666699999998</v>
      </c>
    </row>
    <row r="33" spans="2:4">
      <c r="B33" s="28" t="s">
        <v>12</v>
      </c>
      <c r="C33" s="42">
        <v>125.01130000000006</v>
      </c>
      <c r="D33" s="48">
        <v>471.25947500000001</v>
      </c>
    </row>
    <row r="34" spans="2:4">
      <c r="B34" s="28" t="s">
        <v>2</v>
      </c>
      <c r="C34" s="42">
        <v>128.2199</v>
      </c>
      <c r="D34" s="48">
        <v>535.57930599999997</v>
      </c>
    </row>
    <row r="35" spans="2:4">
      <c r="B35" s="28" t="s">
        <v>23</v>
      </c>
      <c r="C35" s="42">
        <v>109.61910000000006</v>
      </c>
      <c r="D35" s="48">
        <v>483.15945499999998</v>
      </c>
    </row>
    <row r="36" spans="2:4">
      <c r="B36" s="28" t="s">
        <v>32</v>
      </c>
      <c r="C36" s="42">
        <v>121.9957</v>
      </c>
      <c r="D36" s="48">
        <v>475.14676200000002</v>
      </c>
    </row>
    <row r="37" spans="2:4">
      <c r="B37" s="28" t="s">
        <v>17</v>
      </c>
      <c r="C37" s="42">
        <v>142.48349999999999</v>
      </c>
      <c r="D37" s="48">
        <v>466.01611300000002</v>
      </c>
    </row>
    <row r="38" spans="2:4">
      <c r="B38" s="28" t="s">
        <v>3</v>
      </c>
      <c r="C38" s="42">
        <v>93.347800000000007</v>
      </c>
      <c r="D38" s="48">
        <v>395.02991900000001</v>
      </c>
    </row>
    <row r="39" spans="2:4">
      <c r="B39" s="28" t="s">
        <v>13</v>
      </c>
      <c r="C39" s="42">
        <v>133.65420000000006</v>
      </c>
      <c r="D39" s="48">
        <v>468.44995</v>
      </c>
    </row>
    <row r="40" spans="2:4">
      <c r="B40" s="28" t="s">
        <v>27</v>
      </c>
      <c r="C40" s="42">
        <v>138.59740000000005</v>
      </c>
      <c r="D40" s="48">
        <v>479.07419299999998</v>
      </c>
    </row>
    <row r="41" spans="2:4">
      <c r="B41" s="28" t="s">
        <v>31</v>
      </c>
      <c r="C41" s="42">
        <v>163.38650000000007</v>
      </c>
      <c r="D41" s="48">
        <v>492.67563899999999</v>
      </c>
    </row>
    <row r="42" spans="2:4">
      <c r="B42" s="28" t="s">
        <v>35</v>
      </c>
      <c r="C42" s="42">
        <v>125.60120000000001</v>
      </c>
      <c r="D42" s="48">
        <v>488.96005400000001</v>
      </c>
    </row>
    <row r="43" spans="2:4">
      <c r="B43" s="28" t="s">
        <v>36</v>
      </c>
      <c r="C43" s="42">
        <v>128.88699999999994</v>
      </c>
      <c r="D43" s="48">
        <v>471.91052200000001</v>
      </c>
    </row>
    <row r="44" spans="2:4">
      <c r="B44" s="28" t="s">
        <v>38</v>
      </c>
      <c r="C44" s="42">
        <v>132.73099999999999</v>
      </c>
      <c r="D44" s="48">
        <v>488.97508499999998</v>
      </c>
    </row>
    <row r="45" spans="2:4">
      <c r="B45" s="28" t="s">
        <v>84</v>
      </c>
      <c r="C45" s="42">
        <v>134.64019999999999</v>
      </c>
      <c r="D45" s="48">
        <v>486.99920800000001</v>
      </c>
    </row>
    <row r="46" spans="2:4">
      <c r="B46" s="28" t="s">
        <v>85</v>
      </c>
      <c r="C46" s="42">
        <v>144.20240000000001</v>
      </c>
      <c r="D46" s="48">
        <v>463.994618</v>
      </c>
    </row>
    <row r="47" spans="2:4">
      <c r="B47" s="28" t="s">
        <v>33</v>
      </c>
      <c r="C47" s="42">
        <v>139.42610000000002</v>
      </c>
      <c r="D47" s="48">
        <v>427.759997</v>
      </c>
    </row>
    <row r="48" spans="2:4">
      <c r="B48" s="28" t="s">
        <v>22</v>
      </c>
      <c r="C48" s="42">
        <v>136.70380000000006</v>
      </c>
      <c r="D48" s="48">
        <v>481.76606500000003</v>
      </c>
    </row>
    <row r="49" spans="2:4">
      <c r="B49" s="28" t="s">
        <v>24</v>
      </c>
      <c r="C49" s="42">
        <v>138.29020000000003</v>
      </c>
      <c r="D49" s="48">
        <v>507.99058600000001</v>
      </c>
    </row>
    <row r="50" spans="2:4">
      <c r="B50" s="28" t="s">
        <v>30</v>
      </c>
      <c r="C50" s="42">
        <v>127.81790000000001</v>
      </c>
      <c r="D50" s="48">
        <v>453.15176700000001</v>
      </c>
    </row>
    <row r="51" spans="2:4">
      <c r="B51" s="28"/>
      <c r="C51" s="42"/>
      <c r="D51" s="48"/>
    </row>
    <row r="52" spans="2:4">
      <c r="B52" s="28" t="s">
        <v>39</v>
      </c>
      <c r="C52" s="42">
        <v>127.10065100000003</v>
      </c>
      <c r="D52" s="48">
        <v>472.35764999999998</v>
      </c>
    </row>
    <row r="53" spans="2:4">
      <c r="B53" s="28" t="s">
        <v>40</v>
      </c>
      <c r="C53" s="42">
        <v>132.02279999999996</v>
      </c>
      <c r="D53" s="48">
        <v>473.73910999999998</v>
      </c>
    </row>
    <row r="54" spans="2:4">
      <c r="B54" s="28"/>
      <c r="C54" s="42"/>
      <c r="D54" s="48"/>
    </row>
    <row r="55" spans="2:4">
      <c r="B55" s="63" t="s">
        <v>43</v>
      </c>
      <c r="C55" s="42">
        <v>118.14639999999997</v>
      </c>
      <c r="D55" s="48">
        <v>457.22283900000002</v>
      </c>
    </row>
    <row r="56" spans="2:4">
      <c r="B56" s="63" t="s">
        <v>44</v>
      </c>
      <c r="C56" s="42">
        <v>117.22560000000004</v>
      </c>
      <c r="D56" s="48">
        <v>486.87795299999999</v>
      </c>
    </row>
    <row r="57" spans="2:4">
      <c r="B57" s="63" t="s">
        <v>175</v>
      </c>
      <c r="C57" s="42">
        <v>117.70689999999996</v>
      </c>
      <c r="D57" s="48">
        <v>494.93053600000002</v>
      </c>
    </row>
    <row r="58" spans="2:4">
      <c r="B58" s="63" t="s">
        <v>57</v>
      </c>
      <c r="C58" s="42">
        <v>117.46780000000007</v>
      </c>
      <c r="D58" s="48">
        <v>470.89201300000002</v>
      </c>
    </row>
    <row r="59" spans="2:4">
      <c r="B59" s="63" t="s">
        <v>176</v>
      </c>
      <c r="C59" s="42">
        <v>116.82049999999998</v>
      </c>
      <c r="D59" s="48">
        <v>472.762698</v>
      </c>
    </row>
    <row r="60" spans="2:4">
      <c r="B60" s="63" t="s">
        <v>46</v>
      </c>
      <c r="C60" s="42">
        <v>110.88889999999998</v>
      </c>
      <c r="D60" s="48">
        <v>447.12840799999998</v>
      </c>
    </row>
    <row r="61" spans="2:4">
      <c r="B61" s="63" t="s">
        <v>47</v>
      </c>
      <c r="C61" s="42">
        <v>115.05400000000003</v>
      </c>
      <c r="D61" s="48">
        <v>494.60128800000001</v>
      </c>
    </row>
    <row r="62" spans="2:4">
      <c r="B62" s="63" t="s">
        <v>48</v>
      </c>
      <c r="C62" s="42">
        <v>115.04730000000001</v>
      </c>
      <c r="D62" s="48">
        <v>499.24788000000001</v>
      </c>
    </row>
    <row r="63" spans="2:4">
      <c r="B63" s="63" t="s">
        <v>49</v>
      </c>
      <c r="C63" s="42">
        <v>112.04929999999996</v>
      </c>
      <c r="D63" s="48">
        <v>463.58142800000002</v>
      </c>
    </row>
    <row r="64" spans="2:4">
      <c r="B64" s="63" t="s">
        <v>50</v>
      </c>
      <c r="C64" s="42">
        <v>123.17140000000006</v>
      </c>
      <c r="D64" s="48">
        <v>469.32383399999998</v>
      </c>
    </row>
    <row r="65" spans="2:4">
      <c r="B65" s="63" t="s">
        <v>51</v>
      </c>
      <c r="C65" s="42">
        <v>114.74040000000002</v>
      </c>
      <c r="D65" s="48">
        <v>394.845147</v>
      </c>
    </row>
    <row r="66" spans="2:4">
      <c r="B66" s="63" t="s">
        <v>41</v>
      </c>
      <c r="C66" s="42">
        <v>114.69880000000001</v>
      </c>
      <c r="D66" s="48">
        <v>469.05223799999999</v>
      </c>
    </row>
    <row r="67" spans="2:4">
      <c r="B67" s="63" t="s">
        <v>42</v>
      </c>
      <c r="C67" s="42">
        <v>110.69149999999996</v>
      </c>
      <c r="D67" s="48">
        <v>486.48767299999997</v>
      </c>
    </row>
    <row r="68" spans="2:4">
      <c r="B68" s="63" t="s">
        <v>177</v>
      </c>
      <c r="C68" s="42">
        <v>115.73489999999998</v>
      </c>
      <c r="D68" s="48">
        <v>493.66451899999998</v>
      </c>
    </row>
    <row r="69" spans="2:4">
      <c r="B69" s="63" t="s">
        <v>53</v>
      </c>
      <c r="C69" s="42">
        <v>111.31360000000001</v>
      </c>
      <c r="D69" s="48">
        <v>403.79173900000001</v>
      </c>
    </row>
    <row r="70" spans="2:4">
      <c r="B70" s="63" t="s">
        <v>178</v>
      </c>
      <c r="C70" s="42">
        <v>120.27860000000004</v>
      </c>
      <c r="D70" s="48">
        <v>463.21427799999998</v>
      </c>
    </row>
    <row r="71" spans="2:4">
      <c r="B71" s="63" t="s">
        <v>179</v>
      </c>
      <c r="C71" s="42">
        <v>118.69450000000001</v>
      </c>
      <c r="D71" s="48">
        <v>492.43226499999997</v>
      </c>
    </row>
    <row r="72" spans="2:4">
      <c r="B72" s="64" t="s">
        <v>45</v>
      </c>
      <c r="C72" s="43">
        <v>113.82579999999996</v>
      </c>
      <c r="D72" s="49">
        <v>482.06227799999999</v>
      </c>
    </row>
    <row r="73" spans="2:4">
      <c r="B73" s="64" t="s">
        <v>52</v>
      </c>
      <c r="C73" s="43">
        <v>122.61289999999997</v>
      </c>
      <c r="D73" s="49">
        <v>492.645533</v>
      </c>
    </row>
  </sheetData>
  <sortState ref="G55:I73">
    <sortCondition ref="G55"/>
  </sortState>
  <mergeCells count="1">
    <mergeCell ref="B7:D7"/>
  </mergeCells>
  <hyperlinks>
    <hyperlink ref="B5" location="Índice!A1" display="Índice" xr:uid="{00000000-0004-0000-0400-000000000000}"/>
  </hyperlink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P74"/>
  <sheetViews>
    <sheetView zoomScale="80" zoomScaleNormal="80" workbookViewId="0">
      <selection activeCell="T51" sqref="T51"/>
    </sheetView>
  </sheetViews>
  <sheetFormatPr baseColWidth="10" defaultColWidth="11.44140625" defaultRowHeight="14.4"/>
  <cols>
    <col min="1" max="1" width="11.44140625" style="2"/>
    <col min="2" max="2" width="27.88671875" style="2" customWidth="1"/>
    <col min="3" max="7" width="12.6640625" style="2" customWidth="1"/>
    <col min="8" max="16" width="12.6640625" style="16" customWidth="1"/>
    <col min="17" max="16384" width="11.44140625" style="2"/>
  </cols>
  <sheetData>
    <row r="2" spans="2:16">
      <c r="B2" s="3" t="s">
        <v>103</v>
      </c>
    </row>
    <row r="3" spans="2:16">
      <c r="B3" s="20" t="s">
        <v>79</v>
      </c>
    </row>
    <row r="4" spans="2:16">
      <c r="B4" s="56" t="s">
        <v>102</v>
      </c>
    </row>
    <row r="5" spans="2:16">
      <c r="B5" s="4" t="s">
        <v>0</v>
      </c>
    </row>
    <row r="7" spans="2:16" ht="21" customHeight="1">
      <c r="B7" s="71" t="s">
        <v>77</v>
      </c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</row>
    <row r="8" spans="2:16" s="16" customFormat="1" ht="18" customHeight="1">
      <c r="B8" s="72" t="s">
        <v>54</v>
      </c>
      <c r="C8" s="71" t="s">
        <v>70</v>
      </c>
      <c r="D8" s="71"/>
      <c r="E8" s="71" t="s">
        <v>71</v>
      </c>
      <c r="F8" s="71"/>
      <c r="G8" s="71" t="s">
        <v>72</v>
      </c>
      <c r="H8" s="71"/>
      <c r="I8" s="71" t="s">
        <v>73</v>
      </c>
      <c r="J8" s="71"/>
      <c r="K8" s="71" t="s">
        <v>74</v>
      </c>
      <c r="L8" s="71"/>
      <c r="M8" s="71" t="s">
        <v>75</v>
      </c>
      <c r="N8" s="71"/>
      <c r="O8" s="71" t="s">
        <v>76</v>
      </c>
      <c r="P8" s="71"/>
    </row>
    <row r="9" spans="2:16" ht="18" customHeight="1">
      <c r="B9" s="72"/>
      <c r="C9" s="19" t="s">
        <v>58</v>
      </c>
      <c r="D9" s="19" t="s">
        <v>55</v>
      </c>
      <c r="E9" s="19" t="s">
        <v>58</v>
      </c>
      <c r="F9" s="19" t="s">
        <v>55</v>
      </c>
      <c r="G9" s="19" t="s">
        <v>58</v>
      </c>
      <c r="H9" s="19" t="s">
        <v>55</v>
      </c>
      <c r="I9" s="19" t="s">
        <v>58</v>
      </c>
      <c r="J9" s="19" t="s">
        <v>55</v>
      </c>
      <c r="K9" s="19" t="s">
        <v>58</v>
      </c>
      <c r="L9" s="19" t="s">
        <v>55</v>
      </c>
      <c r="M9" s="19" t="s">
        <v>58</v>
      </c>
      <c r="N9" s="19" t="s">
        <v>55</v>
      </c>
      <c r="O9" s="19" t="s">
        <v>58</v>
      </c>
      <c r="P9" s="19" t="s">
        <v>55</v>
      </c>
    </row>
    <row r="10" spans="2:16">
      <c r="B10" s="24" t="s">
        <v>16</v>
      </c>
      <c r="C10" s="40">
        <v>11.530687</v>
      </c>
      <c r="D10" s="25">
        <v>0.87332500000000002</v>
      </c>
      <c r="E10" s="40">
        <v>17.974522</v>
      </c>
      <c r="F10" s="25">
        <v>0.83617399999999997</v>
      </c>
      <c r="G10" s="40">
        <v>23.586698999999999</v>
      </c>
      <c r="H10" s="25">
        <v>0.86036599999999996</v>
      </c>
      <c r="I10" s="40">
        <v>23.018730999999999</v>
      </c>
      <c r="J10" s="25">
        <v>0.890351</v>
      </c>
      <c r="K10" s="40">
        <v>15.303630999999999</v>
      </c>
      <c r="L10" s="25">
        <v>0.76447600000000004</v>
      </c>
      <c r="M10" s="40">
        <v>6.7199419999999996</v>
      </c>
      <c r="N10" s="25">
        <v>0.51289099999999999</v>
      </c>
      <c r="O10" s="40">
        <v>1.8657870000000001</v>
      </c>
      <c r="P10" s="25">
        <v>0.23825099999999999</v>
      </c>
    </row>
    <row r="11" spans="2:16">
      <c r="B11" s="24" t="s">
        <v>14</v>
      </c>
      <c r="C11" s="40">
        <v>9.8456480000000006</v>
      </c>
      <c r="D11" s="25">
        <v>0.40586899999999998</v>
      </c>
      <c r="E11" s="40">
        <v>16.497183</v>
      </c>
      <c r="F11" s="25">
        <v>0.53200099999999995</v>
      </c>
      <c r="G11" s="40">
        <v>22.830369999999998</v>
      </c>
      <c r="H11" s="25">
        <v>0.60528400000000004</v>
      </c>
      <c r="I11" s="40">
        <v>22.310319</v>
      </c>
      <c r="J11" s="25">
        <v>0.69289000000000001</v>
      </c>
      <c r="K11" s="40">
        <v>16.244966999999999</v>
      </c>
      <c r="L11" s="25">
        <v>0.47925499999999999</v>
      </c>
      <c r="M11" s="40">
        <v>8.7711439999999996</v>
      </c>
      <c r="N11" s="25">
        <v>0.431589</v>
      </c>
      <c r="O11" s="40">
        <v>3.5003690000000001</v>
      </c>
      <c r="P11" s="25">
        <v>0.34264899999999998</v>
      </c>
    </row>
    <row r="12" spans="2:16">
      <c r="B12" s="24" t="s">
        <v>18</v>
      </c>
      <c r="C12" s="40">
        <v>9.1587029999999992</v>
      </c>
      <c r="D12" s="25">
        <v>0.66014600000000001</v>
      </c>
      <c r="E12" s="40">
        <v>15.702306</v>
      </c>
      <c r="F12" s="25">
        <v>0.688504</v>
      </c>
      <c r="G12" s="40">
        <v>22.458815000000001</v>
      </c>
      <c r="H12" s="25">
        <v>0.67194200000000004</v>
      </c>
      <c r="I12" s="40">
        <v>24.231819000000002</v>
      </c>
      <c r="J12" s="25">
        <v>0.66676100000000005</v>
      </c>
      <c r="K12" s="40">
        <v>18.138614</v>
      </c>
      <c r="L12" s="25">
        <v>0.69605099999999998</v>
      </c>
      <c r="M12" s="40">
        <v>8.109159</v>
      </c>
      <c r="N12" s="25">
        <v>0.49487399999999998</v>
      </c>
      <c r="O12" s="40">
        <v>2.2005849999999998</v>
      </c>
      <c r="P12" s="25">
        <v>0.236489</v>
      </c>
    </row>
    <row r="13" spans="2:16">
      <c r="B13" s="24" t="s">
        <v>28</v>
      </c>
      <c r="C13" s="40">
        <v>9.6453710000000008</v>
      </c>
      <c r="D13" s="25">
        <v>0.58681399999999995</v>
      </c>
      <c r="E13" s="40">
        <v>15.309043000000001</v>
      </c>
      <c r="F13" s="25">
        <v>0.62545200000000001</v>
      </c>
      <c r="G13" s="40">
        <v>21.508392000000001</v>
      </c>
      <c r="H13" s="25">
        <v>0.72134699999999996</v>
      </c>
      <c r="I13" s="40">
        <v>23.521062000000001</v>
      </c>
      <c r="J13" s="25">
        <v>0.77972699999999995</v>
      </c>
      <c r="K13" s="40">
        <v>18.556270000000001</v>
      </c>
      <c r="L13" s="25">
        <v>0.687473</v>
      </c>
      <c r="M13" s="40">
        <v>8.8825190000000003</v>
      </c>
      <c r="N13" s="25">
        <v>0.530644</v>
      </c>
      <c r="O13" s="40">
        <v>2.5773429999999999</v>
      </c>
      <c r="P13" s="25">
        <v>0.230435</v>
      </c>
    </row>
    <row r="14" spans="2:16">
      <c r="B14" s="24" t="s">
        <v>20</v>
      </c>
      <c r="C14" s="40">
        <v>29.444882</v>
      </c>
      <c r="D14" s="25">
        <v>1.2377929999999999</v>
      </c>
      <c r="E14" s="40">
        <v>24.15494</v>
      </c>
      <c r="F14" s="25">
        <v>0.87492999999999999</v>
      </c>
      <c r="G14" s="40">
        <v>21.219145000000001</v>
      </c>
      <c r="H14" s="25">
        <v>0.92769800000000002</v>
      </c>
      <c r="I14" s="40">
        <v>14.531307999999999</v>
      </c>
      <c r="J14" s="25">
        <v>0.78007899999999997</v>
      </c>
      <c r="K14" s="40">
        <v>7.5122249999999999</v>
      </c>
      <c r="L14" s="25">
        <v>0.71485799999999999</v>
      </c>
      <c r="M14" s="40">
        <v>2.5211190000000001</v>
      </c>
      <c r="N14" s="25">
        <v>0.39396799999999998</v>
      </c>
      <c r="O14" s="40">
        <v>0.61638199999999999</v>
      </c>
      <c r="P14" s="25">
        <v>0.209726</v>
      </c>
    </row>
    <row r="15" spans="2:16">
      <c r="B15" s="24" t="s">
        <v>6</v>
      </c>
      <c r="C15" s="40">
        <v>6.876093</v>
      </c>
      <c r="D15" s="25">
        <v>0.357622</v>
      </c>
      <c r="E15" s="40">
        <v>14.749631000000001</v>
      </c>
      <c r="F15" s="25">
        <v>0.426761</v>
      </c>
      <c r="G15" s="40">
        <v>22.654398</v>
      </c>
      <c r="H15" s="25">
        <v>0.46437499999999998</v>
      </c>
      <c r="I15" s="40">
        <v>24.765779999999999</v>
      </c>
      <c r="J15" s="25">
        <v>0.49693900000000002</v>
      </c>
      <c r="K15" s="40">
        <v>18.484887000000001</v>
      </c>
      <c r="L15" s="25">
        <v>0.52418699999999996</v>
      </c>
      <c r="M15" s="40">
        <v>9.1196479999999998</v>
      </c>
      <c r="N15" s="25">
        <v>0.40459400000000001</v>
      </c>
      <c r="O15" s="40">
        <v>3.3495629999999998</v>
      </c>
      <c r="P15" s="25">
        <v>0.240233</v>
      </c>
    </row>
    <row r="16" spans="2:16">
      <c r="B16" s="24" t="s">
        <v>1</v>
      </c>
      <c r="C16" s="40">
        <v>25.018436000000001</v>
      </c>
      <c r="D16" s="25">
        <v>1.073879</v>
      </c>
      <c r="E16" s="40">
        <v>30.691185000000001</v>
      </c>
      <c r="F16" s="25">
        <v>0.83609199999999995</v>
      </c>
      <c r="G16" s="40">
        <v>25.994857</v>
      </c>
      <c r="H16" s="25">
        <v>0.78633500000000001</v>
      </c>
      <c r="I16" s="40">
        <v>13.531338999999999</v>
      </c>
      <c r="J16" s="25">
        <v>0.63919899999999996</v>
      </c>
      <c r="K16" s="40">
        <v>4.117521</v>
      </c>
      <c r="L16" s="25">
        <v>0.36195100000000002</v>
      </c>
      <c r="M16" s="40">
        <v>0.60695900000000003</v>
      </c>
      <c r="N16" s="25">
        <v>0.116767</v>
      </c>
      <c r="O16" s="40">
        <v>3.9703000000000002E-2</v>
      </c>
      <c r="P16" s="25">
        <v>2.9933000000000001E-2</v>
      </c>
    </row>
    <row r="17" spans="2:16">
      <c r="B17" s="24" t="s">
        <v>82</v>
      </c>
      <c r="C17" s="40">
        <v>30.452970000000001</v>
      </c>
      <c r="D17" s="25">
        <v>0.72876300000000005</v>
      </c>
      <c r="E17" s="40">
        <v>22.711821</v>
      </c>
      <c r="F17" s="25">
        <v>0.71182000000000001</v>
      </c>
      <c r="G17" s="40">
        <v>20.482574</v>
      </c>
      <c r="H17" s="25">
        <v>0.69045199999999995</v>
      </c>
      <c r="I17" s="40">
        <v>14.487780000000001</v>
      </c>
      <c r="J17" s="25">
        <v>0.51584200000000002</v>
      </c>
      <c r="K17" s="40">
        <v>7.9840010000000001</v>
      </c>
      <c r="L17" s="25">
        <v>0.46577299999999999</v>
      </c>
      <c r="M17" s="40">
        <v>3.0767920000000002</v>
      </c>
      <c r="N17" s="25">
        <v>0.281003</v>
      </c>
      <c r="O17" s="40">
        <v>0.80406299999999997</v>
      </c>
      <c r="P17" s="25">
        <v>0.126861</v>
      </c>
    </row>
    <row r="18" spans="2:16">
      <c r="B18" s="24" t="s">
        <v>29</v>
      </c>
      <c r="C18" s="40">
        <v>38.968699999999998</v>
      </c>
      <c r="D18" s="25">
        <v>1.9017999999999999</v>
      </c>
      <c r="E18" s="40">
        <v>32.251530000000002</v>
      </c>
      <c r="F18" s="25">
        <v>0.97844100000000001</v>
      </c>
      <c r="G18" s="40">
        <v>19.120539999999998</v>
      </c>
      <c r="H18" s="25">
        <v>1.0354019999999999</v>
      </c>
      <c r="I18" s="40">
        <v>7.6966140000000003</v>
      </c>
      <c r="J18" s="25">
        <v>0.64322900000000005</v>
      </c>
      <c r="K18" s="40">
        <v>1.6854789999999999</v>
      </c>
      <c r="L18" s="25">
        <v>0.28228599999999998</v>
      </c>
      <c r="M18" s="40">
        <v>0.26576</v>
      </c>
      <c r="N18" s="25">
        <v>9.8142999999999994E-2</v>
      </c>
      <c r="O18" s="40">
        <v>1.1377E-2</v>
      </c>
      <c r="P18" s="25">
        <v>1.1926000000000001E-2</v>
      </c>
    </row>
    <row r="19" spans="2:16">
      <c r="B19" s="24" t="s">
        <v>25</v>
      </c>
      <c r="C19" s="40">
        <v>5.9852220000000003</v>
      </c>
      <c r="D19" s="25">
        <v>0.760162</v>
      </c>
      <c r="E19" s="40">
        <v>10.222614</v>
      </c>
      <c r="F19" s="25">
        <v>0.773563</v>
      </c>
      <c r="G19" s="40">
        <v>16.694436</v>
      </c>
      <c r="H19" s="25">
        <v>0.81955500000000003</v>
      </c>
      <c r="I19" s="40">
        <v>21.963795999999999</v>
      </c>
      <c r="J19" s="25">
        <v>0.88632699999999998</v>
      </c>
      <c r="K19" s="40">
        <v>22.236934999999999</v>
      </c>
      <c r="L19" s="25">
        <v>1.0290440000000001</v>
      </c>
      <c r="M19" s="40">
        <v>14.432734</v>
      </c>
      <c r="N19" s="25">
        <v>0.91536300000000004</v>
      </c>
      <c r="O19" s="40">
        <v>8.464264</v>
      </c>
      <c r="P19" s="25">
        <v>0.81024399999999996</v>
      </c>
    </row>
    <row r="20" spans="2:16">
      <c r="B20" s="24" t="s">
        <v>83</v>
      </c>
      <c r="C20" s="40">
        <v>35.338664000000001</v>
      </c>
      <c r="D20" s="25">
        <v>1.3064499999999999</v>
      </c>
      <c r="E20" s="40">
        <v>36.498288000000002</v>
      </c>
      <c r="F20" s="25">
        <v>1.055342</v>
      </c>
      <c r="G20" s="40">
        <v>20.902557000000002</v>
      </c>
      <c r="H20" s="25">
        <v>0.93910700000000003</v>
      </c>
      <c r="I20" s="40">
        <v>5.9690240000000001</v>
      </c>
      <c r="J20" s="25">
        <v>0.52668499999999996</v>
      </c>
      <c r="K20" s="40">
        <v>1.130374</v>
      </c>
      <c r="L20" s="25">
        <v>0.222444</v>
      </c>
      <c r="M20" s="40">
        <v>0.15001100000000001</v>
      </c>
      <c r="N20" s="25">
        <v>7.9288999999999998E-2</v>
      </c>
      <c r="O20" s="40">
        <v>1.1082E-2</v>
      </c>
      <c r="P20" s="25">
        <v>2.0674000000000001E-2</v>
      </c>
    </row>
    <row r="21" spans="2:16">
      <c r="B21" s="24" t="s">
        <v>15</v>
      </c>
      <c r="C21" s="40">
        <v>11.420464000000001</v>
      </c>
      <c r="D21" s="25">
        <v>0.78446499999999997</v>
      </c>
      <c r="E21" s="40">
        <v>21.517223000000001</v>
      </c>
      <c r="F21" s="25">
        <v>0.81921100000000002</v>
      </c>
      <c r="G21" s="40">
        <v>26.812002</v>
      </c>
      <c r="H21" s="25">
        <v>0.84387599999999996</v>
      </c>
      <c r="I21" s="40">
        <v>21.685023999999999</v>
      </c>
      <c r="J21" s="25">
        <v>0.85533899999999996</v>
      </c>
      <c r="K21" s="40">
        <v>12.689223</v>
      </c>
      <c r="L21" s="25">
        <v>0.73924199999999995</v>
      </c>
      <c r="M21" s="40">
        <v>4.8927009999999997</v>
      </c>
      <c r="N21" s="25">
        <v>0.48437799999999998</v>
      </c>
      <c r="O21" s="40">
        <v>0.98336199999999996</v>
      </c>
      <c r="P21" s="25">
        <v>0.17144899999999999</v>
      </c>
    </row>
    <row r="22" spans="2:16">
      <c r="B22" s="24" t="s">
        <v>8</v>
      </c>
      <c r="C22" s="40">
        <v>5.3474000000000004</v>
      </c>
      <c r="D22" s="25">
        <v>0.44278600000000001</v>
      </c>
      <c r="E22" s="40">
        <v>15.087014</v>
      </c>
      <c r="F22" s="25">
        <v>0.67588000000000004</v>
      </c>
      <c r="G22" s="40">
        <v>26.263449000000001</v>
      </c>
      <c r="H22" s="25">
        <v>0.87669900000000001</v>
      </c>
      <c r="I22" s="40">
        <v>28.093653</v>
      </c>
      <c r="J22" s="25">
        <v>0.77064200000000005</v>
      </c>
      <c r="K22" s="40">
        <v>17.504656000000001</v>
      </c>
      <c r="L22" s="25">
        <v>0.75998600000000005</v>
      </c>
      <c r="M22" s="40">
        <v>6.4511039999999999</v>
      </c>
      <c r="N22" s="25">
        <v>0.53337800000000002</v>
      </c>
      <c r="O22" s="40">
        <v>1.2527250000000001</v>
      </c>
      <c r="P22" s="25">
        <v>0.22240499999999999</v>
      </c>
    </row>
    <row r="23" spans="2:16">
      <c r="B23" s="24" t="s">
        <v>10</v>
      </c>
      <c r="C23" s="40">
        <v>7.7184819999999998</v>
      </c>
      <c r="D23" s="25">
        <v>0.53017499999999995</v>
      </c>
      <c r="E23" s="40">
        <v>16.874811000000001</v>
      </c>
      <c r="F23" s="25">
        <v>0.68222499999999997</v>
      </c>
      <c r="G23" s="40">
        <v>25.729659000000002</v>
      </c>
      <c r="H23" s="25">
        <v>0.94074899999999995</v>
      </c>
      <c r="I23" s="40">
        <v>24.218097</v>
      </c>
      <c r="J23" s="25">
        <v>0.86412999999999995</v>
      </c>
      <c r="K23" s="40">
        <v>16.080037999999998</v>
      </c>
      <c r="L23" s="25">
        <v>0.657246</v>
      </c>
      <c r="M23" s="40">
        <v>7.463317</v>
      </c>
      <c r="N23" s="25">
        <v>0.42918200000000001</v>
      </c>
      <c r="O23" s="40">
        <v>1.9155949999999999</v>
      </c>
      <c r="P23" s="25">
        <v>0.25602999999999998</v>
      </c>
    </row>
    <row r="24" spans="2:16">
      <c r="B24" s="24" t="s">
        <v>26</v>
      </c>
      <c r="C24" s="40">
        <v>9.7441669999999991</v>
      </c>
      <c r="D24" s="25">
        <v>0.45951799999999998</v>
      </c>
      <c r="E24" s="40">
        <v>17.561783999999999</v>
      </c>
      <c r="F24" s="25">
        <v>0.46515099999999998</v>
      </c>
      <c r="G24" s="40">
        <v>26.227528</v>
      </c>
      <c r="H24" s="25">
        <v>0.49488100000000002</v>
      </c>
      <c r="I24" s="40">
        <v>25.372674</v>
      </c>
      <c r="J24" s="25">
        <v>0.48791200000000001</v>
      </c>
      <c r="K24" s="40">
        <v>15.193293000000001</v>
      </c>
      <c r="L24" s="25">
        <v>0.42655900000000002</v>
      </c>
      <c r="M24" s="40">
        <v>5.0151760000000003</v>
      </c>
      <c r="N24" s="25">
        <v>0.25296299999999999</v>
      </c>
      <c r="O24" s="40">
        <v>0.885378</v>
      </c>
      <c r="P24" s="25">
        <v>9.8005999999999996E-2</v>
      </c>
    </row>
    <row r="25" spans="2:16">
      <c r="B25" s="24" t="s">
        <v>7</v>
      </c>
      <c r="C25" s="40">
        <v>13.109031</v>
      </c>
      <c r="D25" s="25">
        <v>1.0175099999999999</v>
      </c>
      <c r="E25" s="40">
        <v>20.821158</v>
      </c>
      <c r="F25" s="25">
        <v>1.028143</v>
      </c>
      <c r="G25" s="40">
        <v>23.925148</v>
      </c>
      <c r="H25" s="25">
        <v>0.84421900000000005</v>
      </c>
      <c r="I25" s="40">
        <v>21.539196</v>
      </c>
      <c r="J25" s="25">
        <v>0.87288900000000003</v>
      </c>
      <c r="K25" s="40">
        <v>13.261481</v>
      </c>
      <c r="L25" s="25">
        <v>0.80340500000000004</v>
      </c>
      <c r="M25" s="40">
        <v>5.7384259999999996</v>
      </c>
      <c r="N25" s="25">
        <v>0.664157</v>
      </c>
      <c r="O25" s="40">
        <v>1.6055600000000001</v>
      </c>
      <c r="P25" s="25">
        <v>0.33360000000000001</v>
      </c>
    </row>
    <row r="26" spans="2:16">
      <c r="B26" s="24" t="s">
        <v>21</v>
      </c>
      <c r="C26" s="40">
        <v>3.352595</v>
      </c>
      <c r="D26" s="25">
        <v>0.37069400000000002</v>
      </c>
      <c r="E26" s="40">
        <v>11.613307000000001</v>
      </c>
      <c r="F26" s="25">
        <v>0.62587899999999996</v>
      </c>
      <c r="G26" s="40">
        <v>23.294685000000001</v>
      </c>
      <c r="H26" s="25">
        <v>0.80866199999999999</v>
      </c>
      <c r="I26" s="40">
        <v>27.322523</v>
      </c>
      <c r="J26" s="25">
        <v>0.98284099999999996</v>
      </c>
      <c r="K26" s="40">
        <v>21.322924</v>
      </c>
      <c r="L26" s="25">
        <v>0.875444</v>
      </c>
      <c r="M26" s="40">
        <v>9.9381009999999996</v>
      </c>
      <c r="N26" s="25">
        <v>0.59657199999999999</v>
      </c>
      <c r="O26" s="40">
        <v>3.1558649999999999</v>
      </c>
      <c r="P26" s="25">
        <v>0.33748400000000001</v>
      </c>
    </row>
    <row r="27" spans="2:16">
      <c r="B27" s="24" t="s">
        <v>34</v>
      </c>
      <c r="C27" s="40">
        <v>8.4403290000000002</v>
      </c>
      <c r="D27" s="25">
        <v>0.446907</v>
      </c>
      <c r="E27" s="40">
        <v>16.42145</v>
      </c>
      <c r="F27" s="25">
        <v>0.61180000000000001</v>
      </c>
      <c r="G27" s="40">
        <v>23.680714999999999</v>
      </c>
      <c r="H27" s="25">
        <v>0.65320900000000004</v>
      </c>
      <c r="I27" s="40">
        <v>25.486409999999999</v>
      </c>
      <c r="J27" s="25">
        <v>0.72946800000000001</v>
      </c>
      <c r="K27" s="40">
        <v>17.416360999999998</v>
      </c>
      <c r="L27" s="25">
        <v>0.62105299999999997</v>
      </c>
      <c r="M27" s="40">
        <v>7.0089449999999998</v>
      </c>
      <c r="N27" s="25">
        <v>0.46817300000000001</v>
      </c>
      <c r="O27" s="40">
        <v>1.54579</v>
      </c>
      <c r="P27" s="25">
        <v>0.208619</v>
      </c>
    </row>
    <row r="28" spans="2:16">
      <c r="B28" s="24" t="s">
        <v>5</v>
      </c>
      <c r="C28" s="40">
        <v>10.961385</v>
      </c>
      <c r="D28" s="25">
        <v>0.68801900000000005</v>
      </c>
      <c r="E28" s="40">
        <v>17.849889999999998</v>
      </c>
      <c r="F28" s="25">
        <v>0.683253</v>
      </c>
      <c r="G28" s="40">
        <v>24.215185999999999</v>
      </c>
      <c r="H28" s="25">
        <v>0.74836800000000003</v>
      </c>
      <c r="I28" s="40">
        <v>23.869617999999999</v>
      </c>
      <c r="J28" s="25">
        <v>0.70298300000000002</v>
      </c>
      <c r="K28" s="40">
        <v>15.718845999999999</v>
      </c>
      <c r="L28" s="25">
        <v>0.66918599999999995</v>
      </c>
      <c r="M28" s="40">
        <v>6.2490209999999999</v>
      </c>
      <c r="N28" s="25">
        <v>0.45900099999999999</v>
      </c>
      <c r="O28" s="40">
        <v>1.1360539999999999</v>
      </c>
      <c r="P28" s="25">
        <v>0.20378499999999999</v>
      </c>
    </row>
    <row r="29" spans="2:16">
      <c r="B29" s="24" t="s">
        <v>37</v>
      </c>
      <c r="C29" s="40">
        <v>20.391013000000001</v>
      </c>
      <c r="D29" s="25">
        <v>1.01613</v>
      </c>
      <c r="E29" s="40">
        <v>26.815942</v>
      </c>
      <c r="F29" s="25">
        <v>0.77313200000000004</v>
      </c>
      <c r="G29" s="40">
        <v>26.008310999999999</v>
      </c>
      <c r="H29" s="25">
        <v>0.77268400000000004</v>
      </c>
      <c r="I29" s="40">
        <v>17.301770999999999</v>
      </c>
      <c r="J29" s="25">
        <v>0.69695200000000002</v>
      </c>
      <c r="K29" s="40">
        <v>7.4839079999999996</v>
      </c>
      <c r="L29" s="25">
        <v>0.519679</v>
      </c>
      <c r="M29" s="40">
        <v>1.8497060000000001</v>
      </c>
      <c r="N29" s="25">
        <v>0.27848699999999998</v>
      </c>
      <c r="O29" s="40">
        <v>0.14934900000000001</v>
      </c>
      <c r="P29" s="25">
        <v>6.9968000000000002E-2</v>
      </c>
    </row>
    <row r="30" spans="2:16">
      <c r="B30" s="24" t="s">
        <v>4</v>
      </c>
      <c r="C30" s="40">
        <v>12.188886999999999</v>
      </c>
      <c r="D30" s="25">
        <v>0.68907200000000002</v>
      </c>
      <c r="E30" s="40">
        <v>17.309379</v>
      </c>
      <c r="F30" s="25">
        <v>0.86643300000000001</v>
      </c>
      <c r="G30" s="40">
        <v>23.794599000000002</v>
      </c>
      <c r="H30" s="25">
        <v>0.89514199999999999</v>
      </c>
      <c r="I30" s="40">
        <v>23.763921</v>
      </c>
      <c r="J30" s="25">
        <v>0.94307300000000005</v>
      </c>
      <c r="K30" s="40">
        <v>15.124865</v>
      </c>
      <c r="L30" s="25">
        <v>0.74290999999999996</v>
      </c>
      <c r="M30" s="40">
        <v>6.2619100000000003</v>
      </c>
      <c r="N30" s="25">
        <v>0.51286299999999996</v>
      </c>
      <c r="O30" s="40">
        <v>1.5564389999999999</v>
      </c>
      <c r="P30" s="25">
        <v>0.29881799999999997</v>
      </c>
    </row>
    <row r="31" spans="2:16">
      <c r="B31" s="24" t="s">
        <v>9</v>
      </c>
      <c r="C31" s="40">
        <v>4.7955040000000002</v>
      </c>
      <c r="D31" s="25">
        <v>0.440029</v>
      </c>
      <c r="E31" s="40">
        <v>14.233440999999999</v>
      </c>
      <c r="F31" s="25">
        <v>0.71656299999999995</v>
      </c>
      <c r="G31" s="40">
        <v>25.884694</v>
      </c>
      <c r="H31" s="25">
        <v>0.79891999999999996</v>
      </c>
      <c r="I31" s="40">
        <v>29.000598</v>
      </c>
      <c r="J31" s="25">
        <v>0.876973</v>
      </c>
      <c r="K31" s="40">
        <v>18.837661000000001</v>
      </c>
      <c r="L31" s="25">
        <v>0.74425699999999995</v>
      </c>
      <c r="M31" s="40">
        <v>6.2428100000000004</v>
      </c>
      <c r="N31" s="25">
        <v>0.47556900000000002</v>
      </c>
      <c r="O31" s="40">
        <v>1.0052920000000001</v>
      </c>
      <c r="P31" s="25">
        <v>0.17418</v>
      </c>
    </row>
    <row r="32" spans="2:16">
      <c r="B32" s="24" t="s">
        <v>19</v>
      </c>
      <c r="C32" s="40">
        <v>13.102112999999999</v>
      </c>
      <c r="D32" s="25">
        <v>0.63233099999999998</v>
      </c>
      <c r="E32" s="40">
        <v>21.016292</v>
      </c>
      <c r="F32" s="25">
        <v>0.81615700000000002</v>
      </c>
      <c r="G32" s="40">
        <v>26.239082</v>
      </c>
      <c r="H32" s="25">
        <v>0.84803300000000004</v>
      </c>
      <c r="I32" s="40">
        <v>22.372817000000001</v>
      </c>
      <c r="J32" s="25">
        <v>0.849715</v>
      </c>
      <c r="K32" s="40">
        <v>12.387707000000001</v>
      </c>
      <c r="L32" s="25">
        <v>0.78325500000000003</v>
      </c>
      <c r="M32" s="40">
        <v>4.2141710000000003</v>
      </c>
      <c r="N32" s="25">
        <v>0.49875399999999998</v>
      </c>
      <c r="O32" s="40">
        <v>0.66781900000000005</v>
      </c>
      <c r="P32" s="25">
        <v>0.16524800000000001</v>
      </c>
    </row>
    <row r="33" spans="2:16">
      <c r="B33" s="24" t="s">
        <v>11</v>
      </c>
      <c r="C33" s="40">
        <v>18.883409</v>
      </c>
      <c r="D33" s="25">
        <v>0.97401400000000005</v>
      </c>
      <c r="E33" s="40">
        <v>18.371421000000002</v>
      </c>
      <c r="F33" s="25">
        <v>0.84279300000000001</v>
      </c>
      <c r="G33" s="40">
        <v>21.075234999999999</v>
      </c>
      <c r="H33" s="25">
        <v>0.75596300000000005</v>
      </c>
      <c r="I33" s="40">
        <v>19.689602000000001</v>
      </c>
      <c r="J33" s="25">
        <v>0.78629599999999999</v>
      </c>
      <c r="K33" s="40">
        <v>13.589115</v>
      </c>
      <c r="L33" s="25">
        <v>0.84514</v>
      </c>
      <c r="M33" s="40">
        <v>6.2328140000000003</v>
      </c>
      <c r="N33" s="25">
        <v>0.50919599999999998</v>
      </c>
      <c r="O33" s="40">
        <v>2.1584029999999998</v>
      </c>
      <c r="P33" s="25">
        <v>0.39794600000000002</v>
      </c>
    </row>
    <row r="34" spans="2:16">
      <c r="B34" s="24" t="s">
        <v>12</v>
      </c>
      <c r="C34" s="40">
        <v>10.108445</v>
      </c>
      <c r="D34" s="25">
        <v>0.67051300000000003</v>
      </c>
      <c r="E34" s="40">
        <v>19.500146999999998</v>
      </c>
      <c r="F34" s="25">
        <v>0.91006100000000001</v>
      </c>
      <c r="G34" s="40">
        <v>26.025086999999999</v>
      </c>
      <c r="H34" s="25">
        <v>0.90510100000000004</v>
      </c>
      <c r="I34" s="40">
        <v>23.159962</v>
      </c>
      <c r="J34" s="25">
        <v>0.78773199999999999</v>
      </c>
      <c r="K34" s="40">
        <v>14.240760999999999</v>
      </c>
      <c r="L34" s="25">
        <v>0.94592500000000002</v>
      </c>
      <c r="M34" s="40">
        <v>5.739592</v>
      </c>
      <c r="N34" s="25">
        <v>0.64800000000000002</v>
      </c>
      <c r="O34" s="40">
        <v>1.2260059999999999</v>
      </c>
      <c r="P34" s="25">
        <v>0.20540700000000001</v>
      </c>
    </row>
    <row r="35" spans="2:16">
      <c r="B35" s="24" t="s">
        <v>2</v>
      </c>
      <c r="C35" s="40">
        <v>3.1855829999999998</v>
      </c>
      <c r="D35" s="25">
        <v>0.40228900000000001</v>
      </c>
      <c r="E35" s="40">
        <v>8.7759699999999992</v>
      </c>
      <c r="F35" s="25">
        <v>0.744116</v>
      </c>
      <c r="G35" s="40">
        <v>15.968484999999999</v>
      </c>
      <c r="H35" s="25">
        <v>0.78827800000000003</v>
      </c>
      <c r="I35" s="40">
        <v>23.962481</v>
      </c>
      <c r="J35" s="25">
        <v>0.94881099999999996</v>
      </c>
      <c r="K35" s="40">
        <v>25.120947000000001</v>
      </c>
      <c r="L35" s="25">
        <v>1.0008790000000001</v>
      </c>
      <c r="M35" s="40">
        <v>16.185959</v>
      </c>
      <c r="N35" s="25">
        <v>0.78042999999999996</v>
      </c>
      <c r="O35" s="40">
        <v>6.8005760000000004</v>
      </c>
      <c r="P35" s="25">
        <v>0.72866299999999995</v>
      </c>
    </row>
    <row r="36" spans="2:16">
      <c r="B36" s="24" t="s">
        <v>23</v>
      </c>
      <c r="C36" s="40">
        <v>5.4794600000000004</v>
      </c>
      <c r="D36" s="25">
        <v>0.51063400000000003</v>
      </c>
      <c r="E36" s="40">
        <v>16.675343000000002</v>
      </c>
      <c r="F36" s="25">
        <v>0.69337800000000005</v>
      </c>
      <c r="G36" s="40">
        <v>28.419903000000001</v>
      </c>
      <c r="H36" s="25">
        <v>0.87990100000000004</v>
      </c>
      <c r="I36" s="40">
        <v>27.188030999999999</v>
      </c>
      <c r="J36" s="25">
        <v>0.92221799999999998</v>
      </c>
      <c r="K36" s="40">
        <v>15.793956</v>
      </c>
      <c r="L36" s="25">
        <v>0.77821799999999997</v>
      </c>
      <c r="M36" s="40">
        <v>5.22187</v>
      </c>
      <c r="N36" s="25">
        <v>0.42941600000000002</v>
      </c>
      <c r="O36" s="40">
        <v>1.2214370000000001</v>
      </c>
      <c r="P36" s="25">
        <v>0.20328199999999999</v>
      </c>
    </row>
    <row r="37" spans="2:16">
      <c r="B37" s="24" t="s">
        <v>32</v>
      </c>
      <c r="C37" s="40">
        <v>8.7333370000000006</v>
      </c>
      <c r="D37" s="25">
        <v>0.59596300000000002</v>
      </c>
      <c r="E37" s="40">
        <v>19.104482999999998</v>
      </c>
      <c r="F37" s="25">
        <v>0.76320900000000003</v>
      </c>
      <c r="G37" s="40">
        <v>26.479793000000001</v>
      </c>
      <c r="H37" s="25">
        <v>0.70752499999999996</v>
      </c>
      <c r="I37" s="40">
        <v>23.991425</v>
      </c>
      <c r="J37" s="25">
        <v>0.82527099999999998</v>
      </c>
      <c r="K37" s="40">
        <v>14.494975</v>
      </c>
      <c r="L37" s="25">
        <v>0.64561900000000005</v>
      </c>
      <c r="M37" s="40">
        <v>5.8189310000000001</v>
      </c>
      <c r="N37" s="25">
        <v>0.45345299999999999</v>
      </c>
      <c r="O37" s="40">
        <v>1.3770560000000001</v>
      </c>
      <c r="P37" s="25">
        <v>0.22520299999999999</v>
      </c>
    </row>
    <row r="38" spans="2:16">
      <c r="B38" s="24" t="s">
        <v>17</v>
      </c>
      <c r="C38" s="40">
        <v>15.554862</v>
      </c>
      <c r="D38" s="25">
        <v>0.69417700000000004</v>
      </c>
      <c r="E38" s="40">
        <v>17.041540999999999</v>
      </c>
      <c r="F38" s="25">
        <v>0.78765499999999999</v>
      </c>
      <c r="G38" s="40">
        <v>22.261883000000001</v>
      </c>
      <c r="H38" s="25">
        <v>1.055601</v>
      </c>
      <c r="I38" s="40">
        <v>22.731000000000002</v>
      </c>
      <c r="J38" s="25">
        <v>0.89318600000000004</v>
      </c>
      <c r="K38" s="40">
        <v>15.183192999999999</v>
      </c>
      <c r="L38" s="25">
        <v>0.97089499999999995</v>
      </c>
      <c r="M38" s="40">
        <v>5.7486100000000002</v>
      </c>
      <c r="N38" s="25">
        <v>0.63016499999999998</v>
      </c>
      <c r="O38" s="40">
        <v>1.4789110000000001</v>
      </c>
      <c r="P38" s="25">
        <v>0.24165600000000001</v>
      </c>
    </row>
    <row r="39" spans="2:16">
      <c r="B39" s="24" t="s">
        <v>3</v>
      </c>
      <c r="C39" s="40">
        <v>30.751669</v>
      </c>
      <c r="D39" s="25">
        <v>1.2242459999999999</v>
      </c>
      <c r="E39" s="40">
        <v>35.060541000000001</v>
      </c>
      <c r="F39" s="25">
        <v>1.0673509999999999</v>
      </c>
      <c r="G39" s="40">
        <v>22.994686999999999</v>
      </c>
      <c r="H39" s="25">
        <v>0.94976899999999997</v>
      </c>
      <c r="I39" s="40">
        <v>8.9642920000000004</v>
      </c>
      <c r="J39" s="25">
        <v>0.70748999999999995</v>
      </c>
      <c r="K39" s="40">
        <v>2.0277880000000001</v>
      </c>
      <c r="L39" s="25">
        <v>0.34775499999999998</v>
      </c>
      <c r="M39" s="40">
        <v>0.20013300000000001</v>
      </c>
      <c r="N39" s="25">
        <v>7.6747999999999997E-2</v>
      </c>
      <c r="O39" s="40">
        <v>8.9099999999999997E-4</v>
      </c>
      <c r="P39" s="25">
        <v>4.2570000000000004E-3</v>
      </c>
    </row>
    <row r="40" spans="2:16">
      <c r="B40" s="24" t="s">
        <v>13</v>
      </c>
      <c r="C40" s="40">
        <v>12.783359000000001</v>
      </c>
      <c r="D40" s="25">
        <v>0.58574599999999999</v>
      </c>
      <c r="E40" s="40">
        <v>18.70589</v>
      </c>
      <c r="F40" s="25">
        <v>0.66261899999999996</v>
      </c>
      <c r="G40" s="40">
        <v>23.794512000000001</v>
      </c>
      <c r="H40" s="25">
        <v>0.69418999999999997</v>
      </c>
      <c r="I40" s="40">
        <v>22.963304000000001</v>
      </c>
      <c r="J40" s="25">
        <v>0.80678399999999995</v>
      </c>
      <c r="K40" s="40">
        <v>14.872903000000001</v>
      </c>
      <c r="L40" s="25">
        <v>0.63560399999999995</v>
      </c>
      <c r="M40" s="40">
        <v>5.4743969999999997</v>
      </c>
      <c r="N40" s="25">
        <v>0.37550299999999998</v>
      </c>
      <c r="O40" s="40">
        <v>1.4056360000000001</v>
      </c>
      <c r="P40" s="25">
        <v>0.18051200000000001</v>
      </c>
    </row>
    <row r="41" spans="2:16">
      <c r="B41" s="24" t="s">
        <v>27</v>
      </c>
      <c r="C41" s="40">
        <v>11.590957</v>
      </c>
      <c r="D41" s="25">
        <v>0.691048</v>
      </c>
      <c r="E41" s="40">
        <v>17.160549</v>
      </c>
      <c r="F41" s="25">
        <v>0.796454</v>
      </c>
      <c r="G41" s="40">
        <v>22.932013000000001</v>
      </c>
      <c r="H41" s="25">
        <v>0.72490100000000002</v>
      </c>
      <c r="I41" s="40">
        <v>22.639416000000001</v>
      </c>
      <c r="J41" s="25">
        <v>0.78362299999999996</v>
      </c>
      <c r="K41" s="40">
        <v>15.372698</v>
      </c>
      <c r="L41" s="25">
        <v>0.73986600000000002</v>
      </c>
      <c r="M41" s="40">
        <v>7.4284699999999999</v>
      </c>
      <c r="N41" s="25">
        <v>0.60538400000000003</v>
      </c>
      <c r="O41" s="40">
        <v>2.875896</v>
      </c>
      <c r="P41" s="25">
        <v>0.30674800000000002</v>
      </c>
    </row>
    <row r="42" spans="2:16">
      <c r="B42" s="24" t="s">
        <v>31</v>
      </c>
      <c r="C42" s="40">
        <v>12.196814</v>
      </c>
      <c r="D42" s="25">
        <v>1.263442</v>
      </c>
      <c r="E42" s="40">
        <v>15.163311999999999</v>
      </c>
      <c r="F42" s="25">
        <v>0.91213599999999995</v>
      </c>
      <c r="G42" s="40">
        <v>18.248142999999999</v>
      </c>
      <c r="H42" s="25">
        <v>0.83324799999999999</v>
      </c>
      <c r="I42" s="40">
        <v>19.795950999999999</v>
      </c>
      <c r="J42" s="25">
        <v>1.0205379999999999</v>
      </c>
      <c r="K42" s="40">
        <v>19.206634999999999</v>
      </c>
      <c r="L42" s="25">
        <v>0.90119499999999997</v>
      </c>
      <c r="M42" s="40">
        <v>11.652995000000001</v>
      </c>
      <c r="N42" s="25">
        <v>0.68895600000000001</v>
      </c>
      <c r="O42" s="40">
        <v>3.736151</v>
      </c>
      <c r="P42" s="25">
        <v>0.36862400000000001</v>
      </c>
    </row>
    <row r="43" spans="2:16">
      <c r="B43" s="24" t="s">
        <v>35</v>
      </c>
      <c r="C43" s="40">
        <v>7.5715659999999998</v>
      </c>
      <c r="D43" s="25">
        <v>0.57621100000000003</v>
      </c>
      <c r="E43" s="40">
        <v>15.430396</v>
      </c>
      <c r="F43" s="25">
        <v>0.75767700000000004</v>
      </c>
      <c r="G43" s="40">
        <v>23.759936</v>
      </c>
      <c r="H43" s="25">
        <v>0.92195000000000005</v>
      </c>
      <c r="I43" s="40">
        <v>25.582553999999998</v>
      </c>
      <c r="J43" s="25">
        <v>0.86781299999999995</v>
      </c>
      <c r="K43" s="40">
        <v>18.240580000000001</v>
      </c>
      <c r="L43" s="25">
        <v>0.68464199999999997</v>
      </c>
      <c r="M43" s="40">
        <v>7.499555</v>
      </c>
      <c r="N43" s="25">
        <v>0.46748000000000001</v>
      </c>
      <c r="O43" s="40">
        <v>1.9154139999999999</v>
      </c>
      <c r="P43" s="25">
        <v>0.29916700000000002</v>
      </c>
    </row>
    <row r="44" spans="2:16">
      <c r="B44" s="24" t="s">
        <v>36</v>
      </c>
      <c r="C44" s="40">
        <v>10.391211999999999</v>
      </c>
      <c r="D44" s="25">
        <v>0.86952799999999997</v>
      </c>
      <c r="E44" s="40">
        <v>19.326160000000002</v>
      </c>
      <c r="F44" s="25">
        <v>0.73379000000000005</v>
      </c>
      <c r="G44" s="40">
        <v>25.015854000000001</v>
      </c>
      <c r="H44" s="25">
        <v>0.75821000000000005</v>
      </c>
      <c r="I44" s="40">
        <v>22.96875</v>
      </c>
      <c r="J44" s="25">
        <v>0.77568000000000004</v>
      </c>
      <c r="K44" s="40">
        <v>15.624124</v>
      </c>
      <c r="L44" s="25">
        <v>0.67476700000000001</v>
      </c>
      <c r="M44" s="40">
        <v>5.5367870000000003</v>
      </c>
      <c r="N44" s="25">
        <v>0.36699700000000002</v>
      </c>
      <c r="O44" s="40">
        <v>1.137113</v>
      </c>
      <c r="P44" s="25">
        <v>0.193851</v>
      </c>
    </row>
    <row r="45" spans="2:16">
      <c r="B45" s="24" t="s">
        <v>38</v>
      </c>
      <c r="C45" s="40">
        <v>9.0349719999999998</v>
      </c>
      <c r="D45" s="25">
        <v>0.53381500000000004</v>
      </c>
      <c r="E45" s="40">
        <v>15.295692000000001</v>
      </c>
      <c r="F45" s="25">
        <v>0.66510999999999998</v>
      </c>
      <c r="G45" s="40">
        <v>23.134024</v>
      </c>
      <c r="H45" s="25">
        <v>0.65565300000000004</v>
      </c>
      <c r="I45" s="40">
        <v>24.155688999999999</v>
      </c>
      <c r="J45" s="25">
        <v>0.75284600000000002</v>
      </c>
      <c r="K45" s="40">
        <v>17.078019999999999</v>
      </c>
      <c r="L45" s="25">
        <v>0.67594200000000004</v>
      </c>
      <c r="M45" s="40">
        <v>8.2179880000000001</v>
      </c>
      <c r="N45" s="25">
        <v>0.57514100000000001</v>
      </c>
      <c r="O45" s="40">
        <v>3.0836160000000001</v>
      </c>
      <c r="P45" s="25">
        <v>0.36721399999999998</v>
      </c>
    </row>
    <row r="46" spans="2:16">
      <c r="B46" s="24" t="s">
        <v>84</v>
      </c>
      <c r="C46" s="40">
        <v>8.3806630000000002</v>
      </c>
      <c r="D46" s="25">
        <v>0.53528600000000004</v>
      </c>
      <c r="E46" s="40">
        <v>17.143295999999999</v>
      </c>
      <c r="F46" s="25">
        <v>0.68417499999999998</v>
      </c>
      <c r="G46" s="40">
        <v>23.19031</v>
      </c>
      <c r="H46" s="25">
        <v>0.73475000000000001</v>
      </c>
      <c r="I46" s="40">
        <v>23.371475</v>
      </c>
      <c r="J46" s="25">
        <v>0.75567300000000004</v>
      </c>
      <c r="K46" s="40">
        <v>17.305382999999999</v>
      </c>
      <c r="L46" s="25">
        <v>0.67676899999999995</v>
      </c>
      <c r="M46" s="40">
        <v>8.1059739999999998</v>
      </c>
      <c r="N46" s="25">
        <v>0.45960000000000001</v>
      </c>
      <c r="O46" s="40">
        <v>2.5028990000000002</v>
      </c>
      <c r="P46" s="25">
        <v>0.274036</v>
      </c>
    </row>
    <row r="47" spans="2:16">
      <c r="B47" s="24" t="s">
        <v>85</v>
      </c>
      <c r="C47" s="40">
        <v>16.118663000000002</v>
      </c>
      <c r="D47" s="25">
        <v>1.0899460000000001</v>
      </c>
      <c r="E47" s="40">
        <v>17.087751999999998</v>
      </c>
      <c r="F47" s="25">
        <v>0.85876699999999995</v>
      </c>
      <c r="G47" s="40">
        <v>22.001998</v>
      </c>
      <c r="H47" s="25">
        <v>0.961032</v>
      </c>
      <c r="I47" s="40">
        <v>22.618153</v>
      </c>
      <c r="J47" s="25">
        <v>0.83691099999999996</v>
      </c>
      <c r="K47" s="40">
        <v>14.86266</v>
      </c>
      <c r="L47" s="25">
        <v>0.72562700000000002</v>
      </c>
      <c r="M47" s="40">
        <v>5.7190760000000003</v>
      </c>
      <c r="N47" s="25">
        <v>0.44970500000000002</v>
      </c>
      <c r="O47" s="40">
        <v>1.5916969999999999</v>
      </c>
      <c r="P47" s="25">
        <v>0.24613099999999999</v>
      </c>
    </row>
    <row r="48" spans="2:16">
      <c r="B48" s="24" t="s">
        <v>33</v>
      </c>
      <c r="C48" s="40">
        <v>25.61665</v>
      </c>
      <c r="D48" s="25">
        <v>1.3682639999999999</v>
      </c>
      <c r="E48" s="40">
        <v>22.937958999999999</v>
      </c>
      <c r="F48" s="25">
        <v>1.012119</v>
      </c>
      <c r="G48" s="40">
        <v>22.31908</v>
      </c>
      <c r="H48" s="25">
        <v>0.93447000000000002</v>
      </c>
      <c r="I48" s="40">
        <v>16.437684000000001</v>
      </c>
      <c r="J48" s="25">
        <v>0.91741300000000003</v>
      </c>
      <c r="K48" s="40">
        <v>8.7290729999999996</v>
      </c>
      <c r="L48" s="25">
        <v>0.73481700000000005</v>
      </c>
      <c r="M48" s="40">
        <v>3.1847699999999999</v>
      </c>
      <c r="N48" s="25">
        <v>0.45180999999999999</v>
      </c>
      <c r="O48" s="40">
        <v>0.77478499999999995</v>
      </c>
      <c r="P48" s="25">
        <v>0.178868</v>
      </c>
    </row>
    <row r="49" spans="2:16">
      <c r="B49" s="24" t="s">
        <v>22</v>
      </c>
      <c r="C49" s="40">
        <v>10.39799</v>
      </c>
      <c r="D49" s="25">
        <v>0.624247</v>
      </c>
      <c r="E49" s="40">
        <v>16.824524</v>
      </c>
      <c r="F49" s="25">
        <v>0.62447200000000003</v>
      </c>
      <c r="G49" s="40">
        <v>22.585059000000001</v>
      </c>
      <c r="H49" s="25">
        <v>0.71843100000000004</v>
      </c>
      <c r="I49" s="40">
        <v>23.521370000000001</v>
      </c>
      <c r="J49" s="25">
        <v>0.83449600000000002</v>
      </c>
      <c r="K49" s="40">
        <v>16.683060000000001</v>
      </c>
      <c r="L49" s="25">
        <v>0.78069</v>
      </c>
      <c r="M49" s="40">
        <v>7.8489899999999997</v>
      </c>
      <c r="N49" s="25">
        <v>0.50026499999999996</v>
      </c>
      <c r="O49" s="40">
        <v>2.1390069999999999</v>
      </c>
      <c r="P49" s="25">
        <v>0.259322</v>
      </c>
    </row>
    <row r="50" spans="2:16">
      <c r="B50" s="24" t="s">
        <v>24</v>
      </c>
      <c r="C50" s="40">
        <v>6.2323649999999997</v>
      </c>
      <c r="D50" s="25">
        <v>0.47350100000000001</v>
      </c>
      <c r="E50" s="40">
        <v>13.225186000000001</v>
      </c>
      <c r="F50" s="25">
        <v>0.70483099999999999</v>
      </c>
      <c r="G50" s="40">
        <v>20.518440999999999</v>
      </c>
      <c r="H50" s="25">
        <v>0.709233</v>
      </c>
      <c r="I50" s="40">
        <v>23.473396000000001</v>
      </c>
      <c r="J50" s="25">
        <v>0.80544400000000005</v>
      </c>
      <c r="K50" s="40">
        <v>20.425424</v>
      </c>
      <c r="L50" s="25">
        <v>0.78933699999999996</v>
      </c>
      <c r="M50" s="40">
        <v>11.918206</v>
      </c>
      <c r="N50" s="25">
        <v>0.70121900000000004</v>
      </c>
      <c r="O50" s="40">
        <v>4.2069809999999999</v>
      </c>
      <c r="P50" s="25">
        <v>0.396698</v>
      </c>
    </row>
    <row r="51" spans="2:16">
      <c r="B51" s="24" t="s">
        <v>30</v>
      </c>
      <c r="C51" s="40">
        <v>14.803808</v>
      </c>
      <c r="D51" s="25">
        <v>0.66172600000000004</v>
      </c>
      <c r="E51" s="40">
        <v>23.878983000000002</v>
      </c>
      <c r="F51" s="25">
        <v>0.71426400000000001</v>
      </c>
      <c r="G51" s="40">
        <v>25.342542999999999</v>
      </c>
      <c r="H51" s="25">
        <v>0.69433500000000004</v>
      </c>
      <c r="I51" s="40">
        <v>19.241931999999998</v>
      </c>
      <c r="J51" s="25">
        <v>0.70077400000000001</v>
      </c>
      <c r="K51" s="40">
        <v>11.290437000000001</v>
      </c>
      <c r="L51" s="25">
        <v>0.550126</v>
      </c>
      <c r="M51" s="40">
        <v>4.5564150000000003</v>
      </c>
      <c r="N51" s="25">
        <v>0.35029100000000002</v>
      </c>
      <c r="O51" s="40">
        <v>0.88588199999999995</v>
      </c>
      <c r="P51" s="25">
        <v>0.16833000000000001</v>
      </c>
    </row>
    <row r="52" spans="2:16">
      <c r="B52" s="24"/>
      <c r="C52" s="40"/>
      <c r="D52" s="25"/>
      <c r="E52" s="40"/>
      <c r="F52" s="25"/>
      <c r="G52" s="40"/>
      <c r="H52" s="25"/>
      <c r="I52" s="40"/>
      <c r="J52" s="25"/>
      <c r="K52" s="40"/>
      <c r="L52" s="25"/>
      <c r="M52" s="40"/>
      <c r="N52" s="25"/>
      <c r="O52" s="40"/>
      <c r="P52" s="25"/>
    </row>
    <row r="53" spans="2:16">
      <c r="B53" s="24" t="s">
        <v>39</v>
      </c>
      <c r="C53" s="40">
        <v>12.382776</v>
      </c>
      <c r="D53" s="25">
        <v>0.13106400000000001</v>
      </c>
      <c r="E53" s="40">
        <v>18.708929999999999</v>
      </c>
      <c r="F53" s="25">
        <v>0.12593599999999999</v>
      </c>
      <c r="G53" s="40">
        <v>23.310815000000002</v>
      </c>
      <c r="H53" s="25">
        <v>0.13033600000000001</v>
      </c>
      <c r="I53" s="40">
        <v>21.963177000000002</v>
      </c>
      <c r="J53" s="25">
        <v>0.130077</v>
      </c>
      <c r="K53" s="40">
        <v>14.931348</v>
      </c>
      <c r="L53" s="25">
        <v>0.115332</v>
      </c>
      <c r="M53" s="40">
        <v>6.6715869999999997</v>
      </c>
      <c r="N53" s="25">
        <v>8.2024E-2</v>
      </c>
      <c r="O53" s="40">
        <v>2.0313680000000001</v>
      </c>
      <c r="P53" s="25">
        <v>4.9262E-2</v>
      </c>
    </row>
    <row r="54" spans="2:16">
      <c r="B54" s="24" t="s">
        <v>40</v>
      </c>
      <c r="C54" s="40">
        <v>11.302167000000001</v>
      </c>
      <c r="D54" s="25">
        <v>0.21720500000000001</v>
      </c>
      <c r="E54" s="40">
        <v>17.982030000000002</v>
      </c>
      <c r="F54" s="25">
        <v>0.23086899999999999</v>
      </c>
      <c r="G54" s="40">
        <v>24.113803999999998</v>
      </c>
      <c r="H54" s="25">
        <v>0.24957199999999999</v>
      </c>
      <c r="I54" s="40">
        <v>23.323636</v>
      </c>
      <c r="J54" s="25">
        <v>0.234153</v>
      </c>
      <c r="K54" s="40">
        <v>15.422677</v>
      </c>
      <c r="L54" s="25">
        <v>0.25317299999999998</v>
      </c>
      <c r="M54" s="40">
        <v>6.348363</v>
      </c>
      <c r="N54" s="25">
        <v>0.15115300000000001</v>
      </c>
      <c r="O54" s="40">
        <v>1.5073240000000001</v>
      </c>
      <c r="P54" s="25">
        <v>6.3918000000000003E-2</v>
      </c>
    </row>
    <row r="55" spans="2:16">
      <c r="B55" s="24"/>
      <c r="C55" s="40"/>
      <c r="D55" s="25"/>
      <c r="E55" s="40"/>
      <c r="F55" s="25"/>
      <c r="G55" s="40"/>
      <c r="H55" s="25"/>
      <c r="I55" s="40"/>
      <c r="J55" s="25"/>
      <c r="K55" s="40"/>
      <c r="L55" s="25"/>
      <c r="M55" s="40"/>
      <c r="N55" s="25"/>
      <c r="O55" s="40"/>
      <c r="P55" s="25"/>
    </row>
    <row r="56" spans="2:16">
      <c r="B56" s="24" t="s">
        <v>43</v>
      </c>
      <c r="C56" s="40">
        <v>13.255431</v>
      </c>
      <c r="D56" s="25">
        <v>1.525118</v>
      </c>
      <c r="E56" s="40">
        <v>20.430813000000001</v>
      </c>
      <c r="F56" s="25">
        <v>1.4098790000000001</v>
      </c>
      <c r="G56" s="40">
        <v>27.754473000000001</v>
      </c>
      <c r="H56" s="25">
        <v>1.686806</v>
      </c>
      <c r="I56" s="40">
        <v>22.647545999999998</v>
      </c>
      <c r="J56" s="25">
        <v>1.5322009999999999</v>
      </c>
      <c r="K56" s="40">
        <v>11.421309000000001</v>
      </c>
      <c r="L56" s="25">
        <v>1.277488</v>
      </c>
      <c r="M56" s="40">
        <v>3.778359</v>
      </c>
      <c r="N56" s="25">
        <v>0.75916499999999998</v>
      </c>
      <c r="O56" s="40">
        <v>0.71206899999999995</v>
      </c>
      <c r="P56" s="25">
        <v>0.296898</v>
      </c>
    </row>
    <row r="57" spans="2:16">
      <c r="B57" s="24" t="s">
        <v>44</v>
      </c>
      <c r="C57" s="40">
        <v>7.3645040000000002</v>
      </c>
      <c r="D57" s="25">
        <v>1.0659270000000001</v>
      </c>
      <c r="E57" s="40">
        <v>14.698938999999999</v>
      </c>
      <c r="F57" s="25">
        <v>1.2713749999999999</v>
      </c>
      <c r="G57" s="40">
        <v>23.994886999999999</v>
      </c>
      <c r="H57" s="25">
        <v>1.684463</v>
      </c>
      <c r="I57" s="40">
        <v>28.266677999999999</v>
      </c>
      <c r="J57" s="25">
        <v>1.930226</v>
      </c>
      <c r="K57" s="40">
        <v>18.098209000000001</v>
      </c>
      <c r="L57" s="25">
        <v>1.4803980000000001</v>
      </c>
      <c r="M57" s="40">
        <v>6.5093360000000002</v>
      </c>
      <c r="N57" s="25">
        <v>1.0023569999999999</v>
      </c>
      <c r="O57" s="40">
        <v>1.067447</v>
      </c>
      <c r="P57" s="25">
        <v>0.34000399999999997</v>
      </c>
    </row>
    <row r="58" spans="2:16">
      <c r="B58" s="24" t="s">
        <v>175</v>
      </c>
      <c r="C58" s="40">
        <v>6.3968610000000004</v>
      </c>
      <c r="D58" s="25">
        <v>1.0833459999999999</v>
      </c>
      <c r="E58" s="40">
        <v>13.373548</v>
      </c>
      <c r="F58" s="25">
        <v>1.396128</v>
      </c>
      <c r="G58" s="40">
        <v>23.304003999999999</v>
      </c>
      <c r="H58" s="25">
        <v>1.257128</v>
      </c>
      <c r="I58" s="40">
        <v>27.96734</v>
      </c>
      <c r="J58" s="25">
        <v>1.748532</v>
      </c>
      <c r="K58" s="40">
        <v>19.74362</v>
      </c>
      <c r="L58" s="25">
        <v>1.571974</v>
      </c>
      <c r="M58" s="40">
        <v>7.3187030000000002</v>
      </c>
      <c r="N58" s="25">
        <v>1.022535</v>
      </c>
      <c r="O58" s="40">
        <v>1.8959250000000001</v>
      </c>
      <c r="P58" s="25">
        <v>0.53092799999999996</v>
      </c>
    </row>
    <row r="59" spans="2:16">
      <c r="B59" s="24" t="s">
        <v>57</v>
      </c>
      <c r="C59" s="40">
        <v>9.0419929999999997</v>
      </c>
      <c r="D59" s="25">
        <v>1.170296</v>
      </c>
      <c r="E59" s="40">
        <v>18.476157000000001</v>
      </c>
      <c r="F59" s="25">
        <v>1.315815</v>
      </c>
      <c r="G59" s="40">
        <v>27.626719999999999</v>
      </c>
      <c r="H59" s="25">
        <v>1.4051610000000001</v>
      </c>
      <c r="I59" s="40">
        <v>25.458621000000001</v>
      </c>
      <c r="J59" s="25">
        <v>1.4158040000000001</v>
      </c>
      <c r="K59" s="40">
        <v>14.544860999999999</v>
      </c>
      <c r="L59" s="25">
        <v>1.278608</v>
      </c>
      <c r="M59" s="40">
        <v>4.1659329999999999</v>
      </c>
      <c r="N59" s="25">
        <v>0.77302599999999999</v>
      </c>
      <c r="O59" s="40">
        <v>0.68571599999999999</v>
      </c>
      <c r="P59" s="25">
        <v>0.36610399999999998</v>
      </c>
    </row>
    <row r="60" spans="2:16">
      <c r="B60" s="24" t="s">
        <v>176</v>
      </c>
      <c r="C60" s="40">
        <v>9.1492039999999992</v>
      </c>
      <c r="D60" s="25">
        <v>1.1033090000000001</v>
      </c>
      <c r="E60" s="40">
        <v>17.980879000000002</v>
      </c>
      <c r="F60" s="25">
        <v>1.5101059999999999</v>
      </c>
      <c r="G60" s="40">
        <v>27.162939000000001</v>
      </c>
      <c r="H60" s="25">
        <v>1.3522689999999999</v>
      </c>
      <c r="I60" s="40">
        <v>25.250073</v>
      </c>
      <c r="J60" s="25">
        <v>1.434053</v>
      </c>
      <c r="K60" s="40">
        <v>14.918317</v>
      </c>
      <c r="L60" s="25">
        <v>1.1856329999999999</v>
      </c>
      <c r="M60" s="40">
        <v>4.7122299999999999</v>
      </c>
      <c r="N60" s="25">
        <v>0.76940299999999995</v>
      </c>
      <c r="O60" s="40">
        <v>0.82635700000000001</v>
      </c>
      <c r="P60" s="25">
        <v>0.25276599999999999</v>
      </c>
    </row>
    <row r="61" spans="2:16">
      <c r="B61" s="24" t="s">
        <v>46</v>
      </c>
      <c r="C61" s="40">
        <v>13.574543</v>
      </c>
      <c r="D61" s="25">
        <v>1.608541</v>
      </c>
      <c r="E61" s="40">
        <v>23.589179999999999</v>
      </c>
      <c r="F61" s="25">
        <v>1.704637</v>
      </c>
      <c r="G61" s="40">
        <v>29.466083000000001</v>
      </c>
      <c r="H61" s="25">
        <v>1.3103419999999999</v>
      </c>
      <c r="I61" s="40">
        <v>21.597356000000001</v>
      </c>
      <c r="J61" s="25">
        <v>1.4502539999999999</v>
      </c>
      <c r="K61" s="40">
        <v>9.4984129999999993</v>
      </c>
      <c r="L61" s="25">
        <v>1.2601039999999999</v>
      </c>
      <c r="M61" s="40">
        <v>1.9779469999999999</v>
      </c>
      <c r="N61" s="25">
        <v>0.51294899999999999</v>
      </c>
      <c r="O61" s="40">
        <v>0.29647800000000002</v>
      </c>
      <c r="P61" s="25">
        <v>0.15835199999999999</v>
      </c>
    </row>
    <row r="62" spans="2:16">
      <c r="B62" s="24" t="s">
        <v>47</v>
      </c>
      <c r="C62" s="40">
        <v>5.8853520000000001</v>
      </c>
      <c r="D62" s="25">
        <v>0.89918399999999998</v>
      </c>
      <c r="E62" s="40">
        <v>12.756373</v>
      </c>
      <c r="F62" s="25">
        <v>1.3525259999999999</v>
      </c>
      <c r="G62" s="40">
        <v>24.330963000000001</v>
      </c>
      <c r="H62" s="25">
        <v>1.78305</v>
      </c>
      <c r="I62" s="40">
        <v>28.173772</v>
      </c>
      <c r="J62" s="25">
        <v>1.6125100000000001</v>
      </c>
      <c r="K62" s="40">
        <v>20.475373999999999</v>
      </c>
      <c r="L62" s="25">
        <v>1.4168229999999999</v>
      </c>
      <c r="M62" s="40">
        <v>7.1573399999999996</v>
      </c>
      <c r="N62" s="25">
        <v>1.0866709999999999</v>
      </c>
      <c r="O62" s="40">
        <v>1.220826</v>
      </c>
      <c r="P62" s="25">
        <v>0.44101000000000001</v>
      </c>
    </row>
    <row r="63" spans="2:16">
      <c r="B63" s="24" t="s">
        <v>48</v>
      </c>
      <c r="C63" s="40">
        <v>5.2606989999999998</v>
      </c>
      <c r="D63" s="25">
        <v>0.87033899999999997</v>
      </c>
      <c r="E63" s="40">
        <v>12.463436</v>
      </c>
      <c r="F63" s="25">
        <v>1.3123039999999999</v>
      </c>
      <c r="G63" s="40">
        <v>23.075019999999999</v>
      </c>
      <c r="H63" s="25">
        <v>1.6102799999999999</v>
      </c>
      <c r="I63" s="40">
        <v>28.675322999999999</v>
      </c>
      <c r="J63" s="25">
        <v>1.5583320000000001</v>
      </c>
      <c r="K63" s="40">
        <v>21.394997</v>
      </c>
      <c r="L63" s="25">
        <v>1.4445300000000001</v>
      </c>
      <c r="M63" s="40">
        <v>7.4548629999999996</v>
      </c>
      <c r="N63" s="25">
        <v>0.902312</v>
      </c>
      <c r="O63" s="40">
        <v>1.6756629999999999</v>
      </c>
      <c r="P63" s="25">
        <v>0.42730099999999999</v>
      </c>
    </row>
    <row r="64" spans="2:16">
      <c r="B64" s="24" t="s">
        <v>49</v>
      </c>
      <c r="C64" s="40">
        <v>9.9091810000000002</v>
      </c>
      <c r="D64" s="25">
        <v>1.079717</v>
      </c>
      <c r="E64" s="40">
        <v>19.638189000000001</v>
      </c>
      <c r="F64" s="25">
        <v>1.409821</v>
      </c>
      <c r="G64" s="40">
        <v>28.754984</v>
      </c>
      <c r="H64" s="25">
        <v>1.7191179999999999</v>
      </c>
      <c r="I64" s="40">
        <v>25.575377</v>
      </c>
      <c r="J64" s="25">
        <v>1.605604</v>
      </c>
      <c r="K64" s="40">
        <v>12.793372</v>
      </c>
      <c r="L64" s="25">
        <v>1.130914</v>
      </c>
      <c r="M64" s="40">
        <v>3.1144750000000001</v>
      </c>
      <c r="N64" s="25">
        <v>0.56683499999999998</v>
      </c>
      <c r="O64" s="40">
        <v>0.214422</v>
      </c>
      <c r="P64" s="25">
        <v>0.20223099999999999</v>
      </c>
    </row>
    <row r="65" spans="2:16">
      <c r="B65" s="24" t="s">
        <v>50</v>
      </c>
      <c r="C65" s="40">
        <v>10.634931999999999</v>
      </c>
      <c r="D65" s="25">
        <v>1.5555779999999999</v>
      </c>
      <c r="E65" s="40">
        <v>18.762066999999998</v>
      </c>
      <c r="F65" s="25">
        <v>1.7068099999999999</v>
      </c>
      <c r="G65" s="40">
        <v>26.089983</v>
      </c>
      <c r="H65" s="25">
        <v>1.580403</v>
      </c>
      <c r="I65" s="40">
        <v>24.022625999999999</v>
      </c>
      <c r="J65" s="25">
        <v>1.458629</v>
      </c>
      <c r="K65" s="40">
        <v>14.48959</v>
      </c>
      <c r="L65" s="25">
        <v>1.4073020000000001</v>
      </c>
      <c r="M65" s="40">
        <v>5.0836410000000001</v>
      </c>
      <c r="N65" s="25">
        <v>0.89541199999999999</v>
      </c>
      <c r="O65" s="40">
        <v>0.91716200000000003</v>
      </c>
      <c r="P65" s="25">
        <v>0.34260499999999999</v>
      </c>
    </row>
    <row r="66" spans="2:16">
      <c r="B66" s="24" t="s">
        <v>51</v>
      </c>
      <c r="C66" s="40">
        <v>34.848447999999998</v>
      </c>
      <c r="D66" s="25">
        <v>3.528486</v>
      </c>
      <c r="E66" s="40">
        <v>27.071321999999999</v>
      </c>
      <c r="F66" s="25">
        <v>4.1204700000000001</v>
      </c>
      <c r="G66" s="40">
        <v>22.997088999999999</v>
      </c>
      <c r="H66" s="25">
        <v>3.401958</v>
      </c>
      <c r="I66" s="40">
        <v>11.712329</v>
      </c>
      <c r="J66" s="25">
        <v>2.6924869999999999</v>
      </c>
      <c r="K66" s="40">
        <v>3.0052859999999999</v>
      </c>
      <c r="L66" s="25">
        <v>1.0935159999999999</v>
      </c>
      <c r="M66" s="40">
        <v>0.36552699999999999</v>
      </c>
      <c r="N66" s="25">
        <v>0.367313</v>
      </c>
      <c r="O66" s="40">
        <v>0</v>
      </c>
      <c r="P66" s="25">
        <v>0</v>
      </c>
    </row>
    <row r="67" spans="2:16">
      <c r="B67" s="24" t="s">
        <v>41</v>
      </c>
      <c r="C67" s="40">
        <v>9.450367</v>
      </c>
      <c r="D67" s="25">
        <v>1.4208860000000001</v>
      </c>
      <c r="E67" s="40">
        <v>18.656742999999999</v>
      </c>
      <c r="F67" s="25">
        <v>1.431335</v>
      </c>
      <c r="G67" s="40">
        <v>28.500067999999999</v>
      </c>
      <c r="H67" s="25">
        <v>1.455989</v>
      </c>
      <c r="I67" s="40">
        <v>24.607413999999999</v>
      </c>
      <c r="J67" s="25">
        <v>1.696831</v>
      </c>
      <c r="K67" s="40">
        <v>13.478510999999999</v>
      </c>
      <c r="L67" s="25">
        <v>1.2794019999999999</v>
      </c>
      <c r="M67" s="40">
        <v>4.6462770000000004</v>
      </c>
      <c r="N67" s="25">
        <v>0.72495799999999999</v>
      </c>
      <c r="O67" s="40">
        <v>0.66062100000000001</v>
      </c>
      <c r="P67" s="25">
        <v>0.27166200000000001</v>
      </c>
    </row>
    <row r="68" spans="2:16">
      <c r="B68" s="24" t="s">
        <v>42</v>
      </c>
      <c r="C68" s="40">
        <v>6.2693370000000002</v>
      </c>
      <c r="D68" s="25">
        <v>1.004656</v>
      </c>
      <c r="E68" s="40">
        <v>14.614647</v>
      </c>
      <c r="F68" s="25">
        <v>1.219295</v>
      </c>
      <c r="G68" s="40">
        <v>25.306947999999998</v>
      </c>
      <c r="H68" s="25">
        <v>1.412571</v>
      </c>
      <c r="I68" s="40">
        <v>29.348247000000001</v>
      </c>
      <c r="J68" s="25">
        <v>1.464737</v>
      </c>
      <c r="K68" s="40">
        <v>18.475912000000001</v>
      </c>
      <c r="L68" s="25">
        <v>1.481995</v>
      </c>
      <c r="M68" s="40">
        <v>5.187703</v>
      </c>
      <c r="N68" s="25">
        <v>0.76047299999999995</v>
      </c>
      <c r="O68" s="40">
        <v>0.79720500000000005</v>
      </c>
      <c r="P68" s="25">
        <v>0.244945</v>
      </c>
    </row>
    <row r="69" spans="2:16">
      <c r="B69" s="24" t="s">
        <v>177</v>
      </c>
      <c r="C69" s="40">
        <v>6.423756</v>
      </c>
      <c r="D69" s="25">
        <v>0.94952800000000004</v>
      </c>
      <c r="E69" s="40">
        <v>13.099380999999999</v>
      </c>
      <c r="F69" s="25">
        <v>1.1338159999999999</v>
      </c>
      <c r="G69" s="40">
        <v>23.549416000000001</v>
      </c>
      <c r="H69" s="25">
        <v>1.2448509999999999</v>
      </c>
      <c r="I69" s="40">
        <v>28.602253999999999</v>
      </c>
      <c r="J69" s="25">
        <v>1.4107940000000001</v>
      </c>
      <c r="K69" s="40">
        <v>19.735057000000001</v>
      </c>
      <c r="L69" s="25">
        <v>1.2317210000000001</v>
      </c>
      <c r="M69" s="40">
        <v>7.3111870000000003</v>
      </c>
      <c r="N69" s="25">
        <v>0.795736</v>
      </c>
      <c r="O69" s="40">
        <v>1.2789489999999999</v>
      </c>
      <c r="P69" s="25">
        <v>0.34269500000000003</v>
      </c>
    </row>
    <row r="70" spans="2:16">
      <c r="B70" s="24" t="s">
        <v>53</v>
      </c>
      <c r="C70" s="40">
        <v>31.452311000000002</v>
      </c>
      <c r="D70" s="25">
        <v>4.0206980000000003</v>
      </c>
      <c r="E70" s="40">
        <v>30.442653</v>
      </c>
      <c r="F70" s="25">
        <v>3.8417309999999998</v>
      </c>
      <c r="G70" s="40">
        <v>20.113347000000001</v>
      </c>
      <c r="H70" s="25">
        <v>3.7169979999999998</v>
      </c>
      <c r="I70" s="40">
        <v>11.566584000000001</v>
      </c>
      <c r="J70" s="25">
        <v>2.661108</v>
      </c>
      <c r="K70" s="40">
        <v>4.9036140000000001</v>
      </c>
      <c r="L70" s="25">
        <v>1.6328510000000001</v>
      </c>
      <c r="M70" s="40">
        <v>1.22464</v>
      </c>
      <c r="N70" s="25">
        <v>0.82838999999999996</v>
      </c>
      <c r="O70" s="40">
        <v>0.29685</v>
      </c>
      <c r="P70" s="25">
        <v>0.49441000000000002</v>
      </c>
    </row>
    <row r="71" spans="2:16">
      <c r="B71" s="24" t="s">
        <v>178</v>
      </c>
      <c r="C71" s="40">
        <v>12.075899</v>
      </c>
      <c r="D71" s="25">
        <v>1.3671219999999999</v>
      </c>
      <c r="E71" s="40">
        <v>19.139949999999999</v>
      </c>
      <c r="F71" s="25">
        <v>1.6024389999999999</v>
      </c>
      <c r="G71" s="40">
        <v>26.902232999999999</v>
      </c>
      <c r="H71" s="25">
        <v>1.4862949999999999</v>
      </c>
      <c r="I71" s="40">
        <v>24.192081000000002</v>
      </c>
      <c r="J71" s="25">
        <v>1.696251</v>
      </c>
      <c r="K71" s="40">
        <v>13.167814999999999</v>
      </c>
      <c r="L71" s="25">
        <v>1.2282409999999999</v>
      </c>
      <c r="M71" s="40">
        <v>3.9247380000000001</v>
      </c>
      <c r="N71" s="25">
        <v>0.74033499999999997</v>
      </c>
      <c r="O71" s="40">
        <v>0.59728300000000001</v>
      </c>
      <c r="P71" s="25">
        <v>0.278945</v>
      </c>
    </row>
    <row r="72" spans="2:16">
      <c r="B72" s="24" t="s">
        <v>179</v>
      </c>
      <c r="C72" s="40">
        <v>5.9099199999999996</v>
      </c>
      <c r="D72" s="25">
        <v>0.88453400000000004</v>
      </c>
      <c r="E72" s="40">
        <v>14.382835</v>
      </c>
      <c r="F72" s="25">
        <v>1.2413719999999999</v>
      </c>
      <c r="G72" s="40">
        <v>24.397997</v>
      </c>
      <c r="H72" s="25">
        <v>1.385729</v>
      </c>
      <c r="I72" s="40">
        <v>27.328455000000002</v>
      </c>
      <c r="J72" s="25">
        <v>1.4634389999999999</v>
      </c>
      <c r="K72" s="40">
        <v>19.579264999999999</v>
      </c>
      <c r="L72" s="25">
        <v>1.6191949999999999</v>
      </c>
      <c r="M72" s="40">
        <v>6.9204309999999998</v>
      </c>
      <c r="N72" s="25">
        <v>0.92311200000000004</v>
      </c>
      <c r="O72" s="40">
        <v>1.481098</v>
      </c>
      <c r="P72" s="25">
        <v>0.382936</v>
      </c>
    </row>
    <row r="73" spans="2:16">
      <c r="B73" s="24" t="s">
        <v>45</v>
      </c>
      <c r="C73" s="40">
        <v>7.5371940000000004</v>
      </c>
      <c r="D73" s="25">
        <v>1.135513</v>
      </c>
      <c r="E73" s="40">
        <v>15.131985</v>
      </c>
      <c r="F73" s="25">
        <v>1.03044</v>
      </c>
      <c r="G73" s="40">
        <v>26.074902000000002</v>
      </c>
      <c r="H73" s="25">
        <v>1.0620160000000001</v>
      </c>
      <c r="I73" s="40">
        <v>27.835795000000001</v>
      </c>
      <c r="J73" s="25">
        <v>1.169918</v>
      </c>
      <c r="K73" s="40">
        <v>17.596457000000001</v>
      </c>
      <c r="L73" s="25">
        <v>1.2852779999999999</v>
      </c>
      <c r="M73" s="40">
        <v>5.1123859999999999</v>
      </c>
      <c r="N73" s="25">
        <v>0.55583700000000003</v>
      </c>
      <c r="O73" s="40">
        <v>0.71128100000000005</v>
      </c>
      <c r="P73" s="25">
        <v>0.21379600000000001</v>
      </c>
    </row>
    <row r="74" spans="2:16">
      <c r="B74" s="65" t="s">
        <v>52</v>
      </c>
      <c r="C74" s="50">
        <v>6.5496080000000001</v>
      </c>
      <c r="D74" s="25">
        <v>0.98714299999999999</v>
      </c>
      <c r="E74" s="40">
        <v>14.942807999999999</v>
      </c>
      <c r="F74" s="25">
        <v>1.2251669999999999</v>
      </c>
      <c r="G74" s="40">
        <v>23.486999000000001</v>
      </c>
      <c r="H74" s="25">
        <v>1.697525</v>
      </c>
      <c r="I74" s="40">
        <v>26.449155999999999</v>
      </c>
      <c r="J74" s="25">
        <v>1.7026680000000001</v>
      </c>
      <c r="K74" s="40">
        <v>19.093843</v>
      </c>
      <c r="L74" s="25">
        <v>1.3320430000000001</v>
      </c>
      <c r="M74" s="40">
        <v>7.7205089999999998</v>
      </c>
      <c r="N74" s="25">
        <v>1.226966</v>
      </c>
      <c r="O74" s="40">
        <v>1.7570760000000001</v>
      </c>
      <c r="P74" s="29">
        <v>0.55740999999999996</v>
      </c>
    </row>
  </sheetData>
  <sortState ref="R56:AF74">
    <sortCondition ref="R56"/>
  </sortState>
  <mergeCells count="9">
    <mergeCell ref="C8:D8"/>
    <mergeCell ref="B8:B9"/>
    <mergeCell ref="G8:H8"/>
    <mergeCell ref="B7:P7"/>
    <mergeCell ref="I8:J8"/>
    <mergeCell ref="K8:L8"/>
    <mergeCell ref="M8:N8"/>
    <mergeCell ref="O8:P8"/>
    <mergeCell ref="E8:F8"/>
  </mergeCells>
  <hyperlinks>
    <hyperlink ref="B5" location="Índice!A1" display="Índice" xr:uid="{00000000-0004-0000-0500-000000000000}"/>
  </hyperlink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D73"/>
  <sheetViews>
    <sheetView zoomScaleNormal="100" workbookViewId="0">
      <selection activeCell="H23" sqref="H23"/>
    </sheetView>
  </sheetViews>
  <sheetFormatPr baseColWidth="10" defaultColWidth="11.44140625" defaultRowHeight="14.4"/>
  <cols>
    <col min="1" max="1" width="11.44140625" style="16"/>
    <col min="2" max="2" width="27.88671875" style="16" customWidth="1"/>
    <col min="3" max="4" width="13.88671875" style="16" customWidth="1"/>
    <col min="5" max="16384" width="11.44140625" style="16"/>
  </cols>
  <sheetData>
    <row r="2" spans="2:4">
      <c r="B2" s="3" t="s">
        <v>167</v>
      </c>
    </row>
    <row r="3" spans="2:4">
      <c r="B3" s="33" t="s">
        <v>79</v>
      </c>
    </row>
    <row r="4" spans="2:4">
      <c r="B4" s="3" t="s">
        <v>105</v>
      </c>
    </row>
    <row r="5" spans="2:4">
      <c r="B5" s="4" t="s">
        <v>0</v>
      </c>
    </row>
    <row r="6" spans="2:4" ht="19.5" customHeight="1">
      <c r="B6" s="4"/>
    </row>
    <row r="7" spans="2:4" ht="28.5" customHeight="1">
      <c r="B7" s="71" t="s">
        <v>117</v>
      </c>
      <c r="C7" s="71"/>
      <c r="D7" s="71"/>
    </row>
    <row r="8" spans="2:4" ht="31.5" customHeight="1">
      <c r="B8" s="34" t="s">
        <v>54</v>
      </c>
      <c r="C8" s="34" t="s">
        <v>119</v>
      </c>
      <c r="D8" s="34" t="s">
        <v>55</v>
      </c>
    </row>
    <row r="9" spans="2:4">
      <c r="B9" s="27" t="s">
        <v>16</v>
      </c>
      <c r="C9" s="41">
        <v>468.99146500000001</v>
      </c>
      <c r="D9" s="44">
        <v>3.3420740000000002</v>
      </c>
    </row>
    <row r="10" spans="2:4">
      <c r="B10" s="28" t="s">
        <v>14</v>
      </c>
      <c r="C10" s="42">
        <v>483.90714000000003</v>
      </c>
      <c r="D10" s="45">
        <v>2.2777790000000002</v>
      </c>
    </row>
    <row r="11" spans="2:4">
      <c r="B11" s="28" t="s">
        <v>18</v>
      </c>
      <c r="C11" s="42">
        <v>484.41778199999999</v>
      </c>
      <c r="D11" s="45">
        <v>2.8116829999999999</v>
      </c>
    </row>
    <row r="12" spans="2:4">
      <c r="B12" s="28" t="s">
        <v>28</v>
      </c>
      <c r="C12" s="42">
        <v>485.779965</v>
      </c>
      <c r="D12" s="45">
        <v>2.794025</v>
      </c>
    </row>
    <row r="13" spans="2:4">
      <c r="B13" s="28" t="s">
        <v>20</v>
      </c>
      <c r="C13" s="42">
        <v>419.88549899999998</v>
      </c>
      <c r="D13" s="45">
        <v>3.6277970000000002</v>
      </c>
    </row>
    <row r="14" spans="2:4">
      <c r="B14" s="28" t="s">
        <v>6</v>
      </c>
      <c r="C14" s="42">
        <v>493.61935399999999</v>
      </c>
      <c r="D14" s="45">
        <v>2.4260809999999999</v>
      </c>
    </row>
    <row r="15" spans="2:4">
      <c r="B15" s="28" t="s">
        <v>1</v>
      </c>
      <c r="C15" s="42">
        <v>405.63374599999997</v>
      </c>
      <c r="D15" s="45">
        <v>2.5296859999999999</v>
      </c>
    </row>
    <row r="16" spans="2:4">
      <c r="B16" s="28" t="s">
        <v>82</v>
      </c>
      <c r="C16" s="42">
        <v>419.85475500000001</v>
      </c>
      <c r="D16" s="45">
        <v>1.596948</v>
      </c>
    </row>
    <row r="17" spans="1:4">
      <c r="B17" s="28" t="s">
        <v>29</v>
      </c>
      <c r="C17" s="42">
        <v>377.90076099999999</v>
      </c>
      <c r="D17" s="45">
        <v>3.7284600000000001</v>
      </c>
    </row>
    <row r="18" spans="1:4">
      <c r="B18" s="28" t="s">
        <v>25</v>
      </c>
      <c r="C18" s="42">
        <v>525.75745199999994</v>
      </c>
      <c r="D18" s="45">
        <v>4.3185640000000003</v>
      </c>
    </row>
    <row r="19" spans="1:4">
      <c r="B19" s="28" t="s">
        <v>83</v>
      </c>
      <c r="C19" s="42">
        <v>378.32753200000002</v>
      </c>
      <c r="D19" s="45">
        <v>2.4990679999999998</v>
      </c>
    </row>
    <row r="20" spans="1:4">
      <c r="B20" s="28" t="s">
        <v>15</v>
      </c>
      <c r="C20" s="42">
        <v>455.44744900000001</v>
      </c>
      <c r="D20" s="45">
        <v>2.90299</v>
      </c>
    </row>
    <row r="21" spans="1:4">
      <c r="B21" s="28" t="s">
        <v>8</v>
      </c>
      <c r="C21" s="42">
        <v>484.73940900000002</v>
      </c>
      <c r="D21" s="45">
        <v>2.4048280000000002</v>
      </c>
    </row>
    <row r="22" spans="1:4">
      <c r="B22" s="28" t="s">
        <v>10</v>
      </c>
      <c r="C22" s="42">
        <v>482.25674800000002</v>
      </c>
      <c r="D22" s="45">
        <v>1.589181</v>
      </c>
    </row>
    <row r="23" spans="1:4">
      <c r="B23" s="28" t="s">
        <v>26</v>
      </c>
      <c r="C23" s="42">
        <v>465.09064899999998</v>
      </c>
      <c r="D23" s="45">
        <v>2.000515</v>
      </c>
    </row>
    <row r="24" spans="1:4">
      <c r="B24" s="28" t="s">
        <v>7</v>
      </c>
      <c r="C24" s="42">
        <v>462.789402</v>
      </c>
      <c r="D24" s="45">
        <v>4.3051110000000001</v>
      </c>
    </row>
    <row r="25" spans="1:4">
      <c r="B25" s="28" t="s">
        <v>21</v>
      </c>
      <c r="C25" s="42">
        <v>506.62814200000003</v>
      </c>
      <c r="D25" s="45">
        <v>2.477338</v>
      </c>
    </row>
    <row r="26" spans="1:4">
      <c r="B26" s="28" t="s">
        <v>34</v>
      </c>
      <c r="C26" s="42">
        <v>481.70121399999999</v>
      </c>
      <c r="D26" s="45">
        <v>2.3462510000000001</v>
      </c>
    </row>
    <row r="27" spans="1:4">
      <c r="B27" s="28" t="s">
        <v>5</v>
      </c>
      <c r="C27" s="42">
        <v>463.19896499999999</v>
      </c>
      <c r="D27" s="45">
        <v>3.0484719999999998</v>
      </c>
    </row>
    <row r="28" spans="1:4">
      <c r="B28" s="28" t="s">
        <v>37</v>
      </c>
      <c r="C28" s="42">
        <v>428.01894299999998</v>
      </c>
      <c r="D28" s="45">
        <v>2.8494280000000001</v>
      </c>
    </row>
    <row r="29" spans="1:4">
      <c r="B29" s="28" t="s">
        <v>4</v>
      </c>
      <c r="C29" s="42">
        <v>467.04218100000003</v>
      </c>
      <c r="D29" s="45">
        <v>2.934205</v>
      </c>
    </row>
    <row r="30" spans="1:4">
      <c r="A30" s="3"/>
      <c r="B30" s="28" t="s">
        <v>9</v>
      </c>
      <c r="C30" s="42">
        <v>486.77711199999999</v>
      </c>
      <c r="D30" s="45">
        <v>2.266283</v>
      </c>
    </row>
    <row r="31" spans="1:4">
      <c r="B31" s="28" t="s">
        <v>19</v>
      </c>
      <c r="C31" s="42">
        <v>454.75871899999999</v>
      </c>
      <c r="D31" s="45">
        <v>1.99874</v>
      </c>
    </row>
    <row r="32" spans="1:4">
      <c r="B32" s="28" t="s">
        <v>11</v>
      </c>
      <c r="C32" s="42">
        <v>459.37029100000001</v>
      </c>
      <c r="D32" s="45">
        <v>3.7698839999999998</v>
      </c>
    </row>
    <row r="33" spans="2:4">
      <c r="B33" s="28" t="s">
        <v>12</v>
      </c>
      <c r="C33" s="42">
        <v>463.84799199999998</v>
      </c>
      <c r="D33" s="45">
        <v>3.6731940000000001</v>
      </c>
    </row>
    <row r="34" spans="2:4">
      <c r="B34" s="28" t="s">
        <v>2</v>
      </c>
      <c r="C34" s="42">
        <v>536.23943899999995</v>
      </c>
      <c r="D34" s="45">
        <v>3.1702409999999999</v>
      </c>
    </row>
    <row r="35" spans="2:4">
      <c r="B35" s="28" t="s">
        <v>23</v>
      </c>
      <c r="C35" s="42">
        <v>482.85299500000002</v>
      </c>
      <c r="D35" s="45">
        <v>2.5954440000000001</v>
      </c>
    </row>
    <row r="36" spans="2:4">
      <c r="B36" s="28" t="s">
        <v>32</v>
      </c>
      <c r="C36" s="42">
        <v>471.05671599999999</v>
      </c>
      <c r="D36" s="45">
        <v>2.5191880000000002</v>
      </c>
    </row>
    <row r="37" spans="2:4">
      <c r="B37" s="28" t="s">
        <v>17</v>
      </c>
      <c r="C37" s="42">
        <v>464.46120200000001</v>
      </c>
      <c r="D37" s="45">
        <v>2.0317850000000002</v>
      </c>
    </row>
    <row r="38" spans="2:4">
      <c r="B38" s="28" t="s">
        <v>3</v>
      </c>
      <c r="C38" s="42">
        <v>389.46454199999999</v>
      </c>
      <c r="D38" s="45">
        <v>2.7509049999999999</v>
      </c>
    </row>
    <row r="39" spans="2:4">
      <c r="B39" s="28" t="s">
        <v>13</v>
      </c>
      <c r="C39" s="42">
        <v>464.63012099999997</v>
      </c>
      <c r="D39" s="45">
        <v>2.5360619999999998</v>
      </c>
    </row>
    <row r="40" spans="2:4">
      <c r="B40" s="28" t="s">
        <v>27</v>
      </c>
      <c r="C40" s="42">
        <v>474.27015799999998</v>
      </c>
      <c r="D40" s="45">
        <v>2.3469769999999999</v>
      </c>
    </row>
    <row r="41" spans="2:4">
      <c r="B41" s="28" t="s">
        <v>31</v>
      </c>
      <c r="C41" s="42">
        <v>491.83492799999999</v>
      </c>
      <c r="D41" s="45">
        <v>3.807979</v>
      </c>
    </row>
    <row r="42" spans="2:4">
      <c r="B42" s="28" t="s">
        <v>35</v>
      </c>
      <c r="C42" s="42">
        <v>484.91926799999999</v>
      </c>
      <c r="D42" s="45">
        <v>2.6886559999999999</v>
      </c>
    </row>
    <row r="43" spans="2:4">
      <c r="B43" s="28" t="s">
        <v>36</v>
      </c>
      <c r="C43" s="42">
        <v>467.19869899999998</v>
      </c>
      <c r="D43" s="45">
        <v>3.0692910000000002</v>
      </c>
    </row>
    <row r="44" spans="2:4">
      <c r="B44" s="28" t="s">
        <v>38</v>
      </c>
      <c r="C44" s="42">
        <v>484.18925300000001</v>
      </c>
      <c r="D44" s="45">
        <v>2.7670530000000002</v>
      </c>
    </row>
    <row r="45" spans="2:4">
      <c r="B45" s="28" t="s">
        <v>84</v>
      </c>
      <c r="C45" s="42">
        <v>488.83883700000001</v>
      </c>
      <c r="D45" s="45">
        <v>2.660447</v>
      </c>
    </row>
    <row r="46" spans="2:4">
      <c r="B46" s="28" t="s">
        <v>85</v>
      </c>
      <c r="C46" s="42">
        <v>462.10956700000003</v>
      </c>
      <c r="D46" s="45">
        <v>3.507841</v>
      </c>
    </row>
    <row r="47" spans="2:4">
      <c r="B47" s="28" t="s">
        <v>33</v>
      </c>
      <c r="C47" s="42">
        <v>425.21401100000003</v>
      </c>
      <c r="D47" s="45">
        <v>4.510084</v>
      </c>
    </row>
    <row r="48" spans="2:4">
      <c r="B48" s="28" t="s">
        <v>22</v>
      </c>
      <c r="C48" s="42">
        <v>473.849129</v>
      </c>
      <c r="D48" s="45">
        <v>2.9170210000000001</v>
      </c>
    </row>
    <row r="49" spans="2:4">
      <c r="B49" s="28" t="s">
        <v>24</v>
      </c>
      <c r="C49" s="42">
        <v>506.519407</v>
      </c>
      <c r="D49" s="45">
        <v>2.8693179999999998</v>
      </c>
    </row>
    <row r="50" spans="2:4">
      <c r="B50" s="28" t="s">
        <v>30</v>
      </c>
      <c r="C50" s="42">
        <v>450.76130699999999</v>
      </c>
      <c r="D50" s="45">
        <v>2.313574</v>
      </c>
    </row>
    <row r="51" spans="2:4">
      <c r="B51" s="28"/>
      <c r="C51" s="42"/>
      <c r="D51" s="45"/>
    </row>
    <row r="52" spans="2:4">
      <c r="B52" s="28" t="s">
        <v>39</v>
      </c>
      <c r="C52" s="42">
        <v>468.62944099999999</v>
      </c>
      <c r="D52" s="45">
        <v>0.47694900000000001</v>
      </c>
    </row>
    <row r="53" spans="2:4">
      <c r="B53" s="28" t="s">
        <v>40</v>
      </c>
      <c r="C53" s="42">
        <v>467.67519199999998</v>
      </c>
      <c r="D53" s="45">
        <v>1.027817</v>
      </c>
    </row>
    <row r="54" spans="2:4">
      <c r="B54" s="28"/>
      <c r="C54" s="42"/>
      <c r="D54" s="45"/>
    </row>
    <row r="55" spans="2:4">
      <c r="B55" s="63" t="s">
        <v>43</v>
      </c>
      <c r="C55" s="42">
        <v>447.147268</v>
      </c>
      <c r="D55" s="45">
        <v>5.8415540000000004</v>
      </c>
    </row>
    <row r="56" spans="2:4">
      <c r="B56" s="63" t="s">
        <v>44</v>
      </c>
      <c r="C56" s="42">
        <v>475.21365900000001</v>
      </c>
      <c r="D56" s="45">
        <v>7.0681520000000004</v>
      </c>
    </row>
    <row r="57" spans="2:4">
      <c r="B57" s="63" t="s">
        <v>175</v>
      </c>
      <c r="C57" s="42">
        <v>486.07594699999999</v>
      </c>
      <c r="D57" s="45">
        <v>10.765613</v>
      </c>
    </row>
    <row r="58" spans="2:4">
      <c r="B58" s="63" t="s">
        <v>57</v>
      </c>
      <c r="C58" s="42">
        <v>460.30720100000002</v>
      </c>
      <c r="D58" s="45">
        <v>8.0682080000000003</v>
      </c>
    </row>
    <row r="59" spans="2:4">
      <c r="B59" s="63" t="s">
        <v>176</v>
      </c>
      <c r="C59" s="42">
        <v>464.76927699999999</v>
      </c>
      <c r="D59" s="45">
        <v>5.4783350000000004</v>
      </c>
    </row>
    <row r="60" spans="2:4">
      <c r="B60" s="63" t="s">
        <v>46</v>
      </c>
      <c r="C60" s="42">
        <v>440.24129199999999</v>
      </c>
      <c r="D60" s="45">
        <v>6.3422219999999996</v>
      </c>
    </row>
    <row r="61" spans="2:4">
      <c r="B61" s="63" t="s">
        <v>47</v>
      </c>
      <c r="C61" s="42">
        <v>481.526231</v>
      </c>
      <c r="D61" s="45">
        <v>11.216948</v>
      </c>
    </row>
    <row r="62" spans="2:4">
      <c r="B62" s="63" t="s">
        <v>48</v>
      </c>
      <c r="C62" s="42">
        <v>492.83607699999999</v>
      </c>
      <c r="D62" s="45">
        <v>9.3166729999999998</v>
      </c>
    </row>
    <row r="63" spans="2:4">
      <c r="B63" s="63" t="s">
        <v>49</v>
      </c>
      <c r="C63" s="42">
        <v>453.29771499999998</v>
      </c>
      <c r="D63" s="45">
        <v>6.9073840000000004</v>
      </c>
    </row>
    <row r="64" spans="2:4">
      <c r="B64" s="63" t="s">
        <v>50</v>
      </c>
      <c r="C64" s="42">
        <v>463.75413200000003</v>
      </c>
      <c r="D64" s="45">
        <v>6.9023389999999996</v>
      </c>
    </row>
    <row r="65" spans="2:4">
      <c r="B65" s="63" t="s">
        <v>51</v>
      </c>
      <c r="C65" s="42">
        <v>374.03233899999998</v>
      </c>
      <c r="D65" s="45">
        <v>13.280004</v>
      </c>
    </row>
    <row r="66" spans="2:4">
      <c r="B66" s="63" t="s">
        <v>41</v>
      </c>
      <c r="C66" s="42">
        <v>464.03366199999999</v>
      </c>
      <c r="D66" s="45">
        <v>10.248905000000001</v>
      </c>
    </row>
    <row r="67" spans="2:4">
      <c r="B67" s="63" t="s">
        <v>42</v>
      </c>
      <c r="C67" s="42">
        <v>478.20877100000001</v>
      </c>
      <c r="D67" s="45">
        <v>7.0960460000000003</v>
      </c>
    </row>
    <row r="68" spans="2:4">
      <c r="B68" s="63" t="s">
        <v>177</v>
      </c>
      <c r="C68" s="42">
        <v>486.93272000000002</v>
      </c>
      <c r="D68" s="45">
        <v>5.20817</v>
      </c>
    </row>
    <row r="69" spans="2:4">
      <c r="B69" s="63" t="s">
        <v>53</v>
      </c>
      <c r="C69" s="42">
        <v>388.542193</v>
      </c>
      <c r="D69" s="45">
        <v>13.298703</v>
      </c>
    </row>
    <row r="70" spans="2:4">
      <c r="B70" s="63" t="s">
        <v>178</v>
      </c>
      <c r="C70" s="42">
        <v>452.83924000000002</v>
      </c>
      <c r="D70" s="45">
        <v>8.1191399999999998</v>
      </c>
    </row>
    <row r="71" spans="2:4">
      <c r="B71" s="63" t="s">
        <v>179</v>
      </c>
      <c r="C71" s="42">
        <v>483.903572</v>
      </c>
      <c r="D71" s="45">
        <v>9.7715750000000003</v>
      </c>
    </row>
    <row r="72" spans="2:4">
      <c r="B72" s="63" t="s">
        <v>45</v>
      </c>
      <c r="C72" s="42">
        <v>477.08432099999999</v>
      </c>
      <c r="D72" s="45">
        <v>7.3969760000000004</v>
      </c>
    </row>
    <row r="73" spans="2:4">
      <c r="B73" s="64" t="s">
        <v>52</v>
      </c>
      <c r="C73" s="43">
        <v>481.86308300000002</v>
      </c>
      <c r="D73" s="46">
        <v>11.260731</v>
      </c>
    </row>
  </sheetData>
  <sortState ref="F55:H73">
    <sortCondition ref="F55"/>
  </sortState>
  <mergeCells count="1">
    <mergeCell ref="B7:D7"/>
  </mergeCells>
  <hyperlinks>
    <hyperlink ref="B5" location="Índice!A1" display="Índice" xr:uid="{00000000-0004-0000-0600-000000000000}"/>
  </hyperlink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D73"/>
  <sheetViews>
    <sheetView zoomScaleNormal="100" workbookViewId="0">
      <selection activeCell="J61" sqref="J61"/>
    </sheetView>
  </sheetViews>
  <sheetFormatPr baseColWidth="10" defaultColWidth="11.44140625" defaultRowHeight="14.4"/>
  <cols>
    <col min="1" max="1" width="11.44140625" style="16"/>
    <col min="2" max="2" width="27.88671875" style="16" customWidth="1"/>
    <col min="3" max="4" width="13.88671875" style="16" customWidth="1"/>
    <col min="5" max="16384" width="11.44140625" style="16"/>
  </cols>
  <sheetData>
    <row r="2" spans="2:4">
      <c r="B2" s="3" t="s">
        <v>106</v>
      </c>
    </row>
    <row r="3" spans="2:4">
      <c r="B3" s="33" t="s">
        <v>79</v>
      </c>
    </row>
    <row r="4" spans="2:4">
      <c r="B4" s="3" t="s">
        <v>107</v>
      </c>
    </row>
    <row r="5" spans="2:4">
      <c r="B5" s="4" t="s">
        <v>0</v>
      </c>
    </row>
    <row r="6" spans="2:4" ht="19.5" customHeight="1">
      <c r="B6" s="4"/>
    </row>
    <row r="7" spans="2:4" ht="28.5" customHeight="1">
      <c r="B7" s="71" t="s">
        <v>117</v>
      </c>
      <c r="C7" s="71"/>
      <c r="D7" s="71"/>
    </row>
    <row r="8" spans="2:4" ht="31.5" customHeight="1">
      <c r="B8" s="34" t="s">
        <v>54</v>
      </c>
      <c r="C8" s="34" t="s">
        <v>119</v>
      </c>
      <c r="D8" s="34" t="s">
        <v>55</v>
      </c>
    </row>
    <row r="9" spans="2:4">
      <c r="B9" s="27" t="s">
        <v>16</v>
      </c>
      <c r="C9" s="41">
        <v>476.93354199999999</v>
      </c>
      <c r="D9" s="44">
        <v>3.1849609999999999</v>
      </c>
    </row>
    <row r="10" spans="2:4">
      <c r="B10" s="28" t="s">
        <v>14</v>
      </c>
      <c r="C10" s="42">
        <v>485.587694</v>
      </c>
      <c r="D10" s="45">
        <v>2.1609020000000001</v>
      </c>
    </row>
    <row r="11" spans="2:4">
      <c r="B11" s="28" t="s">
        <v>18</v>
      </c>
      <c r="C11" s="42">
        <v>487.982146</v>
      </c>
      <c r="D11" s="45">
        <v>2.7139989999999998</v>
      </c>
    </row>
    <row r="12" spans="2:4">
      <c r="B12" s="28" t="s">
        <v>28</v>
      </c>
      <c r="C12" s="42">
        <v>487.98246899999998</v>
      </c>
      <c r="D12" s="45">
        <v>2.3670599999999999</v>
      </c>
    </row>
    <row r="13" spans="2:4">
      <c r="B13" s="28" t="s">
        <v>20</v>
      </c>
      <c r="C13" s="42">
        <v>420.363834</v>
      </c>
      <c r="D13" s="45">
        <v>3.4188700000000001</v>
      </c>
    </row>
    <row r="14" spans="2:4">
      <c r="B14" s="28" t="s">
        <v>6</v>
      </c>
      <c r="C14" s="42">
        <v>494.56935900000002</v>
      </c>
      <c r="D14" s="45">
        <v>2.162579</v>
      </c>
    </row>
    <row r="15" spans="2:4">
      <c r="B15" s="28" t="s">
        <v>1</v>
      </c>
      <c r="C15" s="42">
        <v>409.42572799999999</v>
      </c>
      <c r="D15" s="45">
        <v>2.1391779999999998</v>
      </c>
    </row>
    <row r="16" spans="2:4">
      <c r="B16" s="28" t="s">
        <v>82</v>
      </c>
      <c r="C16" s="42">
        <v>413.31376999999998</v>
      </c>
      <c r="D16" s="45">
        <v>1.2818350000000001</v>
      </c>
    </row>
    <row r="17" spans="1:4">
      <c r="B17" s="28" t="s">
        <v>29</v>
      </c>
      <c r="C17" s="42">
        <v>380.74715900000001</v>
      </c>
      <c r="D17" s="45">
        <v>2.8723830000000001</v>
      </c>
    </row>
    <row r="18" spans="1:4">
      <c r="B18" s="28" t="s">
        <v>25</v>
      </c>
      <c r="C18" s="42">
        <v>522.73566300000005</v>
      </c>
      <c r="D18" s="45">
        <v>3.8353579999999998</v>
      </c>
    </row>
    <row r="19" spans="1:4">
      <c r="B19" s="28" t="s">
        <v>83</v>
      </c>
      <c r="C19" s="42">
        <v>383.098502</v>
      </c>
      <c r="D19" s="45">
        <v>2.0544519999999999</v>
      </c>
    </row>
    <row r="20" spans="1:4">
      <c r="B20" s="28" t="s">
        <v>15</v>
      </c>
      <c r="C20" s="42">
        <v>462.52329400000002</v>
      </c>
      <c r="D20" s="45">
        <v>2.5614699999999999</v>
      </c>
    </row>
    <row r="21" spans="1:4">
      <c r="B21" s="28" t="s">
        <v>8</v>
      </c>
      <c r="C21" s="42">
        <v>487.51245</v>
      </c>
      <c r="D21" s="45">
        <v>2.2127500000000002</v>
      </c>
    </row>
    <row r="22" spans="1:4">
      <c r="B22" s="28" t="s">
        <v>10</v>
      </c>
      <c r="C22" s="42">
        <v>483.11684500000001</v>
      </c>
      <c r="D22" s="45">
        <v>1.8760870000000001</v>
      </c>
    </row>
    <row r="23" spans="1:4">
      <c r="B23" s="28" t="s">
        <v>26</v>
      </c>
      <c r="C23" s="42">
        <v>469.94661600000001</v>
      </c>
      <c r="D23" s="45">
        <v>1.6589430000000001</v>
      </c>
    </row>
    <row r="24" spans="1:4">
      <c r="B24" s="28" t="s">
        <v>7</v>
      </c>
      <c r="C24" s="42">
        <v>459.17538400000001</v>
      </c>
      <c r="D24" s="45">
        <v>4.2290609999999997</v>
      </c>
    </row>
    <row r="25" spans="1:4">
      <c r="B25" s="28" t="s">
        <v>21</v>
      </c>
      <c r="C25" s="42">
        <v>512.72851300000002</v>
      </c>
      <c r="D25" s="45">
        <v>2.161079</v>
      </c>
    </row>
    <row r="26" spans="1:4">
      <c r="B26" s="28" t="s">
        <v>34</v>
      </c>
      <c r="C26" s="42">
        <v>482.33841200000001</v>
      </c>
      <c r="D26" s="45">
        <v>2.24918</v>
      </c>
    </row>
    <row r="27" spans="1:4">
      <c r="B27" s="28" t="s">
        <v>5</v>
      </c>
      <c r="C27" s="42">
        <v>471.82559400000002</v>
      </c>
      <c r="D27" s="45">
        <v>2.605982</v>
      </c>
    </row>
    <row r="28" spans="1:4">
      <c r="B28" s="28" t="s">
        <v>37</v>
      </c>
      <c r="C28" s="42">
        <v>421.27731999999997</v>
      </c>
      <c r="D28" s="45">
        <v>2.4503020000000002</v>
      </c>
    </row>
    <row r="29" spans="1:4">
      <c r="B29" s="28" t="s">
        <v>4</v>
      </c>
      <c r="C29" s="42">
        <v>476.70268099999998</v>
      </c>
      <c r="D29" s="45">
        <v>2.9030469999999999</v>
      </c>
    </row>
    <row r="30" spans="1:4">
      <c r="A30" s="3"/>
      <c r="B30" s="28" t="s">
        <v>9</v>
      </c>
      <c r="C30" s="42">
        <v>493.59748500000001</v>
      </c>
      <c r="D30" s="45">
        <v>2.3929019999999999</v>
      </c>
    </row>
    <row r="31" spans="1:4">
      <c r="B31" s="28" t="s">
        <v>19</v>
      </c>
      <c r="C31" s="42">
        <v>461.98665699999998</v>
      </c>
      <c r="D31" s="45">
        <v>1.842419</v>
      </c>
    </row>
    <row r="32" spans="1:4">
      <c r="B32" s="28" t="s">
        <v>11</v>
      </c>
      <c r="C32" s="42">
        <v>455.606988</v>
      </c>
      <c r="D32" s="45">
        <v>3.3749259999999999</v>
      </c>
    </row>
    <row r="33" spans="2:4">
      <c r="B33" s="28" t="s">
        <v>12</v>
      </c>
      <c r="C33" s="42">
        <v>470.42677400000002</v>
      </c>
      <c r="D33" s="45">
        <v>3.2114150000000001</v>
      </c>
    </row>
    <row r="34" spans="2:4">
      <c r="B34" s="28" t="s">
        <v>2</v>
      </c>
      <c r="C34" s="42">
        <v>535.87693200000001</v>
      </c>
      <c r="D34" s="45">
        <v>3.3943270000000001</v>
      </c>
    </row>
    <row r="35" spans="2:4">
      <c r="B35" s="28" t="s">
        <v>23</v>
      </c>
      <c r="C35" s="42">
        <v>483.77735999999999</v>
      </c>
      <c r="D35" s="45">
        <v>2.2728030000000001</v>
      </c>
    </row>
    <row r="36" spans="2:4">
      <c r="B36" s="28" t="s">
        <v>32</v>
      </c>
      <c r="C36" s="42">
        <v>476.58397000000002</v>
      </c>
      <c r="D36" s="45">
        <v>2.1269659999999999</v>
      </c>
    </row>
    <row r="37" spans="2:4">
      <c r="B37" s="28" t="s">
        <v>17</v>
      </c>
      <c r="C37" s="42">
        <v>465.14347400000003</v>
      </c>
      <c r="D37" s="45">
        <v>1.81504</v>
      </c>
    </row>
    <row r="38" spans="2:4">
      <c r="B38" s="28" t="s">
        <v>3</v>
      </c>
      <c r="C38" s="42">
        <v>397.86188499999997</v>
      </c>
      <c r="D38" s="45">
        <v>2.4848659999999998</v>
      </c>
    </row>
    <row r="39" spans="2:4">
      <c r="B39" s="28" t="s">
        <v>13</v>
      </c>
      <c r="C39" s="42">
        <v>466.37480299999999</v>
      </c>
      <c r="D39" s="45">
        <v>2.2343130000000002</v>
      </c>
    </row>
    <row r="40" spans="2:4">
      <c r="B40" s="28" t="s">
        <v>27</v>
      </c>
      <c r="C40" s="42">
        <v>477.21454399999999</v>
      </c>
      <c r="D40" s="45">
        <v>2.3298420000000002</v>
      </c>
    </row>
    <row r="41" spans="2:4">
      <c r="B41" s="28" t="s">
        <v>31</v>
      </c>
      <c r="C41" s="42">
        <v>498.68039800000003</v>
      </c>
      <c r="D41" s="45">
        <v>4.3446420000000003</v>
      </c>
    </row>
    <row r="42" spans="2:4">
      <c r="B42" s="28" t="s">
        <v>35</v>
      </c>
      <c r="C42" s="42">
        <v>491.49604900000003</v>
      </c>
      <c r="D42" s="45">
        <v>2.4352939999999998</v>
      </c>
    </row>
    <row r="43" spans="2:4">
      <c r="B43" s="28" t="s">
        <v>36</v>
      </c>
      <c r="C43" s="42">
        <v>467.094064</v>
      </c>
      <c r="D43" s="45">
        <v>2.7501069999999999</v>
      </c>
    </row>
    <row r="44" spans="2:4">
      <c r="B44" s="28" t="s">
        <v>38</v>
      </c>
      <c r="C44" s="42">
        <v>488.53262999999998</v>
      </c>
      <c r="D44" s="45">
        <v>2.4237959999999998</v>
      </c>
    </row>
    <row r="45" spans="2:4">
      <c r="B45" s="28" t="s">
        <v>84</v>
      </c>
      <c r="C45" s="42">
        <v>488.86856999999998</v>
      </c>
      <c r="D45" s="45">
        <v>2.3299319999999999</v>
      </c>
    </row>
    <row r="46" spans="2:4">
      <c r="B46" s="28" t="s">
        <v>85</v>
      </c>
      <c r="C46" s="42">
        <v>467.3519</v>
      </c>
      <c r="D46" s="45">
        <v>3.252094</v>
      </c>
    </row>
    <row r="47" spans="2:4">
      <c r="B47" s="28" t="s">
        <v>33</v>
      </c>
      <c r="C47" s="42">
        <v>428.26130699999999</v>
      </c>
      <c r="D47" s="45">
        <v>3.8993000000000002</v>
      </c>
    </row>
    <row r="48" spans="2:4">
      <c r="B48" s="28" t="s">
        <v>22</v>
      </c>
      <c r="C48" s="42">
        <v>481.07033899999999</v>
      </c>
      <c r="D48" s="45">
        <v>2.3323420000000001</v>
      </c>
    </row>
    <row r="49" spans="2:4">
      <c r="B49" s="28" t="s">
        <v>24</v>
      </c>
      <c r="C49" s="42">
        <v>507.67016999999998</v>
      </c>
      <c r="D49" s="45">
        <v>2.3329559999999998</v>
      </c>
    </row>
    <row r="50" spans="2:4">
      <c r="B50" s="28" t="s">
        <v>30</v>
      </c>
      <c r="C50" s="42">
        <v>451.75748900000002</v>
      </c>
      <c r="D50" s="45">
        <v>1.885025</v>
      </c>
    </row>
    <row r="51" spans="2:4">
      <c r="B51" s="28"/>
      <c r="C51" s="42"/>
      <c r="D51" s="45"/>
    </row>
    <row r="52" spans="2:4">
      <c r="B52" s="28" t="s">
        <v>39</v>
      </c>
      <c r="C52" s="42">
        <v>471.77067799999998</v>
      </c>
      <c r="D52" s="45">
        <v>0.437083</v>
      </c>
    </row>
    <row r="53" spans="2:4">
      <c r="B53" s="28" t="s">
        <v>40</v>
      </c>
      <c r="C53" s="42">
        <v>473.49980799999997</v>
      </c>
      <c r="D53" s="45">
        <v>0.886656</v>
      </c>
    </row>
    <row r="54" spans="2:4">
      <c r="B54" s="28"/>
      <c r="C54" s="42"/>
      <c r="D54" s="45"/>
    </row>
    <row r="55" spans="2:4">
      <c r="B55" s="63" t="s">
        <v>43</v>
      </c>
      <c r="C55" s="42">
        <v>453.64515899999998</v>
      </c>
      <c r="D55" s="45">
        <v>5.0975650000000003</v>
      </c>
    </row>
    <row r="56" spans="2:4">
      <c r="B56" s="63" t="s">
        <v>44</v>
      </c>
      <c r="C56" s="42">
        <v>484.40343200000001</v>
      </c>
      <c r="D56" s="45">
        <v>6.2935040000000004</v>
      </c>
    </row>
    <row r="57" spans="2:4">
      <c r="B57" s="63" t="s">
        <v>175</v>
      </c>
      <c r="C57" s="42">
        <v>492.84488199999998</v>
      </c>
      <c r="D57" s="45">
        <v>7.6865790000000001</v>
      </c>
    </row>
    <row r="58" spans="2:4">
      <c r="B58" s="63" t="s">
        <v>57</v>
      </c>
      <c r="C58" s="42">
        <v>470.930882</v>
      </c>
      <c r="D58" s="45">
        <v>6.9875970000000001</v>
      </c>
    </row>
    <row r="59" spans="2:4">
      <c r="B59" s="63" t="s">
        <v>176</v>
      </c>
      <c r="C59" s="42">
        <v>469.50613600000003</v>
      </c>
      <c r="D59" s="45">
        <v>4.8785610000000004</v>
      </c>
    </row>
    <row r="60" spans="2:4">
      <c r="B60" s="63" t="s">
        <v>46</v>
      </c>
      <c r="C60" s="42">
        <v>444.41347200000001</v>
      </c>
      <c r="D60" s="45">
        <v>5.270778</v>
      </c>
    </row>
    <row r="61" spans="2:4">
      <c r="B61" s="63" t="s">
        <v>47</v>
      </c>
      <c r="C61" s="42">
        <v>497.15231599999998</v>
      </c>
      <c r="D61" s="45">
        <v>6.4287780000000003</v>
      </c>
    </row>
    <row r="62" spans="2:4">
      <c r="B62" s="63" t="s">
        <v>48</v>
      </c>
      <c r="C62" s="42">
        <v>493.94646699999998</v>
      </c>
      <c r="D62" s="45">
        <v>4.6018429999999997</v>
      </c>
    </row>
    <row r="63" spans="2:4">
      <c r="B63" s="63" t="s">
        <v>49</v>
      </c>
      <c r="C63" s="42">
        <v>461.327564</v>
      </c>
      <c r="D63" s="45">
        <v>4.6838139999999999</v>
      </c>
    </row>
    <row r="64" spans="2:4">
      <c r="B64" s="63" t="s">
        <v>50</v>
      </c>
      <c r="C64" s="42">
        <v>466.021456</v>
      </c>
      <c r="D64" s="45">
        <v>6.1328480000000001</v>
      </c>
    </row>
    <row r="65" spans="2:4">
      <c r="B65" s="63" t="s">
        <v>51</v>
      </c>
      <c r="C65" s="42">
        <v>383.88213999999999</v>
      </c>
      <c r="D65" s="45">
        <v>9.6207370000000001</v>
      </c>
    </row>
    <row r="66" spans="2:4">
      <c r="B66" s="63" t="s">
        <v>41</v>
      </c>
      <c r="C66" s="42">
        <v>464.44075700000002</v>
      </c>
      <c r="D66" s="45">
        <v>7.2346430000000002</v>
      </c>
    </row>
    <row r="67" spans="2:4">
      <c r="B67" s="63" t="s">
        <v>42</v>
      </c>
      <c r="C67" s="42">
        <v>482.97790500000002</v>
      </c>
      <c r="D67" s="45">
        <v>4.8496940000000004</v>
      </c>
    </row>
    <row r="68" spans="2:4">
      <c r="B68" s="63" t="s">
        <v>177</v>
      </c>
      <c r="C68" s="42">
        <v>491.411179</v>
      </c>
      <c r="D68" s="45">
        <v>4.6412469999999999</v>
      </c>
    </row>
    <row r="69" spans="2:4">
      <c r="B69" s="63" t="s">
        <v>53</v>
      </c>
      <c r="C69" s="42">
        <v>395.25678199999999</v>
      </c>
      <c r="D69" s="45">
        <v>10.64518</v>
      </c>
    </row>
    <row r="70" spans="2:4">
      <c r="B70" s="63" t="s">
        <v>178</v>
      </c>
      <c r="C70" s="42">
        <v>458.42494399999998</v>
      </c>
      <c r="D70" s="45">
        <v>5.6472030000000002</v>
      </c>
    </row>
    <row r="71" spans="2:4">
      <c r="B71" s="63" t="s">
        <v>179</v>
      </c>
      <c r="C71" s="42">
        <v>489.05272000000002</v>
      </c>
      <c r="D71" s="45">
        <v>6.6204029999999996</v>
      </c>
    </row>
    <row r="72" spans="2:4">
      <c r="B72" s="63" t="s">
        <v>45</v>
      </c>
      <c r="C72" s="42">
        <v>477.61033800000001</v>
      </c>
      <c r="D72" s="45">
        <v>5.593013</v>
      </c>
    </row>
    <row r="73" spans="2:4">
      <c r="B73" s="64" t="s">
        <v>52</v>
      </c>
      <c r="C73" s="43">
        <v>491.54361299999999</v>
      </c>
      <c r="D73" s="46">
        <v>11.030029000000001</v>
      </c>
    </row>
  </sheetData>
  <sortState ref="F55:H73">
    <sortCondition ref="F55"/>
  </sortState>
  <mergeCells count="1">
    <mergeCell ref="B7:D7"/>
  </mergeCells>
  <hyperlinks>
    <hyperlink ref="B5" location="Índice!A1" display="Índice" xr:uid="{00000000-0004-0000-0700-000000000000}"/>
  </hyperlink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D73"/>
  <sheetViews>
    <sheetView zoomScaleNormal="100" workbookViewId="0">
      <selection activeCell="K63" sqref="K63"/>
    </sheetView>
  </sheetViews>
  <sheetFormatPr baseColWidth="10" defaultColWidth="11.44140625" defaultRowHeight="14.4"/>
  <cols>
    <col min="1" max="1" width="11.44140625" style="16"/>
    <col min="2" max="2" width="27.88671875" style="16" customWidth="1"/>
    <col min="3" max="4" width="13.88671875" style="16" customWidth="1"/>
    <col min="5" max="16384" width="11.44140625" style="16"/>
  </cols>
  <sheetData>
    <row r="2" spans="2:4">
      <c r="B2" s="3" t="s">
        <v>108</v>
      </c>
    </row>
    <row r="3" spans="2:4">
      <c r="B3" s="33" t="s">
        <v>79</v>
      </c>
    </row>
    <row r="4" spans="2:4">
      <c r="B4" s="3" t="s">
        <v>109</v>
      </c>
    </row>
    <row r="5" spans="2:4">
      <c r="B5" s="4" t="s">
        <v>0</v>
      </c>
    </row>
    <row r="6" spans="2:4" ht="19.5" customHeight="1">
      <c r="B6" s="4"/>
    </row>
    <row r="7" spans="2:4" ht="28.5" customHeight="1">
      <c r="B7" s="71" t="s">
        <v>117</v>
      </c>
      <c r="C7" s="71"/>
      <c r="D7" s="71"/>
    </row>
    <row r="8" spans="2:4" ht="31.5" customHeight="1">
      <c r="B8" s="34" t="s">
        <v>54</v>
      </c>
      <c r="C8" s="34" t="s">
        <v>119</v>
      </c>
      <c r="D8" s="34" t="s">
        <v>55</v>
      </c>
    </row>
    <row r="9" spans="2:4">
      <c r="B9" s="27" t="s">
        <v>16</v>
      </c>
      <c r="C9" s="41">
        <v>474.86250000000001</v>
      </c>
      <c r="D9" s="44">
        <v>3.2475689999999999</v>
      </c>
    </row>
    <row r="10" spans="2:4">
      <c r="B10" s="28" t="s">
        <v>14</v>
      </c>
      <c r="C10" s="42">
        <v>492.70805100000001</v>
      </c>
      <c r="D10" s="45">
        <v>1.9827520000000001</v>
      </c>
    </row>
    <row r="11" spans="2:4">
      <c r="B11" s="28" t="s">
        <v>18</v>
      </c>
      <c r="C11" s="42">
        <v>482.41865100000001</v>
      </c>
      <c r="D11" s="45">
        <v>2.5681669999999999</v>
      </c>
    </row>
    <row r="12" spans="2:4">
      <c r="B12" s="28" t="s">
        <v>28</v>
      </c>
      <c r="C12" s="42">
        <v>493.73741899999999</v>
      </c>
      <c r="D12" s="45">
        <v>2.4117510000000002</v>
      </c>
    </row>
    <row r="13" spans="2:4">
      <c r="B13" s="28" t="s">
        <v>20</v>
      </c>
      <c r="C13" s="42">
        <v>410.70890700000001</v>
      </c>
      <c r="D13" s="45">
        <v>3.6294089999999999</v>
      </c>
    </row>
    <row r="14" spans="2:4">
      <c r="B14" s="28" t="s">
        <v>6</v>
      </c>
      <c r="C14" s="42">
        <v>502.82122800000002</v>
      </c>
      <c r="D14" s="45">
        <v>2.0130889999999999</v>
      </c>
    </row>
    <row r="15" spans="2:4">
      <c r="B15" s="28" t="s">
        <v>1</v>
      </c>
      <c r="C15" s="42">
        <v>415.22789499999999</v>
      </c>
      <c r="D15" s="45">
        <v>2.3659430000000001</v>
      </c>
    </row>
    <row r="16" spans="2:4">
      <c r="B16" s="28" t="s">
        <v>82</v>
      </c>
      <c r="C16" s="42">
        <v>419.12939</v>
      </c>
      <c r="D16" s="45">
        <v>1.3161959999999999</v>
      </c>
    </row>
    <row r="17" spans="1:4">
      <c r="B17" s="28" t="s">
        <v>29</v>
      </c>
      <c r="C17" s="42">
        <v>384.125136</v>
      </c>
      <c r="D17" s="45">
        <v>3.247404</v>
      </c>
    </row>
    <row r="18" spans="1:4">
      <c r="B18" s="28" t="s">
        <v>25</v>
      </c>
      <c r="C18" s="42">
        <v>531.136616</v>
      </c>
      <c r="D18" s="45">
        <v>4.2765659999999999</v>
      </c>
    </row>
    <row r="19" spans="1:4">
      <c r="B19" s="28" t="s">
        <v>83</v>
      </c>
      <c r="C19" s="42">
        <v>386.40728899999999</v>
      </c>
      <c r="D19" s="45">
        <v>2.4885229999999998</v>
      </c>
    </row>
    <row r="20" spans="1:4">
      <c r="B20" s="28" t="s">
        <v>15</v>
      </c>
      <c r="C20" s="42">
        <v>466.80695900000001</v>
      </c>
      <c r="D20" s="45">
        <v>2.8975390000000001</v>
      </c>
    </row>
    <row r="21" spans="1:4">
      <c r="B21" s="28" t="s">
        <v>8</v>
      </c>
      <c r="C21" s="42">
        <v>490.73460499999999</v>
      </c>
      <c r="D21" s="45">
        <v>2.3687170000000002</v>
      </c>
    </row>
    <row r="22" spans="1:4">
      <c r="B22" s="28" t="s">
        <v>10</v>
      </c>
      <c r="C22" s="42">
        <v>487.41569800000002</v>
      </c>
      <c r="D22" s="45">
        <v>1.462213</v>
      </c>
    </row>
    <row r="23" spans="1:4">
      <c r="B23" s="28" t="s">
        <v>26</v>
      </c>
      <c r="C23" s="42">
        <v>477.35895299999999</v>
      </c>
      <c r="D23" s="45">
        <v>1.894023</v>
      </c>
    </row>
    <row r="24" spans="1:4">
      <c r="B24" s="28" t="s">
        <v>7</v>
      </c>
      <c r="C24" s="42">
        <v>474.67604499999999</v>
      </c>
      <c r="D24" s="45">
        <v>4.3785590000000001</v>
      </c>
    </row>
    <row r="25" spans="1:4">
      <c r="B25" s="28" t="s">
        <v>21</v>
      </c>
      <c r="C25" s="42">
        <v>510.57918699999999</v>
      </c>
      <c r="D25" s="45">
        <v>2.2468940000000002</v>
      </c>
    </row>
    <row r="26" spans="1:4">
      <c r="B26" s="28" t="s">
        <v>34</v>
      </c>
      <c r="C26" s="42">
        <v>486.349851</v>
      </c>
      <c r="D26" s="45">
        <v>2.110535</v>
      </c>
    </row>
    <row r="27" spans="1:4">
      <c r="B27" s="28" t="s">
        <v>5</v>
      </c>
      <c r="C27" s="42">
        <v>482.21082699999999</v>
      </c>
      <c r="D27" s="45">
        <v>3.046786</v>
      </c>
    </row>
    <row r="28" spans="1:4">
      <c r="B28" s="28" t="s">
        <v>37</v>
      </c>
      <c r="C28" s="42">
        <v>434.680295</v>
      </c>
      <c r="D28" s="45">
        <v>2.719592</v>
      </c>
    </row>
    <row r="29" spans="1:4">
      <c r="B29" s="28" t="s">
        <v>4</v>
      </c>
      <c r="C29" s="42">
        <v>475.39777199999997</v>
      </c>
      <c r="D29" s="45">
        <v>2.6975440000000002</v>
      </c>
    </row>
    <row r="30" spans="1:4">
      <c r="A30" s="3"/>
      <c r="B30" s="28" t="s">
        <v>9</v>
      </c>
      <c r="C30" s="42">
        <v>494.88212800000002</v>
      </c>
      <c r="D30" s="45">
        <v>2.1547740000000002</v>
      </c>
    </row>
    <row r="31" spans="1:4">
      <c r="B31" s="28" t="s">
        <v>19</v>
      </c>
      <c r="C31" s="42">
        <v>456.998468</v>
      </c>
      <c r="D31" s="45">
        <v>2.2796650000000001</v>
      </c>
    </row>
    <row r="32" spans="1:4">
      <c r="B32" s="28" t="s">
        <v>11</v>
      </c>
      <c r="C32" s="42">
        <v>455.84013599999997</v>
      </c>
      <c r="D32" s="45">
        <v>3.8299829999999999</v>
      </c>
    </row>
    <row r="33" spans="2:4">
      <c r="B33" s="28" t="s">
        <v>12</v>
      </c>
      <c r="C33" s="42">
        <v>471.02220399999999</v>
      </c>
      <c r="D33" s="45">
        <v>3.320373</v>
      </c>
    </row>
    <row r="34" spans="2:4">
      <c r="B34" s="28" t="s">
        <v>2</v>
      </c>
      <c r="C34" s="42">
        <v>544.15721599999995</v>
      </c>
      <c r="D34" s="45">
        <v>3.3336220000000001</v>
      </c>
    </row>
    <row r="35" spans="2:4">
      <c r="B35" s="28" t="s">
        <v>23</v>
      </c>
      <c r="C35" s="42">
        <v>485.100075</v>
      </c>
      <c r="D35" s="45">
        <v>2.5642079999999998</v>
      </c>
    </row>
    <row r="36" spans="2:4">
      <c r="B36" s="28" t="s">
        <v>32</v>
      </c>
      <c r="C36" s="42">
        <v>476.82061800000002</v>
      </c>
      <c r="D36" s="45">
        <v>2.0880030000000001</v>
      </c>
    </row>
    <row r="37" spans="2:4">
      <c r="B37" s="28" t="s">
        <v>17</v>
      </c>
      <c r="C37" s="42">
        <v>465.38069999999999</v>
      </c>
      <c r="D37" s="45">
        <v>1.958609</v>
      </c>
    </row>
    <row r="38" spans="2:4">
      <c r="B38" s="28" t="s">
        <v>3</v>
      </c>
      <c r="C38" s="42">
        <v>391.28258799999998</v>
      </c>
      <c r="D38" s="45">
        <v>2.5971500000000001</v>
      </c>
    </row>
    <row r="39" spans="2:4">
      <c r="B39" s="28" t="s">
        <v>13</v>
      </c>
      <c r="C39" s="42">
        <v>467.30522400000001</v>
      </c>
      <c r="D39" s="45">
        <v>2.3784290000000001</v>
      </c>
    </row>
    <row r="40" spans="2:4">
      <c r="B40" s="28" t="s">
        <v>27</v>
      </c>
      <c r="C40" s="42">
        <v>486.00089400000002</v>
      </c>
      <c r="D40" s="45">
        <v>2.447584</v>
      </c>
    </row>
    <row r="41" spans="2:4">
      <c r="B41" s="28" t="s">
        <v>31</v>
      </c>
      <c r="C41" s="42">
        <v>495.63928499999997</v>
      </c>
      <c r="D41" s="45">
        <v>4.0662289999999999</v>
      </c>
    </row>
    <row r="42" spans="2:4">
      <c r="B42" s="28" t="s">
        <v>35</v>
      </c>
      <c r="C42" s="42">
        <v>489.86943600000001</v>
      </c>
      <c r="D42" s="45">
        <v>2.7303890000000002</v>
      </c>
    </row>
    <row r="43" spans="2:4">
      <c r="B43" s="28" t="s">
        <v>36</v>
      </c>
      <c r="C43" s="42">
        <v>481.38346999999999</v>
      </c>
      <c r="D43" s="45">
        <v>2.6589740000000002</v>
      </c>
    </row>
    <row r="44" spans="2:4">
      <c r="B44" s="28" t="s">
        <v>38</v>
      </c>
      <c r="C44" s="42">
        <v>491.824749</v>
      </c>
      <c r="D44" s="45">
        <v>2.2449669999999999</v>
      </c>
    </row>
    <row r="45" spans="2:4">
      <c r="B45" s="28" t="s">
        <v>84</v>
      </c>
      <c r="C45" s="42">
        <v>484.16373499999997</v>
      </c>
      <c r="D45" s="45">
        <v>2.4507099999999999</v>
      </c>
    </row>
    <row r="46" spans="2:4">
      <c r="B46" s="28" t="s">
        <v>85</v>
      </c>
      <c r="C46" s="42">
        <v>460.63850500000001</v>
      </c>
      <c r="D46" s="45">
        <v>3.2266780000000002</v>
      </c>
    </row>
    <row r="47" spans="2:4">
      <c r="B47" s="28" t="s">
        <v>33</v>
      </c>
      <c r="C47" s="42">
        <v>427.57354299999997</v>
      </c>
      <c r="D47" s="45">
        <v>4.2039270000000002</v>
      </c>
    </row>
    <row r="48" spans="2:4">
      <c r="B48" s="28" t="s">
        <v>22</v>
      </c>
      <c r="C48" s="42">
        <v>477.61101600000001</v>
      </c>
      <c r="D48" s="45">
        <v>2.3928400000000001</v>
      </c>
    </row>
    <row r="49" spans="2:4">
      <c r="B49" s="28" t="s">
        <v>24</v>
      </c>
      <c r="C49" s="42">
        <v>506.23625800000002</v>
      </c>
      <c r="D49" s="45">
        <v>2.4387759999999998</v>
      </c>
    </row>
    <row r="50" spans="2:4">
      <c r="B50" s="28" t="s">
        <v>30</v>
      </c>
      <c r="C50" s="42">
        <v>454.549601</v>
      </c>
      <c r="D50" s="45">
        <v>1.9433860000000001</v>
      </c>
    </row>
    <row r="51" spans="2:4">
      <c r="B51" s="28"/>
      <c r="C51" s="42"/>
      <c r="D51" s="45"/>
    </row>
    <row r="52" spans="2:4">
      <c r="B52" s="28" t="s">
        <v>39</v>
      </c>
      <c r="C52" s="42">
        <v>474.43712499999998</v>
      </c>
      <c r="D52" s="45">
        <v>0.45182499999999998</v>
      </c>
    </row>
    <row r="53" spans="2:4">
      <c r="B53" s="28" t="s">
        <v>40</v>
      </c>
      <c r="C53" s="42">
        <v>476.195764</v>
      </c>
      <c r="D53" s="45">
        <v>0.97139200000000003</v>
      </c>
    </row>
    <row r="54" spans="2:4">
      <c r="B54" s="28"/>
      <c r="C54" s="42"/>
      <c r="D54" s="45"/>
    </row>
    <row r="55" spans="2:4">
      <c r="B55" s="63" t="s">
        <v>43</v>
      </c>
      <c r="C55" s="42">
        <v>461.35573299999999</v>
      </c>
      <c r="D55" s="45">
        <v>5.212364</v>
      </c>
    </row>
    <row r="56" spans="2:4">
      <c r="B56" s="63" t="s">
        <v>44</v>
      </c>
      <c r="C56" s="42">
        <v>491.87773399999998</v>
      </c>
      <c r="D56" s="45">
        <v>5.9027830000000003</v>
      </c>
    </row>
    <row r="57" spans="2:4">
      <c r="B57" s="63" t="s">
        <v>175</v>
      </c>
      <c r="C57" s="42">
        <v>500.86547899999999</v>
      </c>
      <c r="D57" s="45">
        <v>8.8930030000000002</v>
      </c>
    </row>
    <row r="58" spans="2:4">
      <c r="B58" s="63" t="s">
        <v>57</v>
      </c>
      <c r="C58" s="42">
        <v>469.29157800000002</v>
      </c>
      <c r="D58" s="45">
        <v>8.4323289999999993</v>
      </c>
    </row>
    <row r="59" spans="2:4">
      <c r="B59" s="63" t="s">
        <v>176</v>
      </c>
      <c r="C59" s="42">
        <v>476.63983999999999</v>
      </c>
      <c r="D59" s="45">
        <v>4.5909170000000001</v>
      </c>
    </row>
    <row r="60" spans="2:4">
      <c r="B60" s="63" t="s">
        <v>46</v>
      </c>
      <c r="C60" s="42">
        <v>454.30218600000001</v>
      </c>
      <c r="D60" s="45">
        <v>5.5298290000000003</v>
      </c>
    </row>
    <row r="61" spans="2:4">
      <c r="B61" s="63" t="s">
        <v>47</v>
      </c>
      <c r="C61" s="42">
        <v>500.43083999999999</v>
      </c>
      <c r="D61" s="45">
        <v>7.3017380000000003</v>
      </c>
    </row>
    <row r="62" spans="2:4">
      <c r="B62" s="63" t="s">
        <v>48</v>
      </c>
      <c r="C62" s="42">
        <v>502.31892800000003</v>
      </c>
      <c r="D62" s="45">
        <v>5.9811750000000004</v>
      </c>
    </row>
    <row r="63" spans="2:4">
      <c r="B63" s="63" t="s">
        <v>49</v>
      </c>
      <c r="C63" s="42">
        <v>466.62543699999998</v>
      </c>
      <c r="D63" s="45">
        <v>4.7136189999999996</v>
      </c>
    </row>
    <row r="64" spans="2:4">
      <c r="B64" s="63" t="s">
        <v>50</v>
      </c>
      <c r="C64" s="42">
        <v>471.82946399999997</v>
      </c>
      <c r="D64" s="45">
        <v>6.8705629999999998</v>
      </c>
    </row>
    <row r="65" spans="2:4">
      <c r="B65" s="63" t="s">
        <v>51</v>
      </c>
      <c r="C65" s="42">
        <v>401.37988799999999</v>
      </c>
      <c r="D65" s="45">
        <v>10.738006</v>
      </c>
    </row>
    <row r="66" spans="2:4">
      <c r="B66" s="63" t="s">
        <v>41</v>
      </c>
      <c r="C66" s="42">
        <v>472.727284</v>
      </c>
      <c r="D66" s="45">
        <v>7.2442339999999996</v>
      </c>
    </row>
    <row r="67" spans="2:4">
      <c r="B67" s="63" t="s">
        <v>42</v>
      </c>
      <c r="C67" s="42">
        <v>492.28100799999999</v>
      </c>
      <c r="D67" s="45">
        <v>4.7931090000000003</v>
      </c>
    </row>
    <row r="68" spans="2:4">
      <c r="B68" s="63" t="s">
        <v>177</v>
      </c>
      <c r="C68" s="42">
        <v>500.29476099999999</v>
      </c>
      <c r="D68" s="45">
        <v>4.1816389999999997</v>
      </c>
    </row>
    <row r="69" spans="2:4">
      <c r="B69" s="63" t="s">
        <v>53</v>
      </c>
      <c r="C69" s="42">
        <v>408.787937</v>
      </c>
      <c r="D69" s="45">
        <v>10.160538000000001</v>
      </c>
    </row>
    <row r="70" spans="2:4">
      <c r="B70" s="63" t="s">
        <v>178</v>
      </c>
      <c r="C70" s="42">
        <v>467.993966</v>
      </c>
      <c r="D70" s="45">
        <v>6.1169099999999998</v>
      </c>
    </row>
    <row r="71" spans="2:4">
      <c r="B71" s="63" t="s">
        <v>179</v>
      </c>
      <c r="C71" s="42">
        <v>496.64198099999999</v>
      </c>
      <c r="D71" s="45">
        <v>8.2474209999999992</v>
      </c>
    </row>
    <row r="72" spans="2:4">
      <c r="B72" s="63" t="s">
        <v>45</v>
      </c>
      <c r="C72" s="42">
        <v>485.50762800000001</v>
      </c>
      <c r="D72" s="45">
        <v>4.6433439999999999</v>
      </c>
    </row>
    <row r="73" spans="2:4">
      <c r="B73" s="64" t="s">
        <v>52</v>
      </c>
      <c r="C73" s="43">
        <v>491.313602</v>
      </c>
      <c r="D73" s="46">
        <v>7.6964240000000004</v>
      </c>
    </row>
  </sheetData>
  <sortState ref="F55:H73">
    <sortCondition ref="F55"/>
  </sortState>
  <mergeCells count="1">
    <mergeCell ref="B7:D7"/>
  </mergeCells>
  <hyperlinks>
    <hyperlink ref="B5" location="Índice!A1" display="Índice" xr:uid="{00000000-0004-0000-0800-000000000000}"/>
  </hyperlink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D73"/>
  <sheetViews>
    <sheetView zoomScaleNormal="100" workbookViewId="0">
      <selection activeCell="H13" sqref="H13"/>
    </sheetView>
  </sheetViews>
  <sheetFormatPr baseColWidth="10" defaultColWidth="11.44140625" defaultRowHeight="14.4"/>
  <cols>
    <col min="1" max="1" width="11.44140625" style="16"/>
    <col min="2" max="2" width="27.88671875" style="16" customWidth="1"/>
    <col min="3" max="4" width="13.88671875" style="16" customWidth="1"/>
    <col min="5" max="16384" width="11.44140625" style="16"/>
  </cols>
  <sheetData>
    <row r="2" spans="2:4">
      <c r="B2" s="3" t="s">
        <v>110</v>
      </c>
    </row>
    <row r="3" spans="2:4">
      <c r="B3" s="33" t="s">
        <v>79</v>
      </c>
    </row>
    <row r="4" spans="2:4">
      <c r="B4" s="3" t="s">
        <v>111</v>
      </c>
    </row>
    <row r="5" spans="2:4">
      <c r="B5" s="4" t="s">
        <v>0</v>
      </c>
    </row>
    <row r="6" spans="2:4" ht="19.5" customHeight="1">
      <c r="B6" s="4"/>
    </row>
    <row r="7" spans="2:4" ht="28.5" customHeight="1">
      <c r="B7" s="71" t="s">
        <v>117</v>
      </c>
      <c r="C7" s="71"/>
      <c r="D7" s="71"/>
    </row>
    <row r="8" spans="2:4" ht="31.5" customHeight="1">
      <c r="B8" s="34" t="s">
        <v>54</v>
      </c>
      <c r="C8" s="34" t="s">
        <v>119</v>
      </c>
      <c r="D8" s="34" t="s">
        <v>55</v>
      </c>
    </row>
    <row r="9" spans="2:4">
      <c r="B9" s="27" t="s">
        <v>16</v>
      </c>
      <c r="C9" s="41">
        <v>472.840935</v>
      </c>
      <c r="D9" s="44">
        <v>3.3346290000000001</v>
      </c>
    </row>
    <row r="10" spans="2:4">
      <c r="B10" s="28" t="s">
        <v>14</v>
      </c>
      <c r="C10" s="42">
        <v>486.391167</v>
      </c>
      <c r="D10" s="45">
        <v>2.0216660000000002</v>
      </c>
    </row>
    <row r="11" spans="2:4">
      <c r="B11" s="28" t="s">
        <v>18</v>
      </c>
      <c r="C11" s="42">
        <v>491.96744899999999</v>
      </c>
      <c r="D11" s="45">
        <v>2.4884050000000002</v>
      </c>
    </row>
    <row r="12" spans="2:4">
      <c r="B12" s="28" t="s">
        <v>28</v>
      </c>
      <c r="C12" s="42">
        <v>490.14267899999999</v>
      </c>
      <c r="D12" s="45">
        <v>2.4054479999999998</v>
      </c>
    </row>
    <row r="13" spans="2:4">
      <c r="B13" s="28" t="s">
        <v>20</v>
      </c>
      <c r="C13" s="42">
        <v>413.60918700000002</v>
      </c>
      <c r="D13" s="45">
        <v>3.3284250000000002</v>
      </c>
    </row>
    <row r="14" spans="2:4">
      <c r="B14" s="28" t="s">
        <v>6</v>
      </c>
      <c r="C14" s="42">
        <v>499.31382000000002</v>
      </c>
      <c r="D14" s="45">
        <v>2.0918540000000001</v>
      </c>
    </row>
    <row r="15" spans="2:4">
      <c r="B15" s="28" t="s">
        <v>1</v>
      </c>
      <c r="C15" s="42">
        <v>406.76229599999999</v>
      </c>
      <c r="D15" s="45">
        <v>2.5049959999999998</v>
      </c>
    </row>
    <row r="16" spans="2:4">
      <c r="B16" s="28" t="s">
        <v>82</v>
      </c>
      <c r="C16" s="42">
        <v>420.41810199999998</v>
      </c>
      <c r="D16" s="45">
        <v>1.3599239999999999</v>
      </c>
    </row>
    <row r="17" spans="1:4">
      <c r="B17" s="28" t="s">
        <v>29</v>
      </c>
      <c r="C17" s="42">
        <v>375.14588800000001</v>
      </c>
      <c r="D17" s="45">
        <v>3.7458459999999998</v>
      </c>
    </row>
    <row r="18" spans="1:4">
      <c r="B18" s="28" t="s">
        <v>25</v>
      </c>
      <c r="C18" s="42">
        <v>528.34877200000005</v>
      </c>
      <c r="D18" s="45">
        <v>4.4267589999999997</v>
      </c>
    </row>
    <row r="19" spans="1:4">
      <c r="B19" s="28" t="s">
        <v>83</v>
      </c>
      <c r="C19" s="42">
        <v>380.86507899999998</v>
      </c>
      <c r="D19" s="45">
        <v>2.5216669999999999</v>
      </c>
    </row>
    <row r="20" spans="1:4">
      <c r="B20" s="28" t="s">
        <v>15</v>
      </c>
      <c r="C20" s="42">
        <v>465.62969399999997</v>
      </c>
      <c r="D20" s="45">
        <v>2.6164100000000001</v>
      </c>
    </row>
    <row r="21" spans="1:4">
      <c r="B21" s="28" t="s">
        <v>8</v>
      </c>
      <c r="C21" s="42">
        <v>494.96112599999998</v>
      </c>
      <c r="D21" s="45">
        <v>2.3384839999999998</v>
      </c>
    </row>
    <row r="22" spans="1:4">
      <c r="B22" s="28" t="s">
        <v>10</v>
      </c>
      <c r="C22" s="42">
        <v>484.94744800000001</v>
      </c>
      <c r="D22" s="45">
        <v>1.929106</v>
      </c>
    </row>
    <row r="23" spans="1:4">
      <c r="B23" s="28" t="s">
        <v>26</v>
      </c>
      <c r="C23" s="42">
        <v>476.61821700000002</v>
      </c>
      <c r="D23" s="45">
        <v>1.7222109999999999</v>
      </c>
    </row>
    <row r="24" spans="1:4">
      <c r="B24" s="28" t="s">
        <v>7</v>
      </c>
      <c r="C24" s="42">
        <v>463.561331</v>
      </c>
      <c r="D24" s="45">
        <v>4.3287519999999997</v>
      </c>
    </row>
    <row r="25" spans="1:4">
      <c r="B25" s="28" t="s">
        <v>21</v>
      </c>
      <c r="C25" s="42">
        <v>508.98358100000002</v>
      </c>
      <c r="D25" s="45">
        <v>2.194188</v>
      </c>
    </row>
    <row r="26" spans="1:4">
      <c r="B26" s="28" t="s">
        <v>34</v>
      </c>
      <c r="C26" s="42">
        <v>486.00872299999997</v>
      </c>
      <c r="D26" s="45">
        <v>2.225749</v>
      </c>
    </row>
    <row r="27" spans="1:4">
      <c r="B27" s="28" t="s">
        <v>5</v>
      </c>
      <c r="C27" s="42">
        <v>472.66216700000001</v>
      </c>
      <c r="D27" s="45">
        <v>2.7211530000000002</v>
      </c>
    </row>
    <row r="28" spans="1:4">
      <c r="B28" s="28" t="s">
        <v>37</v>
      </c>
      <c r="C28" s="42">
        <v>434.29817600000001</v>
      </c>
      <c r="D28" s="45">
        <v>2.90185</v>
      </c>
    </row>
    <row r="29" spans="1:4">
      <c r="B29" s="28" t="s">
        <v>4</v>
      </c>
      <c r="C29" s="42">
        <v>468.84685400000001</v>
      </c>
      <c r="D29" s="45">
        <v>2.8469280000000001</v>
      </c>
    </row>
    <row r="30" spans="1:4">
      <c r="A30" s="3"/>
      <c r="B30" s="28" t="s">
        <v>9</v>
      </c>
      <c r="C30" s="42">
        <v>489.824096</v>
      </c>
      <c r="D30" s="45">
        <v>2.1329229999999999</v>
      </c>
    </row>
    <row r="31" spans="1:4">
      <c r="B31" s="28" t="s">
        <v>19</v>
      </c>
      <c r="C31" s="42">
        <v>459.749212</v>
      </c>
      <c r="D31" s="45">
        <v>1.8514090000000001</v>
      </c>
    </row>
    <row r="32" spans="1:4">
      <c r="B32" s="28" t="s">
        <v>11</v>
      </c>
      <c r="C32" s="42">
        <v>463.10493500000001</v>
      </c>
      <c r="D32" s="45">
        <v>3.4263080000000001</v>
      </c>
    </row>
    <row r="33" spans="2:4">
      <c r="B33" s="28" t="s">
        <v>12</v>
      </c>
      <c r="C33" s="42">
        <v>473.67217499999998</v>
      </c>
      <c r="D33" s="45">
        <v>3.3235670000000002</v>
      </c>
    </row>
    <row r="34" spans="2:4">
      <c r="B34" s="28" t="s">
        <v>2</v>
      </c>
      <c r="C34" s="42">
        <v>534.09921599999996</v>
      </c>
      <c r="D34" s="45">
        <v>2.875013</v>
      </c>
    </row>
    <row r="35" spans="2:4">
      <c r="B35" s="28" t="s">
        <v>23</v>
      </c>
      <c r="C35" s="42">
        <v>480.72399200000001</v>
      </c>
      <c r="D35" s="45">
        <v>2.3274650000000001</v>
      </c>
    </row>
    <row r="36" spans="2:4">
      <c r="B36" s="28" t="s">
        <v>32</v>
      </c>
      <c r="C36" s="42">
        <v>470.94453499999997</v>
      </c>
      <c r="D36" s="45">
        <v>2.0500989999999999</v>
      </c>
    </row>
    <row r="37" spans="2:4">
      <c r="B37" s="28" t="s">
        <v>17</v>
      </c>
      <c r="C37" s="42">
        <v>465.62947700000001</v>
      </c>
      <c r="D37" s="45">
        <v>2.0897209999999999</v>
      </c>
    </row>
    <row r="38" spans="2:4">
      <c r="B38" s="28" t="s">
        <v>3</v>
      </c>
      <c r="C38" s="42">
        <v>388.53443199999998</v>
      </c>
      <c r="D38" s="45">
        <v>2.7233580000000002</v>
      </c>
    </row>
    <row r="39" spans="2:4">
      <c r="B39" s="28" t="s">
        <v>13</v>
      </c>
      <c r="C39" s="42">
        <v>475.85274099999998</v>
      </c>
      <c r="D39" s="45">
        <v>2.3948879999999999</v>
      </c>
    </row>
    <row r="40" spans="2:4">
      <c r="B40" s="28" t="s">
        <v>27</v>
      </c>
      <c r="C40" s="42">
        <v>481.31229999999999</v>
      </c>
      <c r="D40" s="45">
        <v>2.3760340000000002</v>
      </c>
    </row>
    <row r="41" spans="2:4">
      <c r="B41" s="28" t="s">
        <v>31</v>
      </c>
      <c r="C41" s="42">
        <v>489.72799400000002</v>
      </c>
      <c r="D41" s="45">
        <v>4.0069499999999998</v>
      </c>
    </row>
    <row r="42" spans="2:4">
      <c r="B42" s="28" t="s">
        <v>35</v>
      </c>
      <c r="C42" s="42">
        <v>488.05111699999998</v>
      </c>
      <c r="D42" s="45">
        <v>2.4939969999999998</v>
      </c>
    </row>
    <row r="43" spans="2:4">
      <c r="B43" s="28" t="s">
        <v>36</v>
      </c>
      <c r="C43" s="42">
        <v>469.80855100000002</v>
      </c>
      <c r="D43" s="45">
        <v>3.0015649999999998</v>
      </c>
    </row>
    <row r="44" spans="2:4">
      <c r="B44" s="28" t="s">
        <v>38</v>
      </c>
      <c r="C44" s="42">
        <v>490.43152300000003</v>
      </c>
      <c r="D44" s="45">
        <v>2.378028</v>
      </c>
    </row>
    <row r="45" spans="2:4">
      <c r="B45" s="28" t="s">
        <v>84</v>
      </c>
      <c r="C45" s="42">
        <v>485.53201899999999</v>
      </c>
      <c r="D45" s="45">
        <v>2.3121589999999999</v>
      </c>
    </row>
    <row r="46" spans="2:4">
      <c r="B46" s="28" t="s">
        <v>85</v>
      </c>
      <c r="C46" s="42">
        <v>467.03381200000001</v>
      </c>
      <c r="D46" s="45">
        <v>2.9774959999999999</v>
      </c>
    </row>
    <row r="47" spans="2:4">
      <c r="B47" s="28" t="s">
        <v>33</v>
      </c>
      <c r="C47" s="42">
        <v>422.85602</v>
      </c>
      <c r="D47" s="45">
        <v>4.234165</v>
      </c>
    </row>
    <row r="48" spans="2:4">
      <c r="B48" s="28" t="s">
        <v>22</v>
      </c>
      <c r="C48" s="42">
        <v>491.43144899999999</v>
      </c>
      <c r="D48" s="45">
        <v>2.1807310000000002</v>
      </c>
    </row>
    <row r="49" spans="2:4">
      <c r="B49" s="28" t="s">
        <v>24</v>
      </c>
      <c r="C49" s="42">
        <v>512.78701999999998</v>
      </c>
      <c r="D49" s="45">
        <v>2.4038539999999999</v>
      </c>
    </row>
    <row r="50" spans="2:4">
      <c r="B50" s="28" t="s">
        <v>30</v>
      </c>
      <c r="C50" s="42">
        <v>453.62964899999997</v>
      </c>
      <c r="D50" s="45">
        <v>1.9909699999999999</v>
      </c>
    </row>
    <row r="51" spans="2:4">
      <c r="B51" s="28"/>
      <c r="C51" s="42"/>
      <c r="D51" s="45"/>
    </row>
    <row r="52" spans="2:4">
      <c r="B52" s="28" t="s">
        <v>39</v>
      </c>
      <c r="C52" s="42">
        <v>472.67341800000003</v>
      </c>
      <c r="D52" s="45">
        <v>0.44860899999999998</v>
      </c>
    </row>
    <row r="53" spans="2:4">
      <c r="B53" s="28" t="s">
        <v>40</v>
      </c>
      <c r="C53" s="42">
        <v>473.809844</v>
      </c>
      <c r="D53" s="45">
        <v>0.95509699999999997</v>
      </c>
    </row>
    <row r="54" spans="2:4">
      <c r="B54" s="28"/>
      <c r="C54" s="42"/>
      <c r="D54" s="45"/>
    </row>
    <row r="55" spans="2:4">
      <c r="B55" s="63" t="s">
        <v>43</v>
      </c>
      <c r="C55" s="42">
        <v>461.34352200000001</v>
      </c>
      <c r="D55" s="45">
        <v>5.0468659999999996</v>
      </c>
    </row>
    <row r="56" spans="2:4">
      <c r="B56" s="63" t="s">
        <v>44</v>
      </c>
      <c r="C56" s="42">
        <v>490.56770699999998</v>
      </c>
      <c r="D56" s="45">
        <v>6.9698729999999998</v>
      </c>
    </row>
    <row r="57" spans="2:4">
      <c r="B57" s="63" t="s">
        <v>175</v>
      </c>
      <c r="C57" s="42">
        <v>499.96219100000002</v>
      </c>
      <c r="D57" s="45">
        <v>7.8297140000000001</v>
      </c>
    </row>
    <row r="58" spans="2:4">
      <c r="B58" s="63" t="s">
        <v>57</v>
      </c>
      <c r="C58" s="42">
        <v>479.37596200000002</v>
      </c>
      <c r="D58" s="45">
        <v>5.2488780000000004</v>
      </c>
    </row>
    <row r="59" spans="2:4">
      <c r="B59" s="63" t="s">
        <v>176</v>
      </c>
      <c r="C59" s="42">
        <v>476.13042799999999</v>
      </c>
      <c r="D59" s="45">
        <v>4.3432139999999997</v>
      </c>
    </row>
    <row r="60" spans="2:4">
      <c r="B60" s="63" t="s">
        <v>46</v>
      </c>
      <c r="C60" s="42">
        <v>451.84617900000001</v>
      </c>
      <c r="D60" s="45">
        <v>6.1312069999999999</v>
      </c>
    </row>
    <row r="61" spans="2:4">
      <c r="B61" s="63" t="s">
        <v>47</v>
      </c>
      <c r="C61" s="42">
        <v>496.47494599999999</v>
      </c>
      <c r="D61" s="45">
        <v>10.169206000000001</v>
      </c>
    </row>
    <row r="62" spans="2:4">
      <c r="B62" s="63" t="s">
        <v>48</v>
      </c>
      <c r="C62" s="42">
        <v>504.55243300000001</v>
      </c>
      <c r="D62" s="45">
        <v>5.6031899999999997</v>
      </c>
    </row>
    <row r="63" spans="2:4">
      <c r="B63" s="63" t="s">
        <v>49</v>
      </c>
      <c r="C63" s="42">
        <v>466.70498500000002</v>
      </c>
      <c r="D63" s="45">
        <v>6.3821050000000001</v>
      </c>
    </row>
    <row r="64" spans="2:4">
      <c r="B64" s="63" t="s">
        <v>50</v>
      </c>
      <c r="C64" s="42">
        <v>472.09918900000002</v>
      </c>
      <c r="D64" s="45">
        <v>6.3031600000000001</v>
      </c>
    </row>
    <row r="65" spans="2:4">
      <c r="B65" s="63" t="s">
        <v>51</v>
      </c>
      <c r="C65" s="42">
        <v>399.92895399999998</v>
      </c>
      <c r="D65" s="45">
        <v>16.047051</v>
      </c>
    </row>
    <row r="66" spans="2:4">
      <c r="B66" s="63" t="s">
        <v>41</v>
      </c>
      <c r="C66" s="42">
        <v>470.70182799999998</v>
      </c>
      <c r="D66" s="45">
        <v>6.4584549999999998</v>
      </c>
    </row>
    <row r="67" spans="2:4">
      <c r="B67" s="63" t="s">
        <v>42</v>
      </c>
      <c r="C67" s="42">
        <v>487.95003600000001</v>
      </c>
      <c r="D67" s="45">
        <v>5.3092459999999999</v>
      </c>
    </row>
    <row r="68" spans="2:4">
      <c r="B68" s="63" t="s">
        <v>177</v>
      </c>
      <c r="C68" s="42">
        <v>495.02519100000001</v>
      </c>
      <c r="D68" s="45">
        <v>4.7382669999999996</v>
      </c>
    </row>
    <row r="69" spans="2:4">
      <c r="B69" s="63" t="s">
        <v>53</v>
      </c>
      <c r="C69" s="42">
        <v>410.53903500000001</v>
      </c>
      <c r="D69" s="45">
        <v>15.331712</v>
      </c>
    </row>
    <row r="70" spans="2:4">
      <c r="B70" s="63" t="s">
        <v>178</v>
      </c>
      <c r="C70" s="42">
        <v>466.65282400000001</v>
      </c>
      <c r="D70" s="45">
        <v>5.8218759999999996</v>
      </c>
    </row>
    <row r="71" spans="2:4">
      <c r="B71" s="63" t="s">
        <v>179</v>
      </c>
      <c r="C71" s="42">
        <v>502.53554400000002</v>
      </c>
      <c r="D71" s="45">
        <v>6.9500039999999998</v>
      </c>
    </row>
    <row r="72" spans="2:4">
      <c r="B72" s="63" t="s">
        <v>45</v>
      </c>
      <c r="C72" s="42">
        <v>488.02481799999998</v>
      </c>
      <c r="D72" s="45">
        <v>5.8814679999999999</v>
      </c>
    </row>
    <row r="73" spans="2:4">
      <c r="B73" s="64" t="s">
        <v>52</v>
      </c>
      <c r="C73" s="43">
        <v>491.68655000000001</v>
      </c>
      <c r="D73" s="46">
        <v>9.5679390000000009</v>
      </c>
    </row>
  </sheetData>
  <sortState ref="F55:H73">
    <sortCondition ref="F55"/>
  </sortState>
  <mergeCells count="1">
    <mergeCell ref="B7:D7"/>
  </mergeCells>
  <hyperlinks>
    <hyperlink ref="B5" location="Índice!A1" display="Índice" xr:uid="{00000000-0004-0000-0900-000000000000}"/>
  </hyperlink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D73"/>
  <sheetViews>
    <sheetView zoomScaleNormal="100" workbookViewId="0">
      <selection activeCell="I52" sqref="I52"/>
    </sheetView>
  </sheetViews>
  <sheetFormatPr baseColWidth="10" defaultColWidth="11.44140625" defaultRowHeight="14.4"/>
  <cols>
    <col min="1" max="1" width="11.44140625" style="16"/>
    <col min="2" max="2" width="27.88671875" style="16" customWidth="1"/>
    <col min="3" max="4" width="13.88671875" style="16" customWidth="1"/>
    <col min="5" max="16384" width="11.44140625" style="16"/>
  </cols>
  <sheetData>
    <row r="2" spans="2:4">
      <c r="B2" s="3" t="s">
        <v>112</v>
      </c>
    </row>
    <row r="3" spans="2:4">
      <c r="B3" s="33" t="s">
        <v>79</v>
      </c>
    </row>
    <row r="4" spans="2:4">
      <c r="B4" s="3" t="s">
        <v>113</v>
      </c>
    </row>
    <row r="5" spans="2:4">
      <c r="B5" s="4" t="s">
        <v>0</v>
      </c>
    </row>
    <row r="6" spans="2:4" ht="19.5" customHeight="1">
      <c r="B6" s="4"/>
    </row>
    <row r="7" spans="2:4" ht="28.5" customHeight="1">
      <c r="B7" s="71" t="s">
        <v>117</v>
      </c>
      <c r="C7" s="71"/>
      <c r="D7" s="71"/>
    </row>
    <row r="8" spans="2:4" ht="31.5" customHeight="1">
      <c r="B8" s="34" t="s">
        <v>54</v>
      </c>
      <c r="C8" s="34" t="s">
        <v>119</v>
      </c>
      <c r="D8" s="34" t="s">
        <v>55</v>
      </c>
    </row>
    <row r="9" spans="2:4">
      <c r="B9" s="27" t="s">
        <v>16</v>
      </c>
      <c r="C9" s="41">
        <v>469.332311</v>
      </c>
      <c r="D9" s="44">
        <v>3.4536959999999999</v>
      </c>
    </row>
    <row r="10" spans="2:4">
      <c r="B10" s="28" t="s">
        <v>14</v>
      </c>
      <c r="C10" s="42">
        <v>485.622095</v>
      </c>
      <c r="D10" s="45">
        <v>2.0107080000000002</v>
      </c>
    </row>
    <row r="11" spans="2:4">
      <c r="B11" s="28" t="s">
        <v>18</v>
      </c>
      <c r="C11" s="42">
        <v>481.82049899999998</v>
      </c>
      <c r="D11" s="45">
        <v>2.7715990000000001</v>
      </c>
    </row>
    <row r="12" spans="2:4">
      <c r="B12" s="28" t="s">
        <v>28</v>
      </c>
      <c r="C12" s="42">
        <v>487.90314100000001</v>
      </c>
      <c r="D12" s="45">
        <v>2.642722</v>
      </c>
    </row>
    <row r="13" spans="2:4">
      <c r="B13" s="28" t="s">
        <v>20</v>
      </c>
      <c r="C13" s="42">
        <v>418.14851499999997</v>
      </c>
      <c r="D13" s="45">
        <v>3.8128700000000002</v>
      </c>
    </row>
    <row r="14" spans="2:4">
      <c r="B14" s="28" t="s">
        <v>6</v>
      </c>
      <c r="C14" s="42">
        <v>502.07022499999999</v>
      </c>
      <c r="D14" s="45">
        <v>1.91445</v>
      </c>
    </row>
    <row r="15" spans="2:4">
      <c r="B15" s="28" t="s">
        <v>1</v>
      </c>
      <c r="C15" s="42">
        <v>411.01689299999998</v>
      </c>
      <c r="D15" s="45">
        <v>2.4559220000000002</v>
      </c>
    </row>
    <row r="16" spans="2:4">
      <c r="B16" s="28" t="s">
        <v>82</v>
      </c>
      <c r="C16" s="42">
        <v>422.24306999999999</v>
      </c>
      <c r="D16" s="45">
        <v>1.5883160000000001</v>
      </c>
    </row>
    <row r="17" spans="1:4">
      <c r="B17" s="28" t="s">
        <v>29</v>
      </c>
      <c r="C17" s="42">
        <v>381.22270200000003</v>
      </c>
      <c r="D17" s="45">
        <v>3.4614029999999998</v>
      </c>
    </row>
    <row r="18" spans="1:4">
      <c r="B18" s="28" t="s">
        <v>25</v>
      </c>
      <c r="C18" s="42">
        <v>524.672191</v>
      </c>
      <c r="D18" s="45">
        <v>4.3049390000000001</v>
      </c>
    </row>
    <row r="19" spans="1:4">
      <c r="B19" s="28" t="s">
        <v>83</v>
      </c>
      <c r="C19" s="42">
        <v>380.02272099999999</v>
      </c>
      <c r="D19" s="45">
        <v>2.113737</v>
      </c>
    </row>
    <row r="20" spans="1:4">
      <c r="B20" s="28" t="s">
        <v>15</v>
      </c>
      <c r="C20" s="42">
        <v>464.93464799999998</v>
      </c>
      <c r="D20" s="45">
        <v>2.8334990000000002</v>
      </c>
    </row>
    <row r="21" spans="1:4">
      <c r="B21" s="28" t="s">
        <v>8</v>
      </c>
      <c r="C21" s="42">
        <v>481.82157000000001</v>
      </c>
      <c r="D21" s="45">
        <v>2.2192750000000001</v>
      </c>
    </row>
    <row r="22" spans="1:4">
      <c r="B22" s="28" t="s">
        <v>10</v>
      </c>
      <c r="C22" s="42">
        <v>479.33583499999997</v>
      </c>
      <c r="D22" s="45">
        <v>1.641912</v>
      </c>
    </row>
    <row r="23" spans="1:4">
      <c r="B23" s="28" t="s">
        <v>26</v>
      </c>
      <c r="C23" s="42">
        <v>473.718771</v>
      </c>
      <c r="D23" s="45">
        <v>1.6332230000000001</v>
      </c>
    </row>
    <row r="24" spans="1:4">
      <c r="B24" s="28" t="s">
        <v>7</v>
      </c>
      <c r="C24" s="42">
        <v>465.40184299999999</v>
      </c>
      <c r="D24" s="45">
        <v>4.1143210000000003</v>
      </c>
    </row>
    <row r="25" spans="1:4">
      <c r="B25" s="28" t="s">
        <v>21</v>
      </c>
      <c r="C25" s="42">
        <v>507.85369400000002</v>
      </c>
      <c r="D25" s="45">
        <v>2.1058590000000001</v>
      </c>
    </row>
    <row r="26" spans="1:4">
      <c r="B26" s="28" t="s">
        <v>34</v>
      </c>
      <c r="C26" s="42">
        <v>480.430925</v>
      </c>
      <c r="D26" s="45">
        <v>2.174696</v>
      </c>
    </row>
    <row r="27" spans="1:4">
      <c r="B27" s="28" t="s">
        <v>5</v>
      </c>
      <c r="C27" s="42">
        <v>474.66538400000002</v>
      </c>
      <c r="D27" s="45">
        <v>2.7345329999999999</v>
      </c>
    </row>
    <row r="28" spans="1:4">
      <c r="B28" s="28" t="s">
        <v>37</v>
      </c>
      <c r="C28" s="42">
        <v>430.79790800000001</v>
      </c>
      <c r="D28" s="45">
        <v>2.7390080000000001</v>
      </c>
    </row>
    <row r="29" spans="1:4">
      <c r="B29" s="28" t="s">
        <v>4</v>
      </c>
      <c r="C29" s="42">
        <v>467.371263</v>
      </c>
      <c r="D29" s="45">
        <v>2.800065</v>
      </c>
    </row>
    <row r="30" spans="1:4">
      <c r="A30" s="3"/>
      <c r="B30" s="28" t="s">
        <v>9</v>
      </c>
      <c r="C30" s="42">
        <v>491.64826499999998</v>
      </c>
      <c r="D30" s="45">
        <v>2.4989300000000001</v>
      </c>
    </row>
    <row r="31" spans="1:4">
      <c r="B31" s="28" t="s">
        <v>19</v>
      </c>
      <c r="C31" s="42">
        <v>453.84827200000001</v>
      </c>
      <c r="D31" s="45">
        <v>1.935756</v>
      </c>
    </row>
    <row r="32" spans="1:4">
      <c r="B32" s="28" t="s">
        <v>11</v>
      </c>
      <c r="C32" s="42">
        <v>460.29835500000002</v>
      </c>
      <c r="D32" s="45">
        <v>3.7572009999999998</v>
      </c>
    </row>
    <row r="33" spans="2:4">
      <c r="B33" s="28" t="s">
        <v>12</v>
      </c>
      <c r="C33" s="42">
        <v>468.59703100000002</v>
      </c>
      <c r="D33" s="45">
        <v>3.4789650000000001</v>
      </c>
    </row>
    <row r="34" spans="2:4">
      <c r="B34" s="28" t="s">
        <v>2</v>
      </c>
      <c r="C34" s="42">
        <v>533.12279799999999</v>
      </c>
      <c r="D34" s="45">
        <v>3.30044</v>
      </c>
    </row>
    <row r="35" spans="2:4">
      <c r="B35" s="28" t="s">
        <v>23</v>
      </c>
      <c r="C35" s="42">
        <v>483.74979300000001</v>
      </c>
      <c r="D35" s="45">
        <v>2.2397399999999998</v>
      </c>
    </row>
    <row r="36" spans="2:4">
      <c r="B36" s="28" t="s">
        <v>32</v>
      </c>
      <c r="C36" s="42">
        <v>473.316487</v>
      </c>
      <c r="D36" s="45">
        <v>2.1346129999999999</v>
      </c>
    </row>
    <row r="37" spans="2:4">
      <c r="B37" s="28" t="s">
        <v>17</v>
      </c>
      <c r="C37" s="42">
        <v>464.96676100000002</v>
      </c>
      <c r="D37" s="45">
        <v>1.963716</v>
      </c>
    </row>
    <row r="38" spans="2:4">
      <c r="B38" s="28" t="s">
        <v>3</v>
      </c>
      <c r="C38" s="42">
        <v>391.30697800000002</v>
      </c>
      <c r="D38" s="45">
        <v>2.6585540000000001</v>
      </c>
    </row>
    <row r="39" spans="2:4">
      <c r="B39" s="28" t="s">
        <v>13</v>
      </c>
      <c r="C39" s="42">
        <v>464.52779399999997</v>
      </c>
      <c r="D39" s="45">
        <v>2.2823880000000001</v>
      </c>
    </row>
    <row r="40" spans="2:4">
      <c r="B40" s="28" t="s">
        <v>27</v>
      </c>
      <c r="C40" s="42">
        <v>476.13419499999998</v>
      </c>
      <c r="D40" s="45">
        <v>2.2296680000000002</v>
      </c>
    </row>
    <row r="41" spans="2:4">
      <c r="B41" s="28" t="s">
        <v>31</v>
      </c>
      <c r="C41" s="42">
        <v>489.48584799999998</v>
      </c>
      <c r="D41" s="45">
        <v>4.5226050000000004</v>
      </c>
    </row>
    <row r="42" spans="2:4">
      <c r="B42" s="28" t="s">
        <v>35</v>
      </c>
      <c r="C42" s="42">
        <v>483.43633299999999</v>
      </c>
      <c r="D42" s="45">
        <v>2.795436</v>
      </c>
    </row>
    <row r="43" spans="2:4">
      <c r="B43" s="28" t="s">
        <v>36</v>
      </c>
      <c r="C43" s="42">
        <v>471.059192</v>
      </c>
      <c r="D43" s="45">
        <v>2.6767750000000001</v>
      </c>
    </row>
    <row r="44" spans="2:4">
      <c r="B44" s="28" t="s">
        <v>38</v>
      </c>
      <c r="C44" s="42">
        <v>487.49884200000002</v>
      </c>
      <c r="D44" s="45">
        <v>2.4154010000000001</v>
      </c>
    </row>
    <row r="45" spans="2:4">
      <c r="B45" s="28" t="s">
        <v>84</v>
      </c>
      <c r="C45" s="42">
        <v>479.722149</v>
      </c>
      <c r="D45" s="45">
        <v>2.564899</v>
      </c>
    </row>
    <row r="46" spans="2:4">
      <c r="B46" s="28" t="s">
        <v>85</v>
      </c>
      <c r="C46" s="42">
        <v>457.58143699999999</v>
      </c>
      <c r="D46" s="45">
        <v>3.1555870000000001</v>
      </c>
    </row>
    <row r="47" spans="2:4">
      <c r="B47" s="28" t="s">
        <v>33</v>
      </c>
      <c r="C47" s="42">
        <v>424.94355300000001</v>
      </c>
      <c r="D47" s="45">
        <v>4.7189699999999997</v>
      </c>
    </row>
    <row r="48" spans="2:4">
      <c r="B48" s="28" t="s">
        <v>22</v>
      </c>
      <c r="C48" s="42">
        <v>479.906497</v>
      </c>
      <c r="D48" s="45">
        <v>2.2448009999999998</v>
      </c>
    </row>
    <row r="49" spans="2:4">
      <c r="B49" s="28" t="s">
        <v>24</v>
      </c>
      <c r="C49" s="42">
        <v>503.80441400000001</v>
      </c>
      <c r="D49" s="45">
        <v>2.4021149999999998</v>
      </c>
    </row>
    <row r="50" spans="2:4">
      <c r="B50" s="28" t="s">
        <v>30</v>
      </c>
      <c r="C50" s="42">
        <v>449.49571900000001</v>
      </c>
      <c r="D50" s="45">
        <v>1.852846</v>
      </c>
    </row>
    <row r="51" spans="2:4">
      <c r="B51" s="28"/>
      <c r="C51" s="42"/>
      <c r="D51" s="45"/>
    </row>
    <row r="52" spans="2:4">
      <c r="B52" s="28" t="s">
        <v>39</v>
      </c>
      <c r="C52" s="42">
        <v>469.82757800000002</v>
      </c>
      <c r="D52" s="45">
        <v>0.45264199999999999</v>
      </c>
    </row>
    <row r="53" spans="2:4">
      <c r="B53" s="28" t="s">
        <v>40</v>
      </c>
      <c r="C53" s="42">
        <v>471.323984</v>
      </c>
      <c r="D53" s="45">
        <v>1.0222739999999999</v>
      </c>
    </row>
    <row r="54" spans="2:4">
      <c r="B54" s="28"/>
      <c r="C54" s="42"/>
      <c r="D54" s="45"/>
    </row>
    <row r="55" spans="2:4">
      <c r="B55" s="63" t="s">
        <v>43</v>
      </c>
      <c r="C55" s="42">
        <v>457.45596</v>
      </c>
      <c r="D55" s="45">
        <v>5.060975</v>
      </c>
    </row>
    <row r="56" spans="2:4">
      <c r="B56" s="63" t="s">
        <v>44</v>
      </c>
      <c r="C56" s="42">
        <v>485.858993</v>
      </c>
      <c r="D56" s="45">
        <v>7.0403079999999996</v>
      </c>
    </row>
    <row r="57" spans="2:4">
      <c r="B57" s="63" t="s">
        <v>175</v>
      </c>
      <c r="C57" s="42">
        <v>496.96726699999999</v>
      </c>
      <c r="D57" s="45">
        <v>7.4701310000000003</v>
      </c>
    </row>
    <row r="58" spans="2:4">
      <c r="B58" s="63" t="s">
        <v>57</v>
      </c>
      <c r="C58" s="42">
        <v>473.481582</v>
      </c>
      <c r="D58" s="45">
        <v>5.9570689999999997</v>
      </c>
    </row>
    <row r="59" spans="2:4">
      <c r="B59" s="63" t="s">
        <v>176</v>
      </c>
      <c r="C59" s="42">
        <v>473.18606299999999</v>
      </c>
      <c r="D59" s="45">
        <v>4.5586779999999996</v>
      </c>
    </row>
    <row r="60" spans="2:4">
      <c r="B60" s="63" t="s">
        <v>46</v>
      </c>
      <c r="C60" s="42">
        <v>449.15572400000002</v>
      </c>
      <c r="D60" s="45">
        <v>6.7260819999999999</v>
      </c>
    </row>
    <row r="61" spans="2:4">
      <c r="B61" s="63" t="s">
        <v>47</v>
      </c>
      <c r="C61" s="42">
        <v>496.964628</v>
      </c>
      <c r="D61" s="45">
        <v>9.4399139999999999</v>
      </c>
    </row>
    <row r="62" spans="2:4">
      <c r="B62" s="63" t="s">
        <v>48</v>
      </c>
      <c r="C62" s="42">
        <v>500.46630800000003</v>
      </c>
      <c r="D62" s="45">
        <v>5.4635160000000003</v>
      </c>
    </row>
    <row r="63" spans="2:4">
      <c r="B63" s="63" t="s">
        <v>49</v>
      </c>
      <c r="C63" s="42">
        <v>463.112729</v>
      </c>
      <c r="D63" s="45">
        <v>4.6451969999999996</v>
      </c>
    </row>
    <row r="64" spans="2:4">
      <c r="B64" s="63" t="s">
        <v>50</v>
      </c>
      <c r="C64" s="42">
        <v>470.87009</v>
      </c>
      <c r="D64" s="45">
        <v>6.0707139999999997</v>
      </c>
    </row>
    <row r="65" spans="2:4">
      <c r="B65" s="63" t="s">
        <v>51</v>
      </c>
      <c r="C65" s="42">
        <v>391.10991100000001</v>
      </c>
      <c r="D65" s="45">
        <v>13.456063</v>
      </c>
    </row>
    <row r="66" spans="2:4">
      <c r="B66" s="63" t="s">
        <v>41</v>
      </c>
      <c r="C66" s="42">
        <v>463.12030600000003</v>
      </c>
      <c r="D66" s="45">
        <v>8.1110729999999993</v>
      </c>
    </row>
    <row r="67" spans="2:4">
      <c r="B67" s="63" t="s">
        <v>42</v>
      </c>
      <c r="C67" s="42">
        <v>485.68795999999998</v>
      </c>
      <c r="D67" s="45">
        <v>4.9972700000000003</v>
      </c>
    </row>
    <row r="68" spans="2:4">
      <c r="B68" s="63" t="s">
        <v>177</v>
      </c>
      <c r="C68" s="42">
        <v>494.93526500000002</v>
      </c>
      <c r="D68" s="45">
        <v>4.7896720000000004</v>
      </c>
    </row>
    <row r="69" spans="2:4">
      <c r="B69" s="63" t="s">
        <v>53</v>
      </c>
      <c r="C69" s="42">
        <v>399.77024399999999</v>
      </c>
      <c r="D69" s="45">
        <v>11.643896</v>
      </c>
    </row>
    <row r="70" spans="2:4">
      <c r="B70" s="63" t="s">
        <v>178</v>
      </c>
      <c r="C70" s="42">
        <v>463.51114000000001</v>
      </c>
      <c r="D70" s="45">
        <v>5.9765940000000004</v>
      </c>
    </row>
    <row r="71" spans="2:4">
      <c r="B71" s="63" t="s">
        <v>179</v>
      </c>
      <c r="C71" s="42">
        <v>493.48203000000001</v>
      </c>
      <c r="D71" s="45">
        <v>8.5670249999999992</v>
      </c>
    </row>
    <row r="72" spans="2:4">
      <c r="B72" s="63" t="s">
        <v>45</v>
      </c>
      <c r="C72" s="42">
        <v>482.75919800000003</v>
      </c>
      <c r="D72" s="45">
        <v>5.6529740000000004</v>
      </c>
    </row>
    <row r="73" spans="2:4">
      <c r="B73" s="64" t="s">
        <v>52</v>
      </c>
      <c r="C73" s="43">
        <v>488.40902299999999</v>
      </c>
      <c r="D73" s="46">
        <v>12.257507</v>
      </c>
    </row>
  </sheetData>
  <sortState ref="F55:H73">
    <sortCondition ref="F55"/>
  </sortState>
  <mergeCells count="1">
    <mergeCell ref="B7:D7"/>
  </mergeCells>
  <hyperlinks>
    <hyperlink ref="B5" location="Índice!A1" display="Índice" xr:uid="{00000000-0004-0000-0A00-000000000000}"/>
  </hyperlink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D73"/>
  <sheetViews>
    <sheetView zoomScaleNormal="100" workbookViewId="0">
      <selection activeCell="K64" sqref="K64"/>
    </sheetView>
  </sheetViews>
  <sheetFormatPr baseColWidth="10" defaultColWidth="11.44140625" defaultRowHeight="14.4"/>
  <cols>
    <col min="1" max="1" width="11.44140625" style="16"/>
    <col min="2" max="2" width="27.88671875" style="16" customWidth="1"/>
    <col min="3" max="4" width="13.88671875" style="16" customWidth="1"/>
    <col min="5" max="16384" width="11.44140625" style="16"/>
  </cols>
  <sheetData>
    <row r="2" spans="2:4">
      <c r="B2" s="3" t="s">
        <v>115</v>
      </c>
    </row>
    <row r="3" spans="2:4">
      <c r="B3" s="33" t="s">
        <v>79</v>
      </c>
    </row>
    <row r="4" spans="2:4">
      <c r="B4" s="3" t="s">
        <v>116</v>
      </c>
    </row>
    <row r="5" spans="2:4">
      <c r="B5" s="4" t="s">
        <v>0</v>
      </c>
    </row>
    <row r="6" spans="2:4" ht="19.5" customHeight="1">
      <c r="B6" s="4"/>
    </row>
    <row r="7" spans="2:4" ht="28.5" customHeight="1">
      <c r="B7" s="71" t="s">
        <v>117</v>
      </c>
      <c r="C7" s="71"/>
      <c r="D7" s="71"/>
    </row>
    <row r="8" spans="2:4" ht="31.5" customHeight="1">
      <c r="B8" s="34" t="s">
        <v>54</v>
      </c>
      <c r="C8" s="34" t="s">
        <v>119</v>
      </c>
      <c r="D8" s="34" t="s">
        <v>55</v>
      </c>
    </row>
    <row r="9" spans="2:4">
      <c r="B9" s="27" t="s">
        <v>16</v>
      </c>
      <c r="C9" s="41">
        <v>476.83244200000001</v>
      </c>
      <c r="D9" s="44">
        <v>3.2291289999999999</v>
      </c>
    </row>
    <row r="10" spans="2:4">
      <c r="B10" s="28" t="s">
        <v>14</v>
      </c>
      <c r="C10" s="42">
        <v>483.211637</v>
      </c>
      <c r="D10" s="45">
        <v>1.9354530000000001</v>
      </c>
    </row>
    <row r="11" spans="2:4">
      <c r="B11" s="28" t="s">
        <v>18</v>
      </c>
      <c r="C11" s="42">
        <v>490.50134100000002</v>
      </c>
      <c r="D11" s="45">
        <v>2.5561219999999998</v>
      </c>
    </row>
    <row r="12" spans="2:4">
      <c r="B12" s="28" t="s">
        <v>28</v>
      </c>
      <c r="C12" s="42">
        <v>487.94410299999998</v>
      </c>
      <c r="D12" s="45">
        <v>2.436016</v>
      </c>
    </row>
    <row r="13" spans="2:4">
      <c r="B13" s="28" t="s">
        <v>20</v>
      </c>
      <c r="C13" s="42">
        <v>418.81399199999998</v>
      </c>
      <c r="D13" s="45">
        <v>3.5382030000000002</v>
      </c>
    </row>
    <row r="14" spans="2:4">
      <c r="B14" s="28" t="s">
        <v>6</v>
      </c>
      <c r="C14" s="42">
        <v>493.79153500000001</v>
      </c>
      <c r="D14" s="45">
        <v>2.015733</v>
      </c>
    </row>
    <row r="15" spans="2:4">
      <c r="B15" s="28" t="s">
        <v>1</v>
      </c>
      <c r="C15" s="42">
        <v>408.99957599999999</v>
      </c>
      <c r="D15" s="45">
        <v>2.2903129999999998</v>
      </c>
    </row>
    <row r="16" spans="2:4">
      <c r="B16" s="28" t="s">
        <v>82</v>
      </c>
      <c r="C16" s="42">
        <v>412.27370300000001</v>
      </c>
      <c r="D16" s="45">
        <v>1.7933699999999999</v>
      </c>
    </row>
    <row r="17" spans="1:4">
      <c r="B17" s="28" t="s">
        <v>29</v>
      </c>
      <c r="C17" s="42">
        <v>380.66567700000002</v>
      </c>
      <c r="D17" s="45">
        <v>2.9024220000000001</v>
      </c>
    </row>
    <row r="18" spans="1:4">
      <c r="B18" s="28" t="s">
        <v>25</v>
      </c>
      <c r="C18" s="42">
        <v>526.88016500000003</v>
      </c>
      <c r="D18" s="45">
        <v>4.0026039999999998</v>
      </c>
    </row>
    <row r="19" spans="1:4">
      <c r="B19" s="28" t="s">
        <v>83</v>
      </c>
      <c r="C19" s="42">
        <v>384.72546499999999</v>
      </c>
      <c r="D19" s="45">
        <v>2.2294860000000001</v>
      </c>
    </row>
    <row r="20" spans="1:4">
      <c r="B20" s="28" t="s">
        <v>15</v>
      </c>
      <c r="C20" s="42">
        <v>463.62868700000001</v>
      </c>
      <c r="D20" s="45">
        <v>2.440083</v>
      </c>
    </row>
    <row r="21" spans="1:4">
      <c r="B21" s="28" t="s">
        <v>8</v>
      </c>
      <c r="C21" s="42">
        <v>485.31338499999998</v>
      </c>
      <c r="D21" s="45">
        <v>2.0639889999999999</v>
      </c>
    </row>
    <row r="22" spans="1:4">
      <c r="B22" s="28" t="s">
        <v>10</v>
      </c>
      <c r="C22" s="42">
        <v>485.26820300000003</v>
      </c>
      <c r="D22" s="45">
        <v>1.4196070000000001</v>
      </c>
    </row>
    <row r="23" spans="1:4">
      <c r="B23" s="28" t="s">
        <v>26</v>
      </c>
      <c r="C23" s="42">
        <v>471.22460699999999</v>
      </c>
      <c r="D23" s="45">
        <v>1.7320329999999999</v>
      </c>
    </row>
    <row r="24" spans="1:4">
      <c r="B24" s="28" t="s">
        <v>7</v>
      </c>
      <c r="C24" s="42">
        <v>460.71592700000002</v>
      </c>
      <c r="D24" s="45">
        <v>4.2724979999999997</v>
      </c>
    </row>
    <row r="25" spans="1:4">
      <c r="B25" s="28" t="s">
        <v>21</v>
      </c>
      <c r="C25" s="42">
        <v>515.05875700000001</v>
      </c>
      <c r="D25" s="45">
        <v>2.2652760000000001</v>
      </c>
    </row>
    <row r="26" spans="1:4">
      <c r="B26" s="28" t="s">
        <v>34</v>
      </c>
      <c r="C26" s="42">
        <v>485.306084</v>
      </c>
      <c r="D26" s="45">
        <v>2.1324420000000002</v>
      </c>
    </row>
    <row r="27" spans="1:4">
      <c r="B27" s="28" t="s">
        <v>5</v>
      </c>
      <c r="C27" s="42">
        <v>469.951258</v>
      </c>
      <c r="D27" s="45">
        <v>2.6078809999999999</v>
      </c>
    </row>
    <row r="28" spans="1:4">
      <c r="B28" s="28" t="s">
        <v>37</v>
      </c>
      <c r="C28" s="42">
        <v>424.11937699999999</v>
      </c>
      <c r="D28" s="45">
        <v>2.4923679999999999</v>
      </c>
    </row>
    <row r="29" spans="1:4">
      <c r="B29" s="28" t="s">
        <v>4</v>
      </c>
      <c r="C29" s="42">
        <v>478.55753700000002</v>
      </c>
      <c r="D29" s="45">
        <v>2.9545189999999999</v>
      </c>
    </row>
    <row r="30" spans="1:4">
      <c r="A30" s="3"/>
      <c r="B30" s="28" t="s">
        <v>9</v>
      </c>
      <c r="C30" s="42">
        <v>493.585061</v>
      </c>
      <c r="D30" s="45">
        <v>2.2027800000000002</v>
      </c>
    </row>
    <row r="31" spans="1:4">
      <c r="B31" s="28" t="s">
        <v>19</v>
      </c>
      <c r="C31" s="42">
        <v>458.57381199999998</v>
      </c>
      <c r="D31" s="45">
        <v>1.7291000000000001</v>
      </c>
    </row>
    <row r="32" spans="1:4">
      <c r="B32" s="28" t="s">
        <v>11</v>
      </c>
      <c r="C32" s="42">
        <v>459.22813300000001</v>
      </c>
      <c r="D32" s="45">
        <v>3.4915590000000001</v>
      </c>
    </row>
    <row r="33" spans="2:4">
      <c r="B33" s="28" t="s">
        <v>12</v>
      </c>
      <c r="C33" s="42">
        <v>469.69538799999998</v>
      </c>
      <c r="D33" s="45">
        <v>3.2096140000000002</v>
      </c>
    </row>
    <row r="34" spans="2:4">
      <c r="B34" s="28" t="s">
        <v>2</v>
      </c>
      <c r="C34" s="42">
        <v>534.90202099999999</v>
      </c>
      <c r="D34" s="45">
        <v>3.3012670000000002</v>
      </c>
    </row>
    <row r="35" spans="2:4">
      <c r="B35" s="28" t="s">
        <v>23</v>
      </c>
      <c r="C35" s="42">
        <v>484.79157700000002</v>
      </c>
      <c r="D35" s="45">
        <v>2.1360570000000001</v>
      </c>
    </row>
    <row r="36" spans="2:4">
      <c r="B36" s="28" t="s">
        <v>32</v>
      </c>
      <c r="C36" s="42">
        <v>478.78280000000001</v>
      </c>
      <c r="D36" s="45">
        <v>2.1102949999999998</v>
      </c>
    </row>
    <row r="37" spans="2:4">
      <c r="B37" s="28" t="s">
        <v>17</v>
      </c>
      <c r="C37" s="42">
        <v>460.34991600000001</v>
      </c>
      <c r="D37" s="45">
        <v>1.786246</v>
      </c>
    </row>
    <row r="38" spans="2:4">
      <c r="B38" s="28" t="s">
        <v>3</v>
      </c>
      <c r="C38" s="42">
        <v>397.07134400000001</v>
      </c>
      <c r="D38" s="45">
        <v>2.465811</v>
      </c>
    </row>
    <row r="39" spans="2:4">
      <c r="B39" s="28" t="s">
        <v>13</v>
      </c>
      <c r="C39" s="42">
        <v>468.6026</v>
      </c>
      <c r="D39" s="45">
        <v>2.3777339999999998</v>
      </c>
    </row>
    <row r="40" spans="2:4">
      <c r="B40" s="28" t="s">
        <v>27</v>
      </c>
      <c r="C40" s="42">
        <v>478.47184099999998</v>
      </c>
      <c r="D40" s="45">
        <v>2.247128</v>
      </c>
    </row>
    <row r="41" spans="2:4">
      <c r="B41" s="28" t="s">
        <v>31</v>
      </c>
      <c r="C41" s="42">
        <v>496.54448200000002</v>
      </c>
      <c r="D41" s="45">
        <v>4.0169730000000001</v>
      </c>
    </row>
    <row r="42" spans="2:4">
      <c r="B42" s="28" t="s">
        <v>35</v>
      </c>
      <c r="C42" s="42">
        <v>492.68619699999999</v>
      </c>
      <c r="D42" s="45">
        <v>2.6536930000000001</v>
      </c>
    </row>
    <row r="43" spans="2:4">
      <c r="B43" s="28" t="s">
        <v>36</v>
      </c>
      <c r="C43" s="42">
        <v>465.82954699999999</v>
      </c>
      <c r="D43" s="45">
        <v>2.689222</v>
      </c>
    </row>
    <row r="44" spans="2:4">
      <c r="B44" s="28" t="s">
        <v>38</v>
      </c>
      <c r="C44" s="42">
        <v>487.78565300000002</v>
      </c>
      <c r="D44" s="45">
        <v>2.3801230000000002</v>
      </c>
    </row>
    <row r="45" spans="2:4">
      <c r="B45" s="28" t="s">
        <v>84</v>
      </c>
      <c r="C45" s="42">
        <v>490.130651</v>
      </c>
      <c r="D45" s="45">
        <v>2.3155049999999999</v>
      </c>
    </row>
    <row r="46" spans="2:4">
      <c r="B46" s="28" t="s">
        <v>85</v>
      </c>
      <c r="C46" s="42">
        <v>468.46560799999997</v>
      </c>
      <c r="D46" s="45">
        <v>3.1655419999999999</v>
      </c>
    </row>
    <row r="47" spans="2:4">
      <c r="B47" s="28" t="s">
        <v>33</v>
      </c>
      <c r="C47" s="42">
        <v>429.46707300000003</v>
      </c>
      <c r="D47" s="45">
        <v>3.9682810000000002</v>
      </c>
    </row>
    <row r="48" spans="2:4">
      <c r="B48" s="28" t="s">
        <v>22</v>
      </c>
      <c r="C48" s="42">
        <v>479.84560900000002</v>
      </c>
      <c r="D48" s="45">
        <v>2.3807450000000001</v>
      </c>
    </row>
    <row r="49" spans="2:4">
      <c r="B49" s="28" t="s">
        <v>24</v>
      </c>
      <c r="C49" s="42">
        <v>509.90328299999999</v>
      </c>
      <c r="D49" s="45">
        <v>2.3579840000000001</v>
      </c>
    </row>
    <row r="50" spans="2:4">
      <c r="B50" s="28" t="s">
        <v>30</v>
      </c>
      <c r="C50" s="42">
        <v>455.471654</v>
      </c>
      <c r="D50" s="45">
        <v>1.876045</v>
      </c>
    </row>
    <row r="51" spans="2:4">
      <c r="B51" s="28"/>
      <c r="C51" s="42"/>
      <c r="D51" s="45"/>
    </row>
    <row r="52" spans="2:4">
      <c r="B52" s="28" t="s">
        <v>39</v>
      </c>
      <c r="C52" s="42">
        <v>472.41714400000001</v>
      </c>
      <c r="D52" s="45">
        <v>0.43374200000000002</v>
      </c>
    </row>
    <row r="53" spans="2:4">
      <c r="B53" s="28" t="s">
        <v>40</v>
      </c>
      <c r="C53" s="42">
        <v>473.41151400000001</v>
      </c>
      <c r="D53" s="45">
        <v>0.91752299999999998</v>
      </c>
    </row>
    <row r="54" spans="2:4">
      <c r="B54" s="28"/>
      <c r="C54" s="42"/>
      <c r="D54" s="45"/>
    </row>
    <row r="55" spans="2:4">
      <c r="B55" s="63" t="s">
        <v>43</v>
      </c>
      <c r="C55" s="42">
        <v>456.62424600000003</v>
      </c>
      <c r="D55" s="45">
        <v>5.1552949999999997</v>
      </c>
    </row>
    <row r="56" spans="2:4">
      <c r="B56" s="63" t="s">
        <v>44</v>
      </c>
      <c r="C56" s="42">
        <v>486.29589700000002</v>
      </c>
      <c r="D56" s="45">
        <v>5.6168740000000001</v>
      </c>
    </row>
    <row r="57" spans="2:4">
      <c r="B57" s="63" t="s">
        <v>175</v>
      </c>
      <c r="C57" s="42">
        <v>495.07025099999998</v>
      </c>
      <c r="D57" s="45">
        <v>7.1804969999999999</v>
      </c>
    </row>
    <row r="58" spans="2:4">
      <c r="B58" s="63" t="s">
        <v>57</v>
      </c>
      <c r="C58" s="42">
        <v>472.95332300000001</v>
      </c>
      <c r="D58" s="45">
        <v>5.4540860000000002</v>
      </c>
    </row>
    <row r="59" spans="2:4">
      <c r="B59" s="63" t="s">
        <v>176</v>
      </c>
      <c r="C59" s="42">
        <v>471.75929600000001</v>
      </c>
      <c r="D59" s="45">
        <v>4.8098320000000001</v>
      </c>
    </row>
    <row r="60" spans="2:4">
      <c r="B60" s="63" t="s">
        <v>46</v>
      </c>
      <c r="C60" s="42">
        <v>445.36551700000001</v>
      </c>
      <c r="D60" s="45">
        <v>5.3675879999999996</v>
      </c>
    </row>
    <row r="61" spans="2:4">
      <c r="B61" s="63" t="s">
        <v>47</v>
      </c>
      <c r="C61" s="42">
        <v>490.88676199999998</v>
      </c>
      <c r="D61" s="45">
        <v>6.878755</v>
      </c>
    </row>
    <row r="62" spans="2:4">
      <c r="B62" s="63" t="s">
        <v>48</v>
      </c>
      <c r="C62" s="42">
        <v>498.14652799999999</v>
      </c>
      <c r="D62" s="45">
        <v>5.3132390000000003</v>
      </c>
    </row>
    <row r="63" spans="2:4">
      <c r="B63" s="63" t="s">
        <v>49</v>
      </c>
      <c r="C63" s="42">
        <v>460.03696600000001</v>
      </c>
      <c r="D63" s="45">
        <v>5.0806399999999998</v>
      </c>
    </row>
    <row r="64" spans="2:4">
      <c r="B64" s="63" t="s">
        <v>50</v>
      </c>
      <c r="C64" s="42">
        <v>464.62137300000001</v>
      </c>
      <c r="D64" s="45">
        <v>6.4115089999999997</v>
      </c>
    </row>
    <row r="65" spans="2:4">
      <c r="B65" s="63" t="s">
        <v>51</v>
      </c>
      <c r="C65" s="42">
        <v>388.45639</v>
      </c>
      <c r="D65" s="45">
        <v>11.215564000000001</v>
      </c>
    </row>
    <row r="66" spans="2:4">
      <c r="B66" s="63" t="s">
        <v>41</v>
      </c>
      <c r="C66" s="42">
        <v>463.91166600000003</v>
      </c>
      <c r="D66" s="45">
        <v>5.5670719999999996</v>
      </c>
    </row>
    <row r="67" spans="2:4">
      <c r="B67" s="63" t="s">
        <v>42</v>
      </c>
      <c r="C67" s="42">
        <v>487.34089399999999</v>
      </c>
      <c r="D67" s="45">
        <v>4.4605389999999998</v>
      </c>
    </row>
    <row r="68" spans="2:4">
      <c r="B68" s="63" t="s">
        <v>177</v>
      </c>
      <c r="C68" s="42">
        <v>492.44750399999998</v>
      </c>
      <c r="D68" s="45">
        <v>3.9719799999999998</v>
      </c>
    </row>
    <row r="69" spans="2:4">
      <c r="B69" s="63" t="s">
        <v>53</v>
      </c>
      <c r="C69" s="42">
        <v>395.90690499999999</v>
      </c>
      <c r="D69" s="45">
        <v>10.178848</v>
      </c>
    </row>
    <row r="70" spans="2:4">
      <c r="B70" s="63" t="s">
        <v>178</v>
      </c>
      <c r="C70" s="42">
        <v>456.05580500000002</v>
      </c>
      <c r="D70" s="45">
        <v>6.1730809999999998</v>
      </c>
    </row>
    <row r="71" spans="2:4">
      <c r="B71" s="63" t="s">
        <v>179</v>
      </c>
      <c r="C71" s="42">
        <v>491.19311499999998</v>
      </c>
      <c r="D71" s="45">
        <v>6.0879799999999999</v>
      </c>
    </row>
    <row r="72" spans="2:4">
      <c r="B72" s="63" t="s">
        <v>45</v>
      </c>
      <c r="C72" s="42">
        <v>480.74793899999997</v>
      </c>
      <c r="D72" s="45">
        <v>5.0979989999999997</v>
      </c>
    </row>
    <row r="73" spans="2:4">
      <c r="B73" s="64" t="s">
        <v>52</v>
      </c>
      <c r="C73" s="43">
        <v>491.38503700000001</v>
      </c>
      <c r="D73" s="46">
        <v>7.4303270000000001</v>
      </c>
    </row>
  </sheetData>
  <sortState ref="F55:H73">
    <sortCondition ref="F55"/>
  </sortState>
  <mergeCells count="1">
    <mergeCell ref="B7:D7"/>
  </mergeCells>
  <hyperlinks>
    <hyperlink ref="B5" location="Índice!A1" display="Índice" xr:uid="{00000000-0004-0000-0B00-000000000000}"/>
  </hyperlink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D73"/>
  <sheetViews>
    <sheetView zoomScaleNormal="100" workbookViewId="0">
      <selection activeCell="K67" sqref="K67"/>
    </sheetView>
  </sheetViews>
  <sheetFormatPr baseColWidth="10" defaultColWidth="11.44140625" defaultRowHeight="14.4"/>
  <cols>
    <col min="1" max="1" width="11.44140625" style="16"/>
    <col min="2" max="2" width="27.88671875" style="16" customWidth="1"/>
    <col min="3" max="4" width="13.88671875" style="16" customWidth="1"/>
    <col min="5" max="16384" width="11.44140625" style="16"/>
  </cols>
  <sheetData>
    <row r="2" spans="2:4">
      <c r="B2" s="3" t="s">
        <v>120</v>
      </c>
    </row>
    <row r="3" spans="2:4">
      <c r="B3" s="33" t="s">
        <v>79</v>
      </c>
    </row>
    <row r="4" spans="2:4">
      <c r="B4" s="3" t="s">
        <v>121</v>
      </c>
    </row>
    <row r="5" spans="2:4">
      <c r="B5" s="4" t="s">
        <v>0</v>
      </c>
    </row>
    <row r="6" spans="2:4" ht="19.5" customHeight="1">
      <c r="B6" s="4"/>
    </row>
    <row r="7" spans="2:4" ht="28.5" customHeight="1">
      <c r="B7" s="71" t="s">
        <v>117</v>
      </c>
      <c r="C7" s="71"/>
      <c r="D7" s="71"/>
    </row>
    <row r="8" spans="2:4" ht="31.5" customHeight="1">
      <c r="B8" s="34" t="s">
        <v>54</v>
      </c>
      <c r="C8" s="34" t="s">
        <v>119</v>
      </c>
      <c r="D8" s="34" t="s">
        <v>55</v>
      </c>
    </row>
    <row r="9" spans="2:4">
      <c r="B9" s="27" t="s">
        <v>16</v>
      </c>
      <c r="C9" s="41">
        <v>473.88267300000001</v>
      </c>
      <c r="D9" s="44">
        <v>3.2879390000000002</v>
      </c>
    </row>
    <row r="10" spans="2:4">
      <c r="B10" s="28" t="s">
        <v>14</v>
      </c>
      <c r="C10" s="42">
        <v>485.593075</v>
      </c>
      <c r="D10" s="45">
        <v>2.5718860000000001</v>
      </c>
    </row>
    <row r="11" spans="2:4">
      <c r="B11" s="28" t="s">
        <v>18</v>
      </c>
      <c r="C11" s="42">
        <v>489.63679500000001</v>
      </c>
      <c r="D11" s="45">
        <v>2.524823</v>
      </c>
    </row>
    <row r="12" spans="2:4">
      <c r="B12" s="28" t="s">
        <v>28</v>
      </c>
      <c r="C12" s="42">
        <v>489.55789900000002</v>
      </c>
      <c r="D12" s="45">
        <v>2.9169800000000001</v>
      </c>
    </row>
    <row r="13" spans="2:4">
      <c r="B13" s="28" t="s">
        <v>20</v>
      </c>
      <c r="C13" s="42">
        <v>411.677483</v>
      </c>
      <c r="D13" s="45">
        <v>3.9035009999999999</v>
      </c>
    </row>
    <row r="14" spans="2:4">
      <c r="B14" s="28" t="s">
        <v>6</v>
      </c>
      <c r="C14" s="42">
        <v>491.23191100000003</v>
      </c>
      <c r="D14" s="45">
        <v>2.2044969999999999</v>
      </c>
    </row>
    <row r="15" spans="2:4">
      <c r="B15" s="28" t="s">
        <v>1</v>
      </c>
      <c r="C15" s="42">
        <v>404.53535799999997</v>
      </c>
      <c r="D15" s="45">
        <v>2.5798350000000001</v>
      </c>
    </row>
    <row r="16" spans="2:4">
      <c r="B16" s="28" t="s">
        <v>82</v>
      </c>
      <c r="C16" s="42">
        <v>423.77412700000002</v>
      </c>
      <c r="D16" s="45">
        <v>1.564208</v>
      </c>
    </row>
    <row r="17" spans="1:4">
      <c r="B17" s="28" t="s">
        <v>29</v>
      </c>
      <c r="C17" s="42">
        <v>370.01522899999998</v>
      </c>
      <c r="D17" s="45">
        <v>3.5068139999999999</v>
      </c>
    </row>
    <row r="18" spans="1:4">
      <c r="B18" s="28" t="s">
        <v>25</v>
      </c>
      <c r="C18" s="42">
        <v>536.58299999999997</v>
      </c>
      <c r="D18" s="45">
        <v>4.3596120000000003</v>
      </c>
    </row>
    <row r="19" spans="1:4">
      <c r="B19" s="28" t="s">
        <v>83</v>
      </c>
      <c r="C19" s="42">
        <v>375.160777</v>
      </c>
      <c r="D19" s="45">
        <v>3.1147840000000002</v>
      </c>
    </row>
    <row r="20" spans="1:4">
      <c r="B20" s="28" t="s">
        <v>15</v>
      </c>
      <c r="C20" s="42">
        <v>454.62446699999998</v>
      </c>
      <c r="D20" s="45">
        <v>2.6480419999999998</v>
      </c>
    </row>
    <row r="21" spans="1:4">
      <c r="B21" s="28" t="s">
        <v>8</v>
      </c>
      <c r="C21" s="42">
        <v>493.299848</v>
      </c>
      <c r="D21" s="45">
        <v>2.353885</v>
      </c>
    </row>
    <row r="22" spans="1:4">
      <c r="B22" s="28" t="s">
        <v>10</v>
      </c>
      <c r="C22" s="42">
        <v>491.508803</v>
      </c>
      <c r="D22" s="45">
        <v>1.705651</v>
      </c>
    </row>
    <row r="23" spans="1:4">
      <c r="B23" s="28" t="s">
        <v>26</v>
      </c>
      <c r="C23" s="42">
        <v>462.67672900000002</v>
      </c>
      <c r="D23" s="45">
        <v>2.302692</v>
      </c>
    </row>
    <row r="24" spans="1:4">
      <c r="B24" s="28" t="s">
        <v>7</v>
      </c>
      <c r="C24" s="42">
        <v>454.11865699999998</v>
      </c>
      <c r="D24" s="45">
        <v>4.2492939999999999</v>
      </c>
    </row>
    <row r="25" spans="1:4">
      <c r="B25" s="28" t="s">
        <v>21</v>
      </c>
      <c r="C25" s="42">
        <v>513.02381800000001</v>
      </c>
      <c r="D25" s="45">
        <v>2.8168410000000002</v>
      </c>
    </row>
    <row r="26" spans="1:4">
      <c r="B26" s="28" t="s">
        <v>34</v>
      </c>
      <c r="C26" s="42">
        <v>485.47318999999999</v>
      </c>
      <c r="D26" s="45">
        <v>2.0884830000000001</v>
      </c>
    </row>
    <row r="27" spans="1:4">
      <c r="B27" s="28" t="s">
        <v>5</v>
      </c>
      <c r="C27" s="42">
        <v>471.82513499999999</v>
      </c>
      <c r="D27" s="45">
        <v>3.19476</v>
      </c>
    </row>
    <row r="28" spans="1:4">
      <c r="B28" s="28" t="s">
        <v>37</v>
      </c>
      <c r="C28" s="42">
        <v>428.90317700000003</v>
      </c>
      <c r="D28" s="45">
        <v>2.8978640000000002</v>
      </c>
    </row>
    <row r="29" spans="1:4">
      <c r="B29" s="28" t="s">
        <v>4</v>
      </c>
      <c r="C29" s="42">
        <v>469.04576700000001</v>
      </c>
      <c r="D29" s="45">
        <v>2.8001480000000001</v>
      </c>
    </row>
    <row r="30" spans="1:4">
      <c r="A30" s="3"/>
      <c r="B30" s="28" t="s">
        <v>9</v>
      </c>
      <c r="C30" s="42">
        <v>474.46551499999998</v>
      </c>
      <c r="D30" s="45">
        <v>2.3167650000000002</v>
      </c>
    </row>
    <row r="31" spans="1:4">
      <c r="B31" s="28" t="s">
        <v>19</v>
      </c>
      <c r="C31" s="42">
        <v>464.17406899999997</v>
      </c>
      <c r="D31" s="45">
        <v>2.0761189999999998</v>
      </c>
    </row>
    <row r="32" spans="1:4">
      <c r="B32" s="28" t="s">
        <v>11</v>
      </c>
      <c r="C32" s="42">
        <v>450.19419399999998</v>
      </c>
      <c r="D32" s="45">
        <v>3.5864479999999999</v>
      </c>
    </row>
    <row r="33" spans="2:4">
      <c r="B33" s="28" t="s">
        <v>12</v>
      </c>
      <c r="C33" s="42">
        <v>471.24828300000001</v>
      </c>
      <c r="D33" s="45">
        <v>3.7305389999999998</v>
      </c>
    </row>
    <row r="34" spans="2:4">
      <c r="B34" s="28" t="s">
        <v>2</v>
      </c>
      <c r="C34" s="42">
        <v>541.03134299999999</v>
      </c>
      <c r="D34" s="45">
        <v>3.1169639999999998</v>
      </c>
    </row>
    <row r="35" spans="2:4">
      <c r="B35" s="28" t="s">
        <v>23</v>
      </c>
      <c r="C35" s="42">
        <v>488.10703000000001</v>
      </c>
      <c r="D35" s="45">
        <v>2.192313</v>
      </c>
    </row>
    <row r="36" spans="2:4">
      <c r="B36" s="28" t="s">
        <v>32</v>
      </c>
      <c r="C36" s="42">
        <v>471.90623199999999</v>
      </c>
      <c r="D36" s="45">
        <v>2.3965580000000002</v>
      </c>
    </row>
    <row r="37" spans="2:4">
      <c r="B37" s="28" t="s">
        <v>17</v>
      </c>
      <c r="C37" s="42">
        <v>461.91305999999997</v>
      </c>
      <c r="D37" s="45">
        <v>2.4054920000000002</v>
      </c>
    </row>
    <row r="38" spans="2:4">
      <c r="B38" s="28" t="s">
        <v>3</v>
      </c>
      <c r="C38" s="42">
        <v>387.85886900000003</v>
      </c>
      <c r="D38" s="45">
        <v>3.6039110000000001</v>
      </c>
    </row>
    <row r="39" spans="2:4">
      <c r="B39" s="28" t="s">
        <v>13</v>
      </c>
      <c r="C39" s="42">
        <v>469.26132699999999</v>
      </c>
      <c r="D39" s="45">
        <v>2.314959</v>
      </c>
    </row>
    <row r="40" spans="2:4">
      <c r="B40" s="28" t="s">
        <v>27</v>
      </c>
      <c r="C40" s="42">
        <v>473.33573100000001</v>
      </c>
      <c r="D40" s="45">
        <v>2.3016359999999998</v>
      </c>
    </row>
    <row r="41" spans="2:4">
      <c r="B41" s="28" t="s">
        <v>31</v>
      </c>
      <c r="C41" s="42">
        <v>485.47037399999999</v>
      </c>
      <c r="D41" s="45">
        <v>3.8455750000000002</v>
      </c>
    </row>
    <row r="42" spans="2:4">
      <c r="B42" s="28" t="s">
        <v>35</v>
      </c>
      <c r="C42" s="42">
        <v>486.70777600000002</v>
      </c>
      <c r="D42" s="45">
        <v>2.7829489999999999</v>
      </c>
    </row>
    <row r="43" spans="2:4">
      <c r="B43" s="28" t="s">
        <v>36</v>
      </c>
      <c r="C43" s="42">
        <v>471.74129699999997</v>
      </c>
      <c r="D43" s="45">
        <v>2.8751199999999999</v>
      </c>
    </row>
    <row r="44" spans="2:4">
      <c r="B44" s="28" t="s">
        <v>38</v>
      </c>
      <c r="C44" s="42">
        <v>476.88799699999998</v>
      </c>
      <c r="D44" s="45">
        <v>2.7724120000000001</v>
      </c>
    </row>
    <row r="45" spans="2:4">
      <c r="B45" s="28" t="s">
        <v>84</v>
      </c>
      <c r="C45" s="42">
        <v>495.43302199999999</v>
      </c>
      <c r="D45" s="45">
        <v>2.7709670000000002</v>
      </c>
    </row>
    <row r="46" spans="2:4">
      <c r="B46" s="28" t="s">
        <v>85</v>
      </c>
      <c r="C46" s="42">
        <v>471.67043799999999</v>
      </c>
      <c r="D46" s="45">
        <v>3.4208020000000001</v>
      </c>
    </row>
    <row r="47" spans="2:4">
      <c r="B47" s="28" t="s">
        <v>33</v>
      </c>
      <c r="C47" s="42">
        <v>421.46405600000003</v>
      </c>
      <c r="D47" s="45">
        <v>4.5752090000000001</v>
      </c>
    </row>
    <row r="48" spans="2:4">
      <c r="B48" s="28" t="s">
        <v>22</v>
      </c>
      <c r="C48" s="42">
        <v>482.70161200000001</v>
      </c>
      <c r="D48" s="45">
        <v>2.5456500000000002</v>
      </c>
    </row>
    <row r="49" spans="2:4">
      <c r="B49" s="28" t="s">
        <v>24</v>
      </c>
      <c r="C49" s="42">
        <v>518.49847999999997</v>
      </c>
      <c r="D49" s="45">
        <v>2.735106</v>
      </c>
    </row>
    <row r="50" spans="2:4">
      <c r="B50" s="28" t="s">
        <v>30</v>
      </c>
      <c r="C50" s="42">
        <v>442.11402600000002</v>
      </c>
      <c r="D50" s="45">
        <v>2.136552</v>
      </c>
    </row>
    <row r="51" spans="2:4">
      <c r="B51" s="28"/>
      <c r="C51" s="42"/>
      <c r="D51" s="45"/>
    </row>
    <row r="52" spans="2:4">
      <c r="B52" s="28" t="s">
        <v>39</v>
      </c>
      <c r="C52" s="42">
        <v>470.51025600000003</v>
      </c>
      <c r="D52" s="45">
        <v>0.47749900000000001</v>
      </c>
    </row>
    <row r="53" spans="2:4">
      <c r="B53" s="28" t="s">
        <v>40</v>
      </c>
      <c r="C53" s="42">
        <v>471.29902099999998</v>
      </c>
      <c r="D53" s="45">
        <v>1.119791</v>
      </c>
    </row>
    <row r="54" spans="2:4">
      <c r="B54" s="28"/>
      <c r="C54" s="42"/>
      <c r="D54" s="45"/>
    </row>
    <row r="55" spans="2:4">
      <c r="B55" s="63" t="s">
        <v>43</v>
      </c>
      <c r="C55" s="42">
        <v>444.858495</v>
      </c>
      <c r="D55" s="45">
        <v>5.6977250000000002</v>
      </c>
    </row>
    <row r="56" spans="2:4">
      <c r="B56" s="63" t="s">
        <v>44</v>
      </c>
      <c r="C56" s="42">
        <v>478.97175900000002</v>
      </c>
      <c r="D56" s="45">
        <v>9.7739180000000001</v>
      </c>
    </row>
    <row r="57" spans="2:4">
      <c r="B57" s="63" t="s">
        <v>175</v>
      </c>
      <c r="C57" s="42">
        <v>483.492481</v>
      </c>
      <c r="D57" s="45">
        <v>11.804951000000001</v>
      </c>
    </row>
    <row r="58" spans="2:4">
      <c r="B58" s="63" t="s">
        <v>57</v>
      </c>
      <c r="C58" s="42">
        <v>463.25543699999997</v>
      </c>
      <c r="D58" s="45">
        <v>8.6261489999999998</v>
      </c>
    </row>
    <row r="59" spans="2:4">
      <c r="B59" s="63" t="s">
        <v>176</v>
      </c>
      <c r="C59" s="42">
        <v>461.34556300000003</v>
      </c>
      <c r="D59" s="45">
        <v>5.2974490000000003</v>
      </c>
    </row>
    <row r="60" spans="2:4">
      <c r="B60" s="63" t="s">
        <v>46</v>
      </c>
      <c r="C60" s="42">
        <v>432.77472299999999</v>
      </c>
      <c r="D60" s="45">
        <v>7.5219800000000001</v>
      </c>
    </row>
    <row r="61" spans="2:4">
      <c r="B61" s="63" t="s">
        <v>47</v>
      </c>
      <c r="C61" s="42">
        <v>477.52670599999999</v>
      </c>
      <c r="D61" s="45">
        <v>9.5215709999999998</v>
      </c>
    </row>
    <row r="62" spans="2:4">
      <c r="B62" s="63" t="s">
        <v>48</v>
      </c>
      <c r="C62" s="42">
        <v>492.64050900000001</v>
      </c>
      <c r="D62" s="45">
        <v>8.4041820000000005</v>
      </c>
    </row>
    <row r="63" spans="2:4">
      <c r="B63" s="63" t="s">
        <v>49</v>
      </c>
      <c r="C63" s="42">
        <v>454.4674</v>
      </c>
      <c r="D63" s="45">
        <v>6.0784820000000002</v>
      </c>
    </row>
    <row r="64" spans="2:4">
      <c r="B64" s="63" t="s">
        <v>50</v>
      </c>
      <c r="C64" s="42">
        <v>462.12544200000002</v>
      </c>
      <c r="D64" s="45">
        <v>6.5693479999999997</v>
      </c>
    </row>
    <row r="65" spans="2:4">
      <c r="B65" s="63" t="s">
        <v>51</v>
      </c>
      <c r="C65" s="42">
        <v>380.76805000000002</v>
      </c>
      <c r="D65" s="45">
        <v>14.712213999999999</v>
      </c>
    </row>
    <row r="66" spans="2:4">
      <c r="B66" s="63" t="s">
        <v>41</v>
      </c>
      <c r="C66" s="42">
        <v>466.67429299999998</v>
      </c>
      <c r="D66" s="45">
        <v>7.7692920000000001</v>
      </c>
    </row>
    <row r="67" spans="2:4">
      <c r="B67" s="63" t="s">
        <v>42</v>
      </c>
      <c r="C67" s="42">
        <v>469.25730199999998</v>
      </c>
      <c r="D67" s="45">
        <v>7.5921609999999999</v>
      </c>
    </row>
    <row r="68" spans="2:4">
      <c r="B68" s="63" t="s">
        <v>177</v>
      </c>
      <c r="C68" s="42">
        <v>481.32404700000001</v>
      </c>
      <c r="D68" s="45">
        <v>5.572368</v>
      </c>
    </row>
    <row r="69" spans="2:4">
      <c r="B69" s="63" t="s">
        <v>53</v>
      </c>
      <c r="C69" s="42">
        <v>390.536383</v>
      </c>
      <c r="D69" s="45">
        <v>12.114281</v>
      </c>
    </row>
    <row r="70" spans="2:4">
      <c r="B70" s="63" t="s">
        <v>178</v>
      </c>
      <c r="C70" s="42">
        <v>452.93824899999998</v>
      </c>
      <c r="D70" s="45">
        <v>8.8844180000000001</v>
      </c>
    </row>
    <row r="71" spans="2:4">
      <c r="B71" s="63" t="s">
        <v>179</v>
      </c>
      <c r="C71" s="42">
        <v>485.37394699999999</v>
      </c>
      <c r="D71" s="45">
        <v>11.09071</v>
      </c>
    </row>
    <row r="72" spans="2:4">
      <c r="B72" s="63" t="s">
        <v>45</v>
      </c>
      <c r="C72" s="42">
        <v>475.66118499999999</v>
      </c>
      <c r="D72" s="45">
        <v>7.8459370000000002</v>
      </c>
    </row>
    <row r="73" spans="2:4">
      <c r="B73" s="64" t="s">
        <v>52</v>
      </c>
      <c r="C73" s="43">
        <v>493.19210099999998</v>
      </c>
      <c r="D73" s="46">
        <v>14.922214</v>
      </c>
    </row>
  </sheetData>
  <sortState ref="F55:H73">
    <sortCondition ref="F55"/>
  </sortState>
  <mergeCells count="1">
    <mergeCell ref="B7:D7"/>
  </mergeCells>
  <hyperlinks>
    <hyperlink ref="B5" location="Índice!A1" display="Índice" xr:uid="{00000000-0004-0000-0C00-000000000000}"/>
  </hyperlink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D73"/>
  <sheetViews>
    <sheetView zoomScaleNormal="100" workbookViewId="0">
      <selection activeCell="J69" sqref="J69"/>
    </sheetView>
  </sheetViews>
  <sheetFormatPr baseColWidth="10" defaultColWidth="11.44140625" defaultRowHeight="14.4"/>
  <cols>
    <col min="1" max="1" width="11.44140625" style="16"/>
    <col min="2" max="2" width="27.88671875" style="16" customWidth="1"/>
    <col min="3" max="4" width="13.88671875" style="16" customWidth="1"/>
    <col min="5" max="16384" width="11.44140625" style="16"/>
  </cols>
  <sheetData>
    <row r="2" spans="2:4">
      <c r="B2" s="3" t="s">
        <v>122</v>
      </c>
    </row>
    <row r="3" spans="2:4">
      <c r="B3" s="33" t="s">
        <v>79</v>
      </c>
    </row>
    <row r="4" spans="2:4">
      <c r="B4" s="3" t="s">
        <v>123</v>
      </c>
    </row>
    <row r="5" spans="2:4">
      <c r="B5" s="4" t="s">
        <v>0</v>
      </c>
    </row>
    <row r="6" spans="2:4" ht="19.5" customHeight="1">
      <c r="B6" s="4"/>
    </row>
    <row r="7" spans="2:4" ht="28.5" customHeight="1">
      <c r="B7" s="71" t="s">
        <v>117</v>
      </c>
      <c r="C7" s="71"/>
      <c r="D7" s="71"/>
    </row>
    <row r="8" spans="2:4" ht="31.5" customHeight="1">
      <c r="B8" s="34" t="s">
        <v>54</v>
      </c>
      <c r="C8" s="34" t="s">
        <v>119</v>
      </c>
      <c r="D8" s="34" t="s">
        <v>55</v>
      </c>
    </row>
    <row r="9" spans="2:4">
      <c r="B9" s="27" t="s">
        <v>16</v>
      </c>
      <c r="C9" s="41">
        <v>475.039177</v>
      </c>
      <c r="D9" s="44">
        <v>3.3687529999999999</v>
      </c>
    </row>
    <row r="10" spans="2:4">
      <c r="B10" s="28" t="s">
        <v>14</v>
      </c>
      <c r="C10" s="42">
        <v>494.03345899999999</v>
      </c>
      <c r="D10" s="45">
        <v>2.2848169999999999</v>
      </c>
    </row>
    <row r="11" spans="2:4">
      <c r="B11" s="28" t="s">
        <v>18</v>
      </c>
      <c r="C11" s="42">
        <v>485.441439</v>
      </c>
      <c r="D11" s="45">
        <v>2.5517500000000002</v>
      </c>
    </row>
    <row r="12" spans="2:4">
      <c r="B12" s="28" t="s">
        <v>28</v>
      </c>
      <c r="C12" s="42">
        <v>492.676918</v>
      </c>
      <c r="D12" s="45">
        <v>2.6094279999999999</v>
      </c>
    </row>
    <row r="13" spans="2:4">
      <c r="B13" s="28" t="s">
        <v>20</v>
      </c>
      <c r="C13" s="42">
        <v>413.37290200000001</v>
      </c>
      <c r="D13" s="45">
        <v>3.5256090000000002</v>
      </c>
    </row>
    <row r="14" spans="2:4">
      <c r="B14" s="28" t="s">
        <v>6</v>
      </c>
      <c r="C14" s="42">
        <v>500.283162</v>
      </c>
      <c r="D14" s="45">
        <v>1.877194</v>
      </c>
    </row>
    <row r="15" spans="2:4">
      <c r="B15" s="28" t="s">
        <v>1</v>
      </c>
      <c r="C15" s="42">
        <v>414.68834500000003</v>
      </c>
      <c r="D15" s="45">
        <v>2.3921169999999998</v>
      </c>
    </row>
    <row r="16" spans="2:4">
      <c r="B16" s="28" t="s">
        <v>82</v>
      </c>
      <c r="C16" s="42">
        <v>416.54710899999998</v>
      </c>
      <c r="D16" s="45">
        <v>1.627024</v>
      </c>
    </row>
    <row r="17" spans="1:4">
      <c r="B17" s="28" t="s">
        <v>29</v>
      </c>
      <c r="C17" s="42">
        <v>384.618225</v>
      </c>
      <c r="D17" s="45">
        <v>3.359861</v>
      </c>
    </row>
    <row r="18" spans="1:4">
      <c r="B18" s="28" t="s">
        <v>25</v>
      </c>
      <c r="C18" s="42">
        <v>524.02313100000003</v>
      </c>
      <c r="D18" s="45">
        <v>4.0620909999999997</v>
      </c>
    </row>
    <row r="19" spans="1:4">
      <c r="B19" s="28" t="s">
        <v>83</v>
      </c>
      <c r="C19" s="42">
        <v>385.35470700000002</v>
      </c>
      <c r="D19" s="45">
        <v>2.2732109999999999</v>
      </c>
    </row>
    <row r="20" spans="1:4">
      <c r="B20" s="28" t="s">
        <v>15</v>
      </c>
      <c r="C20" s="42">
        <v>463.081051</v>
      </c>
      <c r="D20" s="45">
        <v>2.715233</v>
      </c>
    </row>
    <row r="21" spans="1:4">
      <c r="B21" s="28" t="s">
        <v>8</v>
      </c>
      <c r="C21" s="42">
        <v>498.78210200000001</v>
      </c>
      <c r="D21" s="45">
        <v>2.1021730000000001</v>
      </c>
    </row>
    <row r="22" spans="1:4">
      <c r="B22" s="28" t="s">
        <v>10</v>
      </c>
      <c r="C22" s="42">
        <v>482.85474799999997</v>
      </c>
      <c r="D22" s="45">
        <v>1.8475520000000001</v>
      </c>
    </row>
    <row r="23" spans="1:4">
      <c r="B23" s="28" t="s">
        <v>26</v>
      </c>
      <c r="C23" s="42">
        <v>477.80155000000002</v>
      </c>
      <c r="D23" s="45">
        <v>2.1357499999999998</v>
      </c>
    </row>
    <row r="24" spans="1:4">
      <c r="B24" s="28" t="s">
        <v>7</v>
      </c>
      <c r="C24" s="42">
        <v>475.77092399999998</v>
      </c>
      <c r="D24" s="45">
        <v>4.3270150000000003</v>
      </c>
    </row>
    <row r="25" spans="1:4">
      <c r="B25" s="28" t="s">
        <v>21</v>
      </c>
      <c r="C25" s="42">
        <v>502.775417</v>
      </c>
      <c r="D25" s="45">
        <v>2.2366869999999999</v>
      </c>
    </row>
    <row r="26" spans="1:4">
      <c r="B26" s="28" t="s">
        <v>34</v>
      </c>
      <c r="C26" s="42">
        <v>484.59153900000001</v>
      </c>
      <c r="D26" s="45">
        <v>2.262073</v>
      </c>
    </row>
    <row r="27" spans="1:4">
      <c r="B27" s="28" t="s">
        <v>5</v>
      </c>
      <c r="C27" s="42">
        <v>477.300904</v>
      </c>
      <c r="D27" s="45">
        <v>2.8275640000000002</v>
      </c>
    </row>
    <row r="28" spans="1:4">
      <c r="B28" s="28" t="s">
        <v>37</v>
      </c>
      <c r="C28" s="42">
        <v>434.58335899999997</v>
      </c>
      <c r="D28" s="45">
        <v>2.9380829999999998</v>
      </c>
    </row>
    <row r="29" spans="1:4">
      <c r="B29" s="28" t="s">
        <v>4</v>
      </c>
      <c r="C29" s="42">
        <v>471.58195699999999</v>
      </c>
      <c r="D29" s="45">
        <v>2.4851749999999999</v>
      </c>
    </row>
    <row r="30" spans="1:4">
      <c r="A30" s="3"/>
      <c r="B30" s="28" t="s">
        <v>9</v>
      </c>
      <c r="C30" s="42">
        <v>498.60049099999998</v>
      </c>
      <c r="D30" s="45">
        <v>2.6056180000000002</v>
      </c>
    </row>
    <row r="31" spans="1:4">
      <c r="B31" s="28" t="s">
        <v>19</v>
      </c>
      <c r="C31" s="42">
        <v>459.84741700000001</v>
      </c>
      <c r="D31" s="45">
        <v>2.2800579999999999</v>
      </c>
    </row>
    <row r="32" spans="1:4">
      <c r="B32" s="28" t="s">
        <v>11</v>
      </c>
      <c r="C32" s="42">
        <v>456.19140900000002</v>
      </c>
      <c r="D32" s="45">
        <v>3.6814439999999999</v>
      </c>
    </row>
    <row r="33" spans="2:4">
      <c r="B33" s="28" t="s">
        <v>12</v>
      </c>
      <c r="C33" s="42">
        <v>472.87097499999999</v>
      </c>
      <c r="D33" s="45">
        <v>3.18825</v>
      </c>
    </row>
    <row r="34" spans="2:4">
      <c r="B34" s="28" t="s">
        <v>2</v>
      </c>
      <c r="C34" s="42">
        <v>540.05911200000003</v>
      </c>
      <c r="D34" s="45">
        <v>3.1850209999999999</v>
      </c>
    </row>
    <row r="35" spans="2:4">
      <c r="B35" s="28" t="s">
        <v>23</v>
      </c>
      <c r="C35" s="42">
        <v>478.095665</v>
      </c>
      <c r="D35" s="45">
        <v>2.316697</v>
      </c>
    </row>
    <row r="36" spans="2:4">
      <c r="B36" s="28" t="s">
        <v>32</v>
      </c>
      <c r="C36" s="42">
        <v>470.46634999999998</v>
      </c>
      <c r="D36" s="45">
        <v>2.0049899999999998</v>
      </c>
    </row>
    <row r="37" spans="2:4">
      <c r="B37" s="28" t="s">
        <v>17</v>
      </c>
      <c r="C37" s="42">
        <v>473.41677800000002</v>
      </c>
      <c r="D37" s="45">
        <v>2.1711339999999999</v>
      </c>
    </row>
    <row r="38" spans="2:4">
      <c r="B38" s="28" t="s">
        <v>3</v>
      </c>
      <c r="C38" s="42">
        <v>390.64939700000002</v>
      </c>
      <c r="D38" s="45">
        <v>2.6425839999999998</v>
      </c>
    </row>
    <row r="39" spans="2:4">
      <c r="B39" s="28" t="s">
        <v>13</v>
      </c>
      <c r="C39" s="42">
        <v>469.92318699999998</v>
      </c>
      <c r="D39" s="45">
        <v>2.6636890000000002</v>
      </c>
    </row>
    <row r="40" spans="2:4">
      <c r="B40" s="28" t="s">
        <v>27</v>
      </c>
      <c r="C40" s="42">
        <v>486.46815700000002</v>
      </c>
      <c r="D40" s="45">
        <v>2.3433449999999998</v>
      </c>
    </row>
    <row r="41" spans="2:4">
      <c r="B41" s="28" t="s">
        <v>31</v>
      </c>
      <c r="C41" s="42">
        <v>495.78454399999998</v>
      </c>
      <c r="D41" s="45">
        <v>4.1596270000000004</v>
      </c>
    </row>
    <row r="42" spans="2:4">
      <c r="B42" s="28" t="s">
        <v>35</v>
      </c>
      <c r="C42" s="42">
        <v>488.699386</v>
      </c>
      <c r="D42" s="45">
        <v>2.5014509999999999</v>
      </c>
    </row>
    <row r="43" spans="2:4">
      <c r="B43" s="28" t="s">
        <v>36</v>
      </c>
      <c r="C43" s="42">
        <v>478.02306199999998</v>
      </c>
      <c r="D43" s="45">
        <v>2.603205</v>
      </c>
    </row>
    <row r="44" spans="2:4">
      <c r="B44" s="28" t="s">
        <v>38</v>
      </c>
      <c r="C44" s="42">
        <v>498.58823000000001</v>
      </c>
      <c r="D44" s="45">
        <v>2.5339309999999999</v>
      </c>
    </row>
    <row r="45" spans="2:4">
      <c r="B45" s="28" t="s">
        <v>84</v>
      </c>
      <c r="C45" s="42">
        <v>483.24864500000001</v>
      </c>
      <c r="D45" s="45">
        <v>2.3459889999999999</v>
      </c>
    </row>
    <row r="46" spans="2:4">
      <c r="B46" s="28" t="s">
        <v>85</v>
      </c>
      <c r="C46" s="42">
        <v>456.125923</v>
      </c>
      <c r="D46" s="45">
        <v>3.0989309999999999</v>
      </c>
    </row>
    <row r="47" spans="2:4">
      <c r="B47" s="28" t="s">
        <v>33</v>
      </c>
      <c r="C47" s="42">
        <v>425.96685200000002</v>
      </c>
      <c r="D47" s="45">
        <v>4.12296</v>
      </c>
    </row>
    <row r="48" spans="2:4">
      <c r="B48" s="28" t="s">
        <v>22</v>
      </c>
      <c r="C48" s="42">
        <v>481.10795899999999</v>
      </c>
      <c r="D48" s="45">
        <v>2.8843130000000001</v>
      </c>
    </row>
    <row r="49" spans="2:4">
      <c r="B49" s="28" t="s">
        <v>24</v>
      </c>
      <c r="C49" s="42">
        <v>502.29607199999998</v>
      </c>
      <c r="D49" s="45">
        <v>2.4681139999999999</v>
      </c>
    </row>
    <row r="50" spans="2:4">
      <c r="B50" s="28" t="s">
        <v>30</v>
      </c>
      <c r="C50" s="42">
        <v>457.58205199999998</v>
      </c>
      <c r="D50" s="45">
        <v>2.0338720000000001</v>
      </c>
    </row>
    <row r="51" spans="2:4">
      <c r="B51" s="28"/>
      <c r="C51" s="42"/>
      <c r="D51" s="45"/>
    </row>
    <row r="52" spans="2:4">
      <c r="B52" s="28" t="s">
        <v>39</v>
      </c>
      <c r="C52" s="42">
        <v>473.69808399999999</v>
      </c>
      <c r="D52" s="45">
        <v>0.45333899999999999</v>
      </c>
    </row>
    <row r="53" spans="2:4">
      <c r="B53" s="28" t="s">
        <v>40</v>
      </c>
      <c r="C53" s="42">
        <v>475.33910700000001</v>
      </c>
      <c r="D53" s="45">
        <v>0.96767099999999995</v>
      </c>
    </row>
    <row r="54" spans="2:4">
      <c r="B54" s="28"/>
      <c r="C54" s="42"/>
      <c r="D54" s="45"/>
    </row>
    <row r="55" spans="2:4">
      <c r="B55" s="63" t="s">
        <v>43</v>
      </c>
      <c r="C55" s="42">
        <v>461.32236399999999</v>
      </c>
      <c r="D55" s="45">
        <v>5.6905419999999998</v>
      </c>
    </row>
    <row r="56" spans="2:4">
      <c r="B56" s="63" t="s">
        <v>44</v>
      </c>
      <c r="C56" s="42">
        <v>489.26110899999998</v>
      </c>
      <c r="D56" s="45">
        <v>6.8075380000000001</v>
      </c>
    </row>
    <row r="57" spans="2:4">
      <c r="B57" s="63" t="s">
        <v>175</v>
      </c>
      <c r="C57" s="42">
        <v>500.07857999999999</v>
      </c>
      <c r="D57" s="45">
        <v>5.7609209999999997</v>
      </c>
    </row>
    <row r="58" spans="2:4">
      <c r="B58" s="63" t="s">
        <v>57</v>
      </c>
      <c r="C58" s="42">
        <v>472.96688799999998</v>
      </c>
      <c r="D58" s="45">
        <v>6.8453119999999998</v>
      </c>
    </row>
    <row r="59" spans="2:4">
      <c r="B59" s="63" t="s">
        <v>176</v>
      </c>
      <c r="C59" s="42">
        <v>475.26926099999997</v>
      </c>
      <c r="D59" s="45">
        <v>5.0796150000000004</v>
      </c>
    </row>
    <row r="60" spans="2:4">
      <c r="B60" s="63" t="s">
        <v>46</v>
      </c>
      <c r="C60" s="42">
        <v>452.33094899999998</v>
      </c>
      <c r="D60" s="45">
        <v>7.1961950000000003</v>
      </c>
    </row>
    <row r="61" spans="2:4">
      <c r="B61" s="63" t="s">
        <v>47</v>
      </c>
      <c r="C61" s="42">
        <v>502.535572</v>
      </c>
      <c r="D61" s="45">
        <v>8.6338270000000001</v>
      </c>
    </row>
    <row r="62" spans="2:4">
      <c r="B62" s="63" t="s">
        <v>48</v>
      </c>
      <c r="C62" s="42">
        <v>503.66301800000002</v>
      </c>
      <c r="D62" s="45">
        <v>4.4502030000000001</v>
      </c>
    </row>
    <row r="63" spans="2:4">
      <c r="B63" s="63" t="s">
        <v>49</v>
      </c>
      <c r="C63" s="42">
        <v>468.38804099999999</v>
      </c>
      <c r="D63" s="45">
        <v>6.0955490000000001</v>
      </c>
    </row>
    <row r="64" spans="2:4">
      <c r="B64" s="63" t="s">
        <v>50</v>
      </c>
      <c r="C64" s="42">
        <v>473.35912500000001</v>
      </c>
      <c r="D64" s="45">
        <v>6.3777290000000004</v>
      </c>
    </row>
    <row r="65" spans="2:4">
      <c r="B65" s="63" t="s">
        <v>51</v>
      </c>
      <c r="C65" s="42">
        <v>403.72184199999998</v>
      </c>
      <c r="D65" s="45">
        <v>13.817995</v>
      </c>
    </row>
    <row r="66" spans="2:4">
      <c r="B66" s="63" t="s">
        <v>41</v>
      </c>
      <c r="C66" s="42">
        <v>476.24371500000001</v>
      </c>
      <c r="D66" s="45">
        <v>7.5920949999999996</v>
      </c>
    </row>
    <row r="67" spans="2:4">
      <c r="B67" s="63" t="s">
        <v>42</v>
      </c>
      <c r="C67" s="42">
        <v>495.32620300000002</v>
      </c>
      <c r="D67" s="45">
        <v>4.7962850000000001</v>
      </c>
    </row>
    <row r="68" spans="2:4">
      <c r="B68" s="63" t="s">
        <v>177</v>
      </c>
      <c r="C68" s="42">
        <v>500.91627899999997</v>
      </c>
      <c r="D68" s="45">
        <v>4.8739869999999996</v>
      </c>
    </row>
    <row r="69" spans="2:4">
      <c r="B69" s="63" t="s">
        <v>53</v>
      </c>
      <c r="C69" s="42">
        <v>410.96905199999998</v>
      </c>
      <c r="D69" s="45">
        <v>14.717140000000001</v>
      </c>
    </row>
    <row r="70" spans="2:4">
      <c r="B70" s="63" t="s">
        <v>178</v>
      </c>
      <c r="C70" s="42">
        <v>468.68920500000002</v>
      </c>
      <c r="D70" s="45">
        <v>7.7349949999999996</v>
      </c>
    </row>
    <row r="71" spans="2:4">
      <c r="B71" s="63" t="s">
        <v>179</v>
      </c>
      <c r="C71" s="42">
        <v>495.892807</v>
      </c>
      <c r="D71" s="45">
        <v>8.8839330000000007</v>
      </c>
    </row>
    <row r="72" spans="2:4">
      <c r="B72" s="63" t="s">
        <v>45</v>
      </c>
      <c r="C72" s="42">
        <v>484.50879700000002</v>
      </c>
      <c r="D72" s="45">
        <v>6.0319039999999999</v>
      </c>
    </row>
    <row r="73" spans="2:4">
      <c r="B73" s="64" t="s">
        <v>52</v>
      </c>
      <c r="C73" s="43">
        <v>489.270399</v>
      </c>
      <c r="D73" s="46">
        <v>5.9559059999999997</v>
      </c>
    </row>
  </sheetData>
  <sortState ref="F55:H73">
    <sortCondition ref="F55"/>
  </sortState>
  <mergeCells count="1">
    <mergeCell ref="B7:D7"/>
  </mergeCells>
  <hyperlinks>
    <hyperlink ref="B5" location="Índice!A1" display="Índice" xr:uid="{00000000-0004-0000-0D00-000000000000}"/>
  </hyperlink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2"/>
  <sheetViews>
    <sheetView zoomScaleNormal="100" workbookViewId="0">
      <selection activeCell="I29" sqref="I29"/>
    </sheetView>
  </sheetViews>
  <sheetFormatPr baseColWidth="10" defaultColWidth="11.44140625" defaultRowHeight="14.4"/>
  <cols>
    <col min="1" max="1" width="11.44140625" style="16"/>
    <col min="2" max="2" width="17.44140625" style="16" customWidth="1"/>
    <col min="3" max="3" width="11.6640625" style="16" customWidth="1"/>
    <col min="4" max="4" width="11.5546875" style="16" customWidth="1"/>
    <col min="5" max="6" width="11.6640625" style="16" customWidth="1"/>
    <col min="7" max="7" width="11.5546875" style="16" customWidth="1"/>
    <col min="8" max="10" width="11.6640625" style="16" customWidth="1"/>
    <col min="11" max="16384" width="11.44140625" style="16"/>
  </cols>
  <sheetData>
    <row r="2" spans="2:10">
      <c r="B2" s="3" t="s">
        <v>126</v>
      </c>
      <c r="G2" s="6"/>
      <c r="H2" s="6"/>
      <c r="I2" s="6"/>
    </row>
    <row r="3" spans="2:10">
      <c r="B3" s="33" t="s">
        <v>128</v>
      </c>
      <c r="G3" s="6"/>
      <c r="H3" s="6"/>
      <c r="I3" s="6"/>
    </row>
    <row r="4" spans="2:10" ht="15.75" customHeight="1">
      <c r="B4" s="57" t="s">
        <v>127</v>
      </c>
    </row>
    <row r="5" spans="2:10" ht="15" customHeight="1">
      <c r="B5" s="4" t="s">
        <v>0</v>
      </c>
    </row>
    <row r="7" spans="2:10" ht="18" customHeight="1">
      <c r="B7" s="73" t="s">
        <v>137</v>
      </c>
      <c r="C7" s="73"/>
      <c r="D7" s="73"/>
      <c r="E7" s="73"/>
      <c r="F7" s="73"/>
      <c r="G7" s="73"/>
      <c r="H7" s="73"/>
      <c r="I7" s="73"/>
      <c r="J7" s="73"/>
    </row>
    <row r="8" spans="2:10">
      <c r="B8" s="73" t="s">
        <v>54</v>
      </c>
      <c r="C8" s="73">
        <v>2022</v>
      </c>
      <c r="D8" s="73"/>
      <c r="E8" s="73">
        <v>2018</v>
      </c>
      <c r="F8" s="73"/>
      <c r="G8" s="73">
        <v>2015</v>
      </c>
      <c r="H8" s="73"/>
      <c r="I8" s="73">
        <v>2012</v>
      </c>
      <c r="J8" s="73"/>
    </row>
    <row r="9" spans="2:10" ht="18" customHeight="1">
      <c r="B9" s="73"/>
      <c r="C9" s="35" t="s">
        <v>56</v>
      </c>
      <c r="D9" s="35" t="s">
        <v>55</v>
      </c>
      <c r="E9" s="35" t="s">
        <v>56</v>
      </c>
      <c r="F9" s="35" t="s">
        <v>55</v>
      </c>
      <c r="G9" s="35" t="s">
        <v>56</v>
      </c>
      <c r="H9" s="35" t="s">
        <v>55</v>
      </c>
      <c r="I9" s="35" t="s">
        <v>56</v>
      </c>
      <c r="J9" s="35" t="s">
        <v>55</v>
      </c>
    </row>
    <row r="10" spans="2:10">
      <c r="B10" s="23" t="s">
        <v>26</v>
      </c>
      <c r="C10" s="32">
        <v>473.14020799999997</v>
      </c>
      <c r="D10" s="31">
        <v>1.5043759999999999</v>
      </c>
      <c r="E10" s="32">
        <v>481.39</v>
      </c>
      <c r="F10" s="31">
        <v>1.46</v>
      </c>
      <c r="G10" s="32">
        <v>485.84</v>
      </c>
      <c r="H10" s="31">
        <v>2.1509999999999998</v>
      </c>
      <c r="I10" s="32">
        <v>484.3</v>
      </c>
      <c r="J10" s="31">
        <v>1.8959999999999999</v>
      </c>
    </row>
    <row r="11" spans="2:10">
      <c r="B11" s="23" t="s">
        <v>39</v>
      </c>
      <c r="C11" s="32">
        <v>472.35764999999998</v>
      </c>
      <c r="D11" s="31">
        <v>0.397754</v>
      </c>
      <c r="E11" s="32">
        <v>489.29</v>
      </c>
      <c r="F11" s="31">
        <v>0.4</v>
      </c>
      <c r="G11" s="32">
        <v>490.2</v>
      </c>
      <c r="H11" s="31">
        <v>0.439</v>
      </c>
      <c r="I11" s="32">
        <v>494</v>
      </c>
      <c r="J11" s="31">
        <v>0.49199999999999999</v>
      </c>
    </row>
    <row r="12" spans="2:10">
      <c r="B12" s="51" t="s">
        <v>40</v>
      </c>
      <c r="C12" s="54">
        <v>473.73910999999998</v>
      </c>
      <c r="D12" s="53">
        <v>0.86982700000000002</v>
      </c>
      <c r="E12" s="54">
        <v>493.83</v>
      </c>
      <c r="F12" s="53">
        <v>0.83</v>
      </c>
      <c r="G12" s="54">
        <v>492.64</v>
      </c>
      <c r="H12" s="53">
        <v>0.78800000000000003</v>
      </c>
      <c r="I12" s="54"/>
      <c r="J12" s="55"/>
    </row>
  </sheetData>
  <mergeCells count="6">
    <mergeCell ref="B7:J7"/>
    <mergeCell ref="B8:B9"/>
    <mergeCell ref="C8:D8"/>
    <mergeCell ref="E8:F8"/>
    <mergeCell ref="G8:H8"/>
    <mergeCell ref="I8:J8"/>
  </mergeCells>
  <hyperlinks>
    <hyperlink ref="B5" location="Índice!A1" display="Índice" xr:uid="{00000000-0004-0000-0E00-000000000000}"/>
  </hyperlink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2:N74"/>
  <sheetViews>
    <sheetView topLeftCell="H41" zoomScaleNormal="100" workbookViewId="0">
      <selection activeCell="R53" sqref="R53"/>
    </sheetView>
  </sheetViews>
  <sheetFormatPr baseColWidth="10" defaultColWidth="11.44140625" defaultRowHeight="14.4"/>
  <cols>
    <col min="1" max="1" width="11.44140625" style="52"/>
    <col min="2" max="2" width="27.88671875" style="52" customWidth="1"/>
    <col min="3" max="3" width="11.6640625" style="52" customWidth="1"/>
    <col min="4" max="4" width="11.5546875" style="52" customWidth="1"/>
    <col min="5" max="6" width="11.6640625" style="52" customWidth="1"/>
    <col min="7" max="7" width="11.5546875" style="52" customWidth="1"/>
    <col min="8" max="10" width="11.6640625" style="52" customWidth="1"/>
    <col min="11" max="16384" width="11.44140625" style="52"/>
  </cols>
  <sheetData>
    <row r="2" spans="2:14">
      <c r="B2" s="3" t="s">
        <v>130</v>
      </c>
      <c r="G2" s="6"/>
      <c r="H2" s="6"/>
      <c r="I2" s="6"/>
    </row>
    <row r="3" spans="2:14">
      <c r="B3" s="33" t="s">
        <v>79</v>
      </c>
      <c r="G3" s="6"/>
      <c r="H3" s="6"/>
      <c r="I3" s="6"/>
    </row>
    <row r="4" spans="2:14" ht="15.75" customHeight="1">
      <c r="B4" s="57" t="s">
        <v>131</v>
      </c>
    </row>
    <row r="5" spans="2:14" ht="15" customHeight="1">
      <c r="B5" s="4" t="s">
        <v>0</v>
      </c>
    </row>
    <row r="7" spans="2:14" ht="18" customHeight="1">
      <c r="B7" s="74" t="s">
        <v>137</v>
      </c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</row>
    <row r="8" spans="2:14">
      <c r="B8" s="73" t="s">
        <v>54</v>
      </c>
      <c r="C8" s="73">
        <v>2022</v>
      </c>
      <c r="D8" s="73"/>
      <c r="E8" s="73">
        <v>2018</v>
      </c>
      <c r="F8" s="73"/>
      <c r="G8" s="73">
        <v>2015</v>
      </c>
      <c r="H8" s="73"/>
      <c r="I8" s="73">
        <v>2012</v>
      </c>
      <c r="J8" s="73"/>
      <c r="K8" s="73" t="s">
        <v>132</v>
      </c>
      <c r="L8" s="73"/>
      <c r="M8" s="73" t="s">
        <v>133</v>
      </c>
      <c r="N8" s="73"/>
    </row>
    <row r="9" spans="2:14" ht="18" customHeight="1">
      <c r="B9" s="73"/>
      <c r="C9" s="35" t="s">
        <v>56</v>
      </c>
      <c r="D9" s="35" t="s">
        <v>55</v>
      </c>
      <c r="E9" s="35" t="s">
        <v>56</v>
      </c>
      <c r="F9" s="35" t="s">
        <v>55</v>
      </c>
      <c r="G9" s="35" t="s">
        <v>56</v>
      </c>
      <c r="H9" s="35" t="s">
        <v>55</v>
      </c>
      <c r="I9" s="35" t="s">
        <v>56</v>
      </c>
      <c r="J9" s="35" t="s">
        <v>55</v>
      </c>
      <c r="K9" s="35" t="s">
        <v>134</v>
      </c>
      <c r="L9" s="35" t="s">
        <v>55</v>
      </c>
      <c r="M9" s="35" t="s">
        <v>134</v>
      </c>
      <c r="N9" s="35" t="s">
        <v>55</v>
      </c>
    </row>
    <row r="10" spans="2:14">
      <c r="B10" s="23" t="s">
        <v>16</v>
      </c>
      <c r="C10" s="32">
        <v>474.82645400000001</v>
      </c>
      <c r="D10" s="31">
        <v>3.0648040000000001</v>
      </c>
      <c r="E10" s="32">
        <v>500.04</v>
      </c>
      <c r="F10" s="31">
        <v>2.65</v>
      </c>
      <c r="G10" s="32">
        <v>505.97</v>
      </c>
      <c r="H10" s="31">
        <v>2.8879999999999999</v>
      </c>
      <c r="I10" s="32">
        <v>513.5</v>
      </c>
      <c r="J10" s="31">
        <v>2.8769999999999998</v>
      </c>
      <c r="K10" s="32">
        <v>-38.673545999999988</v>
      </c>
      <c r="L10" s="31">
        <v>4.2035880576497977</v>
      </c>
      <c r="M10" s="32">
        <v>-25.213546000000008</v>
      </c>
      <c r="N10" s="31">
        <v>4.0516075276877448</v>
      </c>
    </row>
    <row r="11" spans="2:14">
      <c r="B11" s="23" t="s">
        <v>14</v>
      </c>
      <c r="C11" s="32">
        <v>487.08425399999999</v>
      </c>
      <c r="D11" s="31">
        <v>1.779614</v>
      </c>
      <c r="E11" s="32">
        <v>491.36</v>
      </c>
      <c r="F11" s="31">
        <v>1.94</v>
      </c>
      <c r="G11" s="32">
        <v>493.9</v>
      </c>
      <c r="H11" s="31">
        <v>1.605</v>
      </c>
      <c r="I11" s="32">
        <v>504.2</v>
      </c>
      <c r="J11" s="31">
        <v>1.643</v>
      </c>
      <c r="K11" s="32">
        <v>-17.115746000000001</v>
      </c>
      <c r="L11" s="31">
        <v>2.4220807147979193</v>
      </c>
      <c r="M11" s="32">
        <v>-4.2757460000000265</v>
      </c>
      <c r="N11" s="31">
        <v>2.6326082103108317</v>
      </c>
    </row>
    <row r="12" spans="2:14">
      <c r="B12" s="23" t="s">
        <v>18</v>
      </c>
      <c r="C12" s="32">
        <v>487.26749899999999</v>
      </c>
      <c r="D12" s="31">
        <v>2.3377889999999999</v>
      </c>
      <c r="E12" s="32">
        <v>498.94</v>
      </c>
      <c r="F12" s="31">
        <v>2.97</v>
      </c>
      <c r="G12" s="32">
        <v>496.74</v>
      </c>
      <c r="H12" s="31">
        <v>2.8610000000000002</v>
      </c>
      <c r="I12" s="32">
        <v>505.5</v>
      </c>
      <c r="J12" s="31">
        <v>2.6680000000000001</v>
      </c>
      <c r="K12" s="32">
        <v>-18.232501000000013</v>
      </c>
      <c r="L12" s="31">
        <v>3.5473203137750331</v>
      </c>
      <c r="M12" s="32">
        <v>-11.672501000000011</v>
      </c>
      <c r="N12" s="31">
        <v>3.7797033492750463</v>
      </c>
    </row>
    <row r="13" spans="2:14">
      <c r="B13" s="23" t="s">
        <v>28</v>
      </c>
      <c r="C13" s="32">
        <v>489.48681699999997</v>
      </c>
      <c r="D13" s="31">
        <v>2.202874</v>
      </c>
      <c r="E13" s="32">
        <v>508.07</v>
      </c>
      <c r="F13" s="31">
        <v>2.2599999999999998</v>
      </c>
      <c r="G13" s="32">
        <v>506.98</v>
      </c>
      <c r="H13" s="31">
        <v>2.35</v>
      </c>
      <c r="I13" s="32">
        <v>514.70000000000005</v>
      </c>
      <c r="J13" s="31">
        <v>2.0819999999999999</v>
      </c>
      <c r="K13" s="32">
        <v>-25.213183000000072</v>
      </c>
      <c r="L13" s="31">
        <v>3.0310687652832953</v>
      </c>
      <c r="M13" s="32">
        <v>-18.58318300000002</v>
      </c>
      <c r="N13" s="31">
        <v>3.1559869866455403</v>
      </c>
    </row>
    <row r="14" spans="2:14">
      <c r="B14" s="23" t="s">
        <v>20</v>
      </c>
      <c r="C14" s="32">
        <v>417.3039</v>
      </c>
      <c r="D14" s="31">
        <v>3.3026879999999998</v>
      </c>
      <c r="E14" s="32">
        <v>436.04</v>
      </c>
      <c r="F14" s="31">
        <v>3.82</v>
      </c>
      <c r="G14" s="32">
        <v>441.19</v>
      </c>
      <c r="H14" s="31">
        <v>3.9550000000000001</v>
      </c>
      <c r="I14" s="32" t="s">
        <v>135</v>
      </c>
      <c r="J14" s="31" t="s">
        <v>135</v>
      </c>
      <c r="K14" s="32" t="s">
        <v>135</v>
      </c>
      <c r="L14" s="31" t="s">
        <v>135</v>
      </c>
      <c r="M14" s="32">
        <v>-18.736100000000022</v>
      </c>
      <c r="N14" s="31">
        <v>5.049767125852834</v>
      </c>
    </row>
    <row r="15" spans="2:14">
      <c r="B15" s="23" t="s">
        <v>6</v>
      </c>
      <c r="C15" s="32">
        <v>496.94789400000002</v>
      </c>
      <c r="D15" s="31">
        <v>1.561804</v>
      </c>
      <c r="E15" s="32">
        <v>512.02</v>
      </c>
      <c r="F15" s="31">
        <v>2.36</v>
      </c>
      <c r="G15" s="32">
        <v>515.65</v>
      </c>
      <c r="H15" s="31">
        <v>2.3130000000000002</v>
      </c>
      <c r="I15" s="32">
        <v>518.1</v>
      </c>
      <c r="J15" s="31">
        <v>1.841</v>
      </c>
      <c r="K15" s="32">
        <v>-21.152106000000003</v>
      </c>
      <c r="L15" s="31">
        <v>2.4142312926511411</v>
      </c>
      <c r="M15" s="32">
        <v>-15.072105999999962</v>
      </c>
      <c r="N15" s="31">
        <v>2.8299879389170548</v>
      </c>
    </row>
    <row r="16" spans="2:14">
      <c r="B16" s="23" t="s">
        <v>1</v>
      </c>
      <c r="C16" s="32">
        <v>411.69657100000001</v>
      </c>
      <c r="D16" s="31">
        <v>2.0779019999999999</v>
      </c>
      <c r="E16" s="32">
        <v>417.41</v>
      </c>
      <c r="F16" s="31">
        <v>2.42</v>
      </c>
      <c r="G16" s="32">
        <v>422.67</v>
      </c>
      <c r="H16" s="31">
        <v>2.54</v>
      </c>
      <c r="I16" s="32">
        <v>422.6</v>
      </c>
      <c r="J16" s="31">
        <v>3.0670000000000002</v>
      </c>
      <c r="K16" s="32">
        <v>-10.903429000000017</v>
      </c>
      <c r="L16" s="31">
        <v>3.7046141123744589</v>
      </c>
      <c r="M16" s="32">
        <v>-5.7134290000000192</v>
      </c>
      <c r="N16" s="31">
        <v>3.1896828559598207</v>
      </c>
    </row>
    <row r="17" spans="2:14">
      <c r="B17" s="23" t="s">
        <v>82</v>
      </c>
      <c r="C17" s="32">
        <v>418.30667999999997</v>
      </c>
      <c r="D17" s="31">
        <v>1.1789259999999999</v>
      </c>
      <c r="E17" s="32" t="s">
        <v>135</v>
      </c>
      <c r="F17" s="31" t="s">
        <v>135</v>
      </c>
      <c r="G17" s="32">
        <v>437.14</v>
      </c>
      <c r="H17" s="31">
        <v>1.7150000000000001</v>
      </c>
      <c r="I17" s="32" t="s">
        <v>135</v>
      </c>
      <c r="J17" s="31" t="s">
        <v>135</v>
      </c>
      <c r="K17" s="32" t="s">
        <v>135</v>
      </c>
      <c r="L17" s="31" t="s">
        <v>135</v>
      </c>
      <c r="M17" s="32" t="s">
        <v>135</v>
      </c>
      <c r="N17" s="31" t="s">
        <v>135</v>
      </c>
    </row>
    <row r="18" spans="2:14">
      <c r="B18" s="23" t="s">
        <v>29</v>
      </c>
      <c r="C18" s="32">
        <v>382.69683500000002</v>
      </c>
      <c r="D18" s="31">
        <v>3.0310130000000002</v>
      </c>
      <c r="E18" s="32">
        <v>390.93</v>
      </c>
      <c r="F18" s="31">
        <v>2.99</v>
      </c>
      <c r="G18" s="32" t="s">
        <v>135</v>
      </c>
      <c r="H18" s="31" t="s">
        <v>135</v>
      </c>
      <c r="I18" s="32" t="s">
        <v>135</v>
      </c>
      <c r="J18" s="31" t="s">
        <v>135</v>
      </c>
      <c r="K18" s="32" t="s">
        <v>135</v>
      </c>
      <c r="L18" s="31" t="s">
        <v>135</v>
      </c>
      <c r="M18" s="32">
        <v>-8.2331649999999854</v>
      </c>
      <c r="N18" s="31">
        <v>4.2575978915544619</v>
      </c>
    </row>
    <row r="19" spans="2:14">
      <c r="B19" s="23" t="s">
        <v>25</v>
      </c>
      <c r="C19" s="32">
        <v>527.302502</v>
      </c>
      <c r="D19" s="31">
        <v>3.8628089999999999</v>
      </c>
      <c r="E19" s="32">
        <v>525.92999999999995</v>
      </c>
      <c r="F19" s="31">
        <v>3.12</v>
      </c>
      <c r="G19" s="32" t="s">
        <v>135</v>
      </c>
      <c r="H19" s="31" t="s">
        <v>135</v>
      </c>
      <c r="I19" s="32">
        <v>553.79999999999995</v>
      </c>
      <c r="J19" s="31">
        <v>4.5789999999999997</v>
      </c>
      <c r="K19" s="32">
        <v>-26.49749799999995</v>
      </c>
      <c r="L19" s="31">
        <v>5.9907039962329129</v>
      </c>
      <c r="M19" s="32">
        <v>1.3725020000000541</v>
      </c>
      <c r="N19" s="31">
        <v>4.9654499665670784</v>
      </c>
    </row>
    <row r="20" spans="2:14">
      <c r="B20" s="23" t="s">
        <v>83</v>
      </c>
      <c r="C20" s="32">
        <v>384.57604099999998</v>
      </c>
      <c r="D20" s="31">
        <v>1.8877079999999999</v>
      </c>
      <c r="E20" s="32" t="s">
        <v>135</v>
      </c>
      <c r="F20" s="31" t="s">
        <v>135</v>
      </c>
      <c r="G20" s="32" t="s">
        <v>135</v>
      </c>
      <c r="H20" s="31" t="s">
        <v>135</v>
      </c>
      <c r="I20" s="32" t="s">
        <v>135</v>
      </c>
      <c r="J20" s="31" t="s">
        <v>135</v>
      </c>
      <c r="K20" s="32" t="s">
        <v>135</v>
      </c>
      <c r="L20" s="31" t="s">
        <v>135</v>
      </c>
      <c r="M20" s="32" t="s">
        <v>135</v>
      </c>
      <c r="N20" s="31" t="s">
        <v>135</v>
      </c>
    </row>
    <row r="21" spans="2:14">
      <c r="B21" s="23" t="s">
        <v>15</v>
      </c>
      <c r="C21" s="32">
        <v>463.105189</v>
      </c>
      <c r="D21" s="31">
        <v>2.3789169999999999</v>
      </c>
      <c r="E21" s="32">
        <v>464.2</v>
      </c>
      <c r="F21" s="31">
        <v>2.5499999999999998</v>
      </c>
      <c r="G21" s="32">
        <v>464.04</v>
      </c>
      <c r="H21" s="31">
        <v>2.7709999999999999</v>
      </c>
      <c r="I21" s="32" t="s">
        <v>135</v>
      </c>
      <c r="J21" s="31" t="s">
        <v>135</v>
      </c>
      <c r="K21" s="32" t="s">
        <v>135</v>
      </c>
      <c r="L21" s="31" t="s">
        <v>135</v>
      </c>
      <c r="M21" s="32">
        <v>-1.0948109999999929</v>
      </c>
      <c r="N21" s="31">
        <v>3.4873695090840315</v>
      </c>
    </row>
    <row r="22" spans="2:14">
      <c r="B22" s="23" t="s">
        <v>8</v>
      </c>
      <c r="C22" s="32">
        <v>489.27387700000003</v>
      </c>
      <c r="D22" s="31">
        <v>1.9488220000000001</v>
      </c>
      <c r="E22" s="32">
        <v>509.4</v>
      </c>
      <c r="F22" s="31">
        <v>1.74</v>
      </c>
      <c r="G22" s="32">
        <v>511.09</v>
      </c>
      <c r="H22" s="31">
        <v>2.1739999999999999</v>
      </c>
      <c r="I22" s="32">
        <v>500</v>
      </c>
      <c r="J22" s="31">
        <v>2.2949999999999999</v>
      </c>
      <c r="K22" s="32">
        <v>-10.726122999999973</v>
      </c>
      <c r="L22" s="31">
        <v>3.0108025819844118</v>
      </c>
      <c r="M22" s="32">
        <v>-20.12612299999995</v>
      </c>
      <c r="N22" s="31">
        <v>2.6125671642436297</v>
      </c>
    </row>
    <row r="23" spans="2:14">
      <c r="B23" s="23" t="s">
        <v>10</v>
      </c>
      <c r="C23" s="32">
        <v>484.52900899999997</v>
      </c>
      <c r="D23" s="31">
        <v>1.244059</v>
      </c>
      <c r="E23" s="32">
        <v>508.9</v>
      </c>
      <c r="F23" s="31">
        <v>1.36</v>
      </c>
      <c r="G23" s="32">
        <v>509.92</v>
      </c>
      <c r="H23" s="31">
        <v>1.256</v>
      </c>
      <c r="I23" s="32">
        <v>501.1</v>
      </c>
      <c r="J23" s="31">
        <v>1.2330000000000001</v>
      </c>
      <c r="K23" s="32">
        <v>-16.570991000000049</v>
      </c>
      <c r="L23" s="31">
        <v>1.751562672438814</v>
      </c>
      <c r="M23" s="32">
        <v>-24.370991000000004</v>
      </c>
      <c r="N23" s="31">
        <v>1.8431719386647032</v>
      </c>
    </row>
    <row r="24" spans="2:14">
      <c r="B24" s="23" t="s">
        <v>26</v>
      </c>
      <c r="C24" s="32">
        <v>473.14020799999997</v>
      </c>
      <c r="D24" s="31">
        <v>1.5043759999999999</v>
      </c>
      <c r="E24" s="32">
        <v>481.39</v>
      </c>
      <c r="F24" s="31">
        <v>1.46</v>
      </c>
      <c r="G24" s="32">
        <v>485.84</v>
      </c>
      <c r="H24" s="31">
        <v>2.1509999999999998</v>
      </c>
      <c r="I24" s="32">
        <v>484.3</v>
      </c>
      <c r="J24" s="31">
        <v>1.8959999999999999</v>
      </c>
      <c r="K24" s="32">
        <v>-11.159792000000039</v>
      </c>
      <c r="L24" s="31">
        <v>2.4203229431991096</v>
      </c>
      <c r="M24" s="32">
        <v>-8.2497920000000136</v>
      </c>
      <c r="N24" s="31">
        <v>2.0963652232795695</v>
      </c>
    </row>
    <row r="25" spans="2:14">
      <c r="B25" s="23" t="s">
        <v>7</v>
      </c>
      <c r="C25" s="32">
        <v>464.88804299999998</v>
      </c>
      <c r="D25" s="31">
        <v>4.006723</v>
      </c>
      <c r="E25" s="32">
        <v>478.24</v>
      </c>
      <c r="F25" s="31">
        <v>3.24</v>
      </c>
      <c r="G25" s="32">
        <v>469.63</v>
      </c>
      <c r="H25" s="31">
        <v>3.1659999999999999</v>
      </c>
      <c r="I25" s="32">
        <v>481.4</v>
      </c>
      <c r="J25" s="31">
        <v>3.597</v>
      </c>
      <c r="K25" s="32">
        <v>-16.511956999999995</v>
      </c>
      <c r="L25" s="31">
        <v>5.384444093750905</v>
      </c>
      <c r="M25" s="32">
        <v>-13.351957000000027</v>
      </c>
      <c r="N25" s="31">
        <v>5.1528078946074638</v>
      </c>
    </row>
    <row r="26" spans="2:14">
      <c r="B26" s="23" t="s">
        <v>21</v>
      </c>
      <c r="C26" s="32">
        <v>509.94695300000001</v>
      </c>
      <c r="D26" s="31">
        <v>1.984475</v>
      </c>
      <c r="E26" s="32">
        <v>523.41</v>
      </c>
      <c r="F26" s="31">
        <v>1.74</v>
      </c>
      <c r="G26" s="32">
        <v>519.53</v>
      </c>
      <c r="H26" s="31">
        <v>2.0430000000000001</v>
      </c>
      <c r="I26" s="32">
        <v>520.5</v>
      </c>
      <c r="J26" s="31">
        <v>2.0209999999999999</v>
      </c>
      <c r="K26" s="32">
        <v>-10.553046999999992</v>
      </c>
      <c r="L26" s="31">
        <v>2.8324162874875931</v>
      </c>
      <c r="M26" s="32">
        <v>-13.46304699999996</v>
      </c>
      <c r="N26" s="31">
        <v>2.6392690324453474</v>
      </c>
    </row>
    <row r="27" spans="2:14">
      <c r="B27" s="23" t="s">
        <v>34</v>
      </c>
      <c r="C27" s="32">
        <v>484.13922600000001</v>
      </c>
      <c r="D27" s="31">
        <v>1.857156</v>
      </c>
      <c r="E27" s="32">
        <v>507.3</v>
      </c>
      <c r="F27" s="31">
        <v>1.97</v>
      </c>
      <c r="G27" s="32">
        <v>511.08</v>
      </c>
      <c r="H27" s="31">
        <v>2.3090000000000002</v>
      </c>
      <c r="I27" s="32">
        <v>518.79999999999995</v>
      </c>
      <c r="J27" s="31">
        <v>1.9410000000000001</v>
      </c>
      <c r="K27" s="32">
        <v>-34.660773999999947</v>
      </c>
      <c r="L27" s="31">
        <v>2.6863561581324245</v>
      </c>
      <c r="M27" s="32">
        <v>-23.160774000000004</v>
      </c>
      <c r="N27" s="31">
        <v>2.7073840526116721</v>
      </c>
    </row>
    <row r="28" spans="2:14">
      <c r="B28" s="23" t="s">
        <v>5</v>
      </c>
      <c r="C28" s="32">
        <v>473.94441799999998</v>
      </c>
      <c r="D28" s="31">
        <v>2.4889739999999998</v>
      </c>
      <c r="E28" s="32">
        <v>495.41</v>
      </c>
      <c r="F28" s="31">
        <v>2.3199999999999998</v>
      </c>
      <c r="G28" s="32">
        <v>492.92</v>
      </c>
      <c r="H28" s="31">
        <v>2.0990000000000002</v>
      </c>
      <c r="I28" s="32">
        <v>495</v>
      </c>
      <c r="J28" s="31">
        <v>2.4550000000000001</v>
      </c>
      <c r="K28" s="32">
        <v>-21.055582000000015</v>
      </c>
      <c r="L28" s="31">
        <v>3.496000081904461</v>
      </c>
      <c r="M28" s="32">
        <v>-21.46558200000004</v>
      </c>
      <c r="N28" s="31">
        <v>3.4025566229933633</v>
      </c>
    </row>
    <row r="29" spans="2:14">
      <c r="B29" s="23" t="s">
        <v>37</v>
      </c>
      <c r="C29" s="32">
        <v>430.146322</v>
      </c>
      <c r="D29" s="31">
        <v>2.3350230000000001</v>
      </c>
      <c r="E29" s="32">
        <v>451.37</v>
      </c>
      <c r="F29" s="31">
        <v>3.09</v>
      </c>
      <c r="G29" s="32">
        <v>453.63</v>
      </c>
      <c r="H29" s="31">
        <v>3.754</v>
      </c>
      <c r="I29" s="32">
        <v>453</v>
      </c>
      <c r="J29" s="31">
        <v>2.5019999999999998</v>
      </c>
      <c r="K29" s="32">
        <v>-22.853678000000002</v>
      </c>
      <c r="L29" s="31">
        <v>3.4223290915002607</v>
      </c>
      <c r="M29" s="32">
        <v>-21.223678000000007</v>
      </c>
      <c r="N29" s="31">
        <v>3.8730391697643598</v>
      </c>
    </row>
    <row r="30" spans="2:14">
      <c r="B30" s="23" t="s">
        <v>4</v>
      </c>
      <c r="C30" s="32">
        <v>472.77612199999999</v>
      </c>
      <c r="D30" s="31">
        <v>2.5140600000000002</v>
      </c>
      <c r="E30" s="32">
        <v>481.08</v>
      </c>
      <c r="F30" s="31">
        <v>2.3199999999999998</v>
      </c>
      <c r="G30" s="32">
        <v>476.83</v>
      </c>
      <c r="H30" s="31">
        <v>2.5270000000000001</v>
      </c>
      <c r="I30" s="32">
        <v>477</v>
      </c>
      <c r="J30" s="31">
        <v>3.1930000000000001</v>
      </c>
      <c r="K30" s="32">
        <v>-4.2238780000000133</v>
      </c>
      <c r="L30" s="31">
        <v>4.0639570228534652</v>
      </c>
      <c r="M30" s="32">
        <v>-8.3038779999999974</v>
      </c>
      <c r="N30" s="31">
        <v>3.4209498218477279</v>
      </c>
    </row>
    <row r="31" spans="2:14">
      <c r="B31" s="23" t="s">
        <v>9</v>
      </c>
      <c r="C31" s="32">
        <v>491.64828</v>
      </c>
      <c r="D31" s="31">
        <v>2.0222660000000001</v>
      </c>
      <c r="E31" s="32">
        <v>499.63</v>
      </c>
      <c r="F31" s="31">
        <v>2.2000000000000002</v>
      </c>
      <c r="G31" s="32">
        <v>503.72</v>
      </c>
      <c r="H31" s="31">
        <v>2.0529999999999999</v>
      </c>
      <c r="I31" s="32">
        <v>501.5</v>
      </c>
      <c r="J31" s="31">
        <v>2.2480000000000002</v>
      </c>
      <c r="K31" s="32">
        <v>-9.8517200000000003</v>
      </c>
      <c r="L31" s="31">
        <v>3.0237499524193465</v>
      </c>
      <c r="M31" s="32">
        <v>-7.9817199999999957</v>
      </c>
      <c r="N31" s="31">
        <v>2.9882369007085101</v>
      </c>
    </row>
    <row r="32" spans="2:14">
      <c r="B32" s="23" t="s">
        <v>19</v>
      </c>
      <c r="C32" s="32">
        <v>458.89645000000002</v>
      </c>
      <c r="D32" s="31">
        <v>1.5820639999999999</v>
      </c>
      <c r="E32" s="32">
        <v>495.19</v>
      </c>
      <c r="F32" s="31">
        <v>1.95</v>
      </c>
      <c r="G32" s="32">
        <v>488.03</v>
      </c>
      <c r="H32" s="31">
        <v>1.9890000000000001</v>
      </c>
      <c r="I32" s="32">
        <v>492.8</v>
      </c>
      <c r="J32" s="31">
        <v>1.702</v>
      </c>
      <c r="K32" s="32">
        <v>-33.903549999999996</v>
      </c>
      <c r="L32" s="31">
        <v>2.323732019854269</v>
      </c>
      <c r="M32" s="32">
        <v>-36.293549999999982</v>
      </c>
      <c r="N32" s="31">
        <v>2.5110608316199747</v>
      </c>
    </row>
    <row r="33" spans="2:14">
      <c r="B33" s="23" t="s">
        <v>11</v>
      </c>
      <c r="C33" s="32">
        <v>457.89666699999998</v>
      </c>
      <c r="D33" s="31">
        <v>3.2691490000000001</v>
      </c>
      <c r="E33" s="32">
        <v>463.03</v>
      </c>
      <c r="F33" s="31">
        <v>3.5</v>
      </c>
      <c r="G33" s="32">
        <v>469.67</v>
      </c>
      <c r="H33" s="31">
        <v>3.629</v>
      </c>
      <c r="I33" s="32">
        <v>466.5</v>
      </c>
      <c r="J33" s="31">
        <v>4.6820000000000004</v>
      </c>
      <c r="K33" s="32">
        <v>-8.6033330000000205</v>
      </c>
      <c r="L33" s="31">
        <v>5.7103817021457512</v>
      </c>
      <c r="M33" s="32">
        <v>-5.1333329999999933</v>
      </c>
      <c r="N33" s="31">
        <v>4.7892938085067405</v>
      </c>
    </row>
    <row r="34" spans="2:14">
      <c r="B34" s="23" t="s">
        <v>12</v>
      </c>
      <c r="C34" s="32">
        <v>471.25947500000001</v>
      </c>
      <c r="D34" s="31">
        <v>3.093388</v>
      </c>
      <c r="E34" s="32">
        <v>486.59</v>
      </c>
      <c r="F34" s="31">
        <v>2.78</v>
      </c>
      <c r="G34" s="32">
        <v>489.73</v>
      </c>
      <c r="H34" s="31">
        <v>2.8450000000000002</v>
      </c>
      <c r="I34" s="32">
        <v>485.3</v>
      </c>
      <c r="J34" s="31">
        <v>2.0249999999999999</v>
      </c>
      <c r="K34" s="32">
        <v>-14.040525000000002</v>
      </c>
      <c r="L34" s="31">
        <v>3.6972522660137761</v>
      </c>
      <c r="M34" s="32">
        <v>-15.330524999999966</v>
      </c>
      <c r="N34" s="31">
        <v>4.1590202354092964</v>
      </c>
    </row>
    <row r="35" spans="2:14">
      <c r="B35" s="23" t="s">
        <v>2</v>
      </c>
      <c r="C35" s="32">
        <v>535.57930599999997</v>
      </c>
      <c r="D35" s="31">
        <v>2.9338280000000001</v>
      </c>
      <c r="E35" s="32">
        <v>526.97</v>
      </c>
      <c r="F35" s="31">
        <v>2.4700000000000002</v>
      </c>
      <c r="G35" s="32">
        <v>532.44000000000005</v>
      </c>
      <c r="H35" s="31">
        <v>3</v>
      </c>
      <c r="I35" s="32">
        <v>536.4</v>
      </c>
      <c r="J35" s="31">
        <v>3.5870000000000002</v>
      </c>
      <c r="K35" s="32">
        <v>-0.82069400000000314</v>
      </c>
      <c r="L35" s="31">
        <v>4.6339956553264052</v>
      </c>
      <c r="M35" s="32">
        <v>8.6093059999999468</v>
      </c>
      <c r="N35" s="31">
        <v>3.8351332093662669</v>
      </c>
    </row>
    <row r="36" spans="2:14">
      <c r="B36" s="23" t="s">
        <v>23</v>
      </c>
      <c r="C36" s="32">
        <v>483.15945499999998</v>
      </c>
      <c r="D36" s="31">
        <v>2.0319129999999999</v>
      </c>
      <c r="E36" s="32">
        <v>496.13</v>
      </c>
      <c r="F36" s="31">
        <v>1.96</v>
      </c>
      <c r="G36" s="32">
        <v>482.31</v>
      </c>
      <c r="H36" s="31">
        <v>1.869</v>
      </c>
      <c r="I36" s="32" t="s">
        <v>135</v>
      </c>
      <c r="J36" s="31" t="s">
        <v>135</v>
      </c>
      <c r="K36" s="32" t="s">
        <v>135</v>
      </c>
      <c r="L36" s="31" t="s">
        <v>135</v>
      </c>
      <c r="M36" s="32">
        <v>-12.970545000000016</v>
      </c>
      <c r="N36" s="31">
        <v>2.8231667395973976</v>
      </c>
    </row>
    <row r="37" spans="2:14">
      <c r="B37" s="23" t="s">
        <v>32</v>
      </c>
      <c r="C37" s="32">
        <v>475.14676200000002</v>
      </c>
      <c r="D37" s="31">
        <v>1.84182</v>
      </c>
      <c r="E37" s="32">
        <v>481.19</v>
      </c>
      <c r="F37" s="31">
        <v>1.95</v>
      </c>
      <c r="G37" s="32">
        <v>478.38</v>
      </c>
      <c r="H37" s="31">
        <v>2.3290000000000002</v>
      </c>
      <c r="I37" s="32" t="s">
        <v>135</v>
      </c>
      <c r="J37" s="31" t="s">
        <v>135</v>
      </c>
      <c r="K37" s="32" t="s">
        <v>135</v>
      </c>
      <c r="L37" s="31" t="s">
        <v>135</v>
      </c>
      <c r="M37" s="32">
        <v>-6.0432379999999739</v>
      </c>
      <c r="N37" s="31">
        <v>2.6823126052718016</v>
      </c>
    </row>
    <row r="38" spans="2:14">
      <c r="B38" s="23" t="s">
        <v>17</v>
      </c>
      <c r="C38" s="32">
        <v>466.01611300000002</v>
      </c>
      <c r="D38" s="31">
        <v>1.578962</v>
      </c>
      <c r="E38" s="32">
        <v>471.72</v>
      </c>
      <c r="F38" s="31">
        <v>1.9</v>
      </c>
      <c r="G38" s="32">
        <v>478.64</v>
      </c>
      <c r="H38" s="31">
        <v>1.716</v>
      </c>
      <c r="I38" s="32" t="s">
        <v>135</v>
      </c>
      <c r="J38" s="31" t="s">
        <v>135</v>
      </c>
      <c r="K38" s="32" t="s">
        <v>135</v>
      </c>
      <c r="L38" s="31" t="s">
        <v>135</v>
      </c>
      <c r="M38" s="32">
        <v>-5.7038870000000088</v>
      </c>
      <c r="N38" s="31">
        <v>2.4704495537136557</v>
      </c>
    </row>
    <row r="39" spans="2:14">
      <c r="B39" s="23" t="s">
        <v>3</v>
      </c>
      <c r="C39" s="32">
        <v>395.02991900000001</v>
      </c>
      <c r="D39" s="31">
        <v>2.2705890000000002</v>
      </c>
      <c r="E39" s="32">
        <v>408.8</v>
      </c>
      <c r="F39" s="31">
        <v>2.4900000000000002</v>
      </c>
      <c r="G39" s="32">
        <v>408.02</v>
      </c>
      <c r="H39" s="31">
        <v>2.2410000000000001</v>
      </c>
      <c r="I39" s="32">
        <v>413.3</v>
      </c>
      <c r="J39" s="31">
        <v>1.353</v>
      </c>
      <c r="K39" s="32">
        <v>-18.270081000000005</v>
      </c>
      <c r="L39" s="31">
        <v>2.6431389306884721</v>
      </c>
      <c r="M39" s="32">
        <v>-13.770081000000005</v>
      </c>
      <c r="N39" s="31">
        <v>3.3698181563581442</v>
      </c>
    </row>
    <row r="40" spans="2:14">
      <c r="B40" s="23" t="s">
        <v>13</v>
      </c>
      <c r="C40" s="32">
        <v>468.44995</v>
      </c>
      <c r="D40" s="31">
        <v>2.0624189999999998</v>
      </c>
      <c r="E40" s="32">
        <v>500.96</v>
      </c>
      <c r="F40" s="31">
        <v>2.2200000000000002</v>
      </c>
      <c r="G40" s="32">
        <v>501.73</v>
      </c>
      <c r="H40" s="31">
        <v>2.2320000000000002</v>
      </c>
      <c r="I40" s="32">
        <v>489.4</v>
      </c>
      <c r="J40" s="31">
        <v>2.734</v>
      </c>
      <c r="K40" s="32">
        <v>-20.950049999999976</v>
      </c>
      <c r="L40" s="31">
        <v>3.4246646743237505</v>
      </c>
      <c r="M40" s="32">
        <v>-32.510049999999978</v>
      </c>
      <c r="N40" s="31">
        <v>3.0301769142347119</v>
      </c>
    </row>
    <row r="41" spans="2:14">
      <c r="B41" s="23" t="s">
        <v>27</v>
      </c>
      <c r="C41" s="32">
        <v>479.07419299999998</v>
      </c>
      <c r="D41" s="31">
        <v>1.987025</v>
      </c>
      <c r="E41" s="32">
        <v>494.49</v>
      </c>
      <c r="F41" s="31">
        <v>1.71</v>
      </c>
      <c r="G41" s="32">
        <v>495.22</v>
      </c>
      <c r="H41" s="31">
        <v>2.2650000000000001</v>
      </c>
      <c r="I41" s="32">
        <v>499.7</v>
      </c>
      <c r="J41" s="31">
        <v>2.2050000000000001</v>
      </c>
      <c r="K41" s="32">
        <v>-20.625807000000009</v>
      </c>
      <c r="L41" s="31">
        <v>2.9682138316881757</v>
      </c>
      <c r="M41" s="32">
        <v>-15.415807000000029</v>
      </c>
      <c r="N41" s="31">
        <v>2.6215202365469161</v>
      </c>
    </row>
    <row r="42" spans="2:14">
      <c r="B42" s="23" t="s">
        <v>31</v>
      </c>
      <c r="C42" s="32">
        <v>492.67563899999999</v>
      </c>
      <c r="D42" s="31">
        <v>3.7659609999999999</v>
      </c>
      <c r="E42" s="32">
        <v>519.23</v>
      </c>
      <c r="F42" s="31">
        <v>2.63</v>
      </c>
      <c r="G42" s="32">
        <v>512.25</v>
      </c>
      <c r="H42" s="31">
        <v>2.2120000000000002</v>
      </c>
      <c r="I42" s="32">
        <v>523</v>
      </c>
      <c r="J42" s="31">
        <v>3.472</v>
      </c>
      <c r="K42" s="32">
        <v>-30.32436100000001</v>
      </c>
      <c r="L42" s="31">
        <v>5.1222305935520902</v>
      </c>
      <c r="M42" s="32">
        <v>-26.554361000000029</v>
      </c>
      <c r="N42" s="31">
        <v>4.5934042118586733</v>
      </c>
    </row>
    <row r="43" spans="2:14">
      <c r="B43" s="23" t="s">
        <v>35</v>
      </c>
      <c r="C43" s="32">
        <v>488.96005400000001</v>
      </c>
      <c r="D43" s="31">
        <v>2.2748499999999998</v>
      </c>
      <c r="E43" s="32">
        <v>515.65</v>
      </c>
      <c r="F43" s="31">
        <v>2.6</v>
      </c>
      <c r="G43" s="32">
        <v>504.47</v>
      </c>
      <c r="H43" s="31">
        <v>2.39</v>
      </c>
      <c r="I43" s="32">
        <v>517.5</v>
      </c>
      <c r="J43" s="31">
        <v>3.617</v>
      </c>
      <c r="K43" s="32">
        <v>-28.539945999999986</v>
      </c>
      <c r="L43" s="31">
        <v>4.2728949814499302</v>
      </c>
      <c r="M43" s="32">
        <v>-26.689945999999964</v>
      </c>
      <c r="N43" s="31">
        <v>3.454698615291933</v>
      </c>
    </row>
    <row r="44" spans="2:14">
      <c r="B44" s="23" t="s">
        <v>36</v>
      </c>
      <c r="C44" s="32">
        <v>471.91052200000001</v>
      </c>
      <c r="D44" s="31">
        <v>2.350571</v>
      </c>
      <c r="E44" s="32">
        <v>492.49</v>
      </c>
      <c r="F44" s="31">
        <v>2.68</v>
      </c>
      <c r="G44" s="32">
        <v>491.63</v>
      </c>
      <c r="H44" s="31">
        <v>2.4910000000000001</v>
      </c>
      <c r="I44" s="32">
        <v>487.1</v>
      </c>
      <c r="J44" s="31">
        <v>3.8119999999999998</v>
      </c>
      <c r="K44" s="32">
        <v>-15.189478000000008</v>
      </c>
      <c r="L44" s="31">
        <v>4.4784515210104709</v>
      </c>
      <c r="M44" s="32">
        <v>-20.579477999999995</v>
      </c>
      <c r="N44" s="31">
        <v>3.5647698419450591</v>
      </c>
    </row>
    <row r="45" spans="2:14">
      <c r="B45" s="23" t="s">
        <v>38</v>
      </c>
      <c r="C45" s="32">
        <v>488.97508499999998</v>
      </c>
      <c r="D45" s="31">
        <v>2.2179509999999998</v>
      </c>
      <c r="E45" s="32">
        <v>501.77</v>
      </c>
      <c r="F45" s="31">
        <v>2.56</v>
      </c>
      <c r="G45" s="32">
        <v>492.48</v>
      </c>
      <c r="H45" s="31">
        <v>2.4969999999999999</v>
      </c>
      <c r="I45" s="32">
        <v>493.9</v>
      </c>
      <c r="J45" s="31">
        <v>3.2959999999999998</v>
      </c>
      <c r="K45" s="32">
        <v>-4.9249149999999986</v>
      </c>
      <c r="L45" s="31">
        <v>3.972772663820697</v>
      </c>
      <c r="M45" s="32">
        <v>-12.794915000000003</v>
      </c>
      <c r="N45" s="31">
        <v>3.3871679377321993</v>
      </c>
    </row>
    <row r="46" spans="2:14">
      <c r="B46" s="23" t="s">
        <v>84</v>
      </c>
      <c r="C46" s="32">
        <v>486.99920800000001</v>
      </c>
      <c r="D46" s="31">
        <v>2.093645</v>
      </c>
      <c r="E46" s="32">
        <v>499.47</v>
      </c>
      <c r="F46" s="31">
        <v>2.46</v>
      </c>
      <c r="G46" s="32">
        <v>492.33</v>
      </c>
      <c r="H46" s="31">
        <v>2.3959999999999999</v>
      </c>
      <c r="I46" s="32">
        <v>499</v>
      </c>
      <c r="J46" s="31">
        <v>2.8519999999999999</v>
      </c>
      <c r="K46" s="32">
        <v>-12.00079199999999</v>
      </c>
      <c r="L46" s="31">
        <v>3.5379730618003582</v>
      </c>
      <c r="M46" s="32">
        <v>-12.470792000000017</v>
      </c>
      <c r="N46" s="31">
        <v>3.2303172268408873</v>
      </c>
    </row>
    <row r="47" spans="2:14">
      <c r="B47" s="23" t="s">
        <v>85</v>
      </c>
      <c r="C47" s="32">
        <v>463.994618</v>
      </c>
      <c r="D47" s="31">
        <v>2.8929279999999999</v>
      </c>
      <c r="E47" s="32">
        <v>486.16</v>
      </c>
      <c r="F47" s="31">
        <v>2.56</v>
      </c>
      <c r="G47" s="32">
        <v>475.23</v>
      </c>
      <c r="H47" s="31">
        <v>2.6579999999999999</v>
      </c>
      <c r="I47" s="32">
        <v>481.6</v>
      </c>
      <c r="J47" s="31">
        <v>3.4260000000000002</v>
      </c>
      <c r="K47" s="32">
        <v>-17.60538200000002</v>
      </c>
      <c r="L47" s="31">
        <v>4.4840281458956079</v>
      </c>
      <c r="M47" s="32">
        <v>-22.165382000000022</v>
      </c>
      <c r="N47" s="31">
        <v>3.8629823211068417</v>
      </c>
    </row>
    <row r="48" spans="2:14">
      <c r="B48" s="23" t="s">
        <v>33</v>
      </c>
      <c r="C48" s="32">
        <v>427.759997</v>
      </c>
      <c r="D48" s="31">
        <v>3.9984150000000001</v>
      </c>
      <c r="E48" s="32">
        <v>429.92</v>
      </c>
      <c r="F48" s="31">
        <v>4.9000000000000004</v>
      </c>
      <c r="G48" s="32">
        <v>443.95</v>
      </c>
      <c r="H48" s="31">
        <v>3.7850000000000001</v>
      </c>
      <c r="I48" s="32" t="s">
        <v>135</v>
      </c>
      <c r="J48" s="31" t="s">
        <v>135</v>
      </c>
      <c r="K48" s="32" t="s">
        <v>135</v>
      </c>
      <c r="L48" s="31" t="s">
        <v>135</v>
      </c>
      <c r="M48" s="32">
        <v>-2.1600030000000174</v>
      </c>
      <c r="N48" s="31">
        <v>6.3243436428000184</v>
      </c>
    </row>
    <row r="49" spans="2:14">
      <c r="B49" s="23" t="s">
        <v>22</v>
      </c>
      <c r="C49" s="32">
        <v>481.76606500000003</v>
      </c>
      <c r="D49" s="31">
        <v>2.0631210000000002</v>
      </c>
      <c r="E49" s="32">
        <v>502.39</v>
      </c>
      <c r="F49" s="31">
        <v>2.65</v>
      </c>
      <c r="G49" s="32">
        <v>493.92</v>
      </c>
      <c r="H49" s="31">
        <v>3.1720000000000002</v>
      </c>
      <c r="I49" s="32">
        <v>478.3</v>
      </c>
      <c r="J49" s="31">
        <v>2.2549999999999999</v>
      </c>
      <c r="K49" s="32">
        <v>3.4660650000000146</v>
      </c>
      <c r="L49" s="31">
        <v>3.0563856531270726</v>
      </c>
      <c r="M49" s="32">
        <v>-20.62393499999996</v>
      </c>
      <c r="N49" s="31">
        <v>3.3584175232750617</v>
      </c>
    </row>
    <row r="50" spans="2:14">
      <c r="B50" s="23" t="s">
        <v>24</v>
      </c>
      <c r="C50" s="32">
        <v>507.99058600000001</v>
      </c>
      <c r="D50" s="31">
        <v>2.1436999999999999</v>
      </c>
      <c r="E50" s="32">
        <v>515.30999999999995</v>
      </c>
      <c r="F50" s="31">
        <v>2.91</v>
      </c>
      <c r="G50" s="32">
        <v>521.25</v>
      </c>
      <c r="H50" s="31">
        <v>2.92</v>
      </c>
      <c r="I50" s="32">
        <v>530.9</v>
      </c>
      <c r="J50" s="31">
        <v>3.0409999999999999</v>
      </c>
      <c r="K50" s="32">
        <v>-22.90941399999997</v>
      </c>
      <c r="L50" s="31">
        <v>3.7206357910980752</v>
      </c>
      <c r="M50" s="32">
        <v>-7.3194139999999379</v>
      </c>
      <c r="N50" s="31">
        <v>3.6143532879340947</v>
      </c>
    </row>
    <row r="51" spans="2:14">
      <c r="B51" s="23" t="s">
        <v>30</v>
      </c>
      <c r="C51" s="32">
        <v>453.15176700000001</v>
      </c>
      <c r="D51" s="31">
        <v>1.5881510000000001</v>
      </c>
      <c r="E51" s="32">
        <v>453.51</v>
      </c>
      <c r="F51" s="31">
        <v>2.2599999999999998</v>
      </c>
      <c r="G51" s="32">
        <v>420.45</v>
      </c>
      <c r="H51" s="31">
        <v>4.1289999999999996</v>
      </c>
      <c r="I51" s="32">
        <v>448</v>
      </c>
      <c r="J51" s="31">
        <v>4.83</v>
      </c>
      <c r="K51" s="32">
        <v>5.1517670000000066</v>
      </c>
      <c r="L51" s="31">
        <v>5.0844000234836955</v>
      </c>
      <c r="M51" s="32">
        <v>-0.35823299999998426</v>
      </c>
      <c r="N51" s="31">
        <v>2.7622135324411468</v>
      </c>
    </row>
    <row r="52" spans="2:14">
      <c r="B52" s="23"/>
      <c r="C52" s="32"/>
      <c r="D52" s="31"/>
      <c r="E52" s="32"/>
      <c r="F52" s="31"/>
      <c r="G52" s="32"/>
      <c r="H52" s="31"/>
      <c r="I52" s="32"/>
      <c r="J52" s="31"/>
      <c r="K52" s="32" t="str">
        <f t="shared" ref="K52:K55" si="0">IF(I52="","",C52-I52)</f>
        <v/>
      </c>
      <c r="L52" s="31" t="str">
        <f t="shared" ref="L52:L55" si="1">IF(J52="","",SQRT(D52^2+J52^2))</f>
        <v/>
      </c>
      <c r="M52" s="32" t="str">
        <f t="shared" ref="M52:M55" si="2">IF(E52="","",C52-E52)</f>
        <v/>
      </c>
      <c r="N52" s="31" t="str">
        <f t="shared" ref="N52:N55" si="3">IF(E52="","",SQRT(D52^2+F52^2))</f>
        <v/>
      </c>
    </row>
    <row r="53" spans="2:14">
      <c r="B53" s="23" t="s">
        <v>39</v>
      </c>
      <c r="C53" s="32">
        <v>472.35764999999998</v>
      </c>
      <c r="D53" s="31">
        <v>0.397754</v>
      </c>
      <c r="E53" s="32">
        <v>489.29</v>
      </c>
      <c r="F53" s="31">
        <v>0.4</v>
      </c>
      <c r="G53" s="32">
        <v>490.2</v>
      </c>
      <c r="H53" s="31">
        <v>0.439</v>
      </c>
      <c r="I53" s="32">
        <v>494</v>
      </c>
      <c r="J53" s="31">
        <v>0.49199999999999999</v>
      </c>
      <c r="K53" s="32">
        <f t="shared" si="0"/>
        <v>-21.642350000000022</v>
      </c>
      <c r="L53" s="31">
        <f t="shared" si="1"/>
        <v>0.63267072361221199</v>
      </c>
      <c r="M53" s="32">
        <f t="shared" si="2"/>
        <v>-16.932350000000042</v>
      </c>
      <c r="N53" s="31">
        <f t="shared" si="3"/>
        <v>0.56409949877304455</v>
      </c>
    </row>
    <row r="54" spans="2:14">
      <c r="B54" s="23" t="s">
        <v>40</v>
      </c>
      <c r="C54" s="32">
        <v>473.73910999999998</v>
      </c>
      <c r="D54" s="31">
        <v>0.86982700000000002</v>
      </c>
      <c r="E54" s="32">
        <v>493.83</v>
      </c>
      <c r="F54" s="31">
        <v>0.83</v>
      </c>
      <c r="G54" s="32">
        <v>492.64</v>
      </c>
      <c r="H54" s="31">
        <v>0.78800000000000003</v>
      </c>
      <c r="I54" s="32" t="str">
        <f>IFERROR([1]Hoja2!I54,"")</f>
        <v/>
      </c>
      <c r="J54" s="31"/>
      <c r="K54" s="32" t="str">
        <f t="shared" si="0"/>
        <v/>
      </c>
      <c r="L54" s="31" t="str">
        <f t="shared" si="1"/>
        <v/>
      </c>
      <c r="M54" s="32">
        <f t="shared" si="2"/>
        <v>-20.090890000000002</v>
      </c>
      <c r="N54" s="31">
        <f t="shared" si="3"/>
        <v>1.2022890708681502</v>
      </c>
    </row>
    <row r="55" spans="2:14">
      <c r="B55" s="23"/>
      <c r="C55" s="32"/>
      <c r="D55" s="31"/>
      <c r="E55" s="32"/>
      <c r="F55" s="31"/>
      <c r="G55" s="32"/>
      <c r="H55" s="31"/>
      <c r="I55" s="32"/>
      <c r="J55" s="31"/>
      <c r="K55" s="32" t="str">
        <f t="shared" si="0"/>
        <v/>
      </c>
      <c r="L55" s="31" t="str">
        <f t="shared" si="1"/>
        <v/>
      </c>
      <c r="M55" s="32" t="str">
        <f t="shared" si="2"/>
        <v/>
      </c>
      <c r="N55" s="31" t="str">
        <f t="shared" si="3"/>
        <v/>
      </c>
    </row>
    <row r="56" spans="2:14">
      <c r="B56" s="23" t="s">
        <v>43</v>
      </c>
      <c r="C56" s="32">
        <v>457.22283900000002</v>
      </c>
      <c r="D56" s="31">
        <v>4.8503489999999996</v>
      </c>
      <c r="E56" s="32">
        <v>467.41</v>
      </c>
      <c r="F56" s="31">
        <v>4.21</v>
      </c>
      <c r="G56" s="32">
        <v>465.84</v>
      </c>
      <c r="H56" s="31">
        <v>4.125</v>
      </c>
      <c r="I56" s="32">
        <v>472</v>
      </c>
      <c r="J56" s="31">
        <v>3.8439999999999999</v>
      </c>
      <c r="K56" s="32">
        <v>-14.777160999999978</v>
      </c>
      <c r="L56" s="31">
        <v>6.1888788501473346</v>
      </c>
      <c r="M56" s="32">
        <v>-10.187161000000003</v>
      </c>
      <c r="N56" s="31">
        <v>6.4226151544212113</v>
      </c>
    </row>
    <row r="57" spans="2:14">
      <c r="B57" s="23" t="s">
        <v>44</v>
      </c>
      <c r="C57" s="32">
        <v>486.87795299999999</v>
      </c>
      <c r="D57" s="31">
        <v>4.6013539999999997</v>
      </c>
      <c r="E57" s="32">
        <v>496.71</v>
      </c>
      <c r="F57" s="31">
        <v>5.93</v>
      </c>
      <c r="G57" s="32">
        <v>500.33</v>
      </c>
      <c r="H57" s="31">
        <v>5.0469999999999997</v>
      </c>
      <c r="I57" s="32">
        <v>496.3</v>
      </c>
      <c r="J57" s="31">
        <v>5.42</v>
      </c>
      <c r="K57" s="32">
        <v>-9.4220470000000205</v>
      </c>
      <c r="L57" s="31">
        <v>7.1097720521347236</v>
      </c>
      <c r="M57" s="32">
        <v>-9.8320469999999887</v>
      </c>
      <c r="N57" s="31">
        <v>7.5058216494475802</v>
      </c>
    </row>
    <row r="58" spans="2:14">
      <c r="B58" s="23" t="s">
        <v>175</v>
      </c>
      <c r="C58" s="32">
        <v>494.93053600000002</v>
      </c>
      <c r="D58" s="31">
        <v>4.3827109999999996</v>
      </c>
      <c r="E58" s="32">
        <v>490.65</v>
      </c>
      <c r="F58" s="31">
        <v>4.97</v>
      </c>
      <c r="G58" s="32">
        <v>491.51</v>
      </c>
      <c r="H58" s="31">
        <v>5.3490000000000002</v>
      </c>
      <c r="I58" s="32">
        <v>499.6</v>
      </c>
      <c r="J58" s="31">
        <v>4.2969999999999997</v>
      </c>
      <c r="K58" s="32">
        <v>-4.6694640000000049</v>
      </c>
      <c r="L58" s="31">
        <v>6.137781741763142</v>
      </c>
      <c r="M58" s="32">
        <v>4.2805360000000405</v>
      </c>
      <c r="N58" s="31">
        <v>6.6263908509475202</v>
      </c>
    </row>
    <row r="59" spans="2:14">
      <c r="B59" s="23" t="s">
        <v>57</v>
      </c>
      <c r="C59" s="32">
        <v>470.89201300000002</v>
      </c>
      <c r="D59" s="31">
        <v>3.7975919999999999</v>
      </c>
      <c r="E59" s="32">
        <v>482.54</v>
      </c>
      <c r="F59" s="31">
        <v>5.23</v>
      </c>
      <c r="G59" s="32">
        <v>476.41</v>
      </c>
      <c r="H59" s="31">
        <v>6.3040000000000003</v>
      </c>
      <c r="I59" s="32">
        <v>475</v>
      </c>
      <c r="J59" s="31">
        <v>4.8440000000000003</v>
      </c>
      <c r="K59" s="32">
        <v>-4.1079869999999801</v>
      </c>
      <c r="L59" s="31">
        <v>6.1551637669897952</v>
      </c>
      <c r="M59" s="32">
        <v>-11.647987000000001</v>
      </c>
      <c r="N59" s="31">
        <v>6.4633277031622036</v>
      </c>
    </row>
    <row r="60" spans="2:14">
      <c r="B60" s="23" t="s">
        <v>176</v>
      </c>
      <c r="C60" s="32">
        <v>472.762698</v>
      </c>
      <c r="D60" s="31">
        <v>3.850228</v>
      </c>
      <c r="E60" s="32">
        <v>473.49</v>
      </c>
      <c r="F60" s="31">
        <v>4.5599999999999996</v>
      </c>
      <c r="G60" s="32">
        <v>485.11</v>
      </c>
      <c r="H60" s="31">
        <v>3.5</v>
      </c>
      <c r="I60" s="32" t="s">
        <v>135</v>
      </c>
      <c r="J60" s="31" t="s">
        <v>135</v>
      </c>
      <c r="K60" s="32" t="s">
        <v>135</v>
      </c>
      <c r="L60" s="31" t="s">
        <v>135</v>
      </c>
      <c r="M60" s="32">
        <v>-0.72730200000000877</v>
      </c>
      <c r="N60" s="31">
        <v>5.9680696755302716</v>
      </c>
    </row>
    <row r="61" spans="2:14">
      <c r="B61" s="23" t="s">
        <v>46</v>
      </c>
      <c r="C61" s="32">
        <v>447.12840799999998</v>
      </c>
      <c r="D61" s="31">
        <v>4.4988049999999999</v>
      </c>
      <c r="E61" s="32">
        <v>460.41</v>
      </c>
      <c r="F61" s="31">
        <v>4.5199999999999996</v>
      </c>
      <c r="G61" s="32">
        <v>452.1</v>
      </c>
      <c r="H61" s="31">
        <v>4.7050000000000001</v>
      </c>
      <c r="I61" s="32" t="s">
        <v>135</v>
      </c>
      <c r="J61" s="31" t="s">
        <v>135</v>
      </c>
      <c r="K61" s="32" t="s">
        <v>135</v>
      </c>
      <c r="L61" s="31" t="s">
        <v>135</v>
      </c>
      <c r="M61" s="32">
        <v>-13.281592000000046</v>
      </c>
      <c r="N61" s="31">
        <v>6.3772757842220518</v>
      </c>
    </row>
    <row r="62" spans="2:14">
      <c r="B62" s="23" t="s">
        <v>47</v>
      </c>
      <c r="C62" s="32">
        <v>494.60128800000001</v>
      </c>
      <c r="D62" s="31">
        <v>4.6174390000000001</v>
      </c>
      <c r="E62" s="32">
        <v>498.8</v>
      </c>
      <c r="F62" s="31">
        <v>7.55</v>
      </c>
      <c r="G62" s="32">
        <v>494.88</v>
      </c>
      <c r="H62" s="31">
        <v>9.0960000000000001</v>
      </c>
      <c r="I62" s="32">
        <v>491.4</v>
      </c>
      <c r="J62" s="31">
        <v>3.464</v>
      </c>
      <c r="K62" s="32">
        <v>3.2012880000000337</v>
      </c>
      <c r="L62" s="31">
        <v>5.7723512469981415</v>
      </c>
      <c r="M62" s="32">
        <v>-4.1987120000000004</v>
      </c>
      <c r="N62" s="31">
        <v>8.8500419727095636</v>
      </c>
    </row>
    <row r="63" spans="2:14">
      <c r="B63" s="23" t="s">
        <v>48</v>
      </c>
      <c r="C63" s="32">
        <v>499.24788000000001</v>
      </c>
      <c r="D63" s="31">
        <v>3.7961170000000002</v>
      </c>
      <c r="E63" s="32">
        <v>502.4</v>
      </c>
      <c r="F63" s="31">
        <v>4.7300000000000004</v>
      </c>
      <c r="G63" s="32">
        <v>506.38</v>
      </c>
      <c r="H63" s="31">
        <v>4.6310000000000002</v>
      </c>
      <c r="I63" s="32">
        <v>508.8</v>
      </c>
      <c r="J63" s="31">
        <v>4.2279999999999998</v>
      </c>
      <c r="K63" s="32">
        <v>-9.5521200000000022</v>
      </c>
      <c r="L63" s="31">
        <v>5.6821200513267058</v>
      </c>
      <c r="M63" s="32">
        <v>-3.1521199999999681</v>
      </c>
      <c r="N63" s="31">
        <v>6.0649323390858214</v>
      </c>
    </row>
    <row r="64" spans="2:14">
      <c r="B64" s="23" t="s">
        <v>49</v>
      </c>
      <c r="C64" s="32">
        <v>463.58142800000002</v>
      </c>
      <c r="D64" s="31">
        <v>3.40246</v>
      </c>
      <c r="E64" s="32">
        <v>478.86</v>
      </c>
      <c r="F64" s="31">
        <v>5.0999999999999996</v>
      </c>
      <c r="G64" s="32">
        <v>486.02</v>
      </c>
      <c r="H64" s="31">
        <v>3.379</v>
      </c>
      <c r="I64" s="32" t="s">
        <v>135</v>
      </c>
      <c r="J64" s="31" t="s">
        <v>135</v>
      </c>
      <c r="K64" s="32" t="s">
        <v>135</v>
      </c>
      <c r="L64" s="31" t="s">
        <v>135</v>
      </c>
      <c r="M64" s="32">
        <v>-15.278571999999997</v>
      </c>
      <c r="N64" s="31">
        <v>6.1308020724534895</v>
      </c>
    </row>
    <row r="65" spans="2:14">
      <c r="B65" s="23" t="s">
        <v>50</v>
      </c>
      <c r="C65" s="32">
        <v>469.32383399999998</v>
      </c>
      <c r="D65" s="31">
        <v>5.7637289999999997</v>
      </c>
      <c r="E65" s="32">
        <v>489.83</v>
      </c>
      <c r="F65" s="31">
        <v>3.94</v>
      </c>
      <c r="G65" s="32">
        <v>499.76</v>
      </c>
      <c r="H65" s="31">
        <v>4.5259999999999998</v>
      </c>
      <c r="I65" s="32">
        <v>492.9</v>
      </c>
      <c r="J65" s="31">
        <v>5.1660000000000004</v>
      </c>
      <c r="K65" s="32">
        <v>-23.576166000000001</v>
      </c>
      <c r="L65" s="31">
        <v>7.7400341075114776</v>
      </c>
      <c r="M65" s="32">
        <v>-20.506166000000007</v>
      </c>
      <c r="N65" s="31">
        <v>6.9817026566190146</v>
      </c>
    </row>
    <row r="66" spans="2:14">
      <c r="B66" s="23" t="s">
        <v>51</v>
      </c>
      <c r="C66" s="32">
        <v>394.845147</v>
      </c>
      <c r="D66" s="31">
        <v>6.3184849999999999</v>
      </c>
      <c r="E66" s="32">
        <v>411.33</v>
      </c>
      <c r="F66" s="31">
        <v>12.19</v>
      </c>
      <c r="G66" s="32" t="s">
        <v>135</v>
      </c>
      <c r="H66" s="31" t="s">
        <v>135</v>
      </c>
      <c r="I66" s="32" t="s">
        <v>135</v>
      </c>
      <c r="J66" s="31" t="s">
        <v>135</v>
      </c>
      <c r="K66" s="32" t="s">
        <v>135</v>
      </c>
      <c r="L66" s="31" t="s">
        <v>135</v>
      </c>
      <c r="M66" s="32">
        <v>-16.484852999999987</v>
      </c>
      <c r="N66" s="31">
        <v>13.730234983248646</v>
      </c>
    </row>
    <row r="67" spans="2:14">
      <c r="B67" s="23" t="s">
        <v>41</v>
      </c>
      <c r="C67" s="32">
        <v>469.05223799999999</v>
      </c>
      <c r="D67" s="31">
        <v>4.903257</v>
      </c>
      <c r="E67" s="32">
        <v>469.55</v>
      </c>
      <c r="F67" s="31">
        <v>6.59</v>
      </c>
      <c r="G67" s="32">
        <v>473.23</v>
      </c>
      <c r="H67" s="31">
        <v>4.6239999999999997</v>
      </c>
      <c r="I67" s="32">
        <v>461.4</v>
      </c>
      <c r="J67" s="31">
        <v>4.4009999999999998</v>
      </c>
      <c r="K67" s="32">
        <v>7.6522380000000112</v>
      </c>
      <c r="L67" s="31">
        <v>6.588681978062759</v>
      </c>
      <c r="M67" s="32">
        <v>-0.49776200000002291</v>
      </c>
      <c r="N67" s="31">
        <v>8.2140141957540465</v>
      </c>
    </row>
    <row r="68" spans="2:14">
      <c r="B68" s="23" t="s">
        <v>42</v>
      </c>
      <c r="C68" s="32">
        <v>486.48767299999997</v>
      </c>
      <c r="D68" s="31">
        <v>3.7093989999999999</v>
      </c>
      <c r="E68" s="32">
        <v>498.22</v>
      </c>
      <c r="F68" s="31">
        <v>4.3</v>
      </c>
      <c r="G68" s="32">
        <v>493.87</v>
      </c>
      <c r="H68" s="31">
        <v>4.2679999999999998</v>
      </c>
      <c r="I68" s="32">
        <v>488.6</v>
      </c>
      <c r="J68" s="31">
        <v>4.2130000000000001</v>
      </c>
      <c r="K68" s="32">
        <v>-2.1123270000000502</v>
      </c>
      <c r="L68" s="31">
        <v>5.6132886921305767</v>
      </c>
      <c r="M68" s="32">
        <v>-11.732327000000055</v>
      </c>
      <c r="N68" s="31">
        <v>5.6788767323477796</v>
      </c>
    </row>
    <row r="69" spans="2:14">
      <c r="B69" s="23" t="s">
        <v>177</v>
      </c>
      <c r="C69" s="32">
        <v>493.66451899999998</v>
      </c>
      <c r="D69" s="31">
        <v>3.6420530000000002</v>
      </c>
      <c r="E69" s="32">
        <v>485.81</v>
      </c>
      <c r="F69" s="31">
        <v>3.24</v>
      </c>
      <c r="G69" s="32">
        <v>503.28</v>
      </c>
      <c r="H69" s="31">
        <v>4.157</v>
      </c>
      <c r="I69" s="32">
        <v>503.8</v>
      </c>
      <c r="J69" s="31">
        <v>3.4969999999999999</v>
      </c>
      <c r="K69" s="32">
        <v>-10.135481000000027</v>
      </c>
      <c r="L69" s="31">
        <v>5.0491146802988149</v>
      </c>
      <c r="M69" s="32">
        <v>7.854518999999982</v>
      </c>
      <c r="N69" s="31">
        <v>4.8746435823359437</v>
      </c>
    </row>
    <row r="70" spans="2:14">
      <c r="B70" s="23" t="s">
        <v>53</v>
      </c>
      <c r="C70" s="32">
        <v>403.79173900000001</v>
      </c>
      <c r="D70" s="31">
        <v>5.9947049999999997</v>
      </c>
      <c r="E70" s="32">
        <v>431.54</v>
      </c>
      <c r="F70" s="31">
        <v>10.44</v>
      </c>
      <c r="G70" s="32" t="s">
        <v>135</v>
      </c>
      <c r="H70" s="31" t="s">
        <v>135</v>
      </c>
      <c r="I70" s="32" t="s">
        <v>135</v>
      </c>
      <c r="J70" s="31" t="s">
        <v>135</v>
      </c>
      <c r="K70" s="32" t="s">
        <v>135</v>
      </c>
      <c r="L70" s="31" t="s">
        <v>135</v>
      </c>
      <c r="M70" s="32">
        <v>-27.748261000000014</v>
      </c>
      <c r="N70" s="31">
        <v>12.038691292537781</v>
      </c>
    </row>
    <row r="71" spans="2:14">
      <c r="B71" s="23" t="s">
        <v>178</v>
      </c>
      <c r="C71" s="32">
        <v>463.21427799999998</v>
      </c>
      <c r="D71" s="31">
        <v>4.416601</v>
      </c>
      <c r="E71" s="32">
        <v>473.55</v>
      </c>
      <c r="F71" s="31">
        <v>5.73</v>
      </c>
      <c r="G71" s="32">
        <v>470.28</v>
      </c>
      <c r="H71" s="31">
        <v>6.7530000000000001</v>
      </c>
      <c r="I71" s="32">
        <v>462.4</v>
      </c>
      <c r="J71" s="31">
        <v>4.7279999999999998</v>
      </c>
      <c r="K71" s="32">
        <v>0.81427800000000161</v>
      </c>
      <c r="L71" s="31">
        <v>6.4699573718225531</v>
      </c>
      <c r="M71" s="32">
        <v>-10.335722000000032</v>
      </c>
      <c r="N71" s="31">
        <v>7.2345880596756169</v>
      </c>
    </row>
    <row r="72" spans="2:14">
      <c r="B72" s="23" t="s">
        <v>179</v>
      </c>
      <c r="C72" s="32">
        <v>492.43226499999997</v>
      </c>
      <c r="D72" s="31">
        <v>4.2242769999999998</v>
      </c>
      <c r="E72" s="32">
        <v>502.71</v>
      </c>
      <c r="F72" s="31">
        <v>8.35</v>
      </c>
      <c r="G72" s="32">
        <v>518.04999999999995</v>
      </c>
      <c r="H72" s="31">
        <v>7.7130000000000001</v>
      </c>
      <c r="I72" s="32">
        <v>516.70000000000005</v>
      </c>
      <c r="J72" s="31">
        <v>3.0619999999999998</v>
      </c>
      <c r="K72" s="32">
        <v>-24.267735000000073</v>
      </c>
      <c r="L72" s="31">
        <v>5.2173135014803353</v>
      </c>
      <c r="M72" s="32">
        <v>-10.277735000000007</v>
      </c>
      <c r="N72" s="31">
        <v>9.3577249464134713</v>
      </c>
    </row>
    <row r="73" spans="2:14">
      <c r="B73" s="23" t="s">
        <v>45</v>
      </c>
      <c r="C73" s="32">
        <v>482.06227799999999</v>
      </c>
      <c r="D73" s="31">
        <v>3.974993</v>
      </c>
      <c r="E73" s="32">
        <v>499.22</v>
      </c>
      <c r="F73" s="31">
        <v>3.48</v>
      </c>
      <c r="G73" s="32">
        <v>491.65</v>
      </c>
      <c r="H73" s="31">
        <v>3.6930000000000001</v>
      </c>
      <c r="I73" s="32">
        <v>505.4</v>
      </c>
      <c r="J73" s="31">
        <v>2.4809999999999999</v>
      </c>
      <c r="K73" s="32">
        <v>-23.337721999999985</v>
      </c>
      <c r="L73" s="31">
        <v>4.6857155643560997</v>
      </c>
      <c r="M73" s="32">
        <v>-17.157722000000035</v>
      </c>
      <c r="N73" s="31">
        <v>5.2830833184844819</v>
      </c>
    </row>
    <row r="74" spans="2:14">
      <c r="B74" s="23" t="s">
        <v>52</v>
      </c>
      <c r="C74" s="32">
        <v>492.645533</v>
      </c>
      <c r="D74" s="31">
        <v>4.1162559999999999</v>
      </c>
      <c r="E74" s="32">
        <v>497.43</v>
      </c>
      <c r="F74" s="31">
        <v>9.77</v>
      </c>
      <c r="G74" s="32">
        <v>504.65</v>
      </c>
      <c r="H74" s="31">
        <v>9.3520000000000003</v>
      </c>
      <c r="I74" s="32">
        <v>503.1</v>
      </c>
      <c r="J74" s="31">
        <v>1.921</v>
      </c>
      <c r="K74" s="32">
        <v>-10.454467000000022</v>
      </c>
      <c r="L74" s="31">
        <v>4.5424447665916645</v>
      </c>
      <c r="M74" s="32">
        <v>-4.7844670000000065</v>
      </c>
      <c r="N74" s="31">
        <v>10.601719834891695</v>
      </c>
    </row>
  </sheetData>
  <sortState ref="P56:AB74">
    <sortCondition ref="P56"/>
  </sortState>
  <mergeCells count="8">
    <mergeCell ref="K8:L8"/>
    <mergeCell ref="M8:N8"/>
    <mergeCell ref="B7:N7"/>
    <mergeCell ref="B8:B9"/>
    <mergeCell ref="C8:D8"/>
    <mergeCell ref="E8:F8"/>
    <mergeCell ref="G8:H8"/>
    <mergeCell ref="I8:J8"/>
  </mergeCells>
  <hyperlinks>
    <hyperlink ref="B5" location="Índice!A1" display="Índice" xr:uid="{00000000-0004-0000-0F00-000000000000}"/>
  </hyperlink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2:F11"/>
  <sheetViews>
    <sheetView zoomScaleNormal="100" workbookViewId="0">
      <selection activeCell="B5" sqref="B5"/>
    </sheetView>
  </sheetViews>
  <sheetFormatPr baseColWidth="10" defaultColWidth="11.44140625" defaultRowHeight="14.4"/>
  <cols>
    <col min="1" max="1" width="11.44140625" style="52"/>
    <col min="2" max="2" width="27.88671875" style="52" customWidth="1"/>
    <col min="3" max="3" width="11.6640625" style="52" customWidth="1"/>
    <col min="4" max="4" width="11.5546875" style="52" customWidth="1"/>
    <col min="5" max="6" width="11.6640625" style="52" customWidth="1"/>
    <col min="7" max="16384" width="11.44140625" style="52"/>
  </cols>
  <sheetData>
    <row r="2" spans="2:6">
      <c r="B2" s="3" t="s">
        <v>138</v>
      </c>
    </row>
    <row r="3" spans="2:6">
      <c r="B3" s="36" t="s">
        <v>139</v>
      </c>
    </row>
    <row r="4" spans="2:6" ht="15.75" customHeight="1">
      <c r="B4" s="57" t="s">
        <v>140</v>
      </c>
    </row>
    <row r="5" spans="2:6" ht="15" customHeight="1">
      <c r="B5" s="4" t="s">
        <v>0</v>
      </c>
    </row>
    <row r="7" spans="2:6" ht="18" customHeight="1">
      <c r="B7" s="74" t="s">
        <v>64</v>
      </c>
      <c r="C7" s="75"/>
      <c r="D7" s="75"/>
      <c r="E7" s="75"/>
      <c r="F7" s="75"/>
    </row>
    <row r="8" spans="2:6">
      <c r="B8" s="73" t="s">
        <v>54</v>
      </c>
      <c r="C8" s="76" t="s">
        <v>141</v>
      </c>
      <c r="D8" s="77"/>
      <c r="E8" s="76" t="s">
        <v>142</v>
      </c>
      <c r="F8" s="77"/>
    </row>
    <row r="9" spans="2:6" ht="18" customHeight="1">
      <c r="B9" s="73"/>
      <c r="C9" s="38" t="s">
        <v>133</v>
      </c>
      <c r="D9" s="38" t="s">
        <v>132</v>
      </c>
      <c r="E9" s="38" t="s">
        <v>133</v>
      </c>
      <c r="F9" s="38" t="s">
        <v>132</v>
      </c>
    </row>
    <row r="10" spans="2:6">
      <c r="B10" s="23" t="s">
        <v>26</v>
      </c>
      <c r="C10" s="31">
        <v>2.6104799999999999</v>
      </c>
      <c r="D10" s="31">
        <v>3.7005471399999998</v>
      </c>
      <c r="E10" s="31">
        <v>-1.379553</v>
      </c>
      <c r="F10" s="31">
        <v>-2.09998409</v>
      </c>
    </row>
    <row r="11" spans="2:6">
      <c r="B11" s="23" t="s">
        <v>39</v>
      </c>
      <c r="C11" s="31">
        <v>7.1153570000000004</v>
      </c>
      <c r="D11" s="31">
        <v>8.0869199300000005</v>
      </c>
      <c r="E11" s="31">
        <v>-2.2250220000000001</v>
      </c>
      <c r="F11" s="31">
        <v>-3.9379738999999998</v>
      </c>
    </row>
  </sheetData>
  <mergeCells count="4">
    <mergeCell ref="B7:F7"/>
    <mergeCell ref="B8:B9"/>
    <mergeCell ref="C8:D8"/>
    <mergeCell ref="E8:F8"/>
  </mergeCells>
  <hyperlinks>
    <hyperlink ref="B5" location="Índice!A1" display="Índice" xr:uid="{00000000-0004-0000-1000-000000000000}"/>
  </hyperlink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D73"/>
  <sheetViews>
    <sheetView topLeftCell="A37" zoomScaleNormal="100" workbookViewId="0">
      <selection activeCell="J43" sqref="J43"/>
    </sheetView>
  </sheetViews>
  <sheetFormatPr baseColWidth="10" defaultColWidth="11.44140625" defaultRowHeight="14.4"/>
  <cols>
    <col min="1" max="1" width="11.44140625" style="58"/>
    <col min="2" max="2" width="27.88671875" style="58" customWidth="1"/>
    <col min="3" max="4" width="13.88671875" style="58" customWidth="1"/>
    <col min="5" max="16384" width="11.44140625" style="58"/>
  </cols>
  <sheetData>
    <row r="2" spans="2:4">
      <c r="B2" s="3" t="s">
        <v>144</v>
      </c>
    </row>
    <row r="3" spans="2:4">
      <c r="B3" s="36" t="s">
        <v>79</v>
      </c>
    </row>
    <row r="4" spans="2:4">
      <c r="B4" s="57" t="s">
        <v>145</v>
      </c>
    </row>
    <row r="5" spans="2:4">
      <c r="B5" s="4" t="s">
        <v>0</v>
      </c>
    </row>
    <row r="6" spans="2:4" ht="19.5" customHeight="1">
      <c r="B6" s="4"/>
    </row>
    <row r="7" spans="2:4" ht="28.5" customHeight="1">
      <c r="B7" s="71" t="s">
        <v>168</v>
      </c>
      <c r="C7" s="71"/>
      <c r="D7" s="71"/>
    </row>
    <row r="8" spans="2:4" ht="31.5" customHeight="1">
      <c r="B8" s="37" t="s">
        <v>54</v>
      </c>
      <c r="C8" s="37" t="s">
        <v>56</v>
      </c>
      <c r="D8" s="37" t="s">
        <v>55</v>
      </c>
    </row>
    <row r="9" spans="2:4">
      <c r="B9" s="27" t="s">
        <v>16</v>
      </c>
      <c r="C9" s="41">
        <v>479.79399999999998</v>
      </c>
      <c r="D9" s="44">
        <v>3.6091039999999999</v>
      </c>
    </row>
    <row r="10" spans="2:4">
      <c r="B10" s="28" t="s">
        <v>14</v>
      </c>
      <c r="C10" s="42">
        <v>498.05090000000001</v>
      </c>
      <c r="D10" s="45">
        <v>2.0135909999999999</v>
      </c>
    </row>
    <row r="11" spans="2:4">
      <c r="B11" s="28" t="s">
        <v>18</v>
      </c>
      <c r="C11" s="42">
        <v>480.4058</v>
      </c>
      <c r="D11" s="45">
        <v>2.6682540000000001</v>
      </c>
    </row>
    <row r="12" spans="2:4">
      <c r="B12" s="28" t="s">
        <v>28</v>
      </c>
      <c r="C12" s="42">
        <v>478.85270000000003</v>
      </c>
      <c r="D12" s="45">
        <v>2.523596</v>
      </c>
    </row>
    <row r="13" spans="2:4">
      <c r="B13" s="28" t="s">
        <v>20</v>
      </c>
      <c r="C13" s="42">
        <v>404.30369999999999</v>
      </c>
      <c r="D13" s="45">
        <v>3.3957519999999999</v>
      </c>
    </row>
    <row r="14" spans="2:4">
      <c r="B14" s="28" t="s">
        <v>6</v>
      </c>
      <c r="C14" s="42">
        <v>507.13290000000001</v>
      </c>
      <c r="D14" s="45">
        <v>1.9656290000000001</v>
      </c>
    </row>
    <row r="15" spans="2:4">
      <c r="B15" s="28" t="s">
        <v>1</v>
      </c>
      <c r="C15" s="42">
        <v>447.97899999999998</v>
      </c>
      <c r="D15" s="45">
        <v>2.6325599999999998</v>
      </c>
    </row>
    <row r="16" spans="2:4">
      <c r="B16" s="28" t="s">
        <v>82</v>
      </c>
      <c r="C16" s="42">
        <v>381.07569999999998</v>
      </c>
      <c r="D16" s="45">
        <v>1.164199</v>
      </c>
    </row>
    <row r="17" spans="1:4">
      <c r="B17" s="28" t="s">
        <v>29</v>
      </c>
      <c r="C17" s="42">
        <v>408.66500000000002</v>
      </c>
      <c r="D17" s="45">
        <v>3.7510400000000002</v>
      </c>
    </row>
    <row r="18" spans="1:4">
      <c r="B18" s="28" t="s">
        <v>25</v>
      </c>
      <c r="C18" s="42">
        <v>515.41539999999998</v>
      </c>
      <c r="D18" s="45">
        <v>3.6323099999999999</v>
      </c>
    </row>
    <row r="19" spans="1:4">
      <c r="B19" s="28" t="s">
        <v>83</v>
      </c>
      <c r="C19" s="42">
        <v>415.23309999999998</v>
      </c>
      <c r="D19" s="45">
        <v>2.6597469999999999</v>
      </c>
    </row>
    <row r="20" spans="1:4">
      <c r="B20" s="28" t="s">
        <v>15</v>
      </c>
      <c r="C20" s="42">
        <v>475.49889999999999</v>
      </c>
      <c r="D20" s="45">
        <v>2.4424199999999998</v>
      </c>
    </row>
    <row r="21" spans="1:4">
      <c r="B21" s="28" t="s">
        <v>8</v>
      </c>
      <c r="C21" s="42">
        <v>488.80099999999999</v>
      </c>
      <c r="D21" s="45">
        <v>2.5782750000000001</v>
      </c>
    </row>
    <row r="22" spans="1:4">
      <c r="B22" s="28" t="s">
        <v>10</v>
      </c>
      <c r="C22" s="42">
        <v>468.536</v>
      </c>
      <c r="D22" s="45">
        <v>1.64436</v>
      </c>
    </row>
    <row r="23" spans="1:4">
      <c r="B23" s="28" t="s">
        <v>26</v>
      </c>
      <c r="C23" s="42">
        <v>474.30709999999999</v>
      </c>
      <c r="D23" s="45">
        <v>1.6535599999999999</v>
      </c>
    </row>
    <row r="24" spans="1:4">
      <c r="B24" s="28" t="s">
        <v>7</v>
      </c>
      <c r="C24" s="42">
        <v>503.93759999999997</v>
      </c>
      <c r="D24" s="45">
        <v>4.3262159999999996</v>
      </c>
    </row>
    <row r="25" spans="1:4">
      <c r="B25" s="28" t="s">
        <v>21</v>
      </c>
      <c r="C25" s="42">
        <v>511.03030000000001</v>
      </c>
      <c r="D25" s="45">
        <v>2.3606180000000001</v>
      </c>
    </row>
    <row r="26" spans="1:4">
      <c r="B26" s="28" t="s">
        <v>34</v>
      </c>
      <c r="C26" s="42">
        <v>490.21769999999998</v>
      </c>
      <c r="D26" s="45">
        <v>2.2554210000000001</v>
      </c>
    </row>
    <row r="27" spans="1:4">
      <c r="B27" s="28" t="s">
        <v>5</v>
      </c>
      <c r="C27" s="42">
        <v>473.85219999999998</v>
      </c>
      <c r="D27" s="45">
        <v>3.074535</v>
      </c>
    </row>
    <row r="28" spans="1:4">
      <c r="B28" s="28" t="s">
        <v>37</v>
      </c>
      <c r="C28" s="42">
        <v>438.44060000000002</v>
      </c>
      <c r="D28" s="45">
        <v>2.8336250000000001</v>
      </c>
    </row>
    <row r="29" spans="1:4">
      <c r="B29" s="28" t="s">
        <v>4</v>
      </c>
      <c r="C29" s="42">
        <v>472.97469999999998</v>
      </c>
      <c r="D29" s="45">
        <v>2.8279510000000001</v>
      </c>
    </row>
    <row r="30" spans="1:4">
      <c r="A30" s="3"/>
      <c r="B30" s="28" t="s">
        <v>9</v>
      </c>
      <c r="C30" s="42">
        <v>516.01</v>
      </c>
      <c r="D30" s="45">
        <v>2.3325800000000001</v>
      </c>
    </row>
    <row r="31" spans="1:4">
      <c r="B31" s="28" t="s">
        <v>19</v>
      </c>
      <c r="C31" s="42">
        <v>435.89800000000002</v>
      </c>
      <c r="D31" s="45">
        <v>2.064959</v>
      </c>
    </row>
    <row r="32" spans="1:4">
      <c r="B32" s="28" t="s">
        <v>11</v>
      </c>
      <c r="C32" s="42">
        <v>473.83269999999999</v>
      </c>
      <c r="D32" s="45">
        <v>3.4873409999999998</v>
      </c>
    </row>
    <row r="33" spans="2:4">
      <c r="B33" s="28" t="s">
        <v>12</v>
      </c>
      <c r="C33" s="42">
        <v>481.59829999999999</v>
      </c>
      <c r="D33" s="45">
        <v>2.6802280000000001</v>
      </c>
    </row>
    <row r="34" spans="2:4">
      <c r="B34" s="28" t="s">
        <v>2</v>
      </c>
      <c r="C34" s="42">
        <v>515.8546</v>
      </c>
      <c r="D34" s="45">
        <v>3.1768999999999998</v>
      </c>
    </row>
    <row r="35" spans="2:4">
      <c r="B35" s="28" t="s">
        <v>23</v>
      </c>
      <c r="C35" s="42">
        <v>474.56869999999998</v>
      </c>
      <c r="D35" s="45">
        <v>2.4599989999999998</v>
      </c>
    </row>
    <row r="36" spans="2:4">
      <c r="B36" s="28" t="s">
        <v>32</v>
      </c>
      <c r="C36" s="42">
        <v>471.83420000000001</v>
      </c>
      <c r="D36" s="45">
        <v>2.209711</v>
      </c>
    </row>
    <row r="37" spans="2:4">
      <c r="B37" s="28" t="s">
        <v>17</v>
      </c>
      <c r="C37" s="42">
        <v>445.29880000000003</v>
      </c>
      <c r="D37" s="45">
        <v>1.9032150000000001</v>
      </c>
    </row>
    <row r="38" spans="2:4">
      <c r="B38" s="28" t="s">
        <v>3</v>
      </c>
      <c r="C38" s="42">
        <v>415.35899999999998</v>
      </c>
      <c r="D38" s="45">
        <v>2.9239899999999999</v>
      </c>
    </row>
    <row r="39" spans="2:4">
      <c r="B39" s="28" t="s">
        <v>13</v>
      </c>
      <c r="C39" s="42">
        <v>476.52390000000003</v>
      </c>
      <c r="D39" s="45">
        <v>2.542049</v>
      </c>
    </row>
    <row r="40" spans="2:4">
      <c r="B40" s="28" t="s">
        <v>27</v>
      </c>
      <c r="C40" s="42">
        <v>500.85300000000001</v>
      </c>
      <c r="D40" s="45">
        <v>2.1173510000000002</v>
      </c>
    </row>
    <row r="41" spans="2:4">
      <c r="B41" s="28" t="s">
        <v>31</v>
      </c>
      <c r="C41" s="42">
        <v>459.24290000000002</v>
      </c>
      <c r="D41" s="45">
        <v>4.2822050000000003</v>
      </c>
    </row>
    <row r="42" spans="2:4">
      <c r="B42" s="28" t="s">
        <v>35</v>
      </c>
      <c r="C42" s="42">
        <v>488.71359999999999</v>
      </c>
      <c r="D42" s="45">
        <v>2.7401439999999999</v>
      </c>
    </row>
    <row r="43" spans="2:4">
      <c r="B43" s="28" t="s">
        <v>36</v>
      </c>
      <c r="C43" s="42">
        <v>476.58859999999999</v>
      </c>
      <c r="D43" s="45">
        <v>2.6632060000000002</v>
      </c>
    </row>
    <row r="44" spans="2:4">
      <c r="B44" s="28" t="s">
        <v>38</v>
      </c>
      <c r="C44" s="42">
        <v>494.40460000000002</v>
      </c>
      <c r="D44" s="45">
        <v>2.3712520000000001</v>
      </c>
    </row>
    <row r="45" spans="2:4">
      <c r="B45" s="28" t="s">
        <v>84</v>
      </c>
      <c r="C45" s="42">
        <v>488.6037</v>
      </c>
      <c r="D45" s="45">
        <v>2.2462240000000002</v>
      </c>
    </row>
    <row r="46" spans="2:4">
      <c r="B46" s="28" t="s">
        <v>85</v>
      </c>
      <c r="C46" s="42">
        <v>446.86059999999998</v>
      </c>
      <c r="D46" s="45">
        <v>3.103059</v>
      </c>
    </row>
    <row r="47" spans="2:4">
      <c r="B47" s="28" t="s">
        <v>33</v>
      </c>
      <c r="C47" s="42">
        <v>428.49599999999998</v>
      </c>
      <c r="D47" s="45">
        <v>3.9800089999999999</v>
      </c>
    </row>
    <row r="48" spans="2:4">
      <c r="B48" s="28" t="s">
        <v>22</v>
      </c>
      <c r="C48" s="42">
        <v>486.97519999999997</v>
      </c>
      <c r="D48" s="45">
        <v>2.4899429999999998</v>
      </c>
    </row>
    <row r="49" spans="2:4">
      <c r="B49" s="28" t="s">
        <v>24</v>
      </c>
      <c r="C49" s="42">
        <v>483.33170000000001</v>
      </c>
      <c r="D49" s="45">
        <v>2.2583470000000001</v>
      </c>
    </row>
    <row r="50" spans="2:4">
      <c r="B50" s="28" t="s">
        <v>30</v>
      </c>
      <c r="C50" s="42">
        <v>456.084</v>
      </c>
      <c r="D50" s="45">
        <v>1.8521570000000001</v>
      </c>
    </row>
    <row r="51" spans="2:4">
      <c r="B51" s="28"/>
      <c r="C51" s="42"/>
      <c r="D51" s="45"/>
    </row>
    <row r="52" spans="2:4">
      <c r="B52" s="28" t="s">
        <v>39</v>
      </c>
      <c r="C52" s="42">
        <v>475.58819999999997</v>
      </c>
      <c r="D52" s="45">
        <v>0.45239400000000002</v>
      </c>
    </row>
    <row r="53" spans="2:4">
      <c r="B53" s="28" t="s">
        <v>40</v>
      </c>
      <c r="C53" s="42">
        <v>474.66079999999999</v>
      </c>
      <c r="D53" s="45">
        <v>0.96020899999999998</v>
      </c>
    </row>
    <row r="54" spans="2:4">
      <c r="B54" s="28"/>
      <c r="C54" s="42"/>
      <c r="D54" s="45"/>
    </row>
    <row r="55" spans="2:4">
      <c r="B55" s="63" t="s">
        <v>43</v>
      </c>
      <c r="C55" s="42">
        <v>461.14263299999999</v>
      </c>
      <c r="D55" s="45">
        <v>5.1595870000000001</v>
      </c>
    </row>
    <row r="56" spans="2:4">
      <c r="B56" s="63" t="s">
        <v>44</v>
      </c>
      <c r="C56" s="42">
        <v>487.611491</v>
      </c>
      <c r="D56" s="45">
        <v>5.4224699999999997</v>
      </c>
    </row>
    <row r="57" spans="2:4">
      <c r="B57" s="63" t="s">
        <v>175</v>
      </c>
      <c r="C57" s="42">
        <v>497.21357799999998</v>
      </c>
      <c r="D57" s="45">
        <v>5.5896809999999997</v>
      </c>
    </row>
    <row r="58" spans="2:4">
      <c r="B58" s="63" t="s">
        <v>57</v>
      </c>
      <c r="C58" s="42">
        <v>471.74863499999998</v>
      </c>
      <c r="D58" s="45">
        <v>6.2736289999999997</v>
      </c>
    </row>
    <row r="59" spans="2:4">
      <c r="B59" s="63" t="s">
        <v>176</v>
      </c>
      <c r="C59" s="42">
        <v>481.761144</v>
      </c>
      <c r="D59" s="45">
        <v>3.9785529999999998</v>
      </c>
    </row>
    <row r="60" spans="2:4">
      <c r="B60" s="63" t="s">
        <v>46</v>
      </c>
      <c r="C60" s="42">
        <v>462.90610700000002</v>
      </c>
      <c r="D60" s="45">
        <v>5.666995</v>
      </c>
    </row>
    <row r="61" spans="2:4">
      <c r="B61" s="63" t="s">
        <v>47</v>
      </c>
      <c r="C61" s="42">
        <v>494.01946299999997</v>
      </c>
      <c r="D61" s="45">
        <v>6.0838010000000002</v>
      </c>
    </row>
    <row r="62" spans="2:4">
      <c r="B62" s="63" t="s">
        <v>48</v>
      </c>
      <c r="C62" s="42">
        <v>498.03637900000001</v>
      </c>
      <c r="D62" s="45">
        <v>4.40787</v>
      </c>
    </row>
    <row r="63" spans="2:4">
      <c r="B63" s="63" t="s">
        <v>49</v>
      </c>
      <c r="C63" s="42">
        <v>467.64368899999999</v>
      </c>
      <c r="D63" s="45">
        <v>4.5508379999999997</v>
      </c>
    </row>
    <row r="64" spans="2:4">
      <c r="B64" s="63" t="s">
        <v>50</v>
      </c>
      <c r="C64" s="42">
        <v>462.49015000000003</v>
      </c>
      <c r="D64" s="45">
        <v>6.4481010000000003</v>
      </c>
    </row>
    <row r="65" spans="2:4">
      <c r="B65" s="63" t="s">
        <v>51</v>
      </c>
      <c r="C65" s="42">
        <v>404.33640200000002</v>
      </c>
      <c r="D65" s="45">
        <v>10.875697000000001</v>
      </c>
    </row>
    <row r="66" spans="2:4">
      <c r="B66" s="63" t="s">
        <v>41</v>
      </c>
      <c r="C66" s="42">
        <v>468.18102499999998</v>
      </c>
      <c r="D66" s="45">
        <v>6.4435659999999997</v>
      </c>
    </row>
    <row r="67" spans="2:4">
      <c r="B67" s="63" t="s">
        <v>42</v>
      </c>
      <c r="C67" s="42">
        <v>485.489914</v>
      </c>
      <c r="D67" s="45">
        <v>4.7643300000000002</v>
      </c>
    </row>
    <row r="68" spans="2:4">
      <c r="B68" s="63" t="s">
        <v>177</v>
      </c>
      <c r="C68" s="42">
        <v>496.17040500000002</v>
      </c>
      <c r="D68" s="45">
        <v>4.2386330000000001</v>
      </c>
    </row>
    <row r="69" spans="2:4">
      <c r="B69" s="63" t="s">
        <v>53</v>
      </c>
      <c r="C69" s="42">
        <v>405.35512399999999</v>
      </c>
      <c r="D69" s="45">
        <v>9.703614</v>
      </c>
    </row>
    <row r="70" spans="2:4">
      <c r="B70" s="63" t="s">
        <v>178</v>
      </c>
      <c r="C70" s="42">
        <v>468.24661700000001</v>
      </c>
      <c r="D70" s="45">
        <v>5.1178790000000003</v>
      </c>
    </row>
    <row r="71" spans="2:4">
      <c r="B71" s="63" t="s">
        <v>179</v>
      </c>
      <c r="C71" s="42">
        <v>477.84574099999998</v>
      </c>
      <c r="D71" s="45">
        <v>7.4107539999999998</v>
      </c>
    </row>
    <row r="72" spans="2:4">
      <c r="B72" s="63" t="s">
        <v>45</v>
      </c>
      <c r="C72" s="42">
        <v>466.28937000000002</v>
      </c>
      <c r="D72" s="45">
        <v>4.7118060000000002</v>
      </c>
    </row>
    <row r="73" spans="2:4">
      <c r="B73" s="64" t="s">
        <v>52</v>
      </c>
      <c r="C73" s="43">
        <v>486.71823000000001</v>
      </c>
      <c r="D73" s="46">
        <v>7.6633550000000001</v>
      </c>
    </row>
  </sheetData>
  <sortState ref="F55:H73">
    <sortCondition ref="F55"/>
  </sortState>
  <mergeCells count="1">
    <mergeCell ref="B7:D7"/>
  </mergeCells>
  <hyperlinks>
    <hyperlink ref="B5" location="Índice!A1" display="Índice" xr:uid="{00000000-0004-0000-1100-000000000000}"/>
  </hyperlink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D73"/>
  <sheetViews>
    <sheetView zoomScaleNormal="100" workbookViewId="0">
      <selection activeCell="I6" sqref="I6"/>
    </sheetView>
  </sheetViews>
  <sheetFormatPr baseColWidth="10" defaultColWidth="11.44140625" defaultRowHeight="14.4"/>
  <cols>
    <col min="1" max="1" width="11.44140625" style="59"/>
    <col min="2" max="2" width="27.88671875" style="59" customWidth="1"/>
    <col min="3" max="4" width="13.88671875" style="59" customWidth="1"/>
    <col min="5" max="16384" width="11.44140625" style="59"/>
  </cols>
  <sheetData>
    <row r="2" spans="2:4">
      <c r="B2" s="3" t="s">
        <v>146</v>
      </c>
    </row>
    <row r="3" spans="2:4">
      <c r="B3" s="36" t="s">
        <v>79</v>
      </c>
    </row>
    <row r="4" spans="2:4">
      <c r="B4" s="57" t="s">
        <v>148</v>
      </c>
    </row>
    <row r="5" spans="2:4">
      <c r="B5" s="4" t="s">
        <v>0</v>
      </c>
    </row>
    <row r="6" spans="2:4" ht="19.5" customHeight="1">
      <c r="B6" s="4"/>
    </row>
    <row r="7" spans="2:4" ht="28.5" customHeight="1">
      <c r="B7" s="71" t="s">
        <v>169</v>
      </c>
      <c r="C7" s="71"/>
      <c r="D7" s="71"/>
    </row>
    <row r="8" spans="2:4" ht="31.5" customHeight="1">
      <c r="B8" s="37" t="s">
        <v>54</v>
      </c>
      <c r="C8" s="37" t="s">
        <v>56</v>
      </c>
      <c r="D8" s="37" t="s">
        <v>55</v>
      </c>
    </row>
    <row r="9" spans="2:4">
      <c r="B9" s="27" t="s">
        <v>16</v>
      </c>
      <c r="C9" s="41">
        <v>492.42673000000002</v>
      </c>
      <c r="D9" s="44">
        <v>3.4830589999999999</v>
      </c>
    </row>
    <row r="10" spans="2:4">
      <c r="B10" s="28" t="s">
        <v>14</v>
      </c>
      <c r="C10" s="42">
        <v>507.00086900000002</v>
      </c>
      <c r="D10" s="45">
        <v>1.933076</v>
      </c>
    </row>
    <row r="11" spans="2:4">
      <c r="B11" s="28" t="s">
        <v>18</v>
      </c>
      <c r="C11" s="42">
        <v>491.270959</v>
      </c>
      <c r="D11" s="45">
        <v>2.6501350000000001</v>
      </c>
    </row>
    <row r="12" spans="2:4">
      <c r="B12" s="28" t="s">
        <v>28</v>
      </c>
      <c r="C12" s="42">
        <v>490.57834600000001</v>
      </c>
      <c r="D12" s="45">
        <v>2.4818730000000002</v>
      </c>
    </row>
    <row r="13" spans="2:4">
      <c r="B13" s="28" t="s">
        <v>20</v>
      </c>
      <c r="C13" s="42">
        <v>420.99321900000001</v>
      </c>
      <c r="D13" s="45">
        <v>3.1742430000000001</v>
      </c>
    </row>
    <row r="14" spans="2:4">
      <c r="B14" s="28" t="s">
        <v>6</v>
      </c>
      <c r="C14" s="42">
        <v>515.01667599999996</v>
      </c>
      <c r="D14" s="45">
        <v>1.928993</v>
      </c>
    </row>
    <row r="15" spans="2:4">
      <c r="B15" s="28" t="s">
        <v>1</v>
      </c>
      <c r="C15" s="42">
        <v>443.54340200000001</v>
      </c>
      <c r="D15" s="45">
        <v>2.4685959999999998</v>
      </c>
    </row>
    <row r="16" spans="2:4">
      <c r="B16" s="28" t="s">
        <v>82</v>
      </c>
      <c r="C16" s="42">
        <v>410.90251699999999</v>
      </c>
      <c r="D16" s="45">
        <v>1.45661</v>
      </c>
    </row>
    <row r="17" spans="1:4">
      <c r="B17" s="28" t="s">
        <v>29</v>
      </c>
      <c r="C17" s="42">
        <v>411.12067300000001</v>
      </c>
      <c r="D17" s="45">
        <v>3.2840639999999999</v>
      </c>
    </row>
    <row r="18" spans="1:4">
      <c r="B18" s="28" t="s">
        <v>25</v>
      </c>
      <c r="C18" s="42">
        <v>527.82241799999997</v>
      </c>
      <c r="D18" s="45">
        <v>3.5796169999999998</v>
      </c>
    </row>
    <row r="19" spans="1:4">
      <c r="B19" s="28" t="s">
        <v>83</v>
      </c>
      <c r="C19" s="42">
        <v>410.98662400000001</v>
      </c>
      <c r="D19" s="45">
        <v>2.417986</v>
      </c>
    </row>
    <row r="20" spans="1:4">
      <c r="B20" s="28" t="s">
        <v>15</v>
      </c>
      <c r="C20" s="42">
        <v>482.66744899999998</v>
      </c>
      <c r="D20" s="45">
        <v>2.397535</v>
      </c>
    </row>
    <row r="21" spans="1:4">
      <c r="B21" s="28" t="s">
        <v>8</v>
      </c>
      <c r="C21" s="42">
        <v>493.81571200000002</v>
      </c>
      <c r="D21" s="45">
        <v>2.4975010000000002</v>
      </c>
    </row>
    <row r="22" spans="1:4">
      <c r="B22" s="28" t="s">
        <v>10</v>
      </c>
      <c r="C22" s="42">
        <v>499.96488199999999</v>
      </c>
      <c r="D22" s="45">
        <v>1.445862</v>
      </c>
    </row>
    <row r="23" spans="1:4">
      <c r="B23" s="28" t="s">
        <v>26</v>
      </c>
      <c r="C23" s="42">
        <v>484.53364800000003</v>
      </c>
      <c r="D23" s="45">
        <v>1.6010530000000001</v>
      </c>
    </row>
    <row r="24" spans="1:4">
      <c r="B24" s="28" t="s">
        <v>7</v>
      </c>
      <c r="C24" s="42">
        <v>499.414064</v>
      </c>
      <c r="D24" s="45">
        <v>4.3185570000000002</v>
      </c>
    </row>
    <row r="25" spans="1:4">
      <c r="B25" s="28" t="s">
        <v>21</v>
      </c>
      <c r="C25" s="42">
        <v>525.811778</v>
      </c>
      <c r="D25" s="45">
        <v>2.0654309999999998</v>
      </c>
    </row>
    <row r="26" spans="1:4">
      <c r="B26" s="28" t="s">
        <v>34</v>
      </c>
      <c r="C26" s="42">
        <v>510.95885099999998</v>
      </c>
      <c r="D26" s="45">
        <v>2.5007799999999998</v>
      </c>
    </row>
    <row r="27" spans="1:4">
      <c r="B27" s="28" t="s">
        <v>5</v>
      </c>
      <c r="C27" s="42">
        <v>487.225279</v>
      </c>
      <c r="D27" s="45">
        <v>2.7295889999999998</v>
      </c>
    </row>
    <row r="28" spans="1:4">
      <c r="B28" s="28" t="s">
        <v>37</v>
      </c>
      <c r="C28" s="42">
        <v>440.78606000000002</v>
      </c>
      <c r="D28" s="45">
        <v>2.7672300000000001</v>
      </c>
    </row>
    <row r="29" spans="1:4">
      <c r="B29" s="28" t="s">
        <v>4</v>
      </c>
      <c r="C29" s="42">
        <v>485.89015899999998</v>
      </c>
      <c r="D29" s="45">
        <v>2.7087430000000001</v>
      </c>
    </row>
    <row r="30" spans="1:4">
      <c r="A30" s="3"/>
      <c r="B30" s="28" t="s">
        <v>9</v>
      </c>
      <c r="C30" s="42">
        <v>503.84553699999998</v>
      </c>
      <c r="D30" s="45">
        <v>2.2569620000000001</v>
      </c>
    </row>
    <row r="31" spans="1:4">
      <c r="B31" s="28" t="s">
        <v>19</v>
      </c>
      <c r="C31" s="42">
        <v>446.92679500000003</v>
      </c>
      <c r="D31" s="45">
        <v>1.75939</v>
      </c>
    </row>
    <row r="32" spans="1:4">
      <c r="B32" s="28" t="s">
        <v>11</v>
      </c>
      <c r="C32" s="42">
        <v>464.751825</v>
      </c>
      <c r="D32" s="45">
        <v>3.384814</v>
      </c>
    </row>
    <row r="33" spans="2:4">
      <c r="B33" s="28" t="s">
        <v>12</v>
      </c>
      <c r="C33" s="42">
        <v>477.46336600000001</v>
      </c>
      <c r="D33" s="45">
        <v>3.177546</v>
      </c>
    </row>
    <row r="34" spans="2:4">
      <c r="B34" s="28" t="s">
        <v>2</v>
      </c>
      <c r="C34" s="42">
        <v>546.63445400000001</v>
      </c>
      <c r="D34" s="45">
        <v>2.8039960000000002</v>
      </c>
    </row>
    <row r="35" spans="2:4">
      <c r="B35" s="28" t="s">
        <v>23</v>
      </c>
      <c r="C35" s="42">
        <v>493.84276699999998</v>
      </c>
      <c r="D35" s="45">
        <v>2.297974</v>
      </c>
    </row>
    <row r="36" spans="2:4">
      <c r="B36" s="28" t="s">
        <v>32</v>
      </c>
      <c r="C36" s="42">
        <v>484.46340600000002</v>
      </c>
      <c r="D36" s="45">
        <v>2.3332030000000001</v>
      </c>
    </row>
    <row r="37" spans="2:4">
      <c r="B37" s="28" t="s">
        <v>17</v>
      </c>
      <c r="C37" s="42">
        <v>465.58873899999998</v>
      </c>
      <c r="D37" s="45">
        <v>1.6973039999999999</v>
      </c>
    </row>
    <row r="38" spans="2:4">
      <c r="B38" s="28" t="s">
        <v>3</v>
      </c>
      <c r="C38" s="42">
        <v>409.88659799999999</v>
      </c>
      <c r="D38" s="45">
        <v>2.4156369999999998</v>
      </c>
    </row>
    <row r="39" spans="2:4">
      <c r="B39" s="28" t="s">
        <v>13</v>
      </c>
      <c r="C39" s="42">
        <v>478.22646500000002</v>
      </c>
      <c r="D39" s="45">
        <v>2.3725450000000001</v>
      </c>
    </row>
    <row r="40" spans="2:4">
      <c r="B40" s="28" t="s">
        <v>27</v>
      </c>
      <c r="C40" s="42">
        <v>504.12930499999999</v>
      </c>
      <c r="D40" s="45">
        <v>2.2420439999999999</v>
      </c>
    </row>
    <row r="41" spans="2:4">
      <c r="B41" s="28" t="s">
        <v>31</v>
      </c>
      <c r="C41" s="42">
        <v>488.31683600000002</v>
      </c>
      <c r="D41" s="45">
        <v>4.0731739999999999</v>
      </c>
    </row>
    <row r="42" spans="2:4">
      <c r="B42" s="28" t="s">
        <v>35</v>
      </c>
      <c r="C42" s="42">
        <v>499.16436199999998</v>
      </c>
      <c r="D42" s="45">
        <v>2.5450750000000002</v>
      </c>
    </row>
    <row r="43" spans="2:4">
      <c r="B43" s="28" t="s">
        <v>36</v>
      </c>
      <c r="C43" s="42">
        <v>484.37346400000001</v>
      </c>
      <c r="D43" s="45">
        <v>2.5589930000000001</v>
      </c>
    </row>
    <row r="44" spans="2:4">
      <c r="B44" s="28" t="s">
        <v>38</v>
      </c>
      <c r="C44" s="42">
        <v>499.67021399999999</v>
      </c>
      <c r="D44" s="45">
        <v>2.376477</v>
      </c>
    </row>
    <row r="45" spans="2:4">
      <c r="B45" s="28" t="s">
        <v>84</v>
      </c>
      <c r="C45" s="42">
        <v>497.74204700000001</v>
      </c>
      <c r="D45" s="45">
        <v>2.3042699999999998</v>
      </c>
    </row>
    <row r="46" spans="2:4">
      <c r="B46" s="28" t="s">
        <v>85</v>
      </c>
      <c r="C46" s="42">
        <v>462.26948299999998</v>
      </c>
      <c r="D46" s="45">
        <v>3.0301779999999998</v>
      </c>
    </row>
    <row r="47" spans="2:4">
      <c r="B47" s="28" t="s">
        <v>33</v>
      </c>
      <c r="C47" s="42">
        <v>427.51110799999998</v>
      </c>
      <c r="D47" s="45">
        <v>3.8673799999999998</v>
      </c>
    </row>
    <row r="48" spans="2:4">
      <c r="B48" s="28" t="s">
        <v>22</v>
      </c>
      <c r="C48" s="42">
        <v>493.54931900000003</v>
      </c>
      <c r="D48" s="45">
        <v>2.3504489999999998</v>
      </c>
    </row>
    <row r="49" spans="2:4">
      <c r="B49" s="28" t="s">
        <v>24</v>
      </c>
      <c r="C49" s="42">
        <v>502.52324199999998</v>
      </c>
      <c r="D49" s="45">
        <v>2.1858659999999999</v>
      </c>
    </row>
    <row r="50" spans="2:4">
      <c r="B50" s="28" t="s">
        <v>30</v>
      </c>
      <c r="C50" s="42">
        <v>475.93780199999998</v>
      </c>
      <c r="D50" s="45">
        <v>1.9280919999999999</v>
      </c>
    </row>
    <row r="51" spans="2:4">
      <c r="B51" s="28"/>
      <c r="C51" s="42"/>
      <c r="D51" s="45"/>
    </row>
    <row r="52" spans="2:4">
      <c r="B52" s="28" t="s">
        <v>39</v>
      </c>
      <c r="C52" s="42">
        <v>484.64552500000002</v>
      </c>
      <c r="D52" s="45">
        <v>0.43530799999999997</v>
      </c>
    </row>
    <row r="53" spans="2:4">
      <c r="B53" s="28" t="s">
        <v>40</v>
      </c>
      <c r="C53" s="42">
        <v>484.25503600000002</v>
      </c>
      <c r="D53" s="45">
        <v>0.94698199999999999</v>
      </c>
    </row>
    <row r="54" spans="2:4">
      <c r="B54" s="28"/>
      <c r="C54" s="42"/>
      <c r="D54" s="45"/>
    </row>
    <row r="55" spans="2:4">
      <c r="B55" s="63" t="s">
        <v>43</v>
      </c>
      <c r="C55" s="42">
        <v>473.282464</v>
      </c>
      <c r="D55" s="45">
        <v>4.8725670000000001</v>
      </c>
    </row>
    <row r="56" spans="2:4">
      <c r="B56" s="63" t="s">
        <v>44</v>
      </c>
      <c r="C56" s="42">
        <v>499.46976899999999</v>
      </c>
      <c r="D56" s="45">
        <v>5.3935630000000003</v>
      </c>
    </row>
    <row r="57" spans="2:4">
      <c r="B57" s="63" t="s">
        <v>175</v>
      </c>
      <c r="C57" s="42">
        <v>503.14334000000002</v>
      </c>
      <c r="D57" s="45">
        <v>6.2732289999999997</v>
      </c>
    </row>
    <row r="58" spans="2:4">
      <c r="B58" s="63" t="s">
        <v>57</v>
      </c>
      <c r="C58" s="42">
        <v>479.73425099999997</v>
      </c>
      <c r="D58" s="45">
        <v>5.1790589999999996</v>
      </c>
    </row>
    <row r="59" spans="2:4">
      <c r="B59" s="63" t="s">
        <v>176</v>
      </c>
      <c r="C59" s="42">
        <v>482.92476599999998</v>
      </c>
      <c r="D59" s="45">
        <v>4.3834650000000002</v>
      </c>
    </row>
    <row r="60" spans="2:4">
      <c r="B60" s="63" t="s">
        <v>46</v>
      </c>
      <c r="C60" s="42">
        <v>472.523144</v>
      </c>
      <c r="D60" s="45">
        <v>4.9234179999999999</v>
      </c>
    </row>
    <row r="61" spans="2:4">
      <c r="B61" s="63" t="s">
        <v>47</v>
      </c>
      <c r="C61" s="42">
        <v>503.98674199999999</v>
      </c>
      <c r="D61" s="45">
        <v>5.6539820000000001</v>
      </c>
    </row>
    <row r="62" spans="2:4">
      <c r="B62" s="63" t="s">
        <v>48</v>
      </c>
      <c r="C62" s="42">
        <v>506.294421</v>
      </c>
      <c r="D62" s="45">
        <v>4.2593290000000001</v>
      </c>
    </row>
    <row r="63" spans="2:4">
      <c r="B63" s="63" t="s">
        <v>49</v>
      </c>
      <c r="C63" s="42">
        <v>474.92265800000001</v>
      </c>
      <c r="D63" s="45">
        <v>4.6005929999999999</v>
      </c>
    </row>
    <row r="64" spans="2:4">
      <c r="B64" s="63" t="s">
        <v>50</v>
      </c>
      <c r="C64" s="42">
        <v>477.26057200000002</v>
      </c>
      <c r="D64" s="45">
        <v>5.9588869999999998</v>
      </c>
    </row>
    <row r="65" spans="2:4">
      <c r="B65" s="63" t="s">
        <v>51</v>
      </c>
      <c r="C65" s="42">
        <v>410.11534499999999</v>
      </c>
      <c r="D65" s="45">
        <v>13.00999</v>
      </c>
    </row>
    <row r="66" spans="2:4">
      <c r="B66" s="63" t="s">
        <v>41</v>
      </c>
      <c r="C66" s="42">
        <v>479.27421600000002</v>
      </c>
      <c r="D66" s="45">
        <v>6.4915630000000002</v>
      </c>
    </row>
    <row r="67" spans="2:4">
      <c r="B67" s="63" t="s">
        <v>42</v>
      </c>
      <c r="C67" s="42">
        <v>505.92175400000002</v>
      </c>
      <c r="D67" s="45">
        <v>4.9220319999999997</v>
      </c>
    </row>
    <row r="68" spans="2:4">
      <c r="B68" s="63" t="s">
        <v>177</v>
      </c>
      <c r="C68" s="42">
        <v>502.13068299999998</v>
      </c>
      <c r="D68" s="45">
        <v>3.768821</v>
      </c>
    </row>
    <row r="69" spans="2:4">
      <c r="B69" s="63" t="s">
        <v>53</v>
      </c>
      <c r="C69" s="42">
        <v>414.302345</v>
      </c>
      <c r="D69" s="45">
        <v>11.629759</v>
      </c>
    </row>
    <row r="70" spans="2:4">
      <c r="B70" s="63" t="s">
        <v>178</v>
      </c>
      <c r="C70" s="42">
        <v>481.60981500000003</v>
      </c>
      <c r="D70" s="45">
        <v>5.4103859999999999</v>
      </c>
    </row>
    <row r="71" spans="2:4">
      <c r="B71" s="63" t="s">
        <v>179</v>
      </c>
      <c r="C71" s="42">
        <v>489.03935799999999</v>
      </c>
      <c r="D71" s="45">
        <v>5.739903</v>
      </c>
    </row>
    <row r="72" spans="2:4">
      <c r="B72" s="63" t="s">
        <v>45</v>
      </c>
      <c r="C72" s="42">
        <v>479.50980399999997</v>
      </c>
      <c r="D72" s="45">
        <v>4.6179600000000001</v>
      </c>
    </row>
    <row r="73" spans="2:4">
      <c r="B73" s="64" t="s">
        <v>52</v>
      </c>
      <c r="C73" s="43">
        <v>499.50191999999998</v>
      </c>
      <c r="D73" s="46">
        <v>9.2935999999999996</v>
      </c>
    </row>
  </sheetData>
  <sortState ref="F55:H73">
    <sortCondition ref="F55"/>
  </sortState>
  <mergeCells count="1">
    <mergeCell ref="B7:D7"/>
  </mergeCells>
  <hyperlinks>
    <hyperlink ref="B5" location="Índice!A1" display="Índice" xr:uid="{00000000-0004-0000-1200-000000000000}"/>
  </hyperlink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2:R74"/>
  <sheetViews>
    <sheetView topLeftCell="A34" zoomScale="80" zoomScaleNormal="80" workbookViewId="0">
      <selection activeCell="W46" sqref="W46"/>
    </sheetView>
  </sheetViews>
  <sheetFormatPr baseColWidth="10" defaultColWidth="11.44140625" defaultRowHeight="14.4"/>
  <cols>
    <col min="1" max="1" width="11.44140625" style="59"/>
    <col min="2" max="2" width="27.88671875" style="59" customWidth="1"/>
    <col min="3" max="18" width="12.6640625" style="59" customWidth="1"/>
    <col min="19" max="16384" width="11.44140625" style="59"/>
  </cols>
  <sheetData>
    <row r="2" spans="2:18">
      <c r="B2" s="3" t="s">
        <v>149</v>
      </c>
    </row>
    <row r="3" spans="2:18">
      <c r="B3" s="36" t="s">
        <v>79</v>
      </c>
    </row>
    <row r="4" spans="2:18">
      <c r="B4" s="56" t="s">
        <v>150</v>
      </c>
    </row>
    <row r="5" spans="2:18">
      <c r="B5" s="4" t="s">
        <v>0</v>
      </c>
    </row>
    <row r="7" spans="2:18" ht="21" customHeight="1">
      <c r="B7" s="71" t="s">
        <v>170</v>
      </c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</row>
    <row r="8" spans="2:18" ht="18" customHeight="1">
      <c r="B8" s="72" t="s">
        <v>54</v>
      </c>
      <c r="C8" s="71" t="s">
        <v>70</v>
      </c>
      <c r="D8" s="71"/>
      <c r="E8" s="78" t="s">
        <v>151</v>
      </c>
      <c r="F8" s="79"/>
      <c r="G8" s="71" t="s">
        <v>152</v>
      </c>
      <c r="H8" s="71"/>
      <c r="I8" s="71" t="s">
        <v>72</v>
      </c>
      <c r="J8" s="71"/>
      <c r="K8" s="71" t="s">
        <v>73</v>
      </c>
      <c r="L8" s="71"/>
      <c r="M8" s="71" t="s">
        <v>74</v>
      </c>
      <c r="N8" s="71"/>
      <c r="O8" s="71" t="s">
        <v>75</v>
      </c>
      <c r="P8" s="71"/>
      <c r="Q8" s="71" t="s">
        <v>76</v>
      </c>
      <c r="R8" s="71"/>
    </row>
    <row r="9" spans="2:18" ht="18" customHeight="1">
      <c r="B9" s="72"/>
      <c r="C9" s="39" t="s">
        <v>58</v>
      </c>
      <c r="D9" s="39" t="s">
        <v>55</v>
      </c>
      <c r="E9" s="39" t="s">
        <v>58</v>
      </c>
      <c r="F9" s="39" t="s">
        <v>55</v>
      </c>
      <c r="G9" s="39" t="s">
        <v>58</v>
      </c>
      <c r="H9" s="39" t="s">
        <v>55</v>
      </c>
      <c r="I9" s="39" t="s">
        <v>58</v>
      </c>
      <c r="J9" s="39" t="s">
        <v>55</v>
      </c>
      <c r="K9" s="39" t="s">
        <v>58</v>
      </c>
      <c r="L9" s="39" t="s">
        <v>55</v>
      </c>
      <c r="M9" s="39" t="s">
        <v>58</v>
      </c>
      <c r="N9" s="39" t="s">
        <v>55</v>
      </c>
      <c r="O9" s="39" t="s">
        <v>58</v>
      </c>
      <c r="P9" s="39" t="s">
        <v>55</v>
      </c>
      <c r="Q9" s="39" t="s">
        <v>58</v>
      </c>
      <c r="R9" s="39" t="s">
        <v>55</v>
      </c>
    </row>
    <row r="10" spans="2:18">
      <c r="B10" s="24" t="s">
        <v>16</v>
      </c>
      <c r="C10" s="40">
        <v>2.0493860000000002</v>
      </c>
      <c r="D10" s="25">
        <v>0.310701</v>
      </c>
      <c r="E10" s="40">
        <v>7.2013559999999996</v>
      </c>
      <c r="F10" s="25">
        <v>0.60421999999999998</v>
      </c>
      <c r="G10" s="40">
        <v>16.244077000000001</v>
      </c>
      <c r="H10" s="25">
        <v>0.80981099999999995</v>
      </c>
      <c r="I10" s="40">
        <v>23.802061999999999</v>
      </c>
      <c r="J10" s="25">
        <v>0.85425499999999999</v>
      </c>
      <c r="K10" s="40">
        <v>24.727426999999999</v>
      </c>
      <c r="L10" s="25">
        <v>0.835009</v>
      </c>
      <c r="M10" s="40">
        <v>17.794853</v>
      </c>
      <c r="N10" s="25">
        <v>0.85326199999999996</v>
      </c>
      <c r="O10" s="40">
        <v>6.749905</v>
      </c>
      <c r="P10" s="25">
        <v>0.52632999999999996</v>
      </c>
      <c r="Q10" s="40">
        <v>1.4309350000000001</v>
      </c>
      <c r="R10" s="25">
        <v>0.21387500000000001</v>
      </c>
    </row>
    <row r="11" spans="2:18">
      <c r="B11" s="24" t="s">
        <v>14</v>
      </c>
      <c r="C11" s="40">
        <v>1.784834</v>
      </c>
      <c r="D11" s="25">
        <v>0.16978499999999999</v>
      </c>
      <c r="E11" s="40">
        <v>6.0322849999999999</v>
      </c>
      <c r="F11" s="25">
        <v>0.35648400000000002</v>
      </c>
      <c r="G11" s="40">
        <v>13.374784999999999</v>
      </c>
      <c r="H11" s="25">
        <v>0.44108900000000001</v>
      </c>
      <c r="I11" s="40">
        <v>21.364425000000001</v>
      </c>
      <c r="J11" s="25">
        <v>0.53785400000000005</v>
      </c>
      <c r="K11" s="40">
        <v>24.96613</v>
      </c>
      <c r="L11" s="25">
        <v>0.68796999999999997</v>
      </c>
      <c r="M11" s="40">
        <v>20.098334000000001</v>
      </c>
      <c r="N11" s="25">
        <v>0.51481100000000002</v>
      </c>
      <c r="O11" s="40">
        <v>9.4509500000000006</v>
      </c>
      <c r="P11" s="25">
        <v>0.43785000000000002</v>
      </c>
      <c r="Q11" s="40">
        <v>2.9282560000000002</v>
      </c>
      <c r="R11" s="25">
        <v>0.31107499999999999</v>
      </c>
    </row>
    <row r="12" spans="2:18">
      <c r="B12" s="24" t="s">
        <v>18</v>
      </c>
      <c r="C12" s="40">
        <v>1.8150090000000001</v>
      </c>
      <c r="D12" s="25">
        <v>0.254525</v>
      </c>
      <c r="E12" s="40">
        <v>7.3978219999999997</v>
      </c>
      <c r="F12" s="25">
        <v>0.62355099999999997</v>
      </c>
      <c r="G12" s="40">
        <v>16.058216000000002</v>
      </c>
      <c r="H12" s="25">
        <v>0.84570400000000001</v>
      </c>
      <c r="I12" s="40">
        <v>23.050350000000002</v>
      </c>
      <c r="J12" s="25">
        <v>0.80414300000000005</v>
      </c>
      <c r="K12" s="40">
        <v>25.503202999999999</v>
      </c>
      <c r="L12" s="25">
        <v>0.840225</v>
      </c>
      <c r="M12" s="40">
        <v>18.452024000000002</v>
      </c>
      <c r="N12" s="25">
        <v>0.78266599999999997</v>
      </c>
      <c r="O12" s="40">
        <v>6.7185759999999997</v>
      </c>
      <c r="P12" s="25">
        <v>0.50824199999999997</v>
      </c>
      <c r="Q12" s="40">
        <v>1.0047999999999999</v>
      </c>
      <c r="R12" s="25">
        <v>0.208897</v>
      </c>
    </row>
    <row r="13" spans="2:18">
      <c r="B13" s="24" t="s">
        <v>28</v>
      </c>
      <c r="C13" s="40">
        <v>2.1691889999999998</v>
      </c>
      <c r="D13" s="25">
        <v>0.30103799999999997</v>
      </c>
      <c r="E13" s="40">
        <v>7.549944</v>
      </c>
      <c r="F13" s="25">
        <v>0.479993</v>
      </c>
      <c r="G13" s="40">
        <v>15.547688000000001</v>
      </c>
      <c r="H13" s="25">
        <v>0.66349199999999997</v>
      </c>
      <c r="I13" s="40">
        <v>23.249921000000001</v>
      </c>
      <c r="J13" s="25">
        <v>0.82772999999999997</v>
      </c>
      <c r="K13" s="40">
        <v>25.934031999999998</v>
      </c>
      <c r="L13" s="25">
        <v>0.85056399999999999</v>
      </c>
      <c r="M13" s="40">
        <v>18.23066</v>
      </c>
      <c r="N13" s="25">
        <v>0.65293000000000001</v>
      </c>
      <c r="O13" s="40">
        <v>6.2888549999999999</v>
      </c>
      <c r="P13" s="25">
        <v>0.43621199999999999</v>
      </c>
      <c r="Q13" s="40">
        <v>1.029711</v>
      </c>
      <c r="R13" s="25">
        <v>0.18101600000000001</v>
      </c>
    </row>
    <row r="14" spans="2:18">
      <c r="B14" s="24" t="s">
        <v>20</v>
      </c>
      <c r="C14" s="40">
        <v>8.9104510000000001</v>
      </c>
      <c r="D14" s="25">
        <v>0.67507700000000004</v>
      </c>
      <c r="E14" s="40">
        <v>18.981566000000001</v>
      </c>
      <c r="F14" s="25">
        <v>0.97340899999999997</v>
      </c>
      <c r="G14" s="40">
        <v>24.972087999999999</v>
      </c>
      <c r="H14" s="25">
        <v>1.074848</v>
      </c>
      <c r="I14" s="40">
        <v>22.469688000000001</v>
      </c>
      <c r="J14" s="25">
        <v>0.96909000000000001</v>
      </c>
      <c r="K14" s="40">
        <v>15.139492000000001</v>
      </c>
      <c r="L14" s="25">
        <v>0.85900399999999999</v>
      </c>
      <c r="M14" s="40">
        <v>7.3444039999999999</v>
      </c>
      <c r="N14" s="25">
        <v>0.65692200000000001</v>
      </c>
      <c r="O14" s="40">
        <v>1.9323509999999999</v>
      </c>
      <c r="P14" s="25">
        <v>0.36614000000000002</v>
      </c>
      <c r="Q14" s="40">
        <v>0.24995899999999999</v>
      </c>
      <c r="R14" s="25">
        <v>0.12834799999999999</v>
      </c>
    </row>
    <row r="15" spans="2:18">
      <c r="B15" s="24" t="s">
        <v>6</v>
      </c>
      <c r="C15" s="40">
        <v>1.467015</v>
      </c>
      <c r="D15" s="25">
        <v>0.15595400000000001</v>
      </c>
      <c r="E15" s="40">
        <v>4.6603240000000001</v>
      </c>
      <c r="F15" s="25">
        <v>0.243282</v>
      </c>
      <c r="G15" s="40">
        <v>12.017185</v>
      </c>
      <c r="H15" s="25">
        <v>0.431753</v>
      </c>
      <c r="I15" s="40">
        <v>21.190396</v>
      </c>
      <c r="J15" s="25">
        <v>0.54486100000000004</v>
      </c>
      <c r="K15" s="40">
        <v>25.642893000000001</v>
      </c>
      <c r="L15" s="25">
        <v>0.69249099999999997</v>
      </c>
      <c r="M15" s="40">
        <v>21.422082</v>
      </c>
      <c r="N15" s="25">
        <v>0.50940099999999999</v>
      </c>
      <c r="O15" s="40">
        <v>10.302473000000001</v>
      </c>
      <c r="P15" s="25">
        <v>0.44991300000000001</v>
      </c>
      <c r="Q15" s="40">
        <v>3.2976329999999998</v>
      </c>
      <c r="R15" s="25">
        <v>0.297315</v>
      </c>
    </row>
    <row r="16" spans="2:18">
      <c r="B16" s="24" t="s">
        <v>1</v>
      </c>
      <c r="C16" s="40">
        <v>2.2720440000000002</v>
      </c>
      <c r="D16" s="25">
        <v>0.35319299999999998</v>
      </c>
      <c r="E16" s="40">
        <v>8.8364759999999993</v>
      </c>
      <c r="F16" s="25">
        <v>0.574349</v>
      </c>
      <c r="G16" s="40">
        <v>22.618393999999999</v>
      </c>
      <c r="H16" s="25">
        <v>0.80002799999999996</v>
      </c>
      <c r="I16" s="40">
        <v>29.063723</v>
      </c>
      <c r="J16" s="25">
        <v>0.91639499999999996</v>
      </c>
      <c r="K16" s="40">
        <v>23.863990000000001</v>
      </c>
      <c r="L16" s="25">
        <v>0.88131199999999998</v>
      </c>
      <c r="M16" s="40">
        <v>10.859607</v>
      </c>
      <c r="N16" s="25">
        <v>0.69969499999999996</v>
      </c>
      <c r="O16" s="40">
        <v>2.298991</v>
      </c>
      <c r="P16" s="25">
        <v>0.33194299999999999</v>
      </c>
      <c r="Q16" s="40">
        <v>0.186775</v>
      </c>
      <c r="R16" s="25">
        <v>6.9905999999999996E-2</v>
      </c>
    </row>
    <row r="17" spans="2:18">
      <c r="B17" s="24" t="s">
        <v>82</v>
      </c>
      <c r="C17" s="40">
        <v>13.786910000000001</v>
      </c>
      <c r="D17" s="25">
        <v>0.444025</v>
      </c>
      <c r="E17" s="40">
        <v>22.580000999999999</v>
      </c>
      <c r="F17" s="25">
        <v>0.73805399999999999</v>
      </c>
      <c r="G17" s="40">
        <v>24.256858000000001</v>
      </c>
      <c r="H17" s="25">
        <v>0.74617599999999995</v>
      </c>
      <c r="I17" s="40">
        <v>20.1843</v>
      </c>
      <c r="J17" s="25">
        <v>0.72535899999999998</v>
      </c>
      <c r="K17" s="40">
        <v>12.807796</v>
      </c>
      <c r="L17" s="25">
        <v>0.56054800000000005</v>
      </c>
      <c r="M17" s="40">
        <v>4.9803369999999996</v>
      </c>
      <c r="N17" s="25">
        <v>0.39387</v>
      </c>
      <c r="O17" s="40">
        <v>1.264499</v>
      </c>
      <c r="P17" s="25">
        <v>0.188528</v>
      </c>
      <c r="Q17" s="40">
        <v>0.13929900000000001</v>
      </c>
      <c r="R17" s="25">
        <v>6.5614000000000006E-2</v>
      </c>
    </row>
    <row r="18" spans="2:18">
      <c r="B18" s="24" t="s">
        <v>29</v>
      </c>
      <c r="C18" s="40">
        <v>4.9907279999999998</v>
      </c>
      <c r="D18" s="25">
        <v>0.54643200000000003</v>
      </c>
      <c r="E18" s="40">
        <v>17.278787999999999</v>
      </c>
      <c r="F18" s="25">
        <v>0.98276699999999995</v>
      </c>
      <c r="G18" s="40">
        <v>29.112974999999999</v>
      </c>
      <c r="H18" s="25">
        <v>1.0597209999999999</v>
      </c>
      <c r="I18" s="40">
        <v>25.871407999999999</v>
      </c>
      <c r="J18" s="25">
        <v>0.992479</v>
      </c>
      <c r="K18" s="40">
        <v>15.820812999999999</v>
      </c>
      <c r="L18" s="25">
        <v>1.026953</v>
      </c>
      <c r="M18" s="40">
        <v>5.8710259999999996</v>
      </c>
      <c r="N18" s="25">
        <v>0.55595600000000001</v>
      </c>
      <c r="O18" s="40">
        <v>0.97312399999999999</v>
      </c>
      <c r="P18" s="25">
        <v>0.18399399999999999</v>
      </c>
      <c r="Q18" s="40">
        <v>8.1138000000000002E-2</v>
      </c>
      <c r="R18" s="25">
        <v>4.5605E-2</v>
      </c>
    </row>
    <row r="19" spans="2:18">
      <c r="B19" s="24" t="s">
        <v>25</v>
      </c>
      <c r="C19" s="40">
        <v>1.327669</v>
      </c>
      <c r="D19" s="25">
        <v>0.32583200000000001</v>
      </c>
      <c r="E19" s="40">
        <v>3.626519</v>
      </c>
      <c r="F19" s="25">
        <v>0.433226</v>
      </c>
      <c r="G19" s="40">
        <v>9.7276159999999994</v>
      </c>
      <c r="H19" s="25">
        <v>0.84564799999999996</v>
      </c>
      <c r="I19" s="40">
        <v>19.379132999999999</v>
      </c>
      <c r="J19" s="25">
        <v>1.018135</v>
      </c>
      <c r="K19" s="40">
        <v>27.950136000000001</v>
      </c>
      <c r="L19" s="25">
        <v>1.041091</v>
      </c>
      <c r="M19" s="40">
        <v>24.671091000000001</v>
      </c>
      <c r="N19" s="25">
        <v>1.1213070000000001</v>
      </c>
      <c r="O19" s="40">
        <v>10.802816</v>
      </c>
      <c r="P19" s="25">
        <v>0.83287699999999998</v>
      </c>
      <c r="Q19" s="40">
        <v>2.5150199999999998</v>
      </c>
      <c r="R19" s="25">
        <v>0.41782599999999998</v>
      </c>
    </row>
    <row r="20" spans="2:18">
      <c r="B20" s="24" t="s">
        <v>83</v>
      </c>
      <c r="C20" s="40">
        <v>3.3633649999999999</v>
      </c>
      <c r="D20" s="25">
        <v>0.36470999999999998</v>
      </c>
      <c r="E20" s="40">
        <v>14.737355000000001</v>
      </c>
      <c r="F20" s="25">
        <v>0.77495000000000003</v>
      </c>
      <c r="G20" s="40">
        <v>28.967407999999999</v>
      </c>
      <c r="H20" s="25">
        <v>0.92981400000000003</v>
      </c>
      <c r="I20" s="40">
        <v>29.969058</v>
      </c>
      <c r="J20" s="25">
        <v>0.82483200000000001</v>
      </c>
      <c r="K20" s="40">
        <v>17.266622999999999</v>
      </c>
      <c r="L20" s="25">
        <v>0.98929999999999996</v>
      </c>
      <c r="M20" s="40">
        <v>4.8949980000000002</v>
      </c>
      <c r="N20" s="25">
        <v>0.51168499999999995</v>
      </c>
      <c r="O20" s="40">
        <v>0.739514</v>
      </c>
      <c r="P20" s="25">
        <v>0.169097</v>
      </c>
      <c r="Q20" s="40">
        <v>6.1677999999999997E-2</v>
      </c>
      <c r="R20" s="25">
        <v>3.6650000000000002E-2</v>
      </c>
    </row>
    <row r="21" spans="2:18">
      <c r="B21" s="24" t="s">
        <v>15</v>
      </c>
      <c r="C21" s="40">
        <v>0.799709</v>
      </c>
      <c r="D21" s="25">
        <v>0.167653</v>
      </c>
      <c r="E21" s="40">
        <v>5.408747</v>
      </c>
      <c r="F21" s="25">
        <v>0.523509</v>
      </c>
      <c r="G21" s="40">
        <v>16.451547000000001</v>
      </c>
      <c r="H21" s="25">
        <v>0.75926800000000005</v>
      </c>
      <c r="I21" s="40">
        <v>28.783529000000001</v>
      </c>
      <c r="J21" s="25">
        <v>0.93311699999999997</v>
      </c>
      <c r="K21" s="40">
        <v>28.371223000000001</v>
      </c>
      <c r="L21" s="25">
        <v>1.02112</v>
      </c>
      <c r="M21" s="40">
        <v>16.012039999999999</v>
      </c>
      <c r="N21" s="25">
        <v>0.77740900000000002</v>
      </c>
      <c r="O21" s="40">
        <v>3.9202089999999998</v>
      </c>
      <c r="P21" s="25">
        <v>0.46526699999999999</v>
      </c>
      <c r="Q21" s="40">
        <v>0.25299700000000003</v>
      </c>
      <c r="R21" s="25">
        <v>0.105572</v>
      </c>
    </row>
    <row r="22" spans="2:18">
      <c r="B22" s="24" t="s">
        <v>8</v>
      </c>
      <c r="C22" s="40">
        <v>0.82750999999999997</v>
      </c>
      <c r="D22" s="25">
        <v>0.18094499999999999</v>
      </c>
      <c r="E22" s="40">
        <v>4.3724420000000004</v>
      </c>
      <c r="F22" s="25">
        <v>0.350049</v>
      </c>
      <c r="G22" s="40">
        <v>13.775022999999999</v>
      </c>
      <c r="H22" s="25">
        <v>0.68142800000000003</v>
      </c>
      <c r="I22" s="40">
        <v>26.298538000000001</v>
      </c>
      <c r="J22" s="25">
        <v>0.93789</v>
      </c>
      <c r="K22" s="40">
        <v>29.304584999999999</v>
      </c>
      <c r="L22" s="25">
        <v>0.94860299999999997</v>
      </c>
      <c r="M22" s="40">
        <v>19.109248999999998</v>
      </c>
      <c r="N22" s="25">
        <v>0.84486799999999995</v>
      </c>
      <c r="O22" s="40">
        <v>5.6261910000000004</v>
      </c>
      <c r="P22" s="25">
        <v>0.46329100000000001</v>
      </c>
      <c r="Q22" s="40">
        <v>0.68646099999999999</v>
      </c>
      <c r="R22" s="25">
        <v>0.22147900000000001</v>
      </c>
    </row>
    <row r="23" spans="2:18">
      <c r="B23" s="24" t="s">
        <v>10</v>
      </c>
      <c r="C23" s="40">
        <v>1.962555</v>
      </c>
      <c r="D23" s="25">
        <v>0.24654899999999999</v>
      </c>
      <c r="E23" s="40">
        <v>7.3250669999999998</v>
      </c>
      <c r="F23" s="25">
        <v>0.45993000000000001</v>
      </c>
      <c r="G23" s="40">
        <v>16.792173999999999</v>
      </c>
      <c r="H23" s="25">
        <v>0.58104599999999995</v>
      </c>
      <c r="I23" s="40">
        <v>26.936971</v>
      </c>
      <c r="J23" s="25">
        <v>1.0374620000000001</v>
      </c>
      <c r="K23" s="40">
        <v>27.27459</v>
      </c>
      <c r="L23" s="25">
        <v>0.89875000000000005</v>
      </c>
      <c r="M23" s="40">
        <v>15.303044999999999</v>
      </c>
      <c r="N23" s="25">
        <v>0.671346</v>
      </c>
      <c r="O23" s="40">
        <v>4.0331720000000004</v>
      </c>
      <c r="P23" s="25">
        <v>0.36915900000000001</v>
      </c>
      <c r="Q23" s="40">
        <v>0.37242799999999998</v>
      </c>
      <c r="R23" s="25">
        <v>0.16723499999999999</v>
      </c>
    </row>
    <row r="24" spans="2:18">
      <c r="B24" s="24" t="s">
        <v>26</v>
      </c>
      <c r="C24" s="40">
        <v>1.6656690000000001</v>
      </c>
      <c r="D24" s="25">
        <v>0.15933800000000001</v>
      </c>
      <c r="E24" s="40">
        <v>6.5204259999999996</v>
      </c>
      <c r="F24" s="25">
        <v>0.32980199999999998</v>
      </c>
      <c r="G24" s="40">
        <v>16.239972000000002</v>
      </c>
      <c r="H24" s="25">
        <v>0.53214600000000001</v>
      </c>
      <c r="I24" s="40">
        <v>26.609748</v>
      </c>
      <c r="J24" s="25">
        <v>0.50798600000000005</v>
      </c>
      <c r="K24" s="40">
        <v>27.528554</v>
      </c>
      <c r="L24" s="25">
        <v>0.50307999999999997</v>
      </c>
      <c r="M24" s="40">
        <v>16.146267000000002</v>
      </c>
      <c r="N24" s="25">
        <v>0.46121000000000001</v>
      </c>
      <c r="O24" s="40">
        <v>4.6659800000000002</v>
      </c>
      <c r="P24" s="25">
        <v>0.29972500000000002</v>
      </c>
      <c r="Q24" s="40">
        <v>0.62338300000000002</v>
      </c>
      <c r="R24" s="25">
        <v>8.7652999999999995E-2</v>
      </c>
    </row>
    <row r="25" spans="2:18">
      <c r="B25" s="24" t="s">
        <v>7</v>
      </c>
      <c r="C25" s="40">
        <v>1.4126479999999999</v>
      </c>
      <c r="D25" s="25">
        <v>0.29469699999999999</v>
      </c>
      <c r="E25" s="40">
        <v>5.7312779999999997</v>
      </c>
      <c r="F25" s="25">
        <v>0.65910800000000003</v>
      </c>
      <c r="G25" s="40">
        <v>12.981534</v>
      </c>
      <c r="H25" s="25">
        <v>0.82801400000000003</v>
      </c>
      <c r="I25" s="40">
        <v>20.852205000000001</v>
      </c>
      <c r="J25" s="25">
        <v>0.85308799999999996</v>
      </c>
      <c r="K25" s="40">
        <v>25.017669999999999</v>
      </c>
      <c r="L25" s="25">
        <v>0.91168000000000005</v>
      </c>
      <c r="M25" s="40">
        <v>19.764198</v>
      </c>
      <c r="N25" s="25">
        <v>1.024519</v>
      </c>
      <c r="O25" s="40">
        <v>10.617167999999999</v>
      </c>
      <c r="P25" s="25">
        <v>0.83980299999999997</v>
      </c>
      <c r="Q25" s="40">
        <v>3.6232980000000001</v>
      </c>
      <c r="R25" s="25">
        <v>0.53701200000000004</v>
      </c>
    </row>
    <row r="26" spans="2:18">
      <c r="B26" s="24" t="s">
        <v>21</v>
      </c>
      <c r="C26" s="40">
        <v>0.418132</v>
      </c>
      <c r="D26" s="25">
        <v>0.127579</v>
      </c>
      <c r="E26" s="40">
        <v>2.9518249999999999</v>
      </c>
      <c r="F26" s="25">
        <v>0.373338</v>
      </c>
      <c r="G26" s="40">
        <v>10.428948</v>
      </c>
      <c r="H26" s="25">
        <v>0.66778400000000004</v>
      </c>
      <c r="I26" s="40">
        <v>22.420290999999999</v>
      </c>
      <c r="J26" s="25">
        <v>0.79697499999999999</v>
      </c>
      <c r="K26" s="40">
        <v>29.973672000000001</v>
      </c>
      <c r="L26" s="25">
        <v>0.82610799999999995</v>
      </c>
      <c r="M26" s="40">
        <v>23.204758999999999</v>
      </c>
      <c r="N26" s="25">
        <v>0.74317</v>
      </c>
      <c r="O26" s="40">
        <v>9.0876180000000009</v>
      </c>
      <c r="P26" s="25">
        <v>0.51803600000000005</v>
      </c>
      <c r="Q26" s="40">
        <v>1.5147550000000001</v>
      </c>
      <c r="R26" s="25">
        <v>0.30447400000000002</v>
      </c>
    </row>
    <row r="27" spans="2:18">
      <c r="B27" s="24" t="s">
        <v>34</v>
      </c>
      <c r="C27" s="40">
        <v>1.9168810000000001</v>
      </c>
      <c r="D27" s="25">
        <v>0.20302200000000001</v>
      </c>
      <c r="E27" s="40">
        <v>6.0545309999999999</v>
      </c>
      <c r="F27" s="25">
        <v>0.410385</v>
      </c>
      <c r="G27" s="40">
        <v>13.455765</v>
      </c>
      <c r="H27" s="25">
        <v>0.59185399999999999</v>
      </c>
      <c r="I27" s="40">
        <v>22.577002</v>
      </c>
      <c r="J27" s="25">
        <v>0.71135800000000005</v>
      </c>
      <c r="K27" s="40">
        <v>26.842915999999999</v>
      </c>
      <c r="L27" s="25">
        <v>0.67125000000000001</v>
      </c>
      <c r="M27" s="40">
        <v>20.386196999999999</v>
      </c>
      <c r="N27" s="25">
        <v>0.85907</v>
      </c>
      <c r="O27" s="40">
        <v>7.5370429999999997</v>
      </c>
      <c r="P27" s="25">
        <v>0.53368199999999999</v>
      </c>
      <c r="Q27" s="40">
        <v>1.2296640000000001</v>
      </c>
      <c r="R27" s="25">
        <v>0.16792299999999999</v>
      </c>
    </row>
    <row r="28" spans="2:18">
      <c r="B28" s="24" t="s">
        <v>5</v>
      </c>
      <c r="C28" s="40">
        <v>2.5540729999999998</v>
      </c>
      <c r="D28" s="25">
        <v>0.33159699999999998</v>
      </c>
      <c r="E28" s="40">
        <v>8.1034439999999996</v>
      </c>
      <c r="F28" s="25">
        <v>0.58686400000000005</v>
      </c>
      <c r="G28" s="40">
        <v>16.213414</v>
      </c>
      <c r="H28" s="25">
        <v>0.72815600000000003</v>
      </c>
      <c r="I28" s="40">
        <v>23.636310000000002</v>
      </c>
      <c r="J28" s="25">
        <v>0.754745</v>
      </c>
      <c r="K28" s="40">
        <v>25.547329999999999</v>
      </c>
      <c r="L28" s="25">
        <v>0.88526800000000005</v>
      </c>
      <c r="M28" s="40">
        <v>16.862203000000001</v>
      </c>
      <c r="N28" s="25">
        <v>0.81852100000000005</v>
      </c>
      <c r="O28" s="40">
        <v>6.0686099999999996</v>
      </c>
      <c r="P28" s="25">
        <v>0.46952300000000002</v>
      </c>
      <c r="Q28" s="40">
        <v>1.014616</v>
      </c>
      <c r="R28" s="25">
        <v>0.20266799999999999</v>
      </c>
    </row>
    <row r="29" spans="2:18">
      <c r="B29" s="24" t="s">
        <v>37</v>
      </c>
      <c r="C29" s="40">
        <v>2.9827349999999999</v>
      </c>
      <c r="D29" s="25">
        <v>0.39809699999999998</v>
      </c>
      <c r="E29" s="40">
        <v>11.213569</v>
      </c>
      <c r="F29" s="25">
        <v>0.77663199999999999</v>
      </c>
      <c r="G29" s="40">
        <v>23.428550000000001</v>
      </c>
      <c r="H29" s="25">
        <v>0.860989</v>
      </c>
      <c r="I29" s="40">
        <v>28.338253000000002</v>
      </c>
      <c r="J29" s="25">
        <v>0.82100600000000001</v>
      </c>
      <c r="K29" s="40">
        <v>22.356347</v>
      </c>
      <c r="L29" s="25">
        <v>0.86164300000000005</v>
      </c>
      <c r="M29" s="40">
        <v>9.7035529999999994</v>
      </c>
      <c r="N29" s="25">
        <v>0.59123300000000001</v>
      </c>
      <c r="O29" s="40">
        <v>1.852927</v>
      </c>
      <c r="P29" s="25">
        <v>0.24216499999999999</v>
      </c>
      <c r="Q29" s="40">
        <v>0.124067</v>
      </c>
      <c r="R29" s="25">
        <v>6.7613999999999994E-2</v>
      </c>
    </row>
    <row r="30" spans="2:18">
      <c r="B30" s="24" t="s">
        <v>4</v>
      </c>
      <c r="C30" s="40">
        <v>2.3444340000000001</v>
      </c>
      <c r="D30" s="25">
        <v>0.34504699999999999</v>
      </c>
      <c r="E30" s="40">
        <v>7.5260809999999996</v>
      </c>
      <c r="F30" s="25">
        <v>0.55510000000000004</v>
      </c>
      <c r="G30" s="40">
        <v>16.033145000000001</v>
      </c>
      <c r="H30" s="25">
        <v>0.91962600000000005</v>
      </c>
      <c r="I30" s="40">
        <v>24.377728000000001</v>
      </c>
      <c r="J30" s="25">
        <v>0.94327099999999997</v>
      </c>
      <c r="K30" s="40">
        <v>26.962398</v>
      </c>
      <c r="L30" s="25">
        <v>1.130185</v>
      </c>
      <c r="M30" s="40">
        <v>17.302278999999999</v>
      </c>
      <c r="N30" s="25">
        <v>0.84422299999999995</v>
      </c>
      <c r="O30" s="40">
        <v>4.9458330000000004</v>
      </c>
      <c r="P30" s="25">
        <v>0.52784799999999998</v>
      </c>
      <c r="Q30" s="40">
        <v>0.50810299999999997</v>
      </c>
      <c r="R30" s="25">
        <v>0.14855299999999999</v>
      </c>
    </row>
    <row r="31" spans="2:18">
      <c r="B31" s="24" t="s">
        <v>9</v>
      </c>
      <c r="C31" s="40">
        <v>0.36916300000000002</v>
      </c>
      <c r="D31" s="25">
        <v>0.138992</v>
      </c>
      <c r="E31" s="40">
        <v>2.3387609999999999</v>
      </c>
      <c r="F31" s="25">
        <v>0.29762</v>
      </c>
      <c r="G31" s="40">
        <v>8.7357610000000001</v>
      </c>
      <c r="H31" s="25">
        <v>0.62941400000000003</v>
      </c>
      <c r="I31" s="40">
        <v>21.355695000000001</v>
      </c>
      <c r="J31" s="25">
        <v>0.68886700000000001</v>
      </c>
      <c r="K31" s="40">
        <v>31.779851000000001</v>
      </c>
      <c r="L31" s="25">
        <v>0.87208600000000003</v>
      </c>
      <c r="M31" s="40">
        <v>25.153251000000001</v>
      </c>
      <c r="N31" s="25">
        <v>0.84776300000000004</v>
      </c>
      <c r="O31" s="40">
        <v>9.1486800000000006</v>
      </c>
      <c r="P31" s="25">
        <v>0.56879000000000002</v>
      </c>
      <c r="Q31" s="40">
        <v>1.1188389999999999</v>
      </c>
      <c r="R31" s="25">
        <v>0.188968</v>
      </c>
    </row>
    <row r="32" spans="2:18">
      <c r="B32" s="24" t="s">
        <v>19</v>
      </c>
      <c r="C32" s="40">
        <v>4.5788450000000003</v>
      </c>
      <c r="D32" s="25">
        <v>0.45785799999999999</v>
      </c>
      <c r="E32" s="40">
        <v>13.096698999999999</v>
      </c>
      <c r="F32" s="25">
        <v>0.703372</v>
      </c>
      <c r="G32" s="40">
        <v>22.059173999999999</v>
      </c>
      <c r="H32" s="25">
        <v>0.86305900000000002</v>
      </c>
      <c r="I32" s="40">
        <v>24.931728</v>
      </c>
      <c r="J32" s="25">
        <v>0.99625600000000003</v>
      </c>
      <c r="K32" s="40">
        <v>22.010819000000001</v>
      </c>
      <c r="L32" s="25">
        <v>0.79176599999999997</v>
      </c>
      <c r="M32" s="40">
        <v>10.653309999999999</v>
      </c>
      <c r="N32" s="25">
        <v>0.814473</v>
      </c>
      <c r="O32" s="40">
        <v>2.3646929999999999</v>
      </c>
      <c r="P32" s="25">
        <v>0.35052299999999997</v>
      </c>
      <c r="Q32" s="40">
        <v>0.304732</v>
      </c>
      <c r="R32" s="25">
        <v>0.126524</v>
      </c>
    </row>
    <row r="33" spans="2:18">
      <c r="B33" s="24" t="s">
        <v>11</v>
      </c>
      <c r="C33" s="40">
        <v>4.8277549999999998</v>
      </c>
      <c r="D33" s="25">
        <v>0.46268300000000001</v>
      </c>
      <c r="E33" s="40">
        <v>9.5431000000000008</v>
      </c>
      <c r="F33" s="25">
        <v>0.57731399999999999</v>
      </c>
      <c r="G33" s="40">
        <v>15.266629</v>
      </c>
      <c r="H33" s="25">
        <v>0.72582500000000005</v>
      </c>
      <c r="I33" s="40">
        <v>20.211727</v>
      </c>
      <c r="J33" s="25">
        <v>0.65596600000000005</v>
      </c>
      <c r="K33" s="40">
        <v>22.115504999999999</v>
      </c>
      <c r="L33" s="25">
        <v>0.78511799999999998</v>
      </c>
      <c r="M33" s="40">
        <v>17.511486999999999</v>
      </c>
      <c r="N33" s="25">
        <v>0.74770899999999996</v>
      </c>
      <c r="O33" s="40">
        <v>8.3422809999999998</v>
      </c>
      <c r="P33" s="25">
        <v>0.61243499999999995</v>
      </c>
      <c r="Q33" s="40">
        <v>2.1815150000000001</v>
      </c>
      <c r="R33" s="25">
        <v>0.28419899999999998</v>
      </c>
    </row>
    <row r="34" spans="2:18">
      <c r="B34" s="24" t="s">
        <v>12</v>
      </c>
      <c r="C34" s="40">
        <v>1.081644</v>
      </c>
      <c r="D34" s="25">
        <v>0.21551400000000001</v>
      </c>
      <c r="E34" s="40">
        <v>5.5149299999999997</v>
      </c>
      <c r="F34" s="25">
        <v>0.49073600000000001</v>
      </c>
      <c r="G34" s="40">
        <v>14.790495999999999</v>
      </c>
      <c r="H34" s="25">
        <v>0.73888799999999999</v>
      </c>
      <c r="I34" s="40">
        <v>25.980962000000002</v>
      </c>
      <c r="J34" s="25">
        <v>0.89116200000000001</v>
      </c>
      <c r="K34" s="40">
        <v>29.771439999999998</v>
      </c>
      <c r="L34" s="25">
        <v>0.76056199999999996</v>
      </c>
      <c r="M34" s="40">
        <v>17.818398999999999</v>
      </c>
      <c r="N34" s="25">
        <v>0.81182100000000001</v>
      </c>
      <c r="O34" s="40">
        <v>4.6374659999999999</v>
      </c>
      <c r="P34" s="25">
        <v>0.46641700000000003</v>
      </c>
      <c r="Q34" s="40">
        <v>0.40466299999999999</v>
      </c>
      <c r="R34" s="25">
        <v>0.13844999999999999</v>
      </c>
    </row>
    <row r="35" spans="2:18">
      <c r="B35" s="24" t="s">
        <v>2</v>
      </c>
      <c r="C35" s="40">
        <v>0.57447899999999996</v>
      </c>
      <c r="D35" s="25">
        <v>0.15615100000000001</v>
      </c>
      <c r="E35" s="40">
        <v>3.2124679999999999</v>
      </c>
      <c r="F35" s="25">
        <v>0.41227200000000003</v>
      </c>
      <c r="G35" s="40">
        <v>9.9657610000000005</v>
      </c>
      <c r="H35" s="25">
        <v>0.71231999999999995</v>
      </c>
      <c r="I35" s="40">
        <v>20.733352</v>
      </c>
      <c r="J35" s="25">
        <v>0.86496300000000004</v>
      </c>
      <c r="K35" s="40">
        <v>27.935704999999999</v>
      </c>
      <c r="L35" s="25">
        <v>1.0566679999999999</v>
      </c>
      <c r="M35" s="40">
        <v>25.232301</v>
      </c>
      <c r="N35" s="25">
        <v>0.95902100000000001</v>
      </c>
      <c r="O35" s="40">
        <v>10.556274</v>
      </c>
      <c r="P35" s="25">
        <v>0.74316300000000002</v>
      </c>
      <c r="Q35" s="40">
        <v>1.7896609999999999</v>
      </c>
      <c r="R35" s="25">
        <v>0.30240800000000001</v>
      </c>
    </row>
    <row r="36" spans="2:18">
      <c r="B36" s="24" t="s">
        <v>23</v>
      </c>
      <c r="C36" s="40">
        <v>0.98469899999999999</v>
      </c>
      <c r="D36" s="25">
        <v>0.20704</v>
      </c>
      <c r="E36" s="40">
        <v>5.2848459999999999</v>
      </c>
      <c r="F36" s="25">
        <v>0.54468499999999997</v>
      </c>
      <c r="G36" s="40">
        <v>16.553650000000001</v>
      </c>
      <c r="H36" s="25">
        <v>0.76589200000000002</v>
      </c>
      <c r="I36" s="40">
        <v>29.061948999999998</v>
      </c>
      <c r="J36" s="25">
        <v>0.90294300000000005</v>
      </c>
      <c r="K36" s="40">
        <v>28.557858</v>
      </c>
      <c r="L36" s="25">
        <v>0.78572699999999995</v>
      </c>
      <c r="M36" s="40">
        <v>15.326625</v>
      </c>
      <c r="N36" s="25">
        <v>0.79295000000000004</v>
      </c>
      <c r="O36" s="40">
        <v>3.838384</v>
      </c>
      <c r="P36" s="25">
        <v>0.47200900000000001</v>
      </c>
      <c r="Q36" s="40">
        <v>0.39198899999999998</v>
      </c>
      <c r="R36" s="25">
        <v>0.129108</v>
      </c>
    </row>
    <row r="37" spans="2:18">
      <c r="B37" s="24" t="s">
        <v>32</v>
      </c>
      <c r="C37" s="40">
        <v>1.323016</v>
      </c>
      <c r="D37" s="25">
        <v>0.21981100000000001</v>
      </c>
      <c r="E37" s="40">
        <v>6.6204400000000003</v>
      </c>
      <c r="F37" s="25">
        <v>0.51465000000000005</v>
      </c>
      <c r="G37" s="40">
        <v>16.931419999999999</v>
      </c>
      <c r="H37" s="25">
        <v>0.68192600000000003</v>
      </c>
      <c r="I37" s="40">
        <v>27.825413999999999</v>
      </c>
      <c r="J37" s="25">
        <v>0.85546199999999994</v>
      </c>
      <c r="K37" s="40">
        <v>27.140163000000001</v>
      </c>
      <c r="L37" s="25">
        <v>0.87586200000000003</v>
      </c>
      <c r="M37" s="40">
        <v>15.454090000000001</v>
      </c>
      <c r="N37" s="25">
        <v>0.659412</v>
      </c>
      <c r="O37" s="40">
        <v>4.2192360000000004</v>
      </c>
      <c r="P37" s="25">
        <v>0.37111899999999998</v>
      </c>
      <c r="Q37" s="40">
        <v>0.48622199999999999</v>
      </c>
      <c r="R37" s="25">
        <v>0.13028699999999999</v>
      </c>
    </row>
    <row r="38" spans="2:18">
      <c r="B38" s="24" t="s">
        <v>17</v>
      </c>
      <c r="C38" s="40">
        <v>5.6688039999999997</v>
      </c>
      <c r="D38" s="25">
        <v>0.50456400000000001</v>
      </c>
      <c r="E38" s="40">
        <v>12.117286999999999</v>
      </c>
      <c r="F38" s="25">
        <v>0.68422099999999997</v>
      </c>
      <c r="G38" s="40">
        <v>18.539006000000001</v>
      </c>
      <c r="H38" s="25">
        <v>0.91751899999999997</v>
      </c>
      <c r="I38" s="40">
        <v>23.754283999999998</v>
      </c>
      <c r="J38" s="25">
        <v>0.78282499999999999</v>
      </c>
      <c r="K38" s="40">
        <v>22.205096999999999</v>
      </c>
      <c r="L38" s="25">
        <v>0.91515000000000002</v>
      </c>
      <c r="M38" s="40">
        <v>13.255236999999999</v>
      </c>
      <c r="N38" s="25">
        <v>0.70137799999999995</v>
      </c>
      <c r="O38" s="40">
        <v>3.972353</v>
      </c>
      <c r="P38" s="25">
        <v>0.44717299999999999</v>
      </c>
      <c r="Q38" s="40">
        <v>0.48793199999999998</v>
      </c>
      <c r="R38" s="25">
        <v>0.174404</v>
      </c>
    </row>
    <row r="39" spans="2:18">
      <c r="B39" s="24" t="s">
        <v>3</v>
      </c>
      <c r="C39" s="40">
        <v>3.003533</v>
      </c>
      <c r="D39" s="25">
        <v>0.40357399999999999</v>
      </c>
      <c r="E39" s="40">
        <v>14.208136</v>
      </c>
      <c r="F39" s="25">
        <v>0.92758300000000005</v>
      </c>
      <c r="G39" s="40">
        <v>29.777971999999998</v>
      </c>
      <c r="H39" s="25">
        <v>1.1029</v>
      </c>
      <c r="I39" s="40">
        <v>30.767561000000001</v>
      </c>
      <c r="J39" s="25">
        <v>0.975943</v>
      </c>
      <c r="K39" s="40">
        <v>16.690728</v>
      </c>
      <c r="L39" s="25">
        <v>0.88660499999999998</v>
      </c>
      <c r="M39" s="40">
        <v>4.976648</v>
      </c>
      <c r="N39" s="25">
        <v>0.59966699999999995</v>
      </c>
      <c r="O39" s="40">
        <v>0.55942099999999995</v>
      </c>
      <c r="P39" s="25">
        <v>0.18337899999999999</v>
      </c>
      <c r="Q39" s="40">
        <v>1.6001999999999999E-2</v>
      </c>
      <c r="R39" s="25">
        <v>2.1645999999999999E-2</v>
      </c>
    </row>
    <row r="40" spans="2:18">
      <c r="B40" s="24" t="s">
        <v>13</v>
      </c>
      <c r="C40" s="40">
        <v>3.0565289999999998</v>
      </c>
      <c r="D40" s="25">
        <v>0.27480700000000002</v>
      </c>
      <c r="E40" s="40">
        <v>8.7758099999999999</v>
      </c>
      <c r="F40" s="25">
        <v>0.52918100000000001</v>
      </c>
      <c r="G40" s="40">
        <v>15.641098</v>
      </c>
      <c r="H40" s="25">
        <v>0.65646800000000005</v>
      </c>
      <c r="I40" s="40">
        <v>21.938103999999999</v>
      </c>
      <c r="J40" s="25">
        <v>0.75845300000000004</v>
      </c>
      <c r="K40" s="40">
        <v>24.151233000000001</v>
      </c>
      <c r="L40" s="25">
        <v>0.70225499999999996</v>
      </c>
      <c r="M40" s="40">
        <v>17.709790000000002</v>
      </c>
      <c r="N40" s="25">
        <v>0.76154200000000005</v>
      </c>
      <c r="O40" s="40">
        <v>7.0969410000000002</v>
      </c>
      <c r="P40" s="25">
        <v>0.44763399999999998</v>
      </c>
      <c r="Q40" s="40">
        <v>1.630495</v>
      </c>
      <c r="R40" s="25">
        <v>0.22051999999999999</v>
      </c>
    </row>
    <row r="41" spans="2:18">
      <c r="B41" s="24" t="s">
        <v>27</v>
      </c>
      <c r="C41" s="40">
        <v>1.2469760000000001</v>
      </c>
      <c r="D41" s="25">
        <v>0.247031</v>
      </c>
      <c r="E41" s="40">
        <v>6.023549</v>
      </c>
      <c r="F41" s="25">
        <v>0.49463800000000002</v>
      </c>
      <c r="G41" s="40">
        <v>13.459841000000001</v>
      </c>
      <c r="H41" s="25">
        <v>0.68892100000000001</v>
      </c>
      <c r="I41" s="40">
        <v>21.091692999999999</v>
      </c>
      <c r="J41" s="25">
        <v>0.76991699999999996</v>
      </c>
      <c r="K41" s="40">
        <v>24.802229000000001</v>
      </c>
      <c r="L41" s="25">
        <v>0.92410999999999999</v>
      </c>
      <c r="M41" s="40">
        <v>20.256803999999999</v>
      </c>
      <c r="N41" s="25">
        <v>0.73242499999999999</v>
      </c>
      <c r="O41" s="40">
        <v>10.431117</v>
      </c>
      <c r="P41" s="25">
        <v>0.668964</v>
      </c>
      <c r="Q41" s="40">
        <v>2.687792</v>
      </c>
      <c r="R41" s="25">
        <v>0.27567700000000001</v>
      </c>
    </row>
    <row r="42" spans="2:18">
      <c r="B42" s="24" t="s">
        <v>31</v>
      </c>
      <c r="C42" s="40">
        <v>3.7798889999999998</v>
      </c>
      <c r="D42" s="25">
        <v>0.52738399999999996</v>
      </c>
      <c r="E42" s="40">
        <v>12.486297</v>
      </c>
      <c r="F42" s="25">
        <v>1.143222</v>
      </c>
      <c r="G42" s="40">
        <v>18.317017</v>
      </c>
      <c r="H42" s="25">
        <v>0.85048400000000002</v>
      </c>
      <c r="I42" s="40">
        <v>20.391992999999999</v>
      </c>
      <c r="J42" s="25">
        <v>0.95521100000000003</v>
      </c>
      <c r="K42" s="40">
        <v>21.505486999999999</v>
      </c>
      <c r="L42" s="25">
        <v>1.0559769999999999</v>
      </c>
      <c r="M42" s="40">
        <v>16.566879</v>
      </c>
      <c r="N42" s="25">
        <v>0.949241</v>
      </c>
      <c r="O42" s="40">
        <v>5.9942529999999996</v>
      </c>
      <c r="P42" s="25">
        <v>0.45086900000000002</v>
      </c>
      <c r="Q42" s="40">
        <v>0.95818400000000004</v>
      </c>
      <c r="R42" s="25">
        <v>0.22523099999999999</v>
      </c>
    </row>
    <row r="43" spans="2:18">
      <c r="B43" s="24" t="s">
        <v>35</v>
      </c>
      <c r="C43" s="40">
        <v>1.7241439999999999</v>
      </c>
      <c r="D43" s="25">
        <v>0.29094500000000001</v>
      </c>
      <c r="E43" s="40">
        <v>6.5160130000000001</v>
      </c>
      <c r="F43" s="25">
        <v>0.56011500000000003</v>
      </c>
      <c r="G43" s="40">
        <v>13.985588</v>
      </c>
      <c r="H43" s="25">
        <v>0.71195699999999995</v>
      </c>
      <c r="I43" s="40">
        <v>22.409641000000001</v>
      </c>
      <c r="J43" s="25">
        <v>0.93783099999999997</v>
      </c>
      <c r="K43" s="40">
        <v>26.863520999999999</v>
      </c>
      <c r="L43" s="25">
        <v>1.051887</v>
      </c>
      <c r="M43" s="40">
        <v>19.738910000000001</v>
      </c>
      <c r="N43" s="25">
        <v>0.85950700000000002</v>
      </c>
      <c r="O43" s="40">
        <v>7.5073309999999998</v>
      </c>
      <c r="P43" s="25">
        <v>0.57696199999999997</v>
      </c>
      <c r="Q43" s="40">
        <v>1.25485</v>
      </c>
      <c r="R43" s="25">
        <v>0.22992899999999999</v>
      </c>
    </row>
    <row r="44" spans="2:18">
      <c r="B44" s="24" t="s">
        <v>36</v>
      </c>
      <c r="C44" s="40">
        <v>1.3098270000000001</v>
      </c>
      <c r="D44" s="25">
        <v>0.309031</v>
      </c>
      <c r="E44" s="40">
        <v>6.040883</v>
      </c>
      <c r="F44" s="25">
        <v>0.526366</v>
      </c>
      <c r="G44" s="40">
        <v>15.792697</v>
      </c>
      <c r="H44" s="25">
        <v>0.71411400000000003</v>
      </c>
      <c r="I44" s="40">
        <v>26.833286000000001</v>
      </c>
      <c r="J44" s="25">
        <v>0.75910900000000003</v>
      </c>
      <c r="K44" s="40">
        <v>28.490739999999999</v>
      </c>
      <c r="L44" s="25">
        <v>0.92029700000000003</v>
      </c>
      <c r="M44" s="40">
        <v>16.831506999999998</v>
      </c>
      <c r="N44" s="25">
        <v>0.77003299999999997</v>
      </c>
      <c r="O44" s="40">
        <v>4.3019860000000003</v>
      </c>
      <c r="P44" s="25">
        <v>0.40682000000000001</v>
      </c>
      <c r="Q44" s="40">
        <v>0.39907300000000001</v>
      </c>
      <c r="R44" s="25">
        <v>0.10632800000000001</v>
      </c>
    </row>
    <row r="45" spans="2:18">
      <c r="B45" s="24" t="s">
        <v>38</v>
      </c>
      <c r="C45" s="40">
        <v>1.5274319999999999</v>
      </c>
      <c r="D45" s="25">
        <v>0.29287000000000002</v>
      </c>
      <c r="E45" s="40">
        <v>5.3435779999999999</v>
      </c>
      <c r="F45" s="25">
        <v>0.46049400000000001</v>
      </c>
      <c r="G45" s="40">
        <v>13.267984999999999</v>
      </c>
      <c r="H45" s="25">
        <v>0.59971799999999997</v>
      </c>
      <c r="I45" s="40">
        <v>23.869294</v>
      </c>
      <c r="J45" s="25">
        <v>0.708843</v>
      </c>
      <c r="K45" s="40">
        <v>26.411490000000001</v>
      </c>
      <c r="L45" s="25">
        <v>0.83731299999999997</v>
      </c>
      <c r="M45" s="40">
        <v>19.489132000000001</v>
      </c>
      <c r="N45" s="25">
        <v>0.66182399999999997</v>
      </c>
      <c r="O45" s="40">
        <v>7.8795120000000001</v>
      </c>
      <c r="P45" s="25">
        <v>0.51399700000000004</v>
      </c>
      <c r="Q45" s="40">
        <v>2.211576</v>
      </c>
      <c r="R45" s="25">
        <v>0.29968099999999998</v>
      </c>
    </row>
    <row r="46" spans="2:18">
      <c r="B46" s="24" t="s">
        <v>84</v>
      </c>
      <c r="C46" s="40">
        <v>0.92430500000000004</v>
      </c>
      <c r="D46" s="25">
        <v>0.159638</v>
      </c>
      <c r="E46" s="40">
        <v>5.0342089999999997</v>
      </c>
      <c r="F46" s="25">
        <v>0.44753300000000001</v>
      </c>
      <c r="G46" s="40">
        <v>15.388137</v>
      </c>
      <c r="H46" s="25">
        <v>0.63205999999999996</v>
      </c>
      <c r="I46" s="40">
        <v>24.780331</v>
      </c>
      <c r="J46" s="25">
        <v>0.75354299999999996</v>
      </c>
      <c r="K46" s="40">
        <v>26.985568000000001</v>
      </c>
      <c r="L46" s="25">
        <v>0.76094899999999999</v>
      </c>
      <c r="M46" s="40">
        <v>18.827051000000001</v>
      </c>
      <c r="N46" s="25">
        <v>0.764872</v>
      </c>
      <c r="O46" s="40">
        <v>6.9203539999999997</v>
      </c>
      <c r="P46" s="25">
        <v>0.40984599999999999</v>
      </c>
      <c r="Q46" s="40">
        <v>1.1400459999999999</v>
      </c>
      <c r="R46" s="25">
        <v>0.21582399999999999</v>
      </c>
    </row>
    <row r="47" spans="2:18">
      <c r="B47" s="24" t="s">
        <v>85</v>
      </c>
      <c r="C47" s="40">
        <v>4.265968</v>
      </c>
      <c r="D47" s="25">
        <v>0.49154700000000001</v>
      </c>
      <c r="E47" s="40">
        <v>11.267607999999999</v>
      </c>
      <c r="F47" s="25">
        <v>0.81025100000000005</v>
      </c>
      <c r="G47" s="40">
        <v>19.915780000000002</v>
      </c>
      <c r="H47" s="25">
        <v>0.84367300000000001</v>
      </c>
      <c r="I47" s="40">
        <v>24.970672</v>
      </c>
      <c r="J47" s="25">
        <v>0.87832299999999996</v>
      </c>
      <c r="K47" s="40">
        <v>23.015438</v>
      </c>
      <c r="L47" s="25">
        <v>0.83635199999999998</v>
      </c>
      <c r="M47" s="40">
        <v>13.156539</v>
      </c>
      <c r="N47" s="25">
        <v>0.73110399999999998</v>
      </c>
      <c r="O47" s="40">
        <v>3.109273</v>
      </c>
      <c r="P47" s="25">
        <v>0.30631399999999998</v>
      </c>
      <c r="Q47" s="40">
        <v>0.29872199999999999</v>
      </c>
      <c r="R47" s="25">
        <v>0.10997700000000001</v>
      </c>
    </row>
    <row r="48" spans="2:18">
      <c r="B48" s="24" t="s">
        <v>33</v>
      </c>
      <c r="C48" s="40">
        <v>4.9262030000000001</v>
      </c>
      <c r="D48" s="25">
        <v>0.45863500000000001</v>
      </c>
      <c r="E48" s="40">
        <v>13.621212</v>
      </c>
      <c r="F48" s="25">
        <v>0.90264</v>
      </c>
      <c r="G48" s="40">
        <v>23.170961999999999</v>
      </c>
      <c r="H48" s="25">
        <v>1.1629879999999999</v>
      </c>
      <c r="I48" s="40">
        <v>26.583932000000001</v>
      </c>
      <c r="J48" s="25">
        <v>0.97962000000000005</v>
      </c>
      <c r="K48" s="40">
        <v>20.621413</v>
      </c>
      <c r="L48" s="25">
        <v>1.1012010000000001</v>
      </c>
      <c r="M48" s="40">
        <v>9.0580409999999993</v>
      </c>
      <c r="N48" s="25">
        <v>0.81648699999999996</v>
      </c>
      <c r="O48" s="40">
        <v>1.9095979999999999</v>
      </c>
      <c r="P48" s="25">
        <v>0.37507400000000002</v>
      </c>
      <c r="Q48" s="40">
        <v>0.10864</v>
      </c>
      <c r="R48" s="25">
        <v>4.9528000000000003E-2</v>
      </c>
    </row>
    <row r="49" spans="2:18">
      <c r="B49" s="24" t="s">
        <v>22</v>
      </c>
      <c r="C49" s="40">
        <v>2.3290109999999999</v>
      </c>
      <c r="D49" s="25">
        <v>0.30032900000000001</v>
      </c>
      <c r="E49" s="40">
        <v>7.3640049999999997</v>
      </c>
      <c r="F49" s="25">
        <v>0.49419999999999997</v>
      </c>
      <c r="G49" s="40">
        <v>14.578905000000001</v>
      </c>
      <c r="H49" s="25">
        <v>0.56295399999999995</v>
      </c>
      <c r="I49" s="40">
        <v>21.546862999999998</v>
      </c>
      <c r="J49" s="25">
        <v>0.79668700000000003</v>
      </c>
      <c r="K49" s="40">
        <v>24.668599</v>
      </c>
      <c r="L49" s="25">
        <v>0.97611800000000004</v>
      </c>
      <c r="M49" s="40">
        <v>19.295376000000001</v>
      </c>
      <c r="N49" s="25">
        <v>0.86597999999999997</v>
      </c>
      <c r="O49" s="40">
        <v>8.4068170000000002</v>
      </c>
      <c r="P49" s="25">
        <v>0.60963199999999995</v>
      </c>
      <c r="Q49" s="40">
        <v>1.810424</v>
      </c>
      <c r="R49" s="25">
        <v>0.344698</v>
      </c>
    </row>
    <row r="50" spans="2:18">
      <c r="B50" s="24" t="s">
        <v>24</v>
      </c>
      <c r="C50" s="40">
        <v>1.6400049999999999</v>
      </c>
      <c r="D50" s="25">
        <v>0.22981799999999999</v>
      </c>
      <c r="E50" s="40">
        <v>6.8176399999999999</v>
      </c>
      <c r="F50" s="25">
        <v>0.46404899999999999</v>
      </c>
      <c r="G50" s="40">
        <v>16.162246</v>
      </c>
      <c r="H50" s="25">
        <v>0.72750800000000004</v>
      </c>
      <c r="I50" s="40">
        <v>23.512163999999999</v>
      </c>
      <c r="J50" s="25">
        <v>0.79266499999999995</v>
      </c>
      <c r="K50" s="40">
        <v>24.681114000000001</v>
      </c>
      <c r="L50" s="25">
        <v>0.87868100000000005</v>
      </c>
      <c r="M50" s="40">
        <v>18.631581000000001</v>
      </c>
      <c r="N50" s="25">
        <v>0.78008699999999997</v>
      </c>
      <c r="O50" s="40">
        <v>7.1777920000000002</v>
      </c>
      <c r="P50" s="25">
        <v>0.54801800000000001</v>
      </c>
      <c r="Q50" s="40">
        <v>1.377459</v>
      </c>
      <c r="R50" s="25">
        <v>0.17444899999999999</v>
      </c>
    </row>
    <row r="51" spans="2:18">
      <c r="B51" s="24" t="s">
        <v>30</v>
      </c>
      <c r="C51" s="40">
        <v>1.1247069999999999</v>
      </c>
      <c r="D51" s="25">
        <v>0.19010199999999999</v>
      </c>
      <c r="E51" s="40">
        <v>7.5218809999999996</v>
      </c>
      <c r="F51" s="25">
        <v>0.50484099999999998</v>
      </c>
      <c r="G51" s="40">
        <v>20.616222</v>
      </c>
      <c r="H51" s="25">
        <v>0.79815499999999995</v>
      </c>
      <c r="I51" s="40">
        <v>30.505583999999999</v>
      </c>
      <c r="J51" s="25">
        <v>0.88787899999999997</v>
      </c>
      <c r="K51" s="40">
        <v>26.361312999999999</v>
      </c>
      <c r="L51" s="25">
        <v>0.84270400000000001</v>
      </c>
      <c r="M51" s="40">
        <v>12.009696</v>
      </c>
      <c r="N51" s="25">
        <v>0.59655100000000005</v>
      </c>
      <c r="O51" s="40">
        <v>1.8122739999999999</v>
      </c>
      <c r="P51" s="25">
        <v>0.208397</v>
      </c>
      <c r="Q51" s="40">
        <v>4.8322999999999998E-2</v>
      </c>
      <c r="R51" s="25">
        <v>4.2219E-2</v>
      </c>
    </row>
    <row r="52" spans="2:18">
      <c r="B52" s="24"/>
      <c r="C52" s="40"/>
      <c r="D52" s="25"/>
      <c r="E52" s="40"/>
      <c r="F52" s="25"/>
      <c r="G52" s="40"/>
      <c r="H52" s="25"/>
      <c r="I52" s="40"/>
      <c r="J52" s="25"/>
      <c r="K52" s="40"/>
      <c r="L52" s="25"/>
      <c r="M52" s="40"/>
      <c r="N52" s="25"/>
      <c r="O52" s="40"/>
      <c r="P52" s="25"/>
      <c r="Q52" s="40"/>
      <c r="R52" s="25"/>
    </row>
    <row r="53" spans="2:18">
      <c r="B53" s="24" t="s">
        <v>39</v>
      </c>
      <c r="C53" s="40">
        <v>2.0809679999999999</v>
      </c>
      <c r="D53" s="25">
        <v>5.0658000000000002E-2</v>
      </c>
      <c r="E53" s="40">
        <v>7.5710920000000002</v>
      </c>
      <c r="F53" s="25">
        <v>9.6128000000000005E-2</v>
      </c>
      <c r="G53" s="40">
        <v>16.600628</v>
      </c>
      <c r="H53" s="25">
        <v>0.12328699999999999</v>
      </c>
      <c r="I53" s="40">
        <v>24.370419999999999</v>
      </c>
      <c r="J53" s="25">
        <v>0.137212</v>
      </c>
      <c r="K53" s="40">
        <v>25.308706000000001</v>
      </c>
      <c r="L53" s="25">
        <v>0.144035</v>
      </c>
      <c r="M53" s="40">
        <v>16.884211000000001</v>
      </c>
      <c r="N53" s="25">
        <v>0.12567700000000001</v>
      </c>
      <c r="O53" s="40">
        <v>6.0287519999999999</v>
      </c>
      <c r="P53" s="25">
        <v>8.0263000000000001E-2</v>
      </c>
      <c r="Q53" s="40">
        <v>1.155224</v>
      </c>
      <c r="R53" s="25">
        <v>3.6941000000000002E-2</v>
      </c>
    </row>
    <row r="54" spans="2:18">
      <c r="B54" s="24" t="s">
        <v>40</v>
      </c>
      <c r="C54" s="40">
        <v>2.198569</v>
      </c>
      <c r="D54" s="25">
        <v>9.6547999999999995E-2</v>
      </c>
      <c r="E54" s="40">
        <v>7.5897290000000002</v>
      </c>
      <c r="F54" s="25">
        <v>0.176042</v>
      </c>
      <c r="G54" s="40">
        <v>16.264327000000002</v>
      </c>
      <c r="H54" s="25">
        <v>0.24034</v>
      </c>
      <c r="I54" s="40">
        <v>24.391117000000001</v>
      </c>
      <c r="J54" s="25">
        <v>0.26205299999999998</v>
      </c>
      <c r="K54" s="40">
        <v>25.986872999999999</v>
      </c>
      <c r="L54" s="25">
        <v>0.254083</v>
      </c>
      <c r="M54" s="40">
        <v>17.002555000000001</v>
      </c>
      <c r="N54" s="25">
        <v>0.24865999999999999</v>
      </c>
      <c r="O54" s="40">
        <v>5.6725329999999996</v>
      </c>
      <c r="P54" s="25">
        <v>0.15581900000000001</v>
      </c>
      <c r="Q54" s="40">
        <v>0.89429599999999998</v>
      </c>
      <c r="R54" s="25">
        <v>4.9786999999999998E-2</v>
      </c>
    </row>
    <row r="55" spans="2:18">
      <c r="B55" s="24"/>
      <c r="C55" s="40"/>
      <c r="D55" s="25"/>
      <c r="E55" s="40"/>
      <c r="F55" s="25"/>
      <c r="G55" s="40"/>
      <c r="H55" s="25"/>
      <c r="I55" s="40"/>
      <c r="J55" s="25"/>
      <c r="K55" s="40"/>
      <c r="L55" s="25"/>
      <c r="M55" s="40"/>
      <c r="N55" s="25"/>
      <c r="O55" s="40"/>
      <c r="P55" s="25"/>
      <c r="Q55" s="40"/>
      <c r="R55" s="25"/>
    </row>
    <row r="56" spans="2:18">
      <c r="B56" s="24" t="s">
        <v>43</v>
      </c>
      <c r="C56" s="40">
        <v>1.9810760000000001</v>
      </c>
      <c r="D56" s="25">
        <v>0.47256999999999999</v>
      </c>
      <c r="E56" s="40">
        <v>8.1467679999999998</v>
      </c>
      <c r="F56" s="25">
        <v>1.0100100000000001</v>
      </c>
      <c r="G56" s="40">
        <v>19.296914999999998</v>
      </c>
      <c r="H56" s="25">
        <v>1.7377499999999999</v>
      </c>
      <c r="I56" s="40">
        <v>27.546742999999999</v>
      </c>
      <c r="J56" s="25">
        <v>1.572144</v>
      </c>
      <c r="K56" s="40">
        <v>25.528206999999998</v>
      </c>
      <c r="L56" s="25">
        <v>1.6944269999999999</v>
      </c>
      <c r="M56" s="40">
        <v>13.320874</v>
      </c>
      <c r="N56" s="25">
        <v>1.3964080000000001</v>
      </c>
      <c r="O56" s="40">
        <v>3.7104309999999998</v>
      </c>
      <c r="P56" s="25">
        <v>0.72834399999999999</v>
      </c>
      <c r="Q56" s="40">
        <v>0.46898699999999999</v>
      </c>
      <c r="R56" s="25">
        <v>0.21635099999999999</v>
      </c>
    </row>
    <row r="57" spans="2:18">
      <c r="B57" s="24" t="s">
        <v>44</v>
      </c>
      <c r="C57" s="40">
        <v>1.1967110000000001</v>
      </c>
      <c r="D57" s="25">
        <v>0.43276300000000001</v>
      </c>
      <c r="E57" s="40">
        <v>4.9851150000000004</v>
      </c>
      <c r="F57" s="25">
        <v>0.88837600000000005</v>
      </c>
      <c r="G57" s="40">
        <v>13.546396</v>
      </c>
      <c r="H57" s="25">
        <v>1.412247</v>
      </c>
      <c r="I57" s="40">
        <v>24.869318</v>
      </c>
      <c r="J57" s="25">
        <v>2.0807579999999999</v>
      </c>
      <c r="K57" s="40">
        <v>30.281936999999999</v>
      </c>
      <c r="L57" s="25">
        <v>2.1771189999999998</v>
      </c>
      <c r="M57" s="40">
        <v>18.618124999999999</v>
      </c>
      <c r="N57" s="25">
        <v>1.7224010000000001</v>
      </c>
      <c r="O57" s="40">
        <v>5.8802500000000002</v>
      </c>
      <c r="P57" s="25">
        <v>0.97881399999999996</v>
      </c>
      <c r="Q57" s="40">
        <v>0.62214800000000003</v>
      </c>
      <c r="R57" s="25">
        <v>0.32072400000000001</v>
      </c>
    </row>
    <row r="58" spans="2:18">
      <c r="B58" s="24" t="s">
        <v>175</v>
      </c>
      <c r="C58" s="40">
        <v>0.77470899999999998</v>
      </c>
      <c r="D58" s="25">
        <v>0.28570499999999999</v>
      </c>
      <c r="E58" s="40">
        <v>4.5035920000000003</v>
      </c>
      <c r="F58" s="25">
        <v>0.79609200000000002</v>
      </c>
      <c r="G58" s="40">
        <v>12.299585</v>
      </c>
      <c r="H58" s="25">
        <v>1.3695870000000001</v>
      </c>
      <c r="I58" s="40">
        <v>22.875834000000001</v>
      </c>
      <c r="J58" s="25">
        <v>1.3211219999999999</v>
      </c>
      <c r="K58" s="40">
        <v>30.539027999999998</v>
      </c>
      <c r="L58" s="25">
        <v>1.28017</v>
      </c>
      <c r="M58" s="40">
        <v>21.391470999999999</v>
      </c>
      <c r="N58" s="25">
        <v>1.6265609999999999</v>
      </c>
      <c r="O58" s="40">
        <v>6.676882</v>
      </c>
      <c r="P58" s="25">
        <v>0.94595499999999999</v>
      </c>
      <c r="Q58" s="40">
        <v>0.93889900000000004</v>
      </c>
      <c r="R58" s="25">
        <v>0.423429</v>
      </c>
    </row>
    <row r="59" spans="2:18">
      <c r="B59" s="24" t="s">
        <v>57</v>
      </c>
      <c r="C59" s="40">
        <v>1.140007</v>
      </c>
      <c r="D59" s="25">
        <v>0.40660600000000002</v>
      </c>
      <c r="E59" s="40">
        <v>6.3485680000000002</v>
      </c>
      <c r="F59" s="25">
        <v>1.088821</v>
      </c>
      <c r="G59" s="40">
        <v>17.460802000000001</v>
      </c>
      <c r="H59" s="25">
        <v>1.3605959999999999</v>
      </c>
      <c r="I59" s="40">
        <v>27.673522999999999</v>
      </c>
      <c r="J59" s="25">
        <v>1.703246</v>
      </c>
      <c r="K59" s="40">
        <v>27.807988000000002</v>
      </c>
      <c r="L59" s="25">
        <v>1.526988</v>
      </c>
      <c r="M59" s="40">
        <v>15.027009</v>
      </c>
      <c r="N59" s="25">
        <v>1.4996689999999999</v>
      </c>
      <c r="O59" s="40">
        <v>4.1179399999999999</v>
      </c>
      <c r="P59" s="25">
        <v>0.83533900000000005</v>
      </c>
      <c r="Q59" s="40">
        <v>0.42416300000000001</v>
      </c>
      <c r="R59" s="25">
        <v>0.294456</v>
      </c>
    </row>
    <row r="60" spans="2:18">
      <c r="B60" s="24" t="s">
        <v>176</v>
      </c>
      <c r="C60" s="40">
        <v>1.389815</v>
      </c>
      <c r="D60" s="25">
        <v>0.42222799999999999</v>
      </c>
      <c r="E60" s="40">
        <v>5.4761049999999996</v>
      </c>
      <c r="F60" s="25">
        <v>0.896652</v>
      </c>
      <c r="G60" s="40">
        <v>14.580833</v>
      </c>
      <c r="H60" s="25">
        <v>1.388471</v>
      </c>
      <c r="I60" s="40">
        <v>26.483176</v>
      </c>
      <c r="J60" s="25">
        <v>1.638064</v>
      </c>
      <c r="K60" s="40">
        <v>28.625121</v>
      </c>
      <c r="L60" s="25">
        <v>1.532945</v>
      </c>
      <c r="M60" s="40">
        <v>17.810504000000002</v>
      </c>
      <c r="N60" s="25">
        <v>1.303113</v>
      </c>
      <c r="O60" s="40">
        <v>4.8941160000000004</v>
      </c>
      <c r="P60" s="25">
        <v>0.83386000000000005</v>
      </c>
      <c r="Q60" s="40">
        <v>0.74033000000000004</v>
      </c>
      <c r="R60" s="25">
        <v>0.25991300000000001</v>
      </c>
    </row>
    <row r="61" spans="2:18">
      <c r="B61" s="24" t="s">
        <v>46</v>
      </c>
      <c r="C61" s="40">
        <v>1.744737</v>
      </c>
      <c r="D61" s="25">
        <v>0.52600899999999995</v>
      </c>
      <c r="E61" s="40">
        <v>7.063148</v>
      </c>
      <c r="F61" s="25">
        <v>1.0060260000000001</v>
      </c>
      <c r="G61" s="40">
        <v>18.730843</v>
      </c>
      <c r="H61" s="25">
        <v>1.4328959999999999</v>
      </c>
      <c r="I61" s="40">
        <v>28.987583999999998</v>
      </c>
      <c r="J61" s="25">
        <v>1.59924</v>
      </c>
      <c r="K61" s="40">
        <v>26.819527000000001</v>
      </c>
      <c r="L61" s="25">
        <v>1.5774699999999999</v>
      </c>
      <c r="M61" s="40">
        <v>12.908393</v>
      </c>
      <c r="N61" s="25">
        <v>1.44906</v>
      </c>
      <c r="O61" s="40">
        <v>3.3222939999999999</v>
      </c>
      <c r="P61" s="25">
        <v>0.76915</v>
      </c>
      <c r="Q61" s="40">
        <v>0.42347400000000002</v>
      </c>
      <c r="R61" s="25">
        <v>0.22416800000000001</v>
      </c>
    </row>
    <row r="62" spans="2:18">
      <c r="B62" s="24" t="s">
        <v>47</v>
      </c>
      <c r="C62" s="40">
        <v>0.82281800000000005</v>
      </c>
      <c r="D62" s="25">
        <v>0.31343900000000002</v>
      </c>
      <c r="E62" s="40">
        <v>4.1317539999999999</v>
      </c>
      <c r="F62" s="25">
        <v>0.801701</v>
      </c>
      <c r="G62" s="40">
        <v>11.761035</v>
      </c>
      <c r="H62" s="25">
        <v>1.35199</v>
      </c>
      <c r="I62" s="40">
        <v>25.815677999999998</v>
      </c>
      <c r="J62" s="25">
        <v>1.4627509999999999</v>
      </c>
      <c r="K62" s="40">
        <v>30.764890000000001</v>
      </c>
      <c r="L62" s="25">
        <v>1.593299</v>
      </c>
      <c r="M62" s="40">
        <v>20.007989999999999</v>
      </c>
      <c r="N62" s="25">
        <v>1.7738959999999999</v>
      </c>
      <c r="O62" s="40">
        <v>5.9601670000000002</v>
      </c>
      <c r="P62" s="25">
        <v>1.2693909999999999</v>
      </c>
      <c r="Q62" s="40">
        <v>0.73566799999999999</v>
      </c>
      <c r="R62" s="25">
        <v>0.24444299999999999</v>
      </c>
    </row>
    <row r="63" spans="2:18">
      <c r="B63" s="24" t="s">
        <v>48</v>
      </c>
      <c r="C63" s="40">
        <v>0.62658599999999998</v>
      </c>
      <c r="D63" s="25">
        <v>0.31797900000000001</v>
      </c>
      <c r="E63" s="40">
        <v>3.8619189999999999</v>
      </c>
      <c r="F63" s="25">
        <v>0.69746799999999998</v>
      </c>
      <c r="G63" s="40">
        <v>11.634646</v>
      </c>
      <c r="H63" s="25">
        <v>1.1049910000000001</v>
      </c>
      <c r="I63" s="40">
        <v>25.160339</v>
      </c>
      <c r="J63" s="25">
        <v>1.646625</v>
      </c>
      <c r="K63" s="40">
        <v>30.166708</v>
      </c>
      <c r="L63" s="25">
        <v>1.4971779999999999</v>
      </c>
      <c r="M63" s="40">
        <v>20.745286</v>
      </c>
      <c r="N63" s="25">
        <v>1.3404700000000001</v>
      </c>
      <c r="O63" s="40">
        <v>6.8482690000000002</v>
      </c>
      <c r="P63" s="25">
        <v>1.053417</v>
      </c>
      <c r="Q63" s="40">
        <v>0.95624699999999996</v>
      </c>
      <c r="R63" s="25">
        <v>0.28910000000000002</v>
      </c>
    </row>
    <row r="64" spans="2:18">
      <c r="B64" s="24" t="s">
        <v>49</v>
      </c>
      <c r="C64" s="40">
        <v>1.2430270000000001</v>
      </c>
      <c r="D64" s="25">
        <v>0.38242900000000002</v>
      </c>
      <c r="E64" s="40">
        <v>5.9618219999999997</v>
      </c>
      <c r="F64" s="25">
        <v>0.99090599999999995</v>
      </c>
      <c r="G64" s="40">
        <v>17.990583000000001</v>
      </c>
      <c r="H64" s="25">
        <v>1.3167340000000001</v>
      </c>
      <c r="I64" s="40">
        <v>29.624264</v>
      </c>
      <c r="J64" s="25">
        <v>1.4695339999999999</v>
      </c>
      <c r="K64" s="40">
        <v>27.836856999999998</v>
      </c>
      <c r="L64" s="25">
        <v>1.4934160000000001</v>
      </c>
      <c r="M64" s="40">
        <v>13.864376</v>
      </c>
      <c r="N64" s="25">
        <v>1.587383</v>
      </c>
      <c r="O64" s="40">
        <v>3.0929199999999999</v>
      </c>
      <c r="P64" s="25">
        <v>0.61914499999999995</v>
      </c>
      <c r="Q64" s="40">
        <v>0.38614999999999999</v>
      </c>
      <c r="R64" s="25">
        <v>0.205069</v>
      </c>
    </row>
    <row r="65" spans="2:18">
      <c r="B65" s="24" t="s">
        <v>50</v>
      </c>
      <c r="C65" s="40">
        <v>2.7138520000000002</v>
      </c>
      <c r="D65" s="25">
        <v>0.69440599999999997</v>
      </c>
      <c r="E65" s="40">
        <v>8.473687</v>
      </c>
      <c r="F65" s="25">
        <v>1.293952</v>
      </c>
      <c r="G65" s="40">
        <v>17.946192</v>
      </c>
      <c r="H65" s="25">
        <v>1.7001820000000001</v>
      </c>
      <c r="I65" s="40">
        <v>26.696555</v>
      </c>
      <c r="J65" s="25">
        <v>1.637527</v>
      </c>
      <c r="K65" s="40">
        <v>24.669975000000001</v>
      </c>
      <c r="L65" s="25">
        <v>1.406382</v>
      </c>
      <c r="M65" s="40">
        <v>14.626111</v>
      </c>
      <c r="N65" s="25">
        <v>1.6362490000000001</v>
      </c>
      <c r="O65" s="40">
        <v>4.2887769999999996</v>
      </c>
      <c r="P65" s="25">
        <v>0.68511900000000003</v>
      </c>
      <c r="Q65" s="40">
        <v>0.58484999999999998</v>
      </c>
      <c r="R65" s="25">
        <v>0.20485700000000001</v>
      </c>
    </row>
    <row r="66" spans="2:18">
      <c r="B66" s="24" t="s">
        <v>51</v>
      </c>
      <c r="C66" s="40">
        <v>5.5097230000000001</v>
      </c>
      <c r="D66" s="25">
        <v>2.6343239999999999</v>
      </c>
      <c r="E66" s="40">
        <v>16.713418000000001</v>
      </c>
      <c r="F66" s="25">
        <v>3.6619429999999999</v>
      </c>
      <c r="G66" s="40">
        <v>30.097652</v>
      </c>
      <c r="H66" s="25">
        <v>4.3381759999999998</v>
      </c>
      <c r="I66" s="40">
        <v>26.812712999999999</v>
      </c>
      <c r="J66" s="25">
        <v>3.7395049999999999</v>
      </c>
      <c r="K66" s="40">
        <v>15.414145</v>
      </c>
      <c r="L66" s="25">
        <v>3.0358740000000002</v>
      </c>
      <c r="M66" s="40">
        <v>4.848509</v>
      </c>
      <c r="N66" s="25">
        <v>2.045264</v>
      </c>
      <c r="O66" s="40">
        <v>0.60384000000000004</v>
      </c>
      <c r="P66" s="25">
        <v>0.56120199999999998</v>
      </c>
      <c r="Q66" s="40">
        <v>0</v>
      </c>
      <c r="R66" s="25">
        <v>0</v>
      </c>
    </row>
    <row r="67" spans="2:18">
      <c r="B67" s="24" t="s">
        <v>41</v>
      </c>
      <c r="C67" s="40">
        <v>1.473455</v>
      </c>
      <c r="D67" s="25">
        <v>0.443046</v>
      </c>
      <c r="E67" s="40">
        <v>6.7393590000000003</v>
      </c>
      <c r="F67" s="25">
        <v>1.062638</v>
      </c>
      <c r="G67" s="40">
        <v>17.695395999999999</v>
      </c>
      <c r="H67" s="25">
        <v>1.9031260000000001</v>
      </c>
      <c r="I67" s="40">
        <v>28.456952000000001</v>
      </c>
      <c r="J67" s="25">
        <v>1.721506</v>
      </c>
      <c r="K67" s="40">
        <v>26.978527</v>
      </c>
      <c r="L67" s="25">
        <v>1.7146520000000001</v>
      </c>
      <c r="M67" s="40">
        <v>14.399898</v>
      </c>
      <c r="N67" s="25">
        <v>1.836643</v>
      </c>
      <c r="O67" s="40">
        <v>3.8841169999999998</v>
      </c>
      <c r="P67" s="25">
        <v>0.81647400000000003</v>
      </c>
      <c r="Q67" s="40">
        <v>0.37229699999999999</v>
      </c>
      <c r="R67" s="25">
        <v>0.21840100000000001</v>
      </c>
    </row>
    <row r="68" spans="2:18">
      <c r="B68" s="24" t="s">
        <v>42</v>
      </c>
      <c r="C68" s="40">
        <v>1.147157</v>
      </c>
      <c r="D68" s="25">
        <v>0.42382900000000001</v>
      </c>
      <c r="E68" s="40">
        <v>4.834422</v>
      </c>
      <c r="F68" s="25">
        <v>0.83422499999999999</v>
      </c>
      <c r="G68" s="40">
        <v>12.818431</v>
      </c>
      <c r="H68" s="25">
        <v>1.1734370000000001</v>
      </c>
      <c r="I68" s="40">
        <v>26.975158</v>
      </c>
      <c r="J68" s="25">
        <v>1.4555</v>
      </c>
      <c r="K68" s="40">
        <v>30.925605000000001</v>
      </c>
      <c r="L68" s="25">
        <v>1.611372</v>
      </c>
      <c r="M68" s="40">
        <v>17.85136</v>
      </c>
      <c r="N68" s="25">
        <v>1.397859</v>
      </c>
      <c r="O68" s="40">
        <v>4.8872419999999996</v>
      </c>
      <c r="P68" s="25">
        <v>0.797871</v>
      </c>
      <c r="Q68" s="40">
        <v>0.56062400000000001</v>
      </c>
      <c r="R68" s="25">
        <v>0.22228400000000001</v>
      </c>
    </row>
    <row r="69" spans="2:18">
      <c r="B69" s="24" t="s">
        <v>177</v>
      </c>
      <c r="C69" s="40">
        <v>1.122247</v>
      </c>
      <c r="D69" s="25">
        <v>0.42613299999999998</v>
      </c>
      <c r="E69" s="40">
        <v>4.312786</v>
      </c>
      <c r="F69" s="25">
        <v>0.78489900000000001</v>
      </c>
      <c r="G69" s="40">
        <v>12.051971999999999</v>
      </c>
      <c r="H69" s="25">
        <v>1.0198560000000001</v>
      </c>
      <c r="I69" s="40">
        <v>23.626124999999998</v>
      </c>
      <c r="J69" s="25">
        <v>1.3466419999999999</v>
      </c>
      <c r="K69" s="40">
        <v>30.446228000000001</v>
      </c>
      <c r="L69" s="25">
        <v>1.3619380000000001</v>
      </c>
      <c r="M69" s="40">
        <v>20.597759</v>
      </c>
      <c r="N69" s="25">
        <v>1.27291</v>
      </c>
      <c r="O69" s="40">
        <v>6.7946140000000002</v>
      </c>
      <c r="P69" s="25">
        <v>0.92787299999999995</v>
      </c>
      <c r="Q69" s="40">
        <v>1.0482689999999999</v>
      </c>
      <c r="R69" s="25">
        <v>0.289632</v>
      </c>
    </row>
    <row r="70" spans="2:18">
      <c r="B70" s="24" t="s">
        <v>53</v>
      </c>
      <c r="C70" s="40">
        <v>6.2326009999999998</v>
      </c>
      <c r="D70" s="25">
        <v>2.408325</v>
      </c>
      <c r="E70" s="40">
        <v>19.103691000000001</v>
      </c>
      <c r="F70" s="25">
        <v>4.8122340000000001</v>
      </c>
      <c r="G70" s="40">
        <v>28.736229000000002</v>
      </c>
      <c r="H70" s="25">
        <v>4.2698929999999997</v>
      </c>
      <c r="I70" s="40">
        <v>23.469363000000001</v>
      </c>
      <c r="J70" s="25">
        <v>3.2939530000000001</v>
      </c>
      <c r="K70" s="40">
        <v>14.537993999999999</v>
      </c>
      <c r="L70" s="25">
        <v>2.6223010000000002</v>
      </c>
      <c r="M70" s="40">
        <v>5.922917</v>
      </c>
      <c r="N70" s="25">
        <v>1.9675689999999999</v>
      </c>
      <c r="O70" s="40">
        <v>1.722942</v>
      </c>
      <c r="P70" s="25">
        <v>1.1606069999999999</v>
      </c>
      <c r="Q70" s="40">
        <v>0.27426299999999998</v>
      </c>
      <c r="R70" s="25">
        <v>0.47969499999999998</v>
      </c>
    </row>
    <row r="71" spans="2:18">
      <c r="B71" s="24" t="s">
        <v>178</v>
      </c>
      <c r="C71" s="40">
        <v>1.7121820000000001</v>
      </c>
      <c r="D71" s="25">
        <v>0.49618600000000002</v>
      </c>
      <c r="E71" s="40">
        <v>7.0751150000000003</v>
      </c>
      <c r="F71" s="25">
        <v>0.98405900000000002</v>
      </c>
      <c r="G71" s="40">
        <v>17.774564999999999</v>
      </c>
      <c r="H71" s="25">
        <v>1.467919</v>
      </c>
      <c r="I71" s="40">
        <v>26.853390999999998</v>
      </c>
      <c r="J71" s="25">
        <v>1.4477519999999999</v>
      </c>
      <c r="K71" s="40">
        <v>27.131610999999999</v>
      </c>
      <c r="L71" s="25">
        <v>1.839178</v>
      </c>
      <c r="M71" s="40">
        <v>14.950538</v>
      </c>
      <c r="N71" s="25">
        <v>1.298943</v>
      </c>
      <c r="O71" s="40">
        <v>4.1462399999999997</v>
      </c>
      <c r="P71" s="25">
        <v>0.77183900000000005</v>
      </c>
      <c r="Q71" s="40">
        <v>0.35635899999999998</v>
      </c>
      <c r="R71" s="25">
        <v>0.18093699999999999</v>
      </c>
    </row>
    <row r="72" spans="2:18">
      <c r="B72" s="24" t="s">
        <v>179</v>
      </c>
      <c r="C72" s="40">
        <v>1.0587949999999999</v>
      </c>
      <c r="D72" s="25">
        <v>0.49601299999999998</v>
      </c>
      <c r="E72" s="40">
        <v>5.7333619999999996</v>
      </c>
      <c r="F72" s="25">
        <v>1.0908690000000001</v>
      </c>
      <c r="G72" s="40">
        <v>16.559547999999999</v>
      </c>
      <c r="H72" s="25">
        <v>1.843426</v>
      </c>
      <c r="I72" s="40">
        <v>27.001394000000001</v>
      </c>
      <c r="J72" s="25">
        <v>1.600406</v>
      </c>
      <c r="K72" s="40">
        <v>27.433985</v>
      </c>
      <c r="L72" s="25">
        <v>1.516861</v>
      </c>
      <c r="M72" s="40">
        <v>16.818049999999999</v>
      </c>
      <c r="N72" s="25">
        <v>1.828481</v>
      </c>
      <c r="O72" s="40">
        <v>4.726934</v>
      </c>
      <c r="P72" s="25">
        <v>1.1596409999999999</v>
      </c>
      <c r="Q72" s="40">
        <v>0.66793199999999997</v>
      </c>
      <c r="R72" s="25">
        <v>0.26911200000000002</v>
      </c>
    </row>
    <row r="73" spans="2:18">
      <c r="B73" s="24" t="s">
        <v>45</v>
      </c>
      <c r="C73" s="40">
        <v>1.6673819999999999</v>
      </c>
      <c r="D73" s="25">
        <v>0.40185799999999999</v>
      </c>
      <c r="E73" s="40">
        <v>6.811064</v>
      </c>
      <c r="F73" s="25">
        <v>0.85419100000000003</v>
      </c>
      <c r="G73" s="40">
        <v>17.353556999999999</v>
      </c>
      <c r="H73" s="25">
        <v>1.2054069999999999</v>
      </c>
      <c r="I73" s="40">
        <v>28.614923000000001</v>
      </c>
      <c r="J73" s="25">
        <v>1.4997180000000001</v>
      </c>
      <c r="K73" s="40">
        <v>27.661180000000002</v>
      </c>
      <c r="L73" s="25">
        <v>1.271158</v>
      </c>
      <c r="M73" s="40">
        <v>14.427368</v>
      </c>
      <c r="N73" s="25">
        <v>1.464331</v>
      </c>
      <c r="O73" s="40">
        <v>3.1241050000000001</v>
      </c>
      <c r="P73" s="25">
        <v>0.46057900000000002</v>
      </c>
      <c r="Q73" s="40">
        <v>0.34042</v>
      </c>
      <c r="R73" s="25">
        <v>0.17440700000000001</v>
      </c>
    </row>
    <row r="74" spans="2:18">
      <c r="B74" s="65" t="s">
        <v>52</v>
      </c>
      <c r="C74" s="50">
        <v>1.079971</v>
      </c>
      <c r="D74" s="25">
        <v>0.46714800000000001</v>
      </c>
      <c r="E74" s="50">
        <v>5.4217129999999996</v>
      </c>
      <c r="F74" s="25">
        <v>0.88991600000000004</v>
      </c>
      <c r="G74" s="40">
        <v>14.878062999999999</v>
      </c>
      <c r="H74" s="25">
        <v>1.7864530000000001</v>
      </c>
      <c r="I74" s="40">
        <v>24.817587</v>
      </c>
      <c r="J74" s="25">
        <v>1.6165849999999999</v>
      </c>
      <c r="K74" s="40">
        <v>27.935338000000002</v>
      </c>
      <c r="L74" s="25">
        <v>1.671589</v>
      </c>
      <c r="M74" s="40">
        <v>18.711510000000001</v>
      </c>
      <c r="N74" s="25">
        <v>2.134798</v>
      </c>
      <c r="O74" s="40">
        <v>6.3074089999999998</v>
      </c>
      <c r="P74" s="25">
        <v>1.3659079999999999</v>
      </c>
      <c r="Q74" s="40">
        <v>0.84840899999999997</v>
      </c>
      <c r="R74" s="29">
        <v>0.37820300000000001</v>
      </c>
    </row>
  </sheetData>
  <sortState ref="T56:AJ74">
    <sortCondition ref="T56"/>
  </sortState>
  <mergeCells count="10">
    <mergeCell ref="B7:R7"/>
    <mergeCell ref="B8:B9"/>
    <mergeCell ref="C8:D8"/>
    <mergeCell ref="G8:H8"/>
    <mergeCell ref="I8:J8"/>
    <mergeCell ref="K8:L8"/>
    <mergeCell ref="M8:N8"/>
    <mergeCell ref="O8:P8"/>
    <mergeCell ref="Q8:R8"/>
    <mergeCell ref="E8:F8"/>
  </mergeCells>
  <hyperlinks>
    <hyperlink ref="B5" location="Índice!A1" display="Índice" xr:uid="{00000000-0004-0000-1300-000000000000}"/>
  </hyperlink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2:R74"/>
  <sheetViews>
    <sheetView topLeftCell="K31" zoomScale="80" zoomScaleNormal="80" workbookViewId="0">
      <selection activeCell="X44" sqref="X44"/>
    </sheetView>
  </sheetViews>
  <sheetFormatPr baseColWidth="10" defaultColWidth="11.44140625" defaultRowHeight="14.4"/>
  <cols>
    <col min="1" max="1" width="11.44140625" style="59"/>
    <col min="2" max="2" width="27.88671875" style="59" customWidth="1"/>
    <col min="3" max="18" width="12.6640625" style="59" customWidth="1"/>
    <col min="19" max="16384" width="11.44140625" style="59"/>
  </cols>
  <sheetData>
    <row r="2" spans="2:18">
      <c r="B2" s="3" t="s">
        <v>153</v>
      </c>
    </row>
    <row r="3" spans="2:18">
      <c r="B3" s="36" t="s">
        <v>79</v>
      </c>
    </row>
    <row r="4" spans="2:18">
      <c r="B4" s="56" t="s">
        <v>154</v>
      </c>
    </row>
    <row r="5" spans="2:18">
      <c r="B5" s="4" t="s">
        <v>0</v>
      </c>
    </row>
    <row r="7" spans="2:18" ht="21" customHeight="1">
      <c r="B7" s="71" t="s">
        <v>171</v>
      </c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</row>
    <row r="8" spans="2:18" ht="18" customHeight="1">
      <c r="B8" s="72" t="s">
        <v>54</v>
      </c>
      <c r="C8" s="71" t="s">
        <v>70</v>
      </c>
      <c r="D8" s="71"/>
      <c r="E8" s="78" t="s">
        <v>151</v>
      </c>
      <c r="F8" s="79"/>
      <c r="G8" s="71" t="s">
        <v>152</v>
      </c>
      <c r="H8" s="71"/>
      <c r="I8" s="71" t="s">
        <v>72</v>
      </c>
      <c r="J8" s="71"/>
      <c r="K8" s="71" t="s">
        <v>73</v>
      </c>
      <c r="L8" s="71"/>
      <c r="M8" s="71" t="s">
        <v>74</v>
      </c>
      <c r="N8" s="71"/>
      <c r="O8" s="71" t="s">
        <v>75</v>
      </c>
      <c r="P8" s="71"/>
      <c r="Q8" s="71" t="s">
        <v>76</v>
      </c>
      <c r="R8" s="71"/>
    </row>
    <row r="9" spans="2:18" ht="18" customHeight="1">
      <c r="B9" s="72"/>
      <c r="C9" s="39" t="s">
        <v>58</v>
      </c>
      <c r="D9" s="39" t="s">
        <v>55</v>
      </c>
      <c r="E9" s="39" t="s">
        <v>58</v>
      </c>
      <c r="F9" s="39" t="s">
        <v>55</v>
      </c>
      <c r="G9" s="39" t="s">
        <v>58</v>
      </c>
      <c r="H9" s="39" t="s">
        <v>55</v>
      </c>
      <c r="I9" s="39" t="s">
        <v>58</v>
      </c>
      <c r="J9" s="39" t="s">
        <v>55</v>
      </c>
      <c r="K9" s="39" t="s">
        <v>58</v>
      </c>
      <c r="L9" s="39" t="s">
        <v>55</v>
      </c>
      <c r="M9" s="39" t="s">
        <v>58</v>
      </c>
      <c r="N9" s="39" t="s">
        <v>55</v>
      </c>
      <c r="O9" s="39" t="s">
        <v>58</v>
      </c>
      <c r="P9" s="39" t="s">
        <v>55</v>
      </c>
      <c r="Q9" s="39" t="s">
        <v>58</v>
      </c>
      <c r="R9" s="39" t="s">
        <v>55</v>
      </c>
    </row>
    <row r="10" spans="2:18">
      <c r="B10" s="24" t="s">
        <v>16</v>
      </c>
      <c r="C10" s="40">
        <v>1.010254</v>
      </c>
      <c r="D10" s="25">
        <v>0.19698499999999999</v>
      </c>
      <c r="E10" s="40">
        <v>6.3599569999999996</v>
      </c>
      <c r="F10" s="25">
        <v>0.62189899999999998</v>
      </c>
      <c r="G10" s="40">
        <v>15.534802000000001</v>
      </c>
      <c r="H10" s="25">
        <v>0.85419400000000001</v>
      </c>
      <c r="I10" s="40">
        <v>23.971605</v>
      </c>
      <c r="J10" s="25">
        <v>0.76541700000000001</v>
      </c>
      <c r="K10" s="40">
        <v>25.422481000000001</v>
      </c>
      <c r="L10" s="25">
        <v>0.75070999999999999</v>
      </c>
      <c r="M10" s="40">
        <v>18.034541000000001</v>
      </c>
      <c r="N10" s="25">
        <v>0.78082499999999999</v>
      </c>
      <c r="O10" s="40">
        <v>7.8015759999999998</v>
      </c>
      <c r="P10" s="25">
        <v>0.56211299999999997</v>
      </c>
      <c r="Q10" s="40">
        <v>1.864784</v>
      </c>
      <c r="R10" s="25">
        <v>0.25231599999999998</v>
      </c>
    </row>
    <row r="11" spans="2:18">
      <c r="B11" s="24" t="s">
        <v>14</v>
      </c>
      <c r="C11" s="40">
        <v>0.97490600000000005</v>
      </c>
      <c r="D11" s="25">
        <v>0.145902</v>
      </c>
      <c r="E11" s="40">
        <v>4.8117349999999997</v>
      </c>
      <c r="F11" s="25">
        <v>0.34359200000000001</v>
      </c>
      <c r="G11" s="40">
        <v>13.738578</v>
      </c>
      <c r="H11" s="25">
        <v>0.45972200000000002</v>
      </c>
      <c r="I11" s="40">
        <v>22.237304999999999</v>
      </c>
      <c r="J11" s="25">
        <v>0.57990699999999995</v>
      </c>
      <c r="K11" s="40">
        <v>25.338705999999998</v>
      </c>
      <c r="L11" s="25">
        <v>0.66526099999999999</v>
      </c>
      <c r="M11" s="40">
        <v>20.277024000000001</v>
      </c>
      <c r="N11" s="25">
        <v>0.45787899999999998</v>
      </c>
      <c r="O11" s="40">
        <v>9.6261589999999995</v>
      </c>
      <c r="P11" s="25">
        <v>0.44161400000000001</v>
      </c>
      <c r="Q11" s="40">
        <v>2.9955859999999999</v>
      </c>
      <c r="R11" s="25">
        <v>0.35675000000000001</v>
      </c>
    </row>
    <row r="12" spans="2:18">
      <c r="B12" s="24" t="s">
        <v>18</v>
      </c>
      <c r="C12" s="40">
        <v>0.83322200000000002</v>
      </c>
      <c r="D12" s="25">
        <v>0.217667</v>
      </c>
      <c r="E12" s="40">
        <v>5.8299669999999999</v>
      </c>
      <c r="F12" s="25">
        <v>0.60483799999999999</v>
      </c>
      <c r="G12" s="40">
        <v>16.010946000000001</v>
      </c>
      <c r="H12" s="25">
        <v>0.71383300000000005</v>
      </c>
      <c r="I12" s="40">
        <v>23.575817000000001</v>
      </c>
      <c r="J12" s="25">
        <v>0.74587099999999995</v>
      </c>
      <c r="K12" s="40">
        <v>26.690498999999999</v>
      </c>
      <c r="L12" s="25">
        <v>0.85933199999999998</v>
      </c>
      <c r="M12" s="40">
        <v>19.199338999999998</v>
      </c>
      <c r="N12" s="25">
        <v>0.81220199999999998</v>
      </c>
      <c r="O12" s="40">
        <v>6.8667220000000002</v>
      </c>
      <c r="P12" s="25">
        <v>0.44553500000000001</v>
      </c>
      <c r="Q12" s="40">
        <v>0.99348700000000001</v>
      </c>
      <c r="R12" s="25">
        <v>0.18279799999999999</v>
      </c>
    </row>
    <row r="13" spans="2:18">
      <c r="B13" s="24" t="s">
        <v>28</v>
      </c>
      <c r="C13" s="40">
        <v>0.95253600000000005</v>
      </c>
      <c r="D13" s="25">
        <v>0.16303699999999999</v>
      </c>
      <c r="E13" s="40">
        <v>6.3031199999999998</v>
      </c>
      <c r="F13" s="25">
        <v>0.55149499999999996</v>
      </c>
      <c r="G13" s="40">
        <v>15.155080999999999</v>
      </c>
      <c r="H13" s="25">
        <v>0.65588400000000002</v>
      </c>
      <c r="I13" s="40">
        <v>23.252707999999998</v>
      </c>
      <c r="J13" s="25">
        <v>0.73150599999999999</v>
      </c>
      <c r="K13" s="40">
        <v>27.354306999999999</v>
      </c>
      <c r="L13" s="25">
        <v>0.72950999999999999</v>
      </c>
      <c r="M13" s="40">
        <v>19.819956000000001</v>
      </c>
      <c r="N13" s="25">
        <v>0.68939700000000004</v>
      </c>
      <c r="O13" s="40">
        <v>6.4323589999999999</v>
      </c>
      <c r="P13" s="25">
        <v>0.48677500000000001</v>
      </c>
      <c r="Q13" s="40">
        <v>0.72993200000000003</v>
      </c>
      <c r="R13" s="25">
        <v>0.149283</v>
      </c>
    </row>
    <row r="14" spans="2:18">
      <c r="B14" s="24" t="s">
        <v>20</v>
      </c>
      <c r="C14" s="40">
        <v>3.0960920000000001</v>
      </c>
      <c r="D14" s="25">
        <v>0.39977200000000002</v>
      </c>
      <c r="E14" s="40">
        <v>16.319973999999998</v>
      </c>
      <c r="F14" s="25">
        <v>0.94917899999999999</v>
      </c>
      <c r="G14" s="40">
        <v>28.584434999999999</v>
      </c>
      <c r="H14" s="25">
        <v>0.97862000000000005</v>
      </c>
      <c r="I14" s="40">
        <v>26.206679999999999</v>
      </c>
      <c r="J14" s="25">
        <v>0.94792799999999999</v>
      </c>
      <c r="K14" s="40">
        <v>17.436882000000001</v>
      </c>
      <c r="L14" s="25">
        <v>0.93667999999999996</v>
      </c>
      <c r="M14" s="40">
        <v>6.9098110000000004</v>
      </c>
      <c r="N14" s="25">
        <v>0.61588500000000002</v>
      </c>
      <c r="O14" s="40">
        <v>1.3729750000000001</v>
      </c>
      <c r="P14" s="25">
        <v>0.26982600000000001</v>
      </c>
      <c r="Q14" s="40">
        <v>7.3151999999999995E-2</v>
      </c>
      <c r="R14" s="25">
        <v>5.5211000000000003E-2</v>
      </c>
    </row>
    <row r="15" spans="2:18">
      <c r="B15" s="24" t="s">
        <v>6</v>
      </c>
      <c r="C15" s="40">
        <v>0.489012</v>
      </c>
      <c r="D15" s="25">
        <v>9.1162000000000007E-2</v>
      </c>
      <c r="E15" s="40">
        <v>3.288573</v>
      </c>
      <c r="F15" s="25">
        <v>0.24201500000000001</v>
      </c>
      <c r="G15" s="40">
        <v>11.486219</v>
      </c>
      <c r="H15" s="25">
        <v>0.45326899999999998</v>
      </c>
      <c r="I15" s="40">
        <v>22.335142999999999</v>
      </c>
      <c r="J15" s="25">
        <v>0.59005799999999997</v>
      </c>
      <c r="K15" s="40">
        <v>28.490558</v>
      </c>
      <c r="L15" s="25">
        <v>0.68304600000000004</v>
      </c>
      <c r="M15" s="40">
        <v>21.955106000000001</v>
      </c>
      <c r="N15" s="25">
        <v>0.66798400000000002</v>
      </c>
      <c r="O15" s="40">
        <v>9.4461519999999997</v>
      </c>
      <c r="P15" s="25">
        <v>0.419348</v>
      </c>
      <c r="Q15" s="40">
        <v>2.5092379999999999</v>
      </c>
      <c r="R15" s="25">
        <v>0.23353599999999999</v>
      </c>
    </row>
    <row r="16" spans="2:18">
      <c r="B16" s="24" t="s">
        <v>1</v>
      </c>
      <c r="C16" s="40">
        <v>2.0926800000000001</v>
      </c>
      <c r="D16" s="25">
        <v>0.344883</v>
      </c>
      <c r="E16" s="40">
        <v>9.9370449999999995</v>
      </c>
      <c r="F16" s="25">
        <v>0.65790099999999996</v>
      </c>
      <c r="G16" s="40">
        <v>24.394818000000001</v>
      </c>
      <c r="H16" s="25">
        <v>0.83097799999999999</v>
      </c>
      <c r="I16" s="40">
        <v>30.318677999999998</v>
      </c>
      <c r="J16" s="25">
        <v>0.88773899999999994</v>
      </c>
      <c r="K16" s="40">
        <v>22.287545999999999</v>
      </c>
      <c r="L16" s="25">
        <v>0.79380499999999998</v>
      </c>
      <c r="M16" s="40">
        <v>9.2101279999999992</v>
      </c>
      <c r="N16" s="25">
        <v>0.51871699999999998</v>
      </c>
      <c r="O16" s="40">
        <v>1.668914</v>
      </c>
      <c r="P16" s="25">
        <v>0.221271</v>
      </c>
      <c r="Q16" s="40">
        <v>9.0190999999999993E-2</v>
      </c>
      <c r="R16" s="25">
        <v>4.4409999999999998E-2</v>
      </c>
    </row>
    <row r="17" spans="2:18">
      <c r="B17" s="24" t="s">
        <v>82</v>
      </c>
      <c r="C17" s="40">
        <v>6.2966499999999996</v>
      </c>
      <c r="D17" s="25">
        <v>0.43322500000000003</v>
      </c>
      <c r="E17" s="40">
        <v>19.715789000000001</v>
      </c>
      <c r="F17" s="25">
        <v>0.61097000000000001</v>
      </c>
      <c r="G17" s="40">
        <v>25.763949</v>
      </c>
      <c r="H17" s="25">
        <v>0.70452899999999996</v>
      </c>
      <c r="I17" s="40">
        <v>22.992184000000002</v>
      </c>
      <c r="J17" s="25">
        <v>0.88473000000000002</v>
      </c>
      <c r="K17" s="40">
        <v>16.205487999999999</v>
      </c>
      <c r="L17" s="25">
        <v>0.63456000000000001</v>
      </c>
      <c r="M17" s="40">
        <v>6.9896089999999997</v>
      </c>
      <c r="N17" s="25">
        <v>0.426452</v>
      </c>
      <c r="O17" s="40">
        <v>1.7904040000000001</v>
      </c>
      <c r="P17" s="25">
        <v>0.30201600000000001</v>
      </c>
      <c r="Q17" s="40">
        <v>0.24592800000000001</v>
      </c>
      <c r="R17" s="25">
        <v>9.0194999999999997E-2</v>
      </c>
    </row>
    <row r="18" spans="2:18">
      <c r="B18" s="24" t="s">
        <v>29</v>
      </c>
      <c r="C18" s="40">
        <v>3.0544039999999999</v>
      </c>
      <c r="D18" s="25">
        <v>0.40798099999999998</v>
      </c>
      <c r="E18" s="40">
        <v>16.483577</v>
      </c>
      <c r="F18" s="25">
        <v>0.96063900000000002</v>
      </c>
      <c r="G18" s="40">
        <v>31.896265</v>
      </c>
      <c r="H18" s="25">
        <v>0.99328000000000005</v>
      </c>
      <c r="I18" s="40">
        <v>28.317357999999999</v>
      </c>
      <c r="J18" s="25">
        <v>0.96147899999999997</v>
      </c>
      <c r="K18" s="40">
        <v>14.954437</v>
      </c>
      <c r="L18" s="25">
        <v>0.96660900000000005</v>
      </c>
      <c r="M18" s="40">
        <v>4.610195</v>
      </c>
      <c r="N18" s="25">
        <v>0.50053000000000003</v>
      </c>
      <c r="O18" s="40">
        <v>0.65214399999999995</v>
      </c>
      <c r="P18" s="25">
        <v>0.148231</v>
      </c>
      <c r="Q18" s="40">
        <v>3.1621000000000003E-2</v>
      </c>
      <c r="R18" s="25">
        <v>2.6291999999999999E-2</v>
      </c>
    </row>
    <row r="19" spans="2:18">
      <c r="B19" s="24" t="s">
        <v>25</v>
      </c>
      <c r="C19" s="40">
        <v>1.0008079999999999</v>
      </c>
      <c r="D19" s="25">
        <v>0.31275799999999998</v>
      </c>
      <c r="E19" s="40">
        <v>3.1685120000000002</v>
      </c>
      <c r="F19" s="25">
        <v>0.448021</v>
      </c>
      <c r="G19" s="40">
        <v>9.5392209999999995</v>
      </c>
      <c r="H19" s="25">
        <v>0.778169</v>
      </c>
      <c r="I19" s="40">
        <v>18.416936</v>
      </c>
      <c r="J19" s="25">
        <v>0.84067899999999995</v>
      </c>
      <c r="K19" s="40">
        <v>26.956858</v>
      </c>
      <c r="L19" s="25">
        <v>0.82168200000000002</v>
      </c>
      <c r="M19" s="40">
        <v>25.235302999999998</v>
      </c>
      <c r="N19" s="25">
        <v>1.0517019999999999</v>
      </c>
      <c r="O19" s="40">
        <v>12.703652</v>
      </c>
      <c r="P19" s="25">
        <v>0.85525300000000004</v>
      </c>
      <c r="Q19" s="40">
        <v>2.97871</v>
      </c>
      <c r="R19" s="25">
        <v>0.45096799999999998</v>
      </c>
    </row>
    <row r="20" spans="2:18">
      <c r="B20" s="24" t="s">
        <v>83</v>
      </c>
      <c r="C20" s="40">
        <v>2.3506260000000001</v>
      </c>
      <c r="D20" s="25">
        <v>0.36948300000000001</v>
      </c>
      <c r="E20" s="40">
        <v>14.958235</v>
      </c>
      <c r="F20" s="25">
        <v>0.80007200000000001</v>
      </c>
      <c r="G20" s="40">
        <v>33.382927000000002</v>
      </c>
      <c r="H20" s="25">
        <v>1.1561239999999999</v>
      </c>
      <c r="I20" s="40">
        <v>31.245975000000001</v>
      </c>
      <c r="J20" s="25">
        <v>0.91723600000000005</v>
      </c>
      <c r="K20" s="40">
        <v>14.196832000000001</v>
      </c>
      <c r="L20" s="25">
        <v>0.87392099999999995</v>
      </c>
      <c r="M20" s="40">
        <v>3.4292910000000001</v>
      </c>
      <c r="N20" s="25">
        <v>0.38624700000000001</v>
      </c>
      <c r="O20" s="40">
        <v>0.41259099999999999</v>
      </c>
      <c r="P20" s="25">
        <v>0.118862</v>
      </c>
      <c r="Q20" s="40">
        <v>2.3524E-2</v>
      </c>
      <c r="R20" s="25">
        <v>2.3255000000000001E-2</v>
      </c>
    </row>
    <row r="21" spans="2:18">
      <c r="B21" s="24" t="s">
        <v>15</v>
      </c>
      <c r="C21" s="40">
        <v>0.57304999999999995</v>
      </c>
      <c r="D21" s="25">
        <v>0.130991</v>
      </c>
      <c r="E21" s="40">
        <v>4.9868410000000001</v>
      </c>
      <c r="F21" s="25">
        <v>0.48776999999999998</v>
      </c>
      <c r="G21" s="40">
        <v>16.859724</v>
      </c>
      <c r="H21" s="25">
        <v>0.73780900000000005</v>
      </c>
      <c r="I21" s="40">
        <v>28.525794999999999</v>
      </c>
      <c r="J21" s="25">
        <v>0.79677699999999996</v>
      </c>
      <c r="K21" s="40">
        <v>27.390481000000001</v>
      </c>
      <c r="L21" s="25">
        <v>0.91283899999999996</v>
      </c>
      <c r="M21" s="40">
        <v>16.230277000000001</v>
      </c>
      <c r="N21" s="25">
        <v>0.68727700000000003</v>
      </c>
      <c r="O21" s="40">
        <v>4.9082759999999999</v>
      </c>
      <c r="P21" s="25">
        <v>0.41857800000000001</v>
      </c>
      <c r="Q21" s="40">
        <v>0.52555700000000005</v>
      </c>
      <c r="R21" s="25">
        <v>0.14054900000000001</v>
      </c>
    </row>
    <row r="22" spans="2:18">
      <c r="B22" s="24" t="s">
        <v>8</v>
      </c>
      <c r="C22" s="40">
        <v>0.48125000000000001</v>
      </c>
      <c r="D22" s="25">
        <v>0.13453999999999999</v>
      </c>
      <c r="E22" s="40">
        <v>4.0851129999999998</v>
      </c>
      <c r="F22" s="25">
        <v>0.50593900000000003</v>
      </c>
      <c r="G22" s="40">
        <v>14.898595</v>
      </c>
      <c r="H22" s="25">
        <v>0.84482699999999999</v>
      </c>
      <c r="I22" s="40">
        <v>26.391774000000002</v>
      </c>
      <c r="J22" s="25">
        <v>1.0764860000000001</v>
      </c>
      <c r="K22" s="40">
        <v>28.691686000000001</v>
      </c>
      <c r="L22" s="25">
        <v>0.91447800000000001</v>
      </c>
      <c r="M22" s="40">
        <v>18.457294999999998</v>
      </c>
      <c r="N22" s="25">
        <v>0.86781799999999998</v>
      </c>
      <c r="O22" s="40">
        <v>5.9961820000000001</v>
      </c>
      <c r="P22" s="25">
        <v>0.55153700000000005</v>
      </c>
      <c r="Q22" s="40">
        <v>0.99810399999999999</v>
      </c>
      <c r="R22" s="25">
        <v>0.259413</v>
      </c>
    </row>
    <row r="23" spans="2:18">
      <c r="B23" s="24" t="s">
        <v>10</v>
      </c>
      <c r="C23" s="40">
        <v>0.33713900000000002</v>
      </c>
      <c r="D23" s="25">
        <v>9.8682000000000006E-2</v>
      </c>
      <c r="E23" s="40">
        <v>3.533801</v>
      </c>
      <c r="F23" s="25">
        <v>0.40488099999999999</v>
      </c>
      <c r="G23" s="40">
        <v>13.881652000000001</v>
      </c>
      <c r="H23" s="25">
        <v>0.52839100000000006</v>
      </c>
      <c r="I23" s="40">
        <v>25.711385</v>
      </c>
      <c r="J23" s="25">
        <v>0.88449599999999995</v>
      </c>
      <c r="K23" s="40">
        <v>29.009461000000002</v>
      </c>
      <c r="L23" s="25">
        <v>0.92791299999999999</v>
      </c>
      <c r="M23" s="40">
        <v>19.494042</v>
      </c>
      <c r="N23" s="25">
        <v>0.65538099999999999</v>
      </c>
      <c r="O23" s="40">
        <v>6.9406999999999996</v>
      </c>
      <c r="P23" s="25">
        <v>0.448604</v>
      </c>
      <c r="Q23" s="40">
        <v>1.091818</v>
      </c>
      <c r="R23" s="25">
        <v>0.221693</v>
      </c>
    </row>
    <row r="24" spans="2:18">
      <c r="B24" s="24" t="s">
        <v>26</v>
      </c>
      <c r="C24" s="40">
        <v>0.67624799999999996</v>
      </c>
      <c r="D24" s="25">
        <v>0.10859000000000001</v>
      </c>
      <c r="E24" s="40">
        <v>4.724704</v>
      </c>
      <c r="F24" s="25">
        <v>0.30310799999999999</v>
      </c>
      <c r="G24" s="40">
        <v>15.863697</v>
      </c>
      <c r="H24" s="25">
        <v>0.48434300000000002</v>
      </c>
      <c r="I24" s="40">
        <v>27.755701999999999</v>
      </c>
      <c r="J24" s="25">
        <v>0.6371</v>
      </c>
      <c r="K24" s="40">
        <v>29.533453999999999</v>
      </c>
      <c r="L24" s="25">
        <v>0.65484399999999998</v>
      </c>
      <c r="M24" s="40">
        <v>16.526782000000001</v>
      </c>
      <c r="N24" s="25">
        <v>0.53564999999999996</v>
      </c>
      <c r="O24" s="40">
        <v>4.3998350000000004</v>
      </c>
      <c r="P24" s="25">
        <v>0.26780700000000002</v>
      </c>
      <c r="Q24" s="40">
        <v>0.51957699999999996</v>
      </c>
      <c r="R24" s="25">
        <v>8.7186E-2</v>
      </c>
    </row>
    <row r="25" spans="2:18">
      <c r="B25" s="24" t="s">
        <v>7</v>
      </c>
      <c r="C25" s="40">
        <v>1.0633649999999999</v>
      </c>
      <c r="D25" s="25">
        <v>0.23480799999999999</v>
      </c>
      <c r="E25" s="40">
        <v>5.5537960000000002</v>
      </c>
      <c r="F25" s="25">
        <v>0.63495400000000002</v>
      </c>
      <c r="G25" s="40">
        <v>15.294344000000001</v>
      </c>
      <c r="H25" s="25">
        <v>0.95813400000000004</v>
      </c>
      <c r="I25" s="40">
        <v>22.372895</v>
      </c>
      <c r="J25" s="25">
        <v>0.76719400000000004</v>
      </c>
      <c r="K25" s="40">
        <v>24.779703000000001</v>
      </c>
      <c r="L25" s="25">
        <v>0.87539699999999998</v>
      </c>
      <c r="M25" s="40">
        <v>19.934100000000001</v>
      </c>
      <c r="N25" s="25">
        <v>0.96107600000000004</v>
      </c>
      <c r="O25" s="40">
        <v>8.7548449999999995</v>
      </c>
      <c r="P25" s="25">
        <v>0.76654</v>
      </c>
      <c r="Q25" s="40">
        <v>2.2469510000000001</v>
      </c>
      <c r="R25" s="25">
        <v>0.386824</v>
      </c>
    </row>
    <row r="26" spans="2:18">
      <c r="B26" s="24" t="s">
        <v>21</v>
      </c>
      <c r="C26" s="40">
        <v>9.7651000000000002E-2</v>
      </c>
      <c r="D26" s="25">
        <v>5.3412000000000001E-2</v>
      </c>
      <c r="E26" s="40">
        <v>1.5284340000000001</v>
      </c>
      <c r="F26" s="25">
        <v>0.28119699999999997</v>
      </c>
      <c r="G26" s="40">
        <v>8.4919670000000007</v>
      </c>
      <c r="H26" s="25">
        <v>0.58657700000000002</v>
      </c>
      <c r="I26" s="40">
        <v>21.936018000000001</v>
      </c>
      <c r="J26" s="25">
        <v>0.81361300000000003</v>
      </c>
      <c r="K26" s="40">
        <v>31.663332</v>
      </c>
      <c r="L26" s="25">
        <v>0.93057100000000004</v>
      </c>
      <c r="M26" s="40">
        <v>24.715423999999999</v>
      </c>
      <c r="N26" s="25">
        <v>0.79879</v>
      </c>
      <c r="O26" s="40">
        <v>9.7791110000000003</v>
      </c>
      <c r="P26" s="25">
        <v>0.62653700000000001</v>
      </c>
      <c r="Q26" s="40">
        <v>1.788063</v>
      </c>
      <c r="R26" s="25">
        <v>0.24670700000000001</v>
      </c>
    </row>
    <row r="27" spans="2:18">
      <c r="B27" s="24" t="s">
        <v>34</v>
      </c>
      <c r="C27" s="40">
        <v>0.77184699999999995</v>
      </c>
      <c r="D27" s="25">
        <v>0.106519</v>
      </c>
      <c r="E27" s="40">
        <v>4.401796</v>
      </c>
      <c r="F27" s="25">
        <v>0.31076799999999999</v>
      </c>
      <c r="G27" s="40">
        <v>12.783581999999999</v>
      </c>
      <c r="H27" s="25">
        <v>0.62574200000000002</v>
      </c>
      <c r="I27" s="40">
        <v>21.625577</v>
      </c>
      <c r="J27" s="25">
        <v>0.67151000000000005</v>
      </c>
      <c r="K27" s="40">
        <v>26.571390999999998</v>
      </c>
      <c r="L27" s="25">
        <v>0.80223100000000003</v>
      </c>
      <c r="M27" s="40">
        <v>21.155262</v>
      </c>
      <c r="N27" s="25">
        <v>0.74075999999999997</v>
      </c>
      <c r="O27" s="40">
        <v>9.8911680000000004</v>
      </c>
      <c r="P27" s="25">
        <v>0.51851899999999995</v>
      </c>
      <c r="Q27" s="40">
        <v>2.7993779999999999</v>
      </c>
      <c r="R27" s="25">
        <v>0.27637400000000001</v>
      </c>
    </row>
    <row r="28" spans="2:18">
      <c r="B28" s="24" t="s">
        <v>5</v>
      </c>
      <c r="C28" s="40">
        <v>1.1580299999999999</v>
      </c>
      <c r="D28" s="25">
        <v>0.188802</v>
      </c>
      <c r="E28" s="40">
        <v>6.4856470000000002</v>
      </c>
      <c r="F28" s="25">
        <v>0.58332399999999995</v>
      </c>
      <c r="G28" s="40">
        <v>16.159780999999999</v>
      </c>
      <c r="H28" s="25">
        <v>0.88662300000000005</v>
      </c>
      <c r="I28" s="40">
        <v>23.763642000000001</v>
      </c>
      <c r="J28" s="25">
        <v>0.77352100000000001</v>
      </c>
      <c r="K28" s="40">
        <v>26.768079</v>
      </c>
      <c r="L28" s="25">
        <v>0.86434699999999998</v>
      </c>
      <c r="M28" s="40">
        <v>17.939444999999999</v>
      </c>
      <c r="N28" s="25">
        <v>0.76348499999999997</v>
      </c>
      <c r="O28" s="40">
        <v>6.6689829999999999</v>
      </c>
      <c r="P28" s="25">
        <v>0.44872400000000001</v>
      </c>
      <c r="Q28" s="40">
        <v>1.0563929999999999</v>
      </c>
      <c r="R28" s="25">
        <v>0.18227699999999999</v>
      </c>
    </row>
    <row r="29" spans="2:18">
      <c r="B29" s="24" t="s">
        <v>37</v>
      </c>
      <c r="C29" s="40">
        <v>1.9618800000000001</v>
      </c>
      <c r="D29" s="25">
        <v>0.37253999999999998</v>
      </c>
      <c r="E29" s="40">
        <v>10.776980999999999</v>
      </c>
      <c r="F29" s="25">
        <v>0.78229000000000004</v>
      </c>
      <c r="G29" s="40">
        <v>24.586385</v>
      </c>
      <c r="H29" s="25">
        <v>0.936226</v>
      </c>
      <c r="I29" s="40">
        <v>30.121293999999999</v>
      </c>
      <c r="J29" s="25">
        <v>0.90562299999999996</v>
      </c>
      <c r="K29" s="40">
        <v>22.373218000000001</v>
      </c>
      <c r="L29" s="25">
        <v>0.83651900000000001</v>
      </c>
      <c r="M29" s="40">
        <v>8.7003380000000003</v>
      </c>
      <c r="N29" s="25">
        <v>0.656416</v>
      </c>
      <c r="O29" s="40">
        <v>1.4269609999999999</v>
      </c>
      <c r="P29" s="25">
        <v>0.29913099999999998</v>
      </c>
      <c r="Q29" s="40">
        <v>5.2942999999999997E-2</v>
      </c>
      <c r="R29" s="25">
        <v>4.8256E-2</v>
      </c>
    </row>
    <row r="30" spans="2:18">
      <c r="B30" s="24" t="s">
        <v>4</v>
      </c>
      <c r="C30" s="40">
        <v>0.608796</v>
      </c>
      <c r="D30" s="25">
        <v>0.17446300000000001</v>
      </c>
      <c r="E30" s="40">
        <v>5.5340639999999999</v>
      </c>
      <c r="F30" s="25">
        <v>0.46184199999999997</v>
      </c>
      <c r="G30" s="40">
        <v>16.769947999999999</v>
      </c>
      <c r="H30" s="25">
        <v>0.91289799999999999</v>
      </c>
      <c r="I30" s="40">
        <v>25.896042999999999</v>
      </c>
      <c r="J30" s="25">
        <v>0.98364399999999996</v>
      </c>
      <c r="K30" s="40">
        <v>27.348399000000001</v>
      </c>
      <c r="L30" s="25">
        <v>0.99410399999999999</v>
      </c>
      <c r="M30" s="40">
        <v>17.67165</v>
      </c>
      <c r="N30" s="25">
        <v>0.86278100000000002</v>
      </c>
      <c r="O30" s="40">
        <v>5.5430149999999996</v>
      </c>
      <c r="P30" s="25">
        <v>0.53510999999999997</v>
      </c>
      <c r="Q30" s="40">
        <v>0.628085</v>
      </c>
      <c r="R30" s="25">
        <v>0.14311299999999999</v>
      </c>
    </row>
    <row r="31" spans="2:18">
      <c r="B31" s="24" t="s">
        <v>9</v>
      </c>
      <c r="C31" s="40">
        <v>0.38143100000000002</v>
      </c>
      <c r="D31" s="25">
        <v>0.101683</v>
      </c>
      <c r="E31" s="40">
        <v>3.0761599999999998</v>
      </c>
      <c r="F31" s="25">
        <v>0.324822</v>
      </c>
      <c r="G31" s="40">
        <v>12.101405</v>
      </c>
      <c r="H31" s="25">
        <v>0.68749400000000005</v>
      </c>
      <c r="I31" s="40">
        <v>25.445449</v>
      </c>
      <c r="J31" s="25">
        <v>0.91509099999999999</v>
      </c>
      <c r="K31" s="40">
        <v>30.416008000000001</v>
      </c>
      <c r="L31" s="25">
        <v>0.83113300000000001</v>
      </c>
      <c r="M31" s="40">
        <v>21.032433999999999</v>
      </c>
      <c r="N31" s="25">
        <v>0.74581500000000001</v>
      </c>
      <c r="O31" s="40">
        <v>6.7507070000000002</v>
      </c>
      <c r="P31" s="25">
        <v>0.44669500000000001</v>
      </c>
      <c r="Q31" s="40">
        <v>0.79640599999999995</v>
      </c>
      <c r="R31" s="25">
        <v>0.15124699999999999</v>
      </c>
    </row>
    <row r="32" spans="2:18">
      <c r="B32" s="24" t="s">
        <v>19</v>
      </c>
      <c r="C32" s="40">
        <v>1.904495</v>
      </c>
      <c r="D32" s="25">
        <v>0.30477700000000002</v>
      </c>
      <c r="E32" s="40">
        <v>10.547859000000001</v>
      </c>
      <c r="F32" s="25">
        <v>0.805724</v>
      </c>
      <c r="G32" s="40">
        <v>23.442554000000001</v>
      </c>
      <c r="H32" s="25">
        <v>1.0686199999999999</v>
      </c>
      <c r="I32" s="40">
        <v>28.558468000000001</v>
      </c>
      <c r="J32" s="25">
        <v>1.0965579999999999</v>
      </c>
      <c r="K32" s="40">
        <v>22.872789000000001</v>
      </c>
      <c r="L32" s="25">
        <v>1.0233810000000001</v>
      </c>
      <c r="M32" s="40">
        <v>10.394745</v>
      </c>
      <c r="N32" s="25">
        <v>0.76658400000000004</v>
      </c>
      <c r="O32" s="40">
        <v>2.146191</v>
      </c>
      <c r="P32" s="25">
        <v>0.36091000000000001</v>
      </c>
      <c r="Q32" s="40">
        <v>0.13289899999999999</v>
      </c>
      <c r="R32" s="25">
        <v>0.110107</v>
      </c>
    </row>
    <row r="33" spans="2:18">
      <c r="B33" s="24" t="s">
        <v>11</v>
      </c>
      <c r="C33" s="40">
        <v>2.591437</v>
      </c>
      <c r="D33" s="25">
        <v>0.373859</v>
      </c>
      <c r="E33" s="40">
        <v>10.197509999999999</v>
      </c>
      <c r="F33" s="25">
        <v>0.69908099999999995</v>
      </c>
      <c r="G33" s="40">
        <v>19.271222000000002</v>
      </c>
      <c r="H33" s="25">
        <v>0.75421199999999999</v>
      </c>
      <c r="I33" s="40">
        <v>23.959973999999999</v>
      </c>
      <c r="J33" s="25">
        <v>0.89500599999999997</v>
      </c>
      <c r="K33" s="40">
        <v>23.183091000000001</v>
      </c>
      <c r="L33" s="25">
        <v>0.90338600000000002</v>
      </c>
      <c r="M33" s="40">
        <v>14.986459</v>
      </c>
      <c r="N33" s="25">
        <v>0.756463</v>
      </c>
      <c r="O33" s="40">
        <v>4.9230450000000001</v>
      </c>
      <c r="P33" s="25">
        <v>0.53943700000000006</v>
      </c>
      <c r="Q33" s="40">
        <v>0.887262</v>
      </c>
      <c r="R33" s="25">
        <v>0.21829899999999999</v>
      </c>
    </row>
    <row r="34" spans="2:18">
      <c r="B34" s="24" t="s">
        <v>12</v>
      </c>
      <c r="C34" s="40">
        <v>0.89291900000000002</v>
      </c>
      <c r="D34" s="25">
        <v>0.193608</v>
      </c>
      <c r="E34" s="40">
        <v>5.6043159999999999</v>
      </c>
      <c r="F34" s="25">
        <v>0.46836</v>
      </c>
      <c r="G34" s="40">
        <v>17.437249999999999</v>
      </c>
      <c r="H34" s="25">
        <v>0.90288100000000004</v>
      </c>
      <c r="I34" s="40">
        <v>27.887803000000002</v>
      </c>
      <c r="J34" s="25">
        <v>1.0375000000000001</v>
      </c>
      <c r="K34" s="40">
        <v>28.348821000000001</v>
      </c>
      <c r="L34" s="25">
        <v>0.79783000000000004</v>
      </c>
      <c r="M34" s="40">
        <v>15.598882</v>
      </c>
      <c r="N34" s="25">
        <v>0.93095399999999995</v>
      </c>
      <c r="O34" s="40">
        <v>3.8782649999999999</v>
      </c>
      <c r="P34" s="25">
        <v>0.43316900000000003</v>
      </c>
      <c r="Q34" s="40">
        <v>0.351744</v>
      </c>
      <c r="R34" s="25">
        <v>0.126274</v>
      </c>
    </row>
    <row r="35" spans="2:18">
      <c r="B35" s="24" t="s">
        <v>2</v>
      </c>
      <c r="C35" s="40">
        <v>9.3834000000000001E-2</v>
      </c>
      <c r="D35" s="25">
        <v>5.9443000000000003E-2</v>
      </c>
      <c r="E35" s="40">
        <v>1.3921809999999999</v>
      </c>
      <c r="F35" s="25">
        <v>0.24082300000000001</v>
      </c>
      <c r="G35" s="40">
        <v>6.5434330000000003</v>
      </c>
      <c r="H35" s="25">
        <v>0.63359200000000004</v>
      </c>
      <c r="I35" s="40">
        <v>16.992092</v>
      </c>
      <c r="J35" s="25">
        <v>0.85321100000000005</v>
      </c>
      <c r="K35" s="40">
        <v>27.686316999999999</v>
      </c>
      <c r="L35" s="25">
        <v>0.93080700000000005</v>
      </c>
      <c r="M35" s="40">
        <v>29.300059999999998</v>
      </c>
      <c r="N35" s="25">
        <v>0.95467999999999997</v>
      </c>
      <c r="O35" s="40">
        <v>14.981258</v>
      </c>
      <c r="P35" s="25">
        <v>0.87673199999999996</v>
      </c>
      <c r="Q35" s="40">
        <v>3.0108269999999999</v>
      </c>
      <c r="R35" s="25">
        <v>0.35730299999999998</v>
      </c>
    </row>
    <row r="36" spans="2:18">
      <c r="B36" s="24" t="s">
        <v>23</v>
      </c>
      <c r="C36" s="40">
        <v>0.19022</v>
      </c>
      <c r="D36" s="25">
        <v>0.102563</v>
      </c>
      <c r="E36" s="40">
        <v>2.492416</v>
      </c>
      <c r="F36" s="25">
        <v>0.35784199999999999</v>
      </c>
      <c r="G36" s="40">
        <v>13.785876</v>
      </c>
      <c r="H36" s="25">
        <v>0.70795300000000005</v>
      </c>
      <c r="I36" s="40">
        <v>29.783632000000001</v>
      </c>
      <c r="J36" s="25">
        <v>0.89312999999999998</v>
      </c>
      <c r="K36" s="40">
        <v>30.865614000000001</v>
      </c>
      <c r="L36" s="25">
        <v>0.87534800000000001</v>
      </c>
      <c r="M36" s="40">
        <v>17.687725</v>
      </c>
      <c r="N36" s="25">
        <v>0.75894899999999998</v>
      </c>
      <c r="O36" s="40">
        <v>4.6178189999999999</v>
      </c>
      <c r="P36" s="25">
        <v>0.48017900000000002</v>
      </c>
      <c r="Q36" s="40">
        <v>0.57669800000000004</v>
      </c>
      <c r="R36" s="25">
        <v>0.131244</v>
      </c>
    </row>
    <row r="37" spans="2:18">
      <c r="B37" s="24" t="s">
        <v>32</v>
      </c>
      <c r="C37" s="40">
        <v>0.48482399999999998</v>
      </c>
      <c r="D37" s="25">
        <v>0.118259</v>
      </c>
      <c r="E37" s="40">
        <v>4.6149380000000004</v>
      </c>
      <c r="F37" s="25">
        <v>0.46365499999999998</v>
      </c>
      <c r="G37" s="40">
        <v>16.665870999999999</v>
      </c>
      <c r="H37" s="25">
        <v>0.81112600000000001</v>
      </c>
      <c r="I37" s="40">
        <v>28.415787999999999</v>
      </c>
      <c r="J37" s="25">
        <v>0.92833399999999999</v>
      </c>
      <c r="K37" s="40">
        <v>28.070367999999998</v>
      </c>
      <c r="L37" s="25">
        <v>0.84173500000000001</v>
      </c>
      <c r="M37" s="40">
        <v>16.268419999999999</v>
      </c>
      <c r="N37" s="25">
        <v>0.66290700000000002</v>
      </c>
      <c r="O37" s="40">
        <v>4.7720539999999998</v>
      </c>
      <c r="P37" s="25">
        <v>0.51499200000000001</v>
      </c>
      <c r="Q37" s="40">
        <v>0.70773699999999995</v>
      </c>
      <c r="R37" s="25">
        <v>0.145427</v>
      </c>
    </row>
    <row r="38" spans="2:18">
      <c r="B38" s="24" t="s">
        <v>17</v>
      </c>
      <c r="C38" s="40">
        <v>1.8117939999999999</v>
      </c>
      <c r="D38" s="25">
        <v>0.32131199999999999</v>
      </c>
      <c r="E38" s="40">
        <v>9.4714679999999998</v>
      </c>
      <c r="F38" s="25">
        <v>0.69391199999999997</v>
      </c>
      <c r="G38" s="40">
        <v>19.008417999999999</v>
      </c>
      <c r="H38" s="25">
        <v>0.94863200000000003</v>
      </c>
      <c r="I38" s="40">
        <v>25.268476</v>
      </c>
      <c r="J38" s="25">
        <v>0.92851799999999995</v>
      </c>
      <c r="K38" s="40">
        <v>25.121136</v>
      </c>
      <c r="L38" s="25">
        <v>0.89882099999999998</v>
      </c>
      <c r="M38" s="40">
        <v>14.750712</v>
      </c>
      <c r="N38" s="25">
        <v>0.74777400000000005</v>
      </c>
      <c r="O38" s="40">
        <v>4.116841</v>
      </c>
      <c r="P38" s="25">
        <v>0.51455600000000001</v>
      </c>
      <c r="Q38" s="40">
        <v>0.451154</v>
      </c>
      <c r="R38" s="25">
        <v>0.17183999999999999</v>
      </c>
    </row>
    <row r="39" spans="2:18">
      <c r="B39" s="24" t="s">
        <v>3</v>
      </c>
      <c r="C39" s="40">
        <v>1.951379</v>
      </c>
      <c r="D39" s="25">
        <v>0.38777400000000001</v>
      </c>
      <c r="E39" s="40">
        <v>13.859439</v>
      </c>
      <c r="F39" s="25">
        <v>0.82452700000000001</v>
      </c>
      <c r="G39" s="40">
        <v>34.984862999999997</v>
      </c>
      <c r="H39" s="25">
        <v>1.289463</v>
      </c>
      <c r="I39" s="40">
        <v>32.748330000000003</v>
      </c>
      <c r="J39" s="25">
        <v>1.1489830000000001</v>
      </c>
      <c r="K39" s="40">
        <v>13.87392</v>
      </c>
      <c r="L39" s="25">
        <v>0.81202200000000002</v>
      </c>
      <c r="M39" s="40">
        <v>2.4522200000000001</v>
      </c>
      <c r="N39" s="25">
        <v>0.37897599999999998</v>
      </c>
      <c r="O39" s="40">
        <v>0.12719</v>
      </c>
      <c r="P39" s="25">
        <v>7.3372000000000007E-2</v>
      </c>
      <c r="Q39" s="40">
        <v>2.6589999999999999E-3</v>
      </c>
      <c r="R39" s="25">
        <v>8.9409999999999993E-3</v>
      </c>
    </row>
    <row r="40" spans="2:18">
      <c r="B40" s="24" t="s">
        <v>13</v>
      </c>
      <c r="C40" s="40">
        <v>1.461716</v>
      </c>
      <c r="D40" s="25">
        <v>0.220606</v>
      </c>
      <c r="E40" s="40">
        <v>7.9688939999999997</v>
      </c>
      <c r="F40" s="25">
        <v>0.49209799999999998</v>
      </c>
      <c r="G40" s="40">
        <v>18.191977000000001</v>
      </c>
      <c r="H40" s="25">
        <v>0.69654499999999997</v>
      </c>
      <c r="I40" s="40">
        <v>23.825941</v>
      </c>
      <c r="J40" s="25">
        <v>0.70195300000000005</v>
      </c>
      <c r="K40" s="40">
        <v>24.503131</v>
      </c>
      <c r="L40" s="25">
        <v>0.76312599999999997</v>
      </c>
      <c r="M40" s="40">
        <v>17.029212999999999</v>
      </c>
      <c r="N40" s="25">
        <v>0.75864200000000004</v>
      </c>
      <c r="O40" s="40">
        <v>5.8368700000000002</v>
      </c>
      <c r="P40" s="25">
        <v>0.40676000000000001</v>
      </c>
      <c r="Q40" s="40">
        <v>1.1822589999999999</v>
      </c>
      <c r="R40" s="25">
        <v>0.20008699999999999</v>
      </c>
    </row>
    <row r="41" spans="2:18">
      <c r="B41" s="24" t="s">
        <v>27</v>
      </c>
      <c r="C41" s="40">
        <v>0.94540500000000005</v>
      </c>
      <c r="D41" s="25">
        <v>0.22440599999999999</v>
      </c>
      <c r="E41" s="40">
        <v>5.1271690000000003</v>
      </c>
      <c r="F41" s="25">
        <v>0.45006499999999999</v>
      </c>
      <c r="G41" s="40">
        <v>14.305591</v>
      </c>
      <c r="H41" s="25">
        <v>0.65213600000000005</v>
      </c>
      <c r="I41" s="40">
        <v>21.810174</v>
      </c>
      <c r="J41" s="25">
        <v>0.64542699999999997</v>
      </c>
      <c r="K41" s="40">
        <v>25.878893000000001</v>
      </c>
      <c r="L41" s="25">
        <v>0.80804500000000001</v>
      </c>
      <c r="M41" s="40">
        <v>19.953779999999998</v>
      </c>
      <c r="N41" s="25">
        <v>0.79003900000000005</v>
      </c>
      <c r="O41" s="40">
        <v>9.7753829999999997</v>
      </c>
      <c r="P41" s="25">
        <v>0.56005499999999997</v>
      </c>
      <c r="Q41" s="40">
        <v>2.2036030000000002</v>
      </c>
      <c r="R41" s="25">
        <v>0.31934899999999999</v>
      </c>
    </row>
    <row r="42" spans="2:18">
      <c r="B42" s="24" t="s">
        <v>31</v>
      </c>
      <c r="C42" s="40">
        <v>1.205945</v>
      </c>
      <c r="D42" s="25">
        <v>0.236376</v>
      </c>
      <c r="E42" s="40">
        <v>7.7812840000000003</v>
      </c>
      <c r="F42" s="25">
        <v>0.861321</v>
      </c>
      <c r="G42" s="40">
        <v>18.313320000000001</v>
      </c>
      <c r="H42" s="25">
        <v>1.0213810000000001</v>
      </c>
      <c r="I42" s="40">
        <v>21.32995</v>
      </c>
      <c r="J42" s="25">
        <v>1.0139279999999999</v>
      </c>
      <c r="K42" s="40">
        <v>21.990046</v>
      </c>
      <c r="L42" s="25">
        <v>1.0655079999999999</v>
      </c>
      <c r="M42" s="40">
        <v>18.832630000000002</v>
      </c>
      <c r="N42" s="25">
        <v>1.0296650000000001</v>
      </c>
      <c r="O42" s="40">
        <v>8.9413020000000003</v>
      </c>
      <c r="P42" s="25">
        <v>0.62976600000000005</v>
      </c>
      <c r="Q42" s="40">
        <v>1.605523</v>
      </c>
      <c r="R42" s="25">
        <v>0.249609</v>
      </c>
    </row>
    <row r="43" spans="2:18">
      <c r="B43" s="24" t="s">
        <v>35</v>
      </c>
      <c r="C43" s="40">
        <v>0.39561800000000003</v>
      </c>
      <c r="D43" s="25">
        <v>0.13322500000000001</v>
      </c>
      <c r="E43" s="40">
        <v>4.4283049999999999</v>
      </c>
      <c r="F43" s="25">
        <v>0.45694600000000002</v>
      </c>
      <c r="G43" s="40">
        <v>13.818345000000001</v>
      </c>
      <c r="H43" s="25">
        <v>0.85982199999999998</v>
      </c>
      <c r="I43" s="40">
        <v>24.340267000000001</v>
      </c>
      <c r="J43" s="25">
        <v>0.96328999999999998</v>
      </c>
      <c r="K43" s="40">
        <v>28.916079</v>
      </c>
      <c r="L43" s="25">
        <v>0.95940000000000003</v>
      </c>
      <c r="M43" s="40">
        <v>20.114722</v>
      </c>
      <c r="N43" s="25">
        <v>0.75487599999999999</v>
      </c>
      <c r="O43" s="40">
        <v>7.0012949999999998</v>
      </c>
      <c r="P43" s="25">
        <v>0.54243799999999998</v>
      </c>
      <c r="Q43" s="40">
        <v>0.98536900000000005</v>
      </c>
      <c r="R43" s="25">
        <v>0.17972299999999999</v>
      </c>
    </row>
    <row r="44" spans="2:18">
      <c r="B44" s="24" t="s">
        <v>36</v>
      </c>
      <c r="C44" s="40">
        <v>0.62061599999999995</v>
      </c>
      <c r="D44" s="25">
        <v>0.15953000000000001</v>
      </c>
      <c r="E44" s="40">
        <v>4.6651720000000001</v>
      </c>
      <c r="F44" s="25">
        <v>0.448994</v>
      </c>
      <c r="G44" s="40">
        <v>16.514469999999999</v>
      </c>
      <c r="H44" s="25">
        <v>0.80591400000000002</v>
      </c>
      <c r="I44" s="40">
        <v>27.796375000000001</v>
      </c>
      <c r="J44" s="25">
        <v>0.893038</v>
      </c>
      <c r="K44" s="40">
        <v>28.220399</v>
      </c>
      <c r="L44" s="25">
        <v>0.888679</v>
      </c>
      <c r="M44" s="40">
        <v>17.310124999999999</v>
      </c>
      <c r="N44" s="25">
        <v>0.77073499999999995</v>
      </c>
      <c r="O44" s="40">
        <v>4.4166119999999998</v>
      </c>
      <c r="P44" s="25">
        <v>0.41570400000000002</v>
      </c>
      <c r="Q44" s="40">
        <v>0.456231</v>
      </c>
      <c r="R44" s="25">
        <v>0.116411</v>
      </c>
    </row>
    <row r="45" spans="2:18">
      <c r="B45" s="24" t="s">
        <v>38</v>
      </c>
      <c r="C45" s="40">
        <v>0.70901999999999998</v>
      </c>
      <c r="D45" s="25">
        <v>0.13433300000000001</v>
      </c>
      <c r="E45" s="40">
        <v>4.9671519999999996</v>
      </c>
      <c r="F45" s="25">
        <v>0.451629</v>
      </c>
      <c r="G45" s="40">
        <v>14.421974000000001</v>
      </c>
      <c r="H45" s="25">
        <v>0.611178</v>
      </c>
      <c r="I45" s="40">
        <v>24.259146000000001</v>
      </c>
      <c r="J45" s="25">
        <v>0.72254499999999999</v>
      </c>
      <c r="K45" s="40">
        <v>26.390412999999999</v>
      </c>
      <c r="L45" s="25">
        <v>0.73802000000000001</v>
      </c>
      <c r="M45" s="40">
        <v>19.171578</v>
      </c>
      <c r="N45" s="25">
        <v>0.67500000000000004</v>
      </c>
      <c r="O45" s="40">
        <v>8.0546389999999999</v>
      </c>
      <c r="P45" s="25">
        <v>0.54788099999999995</v>
      </c>
      <c r="Q45" s="40">
        <v>2.0260790000000002</v>
      </c>
      <c r="R45" s="25">
        <v>0.26956000000000002</v>
      </c>
    </row>
    <row r="46" spans="2:18">
      <c r="B46" s="24" t="s">
        <v>84</v>
      </c>
      <c r="C46" s="40">
        <v>0.61358500000000005</v>
      </c>
      <c r="D46" s="25">
        <v>0.13267799999999999</v>
      </c>
      <c r="E46" s="40">
        <v>4.2211030000000003</v>
      </c>
      <c r="F46" s="25">
        <v>0.385523</v>
      </c>
      <c r="G46" s="40">
        <v>15.052339999999999</v>
      </c>
      <c r="H46" s="25">
        <v>0.67887600000000003</v>
      </c>
      <c r="I46" s="40">
        <v>24.897053</v>
      </c>
      <c r="J46" s="25">
        <v>0.84838499999999994</v>
      </c>
      <c r="K46" s="40">
        <v>27.386358000000001</v>
      </c>
      <c r="L46" s="25">
        <v>0.96094400000000002</v>
      </c>
      <c r="M46" s="40">
        <v>18.860361000000001</v>
      </c>
      <c r="N46" s="25">
        <v>0.75552699999999995</v>
      </c>
      <c r="O46" s="40">
        <v>7.5168949999999999</v>
      </c>
      <c r="P46" s="25">
        <v>0.47689599999999999</v>
      </c>
      <c r="Q46" s="40">
        <v>1.4523060000000001</v>
      </c>
      <c r="R46" s="25">
        <v>0.25282300000000002</v>
      </c>
    </row>
    <row r="47" spans="2:18">
      <c r="B47" s="24" t="s">
        <v>85</v>
      </c>
      <c r="C47" s="40">
        <v>2.6435339999999998</v>
      </c>
      <c r="D47" s="25">
        <v>0.429871</v>
      </c>
      <c r="E47" s="40">
        <v>9.2545359999999999</v>
      </c>
      <c r="F47" s="25">
        <v>0.73030099999999998</v>
      </c>
      <c r="G47" s="40">
        <v>18.725964000000001</v>
      </c>
      <c r="H47" s="25">
        <v>0.83488300000000004</v>
      </c>
      <c r="I47" s="40">
        <v>26.296012000000001</v>
      </c>
      <c r="J47" s="25">
        <v>1.0545800000000001</v>
      </c>
      <c r="K47" s="40">
        <v>24.741336</v>
      </c>
      <c r="L47" s="25">
        <v>1.1304320000000001</v>
      </c>
      <c r="M47" s="40">
        <v>14.016586</v>
      </c>
      <c r="N47" s="25">
        <v>0.83088799999999996</v>
      </c>
      <c r="O47" s="40">
        <v>3.7857880000000002</v>
      </c>
      <c r="P47" s="25">
        <v>0.42491400000000001</v>
      </c>
      <c r="Q47" s="40">
        <v>0.53624400000000005</v>
      </c>
      <c r="R47" s="25">
        <v>0.13822599999999999</v>
      </c>
    </row>
    <row r="48" spans="2:18">
      <c r="B48" s="24" t="s">
        <v>33</v>
      </c>
      <c r="C48" s="40">
        <v>3.2362340000000001</v>
      </c>
      <c r="D48" s="25">
        <v>0.41412300000000002</v>
      </c>
      <c r="E48" s="40">
        <v>14.876498</v>
      </c>
      <c r="F48" s="25">
        <v>1.002443</v>
      </c>
      <c r="G48" s="40">
        <v>25.883642999999999</v>
      </c>
      <c r="H48" s="25">
        <v>1.0956090000000001</v>
      </c>
      <c r="I48" s="40">
        <v>26.984278</v>
      </c>
      <c r="J48" s="25">
        <v>0.89101900000000001</v>
      </c>
      <c r="K48" s="40">
        <v>19.600735</v>
      </c>
      <c r="L48" s="25">
        <v>1.097772</v>
      </c>
      <c r="M48" s="40">
        <v>8.0131150000000009</v>
      </c>
      <c r="N48" s="25">
        <v>0.71422099999999999</v>
      </c>
      <c r="O48" s="40">
        <v>1.32464</v>
      </c>
      <c r="P48" s="25">
        <v>0.222164</v>
      </c>
      <c r="Q48" s="40">
        <v>8.0859E-2</v>
      </c>
      <c r="R48" s="25">
        <v>5.4168000000000001E-2</v>
      </c>
    </row>
    <row r="49" spans="2:18">
      <c r="B49" s="24" t="s">
        <v>22</v>
      </c>
      <c r="C49" s="40">
        <v>1.2094400000000001</v>
      </c>
      <c r="D49" s="25">
        <v>0.24884999999999999</v>
      </c>
      <c r="E49" s="40">
        <v>6.3342000000000001</v>
      </c>
      <c r="F49" s="25">
        <v>0.51240600000000003</v>
      </c>
      <c r="G49" s="40">
        <v>16.193021000000002</v>
      </c>
      <c r="H49" s="25">
        <v>0.75580700000000001</v>
      </c>
      <c r="I49" s="40">
        <v>22.09845</v>
      </c>
      <c r="J49" s="25">
        <v>0.83055500000000004</v>
      </c>
      <c r="K49" s="40">
        <v>24.965513000000001</v>
      </c>
      <c r="L49" s="25">
        <v>0.85831299999999999</v>
      </c>
      <c r="M49" s="40">
        <v>19.229096999999999</v>
      </c>
      <c r="N49" s="25">
        <v>0.65683599999999998</v>
      </c>
      <c r="O49" s="40">
        <v>8.1872190000000007</v>
      </c>
      <c r="P49" s="25">
        <v>0.50953899999999996</v>
      </c>
      <c r="Q49" s="40">
        <v>1.7830600000000001</v>
      </c>
      <c r="R49" s="25">
        <v>0.24723400000000001</v>
      </c>
    </row>
    <row r="50" spans="2:18">
      <c r="B50" s="24" t="s">
        <v>24</v>
      </c>
      <c r="C50" s="40">
        <v>0.36414099999999999</v>
      </c>
      <c r="D50" s="25">
        <v>0.12814200000000001</v>
      </c>
      <c r="E50" s="40">
        <v>4.0513060000000003</v>
      </c>
      <c r="F50" s="25">
        <v>0.46866799999999997</v>
      </c>
      <c r="G50" s="40">
        <v>14.758836000000001</v>
      </c>
      <c r="H50" s="25">
        <v>0.63109499999999996</v>
      </c>
      <c r="I50" s="40">
        <v>23.674520999999999</v>
      </c>
      <c r="J50" s="25">
        <v>0.83723400000000003</v>
      </c>
      <c r="K50" s="40">
        <v>26.552182999999999</v>
      </c>
      <c r="L50" s="25">
        <v>0.80851200000000001</v>
      </c>
      <c r="M50" s="40">
        <v>21.031065000000002</v>
      </c>
      <c r="N50" s="25">
        <v>0.84227700000000005</v>
      </c>
      <c r="O50" s="40">
        <v>8.1132399999999993</v>
      </c>
      <c r="P50" s="25">
        <v>0.50003299999999995</v>
      </c>
      <c r="Q50" s="40">
        <v>1.4547079999999999</v>
      </c>
      <c r="R50" s="25">
        <v>0.17630999999999999</v>
      </c>
    </row>
    <row r="51" spans="2:18">
      <c r="B51" s="24" t="s">
        <v>30</v>
      </c>
      <c r="C51" s="40">
        <v>0.38489200000000001</v>
      </c>
      <c r="D51" s="25">
        <v>0.10448399999999999</v>
      </c>
      <c r="E51" s="40">
        <v>4.8165269999999998</v>
      </c>
      <c r="F51" s="25">
        <v>0.419597</v>
      </c>
      <c r="G51" s="40">
        <v>19.453509</v>
      </c>
      <c r="H51" s="25">
        <v>0.74616199999999999</v>
      </c>
      <c r="I51" s="40">
        <v>29.390407</v>
      </c>
      <c r="J51" s="25">
        <v>0.74203600000000003</v>
      </c>
      <c r="K51" s="40">
        <v>26.748587000000001</v>
      </c>
      <c r="L51" s="25">
        <v>0.83829500000000001</v>
      </c>
      <c r="M51" s="40">
        <v>15.24971</v>
      </c>
      <c r="N51" s="25">
        <v>0.57248900000000003</v>
      </c>
      <c r="O51" s="40">
        <v>3.7146140000000001</v>
      </c>
      <c r="P51" s="25">
        <v>0.290709</v>
      </c>
      <c r="Q51" s="40">
        <v>0.241754</v>
      </c>
      <c r="R51" s="25">
        <v>8.3665000000000003E-2</v>
      </c>
    </row>
    <row r="52" spans="2:18">
      <c r="B52" s="24"/>
      <c r="C52" s="40"/>
      <c r="D52" s="25"/>
      <c r="E52" s="40"/>
      <c r="F52" s="25"/>
      <c r="G52" s="40"/>
      <c r="H52" s="25"/>
      <c r="I52" s="40"/>
      <c r="J52" s="25"/>
      <c r="K52" s="40"/>
      <c r="L52" s="25"/>
      <c r="M52" s="40"/>
      <c r="N52" s="25"/>
      <c r="O52" s="40"/>
      <c r="P52" s="25"/>
      <c r="Q52" s="40"/>
      <c r="R52" s="25"/>
    </row>
    <row r="53" spans="2:18">
      <c r="B53" s="24" t="s">
        <v>39</v>
      </c>
      <c r="C53" s="40">
        <v>1.0529489999999999</v>
      </c>
      <c r="D53" s="25">
        <v>3.7670000000000002E-2</v>
      </c>
      <c r="E53" s="40">
        <v>6.3017709999999996</v>
      </c>
      <c r="F53" s="25">
        <v>9.1136999999999996E-2</v>
      </c>
      <c r="G53" s="40">
        <v>17.131098000000001</v>
      </c>
      <c r="H53" s="25">
        <v>0.13158800000000001</v>
      </c>
      <c r="I53" s="40">
        <v>25.209613000000001</v>
      </c>
      <c r="J53" s="25">
        <v>0.142091</v>
      </c>
      <c r="K53" s="40">
        <v>25.676779</v>
      </c>
      <c r="L53" s="25">
        <v>0.142232</v>
      </c>
      <c r="M53" s="40">
        <v>17.159054999999999</v>
      </c>
      <c r="N53" s="25">
        <v>0.12319099999999999</v>
      </c>
      <c r="O53" s="40">
        <v>6.2851739999999996</v>
      </c>
      <c r="P53" s="25">
        <v>8.1376000000000004E-2</v>
      </c>
      <c r="Q53" s="40">
        <v>1.1835610000000001</v>
      </c>
      <c r="R53" s="25">
        <v>3.5697E-2</v>
      </c>
    </row>
    <row r="54" spans="2:18">
      <c r="B54" s="24" t="s">
        <v>40</v>
      </c>
      <c r="C54" s="40">
        <v>1.0468770000000001</v>
      </c>
      <c r="D54" s="25">
        <v>6.3705999999999999E-2</v>
      </c>
      <c r="E54" s="40">
        <v>6.3389439999999997</v>
      </c>
      <c r="F54" s="25">
        <v>0.168521</v>
      </c>
      <c r="G54" s="40">
        <v>16.649712000000001</v>
      </c>
      <c r="H54" s="25">
        <v>0.25847599999999998</v>
      </c>
      <c r="I54" s="40">
        <v>25.245671999999999</v>
      </c>
      <c r="J54" s="25">
        <v>0.23242599999999999</v>
      </c>
      <c r="K54" s="40">
        <v>26.656269000000002</v>
      </c>
      <c r="L54" s="25">
        <v>0.24446599999999999</v>
      </c>
      <c r="M54" s="40">
        <v>17.140046999999999</v>
      </c>
      <c r="N54" s="25">
        <v>0.24177999999999999</v>
      </c>
      <c r="O54" s="40">
        <v>5.9362979999999999</v>
      </c>
      <c r="P54" s="25">
        <v>0.14959</v>
      </c>
      <c r="Q54" s="40">
        <v>0.986182</v>
      </c>
      <c r="R54" s="25">
        <v>5.7796E-2</v>
      </c>
    </row>
    <row r="55" spans="2:18">
      <c r="B55" s="24"/>
      <c r="C55" s="40"/>
      <c r="D55" s="25"/>
      <c r="E55" s="40"/>
      <c r="F55" s="25"/>
      <c r="G55" s="40"/>
      <c r="H55" s="25"/>
      <c r="I55" s="40"/>
      <c r="J55" s="25"/>
      <c r="K55" s="40"/>
      <c r="L55" s="25"/>
      <c r="M55" s="40"/>
      <c r="N55" s="25"/>
      <c r="O55" s="40"/>
      <c r="P55" s="25"/>
      <c r="Q55" s="40"/>
      <c r="R55" s="25"/>
    </row>
    <row r="56" spans="2:18">
      <c r="B56" s="24" t="s">
        <v>43</v>
      </c>
      <c r="C56" s="40">
        <v>0.89394700000000005</v>
      </c>
      <c r="D56" s="25">
        <v>0.341833</v>
      </c>
      <c r="E56" s="40">
        <v>5.9760030000000004</v>
      </c>
      <c r="F56" s="25">
        <v>0.96571300000000004</v>
      </c>
      <c r="G56" s="40">
        <v>18.545351</v>
      </c>
      <c r="H56" s="25">
        <v>1.507072</v>
      </c>
      <c r="I56" s="40">
        <v>28.568804</v>
      </c>
      <c r="J56" s="25">
        <v>1.7114769999999999</v>
      </c>
      <c r="K56" s="40">
        <v>28.179835000000001</v>
      </c>
      <c r="L56" s="25">
        <v>1.733077</v>
      </c>
      <c r="M56" s="40">
        <v>13.531487</v>
      </c>
      <c r="N56" s="25">
        <v>1.2651250000000001</v>
      </c>
      <c r="O56" s="40">
        <v>3.8267389999999999</v>
      </c>
      <c r="P56" s="25">
        <v>0.61838000000000004</v>
      </c>
      <c r="Q56" s="40">
        <v>0.47783500000000001</v>
      </c>
      <c r="R56" s="25">
        <v>0.25753999999999999</v>
      </c>
    </row>
    <row r="57" spans="2:18">
      <c r="B57" s="24" t="s">
        <v>44</v>
      </c>
      <c r="C57" s="40">
        <v>0.47071800000000003</v>
      </c>
      <c r="D57" s="25">
        <v>0.251442</v>
      </c>
      <c r="E57" s="40">
        <v>3.596025</v>
      </c>
      <c r="F57" s="25">
        <v>0.71172400000000002</v>
      </c>
      <c r="G57" s="40">
        <v>12.51979</v>
      </c>
      <c r="H57" s="25">
        <v>1.3713900000000001</v>
      </c>
      <c r="I57" s="40">
        <v>26.036639000000001</v>
      </c>
      <c r="J57" s="25">
        <v>2.7048649999999999</v>
      </c>
      <c r="K57" s="40">
        <v>30.575358000000001</v>
      </c>
      <c r="L57" s="25">
        <v>1.9929749999999999</v>
      </c>
      <c r="M57" s="40">
        <v>19.878195999999999</v>
      </c>
      <c r="N57" s="25">
        <v>1.5617620000000001</v>
      </c>
      <c r="O57" s="40">
        <v>6.273714</v>
      </c>
      <c r="P57" s="25">
        <v>1.323474</v>
      </c>
      <c r="Q57" s="40">
        <v>0.64956100000000006</v>
      </c>
      <c r="R57" s="25">
        <v>0.27567900000000001</v>
      </c>
    </row>
    <row r="58" spans="2:18">
      <c r="B58" s="24" t="s">
        <v>175</v>
      </c>
      <c r="C58" s="40">
        <v>0.28932400000000003</v>
      </c>
      <c r="D58" s="25">
        <v>0.17807300000000001</v>
      </c>
      <c r="E58" s="40">
        <v>3.5655679999999998</v>
      </c>
      <c r="F58" s="25">
        <v>0.86744200000000005</v>
      </c>
      <c r="G58" s="40">
        <v>12.275453000000001</v>
      </c>
      <c r="H58" s="25">
        <v>1.514108</v>
      </c>
      <c r="I58" s="40">
        <v>24.331088000000001</v>
      </c>
      <c r="J58" s="25">
        <v>1.6832210000000001</v>
      </c>
      <c r="K58" s="40">
        <v>31.134519000000001</v>
      </c>
      <c r="L58" s="25">
        <v>1.613569</v>
      </c>
      <c r="M58" s="40">
        <v>21.38672</v>
      </c>
      <c r="N58" s="25">
        <v>1.8621559999999999</v>
      </c>
      <c r="O58" s="40">
        <v>6.2414240000000003</v>
      </c>
      <c r="P58" s="25">
        <v>1.283515</v>
      </c>
      <c r="Q58" s="40">
        <v>0.77590400000000004</v>
      </c>
      <c r="R58" s="25">
        <v>0.30706899999999998</v>
      </c>
    </row>
    <row r="59" spans="2:18">
      <c r="B59" s="24" t="s">
        <v>57</v>
      </c>
      <c r="C59" s="40">
        <v>0.59001099999999995</v>
      </c>
      <c r="D59" s="25">
        <v>0.295186</v>
      </c>
      <c r="E59" s="40">
        <v>5.1631340000000003</v>
      </c>
      <c r="F59" s="25">
        <v>0.85491600000000001</v>
      </c>
      <c r="G59" s="40">
        <v>17.245442000000001</v>
      </c>
      <c r="H59" s="25">
        <v>1.4942660000000001</v>
      </c>
      <c r="I59" s="40">
        <v>27.876199</v>
      </c>
      <c r="J59" s="25">
        <v>1.483668</v>
      </c>
      <c r="K59" s="40">
        <v>29.307653999999999</v>
      </c>
      <c r="L59" s="25">
        <v>1.376296</v>
      </c>
      <c r="M59" s="40">
        <v>15.644144000000001</v>
      </c>
      <c r="N59" s="25">
        <v>1.5250699999999999</v>
      </c>
      <c r="O59" s="40">
        <v>3.7279550000000001</v>
      </c>
      <c r="P59" s="25">
        <v>0.72121500000000005</v>
      </c>
      <c r="Q59" s="40">
        <v>0.445461</v>
      </c>
      <c r="R59" s="25">
        <v>0.324409</v>
      </c>
    </row>
    <row r="60" spans="2:18">
      <c r="B60" s="24" t="s">
        <v>176</v>
      </c>
      <c r="C60" s="40">
        <v>0.63968899999999995</v>
      </c>
      <c r="D60" s="25">
        <v>0.25228</v>
      </c>
      <c r="E60" s="40">
        <v>5.0089680000000003</v>
      </c>
      <c r="F60" s="25">
        <v>0.80332899999999996</v>
      </c>
      <c r="G60" s="40">
        <v>16.369315</v>
      </c>
      <c r="H60" s="25">
        <v>1.425535</v>
      </c>
      <c r="I60" s="40">
        <v>28.123678000000002</v>
      </c>
      <c r="J60" s="25">
        <v>1.4156280000000001</v>
      </c>
      <c r="K60" s="40">
        <v>28.429051999999999</v>
      </c>
      <c r="L60" s="25">
        <v>1.7299880000000001</v>
      </c>
      <c r="M60" s="40">
        <v>16.776789000000001</v>
      </c>
      <c r="N60" s="25">
        <v>1.40591</v>
      </c>
      <c r="O60" s="40">
        <v>4.1401250000000003</v>
      </c>
      <c r="P60" s="25">
        <v>0.71153999999999995</v>
      </c>
      <c r="Q60" s="40">
        <v>0.51238399999999995</v>
      </c>
      <c r="R60" s="25">
        <v>0.23828299999999999</v>
      </c>
    </row>
    <row r="61" spans="2:18">
      <c r="B61" s="24" t="s">
        <v>46</v>
      </c>
      <c r="C61" s="40">
        <v>0.701685</v>
      </c>
      <c r="D61" s="25">
        <v>0.27332200000000001</v>
      </c>
      <c r="E61" s="40">
        <v>4.9631499999999997</v>
      </c>
      <c r="F61" s="25">
        <v>0.93940699999999999</v>
      </c>
      <c r="G61" s="40">
        <v>17.947493000000001</v>
      </c>
      <c r="H61" s="25">
        <v>1.7091209999999999</v>
      </c>
      <c r="I61" s="40">
        <v>31.921253</v>
      </c>
      <c r="J61" s="25">
        <v>1.535344</v>
      </c>
      <c r="K61" s="40">
        <v>27.860229</v>
      </c>
      <c r="L61" s="25">
        <v>1.8237810000000001</v>
      </c>
      <c r="M61" s="40">
        <v>13.599017999999999</v>
      </c>
      <c r="N61" s="25">
        <v>1.4200440000000001</v>
      </c>
      <c r="O61" s="40">
        <v>2.7096</v>
      </c>
      <c r="P61" s="25">
        <v>0.58050199999999996</v>
      </c>
      <c r="Q61" s="40">
        <v>0.29757</v>
      </c>
      <c r="R61" s="25">
        <v>0.166126</v>
      </c>
    </row>
    <row r="62" spans="2:18">
      <c r="B62" s="24" t="s">
        <v>47</v>
      </c>
      <c r="C62" s="40">
        <v>0.26335900000000001</v>
      </c>
      <c r="D62" s="25">
        <v>0.20664199999999999</v>
      </c>
      <c r="E62" s="40">
        <v>2.7261820000000001</v>
      </c>
      <c r="F62" s="25">
        <v>0.56079800000000002</v>
      </c>
      <c r="G62" s="40">
        <v>11.669124</v>
      </c>
      <c r="H62" s="25">
        <v>1.4075139999999999</v>
      </c>
      <c r="I62" s="40">
        <v>25.297276</v>
      </c>
      <c r="J62" s="25">
        <v>1.6626749999999999</v>
      </c>
      <c r="K62" s="40">
        <v>32.156539000000002</v>
      </c>
      <c r="L62" s="25">
        <v>1.977638</v>
      </c>
      <c r="M62" s="40">
        <v>21.789088</v>
      </c>
      <c r="N62" s="25">
        <v>2.2253910000000001</v>
      </c>
      <c r="O62" s="40">
        <v>5.5795050000000002</v>
      </c>
      <c r="P62" s="25">
        <v>1.13178</v>
      </c>
      <c r="Q62" s="40">
        <v>0.51892700000000003</v>
      </c>
      <c r="R62" s="25">
        <v>0.26953899999999997</v>
      </c>
    </row>
    <row r="63" spans="2:18">
      <c r="B63" s="24" t="s">
        <v>48</v>
      </c>
      <c r="C63" s="40">
        <v>0.25176100000000001</v>
      </c>
      <c r="D63" s="25">
        <v>0.18743599999999999</v>
      </c>
      <c r="E63" s="40">
        <v>2.8905240000000001</v>
      </c>
      <c r="F63" s="25">
        <v>0.704843</v>
      </c>
      <c r="G63" s="40">
        <v>11.134046</v>
      </c>
      <c r="H63" s="25">
        <v>1.3442160000000001</v>
      </c>
      <c r="I63" s="40">
        <v>24.644962</v>
      </c>
      <c r="J63" s="25">
        <v>1.552627</v>
      </c>
      <c r="K63" s="40">
        <v>32.705773000000001</v>
      </c>
      <c r="L63" s="25">
        <v>1.657975</v>
      </c>
      <c r="M63" s="40">
        <v>21.215591</v>
      </c>
      <c r="N63" s="25">
        <v>1.215592</v>
      </c>
      <c r="O63" s="40">
        <v>6.4393260000000003</v>
      </c>
      <c r="P63" s="25">
        <v>0.84517399999999998</v>
      </c>
      <c r="Q63" s="40">
        <v>0.71801599999999999</v>
      </c>
      <c r="R63" s="25">
        <v>0.34133200000000002</v>
      </c>
    </row>
    <row r="64" spans="2:18">
      <c r="B64" s="24" t="s">
        <v>49</v>
      </c>
      <c r="C64" s="40">
        <v>0.85429999999999995</v>
      </c>
      <c r="D64" s="25">
        <v>0.314778</v>
      </c>
      <c r="E64" s="40">
        <v>4.4357639999999998</v>
      </c>
      <c r="F64" s="25">
        <v>0.81640599999999997</v>
      </c>
      <c r="G64" s="40">
        <v>17.071446000000002</v>
      </c>
      <c r="H64" s="25">
        <v>1.6696139999999999</v>
      </c>
      <c r="I64" s="40">
        <v>30.888950999999999</v>
      </c>
      <c r="J64" s="25">
        <v>1.6969639999999999</v>
      </c>
      <c r="K64" s="40">
        <v>30.031738000000001</v>
      </c>
      <c r="L64" s="25">
        <v>1.8728309999999999</v>
      </c>
      <c r="M64" s="40">
        <v>14.220079999999999</v>
      </c>
      <c r="N64" s="25">
        <v>1.052565</v>
      </c>
      <c r="O64" s="40">
        <v>2.337996</v>
      </c>
      <c r="P64" s="25">
        <v>0.64454400000000001</v>
      </c>
      <c r="Q64" s="40">
        <v>0.159724</v>
      </c>
      <c r="R64" s="25">
        <v>0.16428300000000001</v>
      </c>
    </row>
    <row r="65" spans="2:18">
      <c r="B65" s="24" t="s">
        <v>50</v>
      </c>
      <c r="C65" s="40">
        <v>0.93832499999999996</v>
      </c>
      <c r="D65" s="25">
        <v>0.37165700000000002</v>
      </c>
      <c r="E65" s="40">
        <v>5.5109380000000003</v>
      </c>
      <c r="F65" s="25">
        <v>1.0162929999999999</v>
      </c>
      <c r="G65" s="40">
        <v>17.714435000000002</v>
      </c>
      <c r="H65" s="25">
        <v>1.546028</v>
      </c>
      <c r="I65" s="40">
        <v>28.108243999999999</v>
      </c>
      <c r="J65" s="25">
        <v>1.655834</v>
      </c>
      <c r="K65" s="40">
        <v>28.088986999999999</v>
      </c>
      <c r="L65" s="25">
        <v>1.898601</v>
      </c>
      <c r="M65" s="40">
        <v>15.059340000000001</v>
      </c>
      <c r="N65" s="25">
        <v>1.4227780000000001</v>
      </c>
      <c r="O65" s="40">
        <v>4.0373580000000002</v>
      </c>
      <c r="P65" s="25">
        <v>0.94951600000000003</v>
      </c>
      <c r="Q65" s="40">
        <v>0.54237199999999997</v>
      </c>
      <c r="R65" s="25">
        <v>0.23852799999999999</v>
      </c>
    </row>
    <row r="66" spans="2:18">
      <c r="B66" s="24" t="s">
        <v>51</v>
      </c>
      <c r="C66" s="40">
        <v>4.3750390000000001</v>
      </c>
      <c r="D66" s="25">
        <v>2.1721689999999998</v>
      </c>
      <c r="E66" s="40">
        <v>16.111346999999999</v>
      </c>
      <c r="F66" s="25">
        <v>4.5844779999999998</v>
      </c>
      <c r="G66" s="40">
        <v>28.460563</v>
      </c>
      <c r="H66" s="25">
        <v>3.6658559999999998</v>
      </c>
      <c r="I66" s="40">
        <v>31.258346</v>
      </c>
      <c r="J66" s="25">
        <v>4.5259080000000003</v>
      </c>
      <c r="K66" s="40">
        <v>14.962999999999999</v>
      </c>
      <c r="L66" s="25">
        <v>3.4072979999999999</v>
      </c>
      <c r="M66" s="40">
        <v>4.0820210000000001</v>
      </c>
      <c r="N66" s="25">
        <v>1.896504</v>
      </c>
      <c r="O66" s="40">
        <v>0.72092699999999998</v>
      </c>
      <c r="P66" s="25">
        <v>0.63554900000000003</v>
      </c>
      <c r="Q66" s="40">
        <v>2.8757999999999999E-2</v>
      </c>
      <c r="R66" s="25">
        <v>9.2938999999999994E-2</v>
      </c>
    </row>
    <row r="67" spans="2:18">
      <c r="B67" s="24" t="s">
        <v>41</v>
      </c>
      <c r="C67" s="40">
        <v>0.49537300000000001</v>
      </c>
      <c r="D67" s="25">
        <v>0.29308600000000001</v>
      </c>
      <c r="E67" s="40">
        <v>4.4125969999999999</v>
      </c>
      <c r="F67" s="25">
        <v>0.94111</v>
      </c>
      <c r="G67" s="40">
        <v>17.341386</v>
      </c>
      <c r="H67" s="25">
        <v>1.695784</v>
      </c>
      <c r="I67" s="40">
        <v>29.836005</v>
      </c>
      <c r="J67" s="25">
        <v>1.8071520000000001</v>
      </c>
      <c r="K67" s="40">
        <v>28.910136000000001</v>
      </c>
      <c r="L67" s="25">
        <v>1.760194</v>
      </c>
      <c r="M67" s="40">
        <v>14.489122999999999</v>
      </c>
      <c r="N67" s="25">
        <v>1.578554</v>
      </c>
      <c r="O67" s="40">
        <v>4.1664890000000003</v>
      </c>
      <c r="P67" s="25">
        <v>1.1155630000000001</v>
      </c>
      <c r="Q67" s="40">
        <v>0.34889199999999998</v>
      </c>
      <c r="R67" s="25">
        <v>0.203787</v>
      </c>
    </row>
    <row r="68" spans="2:18">
      <c r="B68" s="24" t="s">
        <v>42</v>
      </c>
      <c r="C68" s="40">
        <v>0.26858500000000002</v>
      </c>
      <c r="D68" s="25">
        <v>0.19922899999999999</v>
      </c>
      <c r="E68" s="40">
        <v>2.520006</v>
      </c>
      <c r="F68" s="25">
        <v>0.59592699999999998</v>
      </c>
      <c r="G68" s="40">
        <v>11.278236</v>
      </c>
      <c r="H68" s="25">
        <v>1.1566000000000001</v>
      </c>
      <c r="I68" s="40">
        <v>24.928097999999999</v>
      </c>
      <c r="J68" s="25">
        <v>1.531325</v>
      </c>
      <c r="K68" s="40">
        <v>33.029722999999997</v>
      </c>
      <c r="L68" s="25">
        <v>1.641445</v>
      </c>
      <c r="M68" s="40">
        <v>21.349097</v>
      </c>
      <c r="N68" s="25">
        <v>1.474998</v>
      </c>
      <c r="O68" s="40">
        <v>6.0269279999999998</v>
      </c>
      <c r="P68" s="25">
        <v>1.207972</v>
      </c>
      <c r="Q68" s="40">
        <v>0.59932700000000005</v>
      </c>
      <c r="R68" s="25">
        <v>0.240423</v>
      </c>
    </row>
    <row r="69" spans="2:18">
      <c r="B69" s="24" t="s">
        <v>177</v>
      </c>
      <c r="C69" s="40">
        <v>0.383266</v>
      </c>
      <c r="D69" s="25">
        <v>0.18815399999999999</v>
      </c>
      <c r="E69" s="40">
        <v>3.2928989999999998</v>
      </c>
      <c r="F69" s="25">
        <v>0.73331900000000005</v>
      </c>
      <c r="G69" s="40">
        <v>11.604331</v>
      </c>
      <c r="H69" s="25">
        <v>1.07643</v>
      </c>
      <c r="I69" s="40">
        <v>25.673109</v>
      </c>
      <c r="J69" s="25">
        <v>1.5395639999999999</v>
      </c>
      <c r="K69" s="40">
        <v>32.126747999999999</v>
      </c>
      <c r="L69" s="25">
        <v>1.4163650000000001</v>
      </c>
      <c r="M69" s="40">
        <v>20.413831999999999</v>
      </c>
      <c r="N69" s="25">
        <v>1.2211719999999999</v>
      </c>
      <c r="O69" s="40">
        <v>5.7500549999999997</v>
      </c>
      <c r="P69" s="25">
        <v>0.88428799999999996</v>
      </c>
      <c r="Q69" s="40">
        <v>0.75575800000000004</v>
      </c>
      <c r="R69" s="25">
        <v>0.31052299999999999</v>
      </c>
    </row>
    <row r="70" spans="2:18">
      <c r="B70" s="24" t="s">
        <v>53</v>
      </c>
      <c r="C70" s="40">
        <v>3.1231040000000001</v>
      </c>
      <c r="D70" s="25">
        <v>2.1882899999999998</v>
      </c>
      <c r="E70" s="40">
        <v>16.740131999999999</v>
      </c>
      <c r="F70" s="25">
        <v>4.0695290000000002</v>
      </c>
      <c r="G70" s="40">
        <v>31.562083000000001</v>
      </c>
      <c r="H70" s="25">
        <v>3.5270869999999999</v>
      </c>
      <c r="I70" s="40">
        <v>26.770613999999998</v>
      </c>
      <c r="J70" s="25">
        <v>4.2405749999999998</v>
      </c>
      <c r="K70" s="40">
        <v>14.206122000000001</v>
      </c>
      <c r="L70" s="25">
        <v>3.153597</v>
      </c>
      <c r="M70" s="40">
        <v>6.0556570000000001</v>
      </c>
      <c r="N70" s="25">
        <v>2.269485</v>
      </c>
      <c r="O70" s="40">
        <v>1.4245939999999999</v>
      </c>
      <c r="P70" s="25">
        <v>0.97504999999999997</v>
      </c>
      <c r="Q70" s="40">
        <v>0.11769499999999999</v>
      </c>
      <c r="R70" s="25">
        <v>0.299012</v>
      </c>
    </row>
    <row r="71" spans="2:18">
      <c r="B71" s="24" t="s">
        <v>178</v>
      </c>
      <c r="C71" s="40">
        <v>0.65708</v>
      </c>
      <c r="D71" s="25">
        <v>0.29264800000000002</v>
      </c>
      <c r="E71" s="40">
        <v>5.1844739999999998</v>
      </c>
      <c r="F71" s="25">
        <v>1.132663</v>
      </c>
      <c r="G71" s="40">
        <v>17.000446</v>
      </c>
      <c r="H71" s="25">
        <v>1.6799269999999999</v>
      </c>
      <c r="I71" s="40">
        <v>27.415379000000001</v>
      </c>
      <c r="J71" s="25">
        <v>1.651745</v>
      </c>
      <c r="K71" s="40">
        <v>28.844618000000001</v>
      </c>
      <c r="L71" s="25">
        <v>1.7484599999999999</v>
      </c>
      <c r="M71" s="40">
        <v>16.033729999999998</v>
      </c>
      <c r="N71" s="25">
        <v>1.2882389999999999</v>
      </c>
      <c r="O71" s="40">
        <v>4.3765799999999997</v>
      </c>
      <c r="P71" s="25">
        <v>0.63857799999999998</v>
      </c>
      <c r="Q71" s="40">
        <v>0.48769400000000002</v>
      </c>
      <c r="R71" s="25">
        <v>0.22818099999999999</v>
      </c>
    </row>
    <row r="72" spans="2:18">
      <c r="B72" s="24" t="s">
        <v>179</v>
      </c>
      <c r="C72" s="40">
        <v>0.40610499999999999</v>
      </c>
      <c r="D72" s="25">
        <v>0.20058300000000001</v>
      </c>
      <c r="E72" s="40">
        <v>3.7386010000000001</v>
      </c>
      <c r="F72" s="25">
        <v>0.712148</v>
      </c>
      <c r="G72" s="40">
        <v>15.570171999999999</v>
      </c>
      <c r="H72" s="25">
        <v>1.5531140000000001</v>
      </c>
      <c r="I72" s="40">
        <v>27.780228000000001</v>
      </c>
      <c r="J72" s="25">
        <v>1.481692</v>
      </c>
      <c r="K72" s="40">
        <v>29.487952</v>
      </c>
      <c r="L72" s="25">
        <v>1.796505</v>
      </c>
      <c r="M72" s="40">
        <v>17.866581</v>
      </c>
      <c r="N72" s="25">
        <v>1.738016</v>
      </c>
      <c r="O72" s="40">
        <v>4.7384139999999997</v>
      </c>
      <c r="P72" s="25">
        <v>0.84196599999999999</v>
      </c>
      <c r="Q72" s="40">
        <v>0.41194500000000001</v>
      </c>
      <c r="R72" s="25">
        <v>0.238376</v>
      </c>
    </row>
    <row r="73" spans="2:18">
      <c r="B73" s="24" t="s">
        <v>45</v>
      </c>
      <c r="C73" s="40">
        <v>0.70447800000000005</v>
      </c>
      <c r="D73" s="25">
        <v>0.26942199999999999</v>
      </c>
      <c r="E73" s="40">
        <v>4.5645850000000001</v>
      </c>
      <c r="F73" s="25">
        <v>0.65584100000000001</v>
      </c>
      <c r="G73" s="40">
        <v>16.131170999999998</v>
      </c>
      <c r="H73" s="25">
        <v>1.2642359999999999</v>
      </c>
      <c r="I73" s="40">
        <v>29.441911999999999</v>
      </c>
      <c r="J73" s="25">
        <v>0.90550900000000001</v>
      </c>
      <c r="K73" s="40">
        <v>30.617034</v>
      </c>
      <c r="L73" s="25">
        <v>1.0811409999999999</v>
      </c>
      <c r="M73" s="40">
        <v>15.225777000000001</v>
      </c>
      <c r="N73" s="25">
        <v>1.111904</v>
      </c>
      <c r="O73" s="40">
        <v>3.075358</v>
      </c>
      <c r="P73" s="25">
        <v>0.65244100000000005</v>
      </c>
      <c r="Q73" s="40">
        <v>0.23968500000000001</v>
      </c>
      <c r="R73" s="25">
        <v>0.10724499999999999</v>
      </c>
    </row>
    <row r="74" spans="2:18">
      <c r="B74" s="65" t="s">
        <v>52</v>
      </c>
      <c r="C74" s="50">
        <v>0.36861500000000003</v>
      </c>
      <c r="D74" s="25">
        <v>0.23449600000000001</v>
      </c>
      <c r="E74" s="50">
        <v>3.2921610000000001</v>
      </c>
      <c r="F74" s="25">
        <v>0.79366800000000004</v>
      </c>
      <c r="G74" s="40">
        <v>13.462503999999999</v>
      </c>
      <c r="H74" s="25">
        <v>2.2098789999999999</v>
      </c>
      <c r="I74" s="40">
        <v>25.540692</v>
      </c>
      <c r="J74" s="25">
        <v>1.851032</v>
      </c>
      <c r="K74" s="40">
        <v>30.142313000000001</v>
      </c>
      <c r="L74" s="25">
        <v>1.8655280000000001</v>
      </c>
      <c r="M74" s="40">
        <v>20.260159999999999</v>
      </c>
      <c r="N74" s="25">
        <v>1.9893940000000001</v>
      </c>
      <c r="O74" s="40">
        <v>6.2771970000000001</v>
      </c>
      <c r="P74" s="25">
        <v>1.944747</v>
      </c>
      <c r="Q74" s="40">
        <v>0.65635900000000003</v>
      </c>
      <c r="R74" s="29">
        <v>0.47173999999999999</v>
      </c>
    </row>
  </sheetData>
  <sortState ref="T56:AJ74">
    <sortCondition ref="T56"/>
  </sortState>
  <mergeCells count="10">
    <mergeCell ref="B7:R7"/>
    <mergeCell ref="B8:B9"/>
    <mergeCell ref="C8:D8"/>
    <mergeCell ref="E8:F8"/>
    <mergeCell ref="G8:H8"/>
    <mergeCell ref="I8:J8"/>
    <mergeCell ref="K8:L8"/>
    <mergeCell ref="M8:N8"/>
    <mergeCell ref="O8:P8"/>
    <mergeCell ref="Q8:R8"/>
  </mergeCells>
  <hyperlinks>
    <hyperlink ref="B5" location="Índice!A1" display="Índice" xr:uid="{00000000-0004-0000-1400-000000000000}"/>
  </hyperlink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2:J12"/>
  <sheetViews>
    <sheetView topLeftCell="A4" zoomScaleNormal="100" workbookViewId="0"/>
  </sheetViews>
  <sheetFormatPr baseColWidth="10" defaultColWidth="11.44140625" defaultRowHeight="14.4"/>
  <cols>
    <col min="1" max="1" width="11.44140625" style="59"/>
    <col min="2" max="2" width="17" style="59" customWidth="1"/>
    <col min="3" max="3" width="11.6640625" style="59" customWidth="1"/>
    <col min="4" max="4" width="11.5546875" style="59" customWidth="1"/>
    <col min="5" max="6" width="11.6640625" style="59" customWidth="1"/>
    <col min="7" max="7" width="11.5546875" style="59" customWidth="1"/>
    <col min="8" max="10" width="11.6640625" style="59" customWidth="1"/>
    <col min="11" max="16384" width="11.44140625" style="59"/>
  </cols>
  <sheetData>
    <row r="2" spans="2:10">
      <c r="B2" s="3" t="s">
        <v>157</v>
      </c>
      <c r="G2" s="6"/>
      <c r="H2" s="6"/>
      <c r="I2" s="6"/>
    </row>
    <row r="3" spans="2:10">
      <c r="B3" s="36" t="s">
        <v>128</v>
      </c>
      <c r="G3" s="6"/>
      <c r="H3" s="6"/>
      <c r="I3" s="6"/>
    </row>
    <row r="4" spans="2:10" ht="15.75" customHeight="1">
      <c r="B4" s="57" t="s">
        <v>158</v>
      </c>
    </row>
    <row r="5" spans="2:10" ht="15" customHeight="1">
      <c r="B5" s="4" t="s">
        <v>0</v>
      </c>
    </row>
    <row r="7" spans="2:10" ht="18" customHeight="1">
      <c r="B7" s="73" t="s">
        <v>172</v>
      </c>
      <c r="C7" s="73"/>
      <c r="D7" s="73"/>
      <c r="E7" s="73"/>
      <c r="F7" s="73"/>
      <c r="G7" s="73"/>
      <c r="H7" s="73"/>
      <c r="I7" s="73"/>
      <c r="J7" s="73"/>
    </row>
    <row r="8" spans="2:10">
      <c r="B8" s="73" t="s">
        <v>54</v>
      </c>
      <c r="C8" s="73">
        <v>2022</v>
      </c>
      <c r="D8" s="73"/>
      <c r="E8" s="73">
        <v>2018</v>
      </c>
      <c r="F8" s="73"/>
      <c r="G8" s="73">
        <v>2015</v>
      </c>
      <c r="H8" s="73"/>
      <c r="I8" s="73">
        <v>2012</v>
      </c>
      <c r="J8" s="73"/>
    </row>
    <row r="9" spans="2:10" ht="18" customHeight="1">
      <c r="B9" s="73"/>
      <c r="C9" s="38" t="s">
        <v>56</v>
      </c>
      <c r="D9" s="38" t="s">
        <v>55</v>
      </c>
      <c r="E9" s="38" t="s">
        <v>56</v>
      </c>
      <c r="F9" s="38" t="s">
        <v>55</v>
      </c>
      <c r="G9" s="38" t="s">
        <v>56</v>
      </c>
      <c r="H9" s="38" t="s">
        <v>55</v>
      </c>
      <c r="I9" s="38" t="s">
        <v>56</v>
      </c>
      <c r="J9" s="38" t="s">
        <v>55</v>
      </c>
    </row>
    <row r="10" spans="2:10">
      <c r="B10" s="23" t="s">
        <v>26</v>
      </c>
      <c r="C10" s="32">
        <v>474.30709999999999</v>
      </c>
      <c r="D10" s="31">
        <v>1.6535599999999999</v>
      </c>
      <c r="E10" s="32"/>
      <c r="F10" s="31"/>
      <c r="G10" s="32">
        <v>495.57639999999998</v>
      </c>
      <c r="H10" s="31">
        <v>2.3637999999999999</v>
      </c>
      <c r="I10" s="32">
        <v>487.93918200000002</v>
      </c>
      <c r="J10" s="31">
        <v>1.90900812</v>
      </c>
    </row>
    <row r="11" spans="2:10">
      <c r="B11" s="23" t="s">
        <v>39</v>
      </c>
      <c r="C11" s="32">
        <v>475.58819999999997</v>
      </c>
      <c r="D11" s="31">
        <v>0.45239400000000002</v>
      </c>
      <c r="E11" s="32">
        <v>486.83981799999998</v>
      </c>
      <c r="F11" s="31">
        <v>0.40581070000000002</v>
      </c>
      <c r="G11" s="32">
        <v>492.5489</v>
      </c>
      <c r="H11" s="31">
        <v>0.4642</v>
      </c>
      <c r="I11" s="32">
        <v>496.46286400000002</v>
      </c>
      <c r="J11" s="31">
        <v>0.50525454000000003</v>
      </c>
    </row>
    <row r="12" spans="2:10">
      <c r="B12" s="51" t="s">
        <v>40</v>
      </c>
      <c r="C12" s="54">
        <v>474.66079999999999</v>
      </c>
      <c r="D12" s="53">
        <v>0.96020899999999998</v>
      </c>
      <c r="E12" s="54">
        <v>489.185518</v>
      </c>
      <c r="F12" s="53">
        <v>0.87904501000000002</v>
      </c>
      <c r="G12" s="54">
        <v>494.45482900000002</v>
      </c>
      <c r="H12" s="53">
        <v>0.87288564999999996</v>
      </c>
      <c r="I12" s="54"/>
      <c r="J12" s="55"/>
    </row>
  </sheetData>
  <mergeCells count="6">
    <mergeCell ref="B7:J7"/>
    <mergeCell ref="B8:B9"/>
    <mergeCell ref="C8:D8"/>
    <mergeCell ref="E8:F8"/>
    <mergeCell ref="G8:H8"/>
    <mergeCell ref="I8:J8"/>
  </mergeCells>
  <hyperlinks>
    <hyperlink ref="B5" location="Índice!A1" display="Índice" xr:uid="{00000000-0004-0000-1500-000000000000}"/>
  </hyperlink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2:N74"/>
  <sheetViews>
    <sheetView topLeftCell="A43" zoomScaleNormal="100" workbookViewId="0">
      <selection activeCell="M78" sqref="M78"/>
    </sheetView>
  </sheetViews>
  <sheetFormatPr baseColWidth="10" defaultColWidth="11.44140625" defaultRowHeight="14.4"/>
  <cols>
    <col min="1" max="1" width="11.44140625" style="60"/>
    <col min="2" max="2" width="27.88671875" style="60" customWidth="1"/>
    <col min="3" max="3" width="11.6640625" style="60" customWidth="1"/>
    <col min="4" max="4" width="11.5546875" style="60" customWidth="1"/>
    <col min="5" max="6" width="11.6640625" style="60" customWidth="1"/>
    <col min="7" max="7" width="11.5546875" style="60" customWidth="1"/>
    <col min="8" max="10" width="11.6640625" style="60" customWidth="1"/>
    <col min="11" max="16384" width="11.44140625" style="60"/>
  </cols>
  <sheetData>
    <row r="2" spans="2:14">
      <c r="B2" s="3" t="s">
        <v>160</v>
      </c>
      <c r="G2" s="6"/>
      <c r="H2" s="6"/>
      <c r="I2" s="6"/>
    </row>
    <row r="3" spans="2:14">
      <c r="B3" s="36" t="s">
        <v>79</v>
      </c>
      <c r="G3" s="6"/>
      <c r="H3" s="6"/>
      <c r="I3" s="6"/>
    </row>
    <row r="4" spans="2:14" ht="15.75" customHeight="1">
      <c r="B4" s="57" t="s">
        <v>161</v>
      </c>
    </row>
    <row r="5" spans="2:14" ht="15" customHeight="1">
      <c r="B5" s="4" t="s">
        <v>0</v>
      </c>
    </row>
    <row r="7" spans="2:14" ht="18" customHeight="1">
      <c r="B7" s="74" t="s">
        <v>172</v>
      </c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</row>
    <row r="8" spans="2:14">
      <c r="B8" s="73" t="s">
        <v>54</v>
      </c>
      <c r="C8" s="73">
        <v>2022</v>
      </c>
      <c r="D8" s="73"/>
      <c r="E8" s="73">
        <v>2018</v>
      </c>
      <c r="F8" s="73"/>
      <c r="G8" s="73">
        <v>2015</v>
      </c>
      <c r="H8" s="73"/>
      <c r="I8" s="73">
        <v>2012</v>
      </c>
      <c r="J8" s="73"/>
      <c r="K8" s="73" t="s">
        <v>132</v>
      </c>
      <c r="L8" s="73"/>
      <c r="M8" s="73" t="s">
        <v>133</v>
      </c>
      <c r="N8" s="73"/>
    </row>
    <row r="9" spans="2:14" ht="18" customHeight="1">
      <c r="B9" s="73"/>
      <c r="C9" s="38" t="s">
        <v>56</v>
      </c>
      <c r="D9" s="38" t="s">
        <v>55</v>
      </c>
      <c r="E9" s="38" t="s">
        <v>56</v>
      </c>
      <c r="F9" s="38" t="s">
        <v>55</v>
      </c>
      <c r="G9" s="38" t="s">
        <v>56</v>
      </c>
      <c r="H9" s="38" t="s">
        <v>55</v>
      </c>
      <c r="I9" s="38" t="s">
        <v>56</v>
      </c>
      <c r="J9" s="38" t="s">
        <v>55</v>
      </c>
      <c r="K9" s="38" t="s">
        <v>134</v>
      </c>
      <c r="L9" s="38" t="s">
        <v>55</v>
      </c>
      <c r="M9" s="38" t="s">
        <v>134</v>
      </c>
      <c r="N9" s="38" t="s">
        <v>55</v>
      </c>
    </row>
    <row r="10" spans="2:14">
      <c r="B10" s="23" t="s">
        <v>16</v>
      </c>
      <c r="C10" s="32">
        <v>479.79402499999998</v>
      </c>
      <c r="D10" s="31">
        <v>3.6091039999999999</v>
      </c>
      <c r="E10" s="32">
        <v>498.27925642959025</v>
      </c>
      <c r="F10" s="31">
        <v>3.025407912269312</v>
      </c>
      <c r="G10" s="32">
        <v>509.10410000000002</v>
      </c>
      <c r="H10" s="31">
        <v>3.0185</v>
      </c>
      <c r="I10" s="32">
        <v>507.67652976553001</v>
      </c>
      <c r="J10" s="31">
        <v>2.8160085383471314</v>
      </c>
      <c r="K10" s="32">
        <v>-27.88250476553003</v>
      </c>
      <c r="L10" s="31">
        <v>4.5777216790517032</v>
      </c>
      <c r="M10" s="32">
        <v>-18.485231429590272</v>
      </c>
      <c r="N10" s="31">
        <v>4.7094293410600985</v>
      </c>
    </row>
    <row r="11" spans="2:14">
      <c r="B11" s="23" t="s">
        <v>14</v>
      </c>
      <c r="C11" s="32">
        <v>498.05094000000003</v>
      </c>
      <c r="D11" s="31">
        <v>2.0135909999999999</v>
      </c>
      <c r="E11" s="32">
        <v>502.6317244226525</v>
      </c>
      <c r="F11" s="31">
        <v>1.6343430782943791</v>
      </c>
      <c r="G11" s="32">
        <v>502.9006</v>
      </c>
      <c r="H11" s="31">
        <v>1.6909000000000001</v>
      </c>
      <c r="I11" s="32">
        <v>511.80399766650743</v>
      </c>
      <c r="J11" s="31">
        <v>1.5767988826038144</v>
      </c>
      <c r="K11" s="32">
        <v>-13.753057666507402</v>
      </c>
      <c r="L11" s="31">
        <v>2.5575072690926288</v>
      </c>
      <c r="M11" s="32">
        <v>-4.5807844226524708</v>
      </c>
      <c r="N11" s="31">
        <v>2.5933811931240935</v>
      </c>
    </row>
    <row r="12" spans="2:14">
      <c r="B12" s="23" t="s">
        <v>18</v>
      </c>
      <c r="C12" s="32">
        <v>480.40584699999999</v>
      </c>
      <c r="D12" s="31">
        <v>2.6682540000000001</v>
      </c>
      <c r="E12" s="32">
        <v>484.39256851199968</v>
      </c>
      <c r="F12" s="31">
        <v>2.6974721130715036</v>
      </c>
      <c r="G12" s="32">
        <v>484.86559999999997</v>
      </c>
      <c r="H12" s="31">
        <v>2.8353000000000002</v>
      </c>
      <c r="I12" s="32">
        <v>489.60933538438769</v>
      </c>
      <c r="J12" s="31">
        <v>2.7611911662509434</v>
      </c>
      <c r="K12" s="32">
        <v>-9.2034883843876969</v>
      </c>
      <c r="L12" s="31">
        <v>3.8397598968032165</v>
      </c>
      <c r="M12" s="32">
        <v>-3.9867215119996899</v>
      </c>
      <c r="N12" s="31">
        <v>3.7941975712019058</v>
      </c>
    </row>
    <row r="13" spans="2:14">
      <c r="B13" s="23" t="s">
        <v>28</v>
      </c>
      <c r="C13" s="32">
        <v>478.85266799999999</v>
      </c>
      <c r="D13" s="31">
        <v>2.523596</v>
      </c>
      <c r="E13" s="32">
        <v>492.86443860384344</v>
      </c>
      <c r="F13" s="31">
        <v>2.3219733225530965</v>
      </c>
      <c r="G13" s="32">
        <v>498.52420000000001</v>
      </c>
      <c r="H13" s="31">
        <v>2.4157000000000002</v>
      </c>
      <c r="I13" s="32">
        <v>509.10804852892363</v>
      </c>
      <c r="J13" s="31">
        <v>2.1607507202167864</v>
      </c>
      <c r="K13" s="32">
        <v>-30.255380528923638</v>
      </c>
      <c r="L13" s="31">
        <v>3.3222553252471974</v>
      </c>
      <c r="M13" s="32">
        <v>-14.011770603843445</v>
      </c>
      <c r="N13" s="31">
        <v>3.4292997655300224</v>
      </c>
    </row>
    <row r="14" spans="2:14">
      <c r="B14" s="23" t="s">
        <v>20</v>
      </c>
      <c r="C14" s="32">
        <v>404.30374</v>
      </c>
      <c r="D14" s="31">
        <v>3.3957519999999999</v>
      </c>
      <c r="E14" s="32">
        <v>419.8440059642511</v>
      </c>
      <c r="F14" s="31">
        <v>3.9125771223763697</v>
      </c>
      <c r="G14" s="32">
        <v>431.71749999999997</v>
      </c>
      <c r="H14" s="31">
        <v>4.9977</v>
      </c>
      <c r="I14" s="32" t="s">
        <v>135</v>
      </c>
      <c r="J14" s="31" t="s">
        <v>135</v>
      </c>
      <c r="K14" s="32" t="s">
        <v>135</v>
      </c>
      <c r="L14" s="31" t="s">
        <v>135</v>
      </c>
      <c r="M14" s="32">
        <v>-15.540265964251091</v>
      </c>
      <c r="N14" s="31">
        <v>5.1806748000667788</v>
      </c>
    </row>
    <row r="15" spans="2:14">
      <c r="B15" s="23" t="s">
        <v>6</v>
      </c>
      <c r="C15" s="32">
        <v>507.13289600000002</v>
      </c>
      <c r="D15" s="31">
        <v>1.9656290000000001</v>
      </c>
      <c r="E15" s="32">
        <v>520.0855209265161</v>
      </c>
      <c r="F15" s="31">
        <v>1.7997161634455716</v>
      </c>
      <c r="G15" s="32">
        <v>526.66780000000006</v>
      </c>
      <c r="H15" s="31">
        <v>2.3008999999999999</v>
      </c>
      <c r="I15" s="32">
        <v>523.12400296667249</v>
      </c>
      <c r="J15" s="31">
        <v>1.9256304527179311</v>
      </c>
      <c r="K15" s="32">
        <v>-15.991106966672476</v>
      </c>
      <c r="L15" s="31">
        <v>2.7516813053251035</v>
      </c>
      <c r="M15" s="32">
        <v>-12.95262492651608</v>
      </c>
      <c r="N15" s="31">
        <v>2.6650845454897389</v>
      </c>
    </row>
    <row r="16" spans="2:14">
      <c r="B16" s="23" t="s">
        <v>1</v>
      </c>
      <c r="C16" s="32">
        <v>447.97895699999998</v>
      </c>
      <c r="D16" s="31">
        <v>2.6325599999999998</v>
      </c>
      <c r="E16" s="32">
        <v>452.27255409198563</v>
      </c>
      <c r="F16" s="31">
        <v>2.6437662224554819</v>
      </c>
      <c r="G16" s="32">
        <v>458.57089999999999</v>
      </c>
      <c r="H16" s="31">
        <v>2.5849000000000002</v>
      </c>
      <c r="I16" s="32">
        <v>441.39816334535374</v>
      </c>
      <c r="J16" s="31">
        <v>2.9021027646258784</v>
      </c>
      <c r="K16" s="32">
        <v>6.5807936546462429</v>
      </c>
      <c r="L16" s="31">
        <v>3.9182359053596003</v>
      </c>
      <c r="M16" s="32">
        <v>-4.2935970919856459</v>
      </c>
      <c r="N16" s="31">
        <v>3.7309344664033604</v>
      </c>
    </row>
    <row r="17" spans="2:14">
      <c r="B17" s="23" t="s">
        <v>82</v>
      </c>
      <c r="C17" s="32">
        <v>381.07572399999998</v>
      </c>
      <c r="D17" s="31">
        <v>1.164199</v>
      </c>
      <c r="E17" s="32" t="s">
        <v>135</v>
      </c>
      <c r="F17" s="31" t="s">
        <v>135</v>
      </c>
      <c r="G17" s="32">
        <v>442.83143879515046</v>
      </c>
      <c r="H17" s="31">
        <v>1.658710235810499</v>
      </c>
      <c r="I17" s="32" t="s">
        <v>135</v>
      </c>
      <c r="J17" s="31" t="s">
        <v>135</v>
      </c>
      <c r="K17" s="32" t="s">
        <v>135</v>
      </c>
      <c r="L17" s="31" t="s">
        <v>135</v>
      </c>
      <c r="M17" s="32" t="s">
        <v>135</v>
      </c>
      <c r="N17" s="31" t="s">
        <v>135</v>
      </c>
    </row>
    <row r="18" spans="2:14">
      <c r="B18" s="23" t="s">
        <v>29</v>
      </c>
      <c r="C18" s="32">
        <v>408.66502600000001</v>
      </c>
      <c r="D18" s="31">
        <v>3.7510400000000002</v>
      </c>
      <c r="E18" s="32">
        <v>412.29508567556366</v>
      </c>
      <c r="F18" s="31">
        <v>3.2513437048039844</v>
      </c>
      <c r="G18" s="32" t="s">
        <v>135</v>
      </c>
      <c r="H18" s="31" t="s">
        <v>135</v>
      </c>
      <c r="I18" s="32" t="s">
        <v>135</v>
      </c>
      <c r="J18" s="31" t="s">
        <v>135</v>
      </c>
      <c r="K18" s="32" t="s">
        <v>135</v>
      </c>
      <c r="L18" s="31" t="s">
        <v>135</v>
      </c>
      <c r="M18" s="32">
        <v>-3.6300596755636434</v>
      </c>
      <c r="N18" s="31">
        <v>4.9640242715329768</v>
      </c>
    </row>
    <row r="19" spans="2:14">
      <c r="B19" s="23" t="s">
        <v>25</v>
      </c>
      <c r="C19" s="32">
        <v>515.415392</v>
      </c>
      <c r="D19" s="31">
        <v>3.6323099999999999</v>
      </c>
      <c r="E19" s="32">
        <v>514.05228795826554</v>
      </c>
      <c r="F19" s="31">
        <v>2.9405429951509268</v>
      </c>
      <c r="G19" s="32">
        <v>517.43669999999997</v>
      </c>
      <c r="H19" s="31">
        <v>3.5047000000000001</v>
      </c>
      <c r="I19" s="32">
        <v>535.79049035632613</v>
      </c>
      <c r="J19" s="31">
        <v>3.941383560845122</v>
      </c>
      <c r="K19" s="32">
        <v>-20.375098356326134</v>
      </c>
      <c r="L19" s="31">
        <v>5.3598675645765885</v>
      </c>
      <c r="M19" s="32">
        <v>1.3631040417344593</v>
      </c>
      <c r="N19" s="31">
        <v>4.6733787608571999</v>
      </c>
    </row>
    <row r="20" spans="2:14">
      <c r="B20" s="23" t="s">
        <v>83</v>
      </c>
      <c r="C20" s="32">
        <v>415.23307999999997</v>
      </c>
      <c r="D20" s="31">
        <v>2.6597469999999999</v>
      </c>
      <c r="E20" s="32" t="s">
        <v>135</v>
      </c>
      <c r="F20" s="31" t="s">
        <v>135</v>
      </c>
      <c r="G20" s="32" t="s">
        <v>135</v>
      </c>
      <c r="H20" s="31" t="s">
        <v>135</v>
      </c>
      <c r="I20" s="32" t="s">
        <v>135</v>
      </c>
      <c r="J20" s="31" t="s">
        <v>135</v>
      </c>
      <c r="K20" s="32" t="s">
        <v>135</v>
      </c>
      <c r="L20" s="31" t="s">
        <v>135</v>
      </c>
      <c r="M20" s="32" t="s">
        <v>135</v>
      </c>
      <c r="N20" s="31" t="s">
        <v>135</v>
      </c>
    </row>
    <row r="21" spans="2:14">
      <c r="B21" s="23" t="s">
        <v>15</v>
      </c>
      <c r="C21" s="32">
        <v>475.49894599999999</v>
      </c>
      <c r="D21" s="31">
        <v>2.4424199999999998</v>
      </c>
      <c r="E21" s="32">
        <v>478.98915239507858</v>
      </c>
      <c r="F21" s="31">
        <v>2.6685131126069774</v>
      </c>
      <c r="G21" s="32">
        <v>486.86320000000001</v>
      </c>
      <c r="H21" s="31">
        <v>2.6768000000000001</v>
      </c>
      <c r="I21" s="32" t="s">
        <v>135</v>
      </c>
      <c r="J21" s="31" t="s">
        <v>135</v>
      </c>
      <c r="K21" s="32" t="s">
        <v>135</v>
      </c>
      <c r="L21" s="31" t="s">
        <v>135</v>
      </c>
      <c r="M21" s="32">
        <v>-3.4902063950785873</v>
      </c>
      <c r="N21" s="31">
        <v>3.6175098740093823</v>
      </c>
    </row>
    <row r="22" spans="2:14">
      <c r="B22" s="23" t="s">
        <v>8</v>
      </c>
      <c r="C22" s="32">
        <v>488.80099100000001</v>
      </c>
      <c r="D22" s="31">
        <v>2.5782750000000001</v>
      </c>
      <c r="E22" s="32">
        <v>501.12993377404837</v>
      </c>
      <c r="F22" s="31">
        <v>1.7954575451333346</v>
      </c>
      <c r="G22" s="32">
        <v>499.81459999999998</v>
      </c>
      <c r="H22" s="31">
        <v>2.5445000000000002</v>
      </c>
      <c r="I22" s="32">
        <v>496.13088138356824</v>
      </c>
      <c r="J22" s="31">
        <v>2.6478165177079873</v>
      </c>
      <c r="K22" s="32">
        <v>-7.3298903835682268</v>
      </c>
      <c r="L22" s="31">
        <v>3.6957319014063037</v>
      </c>
      <c r="M22" s="32">
        <v>-12.328942774048357</v>
      </c>
      <c r="N22" s="31">
        <v>3.1418417802303829</v>
      </c>
    </row>
    <row r="23" spans="2:14">
      <c r="B23" s="23" t="s">
        <v>10</v>
      </c>
      <c r="C23" s="32">
        <v>468.53601300000003</v>
      </c>
      <c r="D23" s="31">
        <v>1.64436</v>
      </c>
      <c r="E23" s="32">
        <v>495.34561512604085</v>
      </c>
      <c r="F23" s="31">
        <v>1.2322991646209118</v>
      </c>
      <c r="G23" s="32">
        <v>505.21589999999998</v>
      </c>
      <c r="H23" s="31">
        <v>1.4729000000000001</v>
      </c>
      <c r="I23" s="32">
        <v>481.31628349168358</v>
      </c>
      <c r="J23" s="31">
        <v>1.2182047384649419</v>
      </c>
      <c r="K23" s="32">
        <v>-12.780270491683552</v>
      </c>
      <c r="L23" s="31">
        <v>2.0464463331390923</v>
      </c>
      <c r="M23" s="32">
        <v>-26.809602126040829</v>
      </c>
      <c r="N23" s="31">
        <v>2.0548676455493178</v>
      </c>
    </row>
    <row r="24" spans="2:14">
      <c r="B24" s="23" t="s">
        <v>26</v>
      </c>
      <c r="C24" s="32">
        <v>474.30711200000002</v>
      </c>
      <c r="D24" s="31">
        <v>1.6535599999999999</v>
      </c>
      <c r="E24" s="32"/>
      <c r="F24" s="31"/>
      <c r="G24" s="32">
        <v>495.57639999999998</v>
      </c>
      <c r="H24" s="31">
        <v>2.3637999999999999</v>
      </c>
      <c r="I24" s="32">
        <v>487.93918159778912</v>
      </c>
      <c r="J24" s="31">
        <v>1.9090081215401711</v>
      </c>
      <c r="K24" s="32">
        <v>-13.632069597789098</v>
      </c>
      <c r="L24" s="31">
        <v>2.5255836318970575</v>
      </c>
      <c r="M24" s="32" t="s">
        <v>135</v>
      </c>
      <c r="N24" s="31" t="s">
        <v>135</v>
      </c>
    </row>
    <row r="25" spans="2:14">
      <c r="B25" s="23" t="s">
        <v>7</v>
      </c>
      <c r="C25" s="32">
        <v>503.93757399999998</v>
      </c>
      <c r="D25" s="31">
        <v>4.3262159999999996</v>
      </c>
      <c r="E25" s="32">
        <v>505.35277105006588</v>
      </c>
      <c r="F25" s="31">
        <v>3.5686731906734432</v>
      </c>
      <c r="G25" s="32">
        <v>496.93509999999998</v>
      </c>
      <c r="H25" s="31">
        <v>3.4075000000000002</v>
      </c>
      <c r="I25" s="32">
        <v>497.58171811695502</v>
      </c>
      <c r="J25" s="31">
        <v>3.7439200795892829</v>
      </c>
      <c r="K25" s="32">
        <v>6.355855883044967</v>
      </c>
      <c r="L25" s="31">
        <v>5.7212832862049243</v>
      </c>
      <c r="M25" s="32">
        <v>-1.415197050065899</v>
      </c>
      <c r="N25" s="31">
        <v>5.608170220355956</v>
      </c>
    </row>
    <row r="26" spans="2:14">
      <c r="B26" s="23" t="s">
        <v>21</v>
      </c>
      <c r="C26" s="32">
        <v>511.03033199999999</v>
      </c>
      <c r="D26" s="31">
        <v>2.3606180000000001</v>
      </c>
      <c r="E26" s="32">
        <v>523.01701842526609</v>
      </c>
      <c r="F26" s="31">
        <v>1.8422422127639069</v>
      </c>
      <c r="G26" s="32">
        <v>519.14290000000005</v>
      </c>
      <c r="H26" s="31">
        <v>2.2176999999999998</v>
      </c>
      <c r="I26" s="32">
        <v>516.2941843130767</v>
      </c>
      <c r="J26" s="31">
        <v>2.0316207024615314</v>
      </c>
      <c r="K26" s="32">
        <v>-5.2638523130767112</v>
      </c>
      <c r="L26" s="31">
        <v>3.1144823037857008</v>
      </c>
      <c r="M26" s="32">
        <v>-11.9866864252661</v>
      </c>
      <c r="N26" s="31">
        <v>2.9943903740850586</v>
      </c>
    </row>
    <row r="27" spans="2:14">
      <c r="B27" s="23" t="s">
        <v>34</v>
      </c>
      <c r="C27" s="32">
        <v>490.21768500000002</v>
      </c>
      <c r="D27" s="31">
        <v>2.2554210000000001</v>
      </c>
      <c r="E27" s="32">
        <v>520.07874831668994</v>
      </c>
      <c r="F27" s="31">
        <v>2.3071019944846096</v>
      </c>
      <c r="G27" s="32">
        <v>526.42470000000003</v>
      </c>
      <c r="H27" s="31">
        <v>2.5466000000000002</v>
      </c>
      <c r="I27" s="32">
        <v>524.02166969350787</v>
      </c>
      <c r="J27" s="31">
        <v>2.381652356085751</v>
      </c>
      <c r="K27" s="32">
        <v>-33.803984693507857</v>
      </c>
      <c r="L27" s="31">
        <v>3.2801207039512752</v>
      </c>
      <c r="M27" s="32">
        <v>-29.861063316689922</v>
      </c>
      <c r="N27" s="31">
        <v>3.2263979141134875</v>
      </c>
    </row>
    <row r="28" spans="2:14">
      <c r="B28" s="23" t="s">
        <v>5</v>
      </c>
      <c r="C28" s="32">
        <v>473.85215799999997</v>
      </c>
      <c r="D28" s="31">
        <v>3.074535</v>
      </c>
      <c r="E28" s="32">
        <v>492.60648133455123</v>
      </c>
      <c r="F28" s="31">
        <v>2.320978569977191</v>
      </c>
      <c r="G28" s="32">
        <v>499.30610000000001</v>
      </c>
      <c r="H28" s="31">
        <v>2.5070000000000001</v>
      </c>
      <c r="I28" s="32">
        <v>505.48148337801211</v>
      </c>
      <c r="J28" s="31">
        <v>2.8263888560448174</v>
      </c>
      <c r="K28" s="32">
        <v>-31.62932537801214</v>
      </c>
      <c r="L28" s="31">
        <v>4.1762709959722839</v>
      </c>
      <c r="M28" s="32">
        <v>-18.754323334551259</v>
      </c>
      <c r="N28" s="31">
        <v>3.8522340256685297</v>
      </c>
    </row>
    <row r="29" spans="2:14">
      <c r="B29" s="23" t="s">
        <v>37</v>
      </c>
      <c r="C29" s="32">
        <v>438.44062500000001</v>
      </c>
      <c r="D29" s="31">
        <v>2.8336250000000001</v>
      </c>
      <c r="E29" s="32">
        <v>457.4143947036896</v>
      </c>
      <c r="F29" s="31">
        <v>3.620999658063226</v>
      </c>
      <c r="G29" s="32">
        <v>467.03949999999998</v>
      </c>
      <c r="H29" s="31">
        <v>4.3387000000000002</v>
      </c>
      <c r="I29" s="32">
        <v>477.19717651792052</v>
      </c>
      <c r="J29" s="31">
        <v>3.2674514694480812</v>
      </c>
      <c r="K29" s="32">
        <v>-38.756551517920514</v>
      </c>
      <c r="L29" s="31">
        <v>4.3250051729244703</v>
      </c>
      <c r="M29" s="32">
        <v>-18.973769703689584</v>
      </c>
      <c r="N29" s="31">
        <v>4.5979418400322336</v>
      </c>
    </row>
    <row r="30" spans="2:14">
      <c r="B30" s="23" t="s">
        <v>4</v>
      </c>
      <c r="C30" s="32">
        <v>472.97472599999998</v>
      </c>
      <c r="D30" s="31">
        <v>2.8279510000000001</v>
      </c>
      <c r="E30" s="32">
        <v>475.98667224503441</v>
      </c>
      <c r="F30" s="31">
        <v>2.2509620905302046</v>
      </c>
      <c r="G30" s="32">
        <v>469.52330000000001</v>
      </c>
      <c r="H30" s="31">
        <v>2.6591</v>
      </c>
      <c r="I30" s="32">
        <v>488.46133395845573</v>
      </c>
      <c r="J30" s="31">
        <v>3.157089851163756</v>
      </c>
      <c r="K30" s="32">
        <v>-15.48660795845575</v>
      </c>
      <c r="L30" s="31">
        <v>4.2384576424357698</v>
      </c>
      <c r="M30" s="32">
        <v>-3.0119462450344372</v>
      </c>
      <c r="N30" s="31">
        <v>3.6144345603987782</v>
      </c>
    </row>
    <row r="31" spans="2:14">
      <c r="B31" s="23" t="s">
        <v>9</v>
      </c>
      <c r="C31" s="32">
        <v>516.00997500000005</v>
      </c>
      <c r="D31" s="31">
        <v>2.3325800000000001</v>
      </c>
      <c r="E31" s="32">
        <v>518.07845911939648</v>
      </c>
      <c r="F31" s="31">
        <v>2.244477800387624</v>
      </c>
      <c r="G31" s="32">
        <v>520.81479999999999</v>
      </c>
      <c r="H31" s="31">
        <v>2.4661</v>
      </c>
      <c r="I31" s="32">
        <v>523.17321024093508</v>
      </c>
      <c r="J31" s="31">
        <v>2.5503655535410075</v>
      </c>
      <c r="K31" s="32">
        <v>-7.1632352409350233</v>
      </c>
      <c r="L31" s="31">
        <v>3.4561964517498902</v>
      </c>
      <c r="M31" s="32">
        <v>-2.0684841193964303</v>
      </c>
      <c r="N31" s="31">
        <v>3.2370681260722436</v>
      </c>
    </row>
    <row r="32" spans="2:14">
      <c r="B32" s="23" t="s">
        <v>19</v>
      </c>
      <c r="C32" s="32">
        <v>435.89802800000001</v>
      </c>
      <c r="D32" s="31">
        <v>2.064959</v>
      </c>
      <c r="E32" s="32">
        <v>473.97431676734539</v>
      </c>
      <c r="F32" s="31">
        <v>1.741510568561131</v>
      </c>
      <c r="G32" s="32">
        <v>481.52550000000002</v>
      </c>
      <c r="H32" s="31">
        <v>1.9850000000000001</v>
      </c>
      <c r="I32" s="32">
        <v>482.522439928258</v>
      </c>
      <c r="J32" s="31">
        <v>1.801098461554326</v>
      </c>
      <c r="K32" s="32">
        <v>-46.624411928257985</v>
      </c>
      <c r="L32" s="31">
        <v>2.740075060996388</v>
      </c>
      <c r="M32" s="32">
        <v>-38.076288767345375</v>
      </c>
      <c r="N32" s="31">
        <v>2.7012802024394125</v>
      </c>
    </row>
    <row r="33" spans="2:14">
      <c r="B33" s="23" t="s">
        <v>11</v>
      </c>
      <c r="C33" s="32">
        <v>473.83269799999999</v>
      </c>
      <c r="D33" s="31">
        <v>3.4873409999999998</v>
      </c>
      <c r="E33" s="32">
        <v>470.41517797924905</v>
      </c>
      <c r="F33" s="31">
        <v>3.670985340667575</v>
      </c>
      <c r="G33" s="32">
        <v>478.9606</v>
      </c>
      <c r="H33" s="31">
        <v>3.7766000000000002</v>
      </c>
      <c r="I33" s="32">
        <v>485.80321244403592</v>
      </c>
      <c r="J33" s="31">
        <v>5.0067979245907202</v>
      </c>
      <c r="K33" s="32">
        <v>-11.970514444035928</v>
      </c>
      <c r="L33" s="31">
        <v>6.1016041094098314</v>
      </c>
      <c r="M33" s="32">
        <v>3.417520020750942</v>
      </c>
      <c r="N33" s="31">
        <v>5.0633665304496009</v>
      </c>
    </row>
    <row r="34" spans="2:14">
      <c r="B34" s="23" t="s">
        <v>12</v>
      </c>
      <c r="C34" s="32">
        <v>481.59827799999999</v>
      </c>
      <c r="D34" s="31">
        <v>2.6802280000000001</v>
      </c>
      <c r="E34" s="32">
        <v>476.28467969266484</v>
      </c>
      <c r="F34" s="31">
        <v>2.4389103254641125</v>
      </c>
      <c r="G34" s="32">
        <v>484.75799999999998</v>
      </c>
      <c r="H34" s="31">
        <v>2.6814</v>
      </c>
      <c r="I34" s="32">
        <v>489.75440328485604</v>
      </c>
      <c r="J34" s="31">
        <v>1.9715338853192341</v>
      </c>
      <c r="K34" s="32">
        <v>-8.1561252848560457</v>
      </c>
      <c r="L34" s="31">
        <v>3.3272463078266319</v>
      </c>
      <c r="M34" s="32">
        <v>5.3135983073351554</v>
      </c>
      <c r="N34" s="31">
        <v>3.6237971394159834</v>
      </c>
    </row>
    <row r="35" spans="2:14">
      <c r="B35" s="23" t="s">
        <v>2</v>
      </c>
      <c r="C35" s="32">
        <v>515.85461399999997</v>
      </c>
      <c r="D35" s="31">
        <v>3.1768999999999998</v>
      </c>
      <c r="E35" s="32">
        <v>503.85604130918273</v>
      </c>
      <c r="F35" s="31">
        <v>2.6709734574973498</v>
      </c>
      <c r="G35" s="32">
        <v>515.95849999999996</v>
      </c>
      <c r="H35" s="31">
        <v>3.1972</v>
      </c>
      <c r="I35" s="32">
        <v>538.05148482953894</v>
      </c>
      <c r="J35" s="31">
        <v>3.6730153116419064</v>
      </c>
      <c r="K35" s="32">
        <v>-22.196870829538966</v>
      </c>
      <c r="L35" s="31">
        <v>4.8563087926485782</v>
      </c>
      <c r="M35" s="32">
        <v>11.998572690817241</v>
      </c>
      <c r="N35" s="31">
        <v>4.1505171750825642</v>
      </c>
    </row>
    <row r="36" spans="2:14">
      <c r="B36" s="23" t="s">
        <v>23</v>
      </c>
      <c r="C36" s="32">
        <v>474.56865099999999</v>
      </c>
      <c r="D36" s="31">
        <v>2.4599989999999998</v>
      </c>
      <c r="E36" s="32">
        <v>478.69867414504461</v>
      </c>
      <c r="F36" s="31">
        <v>1.6168557997985262</v>
      </c>
      <c r="G36" s="32">
        <v>487.75810000000001</v>
      </c>
      <c r="H36" s="31">
        <v>1.802</v>
      </c>
      <c r="I36" s="32" t="s">
        <v>135</v>
      </c>
      <c r="J36" s="31" t="s">
        <v>135</v>
      </c>
      <c r="K36" s="32" t="s">
        <v>135</v>
      </c>
      <c r="L36" s="31" t="s">
        <v>135</v>
      </c>
      <c r="M36" s="32">
        <v>-4.1300231450446176</v>
      </c>
      <c r="N36" s="31">
        <v>2.943776105165461</v>
      </c>
    </row>
    <row r="37" spans="2:14">
      <c r="B37" s="23" t="s">
        <v>32</v>
      </c>
      <c r="C37" s="32">
        <v>471.83422999999999</v>
      </c>
      <c r="D37" s="31">
        <v>2.209711</v>
      </c>
      <c r="E37" s="32">
        <v>475.87347960821245</v>
      </c>
      <c r="F37" s="31">
        <v>1.5182764468580265</v>
      </c>
      <c r="G37" s="32">
        <v>472.40660000000003</v>
      </c>
      <c r="H37" s="31">
        <v>2.7359</v>
      </c>
      <c r="I37" s="32" t="s">
        <v>135</v>
      </c>
      <c r="J37" s="31" t="s">
        <v>135</v>
      </c>
      <c r="K37" s="32" t="s">
        <v>135</v>
      </c>
      <c r="L37" s="31" t="s">
        <v>135</v>
      </c>
      <c r="M37" s="32">
        <v>-4.039249608212458</v>
      </c>
      <c r="N37" s="31">
        <v>2.6810419751665271</v>
      </c>
    </row>
    <row r="38" spans="2:14">
      <c r="B38" s="23" t="s">
        <v>17</v>
      </c>
      <c r="C38" s="32">
        <v>445.29883799999999</v>
      </c>
      <c r="D38" s="31">
        <v>1.9032150000000001</v>
      </c>
      <c r="E38" s="32">
        <v>448.23476010987559</v>
      </c>
      <c r="F38" s="31">
        <v>1.7298503962914049</v>
      </c>
      <c r="G38" s="32">
        <v>446.66609999999997</v>
      </c>
      <c r="H38" s="31">
        <v>1.7787999999999999</v>
      </c>
      <c r="I38" s="32" t="s">
        <v>135</v>
      </c>
      <c r="J38" s="31" t="s">
        <v>135</v>
      </c>
      <c r="K38" s="32" t="s">
        <v>135</v>
      </c>
      <c r="L38" s="31" t="s">
        <v>135</v>
      </c>
      <c r="M38" s="32">
        <v>-2.9359221098756052</v>
      </c>
      <c r="N38" s="31">
        <v>2.5718883587307073</v>
      </c>
    </row>
    <row r="39" spans="2:14">
      <c r="B39" s="23" t="s">
        <v>3</v>
      </c>
      <c r="C39" s="32">
        <v>415.35896200000002</v>
      </c>
      <c r="D39" s="31">
        <v>2.9239899999999999</v>
      </c>
      <c r="E39" s="32">
        <v>420.46889277117498</v>
      </c>
      <c r="F39" s="31">
        <v>2.7462788996563665</v>
      </c>
      <c r="G39" s="32">
        <v>423.2765</v>
      </c>
      <c r="H39" s="31">
        <v>2.5836000000000001</v>
      </c>
      <c r="I39" s="32">
        <v>423.55376178165199</v>
      </c>
      <c r="J39" s="31">
        <v>1.5142232549853325</v>
      </c>
      <c r="K39" s="32">
        <v>-8.194799781651966</v>
      </c>
      <c r="L39" s="31">
        <v>3.2928087685194196</v>
      </c>
      <c r="M39" s="32">
        <v>-5.1099307711749589</v>
      </c>
      <c r="N39" s="31">
        <v>4.01145426432831</v>
      </c>
    </row>
    <row r="40" spans="2:14">
      <c r="B40" s="23" t="s">
        <v>13</v>
      </c>
      <c r="C40" s="32">
        <v>476.52387800000002</v>
      </c>
      <c r="D40" s="31">
        <v>2.542049</v>
      </c>
      <c r="E40" s="32">
        <v>499.45095627638818</v>
      </c>
      <c r="F40" s="31">
        <v>2.1718487515464604</v>
      </c>
      <c r="G40" s="32">
        <v>513.19119999999998</v>
      </c>
      <c r="H40" s="31">
        <v>2.5093000000000001</v>
      </c>
      <c r="I40" s="32">
        <v>503.93668599627046</v>
      </c>
      <c r="J40" s="31">
        <v>3.2152007386074617</v>
      </c>
      <c r="K40" s="32">
        <v>-27.412807996270431</v>
      </c>
      <c r="L40" s="31">
        <v>4.0987228386343677</v>
      </c>
      <c r="M40" s="32">
        <v>-22.927078276388158</v>
      </c>
      <c r="N40" s="31">
        <v>3.3434922039680188</v>
      </c>
    </row>
    <row r="41" spans="2:14">
      <c r="B41" s="23" t="s">
        <v>27</v>
      </c>
      <c r="C41" s="32">
        <v>500.85301099999998</v>
      </c>
      <c r="D41" s="31">
        <v>2.1173510000000002</v>
      </c>
      <c r="E41" s="32">
        <v>505.72728344383648</v>
      </c>
      <c r="F41" s="31">
        <v>2.0431431399536777</v>
      </c>
      <c r="G41" s="32">
        <v>509.27069999999998</v>
      </c>
      <c r="H41" s="31">
        <v>2.4047000000000001</v>
      </c>
      <c r="I41" s="32">
        <v>512.18679332334193</v>
      </c>
      <c r="J41" s="31">
        <v>2.3981741646829753</v>
      </c>
      <c r="K41" s="32">
        <v>-11.33378232334195</v>
      </c>
      <c r="L41" s="31">
        <v>3.1991271592973427</v>
      </c>
      <c r="M41" s="32">
        <v>-4.874272443836503</v>
      </c>
      <c r="N41" s="31">
        <v>2.9423815435019258</v>
      </c>
    </row>
    <row r="42" spans="2:14">
      <c r="B42" s="23" t="s">
        <v>31</v>
      </c>
      <c r="C42" s="32">
        <v>459.242908</v>
      </c>
      <c r="D42" s="31">
        <v>4.2822050000000003</v>
      </c>
      <c r="E42" s="32">
        <v>484.78372537056248</v>
      </c>
      <c r="F42" s="31">
        <v>2.6508645371264929</v>
      </c>
      <c r="G42" s="32">
        <v>502.95909999999998</v>
      </c>
      <c r="H42" s="31">
        <v>2.4117000000000002</v>
      </c>
      <c r="I42" s="32">
        <v>511.22996524541725</v>
      </c>
      <c r="J42" s="31">
        <v>3.4691588417157706</v>
      </c>
      <c r="K42" s="32">
        <v>-51.987057245417247</v>
      </c>
      <c r="L42" s="31">
        <v>5.5111108436575389</v>
      </c>
      <c r="M42" s="32">
        <v>-25.540817370562479</v>
      </c>
      <c r="N42" s="31">
        <v>5.0363044443540002</v>
      </c>
    </row>
    <row r="43" spans="2:14">
      <c r="B43" s="23" t="s">
        <v>35</v>
      </c>
      <c r="C43" s="32">
        <v>488.71362900000003</v>
      </c>
      <c r="D43" s="31">
        <v>2.7401439999999999</v>
      </c>
      <c r="E43" s="32">
        <v>511.85569535773993</v>
      </c>
      <c r="F43" s="31">
        <v>2.7024579790272836</v>
      </c>
      <c r="G43" s="32">
        <v>505.69709999999998</v>
      </c>
      <c r="H43" s="31">
        <v>2.4847999999999999</v>
      </c>
      <c r="I43" s="32">
        <v>518.18688054863878</v>
      </c>
      <c r="J43" s="31">
        <v>3.1363869202115611</v>
      </c>
      <c r="K43" s="32">
        <v>-29.473251548638757</v>
      </c>
      <c r="L43" s="31">
        <v>4.1647703482917473</v>
      </c>
      <c r="M43" s="32">
        <v>-23.142066357739907</v>
      </c>
      <c r="N43" s="31">
        <v>3.8485930246187672</v>
      </c>
    </row>
    <row r="44" spans="2:14">
      <c r="B44" s="23" t="s">
        <v>36</v>
      </c>
      <c r="C44" s="32">
        <v>476.58861100000001</v>
      </c>
      <c r="D44" s="31">
        <v>2.6632060000000002</v>
      </c>
      <c r="E44" s="32">
        <v>491.80078513683418</v>
      </c>
      <c r="F44" s="31">
        <v>2.4289307534038032</v>
      </c>
      <c r="G44" s="32">
        <v>498.12889999999999</v>
      </c>
      <c r="H44" s="31">
        <v>2.6936</v>
      </c>
      <c r="I44" s="32">
        <v>487.75768722258709</v>
      </c>
      <c r="J44" s="31">
        <v>3.7511108818419983</v>
      </c>
      <c r="K44" s="32">
        <v>-11.16907622258708</v>
      </c>
      <c r="L44" s="31">
        <v>4.6003803153988754</v>
      </c>
      <c r="M44" s="32">
        <v>-15.212174136834165</v>
      </c>
      <c r="N44" s="31">
        <v>3.6044931409654213</v>
      </c>
    </row>
    <row r="45" spans="2:14">
      <c r="B45" s="23" t="s">
        <v>38</v>
      </c>
      <c r="C45" s="32">
        <v>494.40462600000001</v>
      </c>
      <c r="D45" s="31">
        <v>2.3712520000000001</v>
      </c>
      <c r="E45" s="32">
        <v>503.92810920604433</v>
      </c>
      <c r="F45" s="31">
        <v>2.5825911706253248</v>
      </c>
      <c r="G45" s="32">
        <v>497.97190000000001</v>
      </c>
      <c r="H45" s="31">
        <v>2.7694000000000001</v>
      </c>
      <c r="I45" s="32">
        <v>499.323115130345</v>
      </c>
      <c r="J45" s="31">
        <v>3.4999781732492421</v>
      </c>
      <c r="K45" s="32">
        <v>-4.9184891303449945</v>
      </c>
      <c r="L45" s="31">
        <v>4.2276096391134672</v>
      </c>
      <c r="M45" s="32">
        <v>-9.5234832060443182</v>
      </c>
      <c r="N45" s="31">
        <v>3.5060823153622458</v>
      </c>
    </row>
    <row r="46" spans="2:14">
      <c r="B46" s="23" t="s">
        <v>84</v>
      </c>
      <c r="C46" s="32">
        <v>488.60366800000003</v>
      </c>
      <c r="D46" s="31">
        <v>2.2462240000000002</v>
      </c>
      <c r="E46" s="32">
        <v>490.21881502637086</v>
      </c>
      <c r="F46" s="31">
        <v>2.5478509476001929</v>
      </c>
      <c r="G46" s="32">
        <v>487.25009999999997</v>
      </c>
      <c r="H46" s="31">
        <v>2.5996999999999999</v>
      </c>
      <c r="I46" s="32">
        <v>492.88973821148147</v>
      </c>
      <c r="J46" s="31">
        <v>2.8706841045665334</v>
      </c>
      <c r="K46" s="32">
        <v>-4.2860702114814444</v>
      </c>
      <c r="L46" s="31">
        <v>3.6450445108924199</v>
      </c>
      <c r="M46" s="32">
        <v>-1.6151470263708347</v>
      </c>
      <c r="N46" s="31">
        <v>3.3966257829444801</v>
      </c>
    </row>
    <row r="47" spans="2:14">
      <c r="B47" s="23" t="s">
        <v>85</v>
      </c>
      <c r="C47" s="32">
        <v>446.86060700000002</v>
      </c>
      <c r="D47" s="31">
        <v>3.103059</v>
      </c>
      <c r="E47" s="32">
        <v>457.98396704074651</v>
      </c>
      <c r="F47" s="31">
        <v>2.23412916777513</v>
      </c>
      <c r="G47" s="32">
        <v>452.51429999999999</v>
      </c>
      <c r="H47" s="31">
        <v>2.8281999999999998</v>
      </c>
      <c r="I47" s="32">
        <v>462.76703277016423</v>
      </c>
      <c r="J47" s="31">
        <v>4.1710274190480785</v>
      </c>
      <c r="K47" s="32">
        <v>-15.906425770164219</v>
      </c>
      <c r="L47" s="31">
        <v>5.1986964604535117</v>
      </c>
      <c r="M47" s="32">
        <v>-11.123360040746491</v>
      </c>
      <c r="N47" s="31">
        <v>3.8236511733923368</v>
      </c>
    </row>
    <row r="48" spans="2:14">
      <c r="B48" s="23" t="s">
        <v>33</v>
      </c>
      <c r="C48" s="32">
        <v>428.49601699999999</v>
      </c>
      <c r="D48" s="31">
        <v>3.9800089999999999</v>
      </c>
      <c r="E48" s="32">
        <v>427.7031458506446</v>
      </c>
      <c r="F48" s="31">
        <v>5.1403766474898127</v>
      </c>
      <c r="G48" s="32">
        <v>433.61660000000001</v>
      </c>
      <c r="H48" s="31">
        <v>4.0674000000000001</v>
      </c>
      <c r="I48" s="32" t="s">
        <v>135</v>
      </c>
      <c r="J48" s="31" t="s">
        <v>135</v>
      </c>
      <c r="K48" s="32" t="s">
        <v>135</v>
      </c>
      <c r="L48" s="31" t="s">
        <v>135</v>
      </c>
      <c r="M48" s="32">
        <v>0.79287114935539194</v>
      </c>
      <c r="N48" s="31">
        <v>6.501072505220935</v>
      </c>
    </row>
    <row r="49" spans="2:14">
      <c r="B49" s="23" t="s">
        <v>22</v>
      </c>
      <c r="C49" s="32">
        <v>486.97515600000003</v>
      </c>
      <c r="D49" s="31">
        <v>2.4899429999999998</v>
      </c>
      <c r="E49" s="32">
        <v>505.78522059816794</v>
      </c>
      <c r="F49" s="31">
        <v>3.0247715272731019</v>
      </c>
      <c r="G49" s="32">
        <v>500.15559999999999</v>
      </c>
      <c r="H49" s="31">
        <v>3.4834000000000001</v>
      </c>
      <c r="I49" s="32">
        <v>483.3350055741941</v>
      </c>
      <c r="J49" s="31">
        <v>3.0026942310522018</v>
      </c>
      <c r="K49" s="32">
        <v>3.6401504258059276</v>
      </c>
      <c r="L49" s="31">
        <v>3.9007677178272449</v>
      </c>
      <c r="M49" s="32">
        <v>-18.810064598167912</v>
      </c>
      <c r="N49" s="31">
        <v>3.9177875051425457</v>
      </c>
    </row>
    <row r="50" spans="2:14">
      <c r="B50" s="23" t="s">
        <v>24</v>
      </c>
      <c r="C50" s="32">
        <v>483.33173399999998</v>
      </c>
      <c r="D50" s="31">
        <v>2.2583470000000001</v>
      </c>
      <c r="E50" s="32">
        <v>483.929405145342</v>
      </c>
      <c r="F50" s="31">
        <v>3.1243223606219792</v>
      </c>
      <c r="G50" s="32">
        <v>492.19819999999999</v>
      </c>
      <c r="H50" s="31">
        <v>3.0310000000000001</v>
      </c>
      <c r="I50" s="32">
        <v>509.04024971252954</v>
      </c>
      <c r="J50" s="31">
        <v>2.5653552014517236</v>
      </c>
      <c r="K50" s="32">
        <v>-25.708515712529561</v>
      </c>
      <c r="L50" s="31">
        <v>3.4177739073883187</v>
      </c>
      <c r="M50" s="32">
        <v>-0.59767114534201937</v>
      </c>
      <c r="N50" s="31">
        <v>3.8550643814976029</v>
      </c>
    </row>
    <row r="51" spans="2:14">
      <c r="B51" s="23" t="s">
        <v>30</v>
      </c>
      <c r="C51" s="32">
        <v>456.08404100000001</v>
      </c>
      <c r="D51" s="31">
        <v>1.8521570000000001</v>
      </c>
      <c r="E51" s="32">
        <v>465.63166649860949</v>
      </c>
      <c r="F51" s="31">
        <v>2.1712145076619804</v>
      </c>
      <c r="G51" s="32">
        <v>428.33510000000001</v>
      </c>
      <c r="H51" s="31">
        <v>3.9641000000000002</v>
      </c>
      <c r="I51" s="32">
        <v>475.49146608075296</v>
      </c>
      <c r="J51" s="31">
        <v>4.2146152646934301</v>
      </c>
      <c r="K51" s="32">
        <v>-19.407425080752944</v>
      </c>
      <c r="L51" s="31">
        <v>4.6036363216522513</v>
      </c>
      <c r="M51" s="32">
        <v>-9.5476254986094773</v>
      </c>
      <c r="N51" s="31">
        <v>2.853884719278418</v>
      </c>
    </row>
    <row r="52" spans="2:14">
      <c r="B52" s="23"/>
      <c r="C52" s="32"/>
      <c r="D52" s="31"/>
      <c r="E52" s="32"/>
      <c r="F52" s="31"/>
      <c r="G52" s="32"/>
      <c r="H52" s="31"/>
      <c r="I52" s="32"/>
      <c r="J52" s="31"/>
      <c r="K52" s="32" t="s">
        <v>135</v>
      </c>
      <c r="L52" s="31" t="s">
        <v>135</v>
      </c>
      <c r="M52" s="32" t="s">
        <v>135</v>
      </c>
      <c r="N52" s="31" t="s">
        <v>135</v>
      </c>
    </row>
    <row r="53" spans="2:14">
      <c r="B53" s="23" t="s">
        <v>39</v>
      </c>
      <c r="C53" s="32">
        <v>475.58819899999997</v>
      </c>
      <c r="D53" s="31">
        <v>0.45239400000000002</v>
      </c>
      <c r="E53" s="32">
        <v>486.83981765101981</v>
      </c>
      <c r="F53" s="31">
        <v>0.40581069652387969</v>
      </c>
      <c r="G53" s="32">
        <v>492.5489</v>
      </c>
      <c r="H53" s="31">
        <v>0.4642</v>
      </c>
      <c r="I53" s="32">
        <v>496.46286385525053</v>
      </c>
      <c r="J53" s="31">
        <v>0.50525454268415171</v>
      </c>
      <c r="K53" s="32">
        <v>-20.874664855250558</v>
      </c>
      <c r="L53" s="31">
        <v>0.67819059573173923</v>
      </c>
      <c r="M53" s="32">
        <v>-11.251618651019839</v>
      </c>
      <c r="N53" s="31">
        <v>0.60773567663022421</v>
      </c>
    </row>
    <row r="54" spans="2:14">
      <c r="B54" s="23" t="s">
        <v>40</v>
      </c>
      <c r="C54" s="32">
        <v>474.66082399999999</v>
      </c>
      <c r="D54" s="31">
        <v>0.96020899999999998</v>
      </c>
      <c r="E54" s="32">
        <v>489.1855184509219</v>
      </c>
      <c r="F54" s="31">
        <v>0.87904501344971053</v>
      </c>
      <c r="G54" s="32">
        <v>494.45482909999998</v>
      </c>
      <c r="H54" s="31">
        <v>0.87288565100000004</v>
      </c>
      <c r="I54" s="32" t="s">
        <v>135</v>
      </c>
      <c r="J54" s="31" t="s">
        <v>135</v>
      </c>
      <c r="K54" s="32" t="s">
        <v>135</v>
      </c>
      <c r="L54" s="31" t="s">
        <v>135</v>
      </c>
      <c r="M54" s="32">
        <v>-14.524694450921913</v>
      </c>
      <c r="N54" s="31">
        <v>1.3018146793425713</v>
      </c>
    </row>
    <row r="55" spans="2:14">
      <c r="B55" s="23"/>
      <c r="C55" s="32"/>
      <c r="D55" s="31"/>
      <c r="E55" s="32"/>
      <c r="F55" s="31"/>
      <c r="G55" s="32"/>
      <c r="H55" s="31"/>
      <c r="I55" s="32"/>
      <c r="J55" s="31"/>
      <c r="K55" s="32" t="str">
        <f t="shared" ref="K55" si="0">IF(I55="","",C55-I55)</f>
        <v/>
      </c>
      <c r="L55" s="31" t="str">
        <f t="shared" ref="L55" si="1">IF(J55="","",SQRT(D55^2+J55^2))</f>
        <v/>
      </c>
      <c r="M55" s="32" t="str">
        <f t="shared" ref="M55" si="2">IF(E55="","",C55-E55)</f>
        <v/>
      </c>
      <c r="N55" s="31" t="str">
        <f t="shared" ref="N55" si="3">IF(E55="","",SQRT(D55^2+F55^2))</f>
        <v/>
      </c>
    </row>
    <row r="56" spans="2:14">
      <c r="B56" s="24" t="s">
        <v>43</v>
      </c>
      <c r="C56" s="32">
        <v>461.14263299999999</v>
      </c>
      <c r="D56" s="31">
        <v>5.1595870000000001</v>
      </c>
      <c r="E56" s="32"/>
      <c r="F56" s="31"/>
      <c r="G56" s="32">
        <v>478.87470000000002</v>
      </c>
      <c r="H56" s="31">
        <v>4.3490000000000002</v>
      </c>
      <c r="I56" s="32">
        <v>476.81211107283764</v>
      </c>
      <c r="J56" s="31">
        <v>4.2430370502040242</v>
      </c>
      <c r="K56" s="32">
        <v>-15.669478072837649</v>
      </c>
      <c r="L56" s="31">
        <v>6.6801722597529674</v>
      </c>
      <c r="M56" s="32"/>
      <c r="N56" s="31"/>
    </row>
    <row r="57" spans="2:14">
      <c r="B57" s="24" t="s">
        <v>44</v>
      </c>
      <c r="C57" s="32">
        <v>487.611491</v>
      </c>
      <c r="D57" s="31">
        <v>5.4224699999999997</v>
      </c>
      <c r="E57" s="32"/>
      <c r="F57" s="31"/>
      <c r="G57" s="32">
        <v>506.40390000000002</v>
      </c>
      <c r="H57" s="31">
        <v>6.3041</v>
      </c>
      <c r="I57" s="32">
        <v>493.14180003282189</v>
      </c>
      <c r="J57" s="31">
        <v>5.827828865054097</v>
      </c>
      <c r="K57" s="32">
        <v>-5.53030903282189</v>
      </c>
      <c r="L57" s="31">
        <v>7.9603247535045778</v>
      </c>
      <c r="M57" s="32"/>
      <c r="N57" s="31"/>
    </row>
    <row r="58" spans="2:14">
      <c r="B58" s="24" t="s">
        <v>175</v>
      </c>
      <c r="C58" s="32">
        <v>497.21357799999998</v>
      </c>
      <c r="D58" s="31">
        <v>5.5896809999999997</v>
      </c>
      <c r="E58" s="32"/>
      <c r="F58" s="31"/>
      <c r="G58" s="32">
        <v>497.55880000000002</v>
      </c>
      <c r="H58" s="31">
        <v>6.4431000000000003</v>
      </c>
      <c r="I58" s="32">
        <v>504.01697553078628</v>
      </c>
      <c r="J58" s="31">
        <v>5.2027658977851692</v>
      </c>
      <c r="K58" s="32">
        <v>-6.8033975307862988</v>
      </c>
      <c r="L58" s="31">
        <v>7.636314992777427</v>
      </c>
      <c r="M58" s="32"/>
      <c r="N58" s="31"/>
    </row>
    <row r="59" spans="2:14">
      <c r="B59" s="24" t="s">
        <v>57</v>
      </c>
      <c r="C59" s="32">
        <v>471.74863499999998</v>
      </c>
      <c r="D59" s="31">
        <v>6.2736289999999997</v>
      </c>
      <c r="E59" s="32"/>
      <c r="F59" s="31"/>
      <c r="G59" s="32">
        <v>484.54059999999998</v>
      </c>
      <c r="H59" s="31">
        <v>8.0610999999999997</v>
      </c>
      <c r="I59" s="32">
        <v>475.97925575327673</v>
      </c>
      <c r="J59" s="31">
        <v>4.4632342693291873</v>
      </c>
      <c r="K59" s="32">
        <v>-4.230620753276753</v>
      </c>
      <c r="L59" s="31">
        <v>7.6992779513767031</v>
      </c>
      <c r="M59" s="32"/>
      <c r="N59" s="31"/>
    </row>
    <row r="60" spans="2:14">
      <c r="B60" s="24" t="s">
        <v>176</v>
      </c>
      <c r="C60" s="32">
        <v>481.761144</v>
      </c>
      <c r="D60" s="31">
        <v>3.9785529999999998</v>
      </c>
      <c r="E60" s="32"/>
      <c r="F60" s="31"/>
      <c r="G60" s="32">
        <v>499.03730000000002</v>
      </c>
      <c r="H60" s="31">
        <v>3.7360000000000002</v>
      </c>
      <c r="I60" s="32" t="s">
        <v>135</v>
      </c>
      <c r="J60" s="31" t="s">
        <v>135</v>
      </c>
      <c r="K60" s="32" t="s">
        <v>135</v>
      </c>
      <c r="L60" s="31" t="s">
        <v>135</v>
      </c>
      <c r="M60" s="32"/>
      <c r="N60" s="31"/>
    </row>
    <row r="61" spans="2:14">
      <c r="B61" s="24" t="s">
        <v>46</v>
      </c>
      <c r="C61" s="32">
        <v>462.90610700000002</v>
      </c>
      <c r="D61" s="31">
        <v>5.666995</v>
      </c>
      <c r="E61" s="32"/>
      <c r="F61" s="31"/>
      <c r="G61" s="32">
        <v>482.99979999999999</v>
      </c>
      <c r="H61" s="31">
        <v>4.1281999999999996</v>
      </c>
      <c r="I61" s="32" t="s">
        <v>135</v>
      </c>
      <c r="J61" s="31" t="s">
        <v>135</v>
      </c>
      <c r="K61" s="32" t="s">
        <v>135</v>
      </c>
      <c r="L61" s="31" t="s">
        <v>135</v>
      </c>
      <c r="M61" s="32"/>
      <c r="N61" s="31"/>
    </row>
    <row r="62" spans="2:14">
      <c r="B62" s="24" t="s">
        <v>47</v>
      </c>
      <c r="C62" s="32">
        <v>494.01946299999997</v>
      </c>
      <c r="D62" s="31">
        <v>6.0838010000000002</v>
      </c>
      <c r="E62" s="32"/>
      <c r="F62" s="31"/>
      <c r="G62" s="32">
        <v>500.99430000000001</v>
      </c>
      <c r="H62" s="31">
        <v>5.5525000000000002</v>
      </c>
      <c r="I62" s="32">
        <v>485.42738915588779</v>
      </c>
      <c r="J62" s="31">
        <v>3.4893695891255043</v>
      </c>
      <c r="K62" s="32">
        <v>8.5920738441121784</v>
      </c>
      <c r="L62" s="31">
        <v>7.0134395796295905</v>
      </c>
      <c r="M62" s="32"/>
      <c r="N62" s="31"/>
    </row>
    <row r="63" spans="2:14">
      <c r="B63" s="24" t="s">
        <v>48</v>
      </c>
      <c r="C63" s="32">
        <v>498.03637900000001</v>
      </c>
      <c r="D63" s="31">
        <v>4.40787</v>
      </c>
      <c r="E63" s="32"/>
      <c r="F63" s="31"/>
      <c r="G63" s="32">
        <v>521.57830000000001</v>
      </c>
      <c r="H63" s="31">
        <v>4.1638999999999999</v>
      </c>
      <c r="I63" s="32">
        <v>505.05242682517371</v>
      </c>
      <c r="J63" s="31">
        <v>5.5395495144560174</v>
      </c>
      <c r="K63" s="32">
        <v>-7.0160478251737004</v>
      </c>
      <c r="L63" s="31">
        <v>7.0792603257692042</v>
      </c>
      <c r="M63" s="32"/>
      <c r="N63" s="31"/>
    </row>
    <row r="64" spans="2:14">
      <c r="B64" s="24" t="s">
        <v>49</v>
      </c>
      <c r="C64" s="32">
        <v>467.64368899999999</v>
      </c>
      <c r="D64" s="31">
        <v>4.5508379999999997</v>
      </c>
      <c r="E64" s="32"/>
      <c r="F64" s="31"/>
      <c r="G64" s="32">
        <v>499.18819999999999</v>
      </c>
      <c r="H64" s="31">
        <v>3.9546999999999999</v>
      </c>
      <c r="I64" s="32" t="s">
        <v>135</v>
      </c>
      <c r="J64" s="31" t="s">
        <v>135</v>
      </c>
      <c r="K64" s="32" t="s">
        <v>135</v>
      </c>
      <c r="L64" s="31" t="s">
        <v>135</v>
      </c>
      <c r="M64" s="32"/>
      <c r="N64" s="31"/>
    </row>
    <row r="65" spans="2:14">
      <c r="B65" s="24" t="s">
        <v>50</v>
      </c>
      <c r="C65" s="32">
        <v>462.49015000000003</v>
      </c>
      <c r="D65" s="31">
        <v>6.4481010000000003</v>
      </c>
      <c r="E65" s="32"/>
      <c r="F65" s="31"/>
      <c r="G65" s="32">
        <v>499.62459999999999</v>
      </c>
      <c r="H65" s="31">
        <v>4.4981999999999998</v>
      </c>
      <c r="I65" s="32">
        <v>500.83475831132967</v>
      </c>
      <c r="J65" s="31">
        <v>4.6973644246243271</v>
      </c>
      <c r="K65" s="32">
        <v>-38.344608311329637</v>
      </c>
      <c r="L65" s="31">
        <v>7.9776712795105338</v>
      </c>
      <c r="M65" s="32"/>
      <c r="N65" s="31"/>
    </row>
    <row r="66" spans="2:14">
      <c r="B66" s="24" t="s">
        <v>51</v>
      </c>
      <c r="C66" s="32">
        <v>404.33640200000002</v>
      </c>
      <c r="D66" s="31">
        <v>10.875697000000001</v>
      </c>
      <c r="E66" s="32"/>
      <c r="F66" s="31"/>
      <c r="G66" s="32" t="s">
        <v>135</v>
      </c>
      <c r="H66" s="31" t="s">
        <v>135</v>
      </c>
      <c r="I66" s="32" t="s">
        <v>135</v>
      </c>
      <c r="J66" s="31" t="s">
        <v>135</v>
      </c>
      <c r="K66" s="32" t="s">
        <v>135</v>
      </c>
      <c r="L66" s="31" t="s">
        <v>135</v>
      </c>
      <c r="M66" s="32"/>
      <c r="N66" s="31"/>
    </row>
    <row r="67" spans="2:14">
      <c r="B67" s="24" t="s">
        <v>41</v>
      </c>
      <c r="C67" s="32">
        <v>468.18102499999998</v>
      </c>
      <c r="D67" s="31">
        <v>6.4435659999999997</v>
      </c>
      <c r="E67" s="32"/>
      <c r="F67" s="31"/>
      <c r="G67" s="32">
        <v>475.42410000000001</v>
      </c>
      <c r="H67" s="31">
        <v>4.3480999999999996</v>
      </c>
      <c r="I67" s="32">
        <v>457.1786080288357</v>
      </c>
      <c r="J67" s="31">
        <v>4.8597116862860972</v>
      </c>
      <c r="K67" s="32">
        <v>11.00241697116428</v>
      </c>
      <c r="L67" s="31">
        <v>8.0707087960216768</v>
      </c>
      <c r="M67" s="32"/>
      <c r="N67" s="31"/>
    </row>
    <row r="68" spans="2:14">
      <c r="B68" s="24" t="s">
        <v>42</v>
      </c>
      <c r="C68" s="32">
        <v>485.489914</v>
      </c>
      <c r="D68" s="31">
        <v>4.7643300000000002</v>
      </c>
      <c r="E68" s="32"/>
      <c r="F68" s="31"/>
      <c r="G68" s="32">
        <v>509.04579999999999</v>
      </c>
      <c r="H68" s="31">
        <v>4.6108000000000002</v>
      </c>
      <c r="I68" s="32">
        <v>498.8790447763011</v>
      </c>
      <c r="J68" s="31">
        <v>4.6886597258439817</v>
      </c>
      <c r="K68" s="32">
        <v>-13.389130776301101</v>
      </c>
      <c r="L68" s="31">
        <v>6.6844872932522934</v>
      </c>
      <c r="M68" s="32"/>
      <c r="N68" s="31"/>
    </row>
    <row r="69" spans="2:14">
      <c r="B69" s="24" t="s">
        <v>177</v>
      </c>
      <c r="C69" s="32">
        <v>496.17040500000002</v>
      </c>
      <c r="D69" s="31">
        <v>4.2386330000000001</v>
      </c>
      <c r="E69" s="32"/>
      <c r="F69" s="31"/>
      <c r="G69" s="32">
        <v>520.31399999999996</v>
      </c>
      <c r="H69" s="31">
        <v>4.2122999999999999</v>
      </c>
      <c r="I69" s="32">
        <v>511.09527018600011</v>
      </c>
      <c r="J69" s="31">
        <v>4.7726462378589209</v>
      </c>
      <c r="K69" s="32">
        <v>-14.92486518600009</v>
      </c>
      <c r="L69" s="31">
        <v>6.3831153695071112</v>
      </c>
      <c r="M69" s="32"/>
      <c r="N69" s="31"/>
    </row>
    <row r="70" spans="2:14">
      <c r="B70" s="24" t="s">
        <v>53</v>
      </c>
      <c r="C70" s="32">
        <v>405.35512399999999</v>
      </c>
      <c r="D70" s="31">
        <v>9.703614</v>
      </c>
      <c r="E70" s="32"/>
      <c r="F70" s="31"/>
      <c r="G70" s="32" t="s">
        <v>135</v>
      </c>
      <c r="H70" s="31" t="s">
        <v>135</v>
      </c>
      <c r="I70" s="32" t="s">
        <v>135</v>
      </c>
      <c r="J70" s="31" t="s">
        <v>135</v>
      </c>
      <c r="K70" s="32" t="s">
        <v>135</v>
      </c>
      <c r="L70" s="31" t="s">
        <v>135</v>
      </c>
      <c r="M70" s="32"/>
      <c r="N70" s="31"/>
    </row>
    <row r="71" spans="2:14">
      <c r="B71" s="24" t="s">
        <v>178</v>
      </c>
      <c r="C71" s="32">
        <v>468.24661700000001</v>
      </c>
      <c r="D71" s="31">
        <v>5.1178790000000003</v>
      </c>
      <c r="E71" s="32"/>
      <c r="F71" s="31"/>
      <c r="G71" s="32">
        <v>486.17930000000001</v>
      </c>
      <c r="H71" s="31">
        <v>4.9227999999999996</v>
      </c>
      <c r="I71" s="32">
        <v>461.59490583655997</v>
      </c>
      <c r="J71" s="31">
        <v>5.0355068434369006</v>
      </c>
      <c r="K71" s="32">
        <v>6.6517111634400408</v>
      </c>
      <c r="L71" s="31">
        <v>7.1797642460557753</v>
      </c>
      <c r="M71" s="32"/>
      <c r="N71" s="31"/>
    </row>
    <row r="72" spans="2:14">
      <c r="B72" s="24" t="s">
        <v>179</v>
      </c>
      <c r="C72" s="32">
        <v>477.84574099999998</v>
      </c>
      <c r="D72" s="31">
        <v>7.4107539999999998</v>
      </c>
      <c r="E72" s="32"/>
      <c r="F72" s="31"/>
      <c r="G72" s="32">
        <v>514.09730000000002</v>
      </c>
      <c r="H72" s="31">
        <v>5.1753</v>
      </c>
      <c r="I72" s="32">
        <v>509.31722055817966</v>
      </c>
      <c r="J72" s="31">
        <v>3.2333339696097365</v>
      </c>
      <c r="K72" s="32">
        <v>-31.471479558179681</v>
      </c>
      <c r="L72" s="31">
        <v>8.0854018705039188</v>
      </c>
      <c r="M72" s="32"/>
      <c r="N72" s="31"/>
    </row>
    <row r="73" spans="2:14">
      <c r="B73" s="24" t="s">
        <v>45</v>
      </c>
      <c r="C73" s="32">
        <v>466.28937000000002</v>
      </c>
      <c r="D73" s="31">
        <v>4.7118060000000002</v>
      </c>
      <c r="E73" s="32"/>
      <c r="F73" s="31"/>
      <c r="G73" s="32">
        <v>491.44799999999998</v>
      </c>
      <c r="H73" s="31">
        <v>4.6874000000000002</v>
      </c>
      <c r="I73" s="32">
        <v>498.11040210708472</v>
      </c>
      <c r="J73" s="31">
        <v>2.759453996346743</v>
      </c>
      <c r="K73" s="32">
        <v>-31.821032107084704</v>
      </c>
      <c r="L73" s="31">
        <v>5.4603756408868076</v>
      </c>
      <c r="M73" s="32"/>
      <c r="N73" s="31"/>
    </row>
    <row r="74" spans="2:14">
      <c r="B74" s="65" t="s">
        <v>52</v>
      </c>
      <c r="C74" s="32">
        <v>486.71823000000001</v>
      </c>
      <c r="D74" s="31">
        <v>7.6633550000000001</v>
      </c>
      <c r="E74" s="32"/>
      <c r="F74" s="31"/>
      <c r="G74" s="32">
        <v>490.5951</v>
      </c>
      <c r="H74" s="31">
        <v>9.4545999999999992</v>
      </c>
      <c r="I74" s="32">
        <v>490.1807371053149</v>
      </c>
      <c r="J74" s="31">
        <v>2.3687843338670214</v>
      </c>
      <c r="K74" s="32">
        <v>-3.4625071053148986</v>
      </c>
      <c r="L74" s="31">
        <v>8.021106474570626</v>
      </c>
      <c r="M74" s="32"/>
      <c r="N74" s="31"/>
    </row>
  </sheetData>
  <sortState ref="P56:AB74">
    <sortCondition ref="P56"/>
  </sortState>
  <mergeCells count="8">
    <mergeCell ref="B7:N7"/>
    <mergeCell ref="B8:B9"/>
    <mergeCell ref="C8:D8"/>
    <mergeCell ref="E8:F8"/>
    <mergeCell ref="G8:H8"/>
    <mergeCell ref="I8:J8"/>
    <mergeCell ref="K8:L8"/>
    <mergeCell ref="M8:N8"/>
  </mergeCells>
  <hyperlinks>
    <hyperlink ref="B5" location="Índice!A1" display="Índice" xr:uid="{00000000-0004-0000-1600-000000000000}"/>
  </hyperlink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B2:J12"/>
  <sheetViews>
    <sheetView zoomScaleNormal="100" workbookViewId="0">
      <selection activeCell="B5" sqref="B5"/>
    </sheetView>
  </sheetViews>
  <sheetFormatPr baseColWidth="10" defaultColWidth="11.44140625" defaultRowHeight="14.4"/>
  <cols>
    <col min="1" max="1" width="11.44140625" style="60"/>
    <col min="2" max="2" width="15.33203125" style="60" customWidth="1"/>
    <col min="3" max="3" width="11.6640625" style="60" customWidth="1"/>
    <col min="4" max="4" width="11.5546875" style="60" customWidth="1"/>
    <col min="5" max="6" width="11.6640625" style="60" customWidth="1"/>
    <col min="7" max="7" width="11.5546875" style="60" customWidth="1"/>
    <col min="8" max="10" width="11.6640625" style="60" customWidth="1"/>
    <col min="11" max="16384" width="11.44140625" style="60"/>
  </cols>
  <sheetData>
    <row r="2" spans="2:10">
      <c r="B2" s="3" t="s">
        <v>166</v>
      </c>
      <c r="G2" s="6"/>
      <c r="H2" s="6"/>
      <c r="I2" s="6"/>
    </row>
    <row r="3" spans="2:10">
      <c r="B3" s="36" t="s">
        <v>128</v>
      </c>
      <c r="G3" s="6"/>
      <c r="H3" s="6"/>
      <c r="I3" s="6"/>
    </row>
    <row r="4" spans="2:10" ht="15.75" customHeight="1">
      <c r="B4" s="57" t="s">
        <v>162</v>
      </c>
    </row>
    <row r="5" spans="2:10" ht="15" customHeight="1">
      <c r="B5" s="4" t="s">
        <v>0</v>
      </c>
    </row>
    <row r="7" spans="2:10" ht="18" customHeight="1">
      <c r="B7" s="73" t="s">
        <v>64</v>
      </c>
      <c r="C7" s="73"/>
      <c r="D7" s="73"/>
      <c r="E7" s="73"/>
      <c r="F7" s="73"/>
      <c r="G7" s="73"/>
      <c r="H7" s="73"/>
      <c r="I7" s="73"/>
      <c r="J7" s="73"/>
    </row>
    <row r="8" spans="2:10">
      <c r="B8" s="73" t="s">
        <v>54</v>
      </c>
      <c r="C8" s="73">
        <v>2022</v>
      </c>
      <c r="D8" s="73"/>
      <c r="E8" s="73">
        <v>2018</v>
      </c>
      <c r="F8" s="73"/>
      <c r="G8" s="73">
        <v>2015</v>
      </c>
      <c r="H8" s="73"/>
      <c r="I8" s="73">
        <v>2012</v>
      </c>
      <c r="J8" s="73"/>
    </row>
    <row r="9" spans="2:10" ht="18" customHeight="1">
      <c r="B9" s="73"/>
      <c r="C9" s="38" t="s">
        <v>56</v>
      </c>
      <c r="D9" s="38" t="s">
        <v>55</v>
      </c>
      <c r="E9" s="38" t="s">
        <v>56</v>
      </c>
      <c r="F9" s="38" t="s">
        <v>55</v>
      </c>
      <c r="G9" s="38" t="s">
        <v>56</v>
      </c>
      <c r="H9" s="38" t="s">
        <v>55</v>
      </c>
      <c r="I9" s="38" t="s">
        <v>56</v>
      </c>
      <c r="J9" s="38" t="s">
        <v>55</v>
      </c>
    </row>
    <row r="10" spans="2:10">
      <c r="B10" s="23" t="s">
        <v>26</v>
      </c>
      <c r="C10" s="32">
        <v>484.53364800000003</v>
      </c>
      <c r="D10" s="31">
        <v>1.6010530000000001</v>
      </c>
      <c r="E10" s="32">
        <v>483.25204300000001</v>
      </c>
      <c r="F10" s="31">
        <v>1.55285289</v>
      </c>
      <c r="G10" s="32">
        <v>492.786136</v>
      </c>
      <c r="H10" s="31">
        <v>2.0654739700000002</v>
      </c>
      <c r="I10" s="32">
        <v>496.44582300000002</v>
      </c>
      <c r="J10" s="31">
        <v>1.8285748399999999</v>
      </c>
    </row>
    <row r="11" spans="2:10">
      <c r="B11" s="23" t="s">
        <v>39</v>
      </c>
      <c r="C11" s="32">
        <v>484.64552500000002</v>
      </c>
      <c r="D11" s="31">
        <v>0.43530799999999997</v>
      </c>
      <c r="E11" s="32">
        <v>488.66237699999999</v>
      </c>
      <c r="F11" s="31">
        <v>0.40230578</v>
      </c>
      <c r="G11" s="32">
        <v>493.20171299999998</v>
      </c>
      <c r="H11" s="31">
        <v>0.42863561999999999</v>
      </c>
      <c r="I11" s="32">
        <v>501.15979299999998</v>
      </c>
      <c r="J11" s="31">
        <v>0.49174583999999999</v>
      </c>
    </row>
    <row r="12" spans="2:10">
      <c r="B12" s="51" t="s">
        <v>40</v>
      </c>
      <c r="C12" s="54">
        <v>484.25503600000002</v>
      </c>
      <c r="D12" s="53">
        <v>0.94698199999999999</v>
      </c>
      <c r="E12" s="54">
        <v>490.40766000000002</v>
      </c>
      <c r="F12" s="53">
        <v>0.85883299999999996</v>
      </c>
      <c r="G12" s="54">
        <v>494.80135999999999</v>
      </c>
      <c r="H12" s="53">
        <v>0.74951595999999998</v>
      </c>
      <c r="I12" s="54"/>
      <c r="J12" s="55"/>
    </row>
  </sheetData>
  <mergeCells count="6">
    <mergeCell ref="B7:J7"/>
    <mergeCell ref="B8:B9"/>
    <mergeCell ref="C8:D8"/>
    <mergeCell ref="E8:F8"/>
    <mergeCell ref="G8:H8"/>
    <mergeCell ref="I8:J8"/>
  </mergeCells>
  <hyperlinks>
    <hyperlink ref="B5" location="Índice!A1" display="Índice" xr:uid="{00000000-0004-0000-1700-000000000000}"/>
  </hyperlink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B2:N74"/>
  <sheetViews>
    <sheetView tabSelected="1" zoomScaleNormal="100" workbookViewId="0">
      <selection activeCell="R76" sqref="R76"/>
    </sheetView>
  </sheetViews>
  <sheetFormatPr baseColWidth="10" defaultColWidth="11.44140625" defaultRowHeight="14.4"/>
  <cols>
    <col min="1" max="1" width="11.44140625" style="61"/>
    <col min="2" max="2" width="27.88671875" style="61" customWidth="1"/>
    <col min="3" max="3" width="11.6640625" style="61" customWidth="1"/>
    <col min="4" max="4" width="11.5546875" style="61" customWidth="1"/>
    <col min="5" max="6" width="11.6640625" style="61" customWidth="1"/>
    <col min="7" max="7" width="11.5546875" style="61" customWidth="1"/>
    <col min="8" max="10" width="11.6640625" style="61" customWidth="1"/>
    <col min="11" max="16384" width="11.44140625" style="61"/>
  </cols>
  <sheetData>
    <row r="2" spans="2:14">
      <c r="B2" s="3" t="s">
        <v>163</v>
      </c>
      <c r="G2" s="6"/>
      <c r="H2" s="6"/>
      <c r="I2" s="6"/>
    </row>
    <row r="3" spans="2:14">
      <c r="B3" s="36" t="s">
        <v>79</v>
      </c>
      <c r="G3" s="6"/>
      <c r="H3" s="6"/>
      <c r="I3" s="6"/>
    </row>
    <row r="4" spans="2:14" ht="15.75" customHeight="1">
      <c r="B4" s="57" t="s">
        <v>165</v>
      </c>
    </row>
    <row r="5" spans="2:14" ht="15" customHeight="1">
      <c r="B5" s="4" t="s">
        <v>0</v>
      </c>
    </row>
    <row r="7" spans="2:14" ht="18" customHeight="1">
      <c r="B7" s="74" t="s">
        <v>64</v>
      </c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</row>
    <row r="8" spans="2:14">
      <c r="B8" s="73" t="s">
        <v>54</v>
      </c>
      <c r="C8" s="73">
        <v>2022</v>
      </c>
      <c r="D8" s="73"/>
      <c r="E8" s="73">
        <v>2018</v>
      </c>
      <c r="F8" s="73"/>
      <c r="G8" s="73">
        <v>2015</v>
      </c>
      <c r="H8" s="73"/>
      <c r="I8" s="73">
        <v>2012</v>
      </c>
      <c r="J8" s="73"/>
      <c r="K8" s="73" t="s">
        <v>132</v>
      </c>
      <c r="L8" s="73"/>
      <c r="M8" s="73" t="s">
        <v>133</v>
      </c>
      <c r="N8" s="73"/>
    </row>
    <row r="9" spans="2:14" ht="18" customHeight="1">
      <c r="B9" s="73"/>
      <c r="C9" s="38" t="s">
        <v>56</v>
      </c>
      <c r="D9" s="38" t="s">
        <v>55</v>
      </c>
      <c r="E9" s="38" t="s">
        <v>56</v>
      </c>
      <c r="F9" s="38" t="s">
        <v>55</v>
      </c>
      <c r="G9" s="38" t="s">
        <v>56</v>
      </c>
      <c r="H9" s="38" t="s">
        <v>55</v>
      </c>
      <c r="I9" s="38" t="s">
        <v>56</v>
      </c>
      <c r="J9" s="38" t="s">
        <v>55</v>
      </c>
      <c r="K9" s="38" t="s">
        <v>134</v>
      </c>
      <c r="L9" s="38" t="s">
        <v>55</v>
      </c>
      <c r="M9" s="38" t="s">
        <v>134</v>
      </c>
      <c r="N9" s="38" t="s">
        <v>55</v>
      </c>
    </row>
    <row r="10" spans="2:14">
      <c r="B10" s="23" t="s">
        <v>16</v>
      </c>
      <c r="C10" s="32">
        <v>492.42673000000002</v>
      </c>
      <c r="D10" s="31">
        <v>3.4830589999999999</v>
      </c>
      <c r="E10" s="32">
        <v>502.98890282349947</v>
      </c>
      <c r="F10" s="31">
        <v>2.9115005535324845</v>
      </c>
      <c r="G10" s="32">
        <v>509.14064717477999</v>
      </c>
      <c r="H10" s="31">
        <v>2.6988193873522999</v>
      </c>
      <c r="I10" s="32">
        <v>524.12079925700209</v>
      </c>
      <c r="J10" s="31">
        <v>2.963274215648402</v>
      </c>
      <c r="K10" s="32">
        <v>-31.69406925700207</v>
      </c>
      <c r="L10" s="31">
        <v>4.5730399161397717</v>
      </c>
      <c r="M10" s="32">
        <v>-10.562172823499452</v>
      </c>
      <c r="N10" s="31">
        <v>4.5396624842273203</v>
      </c>
    </row>
    <row r="11" spans="2:14">
      <c r="B11" s="23" t="s">
        <v>14</v>
      </c>
      <c r="C11" s="32">
        <v>507.00086900000002</v>
      </c>
      <c r="D11" s="31">
        <v>1.933076</v>
      </c>
      <c r="E11" s="32">
        <v>502.96456288243189</v>
      </c>
      <c r="F11" s="31">
        <v>1.795398284885221</v>
      </c>
      <c r="G11" s="32">
        <v>509.99385420925103</v>
      </c>
      <c r="H11" s="31">
        <v>1.5353112871063701</v>
      </c>
      <c r="I11" s="32">
        <v>521.49474631531757</v>
      </c>
      <c r="J11" s="31">
        <v>1.7576246285280037</v>
      </c>
      <c r="K11" s="32">
        <v>-14.493877315317548</v>
      </c>
      <c r="L11" s="31">
        <v>2.6126666753690957</v>
      </c>
      <c r="M11" s="32">
        <v>4.036306117568131</v>
      </c>
      <c r="N11" s="31">
        <v>2.6382262645847478</v>
      </c>
    </row>
    <row r="12" spans="2:14">
      <c r="B12" s="23" t="s">
        <v>18</v>
      </c>
      <c r="C12" s="32">
        <v>491.270959</v>
      </c>
      <c r="D12" s="31">
        <v>2.6501350000000001</v>
      </c>
      <c r="E12" s="32">
        <v>489.78043953141133</v>
      </c>
      <c r="F12" s="31">
        <v>2.7773948419797998</v>
      </c>
      <c r="G12" s="32">
        <v>495.03748637970602</v>
      </c>
      <c r="H12" s="31">
        <v>2.43934450234135</v>
      </c>
      <c r="I12" s="32">
        <v>505.78124706763873</v>
      </c>
      <c r="J12" s="31">
        <v>2.7003100712832011</v>
      </c>
      <c r="K12" s="32">
        <v>-14.510288067638726</v>
      </c>
      <c r="L12" s="31">
        <v>3.7835023456182086</v>
      </c>
      <c r="M12" s="32">
        <v>1.4905194685886727</v>
      </c>
      <c r="N12" s="31">
        <v>3.8388979703140063</v>
      </c>
    </row>
    <row r="13" spans="2:14">
      <c r="B13" s="23" t="s">
        <v>28</v>
      </c>
      <c r="C13" s="32">
        <v>490.57834600000001</v>
      </c>
      <c r="D13" s="31">
        <v>2.4818730000000002</v>
      </c>
      <c r="E13" s="32">
        <v>498.77312723921921</v>
      </c>
      <c r="F13" s="31">
        <v>2.2292398477962552</v>
      </c>
      <c r="G13" s="32">
        <v>501.99971368116599</v>
      </c>
      <c r="H13" s="31">
        <v>2.28958882545894</v>
      </c>
      <c r="I13" s="32">
        <v>505.4574588426525</v>
      </c>
      <c r="J13" s="31">
        <v>2.0865822444870896</v>
      </c>
      <c r="K13" s="32">
        <v>-14.879112842652489</v>
      </c>
      <c r="L13" s="31">
        <v>3.2424557130572778</v>
      </c>
      <c r="M13" s="32">
        <v>-8.1947812392191963</v>
      </c>
      <c r="N13" s="31">
        <v>3.3360461458336683</v>
      </c>
    </row>
    <row r="14" spans="2:14">
      <c r="B14" s="23" t="s">
        <v>20</v>
      </c>
      <c r="C14" s="32">
        <v>420.99321900000001</v>
      </c>
      <c r="D14" s="31">
        <v>3.1742430000000001</v>
      </c>
      <c r="E14" s="32">
        <v>424.07358287521839</v>
      </c>
      <c r="F14" s="31">
        <v>3.6314666842428163</v>
      </c>
      <c r="G14" s="32">
        <v>445.77195791684602</v>
      </c>
      <c r="H14" s="31">
        <v>4.3502227038803696</v>
      </c>
      <c r="I14" s="32" t="s">
        <v>135</v>
      </c>
      <c r="J14" s="31" t="s">
        <v>135</v>
      </c>
      <c r="K14" s="32" t="s">
        <v>135</v>
      </c>
      <c r="L14" s="31" t="s">
        <v>135</v>
      </c>
      <c r="M14" s="32">
        <v>-3.0803638752183815</v>
      </c>
      <c r="N14" s="31">
        <v>4.8232114718115477</v>
      </c>
    </row>
    <row r="15" spans="2:14">
      <c r="B15" s="23" t="s">
        <v>6</v>
      </c>
      <c r="C15" s="32">
        <v>515.01667599999996</v>
      </c>
      <c r="D15" s="31">
        <v>1.928993</v>
      </c>
      <c r="E15" s="32">
        <v>517.99766075566777</v>
      </c>
      <c r="F15" s="31">
        <v>2.1536511750350056</v>
      </c>
      <c r="G15" s="32">
        <v>527.70468418283303</v>
      </c>
      <c r="H15" s="31">
        <v>2.0802615032682001</v>
      </c>
      <c r="I15" s="32">
        <v>525.46096975171122</v>
      </c>
      <c r="J15" s="31">
        <v>1.9311402212811466</v>
      </c>
      <c r="K15" s="32">
        <v>-10.444293751711257</v>
      </c>
      <c r="L15" s="31">
        <v>2.7295267993369832</v>
      </c>
      <c r="M15" s="32">
        <v>-2.9809847556678051</v>
      </c>
      <c r="N15" s="31">
        <v>2.8912328473816595</v>
      </c>
    </row>
    <row r="16" spans="2:14">
      <c r="B16" s="23" t="s">
        <v>1</v>
      </c>
      <c r="C16" s="32">
        <v>443.54340200000001</v>
      </c>
      <c r="D16" s="31">
        <v>2.4685959999999998</v>
      </c>
      <c r="E16" s="32">
        <v>443.58256338766853</v>
      </c>
      <c r="F16" s="31">
        <v>2.4152800816427193</v>
      </c>
      <c r="G16" s="32">
        <v>446.95606636417398</v>
      </c>
      <c r="H16" s="31">
        <v>2.3792866710579399</v>
      </c>
      <c r="I16" s="32">
        <v>444.93391969494525</v>
      </c>
      <c r="J16" s="31">
        <v>2.8632758646020893</v>
      </c>
      <c r="K16" s="32">
        <v>-1.3905176949452311</v>
      </c>
      <c r="L16" s="31">
        <v>3.7805178068657264</v>
      </c>
      <c r="M16" s="32">
        <v>-3.916138766851418E-2</v>
      </c>
      <c r="N16" s="31">
        <v>3.4536276701457065</v>
      </c>
    </row>
    <row r="17" spans="2:14">
      <c r="B17" s="23" t="s">
        <v>82</v>
      </c>
      <c r="C17" s="32">
        <v>410.90251699999999</v>
      </c>
      <c r="D17" s="31">
        <v>1.45661</v>
      </c>
      <c r="E17" s="32" t="s">
        <v>135</v>
      </c>
      <c r="F17" s="31" t="s">
        <v>135</v>
      </c>
      <c r="G17" s="32">
        <v>432.57676932107046</v>
      </c>
      <c r="H17" s="31">
        <v>1.3789975891697723</v>
      </c>
      <c r="I17" s="32" t="s">
        <v>135</v>
      </c>
      <c r="J17" s="31" t="s">
        <v>135</v>
      </c>
      <c r="K17" s="32" t="s">
        <v>135</v>
      </c>
      <c r="L17" s="31" t="s">
        <v>135</v>
      </c>
      <c r="M17" s="32" t="s">
        <v>135</v>
      </c>
      <c r="N17" s="31" t="s">
        <v>135</v>
      </c>
    </row>
    <row r="18" spans="2:14">
      <c r="B18" s="23" t="s">
        <v>29</v>
      </c>
      <c r="C18" s="32">
        <v>411.12067300000001</v>
      </c>
      <c r="D18" s="31">
        <v>3.2840639999999999</v>
      </c>
      <c r="E18" s="32">
        <v>413.32299297387925</v>
      </c>
      <c r="F18" s="31">
        <v>3.0524015268885751</v>
      </c>
      <c r="G18" s="32" t="s">
        <v>135</v>
      </c>
      <c r="H18" s="31" t="s">
        <v>135</v>
      </c>
      <c r="I18" s="32" t="s">
        <v>135</v>
      </c>
      <c r="J18" s="31" t="s">
        <v>135</v>
      </c>
      <c r="K18" s="32" t="s">
        <v>135</v>
      </c>
      <c r="L18" s="31" t="s">
        <v>135</v>
      </c>
      <c r="M18" s="32">
        <v>-2.2023199738792414</v>
      </c>
      <c r="N18" s="31">
        <v>4.4835512082999234</v>
      </c>
    </row>
    <row r="19" spans="2:14">
      <c r="B19" s="23" t="s">
        <v>25</v>
      </c>
      <c r="C19" s="32">
        <v>527.82241799999997</v>
      </c>
      <c r="D19" s="31">
        <v>3.5796169999999998</v>
      </c>
      <c r="E19" s="32">
        <v>519.00725458119962</v>
      </c>
      <c r="F19" s="31">
        <v>2.8027616089780065</v>
      </c>
      <c r="G19" s="32">
        <v>515.80991152695105</v>
      </c>
      <c r="H19" s="31">
        <v>3.1318420602965</v>
      </c>
      <c r="I19" s="32">
        <v>537.78762153518187</v>
      </c>
      <c r="J19" s="31">
        <v>3.6575113109397868</v>
      </c>
      <c r="K19" s="32">
        <v>-9.9652035351818995</v>
      </c>
      <c r="L19" s="31">
        <v>5.1177189114234745</v>
      </c>
      <c r="M19" s="32">
        <v>8.8151634188003527</v>
      </c>
      <c r="N19" s="31">
        <v>4.5463315435029577</v>
      </c>
    </row>
    <row r="20" spans="2:14">
      <c r="B20" s="23" t="s">
        <v>83</v>
      </c>
      <c r="C20" s="32">
        <v>410.98662400000001</v>
      </c>
      <c r="D20" s="31">
        <v>2.417986</v>
      </c>
      <c r="E20" s="32" t="s">
        <v>135</v>
      </c>
      <c r="F20" s="31" t="s">
        <v>135</v>
      </c>
      <c r="G20" s="32" t="s">
        <v>135</v>
      </c>
      <c r="H20" s="31" t="s">
        <v>135</v>
      </c>
      <c r="I20" s="32" t="s">
        <v>135</v>
      </c>
      <c r="J20" s="31" t="s">
        <v>135</v>
      </c>
      <c r="K20" s="32" t="s">
        <v>135</v>
      </c>
      <c r="L20" s="31" t="s">
        <v>135</v>
      </c>
      <c r="M20" s="32" t="s">
        <v>135</v>
      </c>
      <c r="N20" s="31" t="s">
        <v>135</v>
      </c>
    </row>
    <row r="21" spans="2:14">
      <c r="B21" s="23" t="s">
        <v>15</v>
      </c>
      <c r="C21" s="32">
        <v>482.66744899999998</v>
      </c>
      <c r="D21" s="31">
        <v>2.397535</v>
      </c>
      <c r="E21" s="32">
        <v>472.36261957297756</v>
      </c>
      <c r="F21" s="31">
        <v>2.7895294455302446</v>
      </c>
      <c r="G21" s="32">
        <v>475.39117668749799</v>
      </c>
      <c r="H21" s="31">
        <v>2.4520081020148101</v>
      </c>
      <c r="I21" s="32" t="s">
        <v>135</v>
      </c>
      <c r="J21" s="31" t="s">
        <v>135</v>
      </c>
      <c r="K21" s="32" t="s">
        <v>135</v>
      </c>
      <c r="L21" s="31" t="s">
        <v>135</v>
      </c>
      <c r="M21" s="32">
        <v>10.304829427022412</v>
      </c>
      <c r="N21" s="31">
        <v>3.6782670653047034</v>
      </c>
    </row>
    <row r="22" spans="2:14">
      <c r="B22" s="23" t="s">
        <v>8</v>
      </c>
      <c r="C22" s="32">
        <v>493.81571200000002</v>
      </c>
      <c r="D22" s="31">
        <v>2.4975010000000002</v>
      </c>
      <c r="E22" s="32">
        <v>492.63703335097489</v>
      </c>
      <c r="F22" s="31">
        <v>1.9376037272658841</v>
      </c>
      <c r="G22" s="32">
        <v>501.936886977413</v>
      </c>
      <c r="H22" s="31">
        <v>2.3754779184585599</v>
      </c>
      <c r="I22" s="32">
        <v>498.47420142947067</v>
      </c>
      <c r="J22" s="31">
        <v>2.7420960838558526</v>
      </c>
      <c r="K22" s="32">
        <v>-4.6584894294706487</v>
      </c>
      <c r="L22" s="31">
        <v>3.7089893742229303</v>
      </c>
      <c r="M22" s="32">
        <v>1.1786786490251302</v>
      </c>
      <c r="N22" s="31">
        <v>3.1609839368329049</v>
      </c>
    </row>
    <row r="23" spans="2:14">
      <c r="B23" s="23" t="s">
        <v>10</v>
      </c>
      <c r="C23" s="32">
        <v>499.96488199999999</v>
      </c>
      <c r="D23" s="31">
        <v>1.445862</v>
      </c>
      <c r="E23" s="32">
        <v>507.00654597077875</v>
      </c>
      <c r="F23" s="31">
        <v>1.2504196433908612</v>
      </c>
      <c r="G23" s="32">
        <v>512.86357860040903</v>
      </c>
      <c r="H23" s="31">
        <v>1.32436740487894</v>
      </c>
      <c r="I23" s="32">
        <v>514.14255496614692</v>
      </c>
      <c r="J23" s="31">
        <v>1.2862061321960054</v>
      </c>
      <c r="K23" s="32">
        <v>-14.177672966146929</v>
      </c>
      <c r="L23" s="31">
        <v>1.9351597188714444</v>
      </c>
      <c r="M23" s="32">
        <v>-7.0416639707787567</v>
      </c>
      <c r="N23" s="31">
        <v>1.9115611964103394</v>
      </c>
    </row>
    <row r="24" spans="2:14">
      <c r="B24" s="23" t="s">
        <v>26</v>
      </c>
      <c r="C24" s="32">
        <v>484.53364800000003</v>
      </c>
      <c r="D24" s="31">
        <v>1.6010530000000001</v>
      </c>
      <c r="E24" s="32">
        <v>483.2520427254816</v>
      </c>
      <c r="F24" s="31">
        <v>1.5528528866843549</v>
      </c>
      <c r="G24" s="32">
        <v>492.78613611500703</v>
      </c>
      <c r="H24" s="31">
        <v>2.06547396894713</v>
      </c>
      <c r="I24" s="32">
        <v>496.44582282446282</v>
      </c>
      <c r="J24" s="31">
        <v>1.8285748366411978</v>
      </c>
      <c r="K24" s="32">
        <v>-11.912174824462795</v>
      </c>
      <c r="L24" s="31">
        <v>2.4304437129887173</v>
      </c>
      <c r="M24" s="32">
        <v>1.2816052745184265</v>
      </c>
      <c r="N24" s="31">
        <v>2.230408661320372</v>
      </c>
    </row>
    <row r="25" spans="2:14">
      <c r="B25" s="23" t="s">
        <v>7</v>
      </c>
      <c r="C25" s="32">
        <v>499.414064</v>
      </c>
      <c r="D25" s="31">
        <v>4.3185570000000002</v>
      </c>
      <c r="E25" s="32">
        <v>502.38003200091782</v>
      </c>
      <c r="F25" s="31">
        <v>3.3179200378008278</v>
      </c>
      <c r="G25" s="32">
        <v>496.24243416488702</v>
      </c>
      <c r="H25" s="31">
        <v>3.1812008682742001</v>
      </c>
      <c r="I25" s="32">
        <v>497.40981148308873</v>
      </c>
      <c r="J25" s="31">
        <v>3.7758857127186864</v>
      </c>
      <c r="K25" s="32">
        <v>2.004252516911265</v>
      </c>
      <c r="L25" s="31">
        <v>5.7364838950146195</v>
      </c>
      <c r="M25" s="32">
        <v>-2.965968000917826</v>
      </c>
      <c r="N25" s="31">
        <v>5.4459643718527255</v>
      </c>
    </row>
    <row r="26" spans="2:14">
      <c r="B26" s="23" t="s">
        <v>21</v>
      </c>
      <c r="C26" s="32">
        <v>525.811778</v>
      </c>
      <c r="D26" s="31">
        <v>2.0654309999999998</v>
      </c>
      <c r="E26" s="32">
        <v>530.10800462174518</v>
      </c>
      <c r="F26" s="31">
        <v>1.8845690508304711</v>
      </c>
      <c r="G26" s="32">
        <v>534.19374207720296</v>
      </c>
      <c r="H26" s="31">
        <v>2.0948070305148998</v>
      </c>
      <c r="I26" s="32">
        <v>541.40475616409731</v>
      </c>
      <c r="J26" s="31">
        <v>1.9483205431349415</v>
      </c>
      <c r="K26" s="32">
        <v>-15.592978164097303</v>
      </c>
      <c r="L26" s="31">
        <v>2.8393587576357153</v>
      </c>
      <c r="M26" s="32">
        <v>-4.296226621745177</v>
      </c>
      <c r="N26" s="31">
        <v>2.7959981622148935</v>
      </c>
    </row>
    <row r="27" spans="2:14">
      <c r="B27" s="23" t="s">
        <v>34</v>
      </c>
      <c r="C27" s="32">
        <v>510.95885099999998</v>
      </c>
      <c r="D27" s="31">
        <v>2.5007799999999998</v>
      </c>
      <c r="E27" s="32">
        <v>521.88456314354107</v>
      </c>
      <c r="F27" s="31">
        <v>2.5095151891766996</v>
      </c>
      <c r="G27" s="32">
        <v>530.66115886094599</v>
      </c>
      <c r="H27" s="31">
        <v>2.3923685805433799</v>
      </c>
      <c r="I27" s="32">
        <v>545.4419399878791</v>
      </c>
      <c r="J27" s="31">
        <v>2.1987213032917459</v>
      </c>
      <c r="K27" s="32">
        <v>-34.483088987879114</v>
      </c>
      <c r="L27" s="31">
        <v>3.3299063016771138</v>
      </c>
      <c r="M27" s="32">
        <v>-10.925712143541091</v>
      </c>
      <c r="N27" s="31">
        <v>3.5428190883967763</v>
      </c>
    </row>
    <row r="28" spans="2:14">
      <c r="B28" s="23" t="s">
        <v>5</v>
      </c>
      <c r="C28" s="32">
        <v>487.225279</v>
      </c>
      <c r="D28" s="31">
        <v>2.7295889999999998</v>
      </c>
      <c r="E28" s="32">
        <v>492.97707605835149</v>
      </c>
      <c r="F28" s="31">
        <v>2.2236612981443407</v>
      </c>
      <c r="G28" s="32">
        <v>494.97760037200499</v>
      </c>
      <c r="H28" s="31">
        <v>2.0607266185047401</v>
      </c>
      <c r="I28" s="32">
        <v>498.97089415147184</v>
      </c>
      <c r="J28" s="31">
        <v>2.5786732500873248</v>
      </c>
      <c r="K28" s="32">
        <v>-11.745615151471839</v>
      </c>
      <c r="L28" s="31">
        <v>3.7550248786974669</v>
      </c>
      <c r="M28" s="32">
        <v>-5.7517970583514852</v>
      </c>
      <c r="N28" s="31">
        <v>3.5206996006171805</v>
      </c>
    </row>
    <row r="29" spans="2:14">
      <c r="B29" s="23" t="s">
        <v>37</v>
      </c>
      <c r="C29" s="32">
        <v>440.78606000000002</v>
      </c>
      <c r="D29" s="31">
        <v>2.7672300000000001</v>
      </c>
      <c r="E29" s="32">
        <v>451.63274164662488</v>
      </c>
      <c r="F29" s="31">
        <v>3.1396304559423611</v>
      </c>
      <c r="G29" s="32">
        <v>454.82881659483502</v>
      </c>
      <c r="H29" s="31">
        <v>3.9173170786980198</v>
      </c>
      <c r="I29" s="32">
        <v>466.72202948882506</v>
      </c>
      <c r="J29" s="31">
        <v>3.1225044409577309</v>
      </c>
      <c r="K29" s="32">
        <v>-25.935969488825037</v>
      </c>
      <c r="L29" s="31">
        <v>4.1722411072109375</v>
      </c>
      <c r="M29" s="32">
        <v>-10.846681646624859</v>
      </c>
      <c r="N29" s="31">
        <v>4.1850736281194427</v>
      </c>
    </row>
    <row r="30" spans="2:14">
      <c r="B30" s="23" t="s">
        <v>4</v>
      </c>
      <c r="C30" s="32">
        <v>485.89015899999998</v>
      </c>
      <c r="D30" s="31">
        <v>2.7087430000000001</v>
      </c>
      <c r="E30" s="32">
        <v>480.91169388228616</v>
      </c>
      <c r="F30" s="31">
        <v>2.32997651092181</v>
      </c>
      <c r="G30" s="32">
        <v>476.74751240428702</v>
      </c>
      <c r="H30" s="31">
        <v>2.4214643684426602</v>
      </c>
      <c r="I30" s="32">
        <v>494.30235122168341</v>
      </c>
      <c r="J30" s="31">
        <v>2.9498171402432818</v>
      </c>
      <c r="K30" s="32">
        <v>-8.4121922216834264</v>
      </c>
      <c r="L30" s="31">
        <v>4.0048358019926429</v>
      </c>
      <c r="M30" s="32">
        <v>4.9784651177138244</v>
      </c>
      <c r="N30" s="31">
        <v>3.5729650406205171</v>
      </c>
    </row>
    <row r="31" spans="2:14">
      <c r="B31" s="23" t="s">
        <v>9</v>
      </c>
      <c r="C31" s="32">
        <v>503.84553699999998</v>
      </c>
      <c r="D31" s="31">
        <v>2.2569620000000001</v>
      </c>
      <c r="E31" s="32">
        <v>496.11356187258372</v>
      </c>
      <c r="F31" s="31">
        <v>2.2141464349751097</v>
      </c>
      <c r="G31" s="32">
        <v>502.57511548882201</v>
      </c>
      <c r="H31" s="31">
        <v>2.3860270498381402</v>
      </c>
      <c r="I31" s="32">
        <v>522.00395919666676</v>
      </c>
      <c r="J31" s="31">
        <v>2.4503479312467031</v>
      </c>
      <c r="K31" s="32">
        <v>-18.158422196666777</v>
      </c>
      <c r="L31" s="31">
        <v>3.3313784614794217</v>
      </c>
      <c r="M31" s="32">
        <v>7.7319751274162627</v>
      </c>
      <c r="N31" s="31">
        <v>3.1616960487935883</v>
      </c>
    </row>
    <row r="32" spans="2:14">
      <c r="B32" s="23" t="s">
        <v>19</v>
      </c>
      <c r="C32" s="32">
        <v>446.92679500000003</v>
      </c>
      <c r="D32" s="31">
        <v>1.75939</v>
      </c>
      <c r="E32" s="32">
        <v>475.02410633375621</v>
      </c>
      <c r="F32" s="31">
        <v>1.795502480477017</v>
      </c>
      <c r="G32" s="32">
        <v>473.23008619733201</v>
      </c>
      <c r="H32" s="31">
        <v>1.6809249156905799</v>
      </c>
      <c r="I32" s="32">
        <v>478.15459619459506</v>
      </c>
      <c r="J32" s="31">
        <v>2.1150865523787394</v>
      </c>
      <c r="K32" s="32">
        <v>-31.227801194595031</v>
      </c>
      <c r="L32" s="31">
        <v>2.7511896147218535</v>
      </c>
      <c r="M32" s="32">
        <v>-28.097311333756181</v>
      </c>
      <c r="N32" s="31">
        <v>2.5138182769442823</v>
      </c>
    </row>
    <row r="33" spans="2:14">
      <c r="B33" s="23" t="s">
        <v>11</v>
      </c>
      <c r="C33" s="32">
        <v>464.751825</v>
      </c>
      <c r="D33" s="31">
        <v>3.384814</v>
      </c>
      <c r="E33" s="32">
        <v>462.19663275373875</v>
      </c>
      <c r="F33" s="31">
        <v>3.6183877441759438</v>
      </c>
      <c r="G33" s="32">
        <v>466.55281218923</v>
      </c>
      <c r="H33" s="31">
        <v>3.4375542752433601</v>
      </c>
      <c r="I33" s="32">
        <v>470.0726618227194</v>
      </c>
      <c r="J33" s="31">
        <v>4.9577519389605671</v>
      </c>
      <c r="K33" s="32">
        <v>-5.3208368227194001</v>
      </c>
      <c r="L33" s="31">
        <v>6.0030217476586962</v>
      </c>
      <c r="M33" s="32">
        <v>2.5551922462612424</v>
      </c>
      <c r="N33" s="31">
        <v>4.9547649471795001</v>
      </c>
    </row>
    <row r="34" spans="2:14">
      <c r="B34" s="23" t="s">
        <v>12</v>
      </c>
      <c r="C34" s="32">
        <v>477.46336600000001</v>
      </c>
      <c r="D34" s="31">
        <v>3.177546</v>
      </c>
      <c r="E34" s="32">
        <v>468.01172789151281</v>
      </c>
      <c r="F34" s="31">
        <v>2.4295619575179854</v>
      </c>
      <c r="G34" s="32">
        <v>480.54676241081899</v>
      </c>
      <c r="H34" s="31">
        <v>2.5159528643379998</v>
      </c>
      <c r="I34" s="32">
        <v>493.5414818049677</v>
      </c>
      <c r="J34" s="31">
        <v>1.9355238160013553</v>
      </c>
      <c r="K34" s="32">
        <v>-16.078115804967695</v>
      </c>
      <c r="L34" s="31">
        <v>3.7206250851737868</v>
      </c>
      <c r="M34" s="32">
        <v>9.4516381084872023</v>
      </c>
      <c r="N34" s="31">
        <v>3.9999462355805013</v>
      </c>
    </row>
    <row r="35" spans="2:14">
      <c r="B35" s="23" t="s">
        <v>2</v>
      </c>
      <c r="C35" s="32">
        <v>546.63445400000001</v>
      </c>
      <c r="D35" s="31">
        <v>2.8039960000000002</v>
      </c>
      <c r="E35" s="32">
        <v>529.13543377081885</v>
      </c>
      <c r="F35" s="31">
        <v>2.5931679269100747</v>
      </c>
      <c r="G35" s="32">
        <v>538.39475105449196</v>
      </c>
      <c r="H35" s="31">
        <v>2.9661788071491499</v>
      </c>
      <c r="I35" s="32">
        <v>546.73559977510649</v>
      </c>
      <c r="J35" s="31">
        <v>3.6045798546755918</v>
      </c>
      <c r="K35" s="32">
        <v>-0.10114577510648814</v>
      </c>
      <c r="L35" s="31">
        <v>4.5667701383745065</v>
      </c>
      <c r="M35" s="32">
        <v>17.499020229181156</v>
      </c>
      <c r="N35" s="31">
        <v>3.8192817996543664</v>
      </c>
    </row>
    <row r="36" spans="2:14">
      <c r="B36" s="23" t="s">
        <v>23</v>
      </c>
      <c r="C36" s="32">
        <v>493.84276699999998</v>
      </c>
      <c r="D36" s="31">
        <v>2.297974</v>
      </c>
      <c r="E36" s="32">
        <v>487.25058835762019</v>
      </c>
      <c r="F36" s="31">
        <v>1.7627962800913748</v>
      </c>
      <c r="G36" s="32">
        <v>490.22501836099002</v>
      </c>
      <c r="H36" s="31">
        <v>1.5602818932438101</v>
      </c>
      <c r="I36" s="32" t="s">
        <v>135</v>
      </c>
      <c r="J36" s="31" t="s">
        <v>135</v>
      </c>
      <c r="K36" s="32" t="s">
        <v>135</v>
      </c>
      <c r="L36" s="31" t="s">
        <v>135</v>
      </c>
      <c r="M36" s="32">
        <v>6.5921786423797926</v>
      </c>
      <c r="N36" s="31">
        <v>2.8962277586163676</v>
      </c>
    </row>
    <row r="37" spans="2:14">
      <c r="B37" s="23" t="s">
        <v>32</v>
      </c>
      <c r="C37" s="32">
        <v>484.46340600000002</v>
      </c>
      <c r="D37" s="31">
        <v>2.3332030000000001</v>
      </c>
      <c r="E37" s="32">
        <v>482.06701257046052</v>
      </c>
      <c r="F37" s="31">
        <v>1.6292368484325295</v>
      </c>
      <c r="G37" s="32">
        <v>475.40894649576802</v>
      </c>
      <c r="H37" s="31">
        <v>2.6526764468616402</v>
      </c>
      <c r="I37" s="32" t="s">
        <v>135</v>
      </c>
      <c r="J37" s="31" t="s">
        <v>135</v>
      </c>
      <c r="K37" s="32" t="s">
        <v>135</v>
      </c>
      <c r="L37" s="31" t="s">
        <v>135</v>
      </c>
      <c r="M37" s="32">
        <v>2.3963934295395006</v>
      </c>
      <c r="N37" s="31">
        <v>2.8457422489570909</v>
      </c>
    </row>
    <row r="38" spans="2:14">
      <c r="B38" s="23" t="s">
        <v>17</v>
      </c>
      <c r="C38" s="32">
        <v>465.58873899999998</v>
      </c>
      <c r="D38" s="31">
        <v>1.6973039999999999</v>
      </c>
      <c r="E38" s="32">
        <v>456.59032278180985</v>
      </c>
      <c r="F38" s="31">
        <v>1.8686162528142867</v>
      </c>
      <c r="G38" s="32">
        <v>464.78196468080398</v>
      </c>
      <c r="H38" s="31">
        <v>1.6419703038306499</v>
      </c>
      <c r="I38" s="32" t="s">
        <v>135</v>
      </c>
      <c r="J38" s="31" t="s">
        <v>135</v>
      </c>
      <c r="K38" s="32" t="s">
        <v>135</v>
      </c>
      <c r="L38" s="31" t="s">
        <v>135</v>
      </c>
      <c r="M38" s="32">
        <v>8.9984162181901297</v>
      </c>
      <c r="N38" s="31">
        <v>2.524394495457813</v>
      </c>
    </row>
    <row r="39" spans="2:14">
      <c r="B39" s="23" t="s">
        <v>3</v>
      </c>
      <c r="C39" s="32">
        <v>409.88659799999999</v>
      </c>
      <c r="D39" s="31">
        <v>2.4156369999999998</v>
      </c>
      <c r="E39" s="32">
        <v>419.20471958248828</v>
      </c>
      <c r="F39" s="31">
        <v>2.5840095078462477</v>
      </c>
      <c r="G39" s="32">
        <v>415.70988290835601</v>
      </c>
      <c r="H39" s="31">
        <v>2.13049065464276</v>
      </c>
      <c r="I39" s="32">
        <v>414.92014771533729</v>
      </c>
      <c r="J39" s="31">
        <v>1.3054451728833647</v>
      </c>
      <c r="K39" s="32">
        <v>-5.0335497153373012</v>
      </c>
      <c r="L39" s="31">
        <v>2.7458130335427935</v>
      </c>
      <c r="M39" s="32">
        <v>-9.3181215824882884</v>
      </c>
      <c r="N39" s="31">
        <v>3.5372881212037006</v>
      </c>
    </row>
    <row r="40" spans="2:14">
      <c r="B40" s="23" t="s">
        <v>13</v>
      </c>
      <c r="C40" s="32">
        <v>478.22646500000002</v>
      </c>
      <c r="D40" s="31">
        <v>2.3725450000000001</v>
      </c>
      <c r="E40" s="32">
        <v>490.41314927261283</v>
      </c>
      <c r="F40" s="31">
        <v>2.2825075738357627</v>
      </c>
      <c r="G40" s="32">
        <v>498.48110908611397</v>
      </c>
      <c r="H40" s="31">
        <v>2.2623856468646499</v>
      </c>
      <c r="I40" s="32">
        <v>494.5239347413127</v>
      </c>
      <c r="J40" s="31">
        <v>3.0872781162311069</v>
      </c>
      <c r="K40" s="32">
        <v>-16.297469741312682</v>
      </c>
      <c r="L40" s="31">
        <v>3.8936173340461302</v>
      </c>
      <c r="M40" s="32">
        <v>-12.186684272612808</v>
      </c>
      <c r="N40" s="31">
        <v>3.2922348946639</v>
      </c>
    </row>
    <row r="41" spans="2:14">
      <c r="B41" s="23" t="s">
        <v>27</v>
      </c>
      <c r="C41" s="32">
        <v>504.12930499999999</v>
      </c>
      <c r="D41" s="31">
        <v>2.2420439999999999</v>
      </c>
      <c r="E41" s="32">
        <v>508.49072142284558</v>
      </c>
      <c r="F41" s="31">
        <v>2.1046335637432931</v>
      </c>
      <c r="G41" s="32">
        <v>513.30351222524405</v>
      </c>
      <c r="H41" s="31">
        <v>2.3842484692088699</v>
      </c>
      <c r="I41" s="32">
        <v>515.63631870057668</v>
      </c>
      <c r="J41" s="31">
        <v>2.1444236190757171</v>
      </c>
      <c r="K41" s="32">
        <v>-11.507013700576692</v>
      </c>
      <c r="L41" s="31">
        <v>3.102469009673714</v>
      </c>
      <c r="M41" s="32">
        <v>-4.3614164228455934</v>
      </c>
      <c r="N41" s="31">
        <v>3.0751006057641095</v>
      </c>
    </row>
    <row r="42" spans="2:14">
      <c r="B42" s="23" t="s">
        <v>31</v>
      </c>
      <c r="C42" s="32">
        <v>488.31683600000002</v>
      </c>
      <c r="D42" s="31">
        <v>4.0731739999999999</v>
      </c>
      <c r="E42" s="32">
        <v>503.38381975000414</v>
      </c>
      <c r="F42" s="31">
        <v>2.8406216863391314</v>
      </c>
      <c r="G42" s="32">
        <v>508.57480607192798</v>
      </c>
      <c r="H42" s="31">
        <v>2.25739584111877</v>
      </c>
      <c r="I42" s="32">
        <v>522.05582172580159</v>
      </c>
      <c r="J42" s="31">
        <v>3.5081626663274625</v>
      </c>
      <c r="K42" s="32">
        <v>-33.73898572580157</v>
      </c>
      <c r="L42" s="31">
        <v>5.3756815128586082</v>
      </c>
      <c r="M42" s="32">
        <v>-15.066983750004113</v>
      </c>
      <c r="N42" s="31">
        <v>4.9658713232600142</v>
      </c>
    </row>
    <row r="43" spans="2:14">
      <c r="B43" s="23" t="s">
        <v>35</v>
      </c>
      <c r="C43" s="32">
        <v>499.16436199999998</v>
      </c>
      <c r="D43" s="31">
        <v>2.5450750000000002</v>
      </c>
      <c r="E43" s="32">
        <v>511.03556179417882</v>
      </c>
      <c r="F43" s="31">
        <v>2.6072358760910683</v>
      </c>
      <c r="G43" s="32">
        <v>501.43533182058002</v>
      </c>
      <c r="H43" s="31">
        <v>2.5074518214299899</v>
      </c>
      <c r="I43" s="32">
        <v>525.81644543816924</v>
      </c>
      <c r="J43" s="31">
        <v>3.1234681312083912</v>
      </c>
      <c r="K43" s="32">
        <v>-26.652083438169257</v>
      </c>
      <c r="L43" s="31">
        <v>4.0290768076942189</v>
      </c>
      <c r="M43" s="32">
        <v>-11.871199794178835</v>
      </c>
      <c r="N43" s="31">
        <v>3.6434990969123846</v>
      </c>
    </row>
    <row r="44" spans="2:14">
      <c r="B44" s="23" t="s">
        <v>36</v>
      </c>
      <c r="C44" s="32">
        <v>484.37346400000001</v>
      </c>
      <c r="D44" s="31">
        <v>2.5589930000000001</v>
      </c>
      <c r="E44" s="32">
        <v>491.67732851561516</v>
      </c>
      <c r="F44" s="31">
        <v>2.773162587642453</v>
      </c>
      <c r="G44" s="32">
        <v>501.10006223380498</v>
      </c>
      <c r="H44" s="31">
        <v>2.4308203284058298</v>
      </c>
      <c r="I44" s="32">
        <v>489.27473198152222</v>
      </c>
      <c r="J44" s="31">
        <v>3.7467201516208757</v>
      </c>
      <c r="K44" s="32">
        <v>-4.90126798152221</v>
      </c>
      <c r="L44" s="31">
        <v>4.5372190897741493</v>
      </c>
      <c r="M44" s="32">
        <v>-7.303864515615146</v>
      </c>
      <c r="N44" s="31">
        <v>3.773443508461308</v>
      </c>
    </row>
    <row r="45" spans="2:14">
      <c r="B45" s="23" t="s">
        <v>38</v>
      </c>
      <c r="C45" s="32">
        <v>499.67021399999999</v>
      </c>
      <c r="D45" s="31">
        <v>2.376477</v>
      </c>
      <c r="E45" s="32">
        <v>504.6674735335863</v>
      </c>
      <c r="F45" s="31">
        <v>2.5644145566129177</v>
      </c>
      <c r="G45" s="32">
        <v>509.22150294191903</v>
      </c>
      <c r="H45" s="31">
        <v>2.5643960013433</v>
      </c>
      <c r="I45" s="32">
        <v>514.12932105487812</v>
      </c>
      <c r="J45" s="31">
        <v>3.3817499111319358</v>
      </c>
      <c r="K45" s="32">
        <v>-14.459107054878132</v>
      </c>
      <c r="L45" s="31">
        <v>4.1332644958881906</v>
      </c>
      <c r="M45" s="32">
        <v>-4.9972595335863161</v>
      </c>
      <c r="N45" s="31">
        <v>3.4962644278854578</v>
      </c>
    </row>
    <row r="46" spans="2:14">
      <c r="B46" s="23" t="s">
        <v>84</v>
      </c>
      <c r="C46" s="32">
        <v>497.74204700000001</v>
      </c>
      <c r="D46" s="31">
        <v>2.3042699999999998</v>
      </c>
      <c r="E46" s="32">
        <v>496.79131065622869</v>
      </c>
      <c r="F46" s="31">
        <v>2.5460693525333129</v>
      </c>
      <c r="G46" s="32">
        <v>492.83004832869398</v>
      </c>
      <c r="H46" s="31">
        <v>2.26769730848503</v>
      </c>
      <c r="I46" s="32">
        <v>508.29907935426974</v>
      </c>
      <c r="J46" s="31">
        <v>2.9628634070353441</v>
      </c>
      <c r="K46" s="32">
        <v>-10.557032354269722</v>
      </c>
      <c r="L46" s="31">
        <v>3.7534277402994034</v>
      </c>
      <c r="M46" s="32">
        <v>0.95073634377132521</v>
      </c>
      <c r="N46" s="31">
        <v>3.4339670034537901</v>
      </c>
    </row>
    <row r="47" spans="2:14">
      <c r="B47" s="23" t="s">
        <v>85</v>
      </c>
      <c r="C47" s="32">
        <v>462.26948299999998</v>
      </c>
      <c r="D47" s="31">
        <v>3.0301779999999998</v>
      </c>
      <c r="E47" s="32">
        <v>464.04757834349175</v>
      </c>
      <c r="F47" s="31">
        <v>2.2781878834857521</v>
      </c>
      <c r="G47" s="32">
        <v>460.77485582643698</v>
      </c>
      <c r="H47" s="31">
        <v>2.59367756084441</v>
      </c>
      <c r="I47" s="32">
        <v>471.19317726605766</v>
      </c>
      <c r="J47" s="31">
        <v>3.6082210802640655</v>
      </c>
      <c r="K47" s="32">
        <v>-8.9236942660576801</v>
      </c>
      <c r="L47" s="31">
        <v>4.7118189773956702</v>
      </c>
      <c r="M47" s="32">
        <v>-1.7780953434917706</v>
      </c>
      <c r="N47" s="31">
        <v>3.7910577342141982</v>
      </c>
    </row>
    <row r="48" spans="2:14">
      <c r="B48" s="23" t="s">
        <v>33</v>
      </c>
      <c r="C48" s="32">
        <v>427.51110799999998</v>
      </c>
      <c r="D48" s="31">
        <v>3.8673799999999998</v>
      </c>
      <c r="E48" s="32">
        <v>425.76122708517175</v>
      </c>
      <c r="F48" s="31">
        <v>4.5979260773614214</v>
      </c>
      <c r="G48" s="32">
        <v>434.88486177709001</v>
      </c>
      <c r="H48" s="31">
        <v>3.2334538165238</v>
      </c>
      <c r="I48" s="32" t="s">
        <v>135</v>
      </c>
      <c r="J48" s="31" t="s">
        <v>135</v>
      </c>
      <c r="K48" s="32" t="s">
        <v>135</v>
      </c>
      <c r="L48" s="31" t="s">
        <v>135</v>
      </c>
      <c r="M48" s="32">
        <v>1.7498809148282248</v>
      </c>
      <c r="N48" s="31">
        <v>6.0081238566860611</v>
      </c>
    </row>
    <row r="49" spans="2:14">
      <c r="B49" s="23" t="s">
        <v>22</v>
      </c>
      <c r="C49" s="32">
        <v>493.54931900000003</v>
      </c>
      <c r="D49" s="31">
        <v>2.3504489999999998</v>
      </c>
      <c r="E49" s="32">
        <v>499.44469005930233</v>
      </c>
      <c r="F49" s="31">
        <v>3.0697109778586862</v>
      </c>
      <c r="G49" s="32">
        <v>493.42235622743999</v>
      </c>
      <c r="H49" s="31">
        <v>3.60072079254887</v>
      </c>
      <c r="I49" s="32">
        <v>484.79896580901169</v>
      </c>
      <c r="J49" s="31">
        <v>3.0021902807460195</v>
      </c>
      <c r="K49" s="32">
        <v>8.750353190988335</v>
      </c>
      <c r="L49" s="31">
        <v>3.8128410645353239</v>
      </c>
      <c r="M49" s="32">
        <v>-5.8953710593023061</v>
      </c>
      <c r="N49" s="31">
        <v>3.8662302038532483</v>
      </c>
    </row>
    <row r="50" spans="2:14">
      <c r="B50" s="23" t="s">
        <v>24</v>
      </c>
      <c r="C50" s="32">
        <v>502.52324199999998</v>
      </c>
      <c r="D50" s="31">
        <v>2.1858659999999999</v>
      </c>
      <c r="E50" s="32">
        <v>495.27628796857715</v>
      </c>
      <c r="F50" s="31">
        <v>3.004997078907353</v>
      </c>
      <c r="G50" s="32">
        <v>505.50581553303698</v>
      </c>
      <c r="H50" s="31">
        <v>2.9002721481078</v>
      </c>
      <c r="I50" s="32">
        <v>515.29752346376756</v>
      </c>
      <c r="J50" s="31">
        <v>2.7138297690592603</v>
      </c>
      <c r="K50" s="32">
        <v>-12.774281463767579</v>
      </c>
      <c r="L50" s="31">
        <v>3.4846638554368825</v>
      </c>
      <c r="M50" s="32">
        <v>7.2469540314228311</v>
      </c>
      <c r="N50" s="31">
        <v>3.7159141021016246</v>
      </c>
    </row>
    <row r="51" spans="2:14">
      <c r="B51" s="23" t="s">
        <v>30</v>
      </c>
      <c r="C51" s="32">
        <v>475.93780199999998</v>
      </c>
      <c r="D51" s="31">
        <v>1.9280919999999999</v>
      </c>
      <c r="E51" s="32">
        <v>468.29961869569371</v>
      </c>
      <c r="F51" s="31">
        <v>2.0130490436302253</v>
      </c>
      <c r="G51" s="32">
        <v>425.48950886493702</v>
      </c>
      <c r="H51" s="31">
        <v>3.9339009647659902</v>
      </c>
      <c r="I51" s="32">
        <v>463.41290907273526</v>
      </c>
      <c r="J51" s="31">
        <v>3.8941409603534147</v>
      </c>
      <c r="K51" s="32">
        <v>12.524892927264716</v>
      </c>
      <c r="L51" s="31">
        <v>4.3453276722896526</v>
      </c>
      <c r="M51" s="32">
        <v>7.638183304306267</v>
      </c>
      <c r="N51" s="31">
        <v>2.787454970492719</v>
      </c>
    </row>
    <row r="52" spans="2:14">
      <c r="B52" s="23"/>
      <c r="C52" s="32"/>
      <c r="D52" s="31"/>
      <c r="E52" s="32"/>
      <c r="F52" s="31"/>
      <c r="G52" s="32"/>
      <c r="H52" s="31"/>
      <c r="I52" s="32"/>
      <c r="J52" s="31"/>
      <c r="K52" s="32" t="s">
        <v>135</v>
      </c>
      <c r="L52" s="31" t="s">
        <v>135</v>
      </c>
      <c r="M52" s="32" t="s">
        <v>135</v>
      </c>
      <c r="N52" s="31" t="s">
        <v>135</v>
      </c>
    </row>
    <row r="53" spans="2:14">
      <c r="B53" s="23" t="s">
        <v>39</v>
      </c>
      <c r="C53" s="32">
        <v>484.64552500000002</v>
      </c>
      <c r="D53" s="31">
        <v>0.43530799999999997</v>
      </c>
      <c r="E53" s="32">
        <v>488.66237748458434</v>
      </c>
      <c r="F53" s="31">
        <v>0.40230577837624121</v>
      </c>
      <c r="G53" s="32">
        <v>493.20171288735798</v>
      </c>
      <c r="H53" s="31">
        <v>0.428635618572421</v>
      </c>
      <c r="I53" s="32">
        <v>501.15979338145598</v>
      </c>
      <c r="J53" s="31">
        <v>0.49174583622086027</v>
      </c>
      <c r="K53" s="32">
        <v>-16.514268381455963</v>
      </c>
      <c r="L53" s="31">
        <v>0.65673969143379263</v>
      </c>
      <c r="M53" s="32">
        <v>-4.0168524845843194</v>
      </c>
      <c r="N53" s="31">
        <v>0.59274192881802557</v>
      </c>
    </row>
    <row r="54" spans="2:14">
      <c r="B54" s="23" t="s">
        <v>40</v>
      </c>
      <c r="C54" s="32">
        <v>484.25503600000002</v>
      </c>
      <c r="D54" s="31">
        <v>0.94698199999999999</v>
      </c>
      <c r="E54" s="32">
        <v>490.40766000000002</v>
      </c>
      <c r="F54" s="31">
        <v>0.85883299999999996</v>
      </c>
      <c r="G54" s="32">
        <v>494.80136010000001</v>
      </c>
      <c r="H54" s="31">
        <v>0.74951596300000001</v>
      </c>
      <c r="I54" s="32" t="s">
        <v>135</v>
      </c>
      <c r="J54" s="31" t="s">
        <v>135</v>
      </c>
      <c r="K54" s="32" t="s">
        <v>135</v>
      </c>
      <c r="L54" s="31" t="s">
        <v>135</v>
      </c>
      <c r="M54" s="32">
        <v>-6.152624000000003</v>
      </c>
      <c r="N54" s="31">
        <v>1.2784244327346845</v>
      </c>
    </row>
    <row r="55" spans="2:14">
      <c r="B55" s="23"/>
      <c r="C55" s="32"/>
      <c r="D55" s="31"/>
      <c r="E55" s="32"/>
      <c r="F55" s="31"/>
      <c r="G55" s="32"/>
      <c r="H55" s="31"/>
      <c r="I55" s="32"/>
      <c r="J55" s="31"/>
      <c r="K55" s="32" t="s">
        <v>135</v>
      </c>
      <c r="L55" s="31" t="s">
        <v>135</v>
      </c>
      <c r="M55" s="32" t="s">
        <v>135</v>
      </c>
      <c r="N55" s="31" t="s">
        <v>135</v>
      </c>
    </row>
    <row r="56" spans="2:14">
      <c r="B56" s="24" t="s">
        <v>43</v>
      </c>
      <c r="C56" s="32">
        <v>473.282464</v>
      </c>
      <c r="D56" s="31">
        <v>4.8725670000000001</v>
      </c>
      <c r="E56" s="32">
        <v>470.89027284372224</v>
      </c>
      <c r="F56" s="31">
        <v>4.4195856315502642</v>
      </c>
      <c r="G56" s="32">
        <v>473.05001454327999</v>
      </c>
      <c r="H56" s="31">
        <v>4.14757850816898</v>
      </c>
      <c r="I56" s="32">
        <v>486.03465039526981</v>
      </c>
      <c r="J56" s="31">
        <v>4.2601974072860207</v>
      </c>
      <c r="K56" s="32">
        <v>-12.752186395269803</v>
      </c>
      <c r="L56" s="31">
        <v>6.4723404668277098</v>
      </c>
      <c r="M56" s="32">
        <v>2.3921911562777609</v>
      </c>
      <c r="N56" s="31">
        <v>6.5783467774277868</v>
      </c>
    </row>
    <row r="57" spans="2:14">
      <c r="B57" s="24" t="s">
        <v>44</v>
      </c>
      <c r="C57" s="32">
        <v>499.46976899999999</v>
      </c>
      <c r="D57" s="31">
        <v>5.3935630000000003</v>
      </c>
      <c r="E57" s="32">
        <v>493.48368472002619</v>
      </c>
      <c r="F57" s="31">
        <v>5.2858132602597196</v>
      </c>
      <c r="G57" s="32">
        <v>507.60176055872398</v>
      </c>
      <c r="H57" s="31">
        <v>4.6492724995783501</v>
      </c>
      <c r="I57" s="32">
        <v>504.11108010712996</v>
      </c>
      <c r="J57" s="31">
        <v>5.1736189440968072</v>
      </c>
      <c r="K57" s="32">
        <v>-4.6413111071299795</v>
      </c>
      <c r="L57" s="31">
        <v>7.4737443636831982</v>
      </c>
      <c r="M57" s="32">
        <v>5.9860842799737952</v>
      </c>
      <c r="N57" s="31">
        <v>7.5518437256941757</v>
      </c>
    </row>
    <row r="58" spans="2:14">
      <c r="B58" s="24" t="s">
        <v>175</v>
      </c>
      <c r="C58" s="32">
        <v>503.14334000000002</v>
      </c>
      <c r="D58" s="31">
        <v>6.2732289999999997</v>
      </c>
      <c r="E58" s="32">
        <v>496.16103823732493</v>
      </c>
      <c r="F58" s="31">
        <v>4.75175031673189</v>
      </c>
      <c r="G58" s="32">
        <v>501.25586535153502</v>
      </c>
      <c r="H58" s="31">
        <v>3.8782573403781799</v>
      </c>
      <c r="I58" s="32">
        <v>516.86158524190432</v>
      </c>
      <c r="J58" s="31">
        <v>4.6859839873358426</v>
      </c>
      <c r="K58" s="32">
        <v>-13.718245241904299</v>
      </c>
      <c r="L58" s="31">
        <v>7.8301882490786205</v>
      </c>
      <c r="M58" s="32">
        <v>6.9823017626750925</v>
      </c>
      <c r="N58" s="31">
        <v>7.8697225592140549</v>
      </c>
    </row>
    <row r="59" spans="2:14">
      <c r="B59" s="24" t="s">
        <v>57</v>
      </c>
      <c r="C59" s="32">
        <v>479.73425099999997</v>
      </c>
      <c r="D59" s="31">
        <v>5.1790589999999996</v>
      </c>
      <c r="E59" s="32">
        <v>482.14928216276365</v>
      </c>
      <c r="F59" s="31">
        <v>5.1606280795970507</v>
      </c>
      <c r="G59" s="32">
        <v>484.60592710416802</v>
      </c>
      <c r="H59" s="31">
        <v>4.5223541678616401</v>
      </c>
      <c r="I59" s="32">
        <v>482.973801973788</v>
      </c>
      <c r="J59" s="31">
        <v>4.4614079873937236</v>
      </c>
      <c r="K59" s="32">
        <v>-3.2395509737880275</v>
      </c>
      <c r="L59" s="31">
        <v>6.8357013799215594</v>
      </c>
      <c r="M59" s="32">
        <v>-2.4150311627636825</v>
      </c>
      <c r="N59" s="31">
        <v>7.3112744649210466</v>
      </c>
    </row>
    <row r="60" spans="2:14">
      <c r="B60" s="24" t="s">
        <v>176</v>
      </c>
      <c r="C60" s="32">
        <v>482.92476599999998</v>
      </c>
      <c r="D60" s="31">
        <v>4.3834650000000002</v>
      </c>
      <c r="E60" s="32">
        <v>477.69098359343513</v>
      </c>
      <c r="F60" s="31">
        <v>4.4102364461060715</v>
      </c>
      <c r="G60" s="32">
        <v>494.02351704064</v>
      </c>
      <c r="H60" s="31">
        <v>3.2525918122244399</v>
      </c>
      <c r="I60" s="32" t="s">
        <v>135</v>
      </c>
      <c r="J60" s="31" t="s">
        <v>135</v>
      </c>
      <c r="K60" s="32" t="s">
        <v>135</v>
      </c>
      <c r="L60" s="31" t="s">
        <v>135</v>
      </c>
      <c r="M60" s="32">
        <v>5.2337824065648419</v>
      </c>
      <c r="N60" s="31">
        <v>6.2181147397573255</v>
      </c>
    </row>
    <row r="61" spans="2:14">
      <c r="B61" s="24" t="s">
        <v>46</v>
      </c>
      <c r="C61" s="32">
        <v>472.523144</v>
      </c>
      <c r="D61" s="31">
        <v>4.9234179999999999</v>
      </c>
      <c r="E61" s="32">
        <v>469.60339068820002</v>
      </c>
      <c r="F61" s="31">
        <v>4.4695597712907409</v>
      </c>
      <c r="G61" s="32">
        <v>475.39697700485698</v>
      </c>
      <c r="H61" s="31">
        <v>3.5570239284430998</v>
      </c>
      <c r="I61" s="32" t="s">
        <v>135</v>
      </c>
      <c r="J61" s="31" t="s">
        <v>135</v>
      </c>
      <c r="K61" s="32" t="s">
        <v>135</v>
      </c>
      <c r="L61" s="31" t="s">
        <v>135</v>
      </c>
      <c r="M61" s="32">
        <v>2.9197533117999797</v>
      </c>
      <c r="N61" s="31">
        <v>6.6495871564981037</v>
      </c>
    </row>
    <row r="62" spans="2:14">
      <c r="B62" s="24" t="s">
        <v>47</v>
      </c>
      <c r="C62" s="32">
        <v>503.98674199999999</v>
      </c>
      <c r="D62" s="31">
        <v>5.6539820000000001</v>
      </c>
      <c r="E62" s="32">
        <v>495.38224951823952</v>
      </c>
      <c r="F62" s="31">
        <v>9.1526221040420204</v>
      </c>
      <c r="G62" s="32">
        <v>495.61543814664299</v>
      </c>
      <c r="H62" s="31">
        <v>5.6034024202839099</v>
      </c>
      <c r="I62" s="32">
        <v>500.50784417698139</v>
      </c>
      <c r="J62" s="31">
        <v>3.672442491866347</v>
      </c>
      <c r="K62" s="32">
        <v>3.478897823018599</v>
      </c>
      <c r="L62" s="31">
        <v>6.7419838558386882</v>
      </c>
      <c r="M62" s="32">
        <v>8.6044924817604738</v>
      </c>
      <c r="N62" s="31">
        <v>10.758159872195737</v>
      </c>
    </row>
    <row r="63" spans="2:14">
      <c r="B63" s="24" t="s">
        <v>48</v>
      </c>
      <c r="C63" s="32">
        <v>506.294421</v>
      </c>
      <c r="D63" s="31">
        <v>4.2593290000000001</v>
      </c>
      <c r="E63" s="32">
        <v>501.07520680494008</v>
      </c>
      <c r="F63" s="31">
        <v>4.971906536969839</v>
      </c>
      <c r="G63" s="32">
        <v>518.99962192097098</v>
      </c>
      <c r="H63" s="31">
        <v>3.5235588502570998</v>
      </c>
      <c r="I63" s="32">
        <v>519.00421731282165</v>
      </c>
      <c r="J63" s="31">
        <v>4.2004282687984533</v>
      </c>
      <c r="K63" s="32">
        <v>-12.709796312821652</v>
      </c>
      <c r="L63" s="31">
        <v>5.9820967203449804</v>
      </c>
      <c r="M63" s="32">
        <v>5.2192141950599193</v>
      </c>
      <c r="N63" s="31">
        <v>6.5468876683966721</v>
      </c>
    </row>
    <row r="64" spans="2:14">
      <c r="B64" s="24" t="s">
        <v>49</v>
      </c>
      <c r="C64" s="32">
        <v>474.92265800000001</v>
      </c>
      <c r="D64" s="31">
        <v>4.6005929999999999</v>
      </c>
      <c r="E64" s="32">
        <v>484.45436859635601</v>
      </c>
      <c r="F64" s="31">
        <v>6.0905687744857371</v>
      </c>
      <c r="G64" s="32">
        <v>497.45205996557797</v>
      </c>
      <c r="H64" s="31">
        <v>4.0205568483829897</v>
      </c>
      <c r="I64" s="32" t="s">
        <v>135</v>
      </c>
      <c r="J64" s="31" t="s">
        <v>135</v>
      </c>
      <c r="K64" s="32" t="s">
        <v>135</v>
      </c>
      <c r="L64" s="31" t="s">
        <v>135</v>
      </c>
      <c r="M64" s="32">
        <v>-9.5317105963559925</v>
      </c>
      <c r="N64" s="31">
        <v>7.6328555566308012</v>
      </c>
    </row>
    <row r="65" spans="2:14">
      <c r="B65" s="24" t="s">
        <v>50</v>
      </c>
      <c r="C65" s="32">
        <v>477.26057200000002</v>
      </c>
      <c r="D65" s="31">
        <v>5.9588869999999998</v>
      </c>
      <c r="E65" s="32">
        <v>488.7014525773352</v>
      </c>
      <c r="F65" s="31">
        <v>4.7362547065090874</v>
      </c>
      <c r="G65" s="32">
        <v>504.07531324401299</v>
      </c>
      <c r="H65" s="31">
        <v>4.7271764993551404</v>
      </c>
      <c r="I65" s="32">
        <v>491.92551314500514</v>
      </c>
      <c r="J65" s="31">
        <v>4.230471344982198</v>
      </c>
      <c r="K65" s="32">
        <v>-14.664941145005116</v>
      </c>
      <c r="L65" s="31">
        <v>7.3078876619365527</v>
      </c>
      <c r="M65" s="32">
        <v>-11.440880577335179</v>
      </c>
      <c r="N65" s="31">
        <v>7.6118619879565923</v>
      </c>
    </row>
    <row r="66" spans="2:14">
      <c r="B66" s="24" t="s">
        <v>51</v>
      </c>
      <c r="C66" s="32">
        <v>410.11534499999999</v>
      </c>
      <c r="D66" s="31">
        <v>13.00999</v>
      </c>
      <c r="E66" s="32">
        <v>415.25410629401659</v>
      </c>
      <c r="F66" s="31">
        <v>6.6232976400855437</v>
      </c>
      <c r="G66" s="32" t="s">
        <v>135</v>
      </c>
      <c r="H66" s="31" t="s">
        <v>135</v>
      </c>
      <c r="I66" s="32" t="s">
        <v>135</v>
      </c>
      <c r="J66" s="31" t="s">
        <v>135</v>
      </c>
      <c r="K66" s="32" t="s">
        <v>135</v>
      </c>
      <c r="L66" s="31" t="s">
        <v>135</v>
      </c>
      <c r="M66" s="32">
        <v>-5.1387612940166036</v>
      </c>
      <c r="N66" s="31">
        <v>14.5989010349842</v>
      </c>
    </row>
    <row r="67" spans="2:14">
      <c r="B67" s="24" t="s">
        <v>41</v>
      </c>
      <c r="C67" s="32">
        <v>479.27421600000002</v>
      </c>
      <c r="D67" s="31">
        <v>6.4915630000000002</v>
      </c>
      <c r="E67" s="32">
        <v>473.45621465894703</v>
      </c>
      <c r="F67" s="31">
        <v>5.8617892029570937</v>
      </c>
      <c r="G67" s="32">
        <v>474.21356148489502</v>
      </c>
      <c r="H67" s="31">
        <v>3.7943424607805598</v>
      </c>
      <c r="I67" s="32">
        <v>482.60495553687724</v>
      </c>
      <c r="J67" s="31">
        <v>4.493634494812289</v>
      </c>
      <c r="K67" s="32">
        <v>-3.3307395368772177</v>
      </c>
      <c r="L67" s="31">
        <v>7.8951340176045077</v>
      </c>
      <c r="M67" s="32">
        <v>5.8180013410529909</v>
      </c>
      <c r="N67" s="31">
        <v>8.746482884158258</v>
      </c>
    </row>
    <row r="68" spans="2:14">
      <c r="B68" s="24" t="s">
        <v>42</v>
      </c>
      <c r="C68" s="32">
        <v>505.92175400000002</v>
      </c>
      <c r="D68" s="31">
        <v>4.9220319999999997</v>
      </c>
      <c r="E68" s="32">
        <v>510.46899941876791</v>
      </c>
      <c r="F68" s="31">
        <v>3.978918983442663</v>
      </c>
      <c r="G68" s="32">
        <v>511.901531089174</v>
      </c>
      <c r="H68" s="31">
        <v>3.13796710746771</v>
      </c>
      <c r="I68" s="32">
        <v>511.53597361863893</v>
      </c>
      <c r="J68" s="31">
        <v>4.7969156014192071</v>
      </c>
      <c r="K68" s="32">
        <v>-5.6142196186389128</v>
      </c>
      <c r="L68" s="31">
        <v>6.8729031926954267</v>
      </c>
      <c r="M68" s="32">
        <v>-4.5472454187678863</v>
      </c>
      <c r="N68" s="31">
        <v>6.3291543894760842</v>
      </c>
    </row>
    <row r="69" spans="2:14">
      <c r="B69" s="24" t="s">
        <v>177</v>
      </c>
      <c r="C69" s="32">
        <v>502.13068299999998</v>
      </c>
      <c r="D69" s="31">
        <v>3.768821</v>
      </c>
      <c r="E69" s="32">
        <v>486.65716127774994</v>
      </c>
      <c r="F69" s="31">
        <v>3.0328896372977181</v>
      </c>
      <c r="G69" s="32">
        <v>515.76984228125502</v>
      </c>
      <c r="H69" s="31">
        <v>3.4541503318167401</v>
      </c>
      <c r="I69" s="32">
        <v>517.47824179686791</v>
      </c>
      <c r="J69" s="31">
        <v>3.9973306342578137</v>
      </c>
      <c r="K69" s="32">
        <v>-15.347558796867929</v>
      </c>
      <c r="L69" s="31">
        <v>5.4938751286880354</v>
      </c>
      <c r="M69" s="32">
        <v>15.473521722250041</v>
      </c>
      <c r="N69" s="31">
        <v>4.8376059453069225</v>
      </c>
    </row>
    <row r="70" spans="2:14">
      <c r="B70" s="24" t="s">
        <v>53</v>
      </c>
      <c r="C70" s="32">
        <v>414.302345</v>
      </c>
      <c r="D70" s="31">
        <v>11.629759</v>
      </c>
      <c r="E70" s="32">
        <v>438.61629331280602</v>
      </c>
      <c r="F70" s="31">
        <v>7.6117372467560065</v>
      </c>
      <c r="G70" s="32" t="s">
        <v>135</v>
      </c>
      <c r="H70" s="31" t="s">
        <v>135</v>
      </c>
      <c r="I70" s="32" t="s">
        <v>135</v>
      </c>
      <c r="J70" s="31" t="s">
        <v>135</v>
      </c>
      <c r="K70" s="32" t="s">
        <v>135</v>
      </c>
      <c r="L70" s="31" t="s">
        <v>135</v>
      </c>
      <c r="M70" s="32">
        <v>-24.313948312806019</v>
      </c>
      <c r="N70" s="31">
        <v>13.899274740493968</v>
      </c>
    </row>
    <row r="71" spans="2:14">
      <c r="B71" s="24" t="s">
        <v>178</v>
      </c>
      <c r="C71" s="32">
        <v>481.60981500000003</v>
      </c>
      <c r="D71" s="31">
        <v>5.4103859999999999</v>
      </c>
      <c r="E71" s="32">
        <v>478.98384607484587</v>
      </c>
      <c r="F71" s="31">
        <v>5.6780204822155609</v>
      </c>
      <c r="G71" s="32" t="s">
        <v>135</v>
      </c>
      <c r="H71" s="31" t="s">
        <v>135</v>
      </c>
      <c r="I71" s="32">
        <v>479.18970856508651</v>
      </c>
      <c r="J71" s="31">
        <v>4.7333930641088813</v>
      </c>
      <c r="K71" s="32">
        <v>2.4201064349135208</v>
      </c>
      <c r="L71" s="31">
        <v>7.1886915755476712</v>
      </c>
      <c r="M71" s="32">
        <v>2.6259689251541545</v>
      </c>
      <c r="N71" s="31">
        <v>7.8429709463605324</v>
      </c>
    </row>
    <row r="72" spans="2:14">
      <c r="B72" s="24" t="s">
        <v>179</v>
      </c>
      <c r="C72" s="32">
        <v>489.03935799999999</v>
      </c>
      <c r="D72" s="31">
        <v>5.739903</v>
      </c>
      <c r="E72" s="32">
        <v>492.1483000825782</v>
      </c>
      <c r="F72" s="31">
        <v>5.9810926873041215</v>
      </c>
      <c r="G72" s="32">
        <v>511.90336022242002</v>
      </c>
      <c r="H72" s="31">
        <v>4.0892592271309498</v>
      </c>
      <c r="I72" s="32">
        <v>514.14005496046002</v>
      </c>
      <c r="J72" s="31">
        <v>3.5318231075344202</v>
      </c>
      <c r="K72" s="32">
        <v>-25.100696960460027</v>
      </c>
      <c r="L72" s="31">
        <v>6.7394555353027652</v>
      </c>
      <c r="M72" s="32">
        <v>-3.1089420825782099</v>
      </c>
      <c r="N72" s="31">
        <v>8.2897500676155396</v>
      </c>
    </row>
    <row r="73" spans="2:14">
      <c r="B73" s="24" t="s">
        <v>45</v>
      </c>
      <c r="C73" s="32">
        <v>479.50980399999997</v>
      </c>
      <c r="D73" s="31">
        <v>4.6179600000000001</v>
      </c>
      <c r="E73" s="32">
        <v>487.37680756327364</v>
      </c>
      <c r="F73" s="31">
        <v>4.2081538308865358</v>
      </c>
      <c r="G73" s="32">
        <v>483.05767432058201</v>
      </c>
      <c r="H73" s="31">
        <v>3.01909181823157</v>
      </c>
      <c r="I73" s="32">
        <v>505.65276908614908</v>
      </c>
      <c r="J73" s="31">
        <v>2.3878133581684815</v>
      </c>
      <c r="K73" s="32">
        <v>-26.142965086149104</v>
      </c>
      <c r="L73" s="31">
        <v>5.1987697770768655</v>
      </c>
      <c r="M73" s="32">
        <v>-7.8670035632736699</v>
      </c>
      <c r="N73" s="31">
        <v>6.2477286453562488</v>
      </c>
    </row>
    <row r="74" spans="2:14">
      <c r="B74" s="65" t="s">
        <v>52</v>
      </c>
      <c r="C74" s="32">
        <v>499.50191999999998</v>
      </c>
      <c r="D74" s="31">
        <v>9.2935999999999996</v>
      </c>
      <c r="E74" s="32">
        <v>486.50374008555974</v>
      </c>
      <c r="F74" s="31">
        <v>7.8668845893358545</v>
      </c>
      <c r="G74" s="32">
        <v>498.03047543360401</v>
      </c>
      <c r="H74" s="31">
        <v>5.5008743967736704</v>
      </c>
      <c r="I74" s="32">
        <v>509.71413535111958</v>
      </c>
      <c r="J74" s="31">
        <v>2.1221014919230377</v>
      </c>
      <c r="K74" s="32">
        <v>-10.212215351119596</v>
      </c>
      <c r="L74" s="31">
        <v>9.5328020907822264</v>
      </c>
      <c r="M74" s="32">
        <v>12.998179914440243</v>
      </c>
      <c r="N74" s="31">
        <v>12.176160072121668</v>
      </c>
    </row>
  </sheetData>
  <sortState ref="P56:AB74">
    <sortCondition ref="P56"/>
  </sortState>
  <mergeCells count="8">
    <mergeCell ref="B7:N7"/>
    <mergeCell ref="B8:B9"/>
    <mergeCell ref="C8:D8"/>
    <mergeCell ref="E8:F8"/>
    <mergeCell ref="G8:H8"/>
    <mergeCell ref="I8:J8"/>
    <mergeCell ref="K8:L8"/>
    <mergeCell ref="M8:N8"/>
  </mergeCells>
  <hyperlinks>
    <hyperlink ref="B5" location="Índice!A1" display="Índice" xr:uid="{00000000-0004-0000-1800-000000000000}"/>
  </hyperlink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25</vt:i4>
      </vt:variant>
    </vt:vector>
  </HeadingPairs>
  <TitlesOfParts>
    <vt:vector size="25" baseType="lpstr">
      <vt:lpstr>Índice</vt:lpstr>
      <vt:lpstr>2.1</vt:lpstr>
      <vt:lpstr>2.2</vt:lpstr>
      <vt:lpstr>2.3</vt:lpstr>
      <vt:lpstr>2.4</vt:lpstr>
      <vt:lpstr>2.5</vt:lpstr>
      <vt:lpstr>2.7</vt:lpstr>
      <vt:lpstr>2.8</vt:lpstr>
      <vt:lpstr>2.9</vt:lpstr>
      <vt:lpstr>2.10</vt:lpstr>
      <vt:lpstr>2.11</vt:lpstr>
      <vt:lpstr>2.12</vt:lpstr>
      <vt:lpstr>2.13</vt:lpstr>
      <vt:lpstr>2.14</vt:lpstr>
      <vt:lpstr>2.15</vt:lpstr>
      <vt:lpstr>2.16</vt:lpstr>
      <vt:lpstr>2.18</vt:lpstr>
      <vt:lpstr>2.20</vt:lpstr>
      <vt:lpstr>2.21</vt:lpstr>
      <vt:lpstr>2.22</vt:lpstr>
      <vt:lpstr>2.24</vt:lpstr>
      <vt:lpstr>2.26</vt:lpstr>
      <vt:lpstr>2.27</vt:lpstr>
      <vt:lpstr>2.29</vt:lpstr>
      <vt:lpstr>2.30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Martín Santiago Mónica</dc:creator>
  <cp:lastModifiedBy>Herrero González Josué Abraham</cp:lastModifiedBy>
  <dcterms:created xsi:type="dcterms:W3CDTF">2019-03-06T16:05:38Z</dcterms:created>
  <dcterms:modified xsi:type="dcterms:W3CDTF">2023-12-17T21:00:09Z</dcterms:modified>
</cp:coreProperties>
</file>