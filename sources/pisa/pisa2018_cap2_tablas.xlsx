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ISA\9-PISA-2018-MS-Informes\1-Informe Nacional\Tablas y figuras\"/>
    </mc:Choice>
  </mc:AlternateContent>
  <bookViews>
    <workbookView xWindow="0" yWindow="0" windowWidth="19200" windowHeight="11460" tabRatio="619" activeTab="10"/>
  </bookViews>
  <sheets>
    <sheet name="Índice" sheetId="2" r:id="rId1"/>
    <sheet name="2.1" sheetId="3" r:id="rId2"/>
    <sheet name="2.2" sheetId="5" r:id="rId3"/>
    <sheet name="2.3" sheetId="1" r:id="rId4"/>
    <sheet name="2.4" sheetId="24" r:id="rId5"/>
    <sheet name="2.5" sheetId="9" r:id="rId6"/>
    <sheet name="2.6" sheetId="8" r:id="rId7"/>
    <sheet name="2.7" sheetId="6" r:id="rId8"/>
    <sheet name="2.8" sheetId="7" r:id="rId9"/>
    <sheet name="2.9" sheetId="22" r:id="rId10"/>
    <sheet name="2.10" sheetId="23" r:id="rId11"/>
  </sheets>
  <calcPr calcId="162913"/>
</workbook>
</file>

<file path=xl/calcChain.xml><?xml version="1.0" encoding="utf-8"?>
<calcChain xmlns="http://schemas.openxmlformats.org/spreadsheetml/2006/main">
  <c r="I73" i="9" l="1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3" i="9"/>
  <c r="I52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3" i="8"/>
  <c r="I52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F72" i="1" l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2" i="1"/>
  <c r="E52" i="1"/>
  <c r="F51" i="1"/>
  <c r="E51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72" i="3" l="1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</calcChain>
</file>

<file path=xl/sharedStrings.xml><?xml version="1.0" encoding="utf-8"?>
<sst xmlns="http://schemas.openxmlformats.org/spreadsheetml/2006/main" count="593" uniqueCount="135">
  <si>
    <t>Índice</t>
  </si>
  <si>
    <t>PISA 2018</t>
  </si>
  <si>
    <t>Chile</t>
  </si>
  <si>
    <t>Japón</t>
  </si>
  <si>
    <t>México</t>
  </si>
  <si>
    <t>Hungría</t>
  </si>
  <si>
    <t>Francia</t>
  </si>
  <si>
    <t>Canadá</t>
  </si>
  <si>
    <t>Estados Unidos</t>
  </si>
  <si>
    <t>Dinamarca</t>
  </si>
  <si>
    <t>Irlanda</t>
  </si>
  <si>
    <t>Eslovenia</t>
  </si>
  <si>
    <t>Israel</t>
  </si>
  <si>
    <t>Italia</t>
  </si>
  <si>
    <t>Noruega</t>
  </si>
  <si>
    <t>Australia</t>
  </si>
  <si>
    <t>Croacia</t>
  </si>
  <si>
    <t>Alemania</t>
  </si>
  <si>
    <t>Malta</t>
  </si>
  <si>
    <t>Austria</t>
  </si>
  <si>
    <t>R. Checa</t>
  </si>
  <si>
    <t>Islandia</t>
  </si>
  <si>
    <t>Bulgaria</t>
  </si>
  <si>
    <t>Estonia</t>
  </si>
  <si>
    <t>Suecia</t>
  </si>
  <si>
    <t>Letonia</t>
  </si>
  <si>
    <t>Suiza</t>
  </si>
  <si>
    <t>Corea</t>
  </si>
  <si>
    <t>España</t>
  </si>
  <si>
    <t>Nueva Zelanda</t>
  </si>
  <si>
    <t>Bélgica</t>
  </si>
  <si>
    <t>Colombia</t>
  </si>
  <si>
    <t>Turquía</t>
  </si>
  <si>
    <t>Países Bajos</t>
  </si>
  <si>
    <t>Lituania</t>
  </si>
  <si>
    <t>Rumanía</t>
  </si>
  <si>
    <t>Finlandia</t>
  </si>
  <si>
    <t>Polonia</t>
  </si>
  <si>
    <t>Portugal</t>
  </si>
  <si>
    <t>R. Eslovaca</t>
  </si>
  <si>
    <t>Grecia</t>
  </si>
  <si>
    <t>Luxemburgo</t>
  </si>
  <si>
    <t>Reino Unido</t>
  </si>
  <si>
    <t>Promedio OCDE</t>
  </si>
  <si>
    <t>Total UE</t>
  </si>
  <si>
    <t>Extremadura</t>
  </si>
  <si>
    <t>Galicia</t>
  </si>
  <si>
    <t>Andalucía</t>
  </si>
  <si>
    <t>Aragón</t>
  </si>
  <si>
    <t>País Vasco</t>
  </si>
  <si>
    <t xml:space="preserve">Canarias </t>
  </si>
  <si>
    <t>Cantabria</t>
  </si>
  <si>
    <t>Castilla y León</t>
  </si>
  <si>
    <t>Castilla-La Mancha</t>
  </si>
  <si>
    <t>Cataluña</t>
  </si>
  <si>
    <t>Ceuta</t>
  </si>
  <si>
    <t>C. Valenciana</t>
  </si>
  <si>
    <t>Rioja, La</t>
  </si>
  <si>
    <t>Madrid, C. de</t>
  </si>
  <si>
    <t>Melilla</t>
  </si>
  <si>
    <t>Murcia, R. de</t>
  </si>
  <si>
    <t>Navarra</t>
  </si>
  <si>
    <t>Jurisdicción</t>
  </si>
  <si>
    <t>OCDE</t>
  </si>
  <si>
    <t>ET</t>
  </si>
  <si>
    <t xml:space="preserve">Puntuación </t>
  </si>
  <si>
    <t>Puntuación</t>
  </si>
  <si>
    <t>Balears, Illes</t>
  </si>
  <si>
    <t>Canarias</t>
  </si>
  <si>
    <t>Nivel bajo</t>
  </si>
  <si>
    <t>Nivel alto</t>
  </si>
  <si>
    <t>%</t>
  </si>
  <si>
    <t>Puntuaciones medias estimadas en matemáticas junto con el intervalo de confianza al 95% para la media poblacional</t>
  </si>
  <si>
    <t>Tabla 2.1</t>
  </si>
  <si>
    <t>2.1. Puntuaciones medias en matemáticas</t>
  </si>
  <si>
    <t>2.0. Introducción</t>
  </si>
  <si>
    <t>Capítulo 2</t>
  </si>
  <si>
    <t>Tabla 2.2</t>
  </si>
  <si>
    <t>Evolución de las puntuaciones medias estimadas en matemáticas</t>
  </si>
  <si>
    <t>2.2. Puntuaciones medias en ciencias</t>
  </si>
  <si>
    <t>Tabla 2.3</t>
  </si>
  <si>
    <t>Puntuaciones medias estimadas en ciencias junto con el intervalo de confianza al 95% para la medio poblacional</t>
  </si>
  <si>
    <t>Tabla 2.4</t>
  </si>
  <si>
    <t>Evolución de las puntuaciones medias estimadas en ciencias</t>
  </si>
  <si>
    <t>2.3. Rendimiento medio y variabilidad</t>
  </si>
  <si>
    <t>Tabla 2.5</t>
  </si>
  <si>
    <t>Tabla 2.6</t>
  </si>
  <si>
    <t>Puntuaciones medias estimadas y variabilidad en ciencias en los países OCDE y UE más las comunidades y ciudades autónomas españolas. PISA 2018</t>
  </si>
  <si>
    <t>2.4. Niveles de rendimiento en matemáticas</t>
  </si>
  <si>
    <t>Distribución de los estudiantes por niveles de rendimiento en matemáticas. PISA 2018</t>
  </si>
  <si>
    <t>Evolución según los niveles superiores e inferiores de rendimiento en matemáticas</t>
  </si>
  <si>
    <t>Tabla 2.8</t>
  </si>
  <si>
    <t>Tabla 2.7</t>
  </si>
  <si>
    <t>2.5. Niveles de rendimiento en ciencias</t>
  </si>
  <si>
    <t>Tabla 2.9</t>
  </si>
  <si>
    <t>Tabla 2.10</t>
  </si>
  <si>
    <t>Evolución según los niveles superiores e inferiores de rendimiento en ciencias</t>
  </si>
  <si>
    <t>Distribución de los estudiantes por niveles de rendimiento en ciencias. PISA 2018</t>
  </si>
  <si>
    <t>L. inferior</t>
  </si>
  <si>
    <t>L. Superior</t>
  </si>
  <si>
    <t>Puntuaciones medias estimadas en matemáticas</t>
  </si>
  <si>
    <t>Puntuaciones medias estimadas en ciencias</t>
  </si>
  <si>
    <t>Percentil 95</t>
  </si>
  <si>
    <t>Percentil 5</t>
  </si>
  <si>
    <t>Dif. P95-P5</t>
  </si>
  <si>
    <t>Nivel &lt; 1</t>
  </si>
  <si>
    <t>Nivel 1</t>
  </si>
  <si>
    <t>Nivel 2</t>
  </si>
  <si>
    <t>Nivel 3</t>
  </si>
  <si>
    <t>Nivel 4</t>
  </si>
  <si>
    <t>Nivel 5</t>
  </si>
  <si>
    <t>Nivel 6</t>
  </si>
  <si>
    <t>Distribución de los estudiantes por niveles de rendimiento en matemáticas</t>
  </si>
  <si>
    <t>Distribución de los estudiantes por niveles de rendimiento en ciencias</t>
  </si>
  <si>
    <t>Nivel &lt; 1b</t>
  </si>
  <si>
    <t>Nivel 1b</t>
  </si>
  <si>
    <t>Nivel 1a</t>
  </si>
  <si>
    <t>Total estudiantes</t>
  </si>
  <si>
    <t>(Figura 2.1)</t>
  </si>
  <si>
    <t>(Figura 2.2)</t>
  </si>
  <si>
    <t>(Figura 2.3)</t>
  </si>
  <si>
    <t>(Figura 2.4)</t>
  </si>
  <si>
    <t>Puntuaciones medias estimadas y variabilidad en matemáticas en los países OCDE y UE más las comunidades y ciudades autónomas españolas. PISA 2018</t>
  </si>
  <si>
    <t>(Figura 2.5)</t>
  </si>
  <si>
    <t>(Figura 2.6)</t>
  </si>
  <si>
    <t>(Figura 2.7)</t>
  </si>
  <si>
    <t>(Figura 2.8)</t>
  </si>
  <si>
    <t>(Figura 2.9)</t>
  </si>
  <si>
    <t>(Figura 2.10)</t>
  </si>
  <si>
    <t>Asturias</t>
  </si>
  <si>
    <t>BalearS, Illes</t>
  </si>
  <si>
    <t>Puntuaciones medias estimadas en ciencias junto con el intervalo de confianza al 95% para la media poblacional</t>
  </si>
  <si>
    <t>España y Promedio OCDE</t>
  </si>
  <si>
    <t>Países seleccionados, Promedio OCDE, Total UE, CC.AA., Ceuta y Melilla</t>
  </si>
  <si>
    <t>Evolución de las puntuaciones medias en matemáticas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</si>
</sst>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164" formatCode="_-* #,##0\ _€_-;\-* #,##0\ _€_-;_-* &quot;-&quot;\ _€_-;_-@_-"/>
    <numFmt numFmtId="165" formatCode="0.0"/>
    <numFmt numFmtId="166" formatCode="_(* #,##0_);_(* \(#,##0\);_(* &quot;-&quot;_);_(@_)"/>
    <numFmt numFmtId="167" formatCode="_(* #,##0.00_);_(* \(#,##0.00\);_(* &quot;-&quot;??_);_(@_)"/>
    <numFmt numFmtId="168" formatCode="&quot;£&quot;#,##0.00;\-&quot;£&quot;#,##0.00"/>
    <numFmt numFmtId="169" formatCode="General_)"/>
    <numFmt numFmtId="170" formatCode="_ * #,##0.00_ ;_ * \-#,##0.00_ ;_ * &quot;-&quot;??_ ;_ @_ "/>
    <numFmt numFmtId="171" formatCode="_-* #,##0.00\ _k_r_-;\-* #,##0.00\ _k_r_-;_-* &quot;-&quot;??\ _k_r_-;_-@_-"/>
    <numFmt numFmtId="172" formatCode="#,##0.0"/>
    <numFmt numFmtId="173" formatCode="#,##0.000"/>
    <numFmt numFmtId="174" formatCode="#,##0.00%;[Red]\(#,##0.00%\)"/>
    <numFmt numFmtId="175" formatCode="_(&quot;$&quot;* #,##0.00_);_(&quot;$&quot;* \(#,##0.00\);_(&quot;$&quot;* &quot;-&quot;??_);_(@_)"/>
    <numFmt numFmtId="176" formatCode="&quot;$&quot;#,##0\ ;\(&quot;$&quot;#,##0\)"/>
    <numFmt numFmtId="177" formatCode="&quot;$&quot;#,##0_);\(&quot;$&quot;#,##0.0\)"/>
    <numFmt numFmtId="178" formatCode="0.00_)"/>
    <numFmt numFmtId="179" formatCode="_(&quot;$&quot;* #,##0_);_(&quot;$&quot;* \(#,##0\);_(&quot;$&quot;* &quot;-&quot;_);_(@_)"/>
    <numFmt numFmtId="180" formatCode="_ * #,##0_ ;_ * \-#,##0_ ;_ * &quot;-&quot;_ ;_ @_ "/>
    <numFmt numFmtId="181" formatCode="_ &quot;\&quot;* #,##0_ ;_ &quot;\&quot;* \-#,##0_ ;_ &quot;\&quot;* &quot;-&quot;_ ;_ @_ "/>
    <numFmt numFmtId="182" formatCode="_ &quot;\&quot;* #,##0.00_ ;_ &quot;\&quot;* \-#,##0.00_ ;_ &quot;\&quot;* &quot;-&quot;??_ ;_ @_ "/>
    <numFmt numFmtId="183" formatCode="&quot;\&quot;#,##0;&quot;\&quot;\-#,##0"/>
    <numFmt numFmtId="184" formatCode="0.00000"/>
  </numFmts>
  <fonts count="68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Times New Roman"/>
      <family val="1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0"/>
      <color theme="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8"/>
      <color indexed="8"/>
      <name val="MS Sans Serif"/>
      <family val="2"/>
    </font>
    <font>
      <sz val="11"/>
      <name val="µ¸¿ò"/>
      <charset val="129"/>
    </font>
    <font>
      <sz val="9"/>
      <color indexed="9"/>
      <name val="Times"/>
      <family val="1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sz val="9"/>
      <color indexed="8"/>
      <name val="Times"/>
      <family val="1"/>
    </font>
    <font>
      <sz val="8"/>
      <name val="Courier"/>
      <family val="3"/>
    </font>
    <font>
      <sz val="10"/>
      <name val="Helvetica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  <charset val="177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.5"/>
      <color indexed="8"/>
      <name val="MS Sans Serif"/>
      <family val="2"/>
    </font>
    <font>
      <sz val="8"/>
      <color indexed="8"/>
      <name val="Arial"/>
      <family val="2"/>
    </font>
    <font>
      <sz val="10"/>
      <color indexed="8"/>
      <name val="Arial"/>
      <family val="2"/>
      <charset val="238"/>
    </font>
    <font>
      <b/>
      <sz val="8"/>
      <color indexed="8"/>
      <name val="MS Sans Serif"/>
      <family val="2"/>
      <charset val="177"/>
    </font>
    <font>
      <b/>
      <sz val="12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</font>
    <font>
      <u/>
      <sz val="7.5"/>
      <color indexed="12"/>
      <name val="Courier"/>
      <family val="3"/>
    </font>
    <font>
      <u/>
      <sz val="10"/>
      <color theme="10"/>
      <name val="Arial"/>
      <family val="2"/>
    </font>
    <font>
      <b/>
      <sz val="8.5"/>
      <color indexed="8"/>
      <name val="MS Sans Serif"/>
      <family val="2"/>
    </font>
    <font>
      <sz val="8"/>
      <name val="Arial"/>
      <family val="2"/>
      <charset val="238"/>
    </font>
    <font>
      <sz val="11"/>
      <color indexed="8"/>
      <name val="Calibri"/>
      <family val="2"/>
    </font>
    <font>
      <b/>
      <i/>
      <sz val="16"/>
      <name val="Helv"/>
    </font>
    <font>
      <sz val="10"/>
      <name val="MS Sans Serif"/>
      <family val="2"/>
    </font>
    <font>
      <sz val="10"/>
      <name val="MS Sans Serif"/>
      <family val="2"/>
      <charset val="177"/>
    </font>
    <font>
      <sz val="10"/>
      <color indexed="8"/>
      <name val="Times"/>
      <family val="1"/>
    </font>
    <font>
      <sz val="9"/>
      <name val="Times"/>
      <family val="1"/>
    </font>
    <font>
      <sz val="11"/>
      <color theme="1"/>
      <name val="Calibri"/>
      <family val="2"/>
    </font>
    <font>
      <b/>
      <u/>
      <sz val="10"/>
      <color indexed="8"/>
      <name val="MS Sans Serif"/>
      <family val="2"/>
    </font>
    <font>
      <sz val="7.5"/>
      <color indexed="8"/>
      <name val="MS Sans Serif"/>
      <family val="2"/>
    </font>
    <font>
      <i/>
      <sz val="6"/>
      <name val="Arial"/>
      <family val="2"/>
      <charset val="177"/>
    </font>
    <font>
      <b/>
      <sz val="10"/>
      <color indexed="8"/>
      <name val="MS Sans Serif"/>
      <family val="2"/>
    </font>
    <font>
      <b/>
      <sz val="14"/>
      <name val="Helv"/>
    </font>
    <font>
      <b/>
      <sz val="12"/>
      <name val="Helv"/>
    </font>
    <font>
      <sz val="11"/>
      <color rgb="FF000000"/>
      <name val="Calibri"/>
      <family val="2"/>
      <charset val="1"/>
    </font>
    <font>
      <i/>
      <sz val="8"/>
      <name val="Tms Rmn"/>
    </font>
    <font>
      <b/>
      <sz val="8"/>
      <name val="Arial"/>
      <family val="2"/>
    </font>
    <font>
      <b/>
      <sz val="8"/>
      <name val="Tms Rmn"/>
    </font>
    <font>
      <sz val="10"/>
      <name val="Times"/>
      <family val="1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11"/>
      <color theme="1"/>
      <name val="Calibri"/>
      <family val="2"/>
      <charset val="128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22"/>
        <bgColor indexed="8"/>
      </patternFill>
    </fill>
    <fill>
      <patternFill patternType="solid">
        <fgColor indexed="10"/>
        <bgColor indexed="64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theme="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ck">
        <color indexed="63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4066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8" fillId="0" borderId="0">
      <alignment vertical="center"/>
    </xf>
    <xf numFmtId="0" fontId="9" fillId="0" borderId="0"/>
    <xf numFmtId="0" fontId="7" fillId="0" borderId="0" applyNumberFormat="0" applyFill="0" applyBorder="0" applyAlignment="0" applyProtection="0"/>
    <xf numFmtId="0" fontId="6" fillId="0" borderId="0"/>
    <xf numFmtId="0" fontId="6" fillId="0" borderId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9" fillId="0" borderId="0"/>
    <xf numFmtId="0" fontId="5" fillId="0" borderId="0"/>
    <xf numFmtId="0" fontId="9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9">
      <alignment horizontal="center" vertical="center"/>
    </xf>
    <xf numFmtId="0" fontId="16" fillId="6" borderId="10"/>
    <xf numFmtId="0" fontId="16" fillId="6" borderId="10"/>
    <xf numFmtId="0" fontId="16" fillId="7" borderId="10"/>
    <xf numFmtId="0" fontId="17" fillId="8" borderId="11">
      <alignment horizontal="right" vertical="top" wrapText="1"/>
    </xf>
    <xf numFmtId="0" fontId="18" fillId="0" borderId="0"/>
    <xf numFmtId="169" fontId="19" fillId="0" borderId="0">
      <alignment vertical="top"/>
    </xf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10"/>
    <xf numFmtId="0" fontId="16" fillId="0" borderId="10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10"/>
    <xf numFmtId="0" fontId="20" fillId="9" borderId="12">
      <alignment horizontal="left" vertical="top" wrapText="1"/>
    </xf>
    <xf numFmtId="0" fontId="21" fillId="10" borderId="0">
      <alignment horizontal="center"/>
    </xf>
    <xf numFmtId="0" fontId="22" fillId="10" borderId="0">
      <alignment horizontal="center" vertical="center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23" fillId="10" borderId="0">
      <alignment horizontal="center"/>
    </xf>
    <xf numFmtId="168" fontId="15" fillId="0" borderId="0" applyFont="0" applyFill="0" applyBorder="0" applyProtection="0">
      <alignment horizontal="right" vertical="top"/>
    </xf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" fontId="24" fillId="0" borderId="0">
      <alignment vertical="top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70" fontId="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9" fillId="0" borderId="0" applyFont="0" applyFill="0" applyBorder="0" applyAlignment="0" applyProtection="0"/>
    <xf numFmtId="171" fontId="26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70" fontId="6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70" fontId="6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70" fontId="6" fillId="0" borderId="0" applyFont="0" applyFill="0" applyBorder="0" applyAlignment="0" applyProtection="0"/>
    <xf numFmtId="167" fontId="25" fillId="0" borderId="0" applyFont="0" applyFill="0" applyBorder="0" applyAlignment="0" applyProtection="0"/>
    <xf numFmtId="3" fontId="24" fillId="0" borderId="0" applyFill="0" applyBorder="0">
      <alignment horizontal="right" vertical="top"/>
    </xf>
    <xf numFmtId="172" fontId="19" fillId="0" borderId="0" applyFont="0" applyFill="0" applyBorder="0">
      <alignment horizontal="right" vertical="top"/>
    </xf>
    <xf numFmtId="173" fontId="24" fillId="0" borderId="0" applyFill="0" applyBorder="0">
      <alignment horizontal="right" vertical="top"/>
    </xf>
    <xf numFmtId="3" fontId="24" fillId="0" borderId="0" applyFill="0" applyBorder="0">
      <alignment horizontal="right" vertical="top"/>
    </xf>
    <xf numFmtId="172" fontId="19" fillId="0" borderId="0" applyFont="0" applyFill="0" applyBorder="0">
      <alignment horizontal="right" vertical="top"/>
    </xf>
    <xf numFmtId="174" fontId="11" fillId="0" borderId="0" applyFont="0" applyFill="0" applyBorder="0" applyAlignment="0" applyProtection="0">
      <alignment horizontal="right" vertical="top"/>
    </xf>
    <xf numFmtId="173" fontId="24" fillId="0" borderId="0">
      <alignment horizontal="right" vertical="top"/>
    </xf>
    <xf numFmtId="3" fontId="6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27" fillId="5" borderId="10" applyBorder="0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0" applyBorder="0">
      <protection locked="0"/>
    </xf>
    <xf numFmtId="0" fontId="27" fillId="5" borderId="10" applyBorder="0">
      <protection locked="0"/>
    </xf>
    <xf numFmtId="0" fontId="27" fillId="5" borderId="10" applyBorder="0">
      <protection locked="0"/>
    </xf>
    <xf numFmtId="0" fontId="28" fillId="5" borderId="10" applyBorder="0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0" applyBorder="0">
      <protection locked="0"/>
    </xf>
    <xf numFmtId="0" fontId="6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29" fillId="0" borderId="0">
      <alignment horizontal="centerContinuous"/>
    </xf>
    <xf numFmtId="0" fontId="29" fillId="0" borderId="0" applyAlignment="0">
      <alignment horizontal="centerContinuous"/>
    </xf>
    <xf numFmtId="0" fontId="30" fillId="0" borderId="0" applyAlignment="0">
      <alignment horizontal="centerContinuous"/>
    </xf>
    <xf numFmtId="165" fontId="15" fillId="0" borderId="0" applyBorder="0"/>
    <xf numFmtId="165" fontId="15" fillId="0" borderId="1"/>
    <xf numFmtId="0" fontId="31" fillId="5" borderId="10">
      <protection locked="0"/>
    </xf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10" borderId="0"/>
    <xf numFmtId="0" fontId="6" fillId="10" borderId="0"/>
    <xf numFmtId="2" fontId="6" fillId="0" borderId="0" applyFont="0" applyFill="0" applyBorder="0" applyAlignment="0" applyProtection="0"/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33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38" fontId="16" fillId="10" borderId="0" applyNumberFormat="0" applyBorder="0" applyAlignment="0" applyProtection="0"/>
    <xf numFmtId="0" fontId="17" fillId="12" borderId="0">
      <alignment horizontal="right" vertical="top" textRotation="90" wrapText="1"/>
    </xf>
    <xf numFmtId="0" fontId="17" fillId="12" borderId="0">
      <alignment horizontal="right" vertical="top" wrapText="1"/>
    </xf>
    <xf numFmtId="0" fontId="17" fillId="12" borderId="0">
      <alignment horizontal="right" vertical="top" wrapText="1"/>
    </xf>
    <xf numFmtId="0" fontId="17" fillId="12" borderId="0">
      <alignment horizontal="right" vertical="top" wrapText="1"/>
    </xf>
    <xf numFmtId="0" fontId="17" fillId="12" borderId="0">
      <alignment horizontal="right" vertical="top" wrapText="1"/>
    </xf>
    <xf numFmtId="0" fontId="17" fillId="12" borderId="0">
      <alignment horizontal="right" vertical="top" textRotation="90" wrapText="1"/>
    </xf>
    <xf numFmtId="0" fontId="34" fillId="12" borderId="0">
      <alignment horizontal="right" vertical="top" wrapText="1"/>
    </xf>
    <xf numFmtId="0" fontId="17" fillId="12" borderId="0">
      <alignment horizontal="right" vertical="top" textRotation="90" wrapText="1"/>
    </xf>
    <xf numFmtId="0" fontId="35" fillId="0" borderId="14" applyNumberFormat="0" applyAlignment="0" applyProtection="0">
      <alignment horizontal="left" vertical="center"/>
    </xf>
    <xf numFmtId="0" fontId="35" fillId="0" borderId="15">
      <alignment horizontal="left" vertical="center"/>
    </xf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177" fontId="11" fillId="0" borderId="0">
      <protection locked="0"/>
    </xf>
    <xf numFmtId="177" fontId="11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/>
    <xf numFmtId="10" fontId="16" fillId="5" borderId="13" applyNumberFormat="0" applyBorder="0" applyAlignment="0" applyProtection="0"/>
    <xf numFmtId="0" fontId="10" fillId="11" borderId="0">
      <alignment horizontal="center"/>
    </xf>
    <xf numFmtId="0" fontId="10" fillId="11" borderId="0">
      <alignment horizontal="center"/>
    </xf>
    <xf numFmtId="0" fontId="10" fillId="11" borderId="0">
      <alignment horizontal="center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40" fillId="13" borderId="0">
      <alignment horizontal="center" wrapText="1"/>
    </xf>
    <xf numFmtId="0" fontId="6" fillId="10" borderId="13">
      <alignment horizontal="centerContinuous"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41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41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6"/>
    <xf numFmtId="0" fontId="16" fillId="10" borderId="16"/>
    <xf numFmtId="0" fontId="41" fillId="10" borderId="16"/>
    <xf numFmtId="0" fontId="16" fillId="10" borderId="16"/>
    <xf numFmtId="0" fontId="16" fillId="10" borderId="16"/>
    <xf numFmtId="0" fontId="16" fillId="10" borderId="7"/>
    <xf numFmtId="0" fontId="16" fillId="10" borderId="7"/>
    <xf numFmtId="0" fontId="41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0" fillId="9" borderId="18">
      <alignment horizontal="left" vertical="top" wrapText="1"/>
    </xf>
    <xf numFmtId="0" fontId="6" fillId="0" borderId="0" applyFont="0" applyFill="0" applyBorder="0" applyAlignment="0" applyProtection="0"/>
    <xf numFmtId="178" fontId="43" fillId="0" borderId="0"/>
    <xf numFmtId="0" fontId="25" fillId="0" borderId="0"/>
    <xf numFmtId="0" fontId="5" fillId="0" borderId="0"/>
    <xf numFmtId="0" fontId="25" fillId="0" borderId="0"/>
    <xf numFmtId="0" fontId="42" fillId="0" borderId="0"/>
    <xf numFmtId="0" fontId="9" fillId="0" borderId="0"/>
    <xf numFmtId="0" fontId="9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6" fillId="0" borderId="0" applyNumberFormat="0" applyFill="0" applyBorder="0" applyAlignment="0" applyProtection="0"/>
    <xf numFmtId="0" fontId="9" fillId="0" borderId="0"/>
    <xf numFmtId="0" fontId="9" fillId="0" borderId="0"/>
    <xf numFmtId="0" fontId="42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42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42" fillId="0" borderId="0"/>
    <xf numFmtId="0" fontId="25" fillId="0" borderId="0"/>
    <xf numFmtId="0" fontId="5" fillId="0" borderId="0"/>
    <xf numFmtId="0" fontId="5" fillId="0" borderId="0"/>
    <xf numFmtId="0" fontId="42" fillId="0" borderId="0"/>
    <xf numFmtId="0" fontId="25" fillId="0" borderId="0"/>
    <xf numFmtId="0" fontId="5" fillId="0" borderId="0"/>
    <xf numFmtId="0" fontId="5" fillId="0" borderId="0"/>
    <xf numFmtId="0" fontId="42" fillId="0" borderId="0"/>
    <xf numFmtId="0" fontId="25" fillId="0" borderId="0"/>
    <xf numFmtId="0" fontId="5" fillId="0" borderId="0"/>
    <xf numFmtId="0" fontId="5" fillId="0" borderId="0"/>
    <xf numFmtId="0" fontId="4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4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4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25" fillId="0" borderId="0"/>
    <xf numFmtId="0" fontId="25" fillId="0" borderId="0"/>
    <xf numFmtId="0" fontId="25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42" fillId="0" borderId="0"/>
    <xf numFmtId="0" fontId="6" fillId="0" borderId="0"/>
    <xf numFmtId="0" fontId="42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42" fillId="0" borderId="0"/>
    <xf numFmtId="0" fontId="9" fillId="0" borderId="0"/>
    <xf numFmtId="0" fontId="25" fillId="0" borderId="0"/>
    <xf numFmtId="0" fontId="25" fillId="0" borderId="0"/>
    <xf numFmtId="0" fontId="6" fillId="0" borderId="0"/>
    <xf numFmtId="0" fontId="6" fillId="0" borderId="0" applyNumberForma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42" fillId="0" borderId="0"/>
    <xf numFmtId="0" fontId="15" fillId="0" borderId="0"/>
    <xf numFmtId="0" fontId="15" fillId="0" borderId="0"/>
    <xf numFmtId="0" fontId="8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42" fillId="0" borderId="0"/>
    <xf numFmtId="0" fontId="5" fillId="0" borderId="0"/>
    <xf numFmtId="0" fontId="5" fillId="0" borderId="0"/>
    <xf numFmtId="0" fontId="15" fillId="0" borderId="0"/>
    <xf numFmtId="0" fontId="4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25" fillId="0" borderId="0"/>
    <xf numFmtId="0" fontId="44" fillId="0" borderId="0"/>
    <xf numFmtId="0" fontId="2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4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" fillId="0" borderId="0"/>
    <xf numFmtId="0" fontId="25" fillId="0" borderId="0"/>
    <xf numFmtId="0" fontId="8" fillId="0" borderId="0"/>
    <xf numFmtId="0" fontId="8" fillId="0" borderId="0"/>
    <xf numFmtId="0" fontId="6" fillId="0" borderId="0"/>
    <xf numFmtId="1" fontId="19" fillId="0" borderId="0">
      <alignment vertical="top" wrapText="1"/>
    </xf>
    <xf numFmtId="1" fontId="46" fillId="0" borderId="0" applyFill="0" applyBorder="0" applyProtection="0"/>
    <xf numFmtId="1" fontId="11" fillId="0" borderId="0" applyFont="0" applyFill="0" applyBorder="0" applyProtection="0">
      <alignment vertical="center"/>
    </xf>
    <xf numFmtId="1" fontId="47" fillId="0" borderId="0">
      <alignment horizontal="right" vertical="top"/>
    </xf>
    <xf numFmtId="0" fontId="48" fillId="0" borderId="0"/>
    <xf numFmtId="0" fontId="8" fillId="0" borderId="0"/>
    <xf numFmtId="1" fontId="24" fillId="0" borderId="0" applyNumberFormat="0" applyFill="0" applyBorder="0">
      <alignment vertical="top"/>
    </xf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11" fillId="0" borderId="0">
      <alignment horizontal="left"/>
    </xf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9" fontId="8" fillId="0" borderId="0" applyFont="0" applyFill="0" applyBorder="0" applyAlignment="0" applyProtection="0"/>
    <xf numFmtId="0" fontId="42" fillId="0" borderId="0"/>
    <xf numFmtId="9" fontId="6" fillId="0" borderId="0" applyFont="0" applyFill="0" applyBorder="0" applyAlignment="0" applyProtection="0"/>
    <xf numFmtId="0" fontId="42" fillId="0" borderId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2" fillId="0" borderId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NumberFormat="0" applyFont="0" applyFill="0" applyBorder="0" applyAlignment="0" applyProtection="0"/>
    <xf numFmtId="0" fontId="16" fillId="10" borderId="5"/>
    <xf numFmtId="0" fontId="5" fillId="0" borderId="0"/>
    <xf numFmtId="0" fontId="5" fillId="0" borderId="0"/>
    <xf numFmtId="0" fontId="5" fillId="0" borderId="0"/>
    <xf numFmtId="0" fontId="16" fillId="10" borderId="5"/>
    <xf numFmtId="0" fontId="16" fillId="10" borderId="5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22" fillId="10" borderId="0">
      <alignment horizontal="right"/>
    </xf>
    <xf numFmtId="0" fontId="22" fillId="10" borderId="0">
      <alignment horizontal="right"/>
    </xf>
    <xf numFmtId="0" fontId="49" fillId="13" borderId="0">
      <alignment horizontal="center"/>
    </xf>
    <xf numFmtId="0" fontId="49" fillId="13" borderId="0">
      <alignment horizontal="center"/>
    </xf>
    <xf numFmtId="0" fontId="20" fillId="12" borderId="5">
      <alignment horizontal="left" vertical="top" wrapTex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12" borderId="8">
      <alignment horizontal="left" vertical="top" wrapText="1"/>
    </xf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20" fillId="12" borderId="6">
      <alignment horizontal="left" vertical="top" wrapText="1"/>
    </xf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20" fillId="12" borderId="6">
      <alignment horizontal="left" vertical="top" wrapTex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20" fillId="12" borderId="8">
      <alignment horizontal="left"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20" fillId="12" borderId="8">
      <alignment horizontal="left"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15" fillId="0" borderId="7">
      <alignment horizontal="center" vertical="center"/>
    </xf>
    <xf numFmtId="0" fontId="16" fillId="0" borderId="0"/>
    <xf numFmtId="0" fontId="15" fillId="0" borderId="0"/>
    <xf numFmtId="169" fontId="51" fillId="0" borderId="0" applyNumberFormat="0" applyBorder="0" applyAlignment="0">
      <alignment horizontal="left" readingOrder="1"/>
    </xf>
    <xf numFmtId="0" fontId="52" fillId="15" borderId="0">
      <alignment horizontal="left"/>
    </xf>
    <xf numFmtId="0" fontId="40" fillId="15" borderId="0">
      <alignment horizontal="left" wrapText="1"/>
    </xf>
    <xf numFmtId="0" fontId="52" fillId="15" borderId="0">
      <alignment horizontal="left"/>
    </xf>
    <xf numFmtId="0" fontId="53" fillId="0" borderId="20"/>
    <xf numFmtId="0" fontId="53" fillId="0" borderId="20"/>
    <xf numFmtId="0" fontId="54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21" fillId="10" borderId="0">
      <alignment horizontal="center"/>
    </xf>
    <xf numFmtId="0" fontId="21" fillId="10" borderId="0">
      <alignment horizontal="center"/>
    </xf>
    <xf numFmtId="0" fontId="56" fillId="0" borderId="0"/>
    <xf numFmtId="49" fontId="24" fillId="0" borderId="0" applyFill="0" applyBorder="0" applyAlignment="0" applyProtection="0">
      <alignment vertical="top"/>
    </xf>
    <xf numFmtId="0" fontId="57" fillId="10" borderId="0"/>
    <xf numFmtId="0" fontId="57" fillId="10" borderId="0"/>
    <xf numFmtId="0" fontId="52" fillId="15" borderId="0">
      <alignment horizontal="left"/>
    </xf>
    <xf numFmtId="0" fontId="58" fillId="0" borderId="0"/>
    <xf numFmtId="166" fontId="15" fillId="0" borderId="0" applyFont="0" applyFill="0" applyBorder="0" applyAlignment="0" applyProtection="0"/>
    <xf numFmtId="171" fontId="26" fillId="0" borderId="0" applyFont="0" applyFill="0" applyBorder="0" applyAlignment="0" applyProtection="0"/>
    <xf numFmtId="167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5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5" fontId="15" fillId="0" borderId="0" applyFont="0" applyFill="0" applyBorder="0" applyAlignment="0" applyProtection="0"/>
    <xf numFmtId="1" fontId="59" fillId="0" borderId="0">
      <alignment vertical="top" wrapText="1"/>
    </xf>
    <xf numFmtId="4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70" fontId="61" fillId="0" borderId="0" applyFont="0" applyFill="0" applyBorder="0" applyAlignment="0" applyProtection="0"/>
    <xf numFmtId="181" fontId="61" fillId="0" borderId="0" applyFont="0" applyFill="0" applyBorder="0" applyAlignment="0" applyProtection="0"/>
    <xf numFmtId="182" fontId="61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6" fillId="0" borderId="0"/>
    <xf numFmtId="0" fontId="60" fillId="0" borderId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0" fontId="62" fillId="0" borderId="0">
      <alignment vertical="center"/>
    </xf>
    <xf numFmtId="0" fontId="39" fillId="0" borderId="0" applyNumberFormat="0" applyFill="0" applyBorder="0" applyAlignment="0" applyProtection="0"/>
    <xf numFmtId="0" fontId="9" fillId="0" borderId="0"/>
    <xf numFmtId="0" fontId="2" fillId="19" borderId="5" applyAlignment="0">
      <alignment horizontal="center" vertical="center"/>
    </xf>
    <xf numFmtId="0" fontId="2" fillId="19" borderId="21" applyNumberFormat="0" applyAlignment="0">
      <alignment horizontal="center" vertical="center"/>
    </xf>
  </cellStyleXfs>
  <cellXfs count="73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63" fillId="0" borderId="0" xfId="0" applyFont="1"/>
    <xf numFmtId="0" fontId="0" fillId="0" borderId="0" xfId="0" applyAlignment="1">
      <alignment vertical="center"/>
    </xf>
    <xf numFmtId="0" fontId="0" fillId="0" borderId="0" xfId="0" applyFont="1"/>
    <xf numFmtId="0" fontId="63" fillId="0" borderId="0" xfId="0" applyFont="1" applyAlignment="1">
      <alignment vertical="center"/>
    </xf>
    <xf numFmtId="0" fontId="0" fillId="18" borderId="0" xfId="0" applyFill="1"/>
    <xf numFmtId="0" fontId="2" fillId="18" borderId="0" xfId="0" applyFont="1" applyFill="1" applyAlignment="1">
      <alignment horizontal="left"/>
    </xf>
    <xf numFmtId="0" fontId="63" fillId="18" borderId="0" xfId="0" applyFont="1" applyFill="1"/>
    <xf numFmtId="0" fontId="4" fillId="18" borderId="0" xfId="0" applyFont="1" applyFill="1"/>
    <xf numFmtId="0" fontId="1" fillId="18" borderId="0" xfId="0" applyFont="1" applyFill="1"/>
    <xf numFmtId="0" fontId="66" fillId="17" borderId="0" xfId="0" applyFont="1" applyFill="1"/>
    <xf numFmtId="0" fontId="1" fillId="0" borderId="0" xfId="0" applyFont="1" applyAlignment="1">
      <alignment horizontal="left"/>
    </xf>
    <xf numFmtId="0" fontId="63" fillId="0" borderId="0" xfId="0" applyFont="1" applyAlignment="1">
      <alignment horizontal="left" vertical="center"/>
    </xf>
    <xf numFmtId="0" fontId="3" fillId="0" borderId="0" xfId="1" applyAlignment="1">
      <alignment horizontal="left"/>
    </xf>
    <xf numFmtId="0" fontId="0" fillId="0" borderId="0" xfId="0" applyAlignment="1">
      <alignment horizontal="left"/>
    </xf>
    <xf numFmtId="0" fontId="63" fillId="16" borderId="0" xfId="0" applyFont="1" applyFill="1"/>
    <xf numFmtId="0" fontId="0" fillId="16" borderId="0" xfId="0" applyFill="1"/>
    <xf numFmtId="0" fontId="0" fillId="0" borderId="0" xfId="0"/>
    <xf numFmtId="0" fontId="65" fillId="16" borderId="0" xfId="1" applyFont="1" applyFill="1"/>
    <xf numFmtId="0" fontId="64" fillId="16" borderId="0" xfId="0" applyFont="1" applyFill="1"/>
    <xf numFmtId="0" fontId="63" fillId="16" borderId="0" xfId="0" applyFont="1" applyFill="1" applyAlignment="1"/>
    <xf numFmtId="0" fontId="3" fillId="18" borderId="0" xfId="1" applyFill="1" applyBorder="1"/>
    <xf numFmtId="0" fontId="2" fillId="18" borderId="0" xfId="0" applyFont="1" applyFill="1" applyBorder="1"/>
    <xf numFmtId="0" fontId="67" fillId="20" borderId="22" xfId="0" applyFont="1" applyFill="1" applyBorder="1" applyAlignment="1">
      <alignment horizontal="center" vertical="center" wrapText="1"/>
    </xf>
    <xf numFmtId="0" fontId="67" fillId="20" borderId="22" xfId="0" applyFont="1" applyFill="1" applyBorder="1" applyAlignment="1">
      <alignment horizontal="center" vertical="center"/>
    </xf>
    <xf numFmtId="0" fontId="67" fillId="20" borderId="5" xfId="0" applyFont="1" applyFill="1" applyBorder="1" applyAlignment="1">
      <alignment horizontal="center" vertical="center"/>
    </xf>
    <xf numFmtId="0" fontId="0" fillId="0" borderId="0" xfId="0" applyFont="1"/>
    <xf numFmtId="0" fontId="2" fillId="0" borderId="0" xfId="0" applyFont="1" applyAlignment="1">
      <alignment horizontal="left" vertical="center"/>
    </xf>
    <xf numFmtId="0" fontId="67" fillId="20" borderId="5" xfId="0" applyFont="1" applyFill="1" applyBorder="1" applyAlignment="1">
      <alignment horizontal="center" vertical="center"/>
    </xf>
    <xf numFmtId="0" fontId="67" fillId="20" borderId="22" xfId="0" applyFont="1" applyFill="1" applyBorder="1" applyAlignment="1">
      <alignment horizontal="center" vertical="center" wrapText="1"/>
    </xf>
    <xf numFmtId="0" fontId="67" fillId="17" borderId="5" xfId="0" applyFont="1" applyFill="1" applyBorder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/>
    <xf numFmtId="0" fontId="67" fillId="17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8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84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184" fontId="0" fillId="0" borderId="26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184" fontId="0" fillId="0" borderId="25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66" fillId="17" borderId="0" xfId="0" applyFont="1" applyFill="1" applyAlignment="1">
      <alignment horizontal="left"/>
    </xf>
    <xf numFmtId="0" fontId="0" fillId="0" borderId="0" xfId="0" applyFont="1"/>
    <xf numFmtId="0" fontId="64" fillId="16" borderId="0" xfId="0" applyFont="1" applyFill="1"/>
    <xf numFmtId="0" fontId="3" fillId="0" borderId="0" xfId="1" applyBorder="1" applyAlignment="1">
      <alignment horizontal="center"/>
    </xf>
    <xf numFmtId="0" fontId="64" fillId="18" borderId="0" xfId="0" applyFont="1" applyFill="1"/>
    <xf numFmtId="0" fontId="67" fillId="20" borderId="22" xfId="0" applyFont="1" applyFill="1" applyBorder="1" applyAlignment="1">
      <alignment horizontal="center" vertical="center" wrapText="1"/>
    </xf>
    <xf numFmtId="0" fontId="67" fillId="17" borderId="5" xfId="0" applyFont="1" applyFill="1" applyBorder="1" applyAlignment="1">
      <alignment horizontal="center" vertical="center"/>
    </xf>
    <xf numFmtId="0" fontId="67" fillId="20" borderId="22" xfId="0" applyFont="1" applyFill="1" applyBorder="1" applyAlignment="1">
      <alignment horizontal="center" vertical="center"/>
    </xf>
    <xf numFmtId="0" fontId="67" fillId="20" borderId="5" xfId="0" applyFont="1" applyFill="1" applyBorder="1" applyAlignment="1">
      <alignment horizontal="center" vertical="center" wrapText="1"/>
    </xf>
    <xf numFmtId="0" fontId="67" fillId="20" borderId="5" xfId="0" applyFont="1" applyFill="1" applyBorder="1" applyAlignment="1">
      <alignment horizontal="center" vertical="center"/>
    </xf>
  </cellXfs>
  <cellStyles count="24066">
    <cellStyle name="60% - Accent1 2" xfId="22"/>
    <cellStyle name="60% - Accent2 2" xfId="23"/>
    <cellStyle name="annee semestre" xfId="24"/>
    <cellStyle name="bin" xfId="25"/>
    <cellStyle name="bin 2" xfId="26"/>
    <cellStyle name="bin 3" xfId="27"/>
    <cellStyle name="blue" xfId="28"/>
    <cellStyle name="Ç¥ÁØ_ENRL2" xfId="29"/>
    <cellStyle name="caché" xfId="30"/>
    <cellStyle name="cell" xfId="31"/>
    <cellStyle name="cell 10" xfId="32"/>
    <cellStyle name="cell 11" xfId="33"/>
    <cellStyle name="cell 12" xfId="34"/>
    <cellStyle name="cell 2" xfId="35"/>
    <cellStyle name="cell 2 2" xfId="36"/>
    <cellStyle name="cell 2 3" xfId="37"/>
    <cellStyle name="cell 3" xfId="38"/>
    <cellStyle name="cell 3 10" xfId="39"/>
    <cellStyle name="cell 3 2" xfId="40"/>
    <cellStyle name="cell 3 2 2" xfId="41"/>
    <cellStyle name="cell 3 2 2 2" xfId="42"/>
    <cellStyle name="cell 3 2 2 2 10" xfId="43"/>
    <cellStyle name="cell 3 2 2 2 2" xfId="44"/>
    <cellStyle name="cell 3 2 2 2 2 2" xfId="45"/>
    <cellStyle name="cell 3 2 2 2 2 2 2" xfId="46"/>
    <cellStyle name="cell 3 2 2 2 2 3" xfId="47"/>
    <cellStyle name="cell 3 2 2 2 2 3 2" xfId="48"/>
    <cellStyle name="cell 3 2 2 2 2 4" xfId="49"/>
    <cellStyle name="cell 3 2 2 2 2 5" xfId="50"/>
    <cellStyle name="cell 3 2 2 2 2 6" xfId="51"/>
    <cellStyle name="cell 3 2 2 2 3" xfId="52"/>
    <cellStyle name="cell 3 2 2 2 3 2" xfId="53"/>
    <cellStyle name="cell 3 2 2 2 3 2 2" xfId="54"/>
    <cellStyle name="cell 3 2 2 2 3 3" xfId="55"/>
    <cellStyle name="cell 3 2 2 2 3 3 2" xfId="56"/>
    <cellStyle name="cell 3 2 2 2 3 4" xfId="57"/>
    <cellStyle name="cell 3 2 2 2 3 5" xfId="58"/>
    <cellStyle name="cell 3 2 2 2 3 6" xfId="59"/>
    <cellStyle name="cell 3 2 2 2 4" xfId="60"/>
    <cellStyle name="cell 3 2 2 2 4 2" xfId="61"/>
    <cellStyle name="cell 3 2 2 2 4 2 2" xfId="62"/>
    <cellStyle name="cell 3 2 2 2 4 3" xfId="63"/>
    <cellStyle name="cell 3 2 2 2 4 3 2" xfId="64"/>
    <cellStyle name="cell 3 2 2 2 4 4" xfId="65"/>
    <cellStyle name="cell 3 2 2 2 4 5" xfId="66"/>
    <cellStyle name="cell 3 2 2 2 4 6" xfId="67"/>
    <cellStyle name="cell 3 2 2 2 5" xfId="68"/>
    <cellStyle name="cell 3 2 2 2 5 2" xfId="69"/>
    <cellStyle name="cell 3 2 2 2 5 2 2" xfId="70"/>
    <cellStyle name="cell 3 2 2 2 5 3" xfId="71"/>
    <cellStyle name="cell 3 2 2 2 5 3 2" xfId="72"/>
    <cellStyle name="cell 3 2 2 2 5 4" xfId="73"/>
    <cellStyle name="cell 3 2 2 2 5 5" xfId="74"/>
    <cellStyle name="cell 3 2 2 2 5 6" xfId="75"/>
    <cellStyle name="cell 3 2 2 2 6" xfId="76"/>
    <cellStyle name="cell 3 2 2 2 6 2" xfId="77"/>
    <cellStyle name="cell 3 2 2 2 6 2 2" xfId="78"/>
    <cellStyle name="cell 3 2 2 2 6 3" xfId="79"/>
    <cellStyle name="cell 3 2 2 2 6 3 2" xfId="80"/>
    <cellStyle name="cell 3 2 2 2 6 4" xfId="81"/>
    <cellStyle name="cell 3 2 2 2 6 5" xfId="82"/>
    <cellStyle name="cell 3 2 2 2 6 6" xfId="83"/>
    <cellStyle name="cell 3 2 2 2 7" xfId="84"/>
    <cellStyle name="cell 3 2 2 2 8" xfId="85"/>
    <cellStyle name="cell 3 2 2 2 9" xfId="86"/>
    <cellStyle name="cell 3 2 2 3" xfId="87"/>
    <cellStyle name="cell 3 2 2 4" xfId="88"/>
    <cellStyle name="cell 3 2 2 5" xfId="89"/>
    <cellStyle name="cell 3 2 2 6" xfId="90"/>
    <cellStyle name="cell 3 2 2_STUD aligned by INSTIT" xfId="91"/>
    <cellStyle name="cell 3 2 3" xfId="92"/>
    <cellStyle name="cell 3 2 3 2" xfId="93"/>
    <cellStyle name="cell 3 2 3 3" xfId="94"/>
    <cellStyle name="cell 3 2 3 4" xfId="95"/>
    <cellStyle name="cell 3 2 4" xfId="96"/>
    <cellStyle name="cell 3 2 5" xfId="97"/>
    <cellStyle name="cell 3 2 6" xfId="98"/>
    <cellStyle name="cell 3 2 7" xfId="99"/>
    <cellStyle name="cell 3 2 8" xfId="100"/>
    <cellStyle name="cell 3 2_STUD aligned by INSTIT" xfId="101"/>
    <cellStyle name="cell 3 3" xfId="102"/>
    <cellStyle name="cell 3 3 2" xfId="103"/>
    <cellStyle name="cell 3 3 2 2" xfId="104"/>
    <cellStyle name="cell 3 3 2 2 2" xfId="105"/>
    <cellStyle name="cell 3 3 2 2 3" xfId="106"/>
    <cellStyle name="cell 3 3 2 2 4" xfId="107"/>
    <cellStyle name="cell 3 3 2 2 5" xfId="108"/>
    <cellStyle name="cell 3 3 2 3" xfId="109"/>
    <cellStyle name="cell 3 3 2 4" xfId="110"/>
    <cellStyle name="cell 3 3 2 5" xfId="111"/>
    <cellStyle name="cell 3 3 2 6" xfId="112"/>
    <cellStyle name="cell 3 3 2_STUD aligned by INSTIT" xfId="113"/>
    <cellStyle name="cell 3 3 3" xfId="114"/>
    <cellStyle name="cell 3 3 3 2" xfId="115"/>
    <cellStyle name="cell 3 3 3 3" xfId="116"/>
    <cellStyle name="cell 3 3 3 4" xfId="117"/>
    <cellStyle name="cell 3 3 3 5" xfId="118"/>
    <cellStyle name="cell 3 3 4" xfId="119"/>
    <cellStyle name="cell 3 3 5" xfId="120"/>
    <cellStyle name="cell 3 3 6" xfId="121"/>
    <cellStyle name="cell 3 3 7" xfId="122"/>
    <cellStyle name="cell 3 3 8" xfId="123"/>
    <cellStyle name="cell 3 3_STUD aligned by INSTIT" xfId="124"/>
    <cellStyle name="cell 3 4" xfId="125"/>
    <cellStyle name="cell 3 4 2" xfId="126"/>
    <cellStyle name="cell 3 4 2 2" xfId="127"/>
    <cellStyle name="cell 3 4 2 3" xfId="128"/>
    <cellStyle name="cell 3 4 2 4" xfId="129"/>
    <cellStyle name="cell 3 4 2 5" xfId="130"/>
    <cellStyle name="cell 3 4 3" xfId="131"/>
    <cellStyle name="cell 3 4 4" xfId="132"/>
    <cellStyle name="cell 3 4 5" xfId="133"/>
    <cellStyle name="cell 3 4 6" xfId="134"/>
    <cellStyle name="cell 3 4_STUD aligned by INSTIT" xfId="135"/>
    <cellStyle name="cell 3 5" xfId="136"/>
    <cellStyle name="cell 3 5 2" xfId="137"/>
    <cellStyle name="cell 3 5 3" xfId="138"/>
    <cellStyle name="cell 3 5 4" xfId="139"/>
    <cellStyle name="cell 3 6" xfId="140"/>
    <cellStyle name="cell 3 7" xfId="141"/>
    <cellStyle name="cell 3 8" xfId="142"/>
    <cellStyle name="cell 3 9" xfId="143"/>
    <cellStyle name="cell 3_STUD aligned by INSTIT" xfId="144"/>
    <cellStyle name="cell 4" xfId="145"/>
    <cellStyle name="cell 4 2" xfId="146"/>
    <cellStyle name="cell 4 2 2" xfId="147"/>
    <cellStyle name="cell 4 2 2 2" xfId="148"/>
    <cellStyle name="cell 4 2 2 3" xfId="149"/>
    <cellStyle name="cell 4 2 2 4" xfId="150"/>
    <cellStyle name="cell 4 2 2 5" xfId="151"/>
    <cellStyle name="cell 4 2 3" xfId="152"/>
    <cellStyle name="cell 4 2 4" xfId="153"/>
    <cellStyle name="cell 4 2 5" xfId="154"/>
    <cellStyle name="cell 4 2 6" xfId="155"/>
    <cellStyle name="cell 4 2_STUD aligned by INSTIT" xfId="156"/>
    <cellStyle name="cell 4 3" xfId="157"/>
    <cellStyle name="cell 4 3 2" xfId="158"/>
    <cellStyle name="cell 4 3 3" xfId="159"/>
    <cellStyle name="cell 4 3 4" xfId="160"/>
    <cellStyle name="cell 4 3 5" xfId="161"/>
    <cellStyle name="cell 4 4" xfId="162"/>
    <cellStyle name="cell 4 5" xfId="163"/>
    <cellStyle name="cell 4 6" xfId="164"/>
    <cellStyle name="cell 4 7" xfId="165"/>
    <cellStyle name="cell 4_STUD aligned by INSTIT" xfId="166"/>
    <cellStyle name="cell 5" xfId="167"/>
    <cellStyle name="cell 5 2" xfId="168"/>
    <cellStyle name="cell 5 2 10" xfId="169"/>
    <cellStyle name="cell 5 2 2" xfId="170"/>
    <cellStyle name="cell 5 2 2 2" xfId="171"/>
    <cellStyle name="cell 5 2 2 2 2" xfId="172"/>
    <cellStyle name="cell 5 2 2 3" xfId="173"/>
    <cellStyle name="cell 5 2 2 3 2" xfId="174"/>
    <cellStyle name="cell 5 2 2 4" xfId="175"/>
    <cellStyle name="cell 5 2 2 5" xfId="176"/>
    <cellStyle name="cell 5 2 2 6" xfId="177"/>
    <cellStyle name="cell 5 2 3" xfId="178"/>
    <cellStyle name="cell 5 2 3 2" xfId="179"/>
    <cellStyle name="cell 5 2 3 2 2" xfId="180"/>
    <cellStyle name="cell 5 2 3 3" xfId="181"/>
    <cellStyle name="cell 5 2 3 3 2" xfId="182"/>
    <cellStyle name="cell 5 2 3 4" xfId="183"/>
    <cellStyle name="cell 5 2 3 5" xfId="184"/>
    <cellStyle name="cell 5 2 3 6" xfId="185"/>
    <cellStyle name="cell 5 2 4" xfId="186"/>
    <cellStyle name="cell 5 2 4 2" xfId="187"/>
    <cellStyle name="cell 5 2 4 2 2" xfId="188"/>
    <cellStyle name="cell 5 2 4 3" xfId="189"/>
    <cellStyle name="cell 5 2 4 3 2" xfId="190"/>
    <cellStyle name="cell 5 2 4 4" xfId="191"/>
    <cellStyle name="cell 5 2 4 5" xfId="192"/>
    <cellStyle name="cell 5 2 4 6" xfId="193"/>
    <cellStyle name="cell 5 2 5" xfId="194"/>
    <cellStyle name="cell 5 2 5 2" xfId="195"/>
    <cellStyle name="cell 5 2 5 2 2" xfId="196"/>
    <cellStyle name="cell 5 2 5 3" xfId="197"/>
    <cellStyle name="cell 5 2 5 3 2" xfId="198"/>
    <cellStyle name="cell 5 2 5 4" xfId="199"/>
    <cellStyle name="cell 5 2 5 5" xfId="200"/>
    <cellStyle name="cell 5 2 5 6" xfId="201"/>
    <cellStyle name="cell 5 2 6" xfId="202"/>
    <cellStyle name="cell 5 2 6 2" xfId="203"/>
    <cellStyle name="cell 5 2 6 2 2" xfId="204"/>
    <cellStyle name="cell 5 2 6 3" xfId="205"/>
    <cellStyle name="cell 5 2 6 3 2" xfId="206"/>
    <cellStyle name="cell 5 2 6 4" xfId="207"/>
    <cellStyle name="cell 5 2 6 5" xfId="208"/>
    <cellStyle name="cell 5 2 6 6" xfId="209"/>
    <cellStyle name="cell 5 2 7" xfId="210"/>
    <cellStyle name="cell 5 2 8" xfId="211"/>
    <cellStyle name="cell 5 2 9" xfId="212"/>
    <cellStyle name="cell 5 3" xfId="213"/>
    <cellStyle name="cell 5 4" xfId="214"/>
    <cellStyle name="cell 5 5" xfId="215"/>
    <cellStyle name="cell 5 6" xfId="216"/>
    <cellStyle name="cell 5_STUD aligned by INSTIT" xfId="217"/>
    <cellStyle name="cell 6" xfId="218"/>
    <cellStyle name="cell 6 10" xfId="219"/>
    <cellStyle name="cell 6 2" xfId="220"/>
    <cellStyle name="cell 6 2 2" xfId="221"/>
    <cellStyle name="cell 6 2 3" xfId="222"/>
    <cellStyle name="cell 6 2 4" xfId="223"/>
    <cellStyle name="cell 6 2 5" xfId="224"/>
    <cellStyle name="cell 6 3" xfId="225"/>
    <cellStyle name="cell 6 3 2" xfId="226"/>
    <cellStyle name="cell 6 3 2 2" xfId="227"/>
    <cellStyle name="cell 6 3 3" xfId="228"/>
    <cellStyle name="cell 6 3 3 2" xfId="229"/>
    <cellStyle name="cell 6 3 4" xfId="230"/>
    <cellStyle name="cell 6 3 5" xfId="231"/>
    <cellStyle name="cell 6 3 6" xfId="232"/>
    <cellStyle name="cell 6 4" xfId="233"/>
    <cellStyle name="cell 6 4 2" xfId="234"/>
    <cellStyle name="cell 6 4 2 2" xfId="235"/>
    <cellStyle name="cell 6 4 3" xfId="236"/>
    <cellStyle name="cell 6 4 3 2" xfId="237"/>
    <cellStyle name="cell 6 4 4" xfId="238"/>
    <cellStyle name="cell 6 4 5" xfId="239"/>
    <cellStyle name="cell 6 4 6" xfId="240"/>
    <cellStyle name="cell 6 5" xfId="241"/>
    <cellStyle name="cell 6 5 2" xfId="242"/>
    <cellStyle name="cell 6 5 2 2" xfId="243"/>
    <cellStyle name="cell 6 5 3" xfId="244"/>
    <cellStyle name="cell 6 5 3 2" xfId="245"/>
    <cellStyle name="cell 6 5 4" xfId="246"/>
    <cellStyle name="cell 6 5 5" xfId="247"/>
    <cellStyle name="cell 6 5 6" xfId="248"/>
    <cellStyle name="cell 6 6" xfId="249"/>
    <cellStyle name="cell 6 6 2" xfId="250"/>
    <cellStyle name="cell 6 6 2 2" xfId="251"/>
    <cellStyle name="cell 6 6 3" xfId="252"/>
    <cellStyle name="cell 6 6 3 2" xfId="253"/>
    <cellStyle name="cell 6 6 4" xfId="254"/>
    <cellStyle name="cell 6 6 5" xfId="255"/>
    <cellStyle name="cell 6 6 6" xfId="256"/>
    <cellStyle name="cell 6 7" xfId="257"/>
    <cellStyle name="cell 6 8" xfId="258"/>
    <cellStyle name="cell 6 9" xfId="259"/>
    <cellStyle name="cell 7" xfId="260"/>
    <cellStyle name="cell 7 10" xfId="261"/>
    <cellStyle name="cell 7 11" xfId="262"/>
    <cellStyle name="cell 7 2" xfId="263"/>
    <cellStyle name="cell 7 2 10" xfId="264"/>
    <cellStyle name="cell 7 2 11" xfId="265"/>
    <cellStyle name="cell 7 2 2" xfId="266"/>
    <cellStyle name="cell 7 2 2 2" xfId="267"/>
    <cellStyle name="cell 7 2 2 2 2" xfId="268"/>
    <cellStyle name="cell 7 2 2 3" xfId="269"/>
    <cellStyle name="cell 7 2 2 3 2" xfId="270"/>
    <cellStyle name="cell 7 2 2 4" xfId="271"/>
    <cellStyle name="cell 7 2 2 5" xfId="272"/>
    <cellStyle name="cell 7 2 2 6" xfId="273"/>
    <cellStyle name="cell 7 2 3" xfId="274"/>
    <cellStyle name="cell 7 2 3 2" xfId="275"/>
    <cellStyle name="cell 7 2 3 2 2" xfId="276"/>
    <cellStyle name="cell 7 2 3 3" xfId="277"/>
    <cellStyle name="cell 7 2 3 3 2" xfId="278"/>
    <cellStyle name="cell 7 2 3 4" xfId="279"/>
    <cellStyle name="cell 7 2 3 5" xfId="280"/>
    <cellStyle name="cell 7 2 3 6" xfId="281"/>
    <cellStyle name="cell 7 2 4" xfId="282"/>
    <cellStyle name="cell 7 2 4 2" xfId="283"/>
    <cellStyle name="cell 7 2 4 2 2" xfId="284"/>
    <cellStyle name="cell 7 2 4 3" xfId="285"/>
    <cellStyle name="cell 7 2 4 3 2" xfId="286"/>
    <cellStyle name="cell 7 2 4 4" xfId="287"/>
    <cellStyle name="cell 7 2 4 5" xfId="288"/>
    <cellStyle name="cell 7 2 4 6" xfId="289"/>
    <cellStyle name="cell 7 2 5" xfId="290"/>
    <cellStyle name="cell 7 2 5 2" xfId="291"/>
    <cellStyle name="cell 7 2 5 2 2" xfId="292"/>
    <cellStyle name="cell 7 2 5 3" xfId="293"/>
    <cellStyle name="cell 7 2 5 3 2" xfId="294"/>
    <cellStyle name="cell 7 2 5 4" xfId="295"/>
    <cellStyle name="cell 7 2 5 5" xfId="296"/>
    <cellStyle name="cell 7 2 5 6" xfId="297"/>
    <cellStyle name="cell 7 2 6" xfId="298"/>
    <cellStyle name="cell 7 2 6 2" xfId="299"/>
    <cellStyle name="cell 7 2 6 2 2" xfId="300"/>
    <cellStyle name="cell 7 2 6 3" xfId="301"/>
    <cellStyle name="cell 7 2 6 3 2" xfId="302"/>
    <cellStyle name="cell 7 2 6 4" xfId="303"/>
    <cellStyle name="cell 7 2 6 5" xfId="304"/>
    <cellStyle name="cell 7 2 6 6" xfId="305"/>
    <cellStyle name="cell 7 2 7" xfId="306"/>
    <cellStyle name="cell 7 2 7 2" xfId="307"/>
    <cellStyle name="cell 7 2 8" xfId="308"/>
    <cellStyle name="cell 7 2 8 2" xfId="309"/>
    <cellStyle name="cell 7 2 9" xfId="310"/>
    <cellStyle name="cell 7 3" xfId="311"/>
    <cellStyle name="cell 7 3 10" xfId="312"/>
    <cellStyle name="cell 7 3 2" xfId="313"/>
    <cellStyle name="cell 7 3 2 2" xfId="314"/>
    <cellStyle name="cell 7 3 2 2 2" xfId="315"/>
    <cellStyle name="cell 7 3 2 3" xfId="316"/>
    <cellStyle name="cell 7 3 2 3 2" xfId="317"/>
    <cellStyle name="cell 7 3 2 4" xfId="318"/>
    <cellStyle name="cell 7 3 2 5" xfId="319"/>
    <cellStyle name="cell 7 3 2 6" xfId="320"/>
    <cellStyle name="cell 7 3 3" xfId="321"/>
    <cellStyle name="cell 7 3 3 2" xfId="322"/>
    <cellStyle name="cell 7 3 3 2 2" xfId="323"/>
    <cellStyle name="cell 7 3 3 3" xfId="324"/>
    <cellStyle name="cell 7 3 3 3 2" xfId="325"/>
    <cellStyle name="cell 7 3 3 4" xfId="326"/>
    <cellStyle name="cell 7 3 3 5" xfId="327"/>
    <cellStyle name="cell 7 3 3 6" xfId="328"/>
    <cellStyle name="cell 7 3 4" xfId="329"/>
    <cellStyle name="cell 7 3 4 2" xfId="330"/>
    <cellStyle name="cell 7 3 4 2 2" xfId="331"/>
    <cellStyle name="cell 7 3 4 3" xfId="332"/>
    <cellStyle name="cell 7 3 4 3 2" xfId="333"/>
    <cellStyle name="cell 7 3 4 4" xfId="334"/>
    <cellStyle name="cell 7 3 4 5" xfId="335"/>
    <cellStyle name="cell 7 3 4 6" xfId="336"/>
    <cellStyle name="cell 7 3 5" xfId="337"/>
    <cellStyle name="cell 7 3 5 2" xfId="338"/>
    <cellStyle name="cell 7 3 5 2 2" xfId="339"/>
    <cellStyle name="cell 7 3 5 3" xfId="340"/>
    <cellStyle name="cell 7 3 5 3 2" xfId="341"/>
    <cellStyle name="cell 7 3 5 4" xfId="342"/>
    <cellStyle name="cell 7 3 5 5" xfId="343"/>
    <cellStyle name="cell 7 3 5 6" xfId="344"/>
    <cellStyle name="cell 7 3 6" xfId="345"/>
    <cellStyle name="cell 7 3 6 2" xfId="346"/>
    <cellStyle name="cell 7 3 6 2 2" xfId="347"/>
    <cellStyle name="cell 7 3 6 3" xfId="348"/>
    <cellStyle name="cell 7 3 6 3 2" xfId="349"/>
    <cellStyle name="cell 7 3 6 4" xfId="350"/>
    <cellStyle name="cell 7 3 6 5" xfId="351"/>
    <cellStyle name="cell 7 3 6 6" xfId="352"/>
    <cellStyle name="cell 7 3 7" xfId="353"/>
    <cellStyle name="cell 7 3 8" xfId="354"/>
    <cellStyle name="cell 7 3 9" xfId="355"/>
    <cellStyle name="cell 7 4" xfId="356"/>
    <cellStyle name="cell 7 4 2" xfId="357"/>
    <cellStyle name="cell 7 4 2 2" xfId="358"/>
    <cellStyle name="cell 7 4 3" xfId="359"/>
    <cellStyle name="cell 7 4 3 2" xfId="360"/>
    <cellStyle name="cell 7 4 4" xfId="361"/>
    <cellStyle name="cell 7 4 5" xfId="362"/>
    <cellStyle name="cell 7 4 6" xfId="363"/>
    <cellStyle name="cell 7 5" xfId="364"/>
    <cellStyle name="cell 7 5 2" xfId="365"/>
    <cellStyle name="cell 7 5 2 2" xfId="366"/>
    <cellStyle name="cell 7 5 3" xfId="367"/>
    <cellStyle name="cell 7 5 3 2" xfId="368"/>
    <cellStyle name="cell 7 5 4" xfId="369"/>
    <cellStyle name="cell 7 5 5" xfId="370"/>
    <cellStyle name="cell 7 5 6" xfId="371"/>
    <cellStyle name="cell 7 6" xfId="372"/>
    <cellStyle name="cell 7 6 2" xfId="373"/>
    <cellStyle name="cell 7 6 2 2" xfId="374"/>
    <cellStyle name="cell 7 6 3" xfId="375"/>
    <cellStyle name="cell 7 6 3 2" xfId="376"/>
    <cellStyle name="cell 7 6 4" xfId="377"/>
    <cellStyle name="cell 7 6 5" xfId="378"/>
    <cellStyle name="cell 7 6 6" xfId="379"/>
    <cellStyle name="cell 7 7" xfId="380"/>
    <cellStyle name="cell 7 7 2" xfId="381"/>
    <cellStyle name="cell 7 8" xfId="382"/>
    <cellStyle name="cell 7 9" xfId="383"/>
    <cellStyle name="cell 8" xfId="384"/>
    <cellStyle name="cell 9" xfId="385"/>
    <cellStyle name="cell_06entr" xfId="386"/>
    <cellStyle name="Code additions" xfId="387"/>
    <cellStyle name="Col&amp;RowHeadings" xfId="388"/>
    <cellStyle name="ColCodes" xfId="389"/>
    <cellStyle name="ColTitles" xfId="390"/>
    <cellStyle name="ColTitles 10" xfId="391"/>
    <cellStyle name="ColTitles 10 2" xfId="392"/>
    <cellStyle name="ColTitles 11" xfId="393"/>
    <cellStyle name="ColTitles 11 2" xfId="394"/>
    <cellStyle name="ColTitles 12" xfId="395"/>
    <cellStyle name="ColTitles 13" xfId="396"/>
    <cellStyle name="ColTitles 2" xfId="397"/>
    <cellStyle name="ColTitles 2 2" xfId="398"/>
    <cellStyle name="ColTitles 3" xfId="399"/>
    <cellStyle name="ColTitles 3 2" xfId="400"/>
    <cellStyle name="ColTitles 4" xfId="401"/>
    <cellStyle name="ColTitles 4 2" xfId="402"/>
    <cellStyle name="ColTitles 5" xfId="403"/>
    <cellStyle name="ColTitles 5 2" xfId="404"/>
    <cellStyle name="ColTitles 6" xfId="405"/>
    <cellStyle name="ColTitles 6 2" xfId="406"/>
    <cellStyle name="ColTitles 7" xfId="407"/>
    <cellStyle name="ColTitles 7 2" xfId="408"/>
    <cellStyle name="ColTitles 8" xfId="409"/>
    <cellStyle name="ColTitles 8 2" xfId="410"/>
    <cellStyle name="ColTitles 9" xfId="411"/>
    <cellStyle name="ColTitles 9 2" xfId="412"/>
    <cellStyle name="column" xfId="413"/>
    <cellStyle name="Comma  [1]" xfId="414"/>
    <cellStyle name="Comma [0] 2" xfId="415"/>
    <cellStyle name="Comma [0] 2 2" xfId="416"/>
    <cellStyle name="Comma [0] 2 2 2" xfId="417"/>
    <cellStyle name="Comma [0] 2 2 3" xfId="418"/>
    <cellStyle name="Comma [0] 2 3" xfId="419"/>
    <cellStyle name="Comma [0] 2 3 2" xfId="420"/>
    <cellStyle name="Comma [0] 2 3 3" xfId="421"/>
    <cellStyle name="Comma [0] 2 4" xfId="422"/>
    <cellStyle name="Comma [0] 2 5" xfId="423"/>
    <cellStyle name="Comma [1]" xfId="424"/>
    <cellStyle name="Comma 10" xfId="425"/>
    <cellStyle name="Comma 11" xfId="426"/>
    <cellStyle name="Comma 12" xfId="427"/>
    <cellStyle name="Comma 13" xfId="428"/>
    <cellStyle name="Comma 14" xfId="429"/>
    <cellStyle name="Comma 15" xfId="430"/>
    <cellStyle name="Comma 16" xfId="431"/>
    <cellStyle name="Comma 17" xfId="432"/>
    <cellStyle name="Comma 2" xfId="433"/>
    <cellStyle name="Comma 2 2" xfId="434"/>
    <cellStyle name="Comma 2 3" xfId="435"/>
    <cellStyle name="Comma 2 3 2" xfId="436"/>
    <cellStyle name="Comma 2 3 3" xfId="437"/>
    <cellStyle name="Comma 2 4" xfId="438"/>
    <cellStyle name="Comma 2 4 2" xfId="439"/>
    <cellStyle name="Comma 2 4 3" xfId="440"/>
    <cellStyle name="Comma 2 5" xfId="441"/>
    <cellStyle name="Comma 2 6" xfId="442"/>
    <cellStyle name="Comma 2 7" xfId="443"/>
    <cellStyle name="Comma 3" xfId="444"/>
    <cellStyle name="Comma 3 2" xfId="445"/>
    <cellStyle name="Comma 4" xfId="446"/>
    <cellStyle name="Comma 5" xfId="447"/>
    <cellStyle name="Comma 5 2" xfId="448"/>
    <cellStyle name="Comma 5 3" xfId="449"/>
    <cellStyle name="Comma 6" xfId="450"/>
    <cellStyle name="Comma 6 2" xfId="451"/>
    <cellStyle name="Comma 6 2 2" xfId="452"/>
    <cellStyle name="Comma 6 2 3" xfId="453"/>
    <cellStyle name="Comma 6 3" xfId="454"/>
    <cellStyle name="Comma 6 4" xfId="455"/>
    <cellStyle name="Comma 7" xfId="456"/>
    <cellStyle name="Comma 7 2" xfId="457"/>
    <cellStyle name="Comma 7 2 2" xfId="458"/>
    <cellStyle name="Comma 7 2 3" xfId="459"/>
    <cellStyle name="Comma 7 3" xfId="460"/>
    <cellStyle name="Comma 7 4" xfId="461"/>
    <cellStyle name="Comma 8" xfId="462"/>
    <cellStyle name="Comma 9" xfId="463"/>
    <cellStyle name="Comma(0)" xfId="464"/>
    <cellStyle name="comma(1)" xfId="465"/>
    <cellStyle name="Comma(3)" xfId="466"/>
    <cellStyle name="Comma[0]" xfId="467"/>
    <cellStyle name="Comma[1]" xfId="468"/>
    <cellStyle name="Comma[2]__" xfId="469"/>
    <cellStyle name="Comma[3]" xfId="470"/>
    <cellStyle name="Comma0" xfId="471"/>
    <cellStyle name="Currency 2" xfId="472"/>
    <cellStyle name="Currency0" xfId="473"/>
    <cellStyle name="DataEntryCells" xfId="474"/>
    <cellStyle name="DataEntryCells 10" xfId="475"/>
    <cellStyle name="DataEntryCells 10 2" xfId="476"/>
    <cellStyle name="DataEntryCells 11" xfId="477"/>
    <cellStyle name="DataEntryCells 12" xfId="478"/>
    <cellStyle name="DataEntryCells 13" xfId="479"/>
    <cellStyle name="DataEntryCells 14" xfId="480"/>
    <cellStyle name="DataEntryCells 2" xfId="481"/>
    <cellStyle name="DataEntryCells 2 2" xfId="482"/>
    <cellStyle name="DataEntryCells 2_08pers" xfId="483"/>
    <cellStyle name="DataEntryCells 3" xfId="484"/>
    <cellStyle name="DataEntryCells 3 2" xfId="485"/>
    <cellStyle name="DataEntryCells 3 2 2" xfId="486"/>
    <cellStyle name="DataEntryCells 3 2 3" xfId="487"/>
    <cellStyle name="DataEntryCells 3 2 4" xfId="488"/>
    <cellStyle name="DataEntryCells 3 2 5" xfId="489"/>
    <cellStyle name="DataEntryCells 3 3" xfId="490"/>
    <cellStyle name="DataEntryCells 3 4" xfId="491"/>
    <cellStyle name="DataEntryCells 3 5" xfId="492"/>
    <cellStyle name="DataEntryCells 3 6" xfId="493"/>
    <cellStyle name="DataEntryCells 3_STUD aligned by INSTIT" xfId="494"/>
    <cellStyle name="DataEntryCells 4" xfId="495"/>
    <cellStyle name="DataEntryCells 4 2" xfId="496"/>
    <cellStyle name="DataEntryCells 4 3" xfId="497"/>
    <cellStyle name="DataEntryCells 4 4" xfId="498"/>
    <cellStyle name="DataEntryCells 4 5" xfId="499"/>
    <cellStyle name="DataEntryCells 5" xfId="500"/>
    <cellStyle name="DataEntryCells 5 2" xfId="501"/>
    <cellStyle name="DataEntryCells 5 3" xfId="502"/>
    <cellStyle name="DataEntryCells 5 4" xfId="503"/>
    <cellStyle name="DataEntryCells 5 5" xfId="504"/>
    <cellStyle name="DataEntryCells 6" xfId="505"/>
    <cellStyle name="DataEntryCells 6 2" xfId="506"/>
    <cellStyle name="DataEntryCells 6 3" xfId="507"/>
    <cellStyle name="DataEntryCells 6 4" xfId="508"/>
    <cellStyle name="DataEntryCells 6 5" xfId="509"/>
    <cellStyle name="DataEntryCells 7" xfId="510"/>
    <cellStyle name="DataEntryCells 7 2" xfId="511"/>
    <cellStyle name="DataEntryCells 7 3" xfId="512"/>
    <cellStyle name="DataEntryCells 7 4" xfId="513"/>
    <cellStyle name="DataEntryCells 7 5" xfId="514"/>
    <cellStyle name="DataEntryCells 8" xfId="515"/>
    <cellStyle name="DataEntryCells 8 2" xfId="516"/>
    <cellStyle name="DataEntryCells 8 3" xfId="517"/>
    <cellStyle name="DataEntryCells 8 4" xfId="518"/>
    <cellStyle name="DataEntryCells 8 5" xfId="519"/>
    <cellStyle name="DataEntryCells 9" xfId="520"/>
    <cellStyle name="DataEntryCells 9 2" xfId="521"/>
    <cellStyle name="DataEntryCells_05entr" xfId="522"/>
    <cellStyle name="Date" xfId="523"/>
    <cellStyle name="Dezimal [0]_DIAGRAM" xfId="524"/>
    <cellStyle name="Dezimal_DIAGRAM" xfId="525"/>
    <cellStyle name="Didier" xfId="526"/>
    <cellStyle name="Didier - Title" xfId="527"/>
    <cellStyle name="Didier subtitles" xfId="528"/>
    <cellStyle name="données" xfId="529"/>
    <cellStyle name="donnéesbord" xfId="530"/>
    <cellStyle name="ErrRpt_DataEntryCells" xfId="531"/>
    <cellStyle name="ErrRpt-DataEntryCells" xfId="532"/>
    <cellStyle name="ErrRpt-DataEntryCells 2" xfId="533"/>
    <cellStyle name="ErrRpt-DataEntryCells 2 2" xfId="534"/>
    <cellStyle name="ErrRpt-DataEntryCells 2 2 2" xfId="535"/>
    <cellStyle name="ErrRpt-DataEntryCells 2 2 2 2" xfId="536"/>
    <cellStyle name="ErrRpt-DataEntryCells 2 2 2 3" xfId="537"/>
    <cellStyle name="ErrRpt-DataEntryCells 2 2 2 4" xfId="538"/>
    <cellStyle name="ErrRpt-DataEntryCells 2 2 2 5" xfId="539"/>
    <cellStyle name="ErrRpt-DataEntryCells 2 2 3" xfId="540"/>
    <cellStyle name="ErrRpt-DataEntryCells 2 2 4" xfId="541"/>
    <cellStyle name="ErrRpt-DataEntryCells 2 2 5" xfId="542"/>
    <cellStyle name="ErrRpt-DataEntryCells 2 2 6" xfId="543"/>
    <cellStyle name="ErrRpt-DataEntryCells 2 2_STUD aligned by INSTIT" xfId="544"/>
    <cellStyle name="ErrRpt-DataEntryCells 2 3" xfId="545"/>
    <cellStyle name="ErrRpt-DataEntryCells 2 3 2" xfId="546"/>
    <cellStyle name="ErrRpt-DataEntryCells 2 3 3" xfId="547"/>
    <cellStyle name="ErrRpt-DataEntryCells 2 3 4" xfId="548"/>
    <cellStyle name="ErrRpt-DataEntryCells 2 3 5" xfId="549"/>
    <cellStyle name="ErrRpt-DataEntryCells 2 4" xfId="550"/>
    <cellStyle name="ErrRpt-DataEntryCells 2 5" xfId="551"/>
    <cellStyle name="ErrRpt-DataEntryCells 2 6" xfId="552"/>
    <cellStyle name="ErrRpt-DataEntryCells 2 7" xfId="553"/>
    <cellStyle name="ErrRpt-DataEntryCells 2_STUD aligned by INSTIT" xfId="554"/>
    <cellStyle name="ErrRpt-DataEntryCells 3" xfId="555"/>
    <cellStyle name="ErrRpt-DataEntryCells 3 2" xfId="556"/>
    <cellStyle name="ErrRpt-DataEntryCells 3 2 2" xfId="557"/>
    <cellStyle name="ErrRpt-DataEntryCells 3 2 3" xfId="558"/>
    <cellStyle name="ErrRpt-DataEntryCells 3 2 4" xfId="559"/>
    <cellStyle name="ErrRpt-DataEntryCells 3 2 5" xfId="560"/>
    <cellStyle name="ErrRpt-DataEntryCells 3 3" xfId="561"/>
    <cellStyle name="ErrRpt-DataEntryCells 3 4" xfId="562"/>
    <cellStyle name="ErrRpt-DataEntryCells 3 5" xfId="563"/>
    <cellStyle name="ErrRpt-DataEntryCells 3 6" xfId="564"/>
    <cellStyle name="ErrRpt-DataEntryCells 3_STUD aligned by INSTIT" xfId="565"/>
    <cellStyle name="ErrRpt-DataEntryCells 4" xfId="566"/>
    <cellStyle name="ErrRpt-DataEntryCells 4 2" xfId="567"/>
    <cellStyle name="ErrRpt-DataEntryCells 4 3" xfId="568"/>
    <cellStyle name="ErrRpt-DataEntryCells 4 4" xfId="569"/>
    <cellStyle name="ErrRpt-DataEntryCells 4 5" xfId="570"/>
    <cellStyle name="ErrRpt-DataEntryCells 5" xfId="571"/>
    <cellStyle name="ErrRpt-DataEntryCells 6" xfId="572"/>
    <cellStyle name="ErrRpt-DataEntryCells 7" xfId="573"/>
    <cellStyle name="ErrRpt-DataEntryCells 8" xfId="574"/>
    <cellStyle name="ErrRpt-DataEntryCells_STUD aligned by INSTIT" xfId="575"/>
    <cellStyle name="ErrRpt-GreyBackground" xfId="576"/>
    <cellStyle name="ErrRpt-GreyBackground 2" xfId="577"/>
    <cellStyle name="Estilo 1" xfId="24064"/>
    <cellStyle name="Estilo 2" xfId="24065"/>
    <cellStyle name="Fixed" xfId="578"/>
    <cellStyle name="formula" xfId="579"/>
    <cellStyle name="formula 2" xfId="580"/>
    <cellStyle name="formula 2 2" xfId="581"/>
    <cellStyle name="formula 2 2 2" xfId="582"/>
    <cellStyle name="formula 2 2 2 2" xfId="583"/>
    <cellStyle name="formula 2 2 2 3" xfId="584"/>
    <cellStyle name="formula 2 2 2 4" xfId="585"/>
    <cellStyle name="formula 2 2 2 5" xfId="586"/>
    <cellStyle name="formula 2 2 3" xfId="587"/>
    <cellStyle name="formula 2 2 4" xfId="588"/>
    <cellStyle name="formula 2 2 5" xfId="589"/>
    <cellStyle name="formula 2 2 6" xfId="590"/>
    <cellStyle name="formula 2 2_STUD aligned by INSTIT" xfId="591"/>
    <cellStyle name="formula 2 3" xfId="592"/>
    <cellStyle name="formula 2 3 2" xfId="593"/>
    <cellStyle name="formula 2 3 3" xfId="594"/>
    <cellStyle name="formula 2 3 4" xfId="595"/>
    <cellStyle name="formula 2 3 5" xfId="596"/>
    <cellStyle name="formula 2 4" xfId="597"/>
    <cellStyle name="formula 2 5" xfId="598"/>
    <cellStyle name="formula 2 6" xfId="599"/>
    <cellStyle name="formula 2 7" xfId="600"/>
    <cellStyle name="formula 2_STUD aligned by INSTIT" xfId="601"/>
    <cellStyle name="formula 3" xfId="602"/>
    <cellStyle name="formula 3 2" xfId="603"/>
    <cellStyle name="formula 3 2 2" xfId="604"/>
    <cellStyle name="formula 3 2 3" xfId="605"/>
    <cellStyle name="formula 3 2 4" xfId="606"/>
    <cellStyle name="formula 3 2 5" xfId="607"/>
    <cellStyle name="formula 3 3" xfId="608"/>
    <cellStyle name="formula 3 4" xfId="609"/>
    <cellStyle name="formula 3 5" xfId="610"/>
    <cellStyle name="formula 3 6" xfId="611"/>
    <cellStyle name="formula 3_STUD aligned by INSTIT" xfId="612"/>
    <cellStyle name="formula 4" xfId="613"/>
    <cellStyle name="formula 4 2" xfId="614"/>
    <cellStyle name="formula 4 3" xfId="615"/>
    <cellStyle name="formula 4 4" xfId="616"/>
    <cellStyle name="formula 4 5" xfId="617"/>
    <cellStyle name="formula 5" xfId="618"/>
    <cellStyle name="formula 6" xfId="619"/>
    <cellStyle name="formula 7" xfId="620"/>
    <cellStyle name="formula 8" xfId="621"/>
    <cellStyle name="formula_STUD aligned by INSTIT" xfId="622"/>
    <cellStyle name="gap" xfId="623"/>
    <cellStyle name="gap 2" xfId="624"/>
    <cellStyle name="gap 2 2" xfId="625"/>
    <cellStyle name="gap 2 2 2" xfId="626"/>
    <cellStyle name="gap 2 2 2 2" xfId="627"/>
    <cellStyle name="gap 2 2 3" xfId="628"/>
    <cellStyle name="gap 2 3" xfId="629"/>
    <cellStyle name="gap 2 4" xfId="630"/>
    <cellStyle name="gap 2_Tertiary Salaries Survey" xfId="631"/>
    <cellStyle name="gap 3" xfId="632"/>
    <cellStyle name="gap 3 2" xfId="633"/>
    <cellStyle name="gap 4" xfId="634"/>
    <cellStyle name="gap 5" xfId="635"/>
    <cellStyle name="gap_Tertiary Salaries Survey" xfId="636"/>
    <cellStyle name="Grey" xfId="637"/>
    <cellStyle name="GreyBackground" xfId="638"/>
    <cellStyle name="GreyBackground 2" xfId="639"/>
    <cellStyle name="GreyBackground 2 2" xfId="640"/>
    <cellStyle name="GreyBackground 2_08pers" xfId="641"/>
    <cellStyle name="GreyBackground 3" xfId="642"/>
    <cellStyle name="GreyBackground 4" xfId="643"/>
    <cellStyle name="GreyBackground 5" xfId="644"/>
    <cellStyle name="GreyBackground_00enrl" xfId="645"/>
    <cellStyle name="Header1" xfId="646"/>
    <cellStyle name="Header2" xfId="647"/>
    <cellStyle name="Heading 1 2" xfId="648"/>
    <cellStyle name="Heading 2 2" xfId="649"/>
    <cellStyle name="Heading1" xfId="650"/>
    <cellStyle name="Heading2" xfId="651"/>
    <cellStyle name="Hipervínculo" xfId="1" builtinId="8"/>
    <cellStyle name="Hipervínculo 2" xfId="24062"/>
    <cellStyle name="Hipervínculo visitado 2" xfId="652"/>
    <cellStyle name="Hyperlink 2" xfId="653"/>
    <cellStyle name="Hyperlink 3" xfId="654"/>
    <cellStyle name="Hyperlink 4" xfId="655"/>
    <cellStyle name="Input [yellow]" xfId="656"/>
    <cellStyle name="ISC" xfId="657"/>
    <cellStyle name="ISC 2" xfId="658"/>
    <cellStyle name="ISC 3" xfId="659"/>
    <cellStyle name="isced" xfId="660"/>
    <cellStyle name="isced 2" xfId="661"/>
    <cellStyle name="isced 2 2" xfId="662"/>
    <cellStyle name="isced 2 2 2" xfId="663"/>
    <cellStyle name="isced 2 2 2 2" xfId="664"/>
    <cellStyle name="isced 2 2 2 3" xfId="665"/>
    <cellStyle name="isced 2 2 2 4" xfId="666"/>
    <cellStyle name="isced 2 2 2 5" xfId="667"/>
    <cellStyle name="isced 2 2 3" xfId="668"/>
    <cellStyle name="isced 2 2 4" xfId="669"/>
    <cellStyle name="isced 2 2 5" xfId="670"/>
    <cellStyle name="isced 2 2 6" xfId="671"/>
    <cellStyle name="isced 2 2_STUD aligned by INSTIT" xfId="672"/>
    <cellStyle name="isced 2 3" xfId="673"/>
    <cellStyle name="isced 2 3 2" xfId="674"/>
    <cellStyle name="isced 2 3 3" xfId="675"/>
    <cellStyle name="isced 2 3 4" xfId="676"/>
    <cellStyle name="isced 2 3 5" xfId="677"/>
    <cellStyle name="isced 2 4" xfId="678"/>
    <cellStyle name="isced 2 5" xfId="679"/>
    <cellStyle name="isced 2 6" xfId="680"/>
    <cellStyle name="isced 2 7" xfId="681"/>
    <cellStyle name="isced 2_STUD aligned by INSTIT" xfId="682"/>
    <cellStyle name="isced 3" xfId="683"/>
    <cellStyle name="isced 3 2" xfId="684"/>
    <cellStyle name="isced 3 2 2" xfId="685"/>
    <cellStyle name="isced 3 2 3" xfId="686"/>
    <cellStyle name="isced 3 2 4" xfId="687"/>
    <cellStyle name="isced 3 2 5" xfId="688"/>
    <cellStyle name="isced 3 3" xfId="689"/>
    <cellStyle name="isced 3 4" xfId="690"/>
    <cellStyle name="isced 3 5" xfId="691"/>
    <cellStyle name="isced 3 6" xfId="692"/>
    <cellStyle name="isced 3_STUD aligned by INSTIT" xfId="693"/>
    <cellStyle name="isced 4" xfId="694"/>
    <cellStyle name="isced 4 2" xfId="695"/>
    <cellStyle name="isced 4 3" xfId="696"/>
    <cellStyle name="isced 4 4" xfId="697"/>
    <cellStyle name="isced 4 5" xfId="698"/>
    <cellStyle name="isced 5" xfId="699"/>
    <cellStyle name="isced 6" xfId="700"/>
    <cellStyle name="isced 7" xfId="701"/>
    <cellStyle name="isced 8" xfId="702"/>
    <cellStyle name="ISCED Titles" xfId="703"/>
    <cellStyle name="isced_05enrl_REVISED_2" xfId="704"/>
    <cellStyle name="level1a" xfId="705"/>
    <cellStyle name="level1a 10" xfId="706"/>
    <cellStyle name="level1a 10 2" xfId="707"/>
    <cellStyle name="level1a 10 2 2" xfId="708"/>
    <cellStyle name="level1a 10 2 2 2" xfId="709"/>
    <cellStyle name="level1a 10 2 3" xfId="710"/>
    <cellStyle name="level1a 10 3" xfId="711"/>
    <cellStyle name="level1a 10 3 2" xfId="712"/>
    <cellStyle name="level1a 10 3 2 2" xfId="713"/>
    <cellStyle name="level1a 10 3 3" xfId="714"/>
    <cellStyle name="level1a 10 4" xfId="715"/>
    <cellStyle name="level1a 10 5" xfId="716"/>
    <cellStyle name="level1a 10 5 2" xfId="717"/>
    <cellStyle name="level1a 10 6" xfId="718"/>
    <cellStyle name="level1a 11" xfId="719"/>
    <cellStyle name="level1a 11 2" xfId="720"/>
    <cellStyle name="level1a 11 2 2" xfId="721"/>
    <cellStyle name="level1a 11 2 2 2" xfId="722"/>
    <cellStyle name="level1a 11 2 3" xfId="723"/>
    <cellStyle name="level1a 11 3" xfId="724"/>
    <cellStyle name="level1a 11 3 2" xfId="725"/>
    <cellStyle name="level1a 11 3 2 2" xfId="726"/>
    <cellStyle name="level1a 11 3 3" xfId="727"/>
    <cellStyle name="level1a 11 4" xfId="728"/>
    <cellStyle name="level1a 11 4 2" xfId="729"/>
    <cellStyle name="level1a 11 5" xfId="730"/>
    <cellStyle name="level1a 12" xfId="731"/>
    <cellStyle name="level1a 12 2" xfId="732"/>
    <cellStyle name="level1a 12 2 2" xfId="733"/>
    <cellStyle name="level1a 12 3" xfId="734"/>
    <cellStyle name="level1a 13" xfId="735"/>
    <cellStyle name="level1a 14" xfId="736"/>
    <cellStyle name="level1a 15" xfId="737"/>
    <cellStyle name="level1a 2" xfId="738"/>
    <cellStyle name="level1a 2 10" xfId="739"/>
    <cellStyle name="level1a 2 10 2" xfId="740"/>
    <cellStyle name="level1a 2 10 2 2" xfId="741"/>
    <cellStyle name="level1a 2 10 2 2 2" xfId="742"/>
    <cellStyle name="level1a 2 10 2 3" xfId="743"/>
    <cellStyle name="level1a 2 10 3" xfId="744"/>
    <cellStyle name="level1a 2 10 3 2" xfId="745"/>
    <cellStyle name="level1a 2 10 3 2 2" xfId="746"/>
    <cellStyle name="level1a 2 10 3 3" xfId="747"/>
    <cellStyle name="level1a 2 10 4" xfId="748"/>
    <cellStyle name="level1a 2 10 5" xfId="749"/>
    <cellStyle name="level1a 2 10 5 2" xfId="750"/>
    <cellStyle name="level1a 2 10 6" xfId="751"/>
    <cellStyle name="level1a 2 11" xfId="752"/>
    <cellStyle name="level1a 2 11 2" xfId="753"/>
    <cellStyle name="level1a 2 11 2 2" xfId="754"/>
    <cellStyle name="level1a 2 11 2 2 2" xfId="755"/>
    <cellStyle name="level1a 2 11 2 3" xfId="756"/>
    <cellStyle name="level1a 2 11 3" xfId="757"/>
    <cellStyle name="level1a 2 11 3 2" xfId="758"/>
    <cellStyle name="level1a 2 11 3 2 2" xfId="759"/>
    <cellStyle name="level1a 2 11 3 3" xfId="760"/>
    <cellStyle name="level1a 2 11 4" xfId="761"/>
    <cellStyle name="level1a 2 11 4 2" xfId="762"/>
    <cellStyle name="level1a 2 11 5" xfId="763"/>
    <cellStyle name="level1a 2 12" xfId="764"/>
    <cellStyle name="level1a 2 12 2" xfId="765"/>
    <cellStyle name="level1a 2 12 2 2" xfId="766"/>
    <cellStyle name="level1a 2 12 3" xfId="767"/>
    <cellStyle name="level1a 2 13" xfId="768"/>
    <cellStyle name="level1a 2 14" xfId="769"/>
    <cellStyle name="level1a 2 2" xfId="770"/>
    <cellStyle name="level1a 2 2 10" xfId="771"/>
    <cellStyle name="level1a 2 2 10 2" xfId="772"/>
    <cellStyle name="level1a 2 2 10 2 2" xfId="773"/>
    <cellStyle name="level1a 2 2 10 2 2 2" xfId="774"/>
    <cellStyle name="level1a 2 2 10 2 3" xfId="775"/>
    <cellStyle name="level1a 2 2 10 3" xfId="776"/>
    <cellStyle name="level1a 2 2 10 3 2" xfId="777"/>
    <cellStyle name="level1a 2 2 10 3 2 2" xfId="778"/>
    <cellStyle name="level1a 2 2 10 3 3" xfId="779"/>
    <cellStyle name="level1a 2 2 10 4" xfId="780"/>
    <cellStyle name="level1a 2 2 10 4 2" xfId="781"/>
    <cellStyle name="level1a 2 2 10 5" xfId="782"/>
    <cellStyle name="level1a 2 2 11" xfId="783"/>
    <cellStyle name="level1a 2 2 11 2" xfId="784"/>
    <cellStyle name="level1a 2 2 11 2 2" xfId="785"/>
    <cellStyle name="level1a 2 2 11 3" xfId="786"/>
    <cellStyle name="level1a 2 2 12" xfId="787"/>
    <cellStyle name="level1a 2 2 2" xfId="788"/>
    <cellStyle name="level1a 2 2 2 10" xfId="789"/>
    <cellStyle name="level1a 2 2 2 2" xfId="790"/>
    <cellStyle name="level1a 2 2 2 2 2" xfId="791"/>
    <cellStyle name="level1a 2 2 2 2 2 2" xfId="792"/>
    <cellStyle name="level1a 2 2 2 2 2 2 2" xfId="793"/>
    <cellStyle name="level1a 2 2 2 2 2 2 2 2" xfId="794"/>
    <cellStyle name="level1a 2 2 2 2 2 2 3" xfId="795"/>
    <cellStyle name="level1a 2 2 2 2 2 3" xfId="796"/>
    <cellStyle name="level1a 2 2 2 2 2 3 2" xfId="797"/>
    <cellStyle name="level1a 2 2 2 2 2 3 2 2" xfId="798"/>
    <cellStyle name="level1a 2 2 2 2 2 3 3" xfId="799"/>
    <cellStyle name="level1a 2 2 2 2 2 4" xfId="800"/>
    <cellStyle name="level1a 2 2 2 2 2 5" xfId="801"/>
    <cellStyle name="level1a 2 2 2 2 2 5 2" xfId="802"/>
    <cellStyle name="level1a 2 2 2 2 3" xfId="803"/>
    <cellStyle name="level1a 2 2 2 2 3 2" xfId="804"/>
    <cellStyle name="level1a 2 2 2 2 3 2 2" xfId="805"/>
    <cellStyle name="level1a 2 2 2 2 3 2 2 2" xfId="806"/>
    <cellStyle name="level1a 2 2 2 2 3 2 3" xfId="807"/>
    <cellStyle name="level1a 2 2 2 2 3 3" xfId="808"/>
    <cellStyle name="level1a 2 2 2 2 3 3 2" xfId="809"/>
    <cellStyle name="level1a 2 2 2 2 3 3 2 2" xfId="810"/>
    <cellStyle name="level1a 2 2 2 2 3 3 3" xfId="811"/>
    <cellStyle name="level1a 2 2 2 2 3 4" xfId="812"/>
    <cellStyle name="level1a 2 2 2 2 3 5" xfId="813"/>
    <cellStyle name="level1a 2 2 2 2 4" xfId="814"/>
    <cellStyle name="level1a 2 2 2 2 4 2" xfId="815"/>
    <cellStyle name="level1a 2 2 2 2 4 2 2" xfId="816"/>
    <cellStyle name="level1a 2 2 2 2 4 2 2 2" xfId="817"/>
    <cellStyle name="level1a 2 2 2 2 4 2 3" xfId="818"/>
    <cellStyle name="level1a 2 2 2 2 4 3" xfId="819"/>
    <cellStyle name="level1a 2 2 2 2 4 3 2" xfId="820"/>
    <cellStyle name="level1a 2 2 2 2 4 3 2 2" xfId="821"/>
    <cellStyle name="level1a 2 2 2 2 4 3 3" xfId="822"/>
    <cellStyle name="level1a 2 2 2 2 4 4" xfId="823"/>
    <cellStyle name="level1a 2 2 2 2 4 5" xfId="824"/>
    <cellStyle name="level1a 2 2 2 2 4 5 2" xfId="825"/>
    <cellStyle name="level1a 2 2 2 2 4 6" xfId="826"/>
    <cellStyle name="level1a 2 2 2 2 5" xfId="827"/>
    <cellStyle name="level1a 2 2 2 2 5 2" xfId="828"/>
    <cellStyle name="level1a 2 2 2 2 5 2 2" xfId="829"/>
    <cellStyle name="level1a 2 2 2 2 5 2 2 2" xfId="830"/>
    <cellStyle name="level1a 2 2 2 2 5 2 3" xfId="831"/>
    <cellStyle name="level1a 2 2 2 2 5 3" xfId="832"/>
    <cellStyle name="level1a 2 2 2 2 5 3 2" xfId="833"/>
    <cellStyle name="level1a 2 2 2 2 5 3 2 2" xfId="834"/>
    <cellStyle name="level1a 2 2 2 2 5 3 3" xfId="835"/>
    <cellStyle name="level1a 2 2 2 2 5 4" xfId="836"/>
    <cellStyle name="level1a 2 2 2 2 5 4 2" xfId="837"/>
    <cellStyle name="level1a 2 2 2 2 5 5" xfId="838"/>
    <cellStyle name="level1a 2 2 2 2 6" xfId="839"/>
    <cellStyle name="level1a 2 2 2 2 6 2" xfId="840"/>
    <cellStyle name="level1a 2 2 2 2 6 2 2" xfId="841"/>
    <cellStyle name="level1a 2 2 2 2 6 2 2 2" xfId="842"/>
    <cellStyle name="level1a 2 2 2 2 6 2 3" xfId="843"/>
    <cellStyle name="level1a 2 2 2 2 6 3" xfId="844"/>
    <cellStyle name="level1a 2 2 2 2 6 3 2" xfId="845"/>
    <cellStyle name="level1a 2 2 2 2 6 3 2 2" xfId="846"/>
    <cellStyle name="level1a 2 2 2 2 6 3 3" xfId="847"/>
    <cellStyle name="level1a 2 2 2 2 6 4" xfId="848"/>
    <cellStyle name="level1a 2 2 2 2 6 4 2" xfId="849"/>
    <cellStyle name="level1a 2 2 2 2 6 5" xfId="850"/>
    <cellStyle name="level1a 2 2 2 2 7" xfId="851"/>
    <cellStyle name="level1a 2 2 2 2 7 2" xfId="852"/>
    <cellStyle name="level1a 2 2 2 2 7 2 2" xfId="853"/>
    <cellStyle name="level1a 2 2 2 2 7 3" xfId="854"/>
    <cellStyle name="level1a 2 2 2 2_STUD aligned by INSTIT" xfId="855"/>
    <cellStyle name="level1a 2 2 2 3" xfId="856"/>
    <cellStyle name="level1a 2 2 2 3 2" xfId="857"/>
    <cellStyle name="level1a 2 2 2 3 2 2" xfId="858"/>
    <cellStyle name="level1a 2 2 2 3 2 2 2" xfId="859"/>
    <cellStyle name="level1a 2 2 2 3 2 2 2 2" xfId="860"/>
    <cellStyle name="level1a 2 2 2 3 2 2 3" xfId="861"/>
    <cellStyle name="level1a 2 2 2 3 2 3" xfId="862"/>
    <cellStyle name="level1a 2 2 2 3 2 3 2" xfId="863"/>
    <cellStyle name="level1a 2 2 2 3 2 3 2 2" xfId="864"/>
    <cellStyle name="level1a 2 2 2 3 2 3 3" xfId="865"/>
    <cellStyle name="level1a 2 2 2 3 2 4" xfId="866"/>
    <cellStyle name="level1a 2 2 2 3 2 5" xfId="867"/>
    <cellStyle name="level1a 2 2 2 3 3" xfId="868"/>
    <cellStyle name="level1a 2 2 2 3 3 2" xfId="869"/>
    <cellStyle name="level1a 2 2 2 3 3 2 2" xfId="870"/>
    <cellStyle name="level1a 2 2 2 3 3 2 2 2" xfId="871"/>
    <cellStyle name="level1a 2 2 2 3 3 2 3" xfId="872"/>
    <cellStyle name="level1a 2 2 2 3 3 3" xfId="873"/>
    <cellStyle name="level1a 2 2 2 3 3 3 2" xfId="874"/>
    <cellStyle name="level1a 2 2 2 3 3 3 2 2" xfId="875"/>
    <cellStyle name="level1a 2 2 2 3 3 3 3" xfId="876"/>
    <cellStyle name="level1a 2 2 2 3 3 4" xfId="877"/>
    <cellStyle name="level1a 2 2 2 3 3 4 2" xfId="878"/>
    <cellStyle name="level1a 2 2 2 3 4" xfId="879"/>
    <cellStyle name="level1a 2 2 2 3 4 2" xfId="880"/>
    <cellStyle name="level1a 2 2 2 3 4 2 2" xfId="881"/>
    <cellStyle name="level1a 2 2 2 3 4 2 2 2" xfId="882"/>
    <cellStyle name="level1a 2 2 2 3 4 2 3" xfId="883"/>
    <cellStyle name="level1a 2 2 2 3 4 3" xfId="884"/>
    <cellStyle name="level1a 2 2 2 3 4 3 2" xfId="885"/>
    <cellStyle name="level1a 2 2 2 3 4 3 2 2" xfId="886"/>
    <cellStyle name="level1a 2 2 2 3 4 3 3" xfId="887"/>
    <cellStyle name="level1a 2 2 2 3 4 4" xfId="888"/>
    <cellStyle name="level1a 2 2 2 3 4 4 2" xfId="889"/>
    <cellStyle name="level1a 2 2 2 3 4 5" xfId="890"/>
    <cellStyle name="level1a 2 2 2 3 5" xfId="891"/>
    <cellStyle name="level1a 2 2 2 3 5 2" xfId="892"/>
    <cellStyle name="level1a 2 2 2 3 5 2 2" xfId="893"/>
    <cellStyle name="level1a 2 2 2 3 5 2 2 2" xfId="894"/>
    <cellStyle name="level1a 2 2 2 3 5 2 3" xfId="895"/>
    <cellStyle name="level1a 2 2 2 3 5 3" xfId="896"/>
    <cellStyle name="level1a 2 2 2 3 5 3 2" xfId="897"/>
    <cellStyle name="level1a 2 2 2 3 5 3 2 2" xfId="898"/>
    <cellStyle name="level1a 2 2 2 3 5 3 3" xfId="899"/>
    <cellStyle name="level1a 2 2 2 3 5 4" xfId="900"/>
    <cellStyle name="level1a 2 2 2 3 5 4 2" xfId="901"/>
    <cellStyle name="level1a 2 2 2 3 5 5" xfId="902"/>
    <cellStyle name="level1a 2 2 2 3 6" xfId="903"/>
    <cellStyle name="level1a 2 2 2 3 6 2" xfId="904"/>
    <cellStyle name="level1a 2 2 2 3 6 2 2" xfId="905"/>
    <cellStyle name="level1a 2 2 2 3 6 2 2 2" xfId="906"/>
    <cellStyle name="level1a 2 2 2 3 6 2 3" xfId="907"/>
    <cellStyle name="level1a 2 2 2 3 6 3" xfId="908"/>
    <cellStyle name="level1a 2 2 2 3 6 3 2" xfId="909"/>
    <cellStyle name="level1a 2 2 2 3 6 3 2 2" xfId="910"/>
    <cellStyle name="level1a 2 2 2 3 6 3 3" xfId="911"/>
    <cellStyle name="level1a 2 2 2 3 6 4" xfId="912"/>
    <cellStyle name="level1a 2 2 2 3 6 4 2" xfId="913"/>
    <cellStyle name="level1a 2 2 2 3 6 5" xfId="914"/>
    <cellStyle name="level1a 2 2 2 3 7" xfId="915"/>
    <cellStyle name="level1a 2 2 2 3 7 2" xfId="916"/>
    <cellStyle name="level1a 2 2 2 3 7 2 2" xfId="917"/>
    <cellStyle name="level1a 2 2 2 3 7 3" xfId="918"/>
    <cellStyle name="level1a 2 2 2 3 8" xfId="919"/>
    <cellStyle name="level1a 2 2 2 3 8 2" xfId="920"/>
    <cellStyle name="level1a 2 2 2 3 8 2 2" xfId="921"/>
    <cellStyle name="level1a 2 2 2 3 8 3" xfId="922"/>
    <cellStyle name="level1a 2 2 2 3_STUD aligned by INSTIT" xfId="923"/>
    <cellStyle name="level1a 2 2 2 4" xfId="924"/>
    <cellStyle name="level1a 2 2 2 4 2" xfId="925"/>
    <cellStyle name="level1a 2 2 2 4 2 2" xfId="926"/>
    <cellStyle name="level1a 2 2 2 4 2 2 2" xfId="927"/>
    <cellStyle name="level1a 2 2 2 4 2 3" xfId="928"/>
    <cellStyle name="level1a 2 2 2 4 3" xfId="929"/>
    <cellStyle name="level1a 2 2 2 4 3 2" xfId="930"/>
    <cellStyle name="level1a 2 2 2 4 3 2 2" xfId="931"/>
    <cellStyle name="level1a 2 2 2 4 3 3" xfId="932"/>
    <cellStyle name="level1a 2 2 2 4 4" xfId="933"/>
    <cellStyle name="level1a 2 2 2 4 5" xfId="934"/>
    <cellStyle name="level1a 2 2 2 4 5 2" xfId="935"/>
    <cellStyle name="level1a 2 2 2 5" xfId="936"/>
    <cellStyle name="level1a 2 2 2 5 2" xfId="937"/>
    <cellStyle name="level1a 2 2 2 5 2 2" xfId="938"/>
    <cellStyle name="level1a 2 2 2 5 2 2 2" xfId="939"/>
    <cellStyle name="level1a 2 2 2 5 2 3" xfId="940"/>
    <cellStyle name="level1a 2 2 2 5 3" xfId="941"/>
    <cellStyle name="level1a 2 2 2 5 3 2" xfId="942"/>
    <cellStyle name="level1a 2 2 2 5 3 2 2" xfId="943"/>
    <cellStyle name="level1a 2 2 2 5 3 3" xfId="944"/>
    <cellStyle name="level1a 2 2 2 5 4" xfId="945"/>
    <cellStyle name="level1a 2 2 2 5 5" xfId="946"/>
    <cellStyle name="level1a 2 2 2 5 5 2" xfId="947"/>
    <cellStyle name="level1a 2 2 2 5 6" xfId="948"/>
    <cellStyle name="level1a 2 2 2 6" xfId="949"/>
    <cellStyle name="level1a 2 2 2 6 2" xfId="950"/>
    <cellStyle name="level1a 2 2 2 6 2 2" xfId="951"/>
    <cellStyle name="level1a 2 2 2 6 2 2 2" xfId="952"/>
    <cellStyle name="level1a 2 2 2 6 2 3" xfId="953"/>
    <cellStyle name="level1a 2 2 2 6 3" xfId="954"/>
    <cellStyle name="level1a 2 2 2 6 3 2" xfId="955"/>
    <cellStyle name="level1a 2 2 2 6 3 2 2" xfId="956"/>
    <cellStyle name="level1a 2 2 2 6 3 3" xfId="957"/>
    <cellStyle name="level1a 2 2 2 6 4" xfId="958"/>
    <cellStyle name="level1a 2 2 2 6 5" xfId="959"/>
    <cellStyle name="level1a 2 2 2 7" xfId="960"/>
    <cellStyle name="level1a 2 2 2 7 2" xfId="961"/>
    <cellStyle name="level1a 2 2 2 7 2 2" xfId="962"/>
    <cellStyle name="level1a 2 2 2 7 2 2 2" xfId="963"/>
    <cellStyle name="level1a 2 2 2 7 2 3" xfId="964"/>
    <cellStyle name="level1a 2 2 2 7 3" xfId="965"/>
    <cellStyle name="level1a 2 2 2 7 3 2" xfId="966"/>
    <cellStyle name="level1a 2 2 2 7 3 2 2" xfId="967"/>
    <cellStyle name="level1a 2 2 2 7 3 3" xfId="968"/>
    <cellStyle name="level1a 2 2 2 7 4" xfId="969"/>
    <cellStyle name="level1a 2 2 2 7 5" xfId="970"/>
    <cellStyle name="level1a 2 2 2 7 5 2" xfId="971"/>
    <cellStyle name="level1a 2 2 2 7 6" xfId="972"/>
    <cellStyle name="level1a 2 2 2 8" xfId="973"/>
    <cellStyle name="level1a 2 2 2 8 2" xfId="974"/>
    <cellStyle name="level1a 2 2 2 8 2 2" xfId="975"/>
    <cellStyle name="level1a 2 2 2 8 2 2 2" xfId="976"/>
    <cellStyle name="level1a 2 2 2 8 2 3" xfId="977"/>
    <cellStyle name="level1a 2 2 2 8 3" xfId="978"/>
    <cellStyle name="level1a 2 2 2 8 3 2" xfId="979"/>
    <cellStyle name="level1a 2 2 2 8 3 2 2" xfId="980"/>
    <cellStyle name="level1a 2 2 2 8 3 3" xfId="981"/>
    <cellStyle name="level1a 2 2 2 8 4" xfId="982"/>
    <cellStyle name="level1a 2 2 2 8 4 2" xfId="983"/>
    <cellStyle name="level1a 2 2 2 8 5" xfId="984"/>
    <cellStyle name="level1a 2 2 2 9" xfId="985"/>
    <cellStyle name="level1a 2 2 2 9 2" xfId="986"/>
    <cellStyle name="level1a 2 2 2 9 2 2" xfId="987"/>
    <cellStyle name="level1a 2 2 2 9 3" xfId="988"/>
    <cellStyle name="level1a 2 2 2_STUD aligned by INSTIT" xfId="989"/>
    <cellStyle name="level1a 2 2 3" xfId="990"/>
    <cellStyle name="level1a 2 2 3 10" xfId="991"/>
    <cellStyle name="level1a 2 2 3 2" xfId="992"/>
    <cellStyle name="level1a 2 2 3 2 2" xfId="993"/>
    <cellStyle name="level1a 2 2 3 2 2 2" xfId="994"/>
    <cellStyle name="level1a 2 2 3 2 2 2 2" xfId="995"/>
    <cellStyle name="level1a 2 2 3 2 2 2 2 2" xfId="996"/>
    <cellStyle name="level1a 2 2 3 2 2 2 3" xfId="997"/>
    <cellStyle name="level1a 2 2 3 2 2 3" xfId="998"/>
    <cellStyle name="level1a 2 2 3 2 2 3 2" xfId="999"/>
    <cellStyle name="level1a 2 2 3 2 2 3 2 2" xfId="1000"/>
    <cellStyle name="level1a 2 2 3 2 2 3 3" xfId="1001"/>
    <cellStyle name="level1a 2 2 3 2 2 4" xfId="1002"/>
    <cellStyle name="level1a 2 2 3 2 2 5" xfId="1003"/>
    <cellStyle name="level1a 2 2 3 2 2 5 2" xfId="1004"/>
    <cellStyle name="level1a 2 2 3 2 3" xfId="1005"/>
    <cellStyle name="level1a 2 2 3 2 3 2" xfId="1006"/>
    <cellStyle name="level1a 2 2 3 2 3 2 2" xfId="1007"/>
    <cellStyle name="level1a 2 2 3 2 3 2 2 2" xfId="1008"/>
    <cellStyle name="level1a 2 2 3 2 3 2 3" xfId="1009"/>
    <cellStyle name="level1a 2 2 3 2 3 3" xfId="1010"/>
    <cellStyle name="level1a 2 2 3 2 3 3 2" xfId="1011"/>
    <cellStyle name="level1a 2 2 3 2 3 3 2 2" xfId="1012"/>
    <cellStyle name="level1a 2 2 3 2 3 3 3" xfId="1013"/>
    <cellStyle name="level1a 2 2 3 2 3 4" xfId="1014"/>
    <cellStyle name="level1a 2 2 3 2 3 5" xfId="1015"/>
    <cellStyle name="level1a 2 2 3 2 4" xfId="1016"/>
    <cellStyle name="level1a 2 2 3 2 4 2" xfId="1017"/>
    <cellStyle name="level1a 2 2 3 2 4 2 2" xfId="1018"/>
    <cellStyle name="level1a 2 2 3 2 4 2 2 2" xfId="1019"/>
    <cellStyle name="level1a 2 2 3 2 4 2 3" xfId="1020"/>
    <cellStyle name="level1a 2 2 3 2 4 3" xfId="1021"/>
    <cellStyle name="level1a 2 2 3 2 4 3 2" xfId="1022"/>
    <cellStyle name="level1a 2 2 3 2 4 3 2 2" xfId="1023"/>
    <cellStyle name="level1a 2 2 3 2 4 3 3" xfId="1024"/>
    <cellStyle name="level1a 2 2 3 2 4 4" xfId="1025"/>
    <cellStyle name="level1a 2 2 3 2 4 5" xfId="1026"/>
    <cellStyle name="level1a 2 2 3 2 4 5 2" xfId="1027"/>
    <cellStyle name="level1a 2 2 3 2 4 6" xfId="1028"/>
    <cellStyle name="level1a 2 2 3 2 5" xfId="1029"/>
    <cellStyle name="level1a 2 2 3 2 5 2" xfId="1030"/>
    <cellStyle name="level1a 2 2 3 2 5 2 2" xfId="1031"/>
    <cellStyle name="level1a 2 2 3 2 5 2 2 2" xfId="1032"/>
    <cellStyle name="level1a 2 2 3 2 5 2 3" xfId="1033"/>
    <cellStyle name="level1a 2 2 3 2 5 3" xfId="1034"/>
    <cellStyle name="level1a 2 2 3 2 5 3 2" xfId="1035"/>
    <cellStyle name="level1a 2 2 3 2 5 3 2 2" xfId="1036"/>
    <cellStyle name="level1a 2 2 3 2 5 3 3" xfId="1037"/>
    <cellStyle name="level1a 2 2 3 2 5 4" xfId="1038"/>
    <cellStyle name="level1a 2 2 3 2 5 4 2" xfId="1039"/>
    <cellStyle name="level1a 2 2 3 2 5 5" xfId="1040"/>
    <cellStyle name="level1a 2 2 3 2 6" xfId="1041"/>
    <cellStyle name="level1a 2 2 3 2 6 2" xfId="1042"/>
    <cellStyle name="level1a 2 2 3 2 6 2 2" xfId="1043"/>
    <cellStyle name="level1a 2 2 3 2 6 2 2 2" xfId="1044"/>
    <cellStyle name="level1a 2 2 3 2 6 2 3" xfId="1045"/>
    <cellStyle name="level1a 2 2 3 2 6 3" xfId="1046"/>
    <cellStyle name="level1a 2 2 3 2 6 3 2" xfId="1047"/>
    <cellStyle name="level1a 2 2 3 2 6 3 2 2" xfId="1048"/>
    <cellStyle name="level1a 2 2 3 2 6 3 3" xfId="1049"/>
    <cellStyle name="level1a 2 2 3 2 6 4" xfId="1050"/>
    <cellStyle name="level1a 2 2 3 2 6 4 2" xfId="1051"/>
    <cellStyle name="level1a 2 2 3 2 6 5" xfId="1052"/>
    <cellStyle name="level1a 2 2 3 2 7" xfId="1053"/>
    <cellStyle name="level1a 2 2 3 2 7 2" xfId="1054"/>
    <cellStyle name="level1a 2 2 3 2 7 2 2" xfId="1055"/>
    <cellStyle name="level1a 2 2 3 2 7 3" xfId="1056"/>
    <cellStyle name="level1a 2 2 3 2_STUD aligned by INSTIT" xfId="1057"/>
    <cellStyle name="level1a 2 2 3 3" xfId="1058"/>
    <cellStyle name="level1a 2 2 3 3 2" xfId="1059"/>
    <cellStyle name="level1a 2 2 3 3 2 2" xfId="1060"/>
    <cellStyle name="level1a 2 2 3 3 2 2 2" xfId="1061"/>
    <cellStyle name="level1a 2 2 3 3 2 2 2 2" xfId="1062"/>
    <cellStyle name="level1a 2 2 3 3 2 2 3" xfId="1063"/>
    <cellStyle name="level1a 2 2 3 3 2 3" xfId="1064"/>
    <cellStyle name="level1a 2 2 3 3 2 3 2" xfId="1065"/>
    <cellStyle name="level1a 2 2 3 3 2 3 2 2" xfId="1066"/>
    <cellStyle name="level1a 2 2 3 3 2 3 3" xfId="1067"/>
    <cellStyle name="level1a 2 2 3 3 2 4" xfId="1068"/>
    <cellStyle name="level1a 2 2 3 3 2 5" xfId="1069"/>
    <cellStyle name="level1a 2 2 3 3 3" xfId="1070"/>
    <cellStyle name="level1a 2 2 3 3 3 2" xfId="1071"/>
    <cellStyle name="level1a 2 2 3 3 3 2 2" xfId="1072"/>
    <cellStyle name="level1a 2 2 3 3 3 2 2 2" xfId="1073"/>
    <cellStyle name="level1a 2 2 3 3 3 2 3" xfId="1074"/>
    <cellStyle name="level1a 2 2 3 3 3 3" xfId="1075"/>
    <cellStyle name="level1a 2 2 3 3 3 3 2" xfId="1076"/>
    <cellStyle name="level1a 2 2 3 3 3 3 2 2" xfId="1077"/>
    <cellStyle name="level1a 2 2 3 3 3 3 3" xfId="1078"/>
    <cellStyle name="level1a 2 2 3 3 3 4" xfId="1079"/>
    <cellStyle name="level1a 2 2 3 3 3 4 2" xfId="1080"/>
    <cellStyle name="level1a 2 2 3 3 4" xfId="1081"/>
    <cellStyle name="level1a 2 2 3 3 4 2" xfId="1082"/>
    <cellStyle name="level1a 2 2 3 3 4 2 2" xfId="1083"/>
    <cellStyle name="level1a 2 2 3 3 4 2 2 2" xfId="1084"/>
    <cellStyle name="level1a 2 2 3 3 4 2 3" xfId="1085"/>
    <cellStyle name="level1a 2 2 3 3 4 3" xfId="1086"/>
    <cellStyle name="level1a 2 2 3 3 4 3 2" xfId="1087"/>
    <cellStyle name="level1a 2 2 3 3 4 3 2 2" xfId="1088"/>
    <cellStyle name="level1a 2 2 3 3 4 3 3" xfId="1089"/>
    <cellStyle name="level1a 2 2 3 3 4 4" xfId="1090"/>
    <cellStyle name="level1a 2 2 3 3 4 4 2" xfId="1091"/>
    <cellStyle name="level1a 2 2 3 3 4 5" xfId="1092"/>
    <cellStyle name="level1a 2 2 3 3 5" xfId="1093"/>
    <cellStyle name="level1a 2 2 3 3 5 2" xfId="1094"/>
    <cellStyle name="level1a 2 2 3 3 5 2 2" xfId="1095"/>
    <cellStyle name="level1a 2 2 3 3 5 2 2 2" xfId="1096"/>
    <cellStyle name="level1a 2 2 3 3 5 2 3" xfId="1097"/>
    <cellStyle name="level1a 2 2 3 3 5 3" xfId="1098"/>
    <cellStyle name="level1a 2 2 3 3 5 3 2" xfId="1099"/>
    <cellStyle name="level1a 2 2 3 3 5 3 2 2" xfId="1100"/>
    <cellStyle name="level1a 2 2 3 3 5 3 3" xfId="1101"/>
    <cellStyle name="level1a 2 2 3 3 5 4" xfId="1102"/>
    <cellStyle name="level1a 2 2 3 3 5 4 2" xfId="1103"/>
    <cellStyle name="level1a 2 2 3 3 5 5" xfId="1104"/>
    <cellStyle name="level1a 2 2 3 3 6" xfId="1105"/>
    <cellStyle name="level1a 2 2 3 3 6 2" xfId="1106"/>
    <cellStyle name="level1a 2 2 3 3 6 2 2" xfId="1107"/>
    <cellStyle name="level1a 2 2 3 3 6 2 2 2" xfId="1108"/>
    <cellStyle name="level1a 2 2 3 3 6 2 3" xfId="1109"/>
    <cellStyle name="level1a 2 2 3 3 6 3" xfId="1110"/>
    <cellStyle name="level1a 2 2 3 3 6 3 2" xfId="1111"/>
    <cellStyle name="level1a 2 2 3 3 6 3 2 2" xfId="1112"/>
    <cellStyle name="level1a 2 2 3 3 6 3 3" xfId="1113"/>
    <cellStyle name="level1a 2 2 3 3 6 4" xfId="1114"/>
    <cellStyle name="level1a 2 2 3 3 6 4 2" xfId="1115"/>
    <cellStyle name="level1a 2 2 3 3 6 5" xfId="1116"/>
    <cellStyle name="level1a 2 2 3 3 7" xfId="1117"/>
    <cellStyle name="level1a 2 2 3 3 7 2" xfId="1118"/>
    <cellStyle name="level1a 2 2 3 3 7 2 2" xfId="1119"/>
    <cellStyle name="level1a 2 2 3 3 7 3" xfId="1120"/>
    <cellStyle name="level1a 2 2 3 3 8" xfId="1121"/>
    <cellStyle name="level1a 2 2 3 3 8 2" xfId="1122"/>
    <cellStyle name="level1a 2 2 3 3 8 2 2" xfId="1123"/>
    <cellStyle name="level1a 2 2 3 3 8 3" xfId="1124"/>
    <cellStyle name="level1a 2 2 3 3_STUD aligned by INSTIT" xfId="1125"/>
    <cellStyle name="level1a 2 2 3 4" xfId="1126"/>
    <cellStyle name="level1a 2 2 3 4 2" xfId="1127"/>
    <cellStyle name="level1a 2 2 3 4 2 2" xfId="1128"/>
    <cellStyle name="level1a 2 2 3 4 2 2 2" xfId="1129"/>
    <cellStyle name="level1a 2 2 3 4 2 3" xfId="1130"/>
    <cellStyle name="level1a 2 2 3 4 3" xfId="1131"/>
    <cellStyle name="level1a 2 2 3 4 3 2" xfId="1132"/>
    <cellStyle name="level1a 2 2 3 4 3 2 2" xfId="1133"/>
    <cellStyle name="level1a 2 2 3 4 3 3" xfId="1134"/>
    <cellStyle name="level1a 2 2 3 4 4" xfId="1135"/>
    <cellStyle name="level1a 2 2 3 4 5" xfId="1136"/>
    <cellStyle name="level1a 2 2 3 4 5 2" xfId="1137"/>
    <cellStyle name="level1a 2 2 3 5" xfId="1138"/>
    <cellStyle name="level1a 2 2 3 5 2" xfId="1139"/>
    <cellStyle name="level1a 2 2 3 5 2 2" xfId="1140"/>
    <cellStyle name="level1a 2 2 3 5 2 2 2" xfId="1141"/>
    <cellStyle name="level1a 2 2 3 5 2 3" xfId="1142"/>
    <cellStyle name="level1a 2 2 3 5 3" xfId="1143"/>
    <cellStyle name="level1a 2 2 3 5 3 2" xfId="1144"/>
    <cellStyle name="level1a 2 2 3 5 3 2 2" xfId="1145"/>
    <cellStyle name="level1a 2 2 3 5 3 3" xfId="1146"/>
    <cellStyle name="level1a 2 2 3 5 4" xfId="1147"/>
    <cellStyle name="level1a 2 2 3 5 5" xfId="1148"/>
    <cellStyle name="level1a 2 2 3 5 5 2" xfId="1149"/>
    <cellStyle name="level1a 2 2 3 5 6" xfId="1150"/>
    <cellStyle name="level1a 2 2 3 6" xfId="1151"/>
    <cellStyle name="level1a 2 2 3 6 2" xfId="1152"/>
    <cellStyle name="level1a 2 2 3 6 2 2" xfId="1153"/>
    <cellStyle name="level1a 2 2 3 6 2 2 2" xfId="1154"/>
    <cellStyle name="level1a 2 2 3 6 2 3" xfId="1155"/>
    <cellStyle name="level1a 2 2 3 6 3" xfId="1156"/>
    <cellStyle name="level1a 2 2 3 6 3 2" xfId="1157"/>
    <cellStyle name="level1a 2 2 3 6 3 2 2" xfId="1158"/>
    <cellStyle name="level1a 2 2 3 6 3 3" xfId="1159"/>
    <cellStyle name="level1a 2 2 3 6 4" xfId="1160"/>
    <cellStyle name="level1a 2 2 3 6 5" xfId="1161"/>
    <cellStyle name="level1a 2 2 3 7" xfId="1162"/>
    <cellStyle name="level1a 2 2 3 7 2" xfId="1163"/>
    <cellStyle name="level1a 2 2 3 7 2 2" xfId="1164"/>
    <cellStyle name="level1a 2 2 3 7 2 2 2" xfId="1165"/>
    <cellStyle name="level1a 2 2 3 7 2 3" xfId="1166"/>
    <cellStyle name="level1a 2 2 3 7 3" xfId="1167"/>
    <cellStyle name="level1a 2 2 3 7 3 2" xfId="1168"/>
    <cellStyle name="level1a 2 2 3 7 3 2 2" xfId="1169"/>
    <cellStyle name="level1a 2 2 3 7 3 3" xfId="1170"/>
    <cellStyle name="level1a 2 2 3 7 4" xfId="1171"/>
    <cellStyle name="level1a 2 2 3 7 5" xfId="1172"/>
    <cellStyle name="level1a 2 2 3 7 5 2" xfId="1173"/>
    <cellStyle name="level1a 2 2 3 7 6" xfId="1174"/>
    <cellStyle name="level1a 2 2 3 8" xfId="1175"/>
    <cellStyle name="level1a 2 2 3 8 2" xfId="1176"/>
    <cellStyle name="level1a 2 2 3 8 2 2" xfId="1177"/>
    <cellStyle name="level1a 2 2 3 8 2 2 2" xfId="1178"/>
    <cellStyle name="level1a 2 2 3 8 2 3" xfId="1179"/>
    <cellStyle name="level1a 2 2 3 8 3" xfId="1180"/>
    <cellStyle name="level1a 2 2 3 8 3 2" xfId="1181"/>
    <cellStyle name="level1a 2 2 3 8 3 2 2" xfId="1182"/>
    <cellStyle name="level1a 2 2 3 8 3 3" xfId="1183"/>
    <cellStyle name="level1a 2 2 3 8 4" xfId="1184"/>
    <cellStyle name="level1a 2 2 3 8 4 2" xfId="1185"/>
    <cellStyle name="level1a 2 2 3 8 5" xfId="1186"/>
    <cellStyle name="level1a 2 2 3 9" xfId="1187"/>
    <cellStyle name="level1a 2 2 3 9 2" xfId="1188"/>
    <cellStyle name="level1a 2 2 3 9 2 2" xfId="1189"/>
    <cellStyle name="level1a 2 2 3 9 3" xfId="1190"/>
    <cellStyle name="level1a 2 2 3_STUD aligned by INSTIT" xfId="1191"/>
    <cellStyle name="level1a 2 2 4" xfId="1192"/>
    <cellStyle name="level1a 2 2 4 2" xfId="1193"/>
    <cellStyle name="level1a 2 2 4 2 2" xfId="1194"/>
    <cellStyle name="level1a 2 2 4 2 2 2" xfId="1195"/>
    <cellStyle name="level1a 2 2 4 2 2 2 2" xfId="1196"/>
    <cellStyle name="level1a 2 2 4 2 2 3" xfId="1197"/>
    <cellStyle name="level1a 2 2 4 2 3" xfId="1198"/>
    <cellStyle name="level1a 2 2 4 2 3 2" xfId="1199"/>
    <cellStyle name="level1a 2 2 4 2 3 2 2" xfId="1200"/>
    <cellStyle name="level1a 2 2 4 2 3 3" xfId="1201"/>
    <cellStyle name="level1a 2 2 4 2 4" xfId="1202"/>
    <cellStyle name="level1a 2 2 4 2 5" xfId="1203"/>
    <cellStyle name="level1a 2 2 4 2 5 2" xfId="1204"/>
    <cellStyle name="level1a 2 2 4 3" xfId="1205"/>
    <cellStyle name="level1a 2 2 4 3 2" xfId="1206"/>
    <cellStyle name="level1a 2 2 4 3 2 2" xfId="1207"/>
    <cellStyle name="level1a 2 2 4 3 2 2 2" xfId="1208"/>
    <cellStyle name="level1a 2 2 4 3 2 3" xfId="1209"/>
    <cellStyle name="level1a 2 2 4 3 3" xfId="1210"/>
    <cellStyle name="level1a 2 2 4 3 3 2" xfId="1211"/>
    <cellStyle name="level1a 2 2 4 3 3 2 2" xfId="1212"/>
    <cellStyle name="level1a 2 2 4 3 3 3" xfId="1213"/>
    <cellStyle name="level1a 2 2 4 3 4" xfId="1214"/>
    <cellStyle name="level1a 2 2 4 3 5" xfId="1215"/>
    <cellStyle name="level1a 2 2 4 4" xfId="1216"/>
    <cellStyle name="level1a 2 2 4 4 2" xfId="1217"/>
    <cellStyle name="level1a 2 2 4 4 2 2" xfId="1218"/>
    <cellStyle name="level1a 2 2 4 4 2 2 2" xfId="1219"/>
    <cellStyle name="level1a 2 2 4 4 2 3" xfId="1220"/>
    <cellStyle name="level1a 2 2 4 4 3" xfId="1221"/>
    <cellStyle name="level1a 2 2 4 4 3 2" xfId="1222"/>
    <cellStyle name="level1a 2 2 4 4 3 2 2" xfId="1223"/>
    <cellStyle name="level1a 2 2 4 4 3 3" xfId="1224"/>
    <cellStyle name="level1a 2 2 4 4 4" xfId="1225"/>
    <cellStyle name="level1a 2 2 4 4 5" xfId="1226"/>
    <cellStyle name="level1a 2 2 4 4 5 2" xfId="1227"/>
    <cellStyle name="level1a 2 2 4 4 6" xfId="1228"/>
    <cellStyle name="level1a 2 2 4 5" xfId="1229"/>
    <cellStyle name="level1a 2 2 4 5 2" xfId="1230"/>
    <cellStyle name="level1a 2 2 4 5 2 2" xfId="1231"/>
    <cellStyle name="level1a 2 2 4 5 2 2 2" xfId="1232"/>
    <cellStyle name="level1a 2 2 4 5 2 3" xfId="1233"/>
    <cellStyle name="level1a 2 2 4 5 3" xfId="1234"/>
    <cellStyle name="level1a 2 2 4 5 3 2" xfId="1235"/>
    <cellStyle name="level1a 2 2 4 5 3 2 2" xfId="1236"/>
    <cellStyle name="level1a 2 2 4 5 3 3" xfId="1237"/>
    <cellStyle name="level1a 2 2 4 5 4" xfId="1238"/>
    <cellStyle name="level1a 2 2 4 5 4 2" xfId="1239"/>
    <cellStyle name="level1a 2 2 4 5 5" xfId="1240"/>
    <cellStyle name="level1a 2 2 4 6" xfId="1241"/>
    <cellStyle name="level1a 2 2 4 6 2" xfId="1242"/>
    <cellStyle name="level1a 2 2 4 6 2 2" xfId="1243"/>
    <cellStyle name="level1a 2 2 4 6 2 2 2" xfId="1244"/>
    <cellStyle name="level1a 2 2 4 6 2 3" xfId="1245"/>
    <cellStyle name="level1a 2 2 4 6 3" xfId="1246"/>
    <cellStyle name="level1a 2 2 4 6 3 2" xfId="1247"/>
    <cellStyle name="level1a 2 2 4 6 3 2 2" xfId="1248"/>
    <cellStyle name="level1a 2 2 4 6 3 3" xfId="1249"/>
    <cellStyle name="level1a 2 2 4 6 4" xfId="1250"/>
    <cellStyle name="level1a 2 2 4 6 4 2" xfId="1251"/>
    <cellStyle name="level1a 2 2 4 6 5" xfId="1252"/>
    <cellStyle name="level1a 2 2 4 7" xfId="1253"/>
    <cellStyle name="level1a 2 2 4 7 2" xfId="1254"/>
    <cellStyle name="level1a 2 2 4 7 2 2" xfId="1255"/>
    <cellStyle name="level1a 2 2 4 7 3" xfId="1256"/>
    <cellStyle name="level1a 2 2 4_STUD aligned by INSTIT" xfId="1257"/>
    <cellStyle name="level1a 2 2 5" xfId="1258"/>
    <cellStyle name="level1a 2 2 5 2" xfId="1259"/>
    <cellStyle name="level1a 2 2 5 2 2" xfId="1260"/>
    <cellStyle name="level1a 2 2 5 2 2 2" xfId="1261"/>
    <cellStyle name="level1a 2 2 5 2 2 2 2" xfId="1262"/>
    <cellStyle name="level1a 2 2 5 2 2 3" xfId="1263"/>
    <cellStyle name="level1a 2 2 5 2 3" xfId="1264"/>
    <cellStyle name="level1a 2 2 5 2 3 2" xfId="1265"/>
    <cellStyle name="level1a 2 2 5 2 3 2 2" xfId="1266"/>
    <cellStyle name="level1a 2 2 5 2 3 3" xfId="1267"/>
    <cellStyle name="level1a 2 2 5 2 4" xfId="1268"/>
    <cellStyle name="level1a 2 2 5 2 5" xfId="1269"/>
    <cellStyle name="level1a 2 2 5 2 5 2" xfId="1270"/>
    <cellStyle name="level1a 2 2 5 2 6" xfId="1271"/>
    <cellStyle name="level1a 2 2 5 3" xfId="1272"/>
    <cellStyle name="level1a 2 2 5 3 2" xfId="1273"/>
    <cellStyle name="level1a 2 2 5 3 2 2" xfId="1274"/>
    <cellStyle name="level1a 2 2 5 3 2 2 2" xfId="1275"/>
    <cellStyle name="level1a 2 2 5 3 2 3" xfId="1276"/>
    <cellStyle name="level1a 2 2 5 3 3" xfId="1277"/>
    <cellStyle name="level1a 2 2 5 3 3 2" xfId="1278"/>
    <cellStyle name="level1a 2 2 5 3 3 2 2" xfId="1279"/>
    <cellStyle name="level1a 2 2 5 3 3 3" xfId="1280"/>
    <cellStyle name="level1a 2 2 5 3 4" xfId="1281"/>
    <cellStyle name="level1a 2 2 5 4" xfId="1282"/>
    <cellStyle name="level1a 2 2 5 4 2" xfId="1283"/>
    <cellStyle name="level1a 2 2 5 4 2 2" xfId="1284"/>
    <cellStyle name="level1a 2 2 5 4 2 2 2" xfId="1285"/>
    <cellStyle name="level1a 2 2 5 4 2 3" xfId="1286"/>
    <cellStyle name="level1a 2 2 5 4 3" xfId="1287"/>
    <cellStyle name="level1a 2 2 5 4 3 2" xfId="1288"/>
    <cellStyle name="level1a 2 2 5 4 3 2 2" xfId="1289"/>
    <cellStyle name="level1a 2 2 5 4 3 3" xfId="1290"/>
    <cellStyle name="level1a 2 2 5 4 4" xfId="1291"/>
    <cellStyle name="level1a 2 2 5 4 4 2" xfId="1292"/>
    <cellStyle name="level1a 2 2 5 4 5" xfId="1293"/>
    <cellStyle name="level1a 2 2 5 5" xfId="1294"/>
    <cellStyle name="level1a 2 2 5 5 2" xfId="1295"/>
    <cellStyle name="level1a 2 2 5 5 2 2" xfId="1296"/>
    <cellStyle name="level1a 2 2 5 5 2 2 2" xfId="1297"/>
    <cellStyle name="level1a 2 2 5 5 2 3" xfId="1298"/>
    <cellStyle name="level1a 2 2 5 5 3" xfId="1299"/>
    <cellStyle name="level1a 2 2 5 5 3 2" xfId="1300"/>
    <cellStyle name="level1a 2 2 5 5 3 2 2" xfId="1301"/>
    <cellStyle name="level1a 2 2 5 5 3 3" xfId="1302"/>
    <cellStyle name="level1a 2 2 5 5 4" xfId="1303"/>
    <cellStyle name="level1a 2 2 5 5 4 2" xfId="1304"/>
    <cellStyle name="level1a 2 2 5 5 5" xfId="1305"/>
    <cellStyle name="level1a 2 2 5 6" xfId="1306"/>
    <cellStyle name="level1a 2 2 5 6 2" xfId="1307"/>
    <cellStyle name="level1a 2 2 5 6 2 2" xfId="1308"/>
    <cellStyle name="level1a 2 2 5 6 2 2 2" xfId="1309"/>
    <cellStyle name="level1a 2 2 5 6 2 3" xfId="1310"/>
    <cellStyle name="level1a 2 2 5 6 3" xfId="1311"/>
    <cellStyle name="level1a 2 2 5 6 3 2" xfId="1312"/>
    <cellStyle name="level1a 2 2 5 6 3 2 2" xfId="1313"/>
    <cellStyle name="level1a 2 2 5 6 3 3" xfId="1314"/>
    <cellStyle name="level1a 2 2 5 6 4" xfId="1315"/>
    <cellStyle name="level1a 2 2 5 6 4 2" xfId="1316"/>
    <cellStyle name="level1a 2 2 5 6 5" xfId="1317"/>
    <cellStyle name="level1a 2 2 5 7" xfId="1318"/>
    <cellStyle name="level1a 2 2 5 7 2" xfId="1319"/>
    <cellStyle name="level1a 2 2 5 7 2 2" xfId="1320"/>
    <cellStyle name="level1a 2 2 5 7 3" xfId="1321"/>
    <cellStyle name="level1a 2 2 5 8" xfId="1322"/>
    <cellStyle name="level1a 2 2 5 8 2" xfId="1323"/>
    <cellStyle name="level1a 2 2 5 8 2 2" xfId="1324"/>
    <cellStyle name="level1a 2 2 5 8 3" xfId="1325"/>
    <cellStyle name="level1a 2 2 5_STUD aligned by INSTIT" xfId="1326"/>
    <cellStyle name="level1a 2 2 6" xfId="1327"/>
    <cellStyle name="level1a 2 2 6 2" xfId="1328"/>
    <cellStyle name="level1a 2 2 6 2 2" xfId="1329"/>
    <cellStyle name="level1a 2 2 6 2 2 2" xfId="1330"/>
    <cellStyle name="level1a 2 2 6 2 3" xfId="1331"/>
    <cellStyle name="level1a 2 2 6 3" xfId="1332"/>
    <cellStyle name="level1a 2 2 6 3 2" xfId="1333"/>
    <cellStyle name="level1a 2 2 6 3 2 2" xfId="1334"/>
    <cellStyle name="level1a 2 2 6 3 3" xfId="1335"/>
    <cellStyle name="level1a 2 2 6 4" xfId="1336"/>
    <cellStyle name="level1a 2 2 6 5" xfId="1337"/>
    <cellStyle name="level1a 2 2 6 5 2" xfId="1338"/>
    <cellStyle name="level1a 2 2 7" xfId="1339"/>
    <cellStyle name="level1a 2 2 7 2" xfId="1340"/>
    <cellStyle name="level1a 2 2 7 2 2" xfId="1341"/>
    <cellStyle name="level1a 2 2 7 2 2 2" xfId="1342"/>
    <cellStyle name="level1a 2 2 7 2 3" xfId="1343"/>
    <cellStyle name="level1a 2 2 7 3" xfId="1344"/>
    <cellStyle name="level1a 2 2 7 3 2" xfId="1345"/>
    <cellStyle name="level1a 2 2 7 3 2 2" xfId="1346"/>
    <cellStyle name="level1a 2 2 7 3 3" xfId="1347"/>
    <cellStyle name="level1a 2 2 7 4" xfId="1348"/>
    <cellStyle name="level1a 2 2 7 5" xfId="1349"/>
    <cellStyle name="level1a 2 2 7 5 2" xfId="1350"/>
    <cellStyle name="level1a 2 2 7 6" xfId="1351"/>
    <cellStyle name="level1a 2 2 8" xfId="1352"/>
    <cellStyle name="level1a 2 2 8 2" xfId="1353"/>
    <cellStyle name="level1a 2 2 8 2 2" xfId="1354"/>
    <cellStyle name="level1a 2 2 8 2 2 2" xfId="1355"/>
    <cellStyle name="level1a 2 2 8 2 3" xfId="1356"/>
    <cellStyle name="level1a 2 2 8 3" xfId="1357"/>
    <cellStyle name="level1a 2 2 8 3 2" xfId="1358"/>
    <cellStyle name="level1a 2 2 8 3 2 2" xfId="1359"/>
    <cellStyle name="level1a 2 2 8 3 3" xfId="1360"/>
    <cellStyle name="level1a 2 2 8 4" xfId="1361"/>
    <cellStyle name="level1a 2 2 8 5" xfId="1362"/>
    <cellStyle name="level1a 2 2 9" xfId="1363"/>
    <cellStyle name="level1a 2 2 9 2" xfId="1364"/>
    <cellStyle name="level1a 2 2 9 2 2" xfId="1365"/>
    <cellStyle name="level1a 2 2 9 2 2 2" xfId="1366"/>
    <cellStyle name="level1a 2 2 9 2 3" xfId="1367"/>
    <cellStyle name="level1a 2 2 9 3" xfId="1368"/>
    <cellStyle name="level1a 2 2 9 3 2" xfId="1369"/>
    <cellStyle name="level1a 2 2 9 3 2 2" xfId="1370"/>
    <cellStyle name="level1a 2 2 9 3 3" xfId="1371"/>
    <cellStyle name="level1a 2 2 9 4" xfId="1372"/>
    <cellStyle name="level1a 2 2 9 5" xfId="1373"/>
    <cellStyle name="level1a 2 2 9 5 2" xfId="1374"/>
    <cellStyle name="level1a 2 2 9 6" xfId="1375"/>
    <cellStyle name="level1a 2 2_STUD aligned by INSTIT" xfId="1376"/>
    <cellStyle name="level1a 2 3" xfId="1377"/>
    <cellStyle name="level1a 2 3 10" xfId="1378"/>
    <cellStyle name="level1a 2 3 10 2" xfId="1379"/>
    <cellStyle name="level1a 2 3 10 2 2" xfId="1380"/>
    <cellStyle name="level1a 2 3 10 3" xfId="1381"/>
    <cellStyle name="level1a 2 3 11" xfId="1382"/>
    <cellStyle name="level1a 2 3 2" xfId="1383"/>
    <cellStyle name="level1a 2 3 2 10" xfId="1384"/>
    <cellStyle name="level1a 2 3 2 2" xfId="1385"/>
    <cellStyle name="level1a 2 3 2 2 2" xfId="1386"/>
    <cellStyle name="level1a 2 3 2 2 2 2" xfId="1387"/>
    <cellStyle name="level1a 2 3 2 2 2 2 2" xfId="1388"/>
    <cellStyle name="level1a 2 3 2 2 2 2 2 2" xfId="1389"/>
    <cellStyle name="level1a 2 3 2 2 2 2 3" xfId="1390"/>
    <cellStyle name="level1a 2 3 2 2 2 3" xfId="1391"/>
    <cellStyle name="level1a 2 3 2 2 2 3 2" xfId="1392"/>
    <cellStyle name="level1a 2 3 2 2 2 3 2 2" xfId="1393"/>
    <cellStyle name="level1a 2 3 2 2 2 3 3" xfId="1394"/>
    <cellStyle name="level1a 2 3 2 2 2 4" xfId="1395"/>
    <cellStyle name="level1a 2 3 2 2 2 5" xfId="1396"/>
    <cellStyle name="level1a 2 3 2 2 2 5 2" xfId="1397"/>
    <cellStyle name="level1a 2 3 2 2 3" xfId="1398"/>
    <cellStyle name="level1a 2 3 2 2 3 2" xfId="1399"/>
    <cellStyle name="level1a 2 3 2 2 3 2 2" xfId="1400"/>
    <cellStyle name="level1a 2 3 2 2 3 2 2 2" xfId="1401"/>
    <cellStyle name="level1a 2 3 2 2 3 2 3" xfId="1402"/>
    <cellStyle name="level1a 2 3 2 2 3 3" xfId="1403"/>
    <cellStyle name="level1a 2 3 2 2 3 3 2" xfId="1404"/>
    <cellStyle name="level1a 2 3 2 2 3 3 2 2" xfId="1405"/>
    <cellStyle name="level1a 2 3 2 2 3 3 3" xfId="1406"/>
    <cellStyle name="level1a 2 3 2 2 3 4" xfId="1407"/>
    <cellStyle name="level1a 2 3 2 2 3 5" xfId="1408"/>
    <cellStyle name="level1a 2 3 2 2 4" xfId="1409"/>
    <cellStyle name="level1a 2 3 2 2 4 2" xfId="1410"/>
    <cellStyle name="level1a 2 3 2 2 4 2 2" xfId="1411"/>
    <cellStyle name="level1a 2 3 2 2 4 2 2 2" xfId="1412"/>
    <cellStyle name="level1a 2 3 2 2 4 2 3" xfId="1413"/>
    <cellStyle name="level1a 2 3 2 2 4 3" xfId="1414"/>
    <cellStyle name="level1a 2 3 2 2 4 3 2" xfId="1415"/>
    <cellStyle name="level1a 2 3 2 2 4 3 2 2" xfId="1416"/>
    <cellStyle name="level1a 2 3 2 2 4 3 3" xfId="1417"/>
    <cellStyle name="level1a 2 3 2 2 4 4" xfId="1418"/>
    <cellStyle name="level1a 2 3 2 2 4 5" xfId="1419"/>
    <cellStyle name="level1a 2 3 2 2 4 5 2" xfId="1420"/>
    <cellStyle name="level1a 2 3 2 2 4 6" xfId="1421"/>
    <cellStyle name="level1a 2 3 2 2 5" xfId="1422"/>
    <cellStyle name="level1a 2 3 2 2 5 2" xfId="1423"/>
    <cellStyle name="level1a 2 3 2 2 5 2 2" xfId="1424"/>
    <cellStyle name="level1a 2 3 2 2 5 2 2 2" xfId="1425"/>
    <cellStyle name="level1a 2 3 2 2 5 2 3" xfId="1426"/>
    <cellStyle name="level1a 2 3 2 2 5 3" xfId="1427"/>
    <cellStyle name="level1a 2 3 2 2 5 3 2" xfId="1428"/>
    <cellStyle name="level1a 2 3 2 2 5 3 2 2" xfId="1429"/>
    <cellStyle name="level1a 2 3 2 2 5 3 3" xfId="1430"/>
    <cellStyle name="level1a 2 3 2 2 5 4" xfId="1431"/>
    <cellStyle name="level1a 2 3 2 2 5 4 2" xfId="1432"/>
    <cellStyle name="level1a 2 3 2 2 5 5" xfId="1433"/>
    <cellStyle name="level1a 2 3 2 2 6" xfId="1434"/>
    <cellStyle name="level1a 2 3 2 2 6 2" xfId="1435"/>
    <cellStyle name="level1a 2 3 2 2 6 2 2" xfId="1436"/>
    <cellStyle name="level1a 2 3 2 2 6 2 2 2" xfId="1437"/>
    <cellStyle name="level1a 2 3 2 2 6 2 3" xfId="1438"/>
    <cellStyle name="level1a 2 3 2 2 6 3" xfId="1439"/>
    <cellStyle name="level1a 2 3 2 2 6 3 2" xfId="1440"/>
    <cellStyle name="level1a 2 3 2 2 6 3 2 2" xfId="1441"/>
    <cellStyle name="level1a 2 3 2 2 6 3 3" xfId="1442"/>
    <cellStyle name="level1a 2 3 2 2 6 4" xfId="1443"/>
    <cellStyle name="level1a 2 3 2 2 6 4 2" xfId="1444"/>
    <cellStyle name="level1a 2 3 2 2 6 5" xfId="1445"/>
    <cellStyle name="level1a 2 3 2 2 7" xfId="1446"/>
    <cellStyle name="level1a 2 3 2 2 7 2" xfId="1447"/>
    <cellStyle name="level1a 2 3 2 2 7 2 2" xfId="1448"/>
    <cellStyle name="level1a 2 3 2 2 7 3" xfId="1449"/>
    <cellStyle name="level1a 2 3 2 2_STUD aligned by INSTIT" xfId="1450"/>
    <cellStyle name="level1a 2 3 2 3" xfId="1451"/>
    <cellStyle name="level1a 2 3 2 3 2" xfId="1452"/>
    <cellStyle name="level1a 2 3 2 3 2 2" xfId="1453"/>
    <cellStyle name="level1a 2 3 2 3 2 2 2" xfId="1454"/>
    <cellStyle name="level1a 2 3 2 3 2 2 2 2" xfId="1455"/>
    <cellStyle name="level1a 2 3 2 3 2 2 3" xfId="1456"/>
    <cellStyle name="level1a 2 3 2 3 2 3" xfId="1457"/>
    <cellStyle name="level1a 2 3 2 3 2 3 2" xfId="1458"/>
    <cellStyle name="level1a 2 3 2 3 2 3 2 2" xfId="1459"/>
    <cellStyle name="level1a 2 3 2 3 2 3 3" xfId="1460"/>
    <cellStyle name="level1a 2 3 2 3 2 4" xfId="1461"/>
    <cellStyle name="level1a 2 3 2 3 2 5" xfId="1462"/>
    <cellStyle name="level1a 2 3 2 3 3" xfId="1463"/>
    <cellStyle name="level1a 2 3 2 3 3 2" xfId="1464"/>
    <cellStyle name="level1a 2 3 2 3 3 2 2" xfId="1465"/>
    <cellStyle name="level1a 2 3 2 3 3 2 2 2" xfId="1466"/>
    <cellStyle name="level1a 2 3 2 3 3 2 3" xfId="1467"/>
    <cellStyle name="level1a 2 3 2 3 3 3" xfId="1468"/>
    <cellStyle name="level1a 2 3 2 3 3 3 2" xfId="1469"/>
    <cellStyle name="level1a 2 3 2 3 3 3 2 2" xfId="1470"/>
    <cellStyle name="level1a 2 3 2 3 3 3 3" xfId="1471"/>
    <cellStyle name="level1a 2 3 2 3 3 4" xfId="1472"/>
    <cellStyle name="level1a 2 3 2 3 3 4 2" xfId="1473"/>
    <cellStyle name="level1a 2 3 2 3 4" xfId="1474"/>
    <cellStyle name="level1a 2 3 2 3 4 2" xfId="1475"/>
    <cellStyle name="level1a 2 3 2 3 4 2 2" xfId="1476"/>
    <cellStyle name="level1a 2 3 2 3 4 2 2 2" xfId="1477"/>
    <cellStyle name="level1a 2 3 2 3 4 2 3" xfId="1478"/>
    <cellStyle name="level1a 2 3 2 3 4 3" xfId="1479"/>
    <cellStyle name="level1a 2 3 2 3 4 3 2" xfId="1480"/>
    <cellStyle name="level1a 2 3 2 3 4 3 2 2" xfId="1481"/>
    <cellStyle name="level1a 2 3 2 3 4 3 3" xfId="1482"/>
    <cellStyle name="level1a 2 3 2 3 4 4" xfId="1483"/>
    <cellStyle name="level1a 2 3 2 3 4 4 2" xfId="1484"/>
    <cellStyle name="level1a 2 3 2 3 4 5" xfId="1485"/>
    <cellStyle name="level1a 2 3 2 3 5" xfId="1486"/>
    <cellStyle name="level1a 2 3 2 3 5 2" xfId="1487"/>
    <cellStyle name="level1a 2 3 2 3 5 2 2" xfId="1488"/>
    <cellStyle name="level1a 2 3 2 3 5 2 2 2" xfId="1489"/>
    <cellStyle name="level1a 2 3 2 3 5 2 3" xfId="1490"/>
    <cellStyle name="level1a 2 3 2 3 5 3" xfId="1491"/>
    <cellStyle name="level1a 2 3 2 3 5 3 2" xfId="1492"/>
    <cellStyle name="level1a 2 3 2 3 5 3 2 2" xfId="1493"/>
    <cellStyle name="level1a 2 3 2 3 5 3 3" xfId="1494"/>
    <cellStyle name="level1a 2 3 2 3 5 4" xfId="1495"/>
    <cellStyle name="level1a 2 3 2 3 5 4 2" xfId="1496"/>
    <cellStyle name="level1a 2 3 2 3 5 5" xfId="1497"/>
    <cellStyle name="level1a 2 3 2 3 6" xfId="1498"/>
    <cellStyle name="level1a 2 3 2 3 6 2" xfId="1499"/>
    <cellStyle name="level1a 2 3 2 3 6 2 2" xfId="1500"/>
    <cellStyle name="level1a 2 3 2 3 6 2 2 2" xfId="1501"/>
    <cellStyle name="level1a 2 3 2 3 6 2 3" xfId="1502"/>
    <cellStyle name="level1a 2 3 2 3 6 3" xfId="1503"/>
    <cellStyle name="level1a 2 3 2 3 6 3 2" xfId="1504"/>
    <cellStyle name="level1a 2 3 2 3 6 3 2 2" xfId="1505"/>
    <cellStyle name="level1a 2 3 2 3 6 3 3" xfId="1506"/>
    <cellStyle name="level1a 2 3 2 3 6 4" xfId="1507"/>
    <cellStyle name="level1a 2 3 2 3 6 4 2" xfId="1508"/>
    <cellStyle name="level1a 2 3 2 3 6 5" xfId="1509"/>
    <cellStyle name="level1a 2 3 2 3 7" xfId="1510"/>
    <cellStyle name="level1a 2 3 2 3 7 2" xfId="1511"/>
    <cellStyle name="level1a 2 3 2 3 7 2 2" xfId="1512"/>
    <cellStyle name="level1a 2 3 2 3 7 3" xfId="1513"/>
    <cellStyle name="level1a 2 3 2 3 8" xfId="1514"/>
    <cellStyle name="level1a 2 3 2 3 8 2" xfId="1515"/>
    <cellStyle name="level1a 2 3 2 3 8 2 2" xfId="1516"/>
    <cellStyle name="level1a 2 3 2 3 8 3" xfId="1517"/>
    <cellStyle name="level1a 2 3 2 3_STUD aligned by INSTIT" xfId="1518"/>
    <cellStyle name="level1a 2 3 2 4" xfId="1519"/>
    <cellStyle name="level1a 2 3 2 4 2" xfId="1520"/>
    <cellStyle name="level1a 2 3 2 4 2 2" xfId="1521"/>
    <cellStyle name="level1a 2 3 2 4 2 2 2" xfId="1522"/>
    <cellStyle name="level1a 2 3 2 4 2 3" xfId="1523"/>
    <cellStyle name="level1a 2 3 2 4 3" xfId="1524"/>
    <cellStyle name="level1a 2 3 2 4 3 2" xfId="1525"/>
    <cellStyle name="level1a 2 3 2 4 3 2 2" xfId="1526"/>
    <cellStyle name="level1a 2 3 2 4 3 3" xfId="1527"/>
    <cellStyle name="level1a 2 3 2 4 4" xfId="1528"/>
    <cellStyle name="level1a 2 3 2 4 5" xfId="1529"/>
    <cellStyle name="level1a 2 3 2 4 5 2" xfId="1530"/>
    <cellStyle name="level1a 2 3 2 5" xfId="1531"/>
    <cellStyle name="level1a 2 3 2 5 2" xfId="1532"/>
    <cellStyle name="level1a 2 3 2 5 2 2" xfId="1533"/>
    <cellStyle name="level1a 2 3 2 5 2 2 2" xfId="1534"/>
    <cellStyle name="level1a 2 3 2 5 2 3" xfId="1535"/>
    <cellStyle name="level1a 2 3 2 5 3" xfId="1536"/>
    <cellStyle name="level1a 2 3 2 5 3 2" xfId="1537"/>
    <cellStyle name="level1a 2 3 2 5 3 2 2" xfId="1538"/>
    <cellStyle name="level1a 2 3 2 5 3 3" xfId="1539"/>
    <cellStyle name="level1a 2 3 2 5 4" xfId="1540"/>
    <cellStyle name="level1a 2 3 2 5 5" xfId="1541"/>
    <cellStyle name="level1a 2 3 2 5 5 2" xfId="1542"/>
    <cellStyle name="level1a 2 3 2 5 6" xfId="1543"/>
    <cellStyle name="level1a 2 3 2 6" xfId="1544"/>
    <cellStyle name="level1a 2 3 2 6 2" xfId="1545"/>
    <cellStyle name="level1a 2 3 2 6 2 2" xfId="1546"/>
    <cellStyle name="level1a 2 3 2 6 2 2 2" xfId="1547"/>
    <cellStyle name="level1a 2 3 2 6 2 3" xfId="1548"/>
    <cellStyle name="level1a 2 3 2 6 3" xfId="1549"/>
    <cellStyle name="level1a 2 3 2 6 3 2" xfId="1550"/>
    <cellStyle name="level1a 2 3 2 6 3 2 2" xfId="1551"/>
    <cellStyle name="level1a 2 3 2 6 3 3" xfId="1552"/>
    <cellStyle name="level1a 2 3 2 6 4" xfId="1553"/>
    <cellStyle name="level1a 2 3 2 6 5" xfId="1554"/>
    <cellStyle name="level1a 2 3 2 7" xfId="1555"/>
    <cellStyle name="level1a 2 3 2 7 2" xfId="1556"/>
    <cellStyle name="level1a 2 3 2 7 2 2" xfId="1557"/>
    <cellStyle name="level1a 2 3 2 7 2 2 2" xfId="1558"/>
    <cellStyle name="level1a 2 3 2 7 2 3" xfId="1559"/>
    <cellStyle name="level1a 2 3 2 7 3" xfId="1560"/>
    <cellStyle name="level1a 2 3 2 7 3 2" xfId="1561"/>
    <cellStyle name="level1a 2 3 2 7 3 2 2" xfId="1562"/>
    <cellStyle name="level1a 2 3 2 7 3 3" xfId="1563"/>
    <cellStyle name="level1a 2 3 2 7 4" xfId="1564"/>
    <cellStyle name="level1a 2 3 2 7 5" xfId="1565"/>
    <cellStyle name="level1a 2 3 2 7 5 2" xfId="1566"/>
    <cellStyle name="level1a 2 3 2 7 6" xfId="1567"/>
    <cellStyle name="level1a 2 3 2 8" xfId="1568"/>
    <cellStyle name="level1a 2 3 2 8 2" xfId="1569"/>
    <cellStyle name="level1a 2 3 2 8 2 2" xfId="1570"/>
    <cellStyle name="level1a 2 3 2 8 2 2 2" xfId="1571"/>
    <cellStyle name="level1a 2 3 2 8 2 3" xfId="1572"/>
    <cellStyle name="level1a 2 3 2 8 3" xfId="1573"/>
    <cellStyle name="level1a 2 3 2 8 3 2" xfId="1574"/>
    <cellStyle name="level1a 2 3 2 8 3 2 2" xfId="1575"/>
    <cellStyle name="level1a 2 3 2 8 3 3" xfId="1576"/>
    <cellStyle name="level1a 2 3 2 8 4" xfId="1577"/>
    <cellStyle name="level1a 2 3 2 8 4 2" xfId="1578"/>
    <cellStyle name="level1a 2 3 2 8 5" xfId="1579"/>
    <cellStyle name="level1a 2 3 2 9" xfId="1580"/>
    <cellStyle name="level1a 2 3 2 9 2" xfId="1581"/>
    <cellStyle name="level1a 2 3 2 9 2 2" xfId="1582"/>
    <cellStyle name="level1a 2 3 2 9 3" xfId="1583"/>
    <cellStyle name="level1a 2 3 2_STUD aligned by INSTIT" xfId="1584"/>
    <cellStyle name="level1a 2 3 3" xfId="1585"/>
    <cellStyle name="level1a 2 3 3 2" xfId="1586"/>
    <cellStyle name="level1a 2 3 3 2 2" xfId="1587"/>
    <cellStyle name="level1a 2 3 3 2 2 2" xfId="1588"/>
    <cellStyle name="level1a 2 3 3 2 2 2 2" xfId="1589"/>
    <cellStyle name="level1a 2 3 3 2 2 3" xfId="1590"/>
    <cellStyle name="level1a 2 3 3 2 3" xfId="1591"/>
    <cellStyle name="level1a 2 3 3 2 3 2" xfId="1592"/>
    <cellStyle name="level1a 2 3 3 2 3 2 2" xfId="1593"/>
    <cellStyle name="level1a 2 3 3 2 3 3" xfId="1594"/>
    <cellStyle name="level1a 2 3 3 2 4" xfId="1595"/>
    <cellStyle name="level1a 2 3 3 2 5" xfId="1596"/>
    <cellStyle name="level1a 2 3 3 2 5 2" xfId="1597"/>
    <cellStyle name="level1a 2 3 3 3" xfId="1598"/>
    <cellStyle name="level1a 2 3 3 3 2" xfId="1599"/>
    <cellStyle name="level1a 2 3 3 3 2 2" xfId="1600"/>
    <cellStyle name="level1a 2 3 3 3 2 2 2" xfId="1601"/>
    <cellStyle name="level1a 2 3 3 3 2 3" xfId="1602"/>
    <cellStyle name="level1a 2 3 3 3 3" xfId="1603"/>
    <cellStyle name="level1a 2 3 3 3 3 2" xfId="1604"/>
    <cellStyle name="level1a 2 3 3 3 3 2 2" xfId="1605"/>
    <cellStyle name="level1a 2 3 3 3 3 3" xfId="1606"/>
    <cellStyle name="level1a 2 3 3 3 4" xfId="1607"/>
    <cellStyle name="level1a 2 3 3 3 5" xfId="1608"/>
    <cellStyle name="level1a 2 3 3 4" xfId="1609"/>
    <cellStyle name="level1a 2 3 3 4 2" xfId="1610"/>
    <cellStyle name="level1a 2 3 3 4 2 2" xfId="1611"/>
    <cellStyle name="level1a 2 3 3 4 2 2 2" xfId="1612"/>
    <cellStyle name="level1a 2 3 3 4 2 3" xfId="1613"/>
    <cellStyle name="level1a 2 3 3 4 3" xfId="1614"/>
    <cellStyle name="level1a 2 3 3 4 3 2" xfId="1615"/>
    <cellStyle name="level1a 2 3 3 4 3 2 2" xfId="1616"/>
    <cellStyle name="level1a 2 3 3 4 3 3" xfId="1617"/>
    <cellStyle name="level1a 2 3 3 4 4" xfId="1618"/>
    <cellStyle name="level1a 2 3 3 4 5" xfId="1619"/>
    <cellStyle name="level1a 2 3 3 4 5 2" xfId="1620"/>
    <cellStyle name="level1a 2 3 3 4 6" xfId="1621"/>
    <cellStyle name="level1a 2 3 3 5" xfId="1622"/>
    <cellStyle name="level1a 2 3 3 5 2" xfId="1623"/>
    <cellStyle name="level1a 2 3 3 5 2 2" xfId="1624"/>
    <cellStyle name="level1a 2 3 3 5 2 2 2" xfId="1625"/>
    <cellStyle name="level1a 2 3 3 5 2 3" xfId="1626"/>
    <cellStyle name="level1a 2 3 3 5 3" xfId="1627"/>
    <cellStyle name="level1a 2 3 3 5 3 2" xfId="1628"/>
    <cellStyle name="level1a 2 3 3 5 3 2 2" xfId="1629"/>
    <cellStyle name="level1a 2 3 3 5 3 3" xfId="1630"/>
    <cellStyle name="level1a 2 3 3 5 4" xfId="1631"/>
    <cellStyle name="level1a 2 3 3 5 4 2" xfId="1632"/>
    <cellStyle name="level1a 2 3 3 5 5" xfId="1633"/>
    <cellStyle name="level1a 2 3 3 6" xfId="1634"/>
    <cellStyle name="level1a 2 3 3 6 2" xfId="1635"/>
    <cellStyle name="level1a 2 3 3 6 2 2" xfId="1636"/>
    <cellStyle name="level1a 2 3 3 6 2 2 2" xfId="1637"/>
    <cellStyle name="level1a 2 3 3 6 2 3" xfId="1638"/>
    <cellStyle name="level1a 2 3 3 6 3" xfId="1639"/>
    <cellStyle name="level1a 2 3 3 6 3 2" xfId="1640"/>
    <cellStyle name="level1a 2 3 3 6 3 2 2" xfId="1641"/>
    <cellStyle name="level1a 2 3 3 6 3 3" xfId="1642"/>
    <cellStyle name="level1a 2 3 3 6 4" xfId="1643"/>
    <cellStyle name="level1a 2 3 3 6 4 2" xfId="1644"/>
    <cellStyle name="level1a 2 3 3 6 5" xfId="1645"/>
    <cellStyle name="level1a 2 3 3 7" xfId="1646"/>
    <cellStyle name="level1a 2 3 3 7 2" xfId="1647"/>
    <cellStyle name="level1a 2 3 3 7 2 2" xfId="1648"/>
    <cellStyle name="level1a 2 3 3 7 3" xfId="1649"/>
    <cellStyle name="level1a 2 3 3_STUD aligned by INSTIT" xfId="1650"/>
    <cellStyle name="level1a 2 3 4" xfId="1651"/>
    <cellStyle name="level1a 2 3 4 2" xfId="1652"/>
    <cellStyle name="level1a 2 3 4 2 2" xfId="1653"/>
    <cellStyle name="level1a 2 3 4 2 2 2" xfId="1654"/>
    <cellStyle name="level1a 2 3 4 2 2 2 2" xfId="1655"/>
    <cellStyle name="level1a 2 3 4 2 2 3" xfId="1656"/>
    <cellStyle name="level1a 2 3 4 2 3" xfId="1657"/>
    <cellStyle name="level1a 2 3 4 2 3 2" xfId="1658"/>
    <cellStyle name="level1a 2 3 4 2 3 2 2" xfId="1659"/>
    <cellStyle name="level1a 2 3 4 2 3 3" xfId="1660"/>
    <cellStyle name="level1a 2 3 4 2 4" xfId="1661"/>
    <cellStyle name="level1a 2 3 4 2 5" xfId="1662"/>
    <cellStyle name="level1a 2 3 4 2 5 2" xfId="1663"/>
    <cellStyle name="level1a 2 3 4 2 6" xfId="1664"/>
    <cellStyle name="level1a 2 3 4 3" xfId="1665"/>
    <cellStyle name="level1a 2 3 4 3 2" xfId="1666"/>
    <cellStyle name="level1a 2 3 4 3 2 2" xfId="1667"/>
    <cellStyle name="level1a 2 3 4 3 2 2 2" xfId="1668"/>
    <cellStyle name="level1a 2 3 4 3 2 3" xfId="1669"/>
    <cellStyle name="level1a 2 3 4 3 3" xfId="1670"/>
    <cellStyle name="level1a 2 3 4 3 3 2" xfId="1671"/>
    <cellStyle name="level1a 2 3 4 3 3 2 2" xfId="1672"/>
    <cellStyle name="level1a 2 3 4 3 3 3" xfId="1673"/>
    <cellStyle name="level1a 2 3 4 3 4" xfId="1674"/>
    <cellStyle name="level1a 2 3 4 4" xfId="1675"/>
    <cellStyle name="level1a 2 3 4 4 2" xfId="1676"/>
    <cellStyle name="level1a 2 3 4 4 2 2" xfId="1677"/>
    <cellStyle name="level1a 2 3 4 4 2 2 2" xfId="1678"/>
    <cellStyle name="level1a 2 3 4 4 2 3" xfId="1679"/>
    <cellStyle name="level1a 2 3 4 4 3" xfId="1680"/>
    <cellStyle name="level1a 2 3 4 4 3 2" xfId="1681"/>
    <cellStyle name="level1a 2 3 4 4 3 2 2" xfId="1682"/>
    <cellStyle name="level1a 2 3 4 4 3 3" xfId="1683"/>
    <cellStyle name="level1a 2 3 4 4 4" xfId="1684"/>
    <cellStyle name="level1a 2 3 4 4 4 2" xfId="1685"/>
    <cellStyle name="level1a 2 3 4 4 5" xfId="1686"/>
    <cellStyle name="level1a 2 3 4 5" xfId="1687"/>
    <cellStyle name="level1a 2 3 4 5 2" xfId="1688"/>
    <cellStyle name="level1a 2 3 4 5 2 2" xfId="1689"/>
    <cellStyle name="level1a 2 3 4 5 2 2 2" xfId="1690"/>
    <cellStyle name="level1a 2 3 4 5 2 3" xfId="1691"/>
    <cellStyle name="level1a 2 3 4 5 3" xfId="1692"/>
    <cellStyle name="level1a 2 3 4 5 3 2" xfId="1693"/>
    <cellStyle name="level1a 2 3 4 5 3 2 2" xfId="1694"/>
    <cellStyle name="level1a 2 3 4 5 3 3" xfId="1695"/>
    <cellStyle name="level1a 2 3 4 5 4" xfId="1696"/>
    <cellStyle name="level1a 2 3 4 5 4 2" xfId="1697"/>
    <cellStyle name="level1a 2 3 4 5 5" xfId="1698"/>
    <cellStyle name="level1a 2 3 4 6" xfId="1699"/>
    <cellStyle name="level1a 2 3 4 6 2" xfId="1700"/>
    <cellStyle name="level1a 2 3 4 6 2 2" xfId="1701"/>
    <cellStyle name="level1a 2 3 4 6 2 2 2" xfId="1702"/>
    <cellStyle name="level1a 2 3 4 6 2 3" xfId="1703"/>
    <cellStyle name="level1a 2 3 4 6 3" xfId="1704"/>
    <cellStyle name="level1a 2 3 4 6 3 2" xfId="1705"/>
    <cellStyle name="level1a 2 3 4 6 3 2 2" xfId="1706"/>
    <cellStyle name="level1a 2 3 4 6 3 3" xfId="1707"/>
    <cellStyle name="level1a 2 3 4 6 4" xfId="1708"/>
    <cellStyle name="level1a 2 3 4 6 4 2" xfId="1709"/>
    <cellStyle name="level1a 2 3 4 6 5" xfId="1710"/>
    <cellStyle name="level1a 2 3 4 7" xfId="1711"/>
    <cellStyle name="level1a 2 3 4 7 2" xfId="1712"/>
    <cellStyle name="level1a 2 3 4 7 2 2" xfId="1713"/>
    <cellStyle name="level1a 2 3 4 7 3" xfId="1714"/>
    <cellStyle name="level1a 2 3 4 8" xfId="1715"/>
    <cellStyle name="level1a 2 3 4 8 2" xfId="1716"/>
    <cellStyle name="level1a 2 3 4 8 2 2" xfId="1717"/>
    <cellStyle name="level1a 2 3 4 8 3" xfId="1718"/>
    <cellStyle name="level1a 2 3 4_STUD aligned by INSTIT" xfId="1719"/>
    <cellStyle name="level1a 2 3 5" xfId="1720"/>
    <cellStyle name="level1a 2 3 5 2" xfId="1721"/>
    <cellStyle name="level1a 2 3 5 2 2" xfId="1722"/>
    <cellStyle name="level1a 2 3 5 2 2 2" xfId="1723"/>
    <cellStyle name="level1a 2 3 5 2 3" xfId="1724"/>
    <cellStyle name="level1a 2 3 5 3" xfId="1725"/>
    <cellStyle name="level1a 2 3 5 3 2" xfId="1726"/>
    <cellStyle name="level1a 2 3 5 3 2 2" xfId="1727"/>
    <cellStyle name="level1a 2 3 5 3 3" xfId="1728"/>
    <cellStyle name="level1a 2 3 5 4" xfId="1729"/>
    <cellStyle name="level1a 2 3 5 5" xfId="1730"/>
    <cellStyle name="level1a 2 3 5 5 2" xfId="1731"/>
    <cellStyle name="level1a 2 3 6" xfId="1732"/>
    <cellStyle name="level1a 2 3 6 2" xfId="1733"/>
    <cellStyle name="level1a 2 3 6 2 2" xfId="1734"/>
    <cellStyle name="level1a 2 3 6 2 2 2" xfId="1735"/>
    <cellStyle name="level1a 2 3 6 2 3" xfId="1736"/>
    <cellStyle name="level1a 2 3 6 3" xfId="1737"/>
    <cellStyle name="level1a 2 3 6 3 2" xfId="1738"/>
    <cellStyle name="level1a 2 3 6 3 2 2" xfId="1739"/>
    <cellStyle name="level1a 2 3 6 3 3" xfId="1740"/>
    <cellStyle name="level1a 2 3 6 4" xfId="1741"/>
    <cellStyle name="level1a 2 3 6 5" xfId="1742"/>
    <cellStyle name="level1a 2 3 6 5 2" xfId="1743"/>
    <cellStyle name="level1a 2 3 6 6" xfId="1744"/>
    <cellStyle name="level1a 2 3 7" xfId="1745"/>
    <cellStyle name="level1a 2 3 7 2" xfId="1746"/>
    <cellStyle name="level1a 2 3 7 2 2" xfId="1747"/>
    <cellStyle name="level1a 2 3 7 2 2 2" xfId="1748"/>
    <cellStyle name="level1a 2 3 7 2 3" xfId="1749"/>
    <cellStyle name="level1a 2 3 7 3" xfId="1750"/>
    <cellStyle name="level1a 2 3 7 3 2" xfId="1751"/>
    <cellStyle name="level1a 2 3 7 3 2 2" xfId="1752"/>
    <cellStyle name="level1a 2 3 7 3 3" xfId="1753"/>
    <cellStyle name="level1a 2 3 7 4" xfId="1754"/>
    <cellStyle name="level1a 2 3 7 5" xfId="1755"/>
    <cellStyle name="level1a 2 3 8" xfId="1756"/>
    <cellStyle name="level1a 2 3 8 2" xfId="1757"/>
    <cellStyle name="level1a 2 3 8 2 2" xfId="1758"/>
    <cellStyle name="level1a 2 3 8 2 2 2" xfId="1759"/>
    <cellStyle name="level1a 2 3 8 2 3" xfId="1760"/>
    <cellStyle name="level1a 2 3 8 3" xfId="1761"/>
    <cellStyle name="level1a 2 3 8 3 2" xfId="1762"/>
    <cellStyle name="level1a 2 3 8 3 2 2" xfId="1763"/>
    <cellStyle name="level1a 2 3 8 3 3" xfId="1764"/>
    <cellStyle name="level1a 2 3 8 4" xfId="1765"/>
    <cellStyle name="level1a 2 3 8 5" xfId="1766"/>
    <cellStyle name="level1a 2 3 8 5 2" xfId="1767"/>
    <cellStyle name="level1a 2 3 8 6" xfId="1768"/>
    <cellStyle name="level1a 2 3 9" xfId="1769"/>
    <cellStyle name="level1a 2 3 9 2" xfId="1770"/>
    <cellStyle name="level1a 2 3 9 2 2" xfId="1771"/>
    <cellStyle name="level1a 2 3 9 2 2 2" xfId="1772"/>
    <cellStyle name="level1a 2 3 9 2 3" xfId="1773"/>
    <cellStyle name="level1a 2 3 9 3" xfId="1774"/>
    <cellStyle name="level1a 2 3 9 3 2" xfId="1775"/>
    <cellStyle name="level1a 2 3 9 3 2 2" xfId="1776"/>
    <cellStyle name="level1a 2 3 9 3 3" xfId="1777"/>
    <cellStyle name="level1a 2 3 9 4" xfId="1778"/>
    <cellStyle name="level1a 2 3 9 4 2" xfId="1779"/>
    <cellStyle name="level1a 2 3 9 5" xfId="1780"/>
    <cellStyle name="level1a 2 3_STUD aligned by INSTIT" xfId="1781"/>
    <cellStyle name="level1a 2 4" xfId="1782"/>
    <cellStyle name="level1a 2 4 10" xfId="1783"/>
    <cellStyle name="level1a 2 4 2" xfId="1784"/>
    <cellStyle name="level1a 2 4 2 2" xfId="1785"/>
    <cellStyle name="level1a 2 4 2 2 2" xfId="1786"/>
    <cellStyle name="level1a 2 4 2 2 2 2" xfId="1787"/>
    <cellStyle name="level1a 2 4 2 2 2 2 2" xfId="1788"/>
    <cellStyle name="level1a 2 4 2 2 2 3" xfId="1789"/>
    <cellStyle name="level1a 2 4 2 2 3" xfId="1790"/>
    <cellStyle name="level1a 2 4 2 2 3 2" xfId="1791"/>
    <cellStyle name="level1a 2 4 2 2 3 2 2" xfId="1792"/>
    <cellStyle name="level1a 2 4 2 2 3 3" xfId="1793"/>
    <cellStyle name="level1a 2 4 2 2 4" xfId="1794"/>
    <cellStyle name="level1a 2 4 2 2 5" xfId="1795"/>
    <cellStyle name="level1a 2 4 2 2 5 2" xfId="1796"/>
    <cellStyle name="level1a 2 4 2 3" xfId="1797"/>
    <cellStyle name="level1a 2 4 2 3 2" xfId="1798"/>
    <cellStyle name="level1a 2 4 2 3 2 2" xfId="1799"/>
    <cellStyle name="level1a 2 4 2 3 2 2 2" xfId="1800"/>
    <cellStyle name="level1a 2 4 2 3 2 3" xfId="1801"/>
    <cellStyle name="level1a 2 4 2 3 3" xfId="1802"/>
    <cellStyle name="level1a 2 4 2 3 3 2" xfId="1803"/>
    <cellStyle name="level1a 2 4 2 3 3 2 2" xfId="1804"/>
    <cellStyle name="level1a 2 4 2 3 3 3" xfId="1805"/>
    <cellStyle name="level1a 2 4 2 3 4" xfId="1806"/>
    <cellStyle name="level1a 2 4 2 3 5" xfId="1807"/>
    <cellStyle name="level1a 2 4 2 4" xfId="1808"/>
    <cellStyle name="level1a 2 4 2 4 2" xfId="1809"/>
    <cellStyle name="level1a 2 4 2 4 2 2" xfId="1810"/>
    <cellStyle name="level1a 2 4 2 4 2 2 2" xfId="1811"/>
    <cellStyle name="level1a 2 4 2 4 2 3" xfId="1812"/>
    <cellStyle name="level1a 2 4 2 4 3" xfId="1813"/>
    <cellStyle name="level1a 2 4 2 4 3 2" xfId="1814"/>
    <cellStyle name="level1a 2 4 2 4 3 2 2" xfId="1815"/>
    <cellStyle name="level1a 2 4 2 4 3 3" xfId="1816"/>
    <cellStyle name="level1a 2 4 2 4 4" xfId="1817"/>
    <cellStyle name="level1a 2 4 2 4 5" xfId="1818"/>
    <cellStyle name="level1a 2 4 2 4 5 2" xfId="1819"/>
    <cellStyle name="level1a 2 4 2 4 6" xfId="1820"/>
    <cellStyle name="level1a 2 4 2 5" xfId="1821"/>
    <cellStyle name="level1a 2 4 2 5 2" xfId="1822"/>
    <cellStyle name="level1a 2 4 2 5 2 2" xfId="1823"/>
    <cellStyle name="level1a 2 4 2 5 2 2 2" xfId="1824"/>
    <cellStyle name="level1a 2 4 2 5 2 3" xfId="1825"/>
    <cellStyle name="level1a 2 4 2 5 3" xfId="1826"/>
    <cellStyle name="level1a 2 4 2 5 3 2" xfId="1827"/>
    <cellStyle name="level1a 2 4 2 5 3 2 2" xfId="1828"/>
    <cellStyle name="level1a 2 4 2 5 3 3" xfId="1829"/>
    <cellStyle name="level1a 2 4 2 5 4" xfId="1830"/>
    <cellStyle name="level1a 2 4 2 5 4 2" xfId="1831"/>
    <cellStyle name="level1a 2 4 2 5 5" xfId="1832"/>
    <cellStyle name="level1a 2 4 2 6" xfId="1833"/>
    <cellStyle name="level1a 2 4 2 6 2" xfId="1834"/>
    <cellStyle name="level1a 2 4 2 6 2 2" xfId="1835"/>
    <cellStyle name="level1a 2 4 2 6 2 2 2" xfId="1836"/>
    <cellStyle name="level1a 2 4 2 6 2 3" xfId="1837"/>
    <cellStyle name="level1a 2 4 2 6 3" xfId="1838"/>
    <cellStyle name="level1a 2 4 2 6 3 2" xfId="1839"/>
    <cellStyle name="level1a 2 4 2 6 3 2 2" xfId="1840"/>
    <cellStyle name="level1a 2 4 2 6 3 3" xfId="1841"/>
    <cellStyle name="level1a 2 4 2 6 4" xfId="1842"/>
    <cellStyle name="level1a 2 4 2 6 4 2" xfId="1843"/>
    <cellStyle name="level1a 2 4 2 6 5" xfId="1844"/>
    <cellStyle name="level1a 2 4 2 7" xfId="1845"/>
    <cellStyle name="level1a 2 4 2 7 2" xfId="1846"/>
    <cellStyle name="level1a 2 4 2 7 2 2" xfId="1847"/>
    <cellStyle name="level1a 2 4 2 7 3" xfId="1848"/>
    <cellStyle name="level1a 2 4 2_STUD aligned by INSTIT" xfId="1849"/>
    <cellStyle name="level1a 2 4 3" xfId="1850"/>
    <cellStyle name="level1a 2 4 3 2" xfId="1851"/>
    <cellStyle name="level1a 2 4 3 2 2" xfId="1852"/>
    <cellStyle name="level1a 2 4 3 2 2 2" xfId="1853"/>
    <cellStyle name="level1a 2 4 3 2 2 2 2" xfId="1854"/>
    <cellStyle name="level1a 2 4 3 2 2 3" xfId="1855"/>
    <cellStyle name="level1a 2 4 3 2 3" xfId="1856"/>
    <cellStyle name="level1a 2 4 3 2 3 2" xfId="1857"/>
    <cellStyle name="level1a 2 4 3 2 3 2 2" xfId="1858"/>
    <cellStyle name="level1a 2 4 3 2 3 3" xfId="1859"/>
    <cellStyle name="level1a 2 4 3 2 4" xfId="1860"/>
    <cellStyle name="level1a 2 4 3 2 5" xfId="1861"/>
    <cellStyle name="level1a 2 4 3 3" xfId="1862"/>
    <cellStyle name="level1a 2 4 3 3 2" xfId="1863"/>
    <cellStyle name="level1a 2 4 3 3 2 2" xfId="1864"/>
    <cellStyle name="level1a 2 4 3 3 2 2 2" xfId="1865"/>
    <cellStyle name="level1a 2 4 3 3 2 3" xfId="1866"/>
    <cellStyle name="level1a 2 4 3 3 3" xfId="1867"/>
    <cellStyle name="level1a 2 4 3 3 3 2" xfId="1868"/>
    <cellStyle name="level1a 2 4 3 3 3 2 2" xfId="1869"/>
    <cellStyle name="level1a 2 4 3 3 3 3" xfId="1870"/>
    <cellStyle name="level1a 2 4 3 3 4" xfId="1871"/>
    <cellStyle name="level1a 2 4 3 3 4 2" xfId="1872"/>
    <cellStyle name="level1a 2 4 3 4" xfId="1873"/>
    <cellStyle name="level1a 2 4 3 4 2" xfId="1874"/>
    <cellStyle name="level1a 2 4 3 4 2 2" xfId="1875"/>
    <cellStyle name="level1a 2 4 3 4 2 2 2" xfId="1876"/>
    <cellStyle name="level1a 2 4 3 4 2 3" xfId="1877"/>
    <cellStyle name="level1a 2 4 3 4 3" xfId="1878"/>
    <cellStyle name="level1a 2 4 3 4 3 2" xfId="1879"/>
    <cellStyle name="level1a 2 4 3 4 3 2 2" xfId="1880"/>
    <cellStyle name="level1a 2 4 3 4 3 3" xfId="1881"/>
    <cellStyle name="level1a 2 4 3 4 4" xfId="1882"/>
    <cellStyle name="level1a 2 4 3 4 4 2" xfId="1883"/>
    <cellStyle name="level1a 2 4 3 4 5" xfId="1884"/>
    <cellStyle name="level1a 2 4 3 5" xfId="1885"/>
    <cellStyle name="level1a 2 4 3 5 2" xfId="1886"/>
    <cellStyle name="level1a 2 4 3 5 2 2" xfId="1887"/>
    <cellStyle name="level1a 2 4 3 5 2 2 2" xfId="1888"/>
    <cellStyle name="level1a 2 4 3 5 2 3" xfId="1889"/>
    <cellStyle name="level1a 2 4 3 5 3" xfId="1890"/>
    <cellStyle name="level1a 2 4 3 5 3 2" xfId="1891"/>
    <cellStyle name="level1a 2 4 3 5 3 2 2" xfId="1892"/>
    <cellStyle name="level1a 2 4 3 5 3 3" xfId="1893"/>
    <cellStyle name="level1a 2 4 3 5 4" xfId="1894"/>
    <cellStyle name="level1a 2 4 3 5 4 2" xfId="1895"/>
    <cellStyle name="level1a 2 4 3 5 5" xfId="1896"/>
    <cellStyle name="level1a 2 4 3 6" xfId="1897"/>
    <cellStyle name="level1a 2 4 3 6 2" xfId="1898"/>
    <cellStyle name="level1a 2 4 3 6 2 2" xfId="1899"/>
    <cellStyle name="level1a 2 4 3 6 2 2 2" xfId="1900"/>
    <cellStyle name="level1a 2 4 3 6 2 3" xfId="1901"/>
    <cellStyle name="level1a 2 4 3 6 3" xfId="1902"/>
    <cellStyle name="level1a 2 4 3 6 3 2" xfId="1903"/>
    <cellStyle name="level1a 2 4 3 6 3 2 2" xfId="1904"/>
    <cellStyle name="level1a 2 4 3 6 3 3" xfId="1905"/>
    <cellStyle name="level1a 2 4 3 6 4" xfId="1906"/>
    <cellStyle name="level1a 2 4 3 6 4 2" xfId="1907"/>
    <cellStyle name="level1a 2 4 3 6 5" xfId="1908"/>
    <cellStyle name="level1a 2 4 3 7" xfId="1909"/>
    <cellStyle name="level1a 2 4 3 7 2" xfId="1910"/>
    <cellStyle name="level1a 2 4 3 7 2 2" xfId="1911"/>
    <cellStyle name="level1a 2 4 3 7 3" xfId="1912"/>
    <cellStyle name="level1a 2 4 3 8" xfId="1913"/>
    <cellStyle name="level1a 2 4 3 8 2" xfId="1914"/>
    <cellStyle name="level1a 2 4 3 8 2 2" xfId="1915"/>
    <cellStyle name="level1a 2 4 3 8 3" xfId="1916"/>
    <cellStyle name="level1a 2 4 3_STUD aligned by INSTIT" xfId="1917"/>
    <cellStyle name="level1a 2 4 4" xfId="1918"/>
    <cellStyle name="level1a 2 4 4 2" xfId="1919"/>
    <cellStyle name="level1a 2 4 4 2 2" xfId="1920"/>
    <cellStyle name="level1a 2 4 4 2 2 2" xfId="1921"/>
    <cellStyle name="level1a 2 4 4 2 3" xfId="1922"/>
    <cellStyle name="level1a 2 4 4 3" xfId="1923"/>
    <cellStyle name="level1a 2 4 4 3 2" xfId="1924"/>
    <cellStyle name="level1a 2 4 4 3 2 2" xfId="1925"/>
    <cellStyle name="level1a 2 4 4 3 3" xfId="1926"/>
    <cellStyle name="level1a 2 4 4 4" xfId="1927"/>
    <cellStyle name="level1a 2 4 4 5" xfId="1928"/>
    <cellStyle name="level1a 2 4 4 5 2" xfId="1929"/>
    <cellStyle name="level1a 2 4 5" xfId="1930"/>
    <cellStyle name="level1a 2 4 5 2" xfId="1931"/>
    <cellStyle name="level1a 2 4 5 2 2" xfId="1932"/>
    <cellStyle name="level1a 2 4 5 2 2 2" xfId="1933"/>
    <cellStyle name="level1a 2 4 5 2 3" xfId="1934"/>
    <cellStyle name="level1a 2 4 5 3" xfId="1935"/>
    <cellStyle name="level1a 2 4 5 3 2" xfId="1936"/>
    <cellStyle name="level1a 2 4 5 3 2 2" xfId="1937"/>
    <cellStyle name="level1a 2 4 5 3 3" xfId="1938"/>
    <cellStyle name="level1a 2 4 5 4" xfId="1939"/>
    <cellStyle name="level1a 2 4 5 5" xfId="1940"/>
    <cellStyle name="level1a 2 4 5 5 2" xfId="1941"/>
    <cellStyle name="level1a 2 4 5 6" xfId="1942"/>
    <cellStyle name="level1a 2 4 6" xfId="1943"/>
    <cellStyle name="level1a 2 4 6 2" xfId="1944"/>
    <cellStyle name="level1a 2 4 6 2 2" xfId="1945"/>
    <cellStyle name="level1a 2 4 6 2 2 2" xfId="1946"/>
    <cellStyle name="level1a 2 4 6 2 3" xfId="1947"/>
    <cellStyle name="level1a 2 4 6 3" xfId="1948"/>
    <cellStyle name="level1a 2 4 6 3 2" xfId="1949"/>
    <cellStyle name="level1a 2 4 6 3 2 2" xfId="1950"/>
    <cellStyle name="level1a 2 4 6 3 3" xfId="1951"/>
    <cellStyle name="level1a 2 4 6 4" xfId="1952"/>
    <cellStyle name="level1a 2 4 6 5" xfId="1953"/>
    <cellStyle name="level1a 2 4 7" xfId="1954"/>
    <cellStyle name="level1a 2 4 7 2" xfId="1955"/>
    <cellStyle name="level1a 2 4 7 2 2" xfId="1956"/>
    <cellStyle name="level1a 2 4 7 2 2 2" xfId="1957"/>
    <cellStyle name="level1a 2 4 7 2 3" xfId="1958"/>
    <cellStyle name="level1a 2 4 7 3" xfId="1959"/>
    <cellStyle name="level1a 2 4 7 3 2" xfId="1960"/>
    <cellStyle name="level1a 2 4 7 3 2 2" xfId="1961"/>
    <cellStyle name="level1a 2 4 7 3 3" xfId="1962"/>
    <cellStyle name="level1a 2 4 7 4" xfId="1963"/>
    <cellStyle name="level1a 2 4 7 5" xfId="1964"/>
    <cellStyle name="level1a 2 4 7 5 2" xfId="1965"/>
    <cellStyle name="level1a 2 4 7 6" xfId="1966"/>
    <cellStyle name="level1a 2 4 8" xfId="1967"/>
    <cellStyle name="level1a 2 4 8 2" xfId="1968"/>
    <cellStyle name="level1a 2 4 8 2 2" xfId="1969"/>
    <cellStyle name="level1a 2 4 8 2 2 2" xfId="1970"/>
    <cellStyle name="level1a 2 4 8 2 3" xfId="1971"/>
    <cellStyle name="level1a 2 4 8 3" xfId="1972"/>
    <cellStyle name="level1a 2 4 8 3 2" xfId="1973"/>
    <cellStyle name="level1a 2 4 8 3 2 2" xfId="1974"/>
    <cellStyle name="level1a 2 4 8 3 3" xfId="1975"/>
    <cellStyle name="level1a 2 4 8 4" xfId="1976"/>
    <cellStyle name="level1a 2 4 8 4 2" xfId="1977"/>
    <cellStyle name="level1a 2 4 8 5" xfId="1978"/>
    <cellStyle name="level1a 2 4 9" xfId="1979"/>
    <cellStyle name="level1a 2 4 9 2" xfId="1980"/>
    <cellStyle name="level1a 2 4 9 2 2" xfId="1981"/>
    <cellStyle name="level1a 2 4 9 3" xfId="1982"/>
    <cellStyle name="level1a 2 4_STUD aligned by INSTIT" xfId="1983"/>
    <cellStyle name="level1a 2 5" xfId="1984"/>
    <cellStyle name="level1a 2 5 2" xfId="1985"/>
    <cellStyle name="level1a 2 5 2 2" xfId="1986"/>
    <cellStyle name="level1a 2 5 2 2 2" xfId="1987"/>
    <cellStyle name="level1a 2 5 2 2 2 2" xfId="1988"/>
    <cellStyle name="level1a 2 5 2 2 3" xfId="1989"/>
    <cellStyle name="level1a 2 5 2 3" xfId="1990"/>
    <cellStyle name="level1a 2 5 2 3 2" xfId="1991"/>
    <cellStyle name="level1a 2 5 2 3 2 2" xfId="1992"/>
    <cellStyle name="level1a 2 5 2 3 3" xfId="1993"/>
    <cellStyle name="level1a 2 5 2 4" xfId="1994"/>
    <cellStyle name="level1a 2 5 2 5" xfId="1995"/>
    <cellStyle name="level1a 2 5 2 5 2" xfId="1996"/>
    <cellStyle name="level1a 2 5 3" xfId="1997"/>
    <cellStyle name="level1a 2 5 3 2" xfId="1998"/>
    <cellStyle name="level1a 2 5 3 2 2" xfId="1999"/>
    <cellStyle name="level1a 2 5 3 2 2 2" xfId="2000"/>
    <cellStyle name="level1a 2 5 3 2 3" xfId="2001"/>
    <cellStyle name="level1a 2 5 3 3" xfId="2002"/>
    <cellStyle name="level1a 2 5 3 3 2" xfId="2003"/>
    <cellStyle name="level1a 2 5 3 3 2 2" xfId="2004"/>
    <cellStyle name="level1a 2 5 3 3 3" xfId="2005"/>
    <cellStyle name="level1a 2 5 3 4" xfId="2006"/>
    <cellStyle name="level1a 2 5 3 5" xfId="2007"/>
    <cellStyle name="level1a 2 5 4" xfId="2008"/>
    <cellStyle name="level1a 2 5 4 2" xfId="2009"/>
    <cellStyle name="level1a 2 5 4 2 2" xfId="2010"/>
    <cellStyle name="level1a 2 5 4 2 2 2" xfId="2011"/>
    <cellStyle name="level1a 2 5 4 2 3" xfId="2012"/>
    <cellStyle name="level1a 2 5 4 3" xfId="2013"/>
    <cellStyle name="level1a 2 5 4 3 2" xfId="2014"/>
    <cellStyle name="level1a 2 5 4 3 2 2" xfId="2015"/>
    <cellStyle name="level1a 2 5 4 3 3" xfId="2016"/>
    <cellStyle name="level1a 2 5 4 4" xfId="2017"/>
    <cellStyle name="level1a 2 5 4 5" xfId="2018"/>
    <cellStyle name="level1a 2 5 4 5 2" xfId="2019"/>
    <cellStyle name="level1a 2 5 4 6" xfId="2020"/>
    <cellStyle name="level1a 2 5 5" xfId="2021"/>
    <cellStyle name="level1a 2 5 5 2" xfId="2022"/>
    <cellStyle name="level1a 2 5 5 2 2" xfId="2023"/>
    <cellStyle name="level1a 2 5 5 2 2 2" xfId="2024"/>
    <cellStyle name="level1a 2 5 5 2 3" xfId="2025"/>
    <cellStyle name="level1a 2 5 5 3" xfId="2026"/>
    <cellStyle name="level1a 2 5 5 3 2" xfId="2027"/>
    <cellStyle name="level1a 2 5 5 3 2 2" xfId="2028"/>
    <cellStyle name="level1a 2 5 5 3 3" xfId="2029"/>
    <cellStyle name="level1a 2 5 5 4" xfId="2030"/>
    <cellStyle name="level1a 2 5 5 4 2" xfId="2031"/>
    <cellStyle name="level1a 2 5 5 5" xfId="2032"/>
    <cellStyle name="level1a 2 5 6" xfId="2033"/>
    <cellStyle name="level1a 2 5 6 2" xfId="2034"/>
    <cellStyle name="level1a 2 5 6 2 2" xfId="2035"/>
    <cellStyle name="level1a 2 5 6 2 2 2" xfId="2036"/>
    <cellStyle name="level1a 2 5 6 2 3" xfId="2037"/>
    <cellStyle name="level1a 2 5 6 3" xfId="2038"/>
    <cellStyle name="level1a 2 5 6 3 2" xfId="2039"/>
    <cellStyle name="level1a 2 5 6 3 2 2" xfId="2040"/>
    <cellStyle name="level1a 2 5 6 3 3" xfId="2041"/>
    <cellStyle name="level1a 2 5 6 4" xfId="2042"/>
    <cellStyle name="level1a 2 5 6 4 2" xfId="2043"/>
    <cellStyle name="level1a 2 5 6 5" xfId="2044"/>
    <cellStyle name="level1a 2 5 7" xfId="2045"/>
    <cellStyle name="level1a 2 5 7 2" xfId="2046"/>
    <cellStyle name="level1a 2 5 7 2 2" xfId="2047"/>
    <cellStyle name="level1a 2 5 7 3" xfId="2048"/>
    <cellStyle name="level1a 2 5_STUD aligned by INSTIT" xfId="2049"/>
    <cellStyle name="level1a 2 6" xfId="2050"/>
    <cellStyle name="level1a 2 6 2" xfId="2051"/>
    <cellStyle name="level1a 2 6 2 2" xfId="2052"/>
    <cellStyle name="level1a 2 6 2 2 2" xfId="2053"/>
    <cellStyle name="level1a 2 6 2 2 2 2" xfId="2054"/>
    <cellStyle name="level1a 2 6 2 2 3" xfId="2055"/>
    <cellStyle name="level1a 2 6 2 3" xfId="2056"/>
    <cellStyle name="level1a 2 6 2 3 2" xfId="2057"/>
    <cellStyle name="level1a 2 6 2 3 2 2" xfId="2058"/>
    <cellStyle name="level1a 2 6 2 3 3" xfId="2059"/>
    <cellStyle name="level1a 2 6 2 4" xfId="2060"/>
    <cellStyle name="level1a 2 6 2 5" xfId="2061"/>
    <cellStyle name="level1a 2 6 2 5 2" xfId="2062"/>
    <cellStyle name="level1a 2 6 2 6" xfId="2063"/>
    <cellStyle name="level1a 2 6 3" xfId="2064"/>
    <cellStyle name="level1a 2 6 3 2" xfId="2065"/>
    <cellStyle name="level1a 2 6 3 2 2" xfId="2066"/>
    <cellStyle name="level1a 2 6 3 2 2 2" xfId="2067"/>
    <cellStyle name="level1a 2 6 3 2 3" xfId="2068"/>
    <cellStyle name="level1a 2 6 3 3" xfId="2069"/>
    <cellStyle name="level1a 2 6 3 3 2" xfId="2070"/>
    <cellStyle name="level1a 2 6 3 3 2 2" xfId="2071"/>
    <cellStyle name="level1a 2 6 3 3 3" xfId="2072"/>
    <cellStyle name="level1a 2 6 3 4" xfId="2073"/>
    <cellStyle name="level1a 2 6 4" xfId="2074"/>
    <cellStyle name="level1a 2 6 4 2" xfId="2075"/>
    <cellStyle name="level1a 2 6 4 2 2" xfId="2076"/>
    <cellStyle name="level1a 2 6 4 2 2 2" xfId="2077"/>
    <cellStyle name="level1a 2 6 4 2 3" xfId="2078"/>
    <cellStyle name="level1a 2 6 4 3" xfId="2079"/>
    <cellStyle name="level1a 2 6 4 3 2" xfId="2080"/>
    <cellStyle name="level1a 2 6 4 3 2 2" xfId="2081"/>
    <cellStyle name="level1a 2 6 4 3 3" xfId="2082"/>
    <cellStyle name="level1a 2 6 4 4" xfId="2083"/>
    <cellStyle name="level1a 2 6 4 4 2" xfId="2084"/>
    <cellStyle name="level1a 2 6 4 5" xfId="2085"/>
    <cellStyle name="level1a 2 6 5" xfId="2086"/>
    <cellStyle name="level1a 2 6 5 2" xfId="2087"/>
    <cellStyle name="level1a 2 6 5 2 2" xfId="2088"/>
    <cellStyle name="level1a 2 6 5 2 2 2" xfId="2089"/>
    <cellStyle name="level1a 2 6 5 2 3" xfId="2090"/>
    <cellStyle name="level1a 2 6 5 3" xfId="2091"/>
    <cellStyle name="level1a 2 6 5 3 2" xfId="2092"/>
    <cellStyle name="level1a 2 6 5 3 2 2" xfId="2093"/>
    <cellStyle name="level1a 2 6 5 3 3" xfId="2094"/>
    <cellStyle name="level1a 2 6 5 4" xfId="2095"/>
    <cellStyle name="level1a 2 6 5 4 2" xfId="2096"/>
    <cellStyle name="level1a 2 6 5 5" xfId="2097"/>
    <cellStyle name="level1a 2 6 6" xfId="2098"/>
    <cellStyle name="level1a 2 6 6 2" xfId="2099"/>
    <cellStyle name="level1a 2 6 6 2 2" xfId="2100"/>
    <cellStyle name="level1a 2 6 6 2 2 2" xfId="2101"/>
    <cellStyle name="level1a 2 6 6 2 3" xfId="2102"/>
    <cellStyle name="level1a 2 6 6 3" xfId="2103"/>
    <cellStyle name="level1a 2 6 6 3 2" xfId="2104"/>
    <cellStyle name="level1a 2 6 6 3 2 2" xfId="2105"/>
    <cellStyle name="level1a 2 6 6 3 3" xfId="2106"/>
    <cellStyle name="level1a 2 6 6 4" xfId="2107"/>
    <cellStyle name="level1a 2 6 6 4 2" xfId="2108"/>
    <cellStyle name="level1a 2 6 6 5" xfId="2109"/>
    <cellStyle name="level1a 2 6 7" xfId="2110"/>
    <cellStyle name="level1a 2 6 7 2" xfId="2111"/>
    <cellStyle name="level1a 2 6 7 2 2" xfId="2112"/>
    <cellStyle name="level1a 2 6 7 3" xfId="2113"/>
    <cellStyle name="level1a 2 6 8" xfId="2114"/>
    <cellStyle name="level1a 2 6 8 2" xfId="2115"/>
    <cellStyle name="level1a 2 6 8 2 2" xfId="2116"/>
    <cellStyle name="level1a 2 6 8 3" xfId="2117"/>
    <cellStyle name="level1a 2 6_STUD aligned by INSTIT" xfId="2118"/>
    <cellStyle name="level1a 2 7" xfId="2119"/>
    <cellStyle name="level1a 2 7 2" xfId="2120"/>
    <cellStyle name="level1a 2 7 2 2" xfId="2121"/>
    <cellStyle name="level1a 2 7 2 2 2" xfId="2122"/>
    <cellStyle name="level1a 2 7 2 3" xfId="2123"/>
    <cellStyle name="level1a 2 7 3" xfId="2124"/>
    <cellStyle name="level1a 2 7 3 2" xfId="2125"/>
    <cellStyle name="level1a 2 7 3 2 2" xfId="2126"/>
    <cellStyle name="level1a 2 7 3 3" xfId="2127"/>
    <cellStyle name="level1a 2 7 4" xfId="2128"/>
    <cellStyle name="level1a 2 7 5" xfId="2129"/>
    <cellStyle name="level1a 2 7 5 2" xfId="2130"/>
    <cellStyle name="level1a 2 8" xfId="2131"/>
    <cellStyle name="level1a 2 8 2" xfId="2132"/>
    <cellStyle name="level1a 2 8 2 2" xfId="2133"/>
    <cellStyle name="level1a 2 8 2 2 2" xfId="2134"/>
    <cellStyle name="level1a 2 8 2 3" xfId="2135"/>
    <cellStyle name="level1a 2 8 3" xfId="2136"/>
    <cellStyle name="level1a 2 8 3 2" xfId="2137"/>
    <cellStyle name="level1a 2 8 3 2 2" xfId="2138"/>
    <cellStyle name="level1a 2 8 3 3" xfId="2139"/>
    <cellStyle name="level1a 2 8 4" xfId="2140"/>
    <cellStyle name="level1a 2 8 5" xfId="2141"/>
    <cellStyle name="level1a 2 8 5 2" xfId="2142"/>
    <cellStyle name="level1a 2 8 6" xfId="2143"/>
    <cellStyle name="level1a 2 9" xfId="2144"/>
    <cellStyle name="level1a 2 9 2" xfId="2145"/>
    <cellStyle name="level1a 2 9 2 2" xfId="2146"/>
    <cellStyle name="level1a 2 9 2 2 2" xfId="2147"/>
    <cellStyle name="level1a 2 9 2 3" xfId="2148"/>
    <cellStyle name="level1a 2 9 3" xfId="2149"/>
    <cellStyle name="level1a 2 9 3 2" xfId="2150"/>
    <cellStyle name="level1a 2 9 3 2 2" xfId="2151"/>
    <cellStyle name="level1a 2 9 3 3" xfId="2152"/>
    <cellStyle name="level1a 2 9 4" xfId="2153"/>
    <cellStyle name="level1a 2 9 5" xfId="2154"/>
    <cellStyle name="level1a 2_STUD aligned by INSTIT" xfId="2155"/>
    <cellStyle name="level1a 3" xfId="2156"/>
    <cellStyle name="level1a 3 10" xfId="2157"/>
    <cellStyle name="level1a 3 10 2" xfId="2158"/>
    <cellStyle name="level1a 3 10 2 2" xfId="2159"/>
    <cellStyle name="level1a 3 10 2 2 2" xfId="2160"/>
    <cellStyle name="level1a 3 10 2 3" xfId="2161"/>
    <cellStyle name="level1a 3 10 3" xfId="2162"/>
    <cellStyle name="level1a 3 10 3 2" xfId="2163"/>
    <cellStyle name="level1a 3 10 3 2 2" xfId="2164"/>
    <cellStyle name="level1a 3 10 3 3" xfId="2165"/>
    <cellStyle name="level1a 3 10 4" xfId="2166"/>
    <cellStyle name="level1a 3 10 5" xfId="2167"/>
    <cellStyle name="level1a 3 10 5 2" xfId="2168"/>
    <cellStyle name="level1a 3 10 6" xfId="2169"/>
    <cellStyle name="level1a 3 11" xfId="2170"/>
    <cellStyle name="level1a 3 11 2" xfId="2171"/>
    <cellStyle name="level1a 3 11 2 2" xfId="2172"/>
    <cellStyle name="level1a 3 11 2 2 2" xfId="2173"/>
    <cellStyle name="level1a 3 11 2 3" xfId="2174"/>
    <cellStyle name="level1a 3 11 3" xfId="2175"/>
    <cellStyle name="level1a 3 11 3 2" xfId="2176"/>
    <cellStyle name="level1a 3 11 3 2 2" xfId="2177"/>
    <cellStyle name="level1a 3 11 3 3" xfId="2178"/>
    <cellStyle name="level1a 3 11 4" xfId="2179"/>
    <cellStyle name="level1a 3 11 4 2" xfId="2180"/>
    <cellStyle name="level1a 3 11 5" xfId="2181"/>
    <cellStyle name="level1a 3 12" xfId="2182"/>
    <cellStyle name="level1a 3 12 2" xfId="2183"/>
    <cellStyle name="level1a 3 12 2 2" xfId="2184"/>
    <cellStyle name="level1a 3 12 3" xfId="2185"/>
    <cellStyle name="level1a 3 13" xfId="2186"/>
    <cellStyle name="level1a 3 14" xfId="2187"/>
    <cellStyle name="level1a 3 2" xfId="2188"/>
    <cellStyle name="level1a 3 2 10" xfId="2189"/>
    <cellStyle name="level1a 3 2 10 2" xfId="2190"/>
    <cellStyle name="level1a 3 2 10 2 2" xfId="2191"/>
    <cellStyle name="level1a 3 2 10 2 2 2" xfId="2192"/>
    <cellStyle name="level1a 3 2 10 2 3" xfId="2193"/>
    <cellStyle name="level1a 3 2 10 3" xfId="2194"/>
    <cellStyle name="level1a 3 2 10 3 2" xfId="2195"/>
    <cellStyle name="level1a 3 2 10 3 2 2" xfId="2196"/>
    <cellStyle name="level1a 3 2 10 3 3" xfId="2197"/>
    <cellStyle name="level1a 3 2 10 4" xfId="2198"/>
    <cellStyle name="level1a 3 2 10 4 2" xfId="2199"/>
    <cellStyle name="level1a 3 2 10 5" xfId="2200"/>
    <cellStyle name="level1a 3 2 11" xfId="2201"/>
    <cellStyle name="level1a 3 2 11 2" xfId="2202"/>
    <cellStyle name="level1a 3 2 11 2 2" xfId="2203"/>
    <cellStyle name="level1a 3 2 11 3" xfId="2204"/>
    <cellStyle name="level1a 3 2 12" xfId="2205"/>
    <cellStyle name="level1a 3 2 2" xfId="2206"/>
    <cellStyle name="level1a 3 2 2 10" xfId="2207"/>
    <cellStyle name="level1a 3 2 2 2" xfId="2208"/>
    <cellStyle name="level1a 3 2 2 2 2" xfId="2209"/>
    <cellStyle name="level1a 3 2 2 2 2 2" xfId="2210"/>
    <cellStyle name="level1a 3 2 2 2 2 2 2" xfId="2211"/>
    <cellStyle name="level1a 3 2 2 2 2 2 2 2" xfId="2212"/>
    <cellStyle name="level1a 3 2 2 2 2 2 3" xfId="2213"/>
    <cellStyle name="level1a 3 2 2 2 2 3" xfId="2214"/>
    <cellStyle name="level1a 3 2 2 2 2 3 2" xfId="2215"/>
    <cellStyle name="level1a 3 2 2 2 2 3 2 2" xfId="2216"/>
    <cellStyle name="level1a 3 2 2 2 2 3 3" xfId="2217"/>
    <cellStyle name="level1a 3 2 2 2 2 4" xfId="2218"/>
    <cellStyle name="level1a 3 2 2 2 2 5" xfId="2219"/>
    <cellStyle name="level1a 3 2 2 2 2 5 2" xfId="2220"/>
    <cellStyle name="level1a 3 2 2 2 3" xfId="2221"/>
    <cellStyle name="level1a 3 2 2 2 3 2" xfId="2222"/>
    <cellStyle name="level1a 3 2 2 2 3 2 2" xfId="2223"/>
    <cellStyle name="level1a 3 2 2 2 3 2 2 2" xfId="2224"/>
    <cellStyle name="level1a 3 2 2 2 3 2 3" xfId="2225"/>
    <cellStyle name="level1a 3 2 2 2 3 3" xfId="2226"/>
    <cellStyle name="level1a 3 2 2 2 3 3 2" xfId="2227"/>
    <cellStyle name="level1a 3 2 2 2 3 3 2 2" xfId="2228"/>
    <cellStyle name="level1a 3 2 2 2 3 3 3" xfId="2229"/>
    <cellStyle name="level1a 3 2 2 2 3 4" xfId="2230"/>
    <cellStyle name="level1a 3 2 2 2 3 5" xfId="2231"/>
    <cellStyle name="level1a 3 2 2 2 4" xfId="2232"/>
    <cellStyle name="level1a 3 2 2 2 4 2" xfId="2233"/>
    <cellStyle name="level1a 3 2 2 2 4 2 2" xfId="2234"/>
    <cellStyle name="level1a 3 2 2 2 4 2 2 2" xfId="2235"/>
    <cellStyle name="level1a 3 2 2 2 4 2 3" xfId="2236"/>
    <cellStyle name="level1a 3 2 2 2 4 3" xfId="2237"/>
    <cellStyle name="level1a 3 2 2 2 4 3 2" xfId="2238"/>
    <cellStyle name="level1a 3 2 2 2 4 3 2 2" xfId="2239"/>
    <cellStyle name="level1a 3 2 2 2 4 3 3" xfId="2240"/>
    <cellStyle name="level1a 3 2 2 2 4 4" xfId="2241"/>
    <cellStyle name="level1a 3 2 2 2 4 5" xfId="2242"/>
    <cellStyle name="level1a 3 2 2 2 4 5 2" xfId="2243"/>
    <cellStyle name="level1a 3 2 2 2 4 6" xfId="2244"/>
    <cellStyle name="level1a 3 2 2 2 5" xfId="2245"/>
    <cellStyle name="level1a 3 2 2 2 5 2" xfId="2246"/>
    <cellStyle name="level1a 3 2 2 2 5 2 2" xfId="2247"/>
    <cellStyle name="level1a 3 2 2 2 5 2 2 2" xfId="2248"/>
    <cellStyle name="level1a 3 2 2 2 5 2 3" xfId="2249"/>
    <cellStyle name="level1a 3 2 2 2 5 3" xfId="2250"/>
    <cellStyle name="level1a 3 2 2 2 5 3 2" xfId="2251"/>
    <cellStyle name="level1a 3 2 2 2 5 3 2 2" xfId="2252"/>
    <cellStyle name="level1a 3 2 2 2 5 3 3" xfId="2253"/>
    <cellStyle name="level1a 3 2 2 2 5 4" xfId="2254"/>
    <cellStyle name="level1a 3 2 2 2 5 4 2" xfId="2255"/>
    <cellStyle name="level1a 3 2 2 2 5 5" xfId="2256"/>
    <cellStyle name="level1a 3 2 2 2 6" xfId="2257"/>
    <cellStyle name="level1a 3 2 2 2 6 2" xfId="2258"/>
    <cellStyle name="level1a 3 2 2 2 6 2 2" xfId="2259"/>
    <cellStyle name="level1a 3 2 2 2 6 2 2 2" xfId="2260"/>
    <cellStyle name="level1a 3 2 2 2 6 2 3" xfId="2261"/>
    <cellStyle name="level1a 3 2 2 2 6 3" xfId="2262"/>
    <cellStyle name="level1a 3 2 2 2 6 3 2" xfId="2263"/>
    <cellStyle name="level1a 3 2 2 2 6 3 2 2" xfId="2264"/>
    <cellStyle name="level1a 3 2 2 2 6 3 3" xfId="2265"/>
    <cellStyle name="level1a 3 2 2 2 6 4" xfId="2266"/>
    <cellStyle name="level1a 3 2 2 2 6 4 2" xfId="2267"/>
    <cellStyle name="level1a 3 2 2 2 6 5" xfId="2268"/>
    <cellStyle name="level1a 3 2 2 2 7" xfId="2269"/>
    <cellStyle name="level1a 3 2 2 2 7 2" xfId="2270"/>
    <cellStyle name="level1a 3 2 2 2 7 2 2" xfId="2271"/>
    <cellStyle name="level1a 3 2 2 2 7 3" xfId="2272"/>
    <cellStyle name="level1a 3 2 2 2_STUD aligned by INSTIT" xfId="2273"/>
    <cellStyle name="level1a 3 2 2 3" xfId="2274"/>
    <cellStyle name="level1a 3 2 2 3 2" xfId="2275"/>
    <cellStyle name="level1a 3 2 2 3 2 2" xfId="2276"/>
    <cellStyle name="level1a 3 2 2 3 2 2 2" xfId="2277"/>
    <cellStyle name="level1a 3 2 2 3 2 2 2 2" xfId="2278"/>
    <cellStyle name="level1a 3 2 2 3 2 2 3" xfId="2279"/>
    <cellStyle name="level1a 3 2 2 3 2 3" xfId="2280"/>
    <cellStyle name="level1a 3 2 2 3 2 3 2" xfId="2281"/>
    <cellStyle name="level1a 3 2 2 3 2 3 2 2" xfId="2282"/>
    <cellStyle name="level1a 3 2 2 3 2 3 3" xfId="2283"/>
    <cellStyle name="level1a 3 2 2 3 2 4" xfId="2284"/>
    <cellStyle name="level1a 3 2 2 3 2 5" xfId="2285"/>
    <cellStyle name="level1a 3 2 2 3 3" xfId="2286"/>
    <cellStyle name="level1a 3 2 2 3 3 2" xfId="2287"/>
    <cellStyle name="level1a 3 2 2 3 3 2 2" xfId="2288"/>
    <cellStyle name="level1a 3 2 2 3 3 2 2 2" xfId="2289"/>
    <cellStyle name="level1a 3 2 2 3 3 2 3" xfId="2290"/>
    <cellStyle name="level1a 3 2 2 3 3 3" xfId="2291"/>
    <cellStyle name="level1a 3 2 2 3 3 3 2" xfId="2292"/>
    <cellStyle name="level1a 3 2 2 3 3 3 2 2" xfId="2293"/>
    <cellStyle name="level1a 3 2 2 3 3 3 3" xfId="2294"/>
    <cellStyle name="level1a 3 2 2 3 3 4" xfId="2295"/>
    <cellStyle name="level1a 3 2 2 3 3 4 2" xfId="2296"/>
    <cellStyle name="level1a 3 2 2 3 4" xfId="2297"/>
    <cellStyle name="level1a 3 2 2 3 4 2" xfId="2298"/>
    <cellStyle name="level1a 3 2 2 3 4 2 2" xfId="2299"/>
    <cellStyle name="level1a 3 2 2 3 4 2 2 2" xfId="2300"/>
    <cellStyle name="level1a 3 2 2 3 4 2 3" xfId="2301"/>
    <cellStyle name="level1a 3 2 2 3 4 3" xfId="2302"/>
    <cellStyle name="level1a 3 2 2 3 4 3 2" xfId="2303"/>
    <cellStyle name="level1a 3 2 2 3 4 3 2 2" xfId="2304"/>
    <cellStyle name="level1a 3 2 2 3 4 3 3" xfId="2305"/>
    <cellStyle name="level1a 3 2 2 3 4 4" xfId="2306"/>
    <cellStyle name="level1a 3 2 2 3 4 4 2" xfId="2307"/>
    <cellStyle name="level1a 3 2 2 3 4 5" xfId="2308"/>
    <cellStyle name="level1a 3 2 2 3 5" xfId="2309"/>
    <cellStyle name="level1a 3 2 2 3 5 2" xfId="2310"/>
    <cellStyle name="level1a 3 2 2 3 5 2 2" xfId="2311"/>
    <cellStyle name="level1a 3 2 2 3 5 2 2 2" xfId="2312"/>
    <cellStyle name="level1a 3 2 2 3 5 2 3" xfId="2313"/>
    <cellStyle name="level1a 3 2 2 3 5 3" xfId="2314"/>
    <cellStyle name="level1a 3 2 2 3 5 3 2" xfId="2315"/>
    <cellStyle name="level1a 3 2 2 3 5 3 2 2" xfId="2316"/>
    <cellStyle name="level1a 3 2 2 3 5 3 3" xfId="2317"/>
    <cellStyle name="level1a 3 2 2 3 5 4" xfId="2318"/>
    <cellStyle name="level1a 3 2 2 3 5 4 2" xfId="2319"/>
    <cellStyle name="level1a 3 2 2 3 5 5" xfId="2320"/>
    <cellStyle name="level1a 3 2 2 3 6" xfId="2321"/>
    <cellStyle name="level1a 3 2 2 3 6 2" xfId="2322"/>
    <cellStyle name="level1a 3 2 2 3 6 2 2" xfId="2323"/>
    <cellStyle name="level1a 3 2 2 3 6 2 2 2" xfId="2324"/>
    <cellStyle name="level1a 3 2 2 3 6 2 3" xfId="2325"/>
    <cellStyle name="level1a 3 2 2 3 6 3" xfId="2326"/>
    <cellStyle name="level1a 3 2 2 3 6 3 2" xfId="2327"/>
    <cellStyle name="level1a 3 2 2 3 6 3 2 2" xfId="2328"/>
    <cellStyle name="level1a 3 2 2 3 6 3 3" xfId="2329"/>
    <cellStyle name="level1a 3 2 2 3 6 4" xfId="2330"/>
    <cellStyle name="level1a 3 2 2 3 6 4 2" xfId="2331"/>
    <cellStyle name="level1a 3 2 2 3 6 5" xfId="2332"/>
    <cellStyle name="level1a 3 2 2 3 7" xfId="2333"/>
    <cellStyle name="level1a 3 2 2 3 7 2" xfId="2334"/>
    <cellStyle name="level1a 3 2 2 3 7 2 2" xfId="2335"/>
    <cellStyle name="level1a 3 2 2 3 7 3" xfId="2336"/>
    <cellStyle name="level1a 3 2 2 3 8" xfId="2337"/>
    <cellStyle name="level1a 3 2 2 3 8 2" xfId="2338"/>
    <cellStyle name="level1a 3 2 2 3 8 2 2" xfId="2339"/>
    <cellStyle name="level1a 3 2 2 3 8 3" xfId="2340"/>
    <cellStyle name="level1a 3 2 2 3_STUD aligned by INSTIT" xfId="2341"/>
    <cellStyle name="level1a 3 2 2 4" xfId="2342"/>
    <cellStyle name="level1a 3 2 2 4 2" xfId="2343"/>
    <cellStyle name="level1a 3 2 2 4 2 2" xfId="2344"/>
    <cellStyle name="level1a 3 2 2 4 2 2 2" xfId="2345"/>
    <cellStyle name="level1a 3 2 2 4 2 3" xfId="2346"/>
    <cellStyle name="level1a 3 2 2 4 3" xfId="2347"/>
    <cellStyle name="level1a 3 2 2 4 3 2" xfId="2348"/>
    <cellStyle name="level1a 3 2 2 4 3 2 2" xfId="2349"/>
    <cellStyle name="level1a 3 2 2 4 3 3" xfId="2350"/>
    <cellStyle name="level1a 3 2 2 4 4" xfId="2351"/>
    <cellStyle name="level1a 3 2 2 4 5" xfId="2352"/>
    <cellStyle name="level1a 3 2 2 4 5 2" xfId="2353"/>
    <cellStyle name="level1a 3 2 2 5" xfId="2354"/>
    <cellStyle name="level1a 3 2 2 5 2" xfId="2355"/>
    <cellStyle name="level1a 3 2 2 5 2 2" xfId="2356"/>
    <cellStyle name="level1a 3 2 2 5 2 2 2" xfId="2357"/>
    <cellStyle name="level1a 3 2 2 5 2 3" xfId="2358"/>
    <cellStyle name="level1a 3 2 2 5 3" xfId="2359"/>
    <cellStyle name="level1a 3 2 2 5 3 2" xfId="2360"/>
    <cellStyle name="level1a 3 2 2 5 3 2 2" xfId="2361"/>
    <cellStyle name="level1a 3 2 2 5 3 3" xfId="2362"/>
    <cellStyle name="level1a 3 2 2 5 4" xfId="2363"/>
    <cellStyle name="level1a 3 2 2 5 5" xfId="2364"/>
    <cellStyle name="level1a 3 2 2 5 5 2" xfId="2365"/>
    <cellStyle name="level1a 3 2 2 5 6" xfId="2366"/>
    <cellStyle name="level1a 3 2 2 6" xfId="2367"/>
    <cellStyle name="level1a 3 2 2 6 2" xfId="2368"/>
    <cellStyle name="level1a 3 2 2 6 2 2" xfId="2369"/>
    <cellStyle name="level1a 3 2 2 6 2 2 2" xfId="2370"/>
    <cellStyle name="level1a 3 2 2 6 2 3" xfId="2371"/>
    <cellStyle name="level1a 3 2 2 6 3" xfId="2372"/>
    <cellStyle name="level1a 3 2 2 6 3 2" xfId="2373"/>
    <cellStyle name="level1a 3 2 2 6 3 2 2" xfId="2374"/>
    <cellStyle name="level1a 3 2 2 6 3 3" xfId="2375"/>
    <cellStyle name="level1a 3 2 2 6 4" xfId="2376"/>
    <cellStyle name="level1a 3 2 2 6 5" xfId="2377"/>
    <cellStyle name="level1a 3 2 2 7" xfId="2378"/>
    <cellStyle name="level1a 3 2 2 7 2" xfId="2379"/>
    <cellStyle name="level1a 3 2 2 7 2 2" xfId="2380"/>
    <cellStyle name="level1a 3 2 2 7 2 2 2" xfId="2381"/>
    <cellStyle name="level1a 3 2 2 7 2 3" xfId="2382"/>
    <cellStyle name="level1a 3 2 2 7 3" xfId="2383"/>
    <cellStyle name="level1a 3 2 2 7 3 2" xfId="2384"/>
    <cellStyle name="level1a 3 2 2 7 3 2 2" xfId="2385"/>
    <cellStyle name="level1a 3 2 2 7 3 3" xfId="2386"/>
    <cellStyle name="level1a 3 2 2 7 4" xfId="2387"/>
    <cellStyle name="level1a 3 2 2 7 5" xfId="2388"/>
    <cellStyle name="level1a 3 2 2 7 5 2" xfId="2389"/>
    <cellStyle name="level1a 3 2 2 7 6" xfId="2390"/>
    <cellStyle name="level1a 3 2 2 8" xfId="2391"/>
    <cellStyle name="level1a 3 2 2 8 2" xfId="2392"/>
    <cellStyle name="level1a 3 2 2 8 2 2" xfId="2393"/>
    <cellStyle name="level1a 3 2 2 8 2 2 2" xfId="2394"/>
    <cellStyle name="level1a 3 2 2 8 2 3" xfId="2395"/>
    <cellStyle name="level1a 3 2 2 8 3" xfId="2396"/>
    <cellStyle name="level1a 3 2 2 8 3 2" xfId="2397"/>
    <cellStyle name="level1a 3 2 2 8 3 2 2" xfId="2398"/>
    <cellStyle name="level1a 3 2 2 8 3 3" xfId="2399"/>
    <cellStyle name="level1a 3 2 2 8 4" xfId="2400"/>
    <cellStyle name="level1a 3 2 2 8 4 2" xfId="2401"/>
    <cellStyle name="level1a 3 2 2 8 5" xfId="2402"/>
    <cellStyle name="level1a 3 2 2 9" xfId="2403"/>
    <cellStyle name="level1a 3 2 2 9 2" xfId="2404"/>
    <cellStyle name="level1a 3 2 2 9 2 2" xfId="2405"/>
    <cellStyle name="level1a 3 2 2 9 3" xfId="2406"/>
    <cellStyle name="level1a 3 2 2_STUD aligned by INSTIT" xfId="2407"/>
    <cellStyle name="level1a 3 2 3" xfId="2408"/>
    <cellStyle name="level1a 3 2 3 10" xfId="2409"/>
    <cellStyle name="level1a 3 2 3 2" xfId="2410"/>
    <cellStyle name="level1a 3 2 3 2 2" xfId="2411"/>
    <cellStyle name="level1a 3 2 3 2 2 2" xfId="2412"/>
    <cellStyle name="level1a 3 2 3 2 2 2 2" xfId="2413"/>
    <cellStyle name="level1a 3 2 3 2 2 2 2 2" xfId="2414"/>
    <cellStyle name="level1a 3 2 3 2 2 2 3" xfId="2415"/>
    <cellStyle name="level1a 3 2 3 2 2 3" xfId="2416"/>
    <cellStyle name="level1a 3 2 3 2 2 3 2" xfId="2417"/>
    <cellStyle name="level1a 3 2 3 2 2 3 2 2" xfId="2418"/>
    <cellStyle name="level1a 3 2 3 2 2 3 3" xfId="2419"/>
    <cellStyle name="level1a 3 2 3 2 2 4" xfId="2420"/>
    <cellStyle name="level1a 3 2 3 2 2 5" xfId="2421"/>
    <cellStyle name="level1a 3 2 3 2 2 5 2" xfId="2422"/>
    <cellStyle name="level1a 3 2 3 2 3" xfId="2423"/>
    <cellStyle name="level1a 3 2 3 2 3 2" xfId="2424"/>
    <cellStyle name="level1a 3 2 3 2 3 2 2" xfId="2425"/>
    <cellStyle name="level1a 3 2 3 2 3 2 2 2" xfId="2426"/>
    <cellStyle name="level1a 3 2 3 2 3 2 3" xfId="2427"/>
    <cellStyle name="level1a 3 2 3 2 3 3" xfId="2428"/>
    <cellStyle name="level1a 3 2 3 2 3 3 2" xfId="2429"/>
    <cellStyle name="level1a 3 2 3 2 3 3 2 2" xfId="2430"/>
    <cellStyle name="level1a 3 2 3 2 3 3 3" xfId="2431"/>
    <cellStyle name="level1a 3 2 3 2 3 4" xfId="2432"/>
    <cellStyle name="level1a 3 2 3 2 3 5" xfId="2433"/>
    <cellStyle name="level1a 3 2 3 2 4" xfId="2434"/>
    <cellStyle name="level1a 3 2 3 2 4 2" xfId="2435"/>
    <cellStyle name="level1a 3 2 3 2 4 2 2" xfId="2436"/>
    <cellStyle name="level1a 3 2 3 2 4 2 2 2" xfId="2437"/>
    <cellStyle name="level1a 3 2 3 2 4 2 3" xfId="2438"/>
    <cellStyle name="level1a 3 2 3 2 4 3" xfId="2439"/>
    <cellStyle name="level1a 3 2 3 2 4 3 2" xfId="2440"/>
    <cellStyle name="level1a 3 2 3 2 4 3 2 2" xfId="2441"/>
    <cellStyle name="level1a 3 2 3 2 4 3 3" xfId="2442"/>
    <cellStyle name="level1a 3 2 3 2 4 4" xfId="2443"/>
    <cellStyle name="level1a 3 2 3 2 4 5" xfId="2444"/>
    <cellStyle name="level1a 3 2 3 2 4 5 2" xfId="2445"/>
    <cellStyle name="level1a 3 2 3 2 4 6" xfId="2446"/>
    <cellStyle name="level1a 3 2 3 2 5" xfId="2447"/>
    <cellStyle name="level1a 3 2 3 2 5 2" xfId="2448"/>
    <cellStyle name="level1a 3 2 3 2 5 2 2" xfId="2449"/>
    <cellStyle name="level1a 3 2 3 2 5 2 2 2" xfId="2450"/>
    <cellStyle name="level1a 3 2 3 2 5 2 3" xfId="2451"/>
    <cellStyle name="level1a 3 2 3 2 5 3" xfId="2452"/>
    <cellStyle name="level1a 3 2 3 2 5 3 2" xfId="2453"/>
    <cellStyle name="level1a 3 2 3 2 5 3 2 2" xfId="2454"/>
    <cellStyle name="level1a 3 2 3 2 5 3 3" xfId="2455"/>
    <cellStyle name="level1a 3 2 3 2 5 4" xfId="2456"/>
    <cellStyle name="level1a 3 2 3 2 5 4 2" xfId="2457"/>
    <cellStyle name="level1a 3 2 3 2 5 5" xfId="2458"/>
    <cellStyle name="level1a 3 2 3 2 6" xfId="2459"/>
    <cellStyle name="level1a 3 2 3 2 6 2" xfId="2460"/>
    <cellStyle name="level1a 3 2 3 2 6 2 2" xfId="2461"/>
    <cellStyle name="level1a 3 2 3 2 6 2 2 2" xfId="2462"/>
    <cellStyle name="level1a 3 2 3 2 6 2 3" xfId="2463"/>
    <cellStyle name="level1a 3 2 3 2 6 3" xfId="2464"/>
    <cellStyle name="level1a 3 2 3 2 6 3 2" xfId="2465"/>
    <cellStyle name="level1a 3 2 3 2 6 3 2 2" xfId="2466"/>
    <cellStyle name="level1a 3 2 3 2 6 3 3" xfId="2467"/>
    <cellStyle name="level1a 3 2 3 2 6 4" xfId="2468"/>
    <cellStyle name="level1a 3 2 3 2 6 4 2" xfId="2469"/>
    <cellStyle name="level1a 3 2 3 2 6 5" xfId="2470"/>
    <cellStyle name="level1a 3 2 3 2 7" xfId="2471"/>
    <cellStyle name="level1a 3 2 3 2 7 2" xfId="2472"/>
    <cellStyle name="level1a 3 2 3 2 7 2 2" xfId="2473"/>
    <cellStyle name="level1a 3 2 3 2 7 3" xfId="2474"/>
    <cellStyle name="level1a 3 2 3 2_STUD aligned by INSTIT" xfId="2475"/>
    <cellStyle name="level1a 3 2 3 3" xfId="2476"/>
    <cellStyle name="level1a 3 2 3 3 2" xfId="2477"/>
    <cellStyle name="level1a 3 2 3 3 2 2" xfId="2478"/>
    <cellStyle name="level1a 3 2 3 3 2 2 2" xfId="2479"/>
    <cellStyle name="level1a 3 2 3 3 2 2 2 2" xfId="2480"/>
    <cellStyle name="level1a 3 2 3 3 2 2 3" xfId="2481"/>
    <cellStyle name="level1a 3 2 3 3 2 3" xfId="2482"/>
    <cellStyle name="level1a 3 2 3 3 2 3 2" xfId="2483"/>
    <cellStyle name="level1a 3 2 3 3 2 3 2 2" xfId="2484"/>
    <cellStyle name="level1a 3 2 3 3 2 3 3" xfId="2485"/>
    <cellStyle name="level1a 3 2 3 3 2 4" xfId="2486"/>
    <cellStyle name="level1a 3 2 3 3 2 5" xfId="2487"/>
    <cellStyle name="level1a 3 2 3 3 3" xfId="2488"/>
    <cellStyle name="level1a 3 2 3 3 3 2" xfId="2489"/>
    <cellStyle name="level1a 3 2 3 3 3 2 2" xfId="2490"/>
    <cellStyle name="level1a 3 2 3 3 3 2 2 2" xfId="2491"/>
    <cellStyle name="level1a 3 2 3 3 3 2 3" xfId="2492"/>
    <cellStyle name="level1a 3 2 3 3 3 3" xfId="2493"/>
    <cellStyle name="level1a 3 2 3 3 3 3 2" xfId="2494"/>
    <cellStyle name="level1a 3 2 3 3 3 3 2 2" xfId="2495"/>
    <cellStyle name="level1a 3 2 3 3 3 3 3" xfId="2496"/>
    <cellStyle name="level1a 3 2 3 3 3 4" xfId="2497"/>
    <cellStyle name="level1a 3 2 3 3 3 4 2" xfId="2498"/>
    <cellStyle name="level1a 3 2 3 3 4" xfId="2499"/>
    <cellStyle name="level1a 3 2 3 3 4 2" xfId="2500"/>
    <cellStyle name="level1a 3 2 3 3 4 2 2" xfId="2501"/>
    <cellStyle name="level1a 3 2 3 3 4 2 2 2" xfId="2502"/>
    <cellStyle name="level1a 3 2 3 3 4 2 3" xfId="2503"/>
    <cellStyle name="level1a 3 2 3 3 4 3" xfId="2504"/>
    <cellStyle name="level1a 3 2 3 3 4 3 2" xfId="2505"/>
    <cellStyle name="level1a 3 2 3 3 4 3 2 2" xfId="2506"/>
    <cellStyle name="level1a 3 2 3 3 4 3 3" xfId="2507"/>
    <cellStyle name="level1a 3 2 3 3 4 4" xfId="2508"/>
    <cellStyle name="level1a 3 2 3 3 4 4 2" xfId="2509"/>
    <cellStyle name="level1a 3 2 3 3 4 5" xfId="2510"/>
    <cellStyle name="level1a 3 2 3 3 5" xfId="2511"/>
    <cellStyle name="level1a 3 2 3 3 5 2" xfId="2512"/>
    <cellStyle name="level1a 3 2 3 3 5 2 2" xfId="2513"/>
    <cellStyle name="level1a 3 2 3 3 5 2 2 2" xfId="2514"/>
    <cellStyle name="level1a 3 2 3 3 5 2 3" xfId="2515"/>
    <cellStyle name="level1a 3 2 3 3 5 3" xfId="2516"/>
    <cellStyle name="level1a 3 2 3 3 5 3 2" xfId="2517"/>
    <cellStyle name="level1a 3 2 3 3 5 3 2 2" xfId="2518"/>
    <cellStyle name="level1a 3 2 3 3 5 3 3" xfId="2519"/>
    <cellStyle name="level1a 3 2 3 3 5 4" xfId="2520"/>
    <cellStyle name="level1a 3 2 3 3 5 4 2" xfId="2521"/>
    <cellStyle name="level1a 3 2 3 3 5 5" xfId="2522"/>
    <cellStyle name="level1a 3 2 3 3 6" xfId="2523"/>
    <cellStyle name="level1a 3 2 3 3 6 2" xfId="2524"/>
    <cellStyle name="level1a 3 2 3 3 6 2 2" xfId="2525"/>
    <cellStyle name="level1a 3 2 3 3 6 2 2 2" xfId="2526"/>
    <cellStyle name="level1a 3 2 3 3 6 2 3" xfId="2527"/>
    <cellStyle name="level1a 3 2 3 3 6 3" xfId="2528"/>
    <cellStyle name="level1a 3 2 3 3 6 3 2" xfId="2529"/>
    <cellStyle name="level1a 3 2 3 3 6 3 2 2" xfId="2530"/>
    <cellStyle name="level1a 3 2 3 3 6 3 3" xfId="2531"/>
    <cellStyle name="level1a 3 2 3 3 6 4" xfId="2532"/>
    <cellStyle name="level1a 3 2 3 3 6 4 2" xfId="2533"/>
    <cellStyle name="level1a 3 2 3 3 6 5" xfId="2534"/>
    <cellStyle name="level1a 3 2 3 3 7" xfId="2535"/>
    <cellStyle name="level1a 3 2 3 3 7 2" xfId="2536"/>
    <cellStyle name="level1a 3 2 3 3 7 2 2" xfId="2537"/>
    <cellStyle name="level1a 3 2 3 3 7 3" xfId="2538"/>
    <cellStyle name="level1a 3 2 3 3 8" xfId="2539"/>
    <cellStyle name="level1a 3 2 3 3 8 2" xfId="2540"/>
    <cellStyle name="level1a 3 2 3 3 8 2 2" xfId="2541"/>
    <cellStyle name="level1a 3 2 3 3 8 3" xfId="2542"/>
    <cellStyle name="level1a 3 2 3 3_STUD aligned by INSTIT" xfId="2543"/>
    <cellStyle name="level1a 3 2 3 4" xfId="2544"/>
    <cellStyle name="level1a 3 2 3 4 2" xfId="2545"/>
    <cellStyle name="level1a 3 2 3 4 2 2" xfId="2546"/>
    <cellStyle name="level1a 3 2 3 4 2 2 2" xfId="2547"/>
    <cellStyle name="level1a 3 2 3 4 2 3" xfId="2548"/>
    <cellStyle name="level1a 3 2 3 4 3" xfId="2549"/>
    <cellStyle name="level1a 3 2 3 4 3 2" xfId="2550"/>
    <cellStyle name="level1a 3 2 3 4 3 2 2" xfId="2551"/>
    <cellStyle name="level1a 3 2 3 4 3 3" xfId="2552"/>
    <cellStyle name="level1a 3 2 3 4 4" xfId="2553"/>
    <cellStyle name="level1a 3 2 3 4 5" xfId="2554"/>
    <cellStyle name="level1a 3 2 3 4 5 2" xfId="2555"/>
    <cellStyle name="level1a 3 2 3 5" xfId="2556"/>
    <cellStyle name="level1a 3 2 3 5 2" xfId="2557"/>
    <cellStyle name="level1a 3 2 3 5 2 2" xfId="2558"/>
    <cellStyle name="level1a 3 2 3 5 2 2 2" xfId="2559"/>
    <cellStyle name="level1a 3 2 3 5 2 3" xfId="2560"/>
    <cellStyle name="level1a 3 2 3 5 3" xfId="2561"/>
    <cellStyle name="level1a 3 2 3 5 3 2" xfId="2562"/>
    <cellStyle name="level1a 3 2 3 5 3 2 2" xfId="2563"/>
    <cellStyle name="level1a 3 2 3 5 3 3" xfId="2564"/>
    <cellStyle name="level1a 3 2 3 5 4" xfId="2565"/>
    <cellStyle name="level1a 3 2 3 5 5" xfId="2566"/>
    <cellStyle name="level1a 3 2 3 5 5 2" xfId="2567"/>
    <cellStyle name="level1a 3 2 3 5 6" xfId="2568"/>
    <cellStyle name="level1a 3 2 3 6" xfId="2569"/>
    <cellStyle name="level1a 3 2 3 6 2" xfId="2570"/>
    <cellStyle name="level1a 3 2 3 6 2 2" xfId="2571"/>
    <cellStyle name="level1a 3 2 3 6 2 2 2" xfId="2572"/>
    <cellStyle name="level1a 3 2 3 6 2 3" xfId="2573"/>
    <cellStyle name="level1a 3 2 3 6 3" xfId="2574"/>
    <cellStyle name="level1a 3 2 3 6 3 2" xfId="2575"/>
    <cellStyle name="level1a 3 2 3 6 3 2 2" xfId="2576"/>
    <cellStyle name="level1a 3 2 3 6 3 3" xfId="2577"/>
    <cellStyle name="level1a 3 2 3 6 4" xfId="2578"/>
    <cellStyle name="level1a 3 2 3 6 5" xfId="2579"/>
    <cellStyle name="level1a 3 2 3 7" xfId="2580"/>
    <cellStyle name="level1a 3 2 3 7 2" xfId="2581"/>
    <cellStyle name="level1a 3 2 3 7 2 2" xfId="2582"/>
    <cellStyle name="level1a 3 2 3 7 2 2 2" xfId="2583"/>
    <cellStyle name="level1a 3 2 3 7 2 3" xfId="2584"/>
    <cellStyle name="level1a 3 2 3 7 3" xfId="2585"/>
    <cellStyle name="level1a 3 2 3 7 3 2" xfId="2586"/>
    <cellStyle name="level1a 3 2 3 7 3 2 2" xfId="2587"/>
    <cellStyle name="level1a 3 2 3 7 3 3" xfId="2588"/>
    <cellStyle name="level1a 3 2 3 7 4" xfId="2589"/>
    <cellStyle name="level1a 3 2 3 7 5" xfId="2590"/>
    <cellStyle name="level1a 3 2 3 7 5 2" xfId="2591"/>
    <cellStyle name="level1a 3 2 3 7 6" xfId="2592"/>
    <cellStyle name="level1a 3 2 3 8" xfId="2593"/>
    <cellStyle name="level1a 3 2 3 8 2" xfId="2594"/>
    <cellStyle name="level1a 3 2 3 8 2 2" xfId="2595"/>
    <cellStyle name="level1a 3 2 3 8 2 2 2" xfId="2596"/>
    <cellStyle name="level1a 3 2 3 8 2 3" xfId="2597"/>
    <cellStyle name="level1a 3 2 3 8 3" xfId="2598"/>
    <cellStyle name="level1a 3 2 3 8 3 2" xfId="2599"/>
    <cellStyle name="level1a 3 2 3 8 3 2 2" xfId="2600"/>
    <cellStyle name="level1a 3 2 3 8 3 3" xfId="2601"/>
    <cellStyle name="level1a 3 2 3 8 4" xfId="2602"/>
    <cellStyle name="level1a 3 2 3 8 4 2" xfId="2603"/>
    <cellStyle name="level1a 3 2 3 8 5" xfId="2604"/>
    <cellStyle name="level1a 3 2 3 9" xfId="2605"/>
    <cellStyle name="level1a 3 2 3 9 2" xfId="2606"/>
    <cellStyle name="level1a 3 2 3 9 2 2" xfId="2607"/>
    <cellStyle name="level1a 3 2 3 9 3" xfId="2608"/>
    <cellStyle name="level1a 3 2 3_STUD aligned by INSTIT" xfId="2609"/>
    <cellStyle name="level1a 3 2 4" xfId="2610"/>
    <cellStyle name="level1a 3 2 4 2" xfId="2611"/>
    <cellStyle name="level1a 3 2 4 2 2" xfId="2612"/>
    <cellStyle name="level1a 3 2 4 2 2 2" xfId="2613"/>
    <cellStyle name="level1a 3 2 4 2 2 2 2" xfId="2614"/>
    <cellStyle name="level1a 3 2 4 2 2 3" xfId="2615"/>
    <cellStyle name="level1a 3 2 4 2 3" xfId="2616"/>
    <cellStyle name="level1a 3 2 4 2 3 2" xfId="2617"/>
    <cellStyle name="level1a 3 2 4 2 3 2 2" xfId="2618"/>
    <cellStyle name="level1a 3 2 4 2 3 3" xfId="2619"/>
    <cellStyle name="level1a 3 2 4 2 4" xfId="2620"/>
    <cellStyle name="level1a 3 2 4 2 5" xfId="2621"/>
    <cellStyle name="level1a 3 2 4 2 5 2" xfId="2622"/>
    <cellStyle name="level1a 3 2 4 3" xfId="2623"/>
    <cellStyle name="level1a 3 2 4 3 2" xfId="2624"/>
    <cellStyle name="level1a 3 2 4 3 2 2" xfId="2625"/>
    <cellStyle name="level1a 3 2 4 3 2 2 2" xfId="2626"/>
    <cellStyle name="level1a 3 2 4 3 2 3" xfId="2627"/>
    <cellStyle name="level1a 3 2 4 3 3" xfId="2628"/>
    <cellStyle name="level1a 3 2 4 3 3 2" xfId="2629"/>
    <cellStyle name="level1a 3 2 4 3 3 2 2" xfId="2630"/>
    <cellStyle name="level1a 3 2 4 3 3 3" xfId="2631"/>
    <cellStyle name="level1a 3 2 4 3 4" xfId="2632"/>
    <cellStyle name="level1a 3 2 4 3 5" xfId="2633"/>
    <cellStyle name="level1a 3 2 4 4" xfId="2634"/>
    <cellStyle name="level1a 3 2 4 4 2" xfId="2635"/>
    <cellStyle name="level1a 3 2 4 4 2 2" xfId="2636"/>
    <cellStyle name="level1a 3 2 4 4 2 2 2" xfId="2637"/>
    <cellStyle name="level1a 3 2 4 4 2 3" xfId="2638"/>
    <cellStyle name="level1a 3 2 4 4 3" xfId="2639"/>
    <cellStyle name="level1a 3 2 4 4 3 2" xfId="2640"/>
    <cellStyle name="level1a 3 2 4 4 3 2 2" xfId="2641"/>
    <cellStyle name="level1a 3 2 4 4 3 3" xfId="2642"/>
    <cellStyle name="level1a 3 2 4 4 4" xfId="2643"/>
    <cellStyle name="level1a 3 2 4 4 5" xfId="2644"/>
    <cellStyle name="level1a 3 2 4 4 5 2" xfId="2645"/>
    <cellStyle name="level1a 3 2 4 4 6" xfId="2646"/>
    <cellStyle name="level1a 3 2 4 5" xfId="2647"/>
    <cellStyle name="level1a 3 2 4 5 2" xfId="2648"/>
    <cellStyle name="level1a 3 2 4 5 2 2" xfId="2649"/>
    <cellStyle name="level1a 3 2 4 5 2 2 2" xfId="2650"/>
    <cellStyle name="level1a 3 2 4 5 2 3" xfId="2651"/>
    <cellStyle name="level1a 3 2 4 5 3" xfId="2652"/>
    <cellStyle name="level1a 3 2 4 5 3 2" xfId="2653"/>
    <cellStyle name="level1a 3 2 4 5 3 2 2" xfId="2654"/>
    <cellStyle name="level1a 3 2 4 5 3 3" xfId="2655"/>
    <cellStyle name="level1a 3 2 4 5 4" xfId="2656"/>
    <cellStyle name="level1a 3 2 4 5 4 2" xfId="2657"/>
    <cellStyle name="level1a 3 2 4 5 5" xfId="2658"/>
    <cellStyle name="level1a 3 2 4 6" xfId="2659"/>
    <cellStyle name="level1a 3 2 4 6 2" xfId="2660"/>
    <cellStyle name="level1a 3 2 4 6 2 2" xfId="2661"/>
    <cellStyle name="level1a 3 2 4 6 2 2 2" xfId="2662"/>
    <cellStyle name="level1a 3 2 4 6 2 3" xfId="2663"/>
    <cellStyle name="level1a 3 2 4 6 3" xfId="2664"/>
    <cellStyle name="level1a 3 2 4 6 3 2" xfId="2665"/>
    <cellStyle name="level1a 3 2 4 6 3 2 2" xfId="2666"/>
    <cellStyle name="level1a 3 2 4 6 3 3" xfId="2667"/>
    <cellStyle name="level1a 3 2 4 6 4" xfId="2668"/>
    <cellStyle name="level1a 3 2 4 6 4 2" xfId="2669"/>
    <cellStyle name="level1a 3 2 4 6 5" xfId="2670"/>
    <cellStyle name="level1a 3 2 4 7" xfId="2671"/>
    <cellStyle name="level1a 3 2 4 7 2" xfId="2672"/>
    <cellStyle name="level1a 3 2 4 7 2 2" xfId="2673"/>
    <cellStyle name="level1a 3 2 4 7 3" xfId="2674"/>
    <cellStyle name="level1a 3 2 4_STUD aligned by INSTIT" xfId="2675"/>
    <cellStyle name="level1a 3 2 5" xfId="2676"/>
    <cellStyle name="level1a 3 2 5 2" xfId="2677"/>
    <cellStyle name="level1a 3 2 5 2 2" xfId="2678"/>
    <cellStyle name="level1a 3 2 5 2 2 2" xfId="2679"/>
    <cellStyle name="level1a 3 2 5 2 2 2 2" xfId="2680"/>
    <cellStyle name="level1a 3 2 5 2 2 3" xfId="2681"/>
    <cellStyle name="level1a 3 2 5 2 3" xfId="2682"/>
    <cellStyle name="level1a 3 2 5 2 3 2" xfId="2683"/>
    <cellStyle name="level1a 3 2 5 2 3 2 2" xfId="2684"/>
    <cellStyle name="level1a 3 2 5 2 3 3" xfId="2685"/>
    <cellStyle name="level1a 3 2 5 2 4" xfId="2686"/>
    <cellStyle name="level1a 3 2 5 2 5" xfId="2687"/>
    <cellStyle name="level1a 3 2 5 2 5 2" xfId="2688"/>
    <cellStyle name="level1a 3 2 5 2 6" xfId="2689"/>
    <cellStyle name="level1a 3 2 5 3" xfId="2690"/>
    <cellStyle name="level1a 3 2 5 3 2" xfId="2691"/>
    <cellStyle name="level1a 3 2 5 3 2 2" xfId="2692"/>
    <cellStyle name="level1a 3 2 5 3 2 2 2" xfId="2693"/>
    <cellStyle name="level1a 3 2 5 3 2 3" xfId="2694"/>
    <cellStyle name="level1a 3 2 5 3 3" xfId="2695"/>
    <cellStyle name="level1a 3 2 5 3 3 2" xfId="2696"/>
    <cellStyle name="level1a 3 2 5 3 3 2 2" xfId="2697"/>
    <cellStyle name="level1a 3 2 5 3 3 3" xfId="2698"/>
    <cellStyle name="level1a 3 2 5 3 4" xfId="2699"/>
    <cellStyle name="level1a 3 2 5 4" xfId="2700"/>
    <cellStyle name="level1a 3 2 5 4 2" xfId="2701"/>
    <cellStyle name="level1a 3 2 5 4 2 2" xfId="2702"/>
    <cellStyle name="level1a 3 2 5 4 2 2 2" xfId="2703"/>
    <cellStyle name="level1a 3 2 5 4 2 3" xfId="2704"/>
    <cellStyle name="level1a 3 2 5 4 3" xfId="2705"/>
    <cellStyle name="level1a 3 2 5 4 3 2" xfId="2706"/>
    <cellStyle name="level1a 3 2 5 4 3 2 2" xfId="2707"/>
    <cellStyle name="level1a 3 2 5 4 3 3" xfId="2708"/>
    <cellStyle name="level1a 3 2 5 4 4" xfId="2709"/>
    <cellStyle name="level1a 3 2 5 4 4 2" xfId="2710"/>
    <cellStyle name="level1a 3 2 5 4 5" xfId="2711"/>
    <cellStyle name="level1a 3 2 5 5" xfId="2712"/>
    <cellStyle name="level1a 3 2 5 5 2" xfId="2713"/>
    <cellStyle name="level1a 3 2 5 5 2 2" xfId="2714"/>
    <cellStyle name="level1a 3 2 5 5 2 2 2" xfId="2715"/>
    <cellStyle name="level1a 3 2 5 5 2 3" xfId="2716"/>
    <cellStyle name="level1a 3 2 5 5 3" xfId="2717"/>
    <cellStyle name="level1a 3 2 5 5 3 2" xfId="2718"/>
    <cellStyle name="level1a 3 2 5 5 3 2 2" xfId="2719"/>
    <cellStyle name="level1a 3 2 5 5 3 3" xfId="2720"/>
    <cellStyle name="level1a 3 2 5 5 4" xfId="2721"/>
    <cellStyle name="level1a 3 2 5 5 4 2" xfId="2722"/>
    <cellStyle name="level1a 3 2 5 5 5" xfId="2723"/>
    <cellStyle name="level1a 3 2 5 6" xfId="2724"/>
    <cellStyle name="level1a 3 2 5 6 2" xfId="2725"/>
    <cellStyle name="level1a 3 2 5 6 2 2" xfId="2726"/>
    <cellStyle name="level1a 3 2 5 6 2 2 2" xfId="2727"/>
    <cellStyle name="level1a 3 2 5 6 2 3" xfId="2728"/>
    <cellStyle name="level1a 3 2 5 6 3" xfId="2729"/>
    <cellStyle name="level1a 3 2 5 6 3 2" xfId="2730"/>
    <cellStyle name="level1a 3 2 5 6 3 2 2" xfId="2731"/>
    <cellStyle name="level1a 3 2 5 6 3 3" xfId="2732"/>
    <cellStyle name="level1a 3 2 5 6 4" xfId="2733"/>
    <cellStyle name="level1a 3 2 5 6 4 2" xfId="2734"/>
    <cellStyle name="level1a 3 2 5 6 5" xfId="2735"/>
    <cellStyle name="level1a 3 2 5 7" xfId="2736"/>
    <cellStyle name="level1a 3 2 5 7 2" xfId="2737"/>
    <cellStyle name="level1a 3 2 5 7 2 2" xfId="2738"/>
    <cellStyle name="level1a 3 2 5 7 3" xfId="2739"/>
    <cellStyle name="level1a 3 2 5 8" xfId="2740"/>
    <cellStyle name="level1a 3 2 5 8 2" xfId="2741"/>
    <cellStyle name="level1a 3 2 5 8 2 2" xfId="2742"/>
    <cellStyle name="level1a 3 2 5 8 3" xfId="2743"/>
    <cellStyle name="level1a 3 2 5_STUD aligned by INSTIT" xfId="2744"/>
    <cellStyle name="level1a 3 2 6" xfId="2745"/>
    <cellStyle name="level1a 3 2 6 2" xfId="2746"/>
    <cellStyle name="level1a 3 2 6 2 2" xfId="2747"/>
    <cellStyle name="level1a 3 2 6 2 2 2" xfId="2748"/>
    <cellStyle name="level1a 3 2 6 2 3" xfId="2749"/>
    <cellStyle name="level1a 3 2 6 3" xfId="2750"/>
    <cellStyle name="level1a 3 2 6 3 2" xfId="2751"/>
    <cellStyle name="level1a 3 2 6 3 2 2" xfId="2752"/>
    <cellStyle name="level1a 3 2 6 3 3" xfId="2753"/>
    <cellStyle name="level1a 3 2 6 4" xfId="2754"/>
    <cellStyle name="level1a 3 2 6 5" xfId="2755"/>
    <cellStyle name="level1a 3 2 6 5 2" xfId="2756"/>
    <cellStyle name="level1a 3 2 7" xfId="2757"/>
    <cellStyle name="level1a 3 2 7 2" xfId="2758"/>
    <cellStyle name="level1a 3 2 7 2 2" xfId="2759"/>
    <cellStyle name="level1a 3 2 7 2 2 2" xfId="2760"/>
    <cellStyle name="level1a 3 2 7 2 3" xfId="2761"/>
    <cellStyle name="level1a 3 2 7 3" xfId="2762"/>
    <cellStyle name="level1a 3 2 7 3 2" xfId="2763"/>
    <cellStyle name="level1a 3 2 7 3 2 2" xfId="2764"/>
    <cellStyle name="level1a 3 2 7 3 3" xfId="2765"/>
    <cellStyle name="level1a 3 2 7 4" xfId="2766"/>
    <cellStyle name="level1a 3 2 7 5" xfId="2767"/>
    <cellStyle name="level1a 3 2 7 5 2" xfId="2768"/>
    <cellStyle name="level1a 3 2 7 6" xfId="2769"/>
    <cellStyle name="level1a 3 2 8" xfId="2770"/>
    <cellStyle name="level1a 3 2 8 2" xfId="2771"/>
    <cellStyle name="level1a 3 2 8 2 2" xfId="2772"/>
    <cellStyle name="level1a 3 2 8 2 2 2" xfId="2773"/>
    <cellStyle name="level1a 3 2 8 2 3" xfId="2774"/>
    <cellStyle name="level1a 3 2 8 3" xfId="2775"/>
    <cellStyle name="level1a 3 2 8 3 2" xfId="2776"/>
    <cellStyle name="level1a 3 2 8 3 2 2" xfId="2777"/>
    <cellStyle name="level1a 3 2 8 3 3" xfId="2778"/>
    <cellStyle name="level1a 3 2 8 4" xfId="2779"/>
    <cellStyle name="level1a 3 2 8 5" xfId="2780"/>
    <cellStyle name="level1a 3 2 9" xfId="2781"/>
    <cellStyle name="level1a 3 2 9 2" xfId="2782"/>
    <cellStyle name="level1a 3 2 9 2 2" xfId="2783"/>
    <cellStyle name="level1a 3 2 9 2 2 2" xfId="2784"/>
    <cellStyle name="level1a 3 2 9 2 3" xfId="2785"/>
    <cellStyle name="level1a 3 2 9 3" xfId="2786"/>
    <cellStyle name="level1a 3 2 9 3 2" xfId="2787"/>
    <cellStyle name="level1a 3 2 9 3 2 2" xfId="2788"/>
    <cellStyle name="level1a 3 2 9 3 3" xfId="2789"/>
    <cellStyle name="level1a 3 2 9 4" xfId="2790"/>
    <cellStyle name="level1a 3 2 9 5" xfId="2791"/>
    <cellStyle name="level1a 3 2 9 5 2" xfId="2792"/>
    <cellStyle name="level1a 3 2 9 6" xfId="2793"/>
    <cellStyle name="level1a 3 2_STUD aligned by INSTIT" xfId="2794"/>
    <cellStyle name="level1a 3 3" xfId="2795"/>
    <cellStyle name="level1a 3 3 10" xfId="2796"/>
    <cellStyle name="level1a 3 3 10 2" xfId="2797"/>
    <cellStyle name="level1a 3 3 10 2 2" xfId="2798"/>
    <cellStyle name="level1a 3 3 10 3" xfId="2799"/>
    <cellStyle name="level1a 3 3 11" xfId="2800"/>
    <cellStyle name="level1a 3 3 2" xfId="2801"/>
    <cellStyle name="level1a 3 3 2 10" xfId="2802"/>
    <cellStyle name="level1a 3 3 2 2" xfId="2803"/>
    <cellStyle name="level1a 3 3 2 2 2" xfId="2804"/>
    <cellStyle name="level1a 3 3 2 2 2 2" xfId="2805"/>
    <cellStyle name="level1a 3 3 2 2 2 2 2" xfId="2806"/>
    <cellStyle name="level1a 3 3 2 2 2 2 2 2" xfId="2807"/>
    <cellStyle name="level1a 3 3 2 2 2 2 3" xfId="2808"/>
    <cellStyle name="level1a 3 3 2 2 2 3" xfId="2809"/>
    <cellStyle name="level1a 3 3 2 2 2 3 2" xfId="2810"/>
    <cellStyle name="level1a 3 3 2 2 2 3 2 2" xfId="2811"/>
    <cellStyle name="level1a 3 3 2 2 2 3 3" xfId="2812"/>
    <cellStyle name="level1a 3 3 2 2 2 4" xfId="2813"/>
    <cellStyle name="level1a 3 3 2 2 2 5" xfId="2814"/>
    <cellStyle name="level1a 3 3 2 2 2 5 2" xfId="2815"/>
    <cellStyle name="level1a 3 3 2 2 3" xfId="2816"/>
    <cellStyle name="level1a 3 3 2 2 3 2" xfId="2817"/>
    <cellStyle name="level1a 3 3 2 2 3 2 2" xfId="2818"/>
    <cellStyle name="level1a 3 3 2 2 3 2 2 2" xfId="2819"/>
    <cellStyle name="level1a 3 3 2 2 3 2 3" xfId="2820"/>
    <cellStyle name="level1a 3 3 2 2 3 3" xfId="2821"/>
    <cellStyle name="level1a 3 3 2 2 3 3 2" xfId="2822"/>
    <cellStyle name="level1a 3 3 2 2 3 3 2 2" xfId="2823"/>
    <cellStyle name="level1a 3 3 2 2 3 3 3" xfId="2824"/>
    <cellStyle name="level1a 3 3 2 2 3 4" xfId="2825"/>
    <cellStyle name="level1a 3 3 2 2 3 5" xfId="2826"/>
    <cellStyle name="level1a 3 3 2 2 4" xfId="2827"/>
    <cellStyle name="level1a 3 3 2 2 4 2" xfId="2828"/>
    <cellStyle name="level1a 3 3 2 2 4 2 2" xfId="2829"/>
    <cellStyle name="level1a 3 3 2 2 4 2 2 2" xfId="2830"/>
    <cellStyle name="level1a 3 3 2 2 4 2 3" xfId="2831"/>
    <cellStyle name="level1a 3 3 2 2 4 3" xfId="2832"/>
    <cellStyle name="level1a 3 3 2 2 4 3 2" xfId="2833"/>
    <cellStyle name="level1a 3 3 2 2 4 3 2 2" xfId="2834"/>
    <cellStyle name="level1a 3 3 2 2 4 3 3" xfId="2835"/>
    <cellStyle name="level1a 3 3 2 2 4 4" xfId="2836"/>
    <cellStyle name="level1a 3 3 2 2 4 5" xfId="2837"/>
    <cellStyle name="level1a 3 3 2 2 4 5 2" xfId="2838"/>
    <cellStyle name="level1a 3 3 2 2 4 6" xfId="2839"/>
    <cellStyle name="level1a 3 3 2 2 5" xfId="2840"/>
    <cellStyle name="level1a 3 3 2 2 5 2" xfId="2841"/>
    <cellStyle name="level1a 3 3 2 2 5 2 2" xfId="2842"/>
    <cellStyle name="level1a 3 3 2 2 5 2 2 2" xfId="2843"/>
    <cellStyle name="level1a 3 3 2 2 5 2 3" xfId="2844"/>
    <cellStyle name="level1a 3 3 2 2 5 3" xfId="2845"/>
    <cellStyle name="level1a 3 3 2 2 5 3 2" xfId="2846"/>
    <cellStyle name="level1a 3 3 2 2 5 3 2 2" xfId="2847"/>
    <cellStyle name="level1a 3 3 2 2 5 3 3" xfId="2848"/>
    <cellStyle name="level1a 3 3 2 2 5 4" xfId="2849"/>
    <cellStyle name="level1a 3 3 2 2 5 4 2" xfId="2850"/>
    <cellStyle name="level1a 3 3 2 2 5 5" xfId="2851"/>
    <cellStyle name="level1a 3 3 2 2 6" xfId="2852"/>
    <cellStyle name="level1a 3 3 2 2 6 2" xfId="2853"/>
    <cellStyle name="level1a 3 3 2 2 6 2 2" xfId="2854"/>
    <cellStyle name="level1a 3 3 2 2 6 2 2 2" xfId="2855"/>
    <cellStyle name="level1a 3 3 2 2 6 2 3" xfId="2856"/>
    <cellStyle name="level1a 3 3 2 2 6 3" xfId="2857"/>
    <cellStyle name="level1a 3 3 2 2 6 3 2" xfId="2858"/>
    <cellStyle name="level1a 3 3 2 2 6 3 2 2" xfId="2859"/>
    <cellStyle name="level1a 3 3 2 2 6 3 3" xfId="2860"/>
    <cellStyle name="level1a 3 3 2 2 6 4" xfId="2861"/>
    <cellStyle name="level1a 3 3 2 2 6 4 2" xfId="2862"/>
    <cellStyle name="level1a 3 3 2 2 6 5" xfId="2863"/>
    <cellStyle name="level1a 3 3 2 2 7" xfId="2864"/>
    <cellStyle name="level1a 3 3 2 2 7 2" xfId="2865"/>
    <cellStyle name="level1a 3 3 2 2 7 2 2" xfId="2866"/>
    <cellStyle name="level1a 3 3 2 2 7 3" xfId="2867"/>
    <cellStyle name="level1a 3 3 2 2_STUD aligned by INSTIT" xfId="2868"/>
    <cellStyle name="level1a 3 3 2 3" xfId="2869"/>
    <cellStyle name="level1a 3 3 2 3 2" xfId="2870"/>
    <cellStyle name="level1a 3 3 2 3 2 2" xfId="2871"/>
    <cellStyle name="level1a 3 3 2 3 2 2 2" xfId="2872"/>
    <cellStyle name="level1a 3 3 2 3 2 2 2 2" xfId="2873"/>
    <cellStyle name="level1a 3 3 2 3 2 2 3" xfId="2874"/>
    <cellStyle name="level1a 3 3 2 3 2 3" xfId="2875"/>
    <cellStyle name="level1a 3 3 2 3 2 3 2" xfId="2876"/>
    <cellStyle name="level1a 3 3 2 3 2 3 2 2" xfId="2877"/>
    <cellStyle name="level1a 3 3 2 3 2 3 3" xfId="2878"/>
    <cellStyle name="level1a 3 3 2 3 2 4" xfId="2879"/>
    <cellStyle name="level1a 3 3 2 3 2 5" xfId="2880"/>
    <cellStyle name="level1a 3 3 2 3 3" xfId="2881"/>
    <cellStyle name="level1a 3 3 2 3 3 2" xfId="2882"/>
    <cellStyle name="level1a 3 3 2 3 3 2 2" xfId="2883"/>
    <cellStyle name="level1a 3 3 2 3 3 2 2 2" xfId="2884"/>
    <cellStyle name="level1a 3 3 2 3 3 2 3" xfId="2885"/>
    <cellStyle name="level1a 3 3 2 3 3 3" xfId="2886"/>
    <cellStyle name="level1a 3 3 2 3 3 3 2" xfId="2887"/>
    <cellStyle name="level1a 3 3 2 3 3 3 2 2" xfId="2888"/>
    <cellStyle name="level1a 3 3 2 3 3 3 3" xfId="2889"/>
    <cellStyle name="level1a 3 3 2 3 3 4" xfId="2890"/>
    <cellStyle name="level1a 3 3 2 3 3 4 2" xfId="2891"/>
    <cellStyle name="level1a 3 3 2 3 4" xfId="2892"/>
    <cellStyle name="level1a 3 3 2 3 4 2" xfId="2893"/>
    <cellStyle name="level1a 3 3 2 3 4 2 2" xfId="2894"/>
    <cellStyle name="level1a 3 3 2 3 4 2 2 2" xfId="2895"/>
    <cellStyle name="level1a 3 3 2 3 4 2 3" xfId="2896"/>
    <cellStyle name="level1a 3 3 2 3 4 3" xfId="2897"/>
    <cellStyle name="level1a 3 3 2 3 4 3 2" xfId="2898"/>
    <cellStyle name="level1a 3 3 2 3 4 3 2 2" xfId="2899"/>
    <cellStyle name="level1a 3 3 2 3 4 3 3" xfId="2900"/>
    <cellStyle name="level1a 3 3 2 3 4 4" xfId="2901"/>
    <cellStyle name="level1a 3 3 2 3 4 4 2" xfId="2902"/>
    <cellStyle name="level1a 3 3 2 3 4 5" xfId="2903"/>
    <cellStyle name="level1a 3 3 2 3 5" xfId="2904"/>
    <cellStyle name="level1a 3 3 2 3 5 2" xfId="2905"/>
    <cellStyle name="level1a 3 3 2 3 5 2 2" xfId="2906"/>
    <cellStyle name="level1a 3 3 2 3 5 2 2 2" xfId="2907"/>
    <cellStyle name="level1a 3 3 2 3 5 2 3" xfId="2908"/>
    <cellStyle name="level1a 3 3 2 3 5 3" xfId="2909"/>
    <cellStyle name="level1a 3 3 2 3 5 3 2" xfId="2910"/>
    <cellStyle name="level1a 3 3 2 3 5 3 2 2" xfId="2911"/>
    <cellStyle name="level1a 3 3 2 3 5 3 3" xfId="2912"/>
    <cellStyle name="level1a 3 3 2 3 5 4" xfId="2913"/>
    <cellStyle name="level1a 3 3 2 3 5 4 2" xfId="2914"/>
    <cellStyle name="level1a 3 3 2 3 5 5" xfId="2915"/>
    <cellStyle name="level1a 3 3 2 3 6" xfId="2916"/>
    <cellStyle name="level1a 3 3 2 3 6 2" xfId="2917"/>
    <cellStyle name="level1a 3 3 2 3 6 2 2" xfId="2918"/>
    <cellStyle name="level1a 3 3 2 3 6 2 2 2" xfId="2919"/>
    <cellStyle name="level1a 3 3 2 3 6 2 3" xfId="2920"/>
    <cellStyle name="level1a 3 3 2 3 6 3" xfId="2921"/>
    <cellStyle name="level1a 3 3 2 3 6 3 2" xfId="2922"/>
    <cellStyle name="level1a 3 3 2 3 6 3 2 2" xfId="2923"/>
    <cellStyle name="level1a 3 3 2 3 6 3 3" xfId="2924"/>
    <cellStyle name="level1a 3 3 2 3 6 4" xfId="2925"/>
    <cellStyle name="level1a 3 3 2 3 6 4 2" xfId="2926"/>
    <cellStyle name="level1a 3 3 2 3 6 5" xfId="2927"/>
    <cellStyle name="level1a 3 3 2 3 7" xfId="2928"/>
    <cellStyle name="level1a 3 3 2 3 7 2" xfId="2929"/>
    <cellStyle name="level1a 3 3 2 3 7 2 2" xfId="2930"/>
    <cellStyle name="level1a 3 3 2 3 7 3" xfId="2931"/>
    <cellStyle name="level1a 3 3 2 3 8" xfId="2932"/>
    <cellStyle name="level1a 3 3 2 3 8 2" xfId="2933"/>
    <cellStyle name="level1a 3 3 2 3 8 2 2" xfId="2934"/>
    <cellStyle name="level1a 3 3 2 3 8 3" xfId="2935"/>
    <cellStyle name="level1a 3 3 2 3_STUD aligned by INSTIT" xfId="2936"/>
    <cellStyle name="level1a 3 3 2 4" xfId="2937"/>
    <cellStyle name="level1a 3 3 2 4 2" xfId="2938"/>
    <cellStyle name="level1a 3 3 2 4 2 2" xfId="2939"/>
    <cellStyle name="level1a 3 3 2 4 2 2 2" xfId="2940"/>
    <cellStyle name="level1a 3 3 2 4 2 3" xfId="2941"/>
    <cellStyle name="level1a 3 3 2 4 3" xfId="2942"/>
    <cellStyle name="level1a 3 3 2 4 3 2" xfId="2943"/>
    <cellStyle name="level1a 3 3 2 4 3 2 2" xfId="2944"/>
    <cellStyle name="level1a 3 3 2 4 3 3" xfId="2945"/>
    <cellStyle name="level1a 3 3 2 4 4" xfId="2946"/>
    <cellStyle name="level1a 3 3 2 4 5" xfId="2947"/>
    <cellStyle name="level1a 3 3 2 4 5 2" xfId="2948"/>
    <cellStyle name="level1a 3 3 2 5" xfId="2949"/>
    <cellStyle name="level1a 3 3 2 5 2" xfId="2950"/>
    <cellStyle name="level1a 3 3 2 5 2 2" xfId="2951"/>
    <cellStyle name="level1a 3 3 2 5 2 2 2" xfId="2952"/>
    <cellStyle name="level1a 3 3 2 5 2 3" xfId="2953"/>
    <cellStyle name="level1a 3 3 2 5 3" xfId="2954"/>
    <cellStyle name="level1a 3 3 2 5 3 2" xfId="2955"/>
    <cellStyle name="level1a 3 3 2 5 3 2 2" xfId="2956"/>
    <cellStyle name="level1a 3 3 2 5 3 3" xfId="2957"/>
    <cellStyle name="level1a 3 3 2 5 4" xfId="2958"/>
    <cellStyle name="level1a 3 3 2 5 5" xfId="2959"/>
    <cellStyle name="level1a 3 3 2 5 5 2" xfId="2960"/>
    <cellStyle name="level1a 3 3 2 5 6" xfId="2961"/>
    <cellStyle name="level1a 3 3 2 6" xfId="2962"/>
    <cellStyle name="level1a 3 3 2 6 2" xfId="2963"/>
    <cellStyle name="level1a 3 3 2 6 2 2" xfId="2964"/>
    <cellStyle name="level1a 3 3 2 6 2 2 2" xfId="2965"/>
    <cellStyle name="level1a 3 3 2 6 2 3" xfId="2966"/>
    <cellStyle name="level1a 3 3 2 6 3" xfId="2967"/>
    <cellStyle name="level1a 3 3 2 6 3 2" xfId="2968"/>
    <cellStyle name="level1a 3 3 2 6 3 2 2" xfId="2969"/>
    <cellStyle name="level1a 3 3 2 6 3 3" xfId="2970"/>
    <cellStyle name="level1a 3 3 2 6 4" xfId="2971"/>
    <cellStyle name="level1a 3 3 2 6 5" xfId="2972"/>
    <cellStyle name="level1a 3 3 2 7" xfId="2973"/>
    <cellStyle name="level1a 3 3 2 7 2" xfId="2974"/>
    <cellStyle name="level1a 3 3 2 7 2 2" xfId="2975"/>
    <cellStyle name="level1a 3 3 2 7 2 2 2" xfId="2976"/>
    <cellStyle name="level1a 3 3 2 7 2 3" xfId="2977"/>
    <cellStyle name="level1a 3 3 2 7 3" xfId="2978"/>
    <cellStyle name="level1a 3 3 2 7 3 2" xfId="2979"/>
    <cellStyle name="level1a 3 3 2 7 3 2 2" xfId="2980"/>
    <cellStyle name="level1a 3 3 2 7 3 3" xfId="2981"/>
    <cellStyle name="level1a 3 3 2 7 4" xfId="2982"/>
    <cellStyle name="level1a 3 3 2 7 5" xfId="2983"/>
    <cellStyle name="level1a 3 3 2 7 5 2" xfId="2984"/>
    <cellStyle name="level1a 3 3 2 7 6" xfId="2985"/>
    <cellStyle name="level1a 3 3 2 8" xfId="2986"/>
    <cellStyle name="level1a 3 3 2 8 2" xfId="2987"/>
    <cellStyle name="level1a 3 3 2 8 2 2" xfId="2988"/>
    <cellStyle name="level1a 3 3 2 8 2 2 2" xfId="2989"/>
    <cellStyle name="level1a 3 3 2 8 2 3" xfId="2990"/>
    <cellStyle name="level1a 3 3 2 8 3" xfId="2991"/>
    <cellStyle name="level1a 3 3 2 8 3 2" xfId="2992"/>
    <cellStyle name="level1a 3 3 2 8 3 2 2" xfId="2993"/>
    <cellStyle name="level1a 3 3 2 8 3 3" xfId="2994"/>
    <cellStyle name="level1a 3 3 2 8 4" xfId="2995"/>
    <cellStyle name="level1a 3 3 2 8 4 2" xfId="2996"/>
    <cellStyle name="level1a 3 3 2 8 5" xfId="2997"/>
    <cellStyle name="level1a 3 3 2 9" xfId="2998"/>
    <cellStyle name="level1a 3 3 2 9 2" xfId="2999"/>
    <cellStyle name="level1a 3 3 2 9 2 2" xfId="3000"/>
    <cellStyle name="level1a 3 3 2 9 3" xfId="3001"/>
    <cellStyle name="level1a 3 3 2_STUD aligned by INSTIT" xfId="3002"/>
    <cellStyle name="level1a 3 3 3" xfId="3003"/>
    <cellStyle name="level1a 3 3 3 2" xfId="3004"/>
    <cellStyle name="level1a 3 3 3 2 2" xfId="3005"/>
    <cellStyle name="level1a 3 3 3 2 2 2" xfId="3006"/>
    <cellStyle name="level1a 3 3 3 2 2 2 2" xfId="3007"/>
    <cellStyle name="level1a 3 3 3 2 2 3" xfId="3008"/>
    <cellStyle name="level1a 3 3 3 2 3" xfId="3009"/>
    <cellStyle name="level1a 3 3 3 2 3 2" xfId="3010"/>
    <cellStyle name="level1a 3 3 3 2 3 2 2" xfId="3011"/>
    <cellStyle name="level1a 3 3 3 2 3 3" xfId="3012"/>
    <cellStyle name="level1a 3 3 3 2 4" xfId="3013"/>
    <cellStyle name="level1a 3 3 3 2 5" xfId="3014"/>
    <cellStyle name="level1a 3 3 3 2 5 2" xfId="3015"/>
    <cellStyle name="level1a 3 3 3 3" xfId="3016"/>
    <cellStyle name="level1a 3 3 3 3 2" xfId="3017"/>
    <cellStyle name="level1a 3 3 3 3 2 2" xfId="3018"/>
    <cellStyle name="level1a 3 3 3 3 2 2 2" xfId="3019"/>
    <cellStyle name="level1a 3 3 3 3 2 3" xfId="3020"/>
    <cellStyle name="level1a 3 3 3 3 3" xfId="3021"/>
    <cellStyle name="level1a 3 3 3 3 3 2" xfId="3022"/>
    <cellStyle name="level1a 3 3 3 3 3 2 2" xfId="3023"/>
    <cellStyle name="level1a 3 3 3 3 3 3" xfId="3024"/>
    <cellStyle name="level1a 3 3 3 3 4" xfId="3025"/>
    <cellStyle name="level1a 3 3 3 3 5" xfId="3026"/>
    <cellStyle name="level1a 3 3 3 4" xfId="3027"/>
    <cellStyle name="level1a 3 3 3 4 2" xfId="3028"/>
    <cellStyle name="level1a 3 3 3 4 2 2" xfId="3029"/>
    <cellStyle name="level1a 3 3 3 4 2 2 2" xfId="3030"/>
    <cellStyle name="level1a 3 3 3 4 2 3" xfId="3031"/>
    <cellStyle name="level1a 3 3 3 4 3" xfId="3032"/>
    <cellStyle name="level1a 3 3 3 4 3 2" xfId="3033"/>
    <cellStyle name="level1a 3 3 3 4 3 2 2" xfId="3034"/>
    <cellStyle name="level1a 3 3 3 4 3 3" xfId="3035"/>
    <cellStyle name="level1a 3 3 3 4 4" xfId="3036"/>
    <cellStyle name="level1a 3 3 3 4 5" xfId="3037"/>
    <cellStyle name="level1a 3 3 3 4 5 2" xfId="3038"/>
    <cellStyle name="level1a 3 3 3 4 6" xfId="3039"/>
    <cellStyle name="level1a 3 3 3 5" xfId="3040"/>
    <cellStyle name="level1a 3 3 3 5 2" xfId="3041"/>
    <cellStyle name="level1a 3 3 3 5 2 2" xfId="3042"/>
    <cellStyle name="level1a 3 3 3 5 2 2 2" xfId="3043"/>
    <cellStyle name="level1a 3 3 3 5 2 3" xfId="3044"/>
    <cellStyle name="level1a 3 3 3 5 3" xfId="3045"/>
    <cellStyle name="level1a 3 3 3 5 3 2" xfId="3046"/>
    <cellStyle name="level1a 3 3 3 5 3 2 2" xfId="3047"/>
    <cellStyle name="level1a 3 3 3 5 3 3" xfId="3048"/>
    <cellStyle name="level1a 3 3 3 5 4" xfId="3049"/>
    <cellStyle name="level1a 3 3 3 5 4 2" xfId="3050"/>
    <cellStyle name="level1a 3 3 3 5 5" xfId="3051"/>
    <cellStyle name="level1a 3 3 3 6" xfId="3052"/>
    <cellStyle name="level1a 3 3 3 6 2" xfId="3053"/>
    <cellStyle name="level1a 3 3 3 6 2 2" xfId="3054"/>
    <cellStyle name="level1a 3 3 3 6 2 2 2" xfId="3055"/>
    <cellStyle name="level1a 3 3 3 6 2 3" xfId="3056"/>
    <cellStyle name="level1a 3 3 3 6 3" xfId="3057"/>
    <cellStyle name="level1a 3 3 3 6 3 2" xfId="3058"/>
    <cellStyle name="level1a 3 3 3 6 3 2 2" xfId="3059"/>
    <cellStyle name="level1a 3 3 3 6 3 3" xfId="3060"/>
    <cellStyle name="level1a 3 3 3 6 4" xfId="3061"/>
    <cellStyle name="level1a 3 3 3 6 4 2" xfId="3062"/>
    <cellStyle name="level1a 3 3 3 6 5" xfId="3063"/>
    <cellStyle name="level1a 3 3 3 7" xfId="3064"/>
    <cellStyle name="level1a 3 3 3 7 2" xfId="3065"/>
    <cellStyle name="level1a 3 3 3 7 2 2" xfId="3066"/>
    <cellStyle name="level1a 3 3 3 7 3" xfId="3067"/>
    <cellStyle name="level1a 3 3 3_STUD aligned by INSTIT" xfId="3068"/>
    <cellStyle name="level1a 3 3 4" xfId="3069"/>
    <cellStyle name="level1a 3 3 4 2" xfId="3070"/>
    <cellStyle name="level1a 3 3 4 2 2" xfId="3071"/>
    <cellStyle name="level1a 3 3 4 2 2 2" xfId="3072"/>
    <cellStyle name="level1a 3 3 4 2 2 2 2" xfId="3073"/>
    <cellStyle name="level1a 3 3 4 2 2 3" xfId="3074"/>
    <cellStyle name="level1a 3 3 4 2 3" xfId="3075"/>
    <cellStyle name="level1a 3 3 4 2 3 2" xfId="3076"/>
    <cellStyle name="level1a 3 3 4 2 3 2 2" xfId="3077"/>
    <cellStyle name="level1a 3 3 4 2 3 3" xfId="3078"/>
    <cellStyle name="level1a 3 3 4 2 4" xfId="3079"/>
    <cellStyle name="level1a 3 3 4 2 5" xfId="3080"/>
    <cellStyle name="level1a 3 3 4 2 5 2" xfId="3081"/>
    <cellStyle name="level1a 3 3 4 2 6" xfId="3082"/>
    <cellStyle name="level1a 3 3 4 3" xfId="3083"/>
    <cellStyle name="level1a 3 3 4 3 2" xfId="3084"/>
    <cellStyle name="level1a 3 3 4 3 2 2" xfId="3085"/>
    <cellStyle name="level1a 3 3 4 3 2 2 2" xfId="3086"/>
    <cellStyle name="level1a 3 3 4 3 2 3" xfId="3087"/>
    <cellStyle name="level1a 3 3 4 3 3" xfId="3088"/>
    <cellStyle name="level1a 3 3 4 3 3 2" xfId="3089"/>
    <cellStyle name="level1a 3 3 4 3 3 2 2" xfId="3090"/>
    <cellStyle name="level1a 3 3 4 3 3 3" xfId="3091"/>
    <cellStyle name="level1a 3 3 4 3 4" xfId="3092"/>
    <cellStyle name="level1a 3 3 4 4" xfId="3093"/>
    <cellStyle name="level1a 3 3 4 4 2" xfId="3094"/>
    <cellStyle name="level1a 3 3 4 4 2 2" xfId="3095"/>
    <cellStyle name="level1a 3 3 4 4 2 2 2" xfId="3096"/>
    <cellStyle name="level1a 3 3 4 4 2 3" xfId="3097"/>
    <cellStyle name="level1a 3 3 4 4 3" xfId="3098"/>
    <cellStyle name="level1a 3 3 4 4 3 2" xfId="3099"/>
    <cellStyle name="level1a 3 3 4 4 3 2 2" xfId="3100"/>
    <cellStyle name="level1a 3 3 4 4 3 3" xfId="3101"/>
    <cellStyle name="level1a 3 3 4 4 4" xfId="3102"/>
    <cellStyle name="level1a 3 3 4 4 4 2" xfId="3103"/>
    <cellStyle name="level1a 3 3 4 4 5" xfId="3104"/>
    <cellStyle name="level1a 3 3 4 5" xfId="3105"/>
    <cellStyle name="level1a 3 3 4 5 2" xfId="3106"/>
    <cellStyle name="level1a 3 3 4 5 2 2" xfId="3107"/>
    <cellStyle name="level1a 3 3 4 5 2 2 2" xfId="3108"/>
    <cellStyle name="level1a 3 3 4 5 2 3" xfId="3109"/>
    <cellStyle name="level1a 3 3 4 5 3" xfId="3110"/>
    <cellStyle name="level1a 3 3 4 5 3 2" xfId="3111"/>
    <cellStyle name="level1a 3 3 4 5 3 2 2" xfId="3112"/>
    <cellStyle name="level1a 3 3 4 5 3 3" xfId="3113"/>
    <cellStyle name="level1a 3 3 4 5 4" xfId="3114"/>
    <cellStyle name="level1a 3 3 4 5 4 2" xfId="3115"/>
    <cellStyle name="level1a 3 3 4 5 5" xfId="3116"/>
    <cellStyle name="level1a 3 3 4 6" xfId="3117"/>
    <cellStyle name="level1a 3 3 4 6 2" xfId="3118"/>
    <cellStyle name="level1a 3 3 4 6 2 2" xfId="3119"/>
    <cellStyle name="level1a 3 3 4 6 2 2 2" xfId="3120"/>
    <cellStyle name="level1a 3 3 4 6 2 3" xfId="3121"/>
    <cellStyle name="level1a 3 3 4 6 3" xfId="3122"/>
    <cellStyle name="level1a 3 3 4 6 3 2" xfId="3123"/>
    <cellStyle name="level1a 3 3 4 6 3 2 2" xfId="3124"/>
    <cellStyle name="level1a 3 3 4 6 3 3" xfId="3125"/>
    <cellStyle name="level1a 3 3 4 6 4" xfId="3126"/>
    <cellStyle name="level1a 3 3 4 6 4 2" xfId="3127"/>
    <cellStyle name="level1a 3 3 4 6 5" xfId="3128"/>
    <cellStyle name="level1a 3 3 4 7" xfId="3129"/>
    <cellStyle name="level1a 3 3 4 7 2" xfId="3130"/>
    <cellStyle name="level1a 3 3 4 7 2 2" xfId="3131"/>
    <cellStyle name="level1a 3 3 4 7 3" xfId="3132"/>
    <cellStyle name="level1a 3 3 4 8" xfId="3133"/>
    <cellStyle name="level1a 3 3 4 8 2" xfId="3134"/>
    <cellStyle name="level1a 3 3 4 8 2 2" xfId="3135"/>
    <cellStyle name="level1a 3 3 4 8 3" xfId="3136"/>
    <cellStyle name="level1a 3 3 4_STUD aligned by INSTIT" xfId="3137"/>
    <cellStyle name="level1a 3 3 5" xfId="3138"/>
    <cellStyle name="level1a 3 3 5 2" xfId="3139"/>
    <cellStyle name="level1a 3 3 5 2 2" xfId="3140"/>
    <cellStyle name="level1a 3 3 5 2 2 2" xfId="3141"/>
    <cellStyle name="level1a 3 3 5 2 3" xfId="3142"/>
    <cellStyle name="level1a 3 3 5 3" xfId="3143"/>
    <cellStyle name="level1a 3 3 5 3 2" xfId="3144"/>
    <cellStyle name="level1a 3 3 5 3 2 2" xfId="3145"/>
    <cellStyle name="level1a 3 3 5 3 3" xfId="3146"/>
    <cellStyle name="level1a 3 3 5 4" xfId="3147"/>
    <cellStyle name="level1a 3 3 5 5" xfId="3148"/>
    <cellStyle name="level1a 3 3 5 5 2" xfId="3149"/>
    <cellStyle name="level1a 3 3 6" xfId="3150"/>
    <cellStyle name="level1a 3 3 6 2" xfId="3151"/>
    <cellStyle name="level1a 3 3 6 2 2" xfId="3152"/>
    <cellStyle name="level1a 3 3 6 2 2 2" xfId="3153"/>
    <cellStyle name="level1a 3 3 6 2 3" xfId="3154"/>
    <cellStyle name="level1a 3 3 6 3" xfId="3155"/>
    <cellStyle name="level1a 3 3 6 3 2" xfId="3156"/>
    <cellStyle name="level1a 3 3 6 3 2 2" xfId="3157"/>
    <cellStyle name="level1a 3 3 6 3 3" xfId="3158"/>
    <cellStyle name="level1a 3 3 6 4" xfId="3159"/>
    <cellStyle name="level1a 3 3 6 5" xfId="3160"/>
    <cellStyle name="level1a 3 3 6 5 2" xfId="3161"/>
    <cellStyle name="level1a 3 3 6 6" xfId="3162"/>
    <cellStyle name="level1a 3 3 7" xfId="3163"/>
    <cellStyle name="level1a 3 3 7 2" xfId="3164"/>
    <cellStyle name="level1a 3 3 7 2 2" xfId="3165"/>
    <cellStyle name="level1a 3 3 7 2 2 2" xfId="3166"/>
    <cellStyle name="level1a 3 3 7 2 3" xfId="3167"/>
    <cellStyle name="level1a 3 3 7 3" xfId="3168"/>
    <cellStyle name="level1a 3 3 7 3 2" xfId="3169"/>
    <cellStyle name="level1a 3 3 7 3 2 2" xfId="3170"/>
    <cellStyle name="level1a 3 3 7 3 3" xfId="3171"/>
    <cellStyle name="level1a 3 3 7 4" xfId="3172"/>
    <cellStyle name="level1a 3 3 7 5" xfId="3173"/>
    <cellStyle name="level1a 3 3 8" xfId="3174"/>
    <cellStyle name="level1a 3 3 8 2" xfId="3175"/>
    <cellStyle name="level1a 3 3 8 2 2" xfId="3176"/>
    <cellStyle name="level1a 3 3 8 2 2 2" xfId="3177"/>
    <cellStyle name="level1a 3 3 8 2 3" xfId="3178"/>
    <cellStyle name="level1a 3 3 8 3" xfId="3179"/>
    <cellStyle name="level1a 3 3 8 3 2" xfId="3180"/>
    <cellStyle name="level1a 3 3 8 3 2 2" xfId="3181"/>
    <cellStyle name="level1a 3 3 8 3 3" xfId="3182"/>
    <cellStyle name="level1a 3 3 8 4" xfId="3183"/>
    <cellStyle name="level1a 3 3 8 5" xfId="3184"/>
    <cellStyle name="level1a 3 3 8 5 2" xfId="3185"/>
    <cellStyle name="level1a 3 3 8 6" xfId="3186"/>
    <cellStyle name="level1a 3 3 9" xfId="3187"/>
    <cellStyle name="level1a 3 3 9 2" xfId="3188"/>
    <cellStyle name="level1a 3 3 9 2 2" xfId="3189"/>
    <cellStyle name="level1a 3 3 9 2 2 2" xfId="3190"/>
    <cellStyle name="level1a 3 3 9 2 3" xfId="3191"/>
    <cellStyle name="level1a 3 3 9 3" xfId="3192"/>
    <cellStyle name="level1a 3 3 9 3 2" xfId="3193"/>
    <cellStyle name="level1a 3 3 9 3 2 2" xfId="3194"/>
    <cellStyle name="level1a 3 3 9 3 3" xfId="3195"/>
    <cellStyle name="level1a 3 3 9 4" xfId="3196"/>
    <cellStyle name="level1a 3 3 9 4 2" xfId="3197"/>
    <cellStyle name="level1a 3 3 9 5" xfId="3198"/>
    <cellStyle name="level1a 3 3_STUD aligned by INSTIT" xfId="3199"/>
    <cellStyle name="level1a 3 4" xfId="3200"/>
    <cellStyle name="level1a 3 4 10" xfId="3201"/>
    <cellStyle name="level1a 3 4 2" xfId="3202"/>
    <cellStyle name="level1a 3 4 2 2" xfId="3203"/>
    <cellStyle name="level1a 3 4 2 2 2" xfId="3204"/>
    <cellStyle name="level1a 3 4 2 2 2 2" xfId="3205"/>
    <cellStyle name="level1a 3 4 2 2 2 2 2" xfId="3206"/>
    <cellStyle name="level1a 3 4 2 2 2 3" xfId="3207"/>
    <cellStyle name="level1a 3 4 2 2 3" xfId="3208"/>
    <cellStyle name="level1a 3 4 2 2 3 2" xfId="3209"/>
    <cellStyle name="level1a 3 4 2 2 3 2 2" xfId="3210"/>
    <cellStyle name="level1a 3 4 2 2 3 3" xfId="3211"/>
    <cellStyle name="level1a 3 4 2 2 4" xfId="3212"/>
    <cellStyle name="level1a 3 4 2 2 5" xfId="3213"/>
    <cellStyle name="level1a 3 4 2 2 5 2" xfId="3214"/>
    <cellStyle name="level1a 3 4 2 3" xfId="3215"/>
    <cellStyle name="level1a 3 4 2 3 2" xfId="3216"/>
    <cellStyle name="level1a 3 4 2 3 2 2" xfId="3217"/>
    <cellStyle name="level1a 3 4 2 3 2 2 2" xfId="3218"/>
    <cellStyle name="level1a 3 4 2 3 2 3" xfId="3219"/>
    <cellStyle name="level1a 3 4 2 3 3" xfId="3220"/>
    <cellStyle name="level1a 3 4 2 3 3 2" xfId="3221"/>
    <cellStyle name="level1a 3 4 2 3 3 2 2" xfId="3222"/>
    <cellStyle name="level1a 3 4 2 3 3 3" xfId="3223"/>
    <cellStyle name="level1a 3 4 2 3 4" xfId="3224"/>
    <cellStyle name="level1a 3 4 2 3 5" xfId="3225"/>
    <cellStyle name="level1a 3 4 2 4" xfId="3226"/>
    <cellStyle name="level1a 3 4 2 4 2" xfId="3227"/>
    <cellStyle name="level1a 3 4 2 4 2 2" xfId="3228"/>
    <cellStyle name="level1a 3 4 2 4 2 2 2" xfId="3229"/>
    <cellStyle name="level1a 3 4 2 4 2 3" xfId="3230"/>
    <cellStyle name="level1a 3 4 2 4 3" xfId="3231"/>
    <cellStyle name="level1a 3 4 2 4 3 2" xfId="3232"/>
    <cellStyle name="level1a 3 4 2 4 3 2 2" xfId="3233"/>
    <cellStyle name="level1a 3 4 2 4 3 3" xfId="3234"/>
    <cellStyle name="level1a 3 4 2 4 4" xfId="3235"/>
    <cellStyle name="level1a 3 4 2 4 5" xfId="3236"/>
    <cellStyle name="level1a 3 4 2 4 5 2" xfId="3237"/>
    <cellStyle name="level1a 3 4 2 4 6" xfId="3238"/>
    <cellStyle name="level1a 3 4 2 5" xfId="3239"/>
    <cellStyle name="level1a 3 4 2 5 2" xfId="3240"/>
    <cellStyle name="level1a 3 4 2 5 2 2" xfId="3241"/>
    <cellStyle name="level1a 3 4 2 5 2 2 2" xfId="3242"/>
    <cellStyle name="level1a 3 4 2 5 2 3" xfId="3243"/>
    <cellStyle name="level1a 3 4 2 5 3" xfId="3244"/>
    <cellStyle name="level1a 3 4 2 5 3 2" xfId="3245"/>
    <cellStyle name="level1a 3 4 2 5 3 2 2" xfId="3246"/>
    <cellStyle name="level1a 3 4 2 5 3 3" xfId="3247"/>
    <cellStyle name="level1a 3 4 2 5 4" xfId="3248"/>
    <cellStyle name="level1a 3 4 2 5 4 2" xfId="3249"/>
    <cellStyle name="level1a 3 4 2 5 5" xfId="3250"/>
    <cellStyle name="level1a 3 4 2 6" xfId="3251"/>
    <cellStyle name="level1a 3 4 2 6 2" xfId="3252"/>
    <cellStyle name="level1a 3 4 2 6 2 2" xfId="3253"/>
    <cellStyle name="level1a 3 4 2 6 2 2 2" xfId="3254"/>
    <cellStyle name="level1a 3 4 2 6 2 3" xfId="3255"/>
    <cellStyle name="level1a 3 4 2 6 3" xfId="3256"/>
    <cellStyle name="level1a 3 4 2 6 3 2" xfId="3257"/>
    <cellStyle name="level1a 3 4 2 6 3 2 2" xfId="3258"/>
    <cellStyle name="level1a 3 4 2 6 3 3" xfId="3259"/>
    <cellStyle name="level1a 3 4 2 6 4" xfId="3260"/>
    <cellStyle name="level1a 3 4 2 6 4 2" xfId="3261"/>
    <cellStyle name="level1a 3 4 2 6 5" xfId="3262"/>
    <cellStyle name="level1a 3 4 2 7" xfId="3263"/>
    <cellStyle name="level1a 3 4 2 7 2" xfId="3264"/>
    <cellStyle name="level1a 3 4 2 7 2 2" xfId="3265"/>
    <cellStyle name="level1a 3 4 2 7 3" xfId="3266"/>
    <cellStyle name="level1a 3 4 2_STUD aligned by INSTIT" xfId="3267"/>
    <cellStyle name="level1a 3 4 3" xfId="3268"/>
    <cellStyle name="level1a 3 4 3 2" xfId="3269"/>
    <cellStyle name="level1a 3 4 3 2 2" xfId="3270"/>
    <cellStyle name="level1a 3 4 3 2 2 2" xfId="3271"/>
    <cellStyle name="level1a 3 4 3 2 2 2 2" xfId="3272"/>
    <cellStyle name="level1a 3 4 3 2 2 3" xfId="3273"/>
    <cellStyle name="level1a 3 4 3 2 3" xfId="3274"/>
    <cellStyle name="level1a 3 4 3 2 3 2" xfId="3275"/>
    <cellStyle name="level1a 3 4 3 2 3 2 2" xfId="3276"/>
    <cellStyle name="level1a 3 4 3 2 3 3" xfId="3277"/>
    <cellStyle name="level1a 3 4 3 2 4" xfId="3278"/>
    <cellStyle name="level1a 3 4 3 2 5" xfId="3279"/>
    <cellStyle name="level1a 3 4 3 3" xfId="3280"/>
    <cellStyle name="level1a 3 4 3 3 2" xfId="3281"/>
    <cellStyle name="level1a 3 4 3 3 2 2" xfId="3282"/>
    <cellStyle name="level1a 3 4 3 3 2 2 2" xfId="3283"/>
    <cellStyle name="level1a 3 4 3 3 2 3" xfId="3284"/>
    <cellStyle name="level1a 3 4 3 3 3" xfId="3285"/>
    <cellStyle name="level1a 3 4 3 3 3 2" xfId="3286"/>
    <cellStyle name="level1a 3 4 3 3 3 2 2" xfId="3287"/>
    <cellStyle name="level1a 3 4 3 3 3 3" xfId="3288"/>
    <cellStyle name="level1a 3 4 3 3 4" xfId="3289"/>
    <cellStyle name="level1a 3 4 3 3 4 2" xfId="3290"/>
    <cellStyle name="level1a 3 4 3 4" xfId="3291"/>
    <cellStyle name="level1a 3 4 3 4 2" xfId="3292"/>
    <cellStyle name="level1a 3 4 3 4 2 2" xfId="3293"/>
    <cellStyle name="level1a 3 4 3 4 2 2 2" xfId="3294"/>
    <cellStyle name="level1a 3 4 3 4 2 3" xfId="3295"/>
    <cellStyle name="level1a 3 4 3 4 3" xfId="3296"/>
    <cellStyle name="level1a 3 4 3 4 3 2" xfId="3297"/>
    <cellStyle name="level1a 3 4 3 4 3 2 2" xfId="3298"/>
    <cellStyle name="level1a 3 4 3 4 3 3" xfId="3299"/>
    <cellStyle name="level1a 3 4 3 4 4" xfId="3300"/>
    <cellStyle name="level1a 3 4 3 4 4 2" xfId="3301"/>
    <cellStyle name="level1a 3 4 3 4 5" xfId="3302"/>
    <cellStyle name="level1a 3 4 3 5" xfId="3303"/>
    <cellStyle name="level1a 3 4 3 5 2" xfId="3304"/>
    <cellStyle name="level1a 3 4 3 5 2 2" xfId="3305"/>
    <cellStyle name="level1a 3 4 3 5 2 2 2" xfId="3306"/>
    <cellStyle name="level1a 3 4 3 5 2 3" xfId="3307"/>
    <cellStyle name="level1a 3 4 3 5 3" xfId="3308"/>
    <cellStyle name="level1a 3 4 3 5 3 2" xfId="3309"/>
    <cellStyle name="level1a 3 4 3 5 3 2 2" xfId="3310"/>
    <cellStyle name="level1a 3 4 3 5 3 3" xfId="3311"/>
    <cellStyle name="level1a 3 4 3 5 4" xfId="3312"/>
    <cellStyle name="level1a 3 4 3 5 4 2" xfId="3313"/>
    <cellStyle name="level1a 3 4 3 5 5" xfId="3314"/>
    <cellStyle name="level1a 3 4 3 6" xfId="3315"/>
    <cellStyle name="level1a 3 4 3 6 2" xfId="3316"/>
    <cellStyle name="level1a 3 4 3 6 2 2" xfId="3317"/>
    <cellStyle name="level1a 3 4 3 6 2 2 2" xfId="3318"/>
    <cellStyle name="level1a 3 4 3 6 2 3" xfId="3319"/>
    <cellStyle name="level1a 3 4 3 6 3" xfId="3320"/>
    <cellStyle name="level1a 3 4 3 6 3 2" xfId="3321"/>
    <cellStyle name="level1a 3 4 3 6 3 2 2" xfId="3322"/>
    <cellStyle name="level1a 3 4 3 6 3 3" xfId="3323"/>
    <cellStyle name="level1a 3 4 3 6 4" xfId="3324"/>
    <cellStyle name="level1a 3 4 3 6 4 2" xfId="3325"/>
    <cellStyle name="level1a 3 4 3 6 5" xfId="3326"/>
    <cellStyle name="level1a 3 4 3 7" xfId="3327"/>
    <cellStyle name="level1a 3 4 3 7 2" xfId="3328"/>
    <cellStyle name="level1a 3 4 3 7 2 2" xfId="3329"/>
    <cellStyle name="level1a 3 4 3 7 3" xfId="3330"/>
    <cellStyle name="level1a 3 4 3 8" xfId="3331"/>
    <cellStyle name="level1a 3 4 3 8 2" xfId="3332"/>
    <cellStyle name="level1a 3 4 3 8 2 2" xfId="3333"/>
    <cellStyle name="level1a 3 4 3 8 3" xfId="3334"/>
    <cellStyle name="level1a 3 4 3_STUD aligned by INSTIT" xfId="3335"/>
    <cellStyle name="level1a 3 4 4" xfId="3336"/>
    <cellStyle name="level1a 3 4 4 2" xfId="3337"/>
    <cellStyle name="level1a 3 4 4 2 2" xfId="3338"/>
    <cellStyle name="level1a 3 4 4 2 2 2" xfId="3339"/>
    <cellStyle name="level1a 3 4 4 2 3" xfId="3340"/>
    <cellStyle name="level1a 3 4 4 3" xfId="3341"/>
    <cellStyle name="level1a 3 4 4 3 2" xfId="3342"/>
    <cellStyle name="level1a 3 4 4 3 2 2" xfId="3343"/>
    <cellStyle name="level1a 3 4 4 3 3" xfId="3344"/>
    <cellStyle name="level1a 3 4 4 4" xfId="3345"/>
    <cellStyle name="level1a 3 4 4 5" xfId="3346"/>
    <cellStyle name="level1a 3 4 4 5 2" xfId="3347"/>
    <cellStyle name="level1a 3 4 5" xfId="3348"/>
    <cellStyle name="level1a 3 4 5 2" xfId="3349"/>
    <cellStyle name="level1a 3 4 5 2 2" xfId="3350"/>
    <cellStyle name="level1a 3 4 5 2 2 2" xfId="3351"/>
    <cellStyle name="level1a 3 4 5 2 3" xfId="3352"/>
    <cellStyle name="level1a 3 4 5 3" xfId="3353"/>
    <cellStyle name="level1a 3 4 5 3 2" xfId="3354"/>
    <cellStyle name="level1a 3 4 5 3 2 2" xfId="3355"/>
    <cellStyle name="level1a 3 4 5 3 3" xfId="3356"/>
    <cellStyle name="level1a 3 4 5 4" xfId="3357"/>
    <cellStyle name="level1a 3 4 5 5" xfId="3358"/>
    <cellStyle name="level1a 3 4 5 5 2" xfId="3359"/>
    <cellStyle name="level1a 3 4 5 6" xfId="3360"/>
    <cellStyle name="level1a 3 4 6" xfId="3361"/>
    <cellStyle name="level1a 3 4 6 2" xfId="3362"/>
    <cellStyle name="level1a 3 4 6 2 2" xfId="3363"/>
    <cellStyle name="level1a 3 4 6 2 2 2" xfId="3364"/>
    <cellStyle name="level1a 3 4 6 2 3" xfId="3365"/>
    <cellStyle name="level1a 3 4 6 3" xfId="3366"/>
    <cellStyle name="level1a 3 4 6 3 2" xfId="3367"/>
    <cellStyle name="level1a 3 4 6 3 2 2" xfId="3368"/>
    <cellStyle name="level1a 3 4 6 3 3" xfId="3369"/>
    <cellStyle name="level1a 3 4 6 4" xfId="3370"/>
    <cellStyle name="level1a 3 4 6 5" xfId="3371"/>
    <cellStyle name="level1a 3 4 7" xfId="3372"/>
    <cellStyle name="level1a 3 4 7 2" xfId="3373"/>
    <cellStyle name="level1a 3 4 7 2 2" xfId="3374"/>
    <cellStyle name="level1a 3 4 7 2 2 2" xfId="3375"/>
    <cellStyle name="level1a 3 4 7 2 3" xfId="3376"/>
    <cellStyle name="level1a 3 4 7 3" xfId="3377"/>
    <cellStyle name="level1a 3 4 7 3 2" xfId="3378"/>
    <cellStyle name="level1a 3 4 7 3 2 2" xfId="3379"/>
    <cellStyle name="level1a 3 4 7 3 3" xfId="3380"/>
    <cellStyle name="level1a 3 4 7 4" xfId="3381"/>
    <cellStyle name="level1a 3 4 7 5" xfId="3382"/>
    <cellStyle name="level1a 3 4 7 5 2" xfId="3383"/>
    <cellStyle name="level1a 3 4 7 6" xfId="3384"/>
    <cellStyle name="level1a 3 4 8" xfId="3385"/>
    <cellStyle name="level1a 3 4 8 2" xfId="3386"/>
    <cellStyle name="level1a 3 4 8 2 2" xfId="3387"/>
    <cellStyle name="level1a 3 4 8 2 2 2" xfId="3388"/>
    <cellStyle name="level1a 3 4 8 2 3" xfId="3389"/>
    <cellStyle name="level1a 3 4 8 3" xfId="3390"/>
    <cellStyle name="level1a 3 4 8 3 2" xfId="3391"/>
    <cellStyle name="level1a 3 4 8 3 2 2" xfId="3392"/>
    <cellStyle name="level1a 3 4 8 3 3" xfId="3393"/>
    <cellStyle name="level1a 3 4 8 4" xfId="3394"/>
    <cellStyle name="level1a 3 4 8 4 2" xfId="3395"/>
    <cellStyle name="level1a 3 4 8 5" xfId="3396"/>
    <cellStyle name="level1a 3 4 9" xfId="3397"/>
    <cellStyle name="level1a 3 4 9 2" xfId="3398"/>
    <cellStyle name="level1a 3 4 9 2 2" xfId="3399"/>
    <cellStyle name="level1a 3 4 9 3" xfId="3400"/>
    <cellStyle name="level1a 3 4_STUD aligned by INSTIT" xfId="3401"/>
    <cellStyle name="level1a 3 5" xfId="3402"/>
    <cellStyle name="level1a 3 5 2" xfId="3403"/>
    <cellStyle name="level1a 3 5 2 2" xfId="3404"/>
    <cellStyle name="level1a 3 5 2 2 2" xfId="3405"/>
    <cellStyle name="level1a 3 5 2 2 2 2" xfId="3406"/>
    <cellStyle name="level1a 3 5 2 2 3" xfId="3407"/>
    <cellStyle name="level1a 3 5 2 3" xfId="3408"/>
    <cellStyle name="level1a 3 5 2 3 2" xfId="3409"/>
    <cellStyle name="level1a 3 5 2 3 2 2" xfId="3410"/>
    <cellStyle name="level1a 3 5 2 3 3" xfId="3411"/>
    <cellStyle name="level1a 3 5 2 4" xfId="3412"/>
    <cellStyle name="level1a 3 5 2 5" xfId="3413"/>
    <cellStyle name="level1a 3 5 2 5 2" xfId="3414"/>
    <cellStyle name="level1a 3 5 3" xfId="3415"/>
    <cellStyle name="level1a 3 5 3 2" xfId="3416"/>
    <cellStyle name="level1a 3 5 3 2 2" xfId="3417"/>
    <cellStyle name="level1a 3 5 3 2 2 2" xfId="3418"/>
    <cellStyle name="level1a 3 5 3 2 3" xfId="3419"/>
    <cellStyle name="level1a 3 5 3 3" xfId="3420"/>
    <cellStyle name="level1a 3 5 3 3 2" xfId="3421"/>
    <cellStyle name="level1a 3 5 3 3 2 2" xfId="3422"/>
    <cellStyle name="level1a 3 5 3 3 3" xfId="3423"/>
    <cellStyle name="level1a 3 5 3 4" xfId="3424"/>
    <cellStyle name="level1a 3 5 3 5" xfId="3425"/>
    <cellStyle name="level1a 3 5 4" xfId="3426"/>
    <cellStyle name="level1a 3 5 4 2" xfId="3427"/>
    <cellStyle name="level1a 3 5 4 2 2" xfId="3428"/>
    <cellStyle name="level1a 3 5 4 2 2 2" xfId="3429"/>
    <cellStyle name="level1a 3 5 4 2 3" xfId="3430"/>
    <cellStyle name="level1a 3 5 4 3" xfId="3431"/>
    <cellStyle name="level1a 3 5 4 3 2" xfId="3432"/>
    <cellStyle name="level1a 3 5 4 3 2 2" xfId="3433"/>
    <cellStyle name="level1a 3 5 4 3 3" xfId="3434"/>
    <cellStyle name="level1a 3 5 4 4" xfId="3435"/>
    <cellStyle name="level1a 3 5 4 5" xfId="3436"/>
    <cellStyle name="level1a 3 5 4 5 2" xfId="3437"/>
    <cellStyle name="level1a 3 5 4 6" xfId="3438"/>
    <cellStyle name="level1a 3 5 5" xfId="3439"/>
    <cellStyle name="level1a 3 5 5 2" xfId="3440"/>
    <cellStyle name="level1a 3 5 5 2 2" xfId="3441"/>
    <cellStyle name="level1a 3 5 5 2 2 2" xfId="3442"/>
    <cellStyle name="level1a 3 5 5 2 3" xfId="3443"/>
    <cellStyle name="level1a 3 5 5 3" xfId="3444"/>
    <cellStyle name="level1a 3 5 5 3 2" xfId="3445"/>
    <cellStyle name="level1a 3 5 5 3 2 2" xfId="3446"/>
    <cellStyle name="level1a 3 5 5 3 3" xfId="3447"/>
    <cellStyle name="level1a 3 5 5 4" xfId="3448"/>
    <cellStyle name="level1a 3 5 5 4 2" xfId="3449"/>
    <cellStyle name="level1a 3 5 5 5" xfId="3450"/>
    <cellStyle name="level1a 3 5 6" xfId="3451"/>
    <cellStyle name="level1a 3 5 6 2" xfId="3452"/>
    <cellStyle name="level1a 3 5 6 2 2" xfId="3453"/>
    <cellStyle name="level1a 3 5 6 2 2 2" xfId="3454"/>
    <cellStyle name="level1a 3 5 6 2 3" xfId="3455"/>
    <cellStyle name="level1a 3 5 6 3" xfId="3456"/>
    <cellStyle name="level1a 3 5 6 3 2" xfId="3457"/>
    <cellStyle name="level1a 3 5 6 3 2 2" xfId="3458"/>
    <cellStyle name="level1a 3 5 6 3 3" xfId="3459"/>
    <cellStyle name="level1a 3 5 6 4" xfId="3460"/>
    <cellStyle name="level1a 3 5 6 4 2" xfId="3461"/>
    <cellStyle name="level1a 3 5 6 5" xfId="3462"/>
    <cellStyle name="level1a 3 5 7" xfId="3463"/>
    <cellStyle name="level1a 3 5 7 2" xfId="3464"/>
    <cellStyle name="level1a 3 5 7 2 2" xfId="3465"/>
    <cellStyle name="level1a 3 5 7 3" xfId="3466"/>
    <cellStyle name="level1a 3 5_STUD aligned by INSTIT" xfId="3467"/>
    <cellStyle name="level1a 3 6" xfId="3468"/>
    <cellStyle name="level1a 3 6 2" xfId="3469"/>
    <cellStyle name="level1a 3 6 2 2" xfId="3470"/>
    <cellStyle name="level1a 3 6 2 2 2" xfId="3471"/>
    <cellStyle name="level1a 3 6 2 2 2 2" xfId="3472"/>
    <cellStyle name="level1a 3 6 2 2 3" xfId="3473"/>
    <cellStyle name="level1a 3 6 2 3" xfId="3474"/>
    <cellStyle name="level1a 3 6 2 3 2" xfId="3475"/>
    <cellStyle name="level1a 3 6 2 3 2 2" xfId="3476"/>
    <cellStyle name="level1a 3 6 2 3 3" xfId="3477"/>
    <cellStyle name="level1a 3 6 2 4" xfId="3478"/>
    <cellStyle name="level1a 3 6 2 5" xfId="3479"/>
    <cellStyle name="level1a 3 6 2 5 2" xfId="3480"/>
    <cellStyle name="level1a 3 6 2 6" xfId="3481"/>
    <cellStyle name="level1a 3 6 3" xfId="3482"/>
    <cellStyle name="level1a 3 6 3 2" xfId="3483"/>
    <cellStyle name="level1a 3 6 3 2 2" xfId="3484"/>
    <cellStyle name="level1a 3 6 3 2 2 2" xfId="3485"/>
    <cellStyle name="level1a 3 6 3 2 3" xfId="3486"/>
    <cellStyle name="level1a 3 6 3 3" xfId="3487"/>
    <cellStyle name="level1a 3 6 3 3 2" xfId="3488"/>
    <cellStyle name="level1a 3 6 3 3 2 2" xfId="3489"/>
    <cellStyle name="level1a 3 6 3 3 3" xfId="3490"/>
    <cellStyle name="level1a 3 6 3 4" xfId="3491"/>
    <cellStyle name="level1a 3 6 4" xfId="3492"/>
    <cellStyle name="level1a 3 6 4 2" xfId="3493"/>
    <cellStyle name="level1a 3 6 4 2 2" xfId="3494"/>
    <cellStyle name="level1a 3 6 4 2 2 2" xfId="3495"/>
    <cellStyle name="level1a 3 6 4 2 3" xfId="3496"/>
    <cellStyle name="level1a 3 6 4 3" xfId="3497"/>
    <cellStyle name="level1a 3 6 4 3 2" xfId="3498"/>
    <cellStyle name="level1a 3 6 4 3 2 2" xfId="3499"/>
    <cellStyle name="level1a 3 6 4 3 3" xfId="3500"/>
    <cellStyle name="level1a 3 6 4 4" xfId="3501"/>
    <cellStyle name="level1a 3 6 4 4 2" xfId="3502"/>
    <cellStyle name="level1a 3 6 4 5" xfId="3503"/>
    <cellStyle name="level1a 3 6 5" xfId="3504"/>
    <cellStyle name="level1a 3 6 5 2" xfId="3505"/>
    <cellStyle name="level1a 3 6 5 2 2" xfId="3506"/>
    <cellStyle name="level1a 3 6 5 2 2 2" xfId="3507"/>
    <cellStyle name="level1a 3 6 5 2 3" xfId="3508"/>
    <cellStyle name="level1a 3 6 5 3" xfId="3509"/>
    <cellStyle name="level1a 3 6 5 3 2" xfId="3510"/>
    <cellStyle name="level1a 3 6 5 3 2 2" xfId="3511"/>
    <cellStyle name="level1a 3 6 5 3 3" xfId="3512"/>
    <cellStyle name="level1a 3 6 5 4" xfId="3513"/>
    <cellStyle name="level1a 3 6 5 4 2" xfId="3514"/>
    <cellStyle name="level1a 3 6 5 5" xfId="3515"/>
    <cellStyle name="level1a 3 6 6" xfId="3516"/>
    <cellStyle name="level1a 3 6 6 2" xfId="3517"/>
    <cellStyle name="level1a 3 6 6 2 2" xfId="3518"/>
    <cellStyle name="level1a 3 6 6 2 2 2" xfId="3519"/>
    <cellStyle name="level1a 3 6 6 2 3" xfId="3520"/>
    <cellStyle name="level1a 3 6 6 3" xfId="3521"/>
    <cellStyle name="level1a 3 6 6 3 2" xfId="3522"/>
    <cellStyle name="level1a 3 6 6 3 2 2" xfId="3523"/>
    <cellStyle name="level1a 3 6 6 3 3" xfId="3524"/>
    <cellStyle name="level1a 3 6 6 4" xfId="3525"/>
    <cellStyle name="level1a 3 6 6 4 2" xfId="3526"/>
    <cellStyle name="level1a 3 6 6 5" xfId="3527"/>
    <cellStyle name="level1a 3 6 7" xfId="3528"/>
    <cellStyle name="level1a 3 6 7 2" xfId="3529"/>
    <cellStyle name="level1a 3 6 7 2 2" xfId="3530"/>
    <cellStyle name="level1a 3 6 7 3" xfId="3531"/>
    <cellStyle name="level1a 3 6 8" xfId="3532"/>
    <cellStyle name="level1a 3 6 8 2" xfId="3533"/>
    <cellStyle name="level1a 3 6 8 2 2" xfId="3534"/>
    <cellStyle name="level1a 3 6 8 3" xfId="3535"/>
    <cellStyle name="level1a 3 6_STUD aligned by INSTIT" xfId="3536"/>
    <cellStyle name="level1a 3 7" xfId="3537"/>
    <cellStyle name="level1a 3 7 2" xfId="3538"/>
    <cellStyle name="level1a 3 7 2 2" xfId="3539"/>
    <cellStyle name="level1a 3 7 2 2 2" xfId="3540"/>
    <cellStyle name="level1a 3 7 2 3" xfId="3541"/>
    <cellStyle name="level1a 3 7 3" xfId="3542"/>
    <cellStyle name="level1a 3 7 3 2" xfId="3543"/>
    <cellStyle name="level1a 3 7 3 2 2" xfId="3544"/>
    <cellStyle name="level1a 3 7 3 3" xfId="3545"/>
    <cellStyle name="level1a 3 7 4" xfId="3546"/>
    <cellStyle name="level1a 3 7 5" xfId="3547"/>
    <cellStyle name="level1a 3 7 5 2" xfId="3548"/>
    <cellStyle name="level1a 3 8" xfId="3549"/>
    <cellStyle name="level1a 3 8 2" xfId="3550"/>
    <cellStyle name="level1a 3 8 2 2" xfId="3551"/>
    <cellStyle name="level1a 3 8 2 2 2" xfId="3552"/>
    <cellStyle name="level1a 3 8 2 3" xfId="3553"/>
    <cellStyle name="level1a 3 8 3" xfId="3554"/>
    <cellStyle name="level1a 3 8 3 2" xfId="3555"/>
    <cellStyle name="level1a 3 8 3 2 2" xfId="3556"/>
    <cellStyle name="level1a 3 8 3 3" xfId="3557"/>
    <cellStyle name="level1a 3 8 4" xfId="3558"/>
    <cellStyle name="level1a 3 8 5" xfId="3559"/>
    <cellStyle name="level1a 3 8 5 2" xfId="3560"/>
    <cellStyle name="level1a 3 8 6" xfId="3561"/>
    <cellStyle name="level1a 3 9" xfId="3562"/>
    <cellStyle name="level1a 3 9 2" xfId="3563"/>
    <cellStyle name="level1a 3 9 2 2" xfId="3564"/>
    <cellStyle name="level1a 3 9 2 2 2" xfId="3565"/>
    <cellStyle name="level1a 3 9 2 3" xfId="3566"/>
    <cellStyle name="level1a 3 9 3" xfId="3567"/>
    <cellStyle name="level1a 3 9 3 2" xfId="3568"/>
    <cellStyle name="level1a 3 9 3 2 2" xfId="3569"/>
    <cellStyle name="level1a 3 9 3 3" xfId="3570"/>
    <cellStyle name="level1a 3 9 4" xfId="3571"/>
    <cellStyle name="level1a 3 9 5" xfId="3572"/>
    <cellStyle name="level1a 3_STUD aligned by INSTIT" xfId="3573"/>
    <cellStyle name="level1a 4" xfId="3574"/>
    <cellStyle name="level1a 4 10" xfId="3575"/>
    <cellStyle name="level1a 4 2" xfId="3576"/>
    <cellStyle name="level1a 4 2 2" xfId="3577"/>
    <cellStyle name="level1a 4 2 2 2" xfId="3578"/>
    <cellStyle name="level1a 4 2 2 2 2" xfId="3579"/>
    <cellStyle name="level1a 4 2 2 2 2 2" xfId="3580"/>
    <cellStyle name="level1a 4 2 2 2 3" xfId="3581"/>
    <cellStyle name="level1a 4 2 2 3" xfId="3582"/>
    <cellStyle name="level1a 4 2 2 3 2" xfId="3583"/>
    <cellStyle name="level1a 4 2 2 3 2 2" xfId="3584"/>
    <cellStyle name="level1a 4 2 2 3 3" xfId="3585"/>
    <cellStyle name="level1a 4 2 2 4" xfId="3586"/>
    <cellStyle name="level1a 4 2 2 5" xfId="3587"/>
    <cellStyle name="level1a 4 2 2 5 2" xfId="3588"/>
    <cellStyle name="level1a 4 2 3" xfId="3589"/>
    <cellStyle name="level1a 4 2 3 2" xfId="3590"/>
    <cellStyle name="level1a 4 2 3 2 2" xfId="3591"/>
    <cellStyle name="level1a 4 2 3 2 2 2" xfId="3592"/>
    <cellStyle name="level1a 4 2 3 2 3" xfId="3593"/>
    <cellStyle name="level1a 4 2 3 3" xfId="3594"/>
    <cellStyle name="level1a 4 2 3 3 2" xfId="3595"/>
    <cellStyle name="level1a 4 2 3 3 2 2" xfId="3596"/>
    <cellStyle name="level1a 4 2 3 3 3" xfId="3597"/>
    <cellStyle name="level1a 4 2 3 4" xfId="3598"/>
    <cellStyle name="level1a 4 2 3 5" xfId="3599"/>
    <cellStyle name="level1a 4 2 4" xfId="3600"/>
    <cellStyle name="level1a 4 2 4 2" xfId="3601"/>
    <cellStyle name="level1a 4 2 4 2 2" xfId="3602"/>
    <cellStyle name="level1a 4 2 4 2 2 2" xfId="3603"/>
    <cellStyle name="level1a 4 2 4 2 3" xfId="3604"/>
    <cellStyle name="level1a 4 2 4 3" xfId="3605"/>
    <cellStyle name="level1a 4 2 4 3 2" xfId="3606"/>
    <cellStyle name="level1a 4 2 4 3 2 2" xfId="3607"/>
    <cellStyle name="level1a 4 2 4 3 3" xfId="3608"/>
    <cellStyle name="level1a 4 2 4 4" xfId="3609"/>
    <cellStyle name="level1a 4 2 4 5" xfId="3610"/>
    <cellStyle name="level1a 4 2 4 5 2" xfId="3611"/>
    <cellStyle name="level1a 4 2 4 6" xfId="3612"/>
    <cellStyle name="level1a 4 2 5" xfId="3613"/>
    <cellStyle name="level1a 4 2 5 2" xfId="3614"/>
    <cellStyle name="level1a 4 2 5 2 2" xfId="3615"/>
    <cellStyle name="level1a 4 2 5 2 2 2" xfId="3616"/>
    <cellStyle name="level1a 4 2 5 2 3" xfId="3617"/>
    <cellStyle name="level1a 4 2 5 3" xfId="3618"/>
    <cellStyle name="level1a 4 2 5 3 2" xfId="3619"/>
    <cellStyle name="level1a 4 2 5 3 2 2" xfId="3620"/>
    <cellStyle name="level1a 4 2 5 3 3" xfId="3621"/>
    <cellStyle name="level1a 4 2 5 4" xfId="3622"/>
    <cellStyle name="level1a 4 2 5 4 2" xfId="3623"/>
    <cellStyle name="level1a 4 2 5 5" xfId="3624"/>
    <cellStyle name="level1a 4 2 6" xfId="3625"/>
    <cellStyle name="level1a 4 2 6 2" xfId="3626"/>
    <cellStyle name="level1a 4 2 6 2 2" xfId="3627"/>
    <cellStyle name="level1a 4 2 6 2 2 2" xfId="3628"/>
    <cellStyle name="level1a 4 2 6 2 3" xfId="3629"/>
    <cellStyle name="level1a 4 2 6 3" xfId="3630"/>
    <cellStyle name="level1a 4 2 6 3 2" xfId="3631"/>
    <cellStyle name="level1a 4 2 6 3 2 2" xfId="3632"/>
    <cellStyle name="level1a 4 2 6 3 3" xfId="3633"/>
    <cellStyle name="level1a 4 2 6 4" xfId="3634"/>
    <cellStyle name="level1a 4 2 6 4 2" xfId="3635"/>
    <cellStyle name="level1a 4 2 6 5" xfId="3636"/>
    <cellStyle name="level1a 4 2 7" xfId="3637"/>
    <cellStyle name="level1a 4 2 7 2" xfId="3638"/>
    <cellStyle name="level1a 4 2 7 2 2" xfId="3639"/>
    <cellStyle name="level1a 4 2 7 3" xfId="3640"/>
    <cellStyle name="level1a 4 2_STUD aligned by INSTIT" xfId="3641"/>
    <cellStyle name="level1a 4 3" xfId="3642"/>
    <cellStyle name="level1a 4 3 2" xfId="3643"/>
    <cellStyle name="level1a 4 3 2 2" xfId="3644"/>
    <cellStyle name="level1a 4 3 2 2 2" xfId="3645"/>
    <cellStyle name="level1a 4 3 2 2 2 2" xfId="3646"/>
    <cellStyle name="level1a 4 3 2 2 3" xfId="3647"/>
    <cellStyle name="level1a 4 3 2 3" xfId="3648"/>
    <cellStyle name="level1a 4 3 2 3 2" xfId="3649"/>
    <cellStyle name="level1a 4 3 2 3 2 2" xfId="3650"/>
    <cellStyle name="level1a 4 3 2 3 3" xfId="3651"/>
    <cellStyle name="level1a 4 3 2 4" xfId="3652"/>
    <cellStyle name="level1a 4 3 2 5" xfId="3653"/>
    <cellStyle name="level1a 4 3 3" xfId="3654"/>
    <cellStyle name="level1a 4 3 3 2" xfId="3655"/>
    <cellStyle name="level1a 4 3 3 2 2" xfId="3656"/>
    <cellStyle name="level1a 4 3 3 2 2 2" xfId="3657"/>
    <cellStyle name="level1a 4 3 3 2 3" xfId="3658"/>
    <cellStyle name="level1a 4 3 3 3" xfId="3659"/>
    <cellStyle name="level1a 4 3 3 3 2" xfId="3660"/>
    <cellStyle name="level1a 4 3 3 3 2 2" xfId="3661"/>
    <cellStyle name="level1a 4 3 3 3 3" xfId="3662"/>
    <cellStyle name="level1a 4 3 3 4" xfId="3663"/>
    <cellStyle name="level1a 4 3 3 4 2" xfId="3664"/>
    <cellStyle name="level1a 4 3 4" xfId="3665"/>
    <cellStyle name="level1a 4 3 4 2" xfId="3666"/>
    <cellStyle name="level1a 4 3 4 2 2" xfId="3667"/>
    <cellStyle name="level1a 4 3 4 2 2 2" xfId="3668"/>
    <cellStyle name="level1a 4 3 4 2 3" xfId="3669"/>
    <cellStyle name="level1a 4 3 4 3" xfId="3670"/>
    <cellStyle name="level1a 4 3 4 3 2" xfId="3671"/>
    <cellStyle name="level1a 4 3 4 3 2 2" xfId="3672"/>
    <cellStyle name="level1a 4 3 4 3 3" xfId="3673"/>
    <cellStyle name="level1a 4 3 4 4" xfId="3674"/>
    <cellStyle name="level1a 4 3 4 4 2" xfId="3675"/>
    <cellStyle name="level1a 4 3 4 5" xfId="3676"/>
    <cellStyle name="level1a 4 3 5" xfId="3677"/>
    <cellStyle name="level1a 4 3 5 2" xfId="3678"/>
    <cellStyle name="level1a 4 3 5 2 2" xfId="3679"/>
    <cellStyle name="level1a 4 3 5 2 2 2" xfId="3680"/>
    <cellStyle name="level1a 4 3 5 2 3" xfId="3681"/>
    <cellStyle name="level1a 4 3 5 3" xfId="3682"/>
    <cellStyle name="level1a 4 3 5 3 2" xfId="3683"/>
    <cellStyle name="level1a 4 3 5 3 2 2" xfId="3684"/>
    <cellStyle name="level1a 4 3 5 3 3" xfId="3685"/>
    <cellStyle name="level1a 4 3 5 4" xfId="3686"/>
    <cellStyle name="level1a 4 3 5 4 2" xfId="3687"/>
    <cellStyle name="level1a 4 3 5 5" xfId="3688"/>
    <cellStyle name="level1a 4 3 6" xfId="3689"/>
    <cellStyle name="level1a 4 3 6 2" xfId="3690"/>
    <cellStyle name="level1a 4 3 6 2 2" xfId="3691"/>
    <cellStyle name="level1a 4 3 6 2 2 2" xfId="3692"/>
    <cellStyle name="level1a 4 3 6 2 3" xfId="3693"/>
    <cellStyle name="level1a 4 3 6 3" xfId="3694"/>
    <cellStyle name="level1a 4 3 6 3 2" xfId="3695"/>
    <cellStyle name="level1a 4 3 6 3 2 2" xfId="3696"/>
    <cellStyle name="level1a 4 3 6 3 3" xfId="3697"/>
    <cellStyle name="level1a 4 3 6 4" xfId="3698"/>
    <cellStyle name="level1a 4 3 6 4 2" xfId="3699"/>
    <cellStyle name="level1a 4 3 6 5" xfId="3700"/>
    <cellStyle name="level1a 4 3 7" xfId="3701"/>
    <cellStyle name="level1a 4 3 7 2" xfId="3702"/>
    <cellStyle name="level1a 4 3 7 2 2" xfId="3703"/>
    <cellStyle name="level1a 4 3 7 3" xfId="3704"/>
    <cellStyle name="level1a 4 3 8" xfId="3705"/>
    <cellStyle name="level1a 4 3 8 2" xfId="3706"/>
    <cellStyle name="level1a 4 3 8 2 2" xfId="3707"/>
    <cellStyle name="level1a 4 3 8 3" xfId="3708"/>
    <cellStyle name="level1a 4 3_STUD aligned by INSTIT" xfId="3709"/>
    <cellStyle name="level1a 4 4" xfId="3710"/>
    <cellStyle name="level1a 4 4 2" xfId="3711"/>
    <cellStyle name="level1a 4 4 2 2" xfId="3712"/>
    <cellStyle name="level1a 4 4 2 2 2" xfId="3713"/>
    <cellStyle name="level1a 4 4 2 3" xfId="3714"/>
    <cellStyle name="level1a 4 4 3" xfId="3715"/>
    <cellStyle name="level1a 4 4 3 2" xfId="3716"/>
    <cellStyle name="level1a 4 4 3 2 2" xfId="3717"/>
    <cellStyle name="level1a 4 4 3 3" xfId="3718"/>
    <cellStyle name="level1a 4 4 4" xfId="3719"/>
    <cellStyle name="level1a 4 4 5" xfId="3720"/>
    <cellStyle name="level1a 4 4 5 2" xfId="3721"/>
    <cellStyle name="level1a 4 5" xfId="3722"/>
    <cellStyle name="level1a 4 5 2" xfId="3723"/>
    <cellStyle name="level1a 4 5 2 2" xfId="3724"/>
    <cellStyle name="level1a 4 5 2 2 2" xfId="3725"/>
    <cellStyle name="level1a 4 5 2 3" xfId="3726"/>
    <cellStyle name="level1a 4 5 3" xfId="3727"/>
    <cellStyle name="level1a 4 5 3 2" xfId="3728"/>
    <cellStyle name="level1a 4 5 3 2 2" xfId="3729"/>
    <cellStyle name="level1a 4 5 3 3" xfId="3730"/>
    <cellStyle name="level1a 4 5 4" xfId="3731"/>
    <cellStyle name="level1a 4 5 5" xfId="3732"/>
    <cellStyle name="level1a 4 5 5 2" xfId="3733"/>
    <cellStyle name="level1a 4 5 6" xfId="3734"/>
    <cellStyle name="level1a 4 6" xfId="3735"/>
    <cellStyle name="level1a 4 6 2" xfId="3736"/>
    <cellStyle name="level1a 4 6 2 2" xfId="3737"/>
    <cellStyle name="level1a 4 6 2 2 2" xfId="3738"/>
    <cellStyle name="level1a 4 6 2 3" xfId="3739"/>
    <cellStyle name="level1a 4 6 3" xfId="3740"/>
    <cellStyle name="level1a 4 6 3 2" xfId="3741"/>
    <cellStyle name="level1a 4 6 3 2 2" xfId="3742"/>
    <cellStyle name="level1a 4 6 3 3" xfId="3743"/>
    <cellStyle name="level1a 4 6 4" xfId="3744"/>
    <cellStyle name="level1a 4 6 5" xfId="3745"/>
    <cellStyle name="level1a 4 7" xfId="3746"/>
    <cellStyle name="level1a 4 7 2" xfId="3747"/>
    <cellStyle name="level1a 4 7 2 2" xfId="3748"/>
    <cellStyle name="level1a 4 7 2 2 2" xfId="3749"/>
    <cellStyle name="level1a 4 7 2 3" xfId="3750"/>
    <cellStyle name="level1a 4 7 3" xfId="3751"/>
    <cellStyle name="level1a 4 7 3 2" xfId="3752"/>
    <cellStyle name="level1a 4 7 3 2 2" xfId="3753"/>
    <cellStyle name="level1a 4 7 3 3" xfId="3754"/>
    <cellStyle name="level1a 4 7 4" xfId="3755"/>
    <cellStyle name="level1a 4 7 5" xfId="3756"/>
    <cellStyle name="level1a 4 7 5 2" xfId="3757"/>
    <cellStyle name="level1a 4 7 6" xfId="3758"/>
    <cellStyle name="level1a 4 8" xfId="3759"/>
    <cellStyle name="level1a 4 8 2" xfId="3760"/>
    <cellStyle name="level1a 4 8 2 2" xfId="3761"/>
    <cellStyle name="level1a 4 8 2 2 2" xfId="3762"/>
    <cellStyle name="level1a 4 8 2 3" xfId="3763"/>
    <cellStyle name="level1a 4 8 3" xfId="3764"/>
    <cellStyle name="level1a 4 8 3 2" xfId="3765"/>
    <cellStyle name="level1a 4 8 3 2 2" xfId="3766"/>
    <cellStyle name="level1a 4 8 3 3" xfId="3767"/>
    <cellStyle name="level1a 4 8 4" xfId="3768"/>
    <cellStyle name="level1a 4 8 4 2" xfId="3769"/>
    <cellStyle name="level1a 4 8 5" xfId="3770"/>
    <cellStyle name="level1a 4 9" xfId="3771"/>
    <cellStyle name="level1a 4 9 2" xfId="3772"/>
    <cellStyle name="level1a 4 9 2 2" xfId="3773"/>
    <cellStyle name="level1a 4 9 3" xfId="3774"/>
    <cellStyle name="level1a 4_STUD aligned by INSTIT" xfId="3775"/>
    <cellStyle name="level1a 5" xfId="3776"/>
    <cellStyle name="level1a 5 2" xfId="3777"/>
    <cellStyle name="level1a 5 2 2" xfId="3778"/>
    <cellStyle name="level1a 5 2 2 2" xfId="3779"/>
    <cellStyle name="level1a 5 2 2 2 2" xfId="3780"/>
    <cellStyle name="level1a 5 2 2 3" xfId="3781"/>
    <cellStyle name="level1a 5 2 3" xfId="3782"/>
    <cellStyle name="level1a 5 2 3 2" xfId="3783"/>
    <cellStyle name="level1a 5 2 3 2 2" xfId="3784"/>
    <cellStyle name="level1a 5 2 3 3" xfId="3785"/>
    <cellStyle name="level1a 5 2 4" xfId="3786"/>
    <cellStyle name="level1a 5 2 5" xfId="3787"/>
    <cellStyle name="level1a 5 2 5 2" xfId="3788"/>
    <cellStyle name="level1a 5 3" xfId="3789"/>
    <cellStyle name="level1a 5 3 2" xfId="3790"/>
    <cellStyle name="level1a 5 3 2 2" xfId="3791"/>
    <cellStyle name="level1a 5 3 2 2 2" xfId="3792"/>
    <cellStyle name="level1a 5 3 2 3" xfId="3793"/>
    <cellStyle name="level1a 5 3 3" xfId="3794"/>
    <cellStyle name="level1a 5 3 3 2" xfId="3795"/>
    <cellStyle name="level1a 5 3 3 2 2" xfId="3796"/>
    <cellStyle name="level1a 5 3 3 3" xfId="3797"/>
    <cellStyle name="level1a 5 3 4" xfId="3798"/>
    <cellStyle name="level1a 5 3 5" xfId="3799"/>
    <cellStyle name="level1a 5 4" xfId="3800"/>
    <cellStyle name="level1a 5 4 2" xfId="3801"/>
    <cellStyle name="level1a 5 4 2 2" xfId="3802"/>
    <cellStyle name="level1a 5 4 2 2 2" xfId="3803"/>
    <cellStyle name="level1a 5 4 2 3" xfId="3804"/>
    <cellStyle name="level1a 5 4 3" xfId="3805"/>
    <cellStyle name="level1a 5 4 3 2" xfId="3806"/>
    <cellStyle name="level1a 5 4 3 2 2" xfId="3807"/>
    <cellStyle name="level1a 5 4 3 3" xfId="3808"/>
    <cellStyle name="level1a 5 4 4" xfId="3809"/>
    <cellStyle name="level1a 5 4 5" xfId="3810"/>
    <cellStyle name="level1a 5 4 5 2" xfId="3811"/>
    <cellStyle name="level1a 5 4 6" xfId="3812"/>
    <cellStyle name="level1a 5 5" xfId="3813"/>
    <cellStyle name="level1a 5 5 2" xfId="3814"/>
    <cellStyle name="level1a 5 5 2 2" xfId="3815"/>
    <cellStyle name="level1a 5 5 2 2 2" xfId="3816"/>
    <cellStyle name="level1a 5 5 2 3" xfId="3817"/>
    <cellStyle name="level1a 5 5 3" xfId="3818"/>
    <cellStyle name="level1a 5 5 3 2" xfId="3819"/>
    <cellStyle name="level1a 5 5 3 2 2" xfId="3820"/>
    <cellStyle name="level1a 5 5 3 3" xfId="3821"/>
    <cellStyle name="level1a 5 5 4" xfId="3822"/>
    <cellStyle name="level1a 5 5 4 2" xfId="3823"/>
    <cellStyle name="level1a 5 5 5" xfId="3824"/>
    <cellStyle name="level1a 5 6" xfId="3825"/>
    <cellStyle name="level1a 5 6 2" xfId="3826"/>
    <cellStyle name="level1a 5 6 2 2" xfId="3827"/>
    <cellStyle name="level1a 5 6 2 2 2" xfId="3828"/>
    <cellStyle name="level1a 5 6 2 3" xfId="3829"/>
    <cellStyle name="level1a 5 6 3" xfId="3830"/>
    <cellStyle name="level1a 5 6 3 2" xfId="3831"/>
    <cellStyle name="level1a 5 6 3 2 2" xfId="3832"/>
    <cellStyle name="level1a 5 6 3 3" xfId="3833"/>
    <cellStyle name="level1a 5 6 4" xfId="3834"/>
    <cellStyle name="level1a 5 6 4 2" xfId="3835"/>
    <cellStyle name="level1a 5 6 5" xfId="3836"/>
    <cellStyle name="level1a 5 7" xfId="3837"/>
    <cellStyle name="level1a 5 7 2" xfId="3838"/>
    <cellStyle name="level1a 5 7 2 2" xfId="3839"/>
    <cellStyle name="level1a 5 7 3" xfId="3840"/>
    <cellStyle name="level1a 5_STUD aligned by INSTIT" xfId="3841"/>
    <cellStyle name="level1a 6" xfId="3842"/>
    <cellStyle name="level1a 6 2" xfId="3843"/>
    <cellStyle name="level1a 6 2 2" xfId="3844"/>
    <cellStyle name="level1a 6 2 2 2" xfId="3845"/>
    <cellStyle name="level1a 6 2 2 2 2" xfId="3846"/>
    <cellStyle name="level1a 6 2 2 3" xfId="3847"/>
    <cellStyle name="level1a 6 2 3" xfId="3848"/>
    <cellStyle name="level1a 6 2 3 2" xfId="3849"/>
    <cellStyle name="level1a 6 2 3 2 2" xfId="3850"/>
    <cellStyle name="level1a 6 2 3 3" xfId="3851"/>
    <cellStyle name="level1a 6 2 4" xfId="3852"/>
    <cellStyle name="level1a 6 2 5" xfId="3853"/>
    <cellStyle name="level1a 6 2 5 2" xfId="3854"/>
    <cellStyle name="level1a 6 2 6" xfId="3855"/>
    <cellStyle name="level1a 6 3" xfId="3856"/>
    <cellStyle name="level1a 6 3 2" xfId="3857"/>
    <cellStyle name="level1a 6 3 2 2" xfId="3858"/>
    <cellStyle name="level1a 6 3 2 2 2" xfId="3859"/>
    <cellStyle name="level1a 6 3 2 3" xfId="3860"/>
    <cellStyle name="level1a 6 3 3" xfId="3861"/>
    <cellStyle name="level1a 6 3 3 2" xfId="3862"/>
    <cellStyle name="level1a 6 3 3 2 2" xfId="3863"/>
    <cellStyle name="level1a 6 3 3 3" xfId="3864"/>
    <cellStyle name="level1a 6 3 4" xfId="3865"/>
    <cellStyle name="level1a 6 4" xfId="3866"/>
    <cellStyle name="level1a 6 4 2" xfId="3867"/>
    <cellStyle name="level1a 6 4 2 2" xfId="3868"/>
    <cellStyle name="level1a 6 4 2 2 2" xfId="3869"/>
    <cellStyle name="level1a 6 4 2 3" xfId="3870"/>
    <cellStyle name="level1a 6 4 3" xfId="3871"/>
    <cellStyle name="level1a 6 4 3 2" xfId="3872"/>
    <cellStyle name="level1a 6 4 3 2 2" xfId="3873"/>
    <cellStyle name="level1a 6 4 3 3" xfId="3874"/>
    <cellStyle name="level1a 6 4 4" xfId="3875"/>
    <cellStyle name="level1a 6 4 4 2" xfId="3876"/>
    <cellStyle name="level1a 6 4 5" xfId="3877"/>
    <cellStyle name="level1a 6 5" xfId="3878"/>
    <cellStyle name="level1a 6 5 2" xfId="3879"/>
    <cellStyle name="level1a 6 5 2 2" xfId="3880"/>
    <cellStyle name="level1a 6 5 2 2 2" xfId="3881"/>
    <cellStyle name="level1a 6 5 2 3" xfId="3882"/>
    <cellStyle name="level1a 6 5 3" xfId="3883"/>
    <cellStyle name="level1a 6 5 3 2" xfId="3884"/>
    <cellStyle name="level1a 6 5 3 2 2" xfId="3885"/>
    <cellStyle name="level1a 6 5 3 3" xfId="3886"/>
    <cellStyle name="level1a 6 5 4" xfId="3887"/>
    <cellStyle name="level1a 6 5 4 2" xfId="3888"/>
    <cellStyle name="level1a 6 5 5" xfId="3889"/>
    <cellStyle name="level1a 6 6" xfId="3890"/>
    <cellStyle name="level1a 6 6 2" xfId="3891"/>
    <cellStyle name="level1a 6 6 2 2" xfId="3892"/>
    <cellStyle name="level1a 6 6 2 2 2" xfId="3893"/>
    <cellStyle name="level1a 6 6 2 3" xfId="3894"/>
    <cellStyle name="level1a 6 6 3" xfId="3895"/>
    <cellStyle name="level1a 6 6 3 2" xfId="3896"/>
    <cellStyle name="level1a 6 6 3 2 2" xfId="3897"/>
    <cellStyle name="level1a 6 6 3 3" xfId="3898"/>
    <cellStyle name="level1a 6 6 4" xfId="3899"/>
    <cellStyle name="level1a 6 6 4 2" xfId="3900"/>
    <cellStyle name="level1a 6 6 5" xfId="3901"/>
    <cellStyle name="level1a 6 7" xfId="3902"/>
    <cellStyle name="level1a 6 7 2" xfId="3903"/>
    <cellStyle name="level1a 6 7 2 2" xfId="3904"/>
    <cellStyle name="level1a 6 7 3" xfId="3905"/>
    <cellStyle name="level1a 6 8" xfId="3906"/>
    <cellStyle name="level1a 6 8 2" xfId="3907"/>
    <cellStyle name="level1a 6 8 2 2" xfId="3908"/>
    <cellStyle name="level1a 6 8 3" xfId="3909"/>
    <cellStyle name="level1a 6_STUD aligned by INSTIT" xfId="3910"/>
    <cellStyle name="level1a 7" xfId="3911"/>
    <cellStyle name="level1a 7 2" xfId="3912"/>
    <cellStyle name="level1a 7 2 2" xfId="3913"/>
    <cellStyle name="level1a 7 2 2 2" xfId="3914"/>
    <cellStyle name="level1a 7 2 3" xfId="3915"/>
    <cellStyle name="level1a 7 3" xfId="3916"/>
    <cellStyle name="level1a 7 3 2" xfId="3917"/>
    <cellStyle name="level1a 7 3 2 2" xfId="3918"/>
    <cellStyle name="level1a 7 3 3" xfId="3919"/>
    <cellStyle name="level1a 7 4" xfId="3920"/>
    <cellStyle name="level1a 7 5" xfId="3921"/>
    <cellStyle name="level1a 7 5 2" xfId="3922"/>
    <cellStyle name="level1a 8" xfId="3923"/>
    <cellStyle name="level1a 8 2" xfId="3924"/>
    <cellStyle name="level1a 8 2 2" xfId="3925"/>
    <cellStyle name="level1a 8 2 2 2" xfId="3926"/>
    <cellStyle name="level1a 8 2 3" xfId="3927"/>
    <cellStyle name="level1a 8 3" xfId="3928"/>
    <cellStyle name="level1a 8 3 2" xfId="3929"/>
    <cellStyle name="level1a 8 3 2 2" xfId="3930"/>
    <cellStyle name="level1a 8 3 3" xfId="3931"/>
    <cellStyle name="level1a 8 4" xfId="3932"/>
    <cellStyle name="level1a 8 5" xfId="3933"/>
    <cellStyle name="level1a 8 5 2" xfId="3934"/>
    <cellStyle name="level1a 8 6" xfId="3935"/>
    <cellStyle name="level1a 9" xfId="3936"/>
    <cellStyle name="level1a 9 2" xfId="3937"/>
    <cellStyle name="level1a 9 2 2" xfId="3938"/>
    <cellStyle name="level1a 9 2 2 2" xfId="3939"/>
    <cellStyle name="level1a 9 2 3" xfId="3940"/>
    <cellStyle name="level1a 9 3" xfId="3941"/>
    <cellStyle name="level1a 9 3 2" xfId="3942"/>
    <cellStyle name="level1a 9 3 2 2" xfId="3943"/>
    <cellStyle name="level1a 9 3 3" xfId="3944"/>
    <cellStyle name="level1a 9 4" xfId="3945"/>
    <cellStyle name="level1a 9 5" xfId="3946"/>
    <cellStyle name="level1a_STUD aligned by INSTIT" xfId="3947"/>
    <cellStyle name="level2" xfId="3948"/>
    <cellStyle name="level2 2" xfId="3949"/>
    <cellStyle name="level2 2 2" xfId="3950"/>
    <cellStyle name="level2 2 2 2" xfId="3951"/>
    <cellStyle name="level2 3" xfId="3952"/>
    <cellStyle name="level2a" xfId="3953"/>
    <cellStyle name="level2a 2" xfId="3954"/>
    <cellStyle name="level2a 2 2" xfId="3955"/>
    <cellStyle name="level2a 2 2 2" xfId="3956"/>
    <cellStyle name="level2a 2 2 2 2" xfId="3957"/>
    <cellStyle name="level2a 2 2 2 2 2" xfId="3958"/>
    <cellStyle name="level2a 2 2 2 2 3" xfId="3959"/>
    <cellStyle name="level2a 2 2 2 3" xfId="3960"/>
    <cellStyle name="level2a 2 2 2_STUD aligned by INSTIT" xfId="3961"/>
    <cellStyle name="level2a 2 2 3" xfId="3962"/>
    <cellStyle name="level2a 2 2 3 2" xfId="3963"/>
    <cellStyle name="level2a 2 2 3 2 2" xfId="3964"/>
    <cellStyle name="level2a 2 2 3 2 3" xfId="3965"/>
    <cellStyle name="level2a 2 2 3 3" xfId="3966"/>
    <cellStyle name="level2a 2 2 3 3 2" xfId="3967"/>
    <cellStyle name="level2a 2 2 3 3 3" xfId="3968"/>
    <cellStyle name="level2a 2 2 3 3 4" xfId="3969"/>
    <cellStyle name="level2a 2 2 3 4" xfId="3970"/>
    <cellStyle name="level2a 2 2 4" xfId="3971"/>
    <cellStyle name="level2a 2 2 4 2" xfId="3972"/>
    <cellStyle name="level2a 2 2 4 3" xfId="3973"/>
    <cellStyle name="level2a 2 2 5" xfId="3974"/>
    <cellStyle name="level2a 2 2 5 2" xfId="3975"/>
    <cellStyle name="level2a 2 2 6" xfId="3976"/>
    <cellStyle name="level2a 2 2_STUD aligned by INSTIT" xfId="3977"/>
    <cellStyle name="level2a 2 3" xfId="3978"/>
    <cellStyle name="level2a 2 3 2" xfId="3979"/>
    <cellStyle name="level2a 2 3 2 2" xfId="3980"/>
    <cellStyle name="level2a 2 3 2 2 2" xfId="3981"/>
    <cellStyle name="level2a 2 3 2 2 3" xfId="3982"/>
    <cellStyle name="level2a 2 3 2 3" xfId="3983"/>
    <cellStyle name="level2a 2 3 2_STUD aligned by INSTIT" xfId="3984"/>
    <cellStyle name="level2a 2 3 3" xfId="3985"/>
    <cellStyle name="level2a 2 3 3 2" xfId="3986"/>
    <cellStyle name="level2a 2 3 3 2 2" xfId="3987"/>
    <cellStyle name="level2a 2 3 3 2 3" xfId="3988"/>
    <cellStyle name="level2a 2 3 3 3" xfId="3989"/>
    <cellStyle name="level2a 2 3 3 3 2" xfId="3990"/>
    <cellStyle name="level2a 2 3 3 3 3" xfId="3991"/>
    <cellStyle name="level2a 2 3 3 3 4" xfId="3992"/>
    <cellStyle name="level2a 2 3 3 4" xfId="3993"/>
    <cellStyle name="level2a 2 3 4" xfId="3994"/>
    <cellStyle name="level2a 2 3 4 2" xfId="3995"/>
    <cellStyle name="level2a 2 3 4 3" xfId="3996"/>
    <cellStyle name="level2a 2 3 5" xfId="3997"/>
    <cellStyle name="level2a 2 3 5 2" xfId="3998"/>
    <cellStyle name="level2a 2 3 6" xfId="3999"/>
    <cellStyle name="level2a 2 3_STUD aligned by INSTIT" xfId="4000"/>
    <cellStyle name="level2a 2 4" xfId="4001"/>
    <cellStyle name="level2a 2 4 2" xfId="4002"/>
    <cellStyle name="level2a 2 5" xfId="4003"/>
    <cellStyle name="level2a 2_STUD aligned by INSTIT" xfId="4004"/>
    <cellStyle name="level2a 3" xfId="4005"/>
    <cellStyle name="level2a 3 2" xfId="4006"/>
    <cellStyle name="level2a 3 2 2" xfId="4007"/>
    <cellStyle name="level2a 3 2 2 2" xfId="4008"/>
    <cellStyle name="level2a 3 2 2 3" xfId="4009"/>
    <cellStyle name="level2a 3 2 3" xfId="4010"/>
    <cellStyle name="level2a 3 2_STUD aligned by INSTIT" xfId="4011"/>
    <cellStyle name="level2a 3 3" xfId="4012"/>
    <cellStyle name="level2a 3 3 2" xfId="4013"/>
    <cellStyle name="level2a 3 3 2 2" xfId="4014"/>
    <cellStyle name="level2a 3 3 2 3" xfId="4015"/>
    <cellStyle name="level2a 3 3 3" xfId="4016"/>
    <cellStyle name="level2a 3 3 3 2" xfId="4017"/>
    <cellStyle name="level2a 3 3 3 3" xfId="4018"/>
    <cellStyle name="level2a 3 3 3 4" xfId="4019"/>
    <cellStyle name="level2a 3 3 4" xfId="4020"/>
    <cellStyle name="level2a 3 4" xfId="4021"/>
    <cellStyle name="level2a 3 4 2" xfId="4022"/>
    <cellStyle name="level2a 3 4 3" xfId="4023"/>
    <cellStyle name="level2a 3 5" xfId="4024"/>
    <cellStyle name="level2a 3 5 2" xfId="4025"/>
    <cellStyle name="level2a 3 6" xfId="4026"/>
    <cellStyle name="level2a 3_STUD aligned by INSTIT" xfId="4027"/>
    <cellStyle name="level2a 4" xfId="4028"/>
    <cellStyle name="level2a 4 2" xfId="4029"/>
    <cellStyle name="level2a 4 2 2" xfId="4030"/>
    <cellStyle name="level2a 4 2 2 2" xfId="4031"/>
    <cellStyle name="level2a 4 2 2 3" xfId="4032"/>
    <cellStyle name="level2a 4 2 3" xfId="4033"/>
    <cellStyle name="level2a 4 2_STUD aligned by INSTIT" xfId="4034"/>
    <cellStyle name="level2a 4 3" xfId="4035"/>
    <cellStyle name="level2a 4 3 2" xfId="4036"/>
    <cellStyle name="level2a 4 3 2 2" xfId="4037"/>
    <cellStyle name="level2a 4 3 2 3" xfId="4038"/>
    <cellStyle name="level2a 4 3 3" xfId="4039"/>
    <cellStyle name="level2a 4 3 3 2" xfId="4040"/>
    <cellStyle name="level2a 4 3 3 3" xfId="4041"/>
    <cellStyle name="level2a 4 3 3 4" xfId="4042"/>
    <cellStyle name="level2a 4 3 4" xfId="4043"/>
    <cellStyle name="level2a 4 4" xfId="4044"/>
    <cellStyle name="level2a 4 4 2" xfId="4045"/>
    <cellStyle name="level2a 4 4 3" xfId="4046"/>
    <cellStyle name="level2a 4 5" xfId="4047"/>
    <cellStyle name="level2a 4 5 2" xfId="4048"/>
    <cellStyle name="level2a 4 6" xfId="4049"/>
    <cellStyle name="level2a 4_STUD aligned by INSTIT" xfId="4050"/>
    <cellStyle name="level2a 5" xfId="4051"/>
    <cellStyle name="level2a 5 2" xfId="4052"/>
    <cellStyle name="level2a 6" xfId="4053"/>
    <cellStyle name="level2a 7" xfId="4054"/>
    <cellStyle name="level2a_STUD aligned by INSTIT" xfId="4055"/>
    <cellStyle name="level3" xfId="4056"/>
    <cellStyle name="level3 2" xfId="4057"/>
    <cellStyle name="level3 2 2" xfId="4058"/>
    <cellStyle name="level3 2 2 2" xfId="4059"/>
    <cellStyle name="level3 2 2 2 2" xfId="4060"/>
    <cellStyle name="level3 2 2 2 2 2" xfId="4061"/>
    <cellStyle name="level3 2 2 2 2 2 2" xfId="4062"/>
    <cellStyle name="level3 2 2 2 2 3" xfId="4063"/>
    <cellStyle name="level3 2 2 2 2 3 2" xfId="4064"/>
    <cellStyle name="level3 2 2 2 2 4" xfId="4065"/>
    <cellStyle name="level3 2 2 2 3" xfId="4066"/>
    <cellStyle name="level3 2 2 2 3 2" xfId="4067"/>
    <cellStyle name="level3 2 2 3" xfId="4068"/>
    <cellStyle name="level3 2 2 3 2" xfId="4069"/>
    <cellStyle name="level3 2 2 3 2 2" xfId="4070"/>
    <cellStyle name="level3 2 2 3 3" xfId="4071"/>
    <cellStyle name="level3 2 2 3 3 2" xfId="4072"/>
    <cellStyle name="level3 2 2 4" xfId="4073"/>
    <cellStyle name="level3 2 2 4 2" xfId="4074"/>
    <cellStyle name="level3 2 3" xfId="4075"/>
    <cellStyle name="level3 2 3 2" xfId="4076"/>
    <cellStyle name="level3 2 3 2 2" xfId="4077"/>
    <cellStyle name="level3 2 3 2 2 2" xfId="4078"/>
    <cellStyle name="level3 2 3 2 3" xfId="4079"/>
    <cellStyle name="level3 2 3 2 3 2" xfId="4080"/>
    <cellStyle name="level3 2 3 3" xfId="4081"/>
    <cellStyle name="level3 2 3 3 2" xfId="4082"/>
    <cellStyle name="level3 2 3 3 2 2" xfId="4083"/>
    <cellStyle name="level3 2 3 3 3" xfId="4084"/>
    <cellStyle name="level3 2 3 3 3 2" xfId="4085"/>
    <cellStyle name="level3 2 3 3 4" xfId="4086"/>
    <cellStyle name="level3 2 3 4" xfId="4087"/>
    <cellStyle name="level3 2 3 4 2" xfId="4088"/>
    <cellStyle name="level3 2 4" xfId="4089"/>
    <cellStyle name="level3 2 4 2" xfId="4090"/>
    <cellStyle name="level3 2 4 2 2" xfId="4091"/>
    <cellStyle name="level3 2 4 3" xfId="4092"/>
    <cellStyle name="level3 2 4 3 2" xfId="4093"/>
    <cellStyle name="level3 2 4 4" xfId="4094"/>
    <cellStyle name="level3 2 5" xfId="4095"/>
    <cellStyle name="level3 2 5 2" xfId="4096"/>
    <cellStyle name="level3 3" xfId="4097"/>
    <cellStyle name="level3 3 2" xfId="4098"/>
    <cellStyle name="level3 3 2 2" xfId="4099"/>
    <cellStyle name="level3 3 2 2 2" xfId="4100"/>
    <cellStyle name="level3 3 2 2 2 2" xfId="4101"/>
    <cellStyle name="level3 3 2 2 3" xfId="4102"/>
    <cellStyle name="level3 3 2 2 3 2" xfId="4103"/>
    <cellStyle name="level3 3 2 2 4" xfId="4104"/>
    <cellStyle name="level3 3 2 3" xfId="4105"/>
    <cellStyle name="level3 3 2 3 2" xfId="4106"/>
    <cellStyle name="level3 3 3" xfId="4107"/>
    <cellStyle name="level3 3 3 2" xfId="4108"/>
    <cellStyle name="level3 3 3 2 2" xfId="4109"/>
    <cellStyle name="level3 3 3 3" xfId="4110"/>
    <cellStyle name="level3 3 3 3 2" xfId="4111"/>
    <cellStyle name="level3 3 4" xfId="4112"/>
    <cellStyle name="level3 3 4 2" xfId="4113"/>
    <cellStyle name="level3 4" xfId="4114"/>
    <cellStyle name="level3 4 2" xfId="4115"/>
    <cellStyle name="level3 4 2 2" xfId="4116"/>
    <cellStyle name="level3 4 2 2 2" xfId="4117"/>
    <cellStyle name="level3 4 2 3" xfId="4118"/>
    <cellStyle name="level3 4 2 3 2" xfId="4119"/>
    <cellStyle name="level3 4 3" xfId="4120"/>
    <cellStyle name="level3 4 3 2" xfId="4121"/>
    <cellStyle name="level3 4 3 2 2" xfId="4122"/>
    <cellStyle name="level3 4 3 3" xfId="4123"/>
    <cellStyle name="level3 4 3 3 2" xfId="4124"/>
    <cellStyle name="level3 4 3 4" xfId="4125"/>
    <cellStyle name="level3 4 4" xfId="4126"/>
    <cellStyle name="level3 4 4 2" xfId="4127"/>
    <cellStyle name="level3 5" xfId="4128"/>
    <cellStyle name="level3 5 2" xfId="4129"/>
    <cellStyle name="level3 5 2 2" xfId="4130"/>
    <cellStyle name="level3 5 3" xfId="4131"/>
    <cellStyle name="level3 5 3 2" xfId="4132"/>
    <cellStyle name="level3 5 4" xfId="4133"/>
    <cellStyle name="level3 6" xfId="4134"/>
    <cellStyle name="level3 6 2" xfId="4135"/>
    <cellStyle name="level3_STUD aligned by INSTIT" xfId="4136"/>
    <cellStyle name="Line titles-Rows" xfId="4137"/>
    <cellStyle name="Migliaia (0)_conti99" xfId="4138"/>
    <cellStyle name="Normal" xfId="0" builtinId="0"/>
    <cellStyle name="Normal - Style1" xfId="4139"/>
    <cellStyle name="Normal 10" xfId="4140"/>
    <cellStyle name="Normal 10 2" xfId="4141"/>
    <cellStyle name="Normal 10 3" xfId="4142"/>
    <cellStyle name="Normal 10_Tertiary Salaries Survey" xfId="4143"/>
    <cellStyle name="Normal 11" xfId="4144"/>
    <cellStyle name="Normal 11 10" xfId="4145"/>
    <cellStyle name="Normal 11 2" xfId="4146"/>
    <cellStyle name="Normal 11 3" xfId="4147"/>
    <cellStyle name="Normal 11 3 2" xfId="4148"/>
    <cellStyle name="Normal 11 3 3" xfId="4149"/>
    <cellStyle name="Normal 11 3_Tertiary Salaries Survey" xfId="4150"/>
    <cellStyle name="Normal 11 4" xfId="4151"/>
    <cellStyle name="Normal 11 5" xfId="4152"/>
    <cellStyle name="Normal 11 6" xfId="4153"/>
    <cellStyle name="Normal 11 7" xfId="3"/>
    <cellStyle name="Normal 11 8" xfId="4154"/>
    <cellStyle name="Normal 11 9" xfId="4155"/>
    <cellStyle name="Normal 11_STUD aligned by INSTIT" xfId="4156"/>
    <cellStyle name="Normal 12" xfId="4157"/>
    <cellStyle name="Normal 12 2" xfId="4158"/>
    <cellStyle name="Normal 12 3" xfId="4"/>
    <cellStyle name="Normal 12 3 2" xfId="4159"/>
    <cellStyle name="Normal 12 4" xfId="4160"/>
    <cellStyle name="Normal 12_Tertiary Salaries Survey" xfId="4161"/>
    <cellStyle name="Normal 13" xfId="4162"/>
    <cellStyle name="Normal 13 2" xfId="4163"/>
    <cellStyle name="Normal 13 3" xfId="4164"/>
    <cellStyle name="Normal 13 4" xfId="4165"/>
    <cellStyle name="Normal 13_Tertiary Salaries Survey" xfId="4166"/>
    <cellStyle name="Normal 14" xfId="5"/>
    <cellStyle name="Normal 14 2" xfId="4167"/>
    <cellStyle name="Normal 14 2 10" xfId="6"/>
    <cellStyle name="Normal 14 3" xfId="7"/>
    <cellStyle name="Normal 14 3 2" xfId="4168"/>
    <cellStyle name="Normal 14 4" xfId="14"/>
    <cellStyle name="Normal 14_Tertiary Salaries Survey" xfId="4169"/>
    <cellStyle name="Normal 147" xfId="8"/>
    <cellStyle name="Normal 15" xfId="4170"/>
    <cellStyle name="Normal 15 2" xfId="4171"/>
    <cellStyle name="Normal 15 3" xfId="4172"/>
    <cellStyle name="Normal 15 4" xfId="4173"/>
    <cellStyle name="Normal 15 5" xfId="4174"/>
    <cellStyle name="Normal 15_Tertiary Salaries Survey" xfId="4175"/>
    <cellStyle name="Normal 16" xfId="4176"/>
    <cellStyle name="Normal 16 2" xfId="4177"/>
    <cellStyle name="Normal 16 3" xfId="4178"/>
    <cellStyle name="Normal 16 4" xfId="4179"/>
    <cellStyle name="Normal 16 5" xfId="4180"/>
    <cellStyle name="Normal 16 6" xfId="4181"/>
    <cellStyle name="Normal 16_Tertiary Salaries Survey" xfId="4182"/>
    <cellStyle name="Normal 17" xfId="4183"/>
    <cellStyle name="Normal 17 2" xfId="4184"/>
    <cellStyle name="Normal 17 3" xfId="4185"/>
    <cellStyle name="Normal 17_Tertiary Salaries Survey" xfId="4186"/>
    <cellStyle name="Normal 172" xfId="9"/>
    <cellStyle name="Normal 18" xfId="4187"/>
    <cellStyle name="Normal 18 2" xfId="4188"/>
    <cellStyle name="Normal 18 3" xfId="4189"/>
    <cellStyle name="Normal 18_Tertiary Salaries Survey" xfId="4190"/>
    <cellStyle name="Normal 19" xfId="4191"/>
    <cellStyle name="Normal 19 2" xfId="4192"/>
    <cellStyle name="Normal 19 3" xfId="4193"/>
    <cellStyle name="Normal 19_Tertiary Salaries Survey" xfId="4194"/>
    <cellStyle name="Normal 2" xfId="10"/>
    <cellStyle name="Normal 2 10" xfId="4195"/>
    <cellStyle name="Normal 2 10 2" xfId="4196"/>
    <cellStyle name="Normal 2 10 2 2" xfId="4197"/>
    <cellStyle name="Normal 2 10 2 2 2" xfId="4198"/>
    <cellStyle name="Normal 2 10 2 2 3" xfId="4199"/>
    <cellStyle name="Normal 2 10 2 3" xfId="4200"/>
    <cellStyle name="Normal 2 10 2 3 2" xfId="4201"/>
    <cellStyle name="Normal 2 10 2 3 3" xfId="4202"/>
    <cellStyle name="Normal 2 10 2 4" xfId="4203"/>
    <cellStyle name="Normal 2 10 2 5" xfId="4204"/>
    <cellStyle name="Normal 2 10 3" xfId="4205"/>
    <cellStyle name="Normal 2 10 3 2" xfId="4206"/>
    <cellStyle name="Normal 2 10 3 3" xfId="4207"/>
    <cellStyle name="Normal 2 10 4" xfId="4208"/>
    <cellStyle name="Normal 2 10 4 2" xfId="4209"/>
    <cellStyle name="Normal 2 10 4 3" xfId="4210"/>
    <cellStyle name="Normal 2 10 5" xfId="4211"/>
    <cellStyle name="Normal 2 10 5 2" xfId="4212"/>
    <cellStyle name="Normal 2 10 5 3" xfId="4213"/>
    <cellStyle name="Normal 2 10 6" xfId="4214"/>
    <cellStyle name="Normal 2 10 7" xfId="4215"/>
    <cellStyle name="Normal 2 11" xfId="4216"/>
    <cellStyle name="Normal 2 11 2" xfId="4217"/>
    <cellStyle name="Normal 2 11 2 2" xfId="4218"/>
    <cellStyle name="Normal 2 11 2 2 2" xfId="4219"/>
    <cellStyle name="Normal 2 11 2 2 3" xfId="4220"/>
    <cellStyle name="Normal 2 11 2 3" xfId="4221"/>
    <cellStyle name="Normal 2 11 2 3 2" xfId="4222"/>
    <cellStyle name="Normal 2 11 2 3 3" xfId="4223"/>
    <cellStyle name="Normal 2 11 2 4" xfId="4224"/>
    <cellStyle name="Normal 2 11 2 5" xfId="4225"/>
    <cellStyle name="Normal 2 11 3" xfId="4226"/>
    <cellStyle name="Normal 2 11 3 2" xfId="4227"/>
    <cellStyle name="Normal 2 11 3 3" xfId="4228"/>
    <cellStyle name="Normal 2 11 4" xfId="4229"/>
    <cellStyle name="Normal 2 11 4 2" xfId="4230"/>
    <cellStyle name="Normal 2 11 4 3" xfId="4231"/>
    <cellStyle name="Normal 2 11 5" xfId="4232"/>
    <cellStyle name="Normal 2 11 5 2" xfId="4233"/>
    <cellStyle name="Normal 2 11 5 3" xfId="4234"/>
    <cellStyle name="Normal 2 11 6" xfId="4235"/>
    <cellStyle name="Normal 2 11 7" xfId="4236"/>
    <cellStyle name="Normal 2 12" xfId="4237"/>
    <cellStyle name="Normal 2 12 2" xfId="4238"/>
    <cellStyle name="Normal 2 12 2 2" xfId="4239"/>
    <cellStyle name="Normal 2 12 2 2 2" xfId="4240"/>
    <cellStyle name="Normal 2 12 2 2 3" xfId="4241"/>
    <cellStyle name="Normal 2 12 2 3" xfId="4242"/>
    <cellStyle name="Normal 2 12 2 3 2" xfId="4243"/>
    <cellStyle name="Normal 2 12 2 3 3" xfId="4244"/>
    <cellStyle name="Normal 2 12 2 4" xfId="4245"/>
    <cellStyle name="Normal 2 12 2 5" xfId="4246"/>
    <cellStyle name="Normal 2 12 3" xfId="4247"/>
    <cellStyle name="Normal 2 12 3 2" xfId="4248"/>
    <cellStyle name="Normal 2 12 3 3" xfId="4249"/>
    <cellStyle name="Normal 2 12 4" xfId="4250"/>
    <cellStyle name="Normal 2 12 4 2" xfId="4251"/>
    <cellStyle name="Normal 2 12 4 3" xfId="4252"/>
    <cellStyle name="Normal 2 12 5" xfId="4253"/>
    <cellStyle name="Normal 2 12 5 2" xfId="4254"/>
    <cellStyle name="Normal 2 12 5 3" xfId="4255"/>
    <cellStyle name="Normal 2 12 6" xfId="4256"/>
    <cellStyle name="Normal 2 12 7" xfId="4257"/>
    <cellStyle name="Normal 2 13" xfId="4258"/>
    <cellStyle name="Normal 2 13 2" xfId="4259"/>
    <cellStyle name="Normal 2 13 2 2" xfId="4260"/>
    <cellStyle name="Normal 2 13 2 2 2" xfId="4261"/>
    <cellStyle name="Normal 2 13 2 2 3" xfId="4262"/>
    <cellStyle name="Normal 2 13 2 3" xfId="4263"/>
    <cellStyle name="Normal 2 13 2 3 2" xfId="4264"/>
    <cellStyle name="Normal 2 13 2 3 3" xfId="4265"/>
    <cellStyle name="Normal 2 13 2 4" xfId="4266"/>
    <cellStyle name="Normal 2 13 2 5" xfId="4267"/>
    <cellStyle name="Normal 2 13 3" xfId="4268"/>
    <cellStyle name="Normal 2 13 3 2" xfId="4269"/>
    <cellStyle name="Normal 2 13 3 3" xfId="4270"/>
    <cellStyle name="Normal 2 13 4" xfId="4271"/>
    <cellStyle name="Normal 2 13 4 2" xfId="4272"/>
    <cellStyle name="Normal 2 13 4 3" xfId="4273"/>
    <cellStyle name="Normal 2 13 5" xfId="4274"/>
    <cellStyle name="Normal 2 13 5 2" xfId="4275"/>
    <cellStyle name="Normal 2 13 5 3" xfId="4276"/>
    <cellStyle name="Normal 2 13 6" xfId="4277"/>
    <cellStyle name="Normal 2 13 7" xfId="4278"/>
    <cellStyle name="Normal 2 14" xfId="4279"/>
    <cellStyle name="Normal 2 14 2" xfId="4280"/>
    <cellStyle name="Normal 2 14 2 2" xfId="4281"/>
    <cellStyle name="Normal 2 14 2 2 2" xfId="4282"/>
    <cellStyle name="Normal 2 14 2 2 3" xfId="4283"/>
    <cellStyle name="Normal 2 14 2 3" xfId="4284"/>
    <cellStyle name="Normal 2 14 2 3 2" xfId="4285"/>
    <cellStyle name="Normal 2 14 2 3 3" xfId="4286"/>
    <cellStyle name="Normal 2 14 2 4" xfId="4287"/>
    <cellStyle name="Normal 2 14 2 5" xfId="4288"/>
    <cellStyle name="Normal 2 14 3" xfId="4289"/>
    <cellStyle name="Normal 2 14 3 2" xfId="4290"/>
    <cellStyle name="Normal 2 14 3 3" xfId="4291"/>
    <cellStyle name="Normal 2 14 4" xfId="4292"/>
    <cellStyle name="Normal 2 14 4 2" xfId="4293"/>
    <cellStyle name="Normal 2 14 4 3" xfId="4294"/>
    <cellStyle name="Normal 2 14 5" xfId="4295"/>
    <cellStyle name="Normal 2 14 5 2" xfId="4296"/>
    <cellStyle name="Normal 2 14 5 3" xfId="4297"/>
    <cellStyle name="Normal 2 14 6" xfId="4298"/>
    <cellStyle name="Normal 2 14 7" xfId="4299"/>
    <cellStyle name="Normal 2 15" xfId="4300"/>
    <cellStyle name="Normal 2 15 2" xfId="4301"/>
    <cellStyle name="Normal 2 15 2 2" xfId="4302"/>
    <cellStyle name="Normal 2 15 2 2 2" xfId="4303"/>
    <cellStyle name="Normal 2 15 2 2 3" xfId="4304"/>
    <cellStyle name="Normal 2 15 2 3" xfId="4305"/>
    <cellStyle name="Normal 2 15 2 3 2" xfId="4306"/>
    <cellStyle name="Normal 2 15 2 3 3" xfId="4307"/>
    <cellStyle name="Normal 2 15 2 4" xfId="4308"/>
    <cellStyle name="Normal 2 15 2 5" xfId="4309"/>
    <cellStyle name="Normal 2 15 3" xfId="4310"/>
    <cellStyle name="Normal 2 15 3 2" xfId="4311"/>
    <cellStyle name="Normal 2 15 3 3" xfId="4312"/>
    <cellStyle name="Normal 2 15 4" xfId="4313"/>
    <cellStyle name="Normal 2 15 4 2" xfId="4314"/>
    <cellStyle name="Normal 2 15 4 3" xfId="4315"/>
    <cellStyle name="Normal 2 15 5" xfId="4316"/>
    <cellStyle name="Normal 2 15 5 2" xfId="4317"/>
    <cellStyle name="Normal 2 15 5 3" xfId="4318"/>
    <cellStyle name="Normal 2 15 6" xfId="4319"/>
    <cellStyle name="Normal 2 15 7" xfId="4320"/>
    <cellStyle name="Normal 2 16" xfId="4321"/>
    <cellStyle name="Normal 2 16 2" xfId="4322"/>
    <cellStyle name="Normal 2 16 2 2" xfId="4323"/>
    <cellStyle name="Normal 2 16 2 2 2" xfId="4324"/>
    <cellStyle name="Normal 2 16 2 2 3" xfId="4325"/>
    <cellStyle name="Normal 2 16 2 3" xfId="4326"/>
    <cellStyle name="Normal 2 16 2 3 2" xfId="4327"/>
    <cellStyle name="Normal 2 16 2 3 3" xfId="4328"/>
    <cellStyle name="Normal 2 16 2 4" xfId="4329"/>
    <cellStyle name="Normal 2 16 2 5" xfId="4330"/>
    <cellStyle name="Normal 2 16 3" xfId="4331"/>
    <cellStyle name="Normal 2 16 3 2" xfId="4332"/>
    <cellStyle name="Normal 2 16 3 3" xfId="4333"/>
    <cellStyle name="Normal 2 16 4" xfId="4334"/>
    <cellStyle name="Normal 2 16 4 2" xfId="4335"/>
    <cellStyle name="Normal 2 16 4 3" xfId="4336"/>
    <cellStyle name="Normal 2 16 5" xfId="4337"/>
    <cellStyle name="Normal 2 16 5 2" xfId="4338"/>
    <cellStyle name="Normal 2 16 5 3" xfId="4339"/>
    <cellStyle name="Normal 2 16 6" xfId="4340"/>
    <cellStyle name="Normal 2 16 7" xfId="4341"/>
    <cellStyle name="Normal 2 17" xfId="4342"/>
    <cellStyle name="Normal 2 17 2" xfId="4343"/>
    <cellStyle name="Normal 2 18" xfId="4344"/>
    <cellStyle name="Normal 2 19" xfId="4345"/>
    <cellStyle name="Normal 2 19 2" xfId="4346"/>
    <cellStyle name="Normal 2 19 2 2" xfId="4347"/>
    <cellStyle name="Normal 2 19 2 3" xfId="4348"/>
    <cellStyle name="Normal 2 19 3" xfId="4349"/>
    <cellStyle name="Normal 2 19 4" xfId="4350"/>
    <cellStyle name="Normal 2 2" xfId="20"/>
    <cellStyle name="Normal 2 2 2" xfId="4351"/>
    <cellStyle name="Normal 2 2 2 2" xfId="4352"/>
    <cellStyle name="Normal 2 2 2 3" xfId="4353"/>
    <cellStyle name="Normal 2 2 2 4" xfId="11"/>
    <cellStyle name="Normal 2 2 3" xfId="12"/>
    <cellStyle name="Normal 2 2 3 2" xfId="4354"/>
    <cellStyle name="Normal 2 2 4" xfId="4355"/>
    <cellStyle name="Normal 2 2 5" xfId="4356"/>
    <cellStyle name="Normal 2 2 6" xfId="4357"/>
    <cellStyle name="Normal 2 2 7" xfId="4358"/>
    <cellStyle name="Normal 2 2 8" xfId="4359"/>
    <cellStyle name="Normal 2 2 9" xfId="4360"/>
    <cellStyle name="Normal 2 2_Tertiary Salaries Survey" xfId="4361"/>
    <cellStyle name="Normal 2 20" xfId="4362"/>
    <cellStyle name="Normal 2 20 2" xfId="4363"/>
    <cellStyle name="Normal 2 20 3" xfId="4364"/>
    <cellStyle name="Normal 2 21" xfId="4365"/>
    <cellStyle name="Normal 2 22" xfId="4366"/>
    <cellStyle name="Normal 2 23" xfId="13"/>
    <cellStyle name="Normal 2 3" xfId="4367"/>
    <cellStyle name="Normal 2 3 2" xfId="4368"/>
    <cellStyle name="Normal 2 3 2 2" xfId="4369"/>
    <cellStyle name="Normal 2 3 2 2 2" xfId="4370"/>
    <cellStyle name="Normal 2 3 2 2 3" xfId="4371"/>
    <cellStyle name="Normal 2 3 2 3" xfId="4372"/>
    <cellStyle name="Normal 2 3 2 3 2" xfId="4373"/>
    <cellStyle name="Normal 2 3 2 3 3" xfId="4374"/>
    <cellStyle name="Normal 2 3 2 4" xfId="4375"/>
    <cellStyle name="Normal 2 3 2 5" xfId="4376"/>
    <cellStyle name="Normal 2 3 3" xfId="4377"/>
    <cellStyle name="Normal 2 3 3 2" xfId="4378"/>
    <cellStyle name="Normal 2 3 3 3" xfId="4379"/>
    <cellStyle name="Normal 2 3 4" xfId="4380"/>
    <cellStyle name="Normal 2 3_Tertiary Salaries Survey" xfId="4381"/>
    <cellStyle name="Normal 2 4" xfId="4382"/>
    <cellStyle name="Normal 2 4 2" xfId="4383"/>
    <cellStyle name="Normal 2 4 2 2" xfId="4384"/>
    <cellStyle name="Normal 2 4 2 2 2" xfId="4385"/>
    <cellStyle name="Normal 2 4 2 2 2 2" xfId="4386"/>
    <cellStyle name="Normal 2 4 2 2 2 3" xfId="4387"/>
    <cellStyle name="Normal 2 4 2 2 3" xfId="4388"/>
    <cellStyle name="Normal 2 4 2 2 3 2" xfId="4389"/>
    <cellStyle name="Normal 2 4 2 2 3 3" xfId="4390"/>
    <cellStyle name="Normal 2 4 2 2 4" xfId="4391"/>
    <cellStyle name="Normal 2 4 2 2 5" xfId="4392"/>
    <cellStyle name="Normal 2 4 2 3" xfId="4393"/>
    <cellStyle name="Normal 2 4 2 3 2" xfId="4394"/>
    <cellStyle name="Normal 2 4 2 3 3" xfId="4395"/>
    <cellStyle name="Normal 2 4 2 4" xfId="4396"/>
    <cellStyle name="Normal 2 4 2 4 2" xfId="4397"/>
    <cellStyle name="Normal 2 4 2 4 3" xfId="4398"/>
    <cellStyle name="Normal 2 4 2 5" xfId="4399"/>
    <cellStyle name="Normal 2 4 2 6" xfId="4400"/>
    <cellStyle name="Normal 2 4 3" xfId="4401"/>
    <cellStyle name="Normal 2 4 3 2" xfId="4402"/>
    <cellStyle name="Normal 2 4 3 2 2" xfId="4403"/>
    <cellStyle name="Normal 2 4 3 2 3" xfId="4404"/>
    <cellStyle name="Normal 2 4 3 3" xfId="4405"/>
    <cellStyle name="Normal 2 4 3 3 2" xfId="4406"/>
    <cellStyle name="Normal 2 4 3 3 3" xfId="4407"/>
    <cellStyle name="Normal 2 4 3 4" xfId="4408"/>
    <cellStyle name="Normal 2 4 3 5" xfId="4409"/>
    <cellStyle name="Normal 2 4 4" xfId="4410"/>
    <cellStyle name="Normal 2 4 4 2" xfId="4411"/>
    <cellStyle name="Normal 2 4 4 2 2" xfId="4412"/>
    <cellStyle name="Normal 2 4 4 2 3" xfId="4413"/>
    <cellStyle name="Normal 2 4 4 3" xfId="4414"/>
    <cellStyle name="Normal 2 4 4 3 2" xfId="4415"/>
    <cellStyle name="Normal 2 4 4 3 3" xfId="4416"/>
    <cellStyle name="Normal 2 4 4 4" xfId="4417"/>
    <cellStyle name="Normal 2 4 4 5" xfId="4418"/>
    <cellStyle name="Normal 2 4 5" xfId="4419"/>
    <cellStyle name="Normal 2 4 5 2" xfId="4420"/>
    <cellStyle name="Normal 2 4 5 3" xfId="4421"/>
    <cellStyle name="Normal 2 4 6" xfId="4422"/>
    <cellStyle name="Normal 2 4 6 2" xfId="4423"/>
    <cellStyle name="Normal 2 4 6 3" xfId="4424"/>
    <cellStyle name="Normal 2 4 7" xfId="4425"/>
    <cellStyle name="Normal 2 4 7 2" xfId="4426"/>
    <cellStyle name="Normal 2 4 7 3" xfId="4427"/>
    <cellStyle name="Normal 2 4 8" xfId="4428"/>
    <cellStyle name="Normal 2 4 9" xfId="4429"/>
    <cellStyle name="Normal 2 4_EAG2010_D6_April 28" xfId="4430"/>
    <cellStyle name="Normal 2 5" xfId="4431"/>
    <cellStyle name="Normal 2 5 2" xfId="4432"/>
    <cellStyle name="Normal 2 5 2 2" xfId="4433"/>
    <cellStyle name="Normal 2 5 2 2 2" xfId="4434"/>
    <cellStyle name="Normal 2 5 2 2 3" xfId="4435"/>
    <cellStyle name="Normal 2 5 2 3" xfId="4436"/>
    <cellStyle name="Normal 2 5 2 3 2" xfId="4437"/>
    <cellStyle name="Normal 2 5 2 3 3" xfId="4438"/>
    <cellStyle name="Normal 2 5 2 4" xfId="4439"/>
    <cellStyle name="Normal 2 5 2 5" xfId="4440"/>
    <cellStyle name="Normal 2 5 3" xfId="4441"/>
    <cellStyle name="Normal 2 5 3 2" xfId="4442"/>
    <cellStyle name="Normal 2 5 3 3" xfId="4443"/>
    <cellStyle name="Normal 2 5 4" xfId="4444"/>
    <cellStyle name="Normal 2 5 4 2" xfId="4445"/>
    <cellStyle name="Normal 2 5 4 3" xfId="4446"/>
    <cellStyle name="Normal 2 5 5" xfId="4447"/>
    <cellStyle name="Normal 2 5 5 2" xfId="4448"/>
    <cellStyle name="Normal 2 5 5 3" xfId="4449"/>
    <cellStyle name="Normal 2 6" xfId="4450"/>
    <cellStyle name="Normal 2 6 2" xfId="4451"/>
    <cellStyle name="Normal 2 6 2 2" xfId="4452"/>
    <cellStyle name="Normal 2 6 2 2 2" xfId="4453"/>
    <cellStyle name="Normal 2 6 2 2 3" xfId="4454"/>
    <cellStyle name="Normal 2 6 2 3" xfId="4455"/>
    <cellStyle name="Normal 2 6 2 3 2" xfId="4456"/>
    <cellStyle name="Normal 2 6 2 3 3" xfId="4457"/>
    <cellStyle name="Normal 2 6 2 4" xfId="4458"/>
    <cellStyle name="Normal 2 6 2 5" xfId="4459"/>
    <cellStyle name="Normal 2 6 3" xfId="4460"/>
    <cellStyle name="Normal 2 6 3 2" xfId="4461"/>
    <cellStyle name="Normal 2 6 3 3" xfId="4462"/>
    <cellStyle name="Normal 2 6 4" xfId="4463"/>
    <cellStyle name="Normal 2 6 4 2" xfId="4464"/>
    <cellStyle name="Normal 2 6 4 3" xfId="4465"/>
    <cellStyle name="Normal 2 6 5" xfId="4466"/>
    <cellStyle name="Normal 2 6 5 2" xfId="4467"/>
    <cellStyle name="Normal 2 6 5 3" xfId="4468"/>
    <cellStyle name="Normal 2 7" xfId="4469"/>
    <cellStyle name="Normal 2 7 2" xfId="4470"/>
    <cellStyle name="Normal 2 7 2 2" xfId="4471"/>
    <cellStyle name="Normal 2 7 2 2 2" xfId="4472"/>
    <cellStyle name="Normal 2 7 2 2 3" xfId="4473"/>
    <cellStyle name="Normal 2 7 2 3" xfId="4474"/>
    <cellStyle name="Normal 2 7 2 3 2" xfId="4475"/>
    <cellStyle name="Normal 2 7 2 3 3" xfId="4476"/>
    <cellStyle name="Normal 2 7 2 4" xfId="4477"/>
    <cellStyle name="Normal 2 7 2 5" xfId="4478"/>
    <cellStyle name="Normal 2 7 3" xfId="4479"/>
    <cellStyle name="Normal 2 7 3 2" xfId="4480"/>
    <cellStyle name="Normal 2 7 3 3" xfId="4481"/>
    <cellStyle name="Normal 2 7 4" xfId="4482"/>
    <cellStyle name="Normal 2 7 4 2" xfId="4483"/>
    <cellStyle name="Normal 2 7 4 3" xfId="4484"/>
    <cellStyle name="Normal 2 7 5" xfId="4485"/>
    <cellStyle name="Normal 2 7 5 2" xfId="4486"/>
    <cellStyle name="Normal 2 7 5 3" xfId="4487"/>
    <cellStyle name="Normal 2 8" xfId="4488"/>
    <cellStyle name="Normal 2 8 2" xfId="4489"/>
    <cellStyle name="Normal 2 8 2 2" xfId="4490"/>
    <cellStyle name="Normal 2 8 2 2 2" xfId="4491"/>
    <cellStyle name="Normal 2 8 2 2 3" xfId="4492"/>
    <cellStyle name="Normal 2 8 2 3" xfId="4493"/>
    <cellStyle name="Normal 2 8 2 3 2" xfId="4494"/>
    <cellStyle name="Normal 2 8 2 3 3" xfId="4495"/>
    <cellStyle name="Normal 2 8 3" xfId="4496"/>
    <cellStyle name="Normal 2 8 3 2" xfId="4497"/>
    <cellStyle name="Normal 2 8 3 3" xfId="4498"/>
    <cellStyle name="Normal 2 8 4" xfId="4499"/>
    <cellStyle name="Normal 2 8 4 2" xfId="4500"/>
    <cellStyle name="Normal 2 8 4 3" xfId="4501"/>
    <cellStyle name="Normal 2 8 5" xfId="4502"/>
    <cellStyle name="Normal 2 8 5 2" xfId="4503"/>
    <cellStyle name="Normal 2 8 5 3" xfId="4504"/>
    <cellStyle name="Normal 2 9" xfId="4505"/>
    <cellStyle name="Normal 2 9 2" xfId="4506"/>
    <cellStyle name="Normal 2 9 2 2" xfId="4507"/>
    <cellStyle name="Normal 2 9 2 2 2" xfId="4508"/>
    <cellStyle name="Normal 2 9 2 2 3" xfId="4509"/>
    <cellStyle name="Normal 2 9 2 3" xfId="4510"/>
    <cellStyle name="Normal 2 9 2 3 2" xfId="4511"/>
    <cellStyle name="Normal 2 9 2 3 3" xfId="4512"/>
    <cellStyle name="Normal 2 9 2 4" xfId="4513"/>
    <cellStyle name="Normal 2 9 2 5" xfId="4514"/>
    <cellStyle name="Normal 2 9 3" xfId="4515"/>
    <cellStyle name="Normal 2 9 3 2" xfId="4516"/>
    <cellStyle name="Normal 2 9 3 3" xfId="4517"/>
    <cellStyle name="Normal 2 9 4" xfId="4518"/>
    <cellStyle name="Normal 2 9 4 2" xfId="4519"/>
    <cellStyle name="Normal 2 9 4 3" xfId="4520"/>
    <cellStyle name="Normal 2 9 5" xfId="4521"/>
    <cellStyle name="Normal 2 9 5 2" xfId="4522"/>
    <cellStyle name="Normal 2 9 5 3" xfId="4523"/>
    <cellStyle name="Normal 2 9 6" xfId="4524"/>
    <cellStyle name="Normal 2 9 7" xfId="4525"/>
    <cellStyle name="Normal 2_AUG_TabChap2" xfId="4526"/>
    <cellStyle name="Normal 20" xfId="4527"/>
    <cellStyle name="Normal 21" xfId="4528"/>
    <cellStyle name="Normal 22" xfId="4529"/>
    <cellStyle name="Normal 23" xfId="4530"/>
    <cellStyle name="Normal 24" xfId="4531"/>
    <cellStyle name="Normal 25" xfId="4532"/>
    <cellStyle name="Normal 25 2" xfId="4533"/>
    <cellStyle name="Normal 25 3" xfId="4534"/>
    <cellStyle name="Normal 26" xfId="4535"/>
    <cellStyle name="Normal 27" xfId="4536"/>
    <cellStyle name="Normal 28" xfId="4537"/>
    <cellStyle name="Normal 29" xfId="4538"/>
    <cellStyle name="Normal 3" xfId="2"/>
    <cellStyle name="Normal 3 2" xfId="18"/>
    <cellStyle name="Normal 3 2 2" xfId="4539"/>
    <cellStyle name="Normal 3 2 2 2" xfId="4540"/>
    <cellStyle name="Normal 3 2 2 2 2" xfId="4541"/>
    <cellStyle name="Normal 3 2 2 2 3" xfId="4542"/>
    <cellStyle name="Normal 3 2 2 3" xfId="4543"/>
    <cellStyle name="Normal 3 2 2 3 2" xfId="4544"/>
    <cellStyle name="Normal 3 2 2 3 3" xfId="4545"/>
    <cellStyle name="Normal 3 2 2 4" xfId="4546"/>
    <cellStyle name="Normal 3 2 2 5" xfId="4547"/>
    <cellStyle name="Normal 3 2 2_Tertiary Salaries Survey" xfId="4548"/>
    <cellStyle name="Normal 3 2 3" xfId="4549"/>
    <cellStyle name="Normal 3 2_Tertiary Salaries Survey" xfId="4550"/>
    <cellStyle name="Normal 3 3" xfId="19"/>
    <cellStyle name="Normal 3 3 2" xfId="21"/>
    <cellStyle name="Normal 3 3 2 2" xfId="4551"/>
    <cellStyle name="Normal 3 4" xfId="4552"/>
    <cellStyle name="Normal 3 5" xfId="4553"/>
    <cellStyle name="Normal 3 6" xfId="4554"/>
    <cellStyle name="Normal 3 7" xfId="15"/>
    <cellStyle name="Normal 3_Tertiary Salaries Survey" xfId="4555"/>
    <cellStyle name="Normal 30" xfId="4556"/>
    <cellStyle name="Normal 31" xfId="4557"/>
    <cellStyle name="Normal 32" xfId="4558"/>
    <cellStyle name="Normal 33" xfId="24063"/>
    <cellStyle name="Normal 4" xfId="16"/>
    <cellStyle name="Normal 4 10" xfId="4559"/>
    <cellStyle name="Normal 4 2" xfId="4560"/>
    <cellStyle name="Normal 4 2 2" xfId="4561"/>
    <cellStyle name="Normal 4 2 2 2" xfId="4562"/>
    <cellStyle name="Normal 4 2 2 2 2" xfId="4563"/>
    <cellStyle name="Normal 4 2 2 2 2 2" xfId="4564"/>
    <cellStyle name="Normal 4 2 2 2 2 3" xfId="4565"/>
    <cellStyle name="Normal 4 2 2 2 2_Tertiary Salaries Survey" xfId="4566"/>
    <cellStyle name="Normal 4 2 2 2 3" xfId="4567"/>
    <cellStyle name="Normal 4 2 2 2 4" xfId="4568"/>
    <cellStyle name="Normal 4 2 2 2 5" xfId="4569"/>
    <cellStyle name="Normal 4 2 2 2_STUD aligned by INSTIT" xfId="4570"/>
    <cellStyle name="Normal 4 2 2 3" xfId="4571"/>
    <cellStyle name="Normal 4 2 2 3 2" xfId="4572"/>
    <cellStyle name="Normal 4 2 2 3 3" xfId="4573"/>
    <cellStyle name="Normal 4 2 2 3_Tertiary Salaries Survey" xfId="4574"/>
    <cellStyle name="Normal 4 2 2 4" xfId="4575"/>
    <cellStyle name="Normal 4 2 2 5" xfId="4576"/>
    <cellStyle name="Normal 4 2 2 6" xfId="4577"/>
    <cellStyle name="Normal 4 2 2 7" xfId="4578"/>
    <cellStyle name="Normal 4 2 2 8" xfId="4579"/>
    <cellStyle name="Normal 4 2 2 9" xfId="4580"/>
    <cellStyle name="Normal 4 2 2_STUD aligned by INSTIT" xfId="4581"/>
    <cellStyle name="Normal 4 2 3" xfId="4582"/>
    <cellStyle name="Normal 4 2 3 2" xfId="4583"/>
    <cellStyle name="Normal 4 2 3 2 2" xfId="4584"/>
    <cellStyle name="Normal 4 2 3 2 3" xfId="4585"/>
    <cellStyle name="Normal 4 2 3 2_Tertiary Salaries Survey" xfId="4586"/>
    <cellStyle name="Normal 4 2 3 3" xfId="4587"/>
    <cellStyle name="Normal 4 2 3 4" xfId="4588"/>
    <cellStyle name="Normal 4 2 3 5" xfId="4589"/>
    <cellStyle name="Normal 4 2 3_STUD aligned by INSTIT" xfId="4590"/>
    <cellStyle name="Normal 4 2 4" xfId="4591"/>
    <cellStyle name="Normal 4 2 4 2" xfId="4592"/>
    <cellStyle name="Normal 4 2 4 3" xfId="4593"/>
    <cellStyle name="Normal 4 2 4_Tertiary Salaries Survey" xfId="4594"/>
    <cellStyle name="Normal 4 2 5" xfId="4595"/>
    <cellStyle name="Normal 4 2 6" xfId="4596"/>
    <cellStyle name="Normal 4 2 7" xfId="4597"/>
    <cellStyle name="Normal 4 2_STUD aligned by INSTIT" xfId="4598"/>
    <cellStyle name="Normal 4 3" xfId="4599"/>
    <cellStyle name="Normal 4 3 2" xfId="4600"/>
    <cellStyle name="Normal 4 3 3" xfId="4601"/>
    <cellStyle name="Normal 4 4" xfId="4602"/>
    <cellStyle name="Normal 4 5" xfId="4603"/>
    <cellStyle name="Normal 4 6" xfId="4604"/>
    <cellStyle name="Normal 4 7" xfId="4605"/>
    <cellStyle name="Normal 4 8" xfId="4606"/>
    <cellStyle name="Normal 4 9" xfId="4607"/>
    <cellStyle name="Normal 4_Tertiary Salaries Survey" xfId="4608"/>
    <cellStyle name="Normal 5" xfId="4609"/>
    <cellStyle name="Normal 5 2" xfId="4610"/>
    <cellStyle name="Normal 5 2 2" xfId="4611"/>
    <cellStyle name="Normal 5 2 3" xfId="4612"/>
    <cellStyle name="Normal 5 2 4" xfId="4613"/>
    <cellStyle name="Normal 5 2 4 2" xfId="4614"/>
    <cellStyle name="Normal 5 2 4 3" xfId="4615"/>
    <cellStyle name="Normal 5 2_Tertiary Salaries Survey" xfId="4616"/>
    <cellStyle name="Normal 5 3" xfId="4617"/>
    <cellStyle name="Normal 5 4" xfId="4618"/>
    <cellStyle name="Normal 5 5" xfId="4619"/>
    <cellStyle name="Normal 5_Tertiary Salaries Survey" xfId="4620"/>
    <cellStyle name="Normal 6" xfId="4621"/>
    <cellStyle name="Normal 6 10" xfId="4622"/>
    <cellStyle name="Normal 6 10 2" xfId="4623"/>
    <cellStyle name="Normal 6 10 3" xfId="4624"/>
    <cellStyle name="Normal 6 2" xfId="4625"/>
    <cellStyle name="Normal 6 2 2" xfId="4626"/>
    <cellStyle name="Normal 6 2 2 2" xfId="4627"/>
    <cellStyle name="Normal 6 2 2 2 2" xfId="4628"/>
    <cellStyle name="Normal 6 2 2 2 2 2" xfId="4629"/>
    <cellStyle name="Normal 6 2 2 2 2 3" xfId="4630"/>
    <cellStyle name="Normal 6 2 2 2 2_Tertiary Salaries Survey" xfId="4631"/>
    <cellStyle name="Normal 6 2 2 2 3" xfId="4632"/>
    <cellStyle name="Normal 6 2 2 2 4" xfId="4633"/>
    <cellStyle name="Normal 6 2 2 2 5" xfId="4634"/>
    <cellStyle name="Normal 6 2 2 2_STUD aligned by INSTIT" xfId="4635"/>
    <cellStyle name="Normal 6 2 2 3" xfId="4636"/>
    <cellStyle name="Normal 6 2 2 3 2" xfId="4637"/>
    <cellStyle name="Normal 6 2 2 3 3" xfId="4638"/>
    <cellStyle name="Normal 6 2 2 3_Tertiary Salaries Survey" xfId="4639"/>
    <cellStyle name="Normal 6 2 2 4" xfId="4640"/>
    <cellStyle name="Normal 6 2 2 5" xfId="4641"/>
    <cellStyle name="Normal 6 2 2 6" xfId="4642"/>
    <cellStyle name="Normal 6 2 2_STUD aligned by INSTIT" xfId="4643"/>
    <cellStyle name="Normal 6 2 3" xfId="4644"/>
    <cellStyle name="Normal 6 2 3 2" xfId="4645"/>
    <cellStyle name="Normal 6 2 3 2 2" xfId="4646"/>
    <cellStyle name="Normal 6 2 3 2 3" xfId="4647"/>
    <cellStyle name="Normal 6 2 3 2_Tertiary Salaries Survey" xfId="4648"/>
    <cellStyle name="Normal 6 2 3 3" xfId="4649"/>
    <cellStyle name="Normal 6 2 3 4" xfId="4650"/>
    <cellStyle name="Normal 6 2 3 5" xfId="4651"/>
    <cellStyle name="Normal 6 2 3_STUD aligned by INSTIT" xfId="4652"/>
    <cellStyle name="Normal 6 2 4" xfId="4653"/>
    <cellStyle name="Normal 6 2 4 2" xfId="4654"/>
    <cellStyle name="Normal 6 2 4 3" xfId="4655"/>
    <cellStyle name="Normal 6 2 4_Tertiary Salaries Survey" xfId="4656"/>
    <cellStyle name="Normal 6 2 5" xfId="4657"/>
    <cellStyle name="Normal 6 2 6" xfId="4658"/>
    <cellStyle name="Normal 6 2 7" xfId="4659"/>
    <cellStyle name="Normal 6 2_STUD aligned by INSTIT" xfId="4660"/>
    <cellStyle name="Normal 6 3" xfId="4661"/>
    <cellStyle name="Normal 6 3 2" xfId="4662"/>
    <cellStyle name="Normal 6 3 2 2" xfId="4663"/>
    <cellStyle name="Normal 6 3 2 2 2" xfId="4664"/>
    <cellStyle name="Normal 6 3 2 2 3" xfId="4665"/>
    <cellStyle name="Normal 6 3 2 2_Tertiary Salaries Survey" xfId="4666"/>
    <cellStyle name="Normal 6 3 2 3" xfId="4667"/>
    <cellStyle name="Normal 6 3 2 4" xfId="4668"/>
    <cellStyle name="Normal 6 3 2 5" xfId="4669"/>
    <cellStyle name="Normal 6 3 2_STUD aligned by INSTIT" xfId="4670"/>
    <cellStyle name="Normal 6 3 3" xfId="4671"/>
    <cellStyle name="Normal 6 3 3 2" xfId="4672"/>
    <cellStyle name="Normal 6 3 3 3" xfId="4673"/>
    <cellStyle name="Normal 6 3 3_Tertiary Salaries Survey" xfId="4674"/>
    <cellStyle name="Normal 6 3 4" xfId="4675"/>
    <cellStyle name="Normal 6 3 5" xfId="4676"/>
    <cellStyle name="Normal 6 3 6" xfId="4677"/>
    <cellStyle name="Normal 6 3_STUD aligned by INSTIT" xfId="4678"/>
    <cellStyle name="Normal 6 4" xfId="4679"/>
    <cellStyle name="Normal 6 4 2" xfId="4680"/>
    <cellStyle name="Normal 6 4 2 2" xfId="4681"/>
    <cellStyle name="Normal 6 4 2 3" xfId="4682"/>
    <cellStyle name="Normal 6 4 2_Tertiary Salaries Survey" xfId="4683"/>
    <cellStyle name="Normal 6 4 3" xfId="4684"/>
    <cellStyle name="Normal 6 4 4" xfId="4685"/>
    <cellStyle name="Normal 6 4 5" xfId="4686"/>
    <cellStyle name="Normal 6 4_STUD aligned by INSTIT" xfId="4687"/>
    <cellStyle name="Normal 6 5" xfId="4688"/>
    <cellStyle name="Normal 6 5 2" xfId="4689"/>
    <cellStyle name="Normal 6 5 3" xfId="4690"/>
    <cellStyle name="Normal 6 5_Tertiary Salaries Survey" xfId="4691"/>
    <cellStyle name="Normal 6 6" xfId="4692"/>
    <cellStyle name="Normal 6 7" xfId="4693"/>
    <cellStyle name="Normal 6 8" xfId="4694"/>
    <cellStyle name="Normal 6 9" xfId="4695"/>
    <cellStyle name="Normal 6_STUD aligned by INSTIT" xfId="4696"/>
    <cellStyle name="Normal 7" xfId="4697"/>
    <cellStyle name="Normal 7 2" xfId="4698"/>
    <cellStyle name="Normal 7 2 2" xfId="4699"/>
    <cellStyle name="Normal 7 2 3" xfId="4700"/>
    <cellStyle name="Normal 7 3" xfId="4701"/>
    <cellStyle name="Normal 8" xfId="4702"/>
    <cellStyle name="Normal 8 10" xfId="4703"/>
    <cellStyle name="Normal 8 11" xfId="4704"/>
    <cellStyle name="Normal 8 2" xfId="4705"/>
    <cellStyle name="Normal 8 2 2" xfId="4706"/>
    <cellStyle name="Normal 8 2 2 2" xfId="4707"/>
    <cellStyle name="Normal 8 2 2 2 2" xfId="4708"/>
    <cellStyle name="Normal 8 2 2 2 3" xfId="4709"/>
    <cellStyle name="Normal 8 2 2 2_Tertiary Salaries Survey" xfId="4710"/>
    <cellStyle name="Normal 8 2 2 3" xfId="4711"/>
    <cellStyle name="Normal 8 2 2 4" xfId="4712"/>
    <cellStyle name="Normal 8 2 2 5" xfId="4713"/>
    <cellStyle name="Normal 8 2 2_STUD aligned by INSTIT" xfId="4714"/>
    <cellStyle name="Normal 8 2 3" xfId="4715"/>
    <cellStyle name="Normal 8 2 3 2" xfId="4716"/>
    <cellStyle name="Normal 8 2 3 3" xfId="4717"/>
    <cellStyle name="Normal 8 2 3_Tertiary Salaries Survey" xfId="4718"/>
    <cellStyle name="Normal 8 2 4" xfId="4719"/>
    <cellStyle name="Normal 8 2 5" xfId="4720"/>
    <cellStyle name="Normal 8 2 6" xfId="4721"/>
    <cellStyle name="Normal 8 2_STUD aligned by INSTIT" xfId="4722"/>
    <cellStyle name="Normal 8 3" xfId="4723"/>
    <cellStyle name="Normal 8 3 2" xfId="4724"/>
    <cellStyle name="Normal 8 3 2 2" xfId="4725"/>
    <cellStyle name="Normal 8 3 2 3" xfId="4726"/>
    <cellStyle name="Normal 8 3 2_Tertiary Salaries Survey" xfId="4727"/>
    <cellStyle name="Normal 8 3 3" xfId="4728"/>
    <cellStyle name="Normal 8 3 4" xfId="4729"/>
    <cellStyle name="Normal 8 3 5" xfId="4730"/>
    <cellStyle name="Normal 8 3_STUD aligned by INSTIT" xfId="4731"/>
    <cellStyle name="Normal 8 4" xfId="4732"/>
    <cellStyle name="Normal 8 4 2" xfId="4733"/>
    <cellStyle name="Normal 8 4 3" xfId="4734"/>
    <cellStyle name="Normal 8 4_Tertiary Salaries Survey" xfId="4735"/>
    <cellStyle name="Normal 8 5" xfId="4736"/>
    <cellStyle name="Normal 8 6" xfId="4737"/>
    <cellStyle name="Normal 8 7" xfId="4738"/>
    <cellStyle name="Normal 8 8" xfId="4739"/>
    <cellStyle name="Normal 8 9" xfId="4740"/>
    <cellStyle name="Normal 8_STUD aligned by INSTIT" xfId="4741"/>
    <cellStyle name="Normal 9" xfId="4742"/>
    <cellStyle name="Normal 9 2" xfId="4743"/>
    <cellStyle name="Normal 9 3" xfId="4744"/>
    <cellStyle name="Normál_8gradk" xfId="4745"/>
    <cellStyle name="Normal-blank" xfId="4746"/>
    <cellStyle name="Normal-bottom" xfId="4747"/>
    <cellStyle name="Normal-center" xfId="4748"/>
    <cellStyle name="Normal-droit" xfId="4749"/>
    <cellStyle name="Normale 2" xfId="4750"/>
    <cellStyle name="Normale 3" xfId="4751"/>
    <cellStyle name="Normal-top" xfId="4752"/>
    <cellStyle name="Note 10 2" xfId="4753"/>
    <cellStyle name="Note 10 2 2" xfId="4754"/>
    <cellStyle name="Note 10 2 2 2" xfId="4755"/>
    <cellStyle name="Note 10 2 2 3" xfId="4756"/>
    <cellStyle name="Note 10 2 3" xfId="4757"/>
    <cellStyle name="Note 10 2 3 2" xfId="4758"/>
    <cellStyle name="Note 10 2 4" xfId="4759"/>
    <cellStyle name="Note 10 3" xfId="4760"/>
    <cellStyle name="Note 10 3 2" xfId="4761"/>
    <cellStyle name="Note 10 3 2 2" xfId="4762"/>
    <cellStyle name="Note 10 3 2 3" xfId="4763"/>
    <cellStyle name="Note 10 3 3" xfId="4764"/>
    <cellStyle name="Note 10 3 3 2" xfId="4765"/>
    <cellStyle name="Note 10 3 4" xfId="4766"/>
    <cellStyle name="Note 10 4" xfId="4767"/>
    <cellStyle name="Note 10 4 2" xfId="4768"/>
    <cellStyle name="Note 10 4 2 2" xfId="4769"/>
    <cellStyle name="Note 10 4 2 3" xfId="4770"/>
    <cellStyle name="Note 10 4 3" xfId="4771"/>
    <cellStyle name="Note 10 4 3 2" xfId="4772"/>
    <cellStyle name="Note 10 4 4" xfId="4773"/>
    <cellStyle name="Note 10 5" xfId="4774"/>
    <cellStyle name="Note 10 5 2" xfId="4775"/>
    <cellStyle name="Note 10 5 2 2" xfId="4776"/>
    <cellStyle name="Note 10 5 2 3" xfId="4777"/>
    <cellStyle name="Note 10 5 3" xfId="4778"/>
    <cellStyle name="Note 10 5 3 2" xfId="4779"/>
    <cellStyle name="Note 10 5 4" xfId="4780"/>
    <cellStyle name="Note 10 6" xfId="4781"/>
    <cellStyle name="Note 10 6 2" xfId="4782"/>
    <cellStyle name="Note 10 6 2 2" xfId="4783"/>
    <cellStyle name="Note 10 6 2 3" xfId="4784"/>
    <cellStyle name="Note 10 6 3" xfId="4785"/>
    <cellStyle name="Note 10 6 3 2" xfId="4786"/>
    <cellStyle name="Note 10 6 4" xfId="4787"/>
    <cellStyle name="Note 10 7" xfId="4788"/>
    <cellStyle name="Note 10 7 2" xfId="4789"/>
    <cellStyle name="Note 10 7 2 2" xfId="4790"/>
    <cellStyle name="Note 10 7 2 3" xfId="4791"/>
    <cellStyle name="Note 10 7 3" xfId="4792"/>
    <cellStyle name="Note 10 7 3 2" xfId="4793"/>
    <cellStyle name="Note 10 7 4" xfId="4794"/>
    <cellStyle name="Note 11 2" xfId="4795"/>
    <cellStyle name="Note 11 2 2" xfId="4796"/>
    <cellStyle name="Note 11 2 2 2" xfId="4797"/>
    <cellStyle name="Note 11 2 2 3" xfId="4798"/>
    <cellStyle name="Note 11 2 3" xfId="4799"/>
    <cellStyle name="Note 11 2 3 2" xfId="4800"/>
    <cellStyle name="Note 11 2 4" xfId="4801"/>
    <cellStyle name="Note 11 3" xfId="4802"/>
    <cellStyle name="Note 11 3 2" xfId="4803"/>
    <cellStyle name="Note 11 3 2 2" xfId="4804"/>
    <cellStyle name="Note 11 3 2 3" xfId="4805"/>
    <cellStyle name="Note 11 3 3" xfId="4806"/>
    <cellStyle name="Note 11 3 3 2" xfId="4807"/>
    <cellStyle name="Note 11 3 4" xfId="4808"/>
    <cellStyle name="Note 11 4" xfId="4809"/>
    <cellStyle name="Note 11 4 2" xfId="4810"/>
    <cellStyle name="Note 11 4 2 2" xfId="4811"/>
    <cellStyle name="Note 11 4 2 3" xfId="4812"/>
    <cellStyle name="Note 11 4 3" xfId="4813"/>
    <cellStyle name="Note 11 4 3 2" xfId="4814"/>
    <cellStyle name="Note 11 4 4" xfId="4815"/>
    <cellStyle name="Note 11 5" xfId="4816"/>
    <cellStyle name="Note 11 5 2" xfId="4817"/>
    <cellStyle name="Note 11 5 2 2" xfId="4818"/>
    <cellStyle name="Note 11 5 2 3" xfId="4819"/>
    <cellStyle name="Note 11 5 3" xfId="4820"/>
    <cellStyle name="Note 11 5 3 2" xfId="4821"/>
    <cellStyle name="Note 11 5 4" xfId="4822"/>
    <cellStyle name="Note 11 6" xfId="4823"/>
    <cellStyle name="Note 11 6 2" xfId="4824"/>
    <cellStyle name="Note 11 6 2 2" xfId="4825"/>
    <cellStyle name="Note 11 6 2 3" xfId="4826"/>
    <cellStyle name="Note 11 6 3" xfId="4827"/>
    <cellStyle name="Note 11 6 3 2" xfId="4828"/>
    <cellStyle name="Note 11 6 4" xfId="4829"/>
    <cellStyle name="Note 12 2" xfId="4830"/>
    <cellStyle name="Note 12 2 2" xfId="4831"/>
    <cellStyle name="Note 12 2 2 2" xfId="4832"/>
    <cellStyle name="Note 12 2 2 3" xfId="4833"/>
    <cellStyle name="Note 12 2 3" xfId="4834"/>
    <cellStyle name="Note 12 2 3 2" xfId="4835"/>
    <cellStyle name="Note 12 2 4" xfId="4836"/>
    <cellStyle name="Note 12 3" xfId="4837"/>
    <cellStyle name="Note 12 3 2" xfId="4838"/>
    <cellStyle name="Note 12 3 2 2" xfId="4839"/>
    <cellStyle name="Note 12 3 2 3" xfId="4840"/>
    <cellStyle name="Note 12 3 3" xfId="4841"/>
    <cellStyle name="Note 12 3 3 2" xfId="4842"/>
    <cellStyle name="Note 12 3 4" xfId="4843"/>
    <cellStyle name="Note 12 4" xfId="4844"/>
    <cellStyle name="Note 12 4 2" xfId="4845"/>
    <cellStyle name="Note 12 4 2 2" xfId="4846"/>
    <cellStyle name="Note 12 4 2 3" xfId="4847"/>
    <cellStyle name="Note 12 4 3" xfId="4848"/>
    <cellStyle name="Note 12 4 3 2" xfId="4849"/>
    <cellStyle name="Note 12 4 4" xfId="4850"/>
    <cellStyle name="Note 12 5" xfId="4851"/>
    <cellStyle name="Note 12 5 2" xfId="4852"/>
    <cellStyle name="Note 12 5 2 2" xfId="4853"/>
    <cellStyle name="Note 12 5 2 3" xfId="4854"/>
    <cellStyle name="Note 12 5 3" xfId="4855"/>
    <cellStyle name="Note 12 5 3 2" xfId="4856"/>
    <cellStyle name="Note 12 5 4" xfId="4857"/>
    <cellStyle name="Note 13 2" xfId="4858"/>
    <cellStyle name="Note 13 2 2" xfId="4859"/>
    <cellStyle name="Note 13 2 2 2" xfId="4860"/>
    <cellStyle name="Note 13 2 2 3" xfId="4861"/>
    <cellStyle name="Note 13 2 3" xfId="4862"/>
    <cellStyle name="Note 13 2 3 2" xfId="4863"/>
    <cellStyle name="Note 13 2 4" xfId="4864"/>
    <cellStyle name="Note 14 2" xfId="4865"/>
    <cellStyle name="Note 14 2 2" xfId="4866"/>
    <cellStyle name="Note 14 2 2 2" xfId="4867"/>
    <cellStyle name="Note 14 2 2 3" xfId="4868"/>
    <cellStyle name="Note 14 2 3" xfId="4869"/>
    <cellStyle name="Note 14 2 3 2" xfId="4870"/>
    <cellStyle name="Note 14 2 4" xfId="4871"/>
    <cellStyle name="Note 15 2" xfId="4872"/>
    <cellStyle name="Note 15 2 2" xfId="4873"/>
    <cellStyle name="Note 15 2 2 2" xfId="4874"/>
    <cellStyle name="Note 15 2 2 3" xfId="4875"/>
    <cellStyle name="Note 15 2 3" xfId="4876"/>
    <cellStyle name="Note 15 2 3 2" xfId="4877"/>
    <cellStyle name="Note 15 2 4" xfId="4878"/>
    <cellStyle name="Note 2 2" xfId="4879"/>
    <cellStyle name="Note 2 2 2" xfId="4880"/>
    <cellStyle name="Note 2 2 2 2" xfId="4881"/>
    <cellStyle name="Note 2 2 2 3" xfId="4882"/>
    <cellStyle name="Note 2 2 3" xfId="4883"/>
    <cellStyle name="Note 2 2 3 2" xfId="4884"/>
    <cellStyle name="Note 2 2 4" xfId="4885"/>
    <cellStyle name="Note 2 3" xfId="4886"/>
    <cellStyle name="Note 2 3 2" xfId="4887"/>
    <cellStyle name="Note 2 3 2 2" xfId="4888"/>
    <cellStyle name="Note 2 3 2 3" xfId="4889"/>
    <cellStyle name="Note 2 3 3" xfId="4890"/>
    <cellStyle name="Note 2 3 3 2" xfId="4891"/>
    <cellStyle name="Note 2 3 4" xfId="4892"/>
    <cellStyle name="Note 2 4" xfId="4893"/>
    <cellStyle name="Note 2 4 2" xfId="4894"/>
    <cellStyle name="Note 2 4 2 2" xfId="4895"/>
    <cellStyle name="Note 2 4 2 3" xfId="4896"/>
    <cellStyle name="Note 2 4 3" xfId="4897"/>
    <cellStyle name="Note 2 4 3 2" xfId="4898"/>
    <cellStyle name="Note 2 4 4" xfId="4899"/>
    <cellStyle name="Note 2 5" xfId="4900"/>
    <cellStyle name="Note 2 5 2" xfId="4901"/>
    <cellStyle name="Note 2 5 2 2" xfId="4902"/>
    <cellStyle name="Note 2 5 2 3" xfId="4903"/>
    <cellStyle name="Note 2 5 3" xfId="4904"/>
    <cellStyle name="Note 2 5 3 2" xfId="4905"/>
    <cellStyle name="Note 2 5 4" xfId="4906"/>
    <cellStyle name="Note 2 6" xfId="4907"/>
    <cellStyle name="Note 2 6 2" xfId="4908"/>
    <cellStyle name="Note 2 6 2 2" xfId="4909"/>
    <cellStyle name="Note 2 6 2 3" xfId="4910"/>
    <cellStyle name="Note 2 6 3" xfId="4911"/>
    <cellStyle name="Note 2 6 3 2" xfId="4912"/>
    <cellStyle name="Note 2 6 4" xfId="4913"/>
    <cellStyle name="Note 2 7" xfId="4914"/>
    <cellStyle name="Note 2 7 2" xfId="4915"/>
    <cellStyle name="Note 2 7 2 2" xfId="4916"/>
    <cellStyle name="Note 2 7 2 3" xfId="4917"/>
    <cellStyle name="Note 2 7 3" xfId="4918"/>
    <cellStyle name="Note 2 7 3 2" xfId="4919"/>
    <cellStyle name="Note 2 7 4" xfId="4920"/>
    <cellStyle name="Note 2 8" xfId="4921"/>
    <cellStyle name="Note 2 8 2" xfId="4922"/>
    <cellStyle name="Note 2 8 2 2" xfId="4923"/>
    <cellStyle name="Note 2 8 2 3" xfId="4924"/>
    <cellStyle name="Note 2 8 3" xfId="4925"/>
    <cellStyle name="Note 2 8 3 2" xfId="4926"/>
    <cellStyle name="Note 2 8 4" xfId="4927"/>
    <cellStyle name="Note 3 2" xfId="4928"/>
    <cellStyle name="Note 3 2 2" xfId="4929"/>
    <cellStyle name="Note 3 2 2 2" xfId="4930"/>
    <cellStyle name="Note 3 2 2 3" xfId="4931"/>
    <cellStyle name="Note 3 2 3" xfId="4932"/>
    <cellStyle name="Note 3 2 3 2" xfId="4933"/>
    <cellStyle name="Note 3 2 4" xfId="4934"/>
    <cellStyle name="Note 3 3" xfId="4935"/>
    <cellStyle name="Note 3 3 2" xfId="4936"/>
    <cellStyle name="Note 3 3 2 2" xfId="4937"/>
    <cellStyle name="Note 3 3 2 3" xfId="4938"/>
    <cellStyle name="Note 3 3 3" xfId="4939"/>
    <cellStyle name="Note 3 3 3 2" xfId="4940"/>
    <cellStyle name="Note 3 3 4" xfId="4941"/>
    <cellStyle name="Note 3 4" xfId="4942"/>
    <cellStyle name="Note 3 4 2" xfId="4943"/>
    <cellStyle name="Note 3 4 2 2" xfId="4944"/>
    <cellStyle name="Note 3 4 2 3" xfId="4945"/>
    <cellStyle name="Note 3 4 3" xfId="4946"/>
    <cellStyle name="Note 3 4 3 2" xfId="4947"/>
    <cellStyle name="Note 3 4 4" xfId="4948"/>
    <cellStyle name="Note 3 5" xfId="4949"/>
    <cellStyle name="Note 3 5 2" xfId="4950"/>
    <cellStyle name="Note 3 5 2 2" xfId="4951"/>
    <cellStyle name="Note 3 5 2 3" xfId="4952"/>
    <cellStyle name="Note 3 5 3" xfId="4953"/>
    <cellStyle name="Note 3 5 3 2" xfId="4954"/>
    <cellStyle name="Note 3 5 4" xfId="4955"/>
    <cellStyle name="Note 3 6" xfId="4956"/>
    <cellStyle name="Note 3 6 2" xfId="4957"/>
    <cellStyle name="Note 3 6 2 2" xfId="4958"/>
    <cellStyle name="Note 3 6 2 3" xfId="4959"/>
    <cellStyle name="Note 3 6 3" xfId="4960"/>
    <cellStyle name="Note 3 6 3 2" xfId="4961"/>
    <cellStyle name="Note 3 6 4" xfId="4962"/>
    <cellStyle name="Note 3 7" xfId="4963"/>
    <cellStyle name="Note 3 7 2" xfId="4964"/>
    <cellStyle name="Note 3 7 2 2" xfId="4965"/>
    <cellStyle name="Note 3 7 2 3" xfId="4966"/>
    <cellStyle name="Note 3 7 3" xfId="4967"/>
    <cellStyle name="Note 3 7 3 2" xfId="4968"/>
    <cellStyle name="Note 3 7 4" xfId="4969"/>
    <cellStyle name="Note 3 8" xfId="4970"/>
    <cellStyle name="Note 3 8 2" xfId="4971"/>
    <cellStyle name="Note 3 8 2 2" xfId="4972"/>
    <cellStyle name="Note 3 8 2 3" xfId="4973"/>
    <cellStyle name="Note 3 8 3" xfId="4974"/>
    <cellStyle name="Note 3 8 3 2" xfId="4975"/>
    <cellStyle name="Note 3 8 4" xfId="4976"/>
    <cellStyle name="Note 4 2" xfId="4977"/>
    <cellStyle name="Note 4 2 2" xfId="4978"/>
    <cellStyle name="Note 4 2 2 2" xfId="4979"/>
    <cellStyle name="Note 4 2 2 3" xfId="4980"/>
    <cellStyle name="Note 4 2 3" xfId="4981"/>
    <cellStyle name="Note 4 2 3 2" xfId="4982"/>
    <cellStyle name="Note 4 2 4" xfId="4983"/>
    <cellStyle name="Note 4 3" xfId="4984"/>
    <cellStyle name="Note 4 3 2" xfId="4985"/>
    <cellStyle name="Note 4 3 2 2" xfId="4986"/>
    <cellStyle name="Note 4 3 2 3" xfId="4987"/>
    <cellStyle name="Note 4 3 3" xfId="4988"/>
    <cellStyle name="Note 4 3 3 2" xfId="4989"/>
    <cellStyle name="Note 4 3 4" xfId="4990"/>
    <cellStyle name="Note 4 4" xfId="4991"/>
    <cellStyle name="Note 4 4 2" xfId="4992"/>
    <cellStyle name="Note 4 4 2 2" xfId="4993"/>
    <cellStyle name="Note 4 4 2 3" xfId="4994"/>
    <cellStyle name="Note 4 4 3" xfId="4995"/>
    <cellStyle name="Note 4 4 3 2" xfId="4996"/>
    <cellStyle name="Note 4 4 4" xfId="4997"/>
    <cellStyle name="Note 4 5" xfId="4998"/>
    <cellStyle name="Note 4 5 2" xfId="4999"/>
    <cellStyle name="Note 4 5 2 2" xfId="5000"/>
    <cellStyle name="Note 4 5 2 3" xfId="5001"/>
    <cellStyle name="Note 4 5 3" xfId="5002"/>
    <cellStyle name="Note 4 5 3 2" xfId="5003"/>
    <cellStyle name="Note 4 5 4" xfId="5004"/>
    <cellStyle name="Note 4 6" xfId="5005"/>
    <cellStyle name="Note 4 6 2" xfId="5006"/>
    <cellStyle name="Note 4 6 2 2" xfId="5007"/>
    <cellStyle name="Note 4 6 2 3" xfId="5008"/>
    <cellStyle name="Note 4 6 3" xfId="5009"/>
    <cellStyle name="Note 4 6 3 2" xfId="5010"/>
    <cellStyle name="Note 4 6 4" xfId="5011"/>
    <cellStyle name="Note 4 7" xfId="5012"/>
    <cellStyle name="Note 4 7 2" xfId="5013"/>
    <cellStyle name="Note 4 7 2 2" xfId="5014"/>
    <cellStyle name="Note 4 7 2 3" xfId="5015"/>
    <cellStyle name="Note 4 7 3" xfId="5016"/>
    <cellStyle name="Note 4 7 3 2" xfId="5017"/>
    <cellStyle name="Note 4 7 4" xfId="5018"/>
    <cellStyle name="Note 4 8" xfId="5019"/>
    <cellStyle name="Note 4 8 2" xfId="5020"/>
    <cellStyle name="Note 4 8 2 2" xfId="5021"/>
    <cellStyle name="Note 4 8 2 3" xfId="5022"/>
    <cellStyle name="Note 4 8 3" xfId="5023"/>
    <cellStyle name="Note 4 8 3 2" xfId="5024"/>
    <cellStyle name="Note 4 8 4" xfId="5025"/>
    <cellStyle name="Note 5 2" xfId="5026"/>
    <cellStyle name="Note 5 2 2" xfId="5027"/>
    <cellStyle name="Note 5 2 2 2" xfId="5028"/>
    <cellStyle name="Note 5 2 2 3" xfId="5029"/>
    <cellStyle name="Note 5 2 3" xfId="5030"/>
    <cellStyle name="Note 5 2 3 2" xfId="5031"/>
    <cellStyle name="Note 5 2 4" xfId="5032"/>
    <cellStyle name="Note 5 3" xfId="5033"/>
    <cellStyle name="Note 5 3 2" xfId="5034"/>
    <cellStyle name="Note 5 3 2 2" xfId="5035"/>
    <cellStyle name="Note 5 3 2 3" xfId="5036"/>
    <cellStyle name="Note 5 3 3" xfId="5037"/>
    <cellStyle name="Note 5 3 3 2" xfId="5038"/>
    <cellStyle name="Note 5 3 4" xfId="5039"/>
    <cellStyle name="Note 5 4" xfId="5040"/>
    <cellStyle name="Note 5 4 2" xfId="5041"/>
    <cellStyle name="Note 5 4 2 2" xfId="5042"/>
    <cellStyle name="Note 5 4 2 3" xfId="5043"/>
    <cellStyle name="Note 5 4 3" xfId="5044"/>
    <cellStyle name="Note 5 4 3 2" xfId="5045"/>
    <cellStyle name="Note 5 4 4" xfId="5046"/>
    <cellStyle name="Note 5 5" xfId="5047"/>
    <cellStyle name="Note 5 5 2" xfId="5048"/>
    <cellStyle name="Note 5 5 2 2" xfId="5049"/>
    <cellStyle name="Note 5 5 2 3" xfId="5050"/>
    <cellStyle name="Note 5 5 3" xfId="5051"/>
    <cellStyle name="Note 5 5 3 2" xfId="5052"/>
    <cellStyle name="Note 5 5 4" xfId="5053"/>
    <cellStyle name="Note 5 6" xfId="5054"/>
    <cellStyle name="Note 5 6 2" xfId="5055"/>
    <cellStyle name="Note 5 6 2 2" xfId="5056"/>
    <cellStyle name="Note 5 6 2 3" xfId="5057"/>
    <cellStyle name="Note 5 6 3" xfId="5058"/>
    <cellStyle name="Note 5 6 3 2" xfId="5059"/>
    <cellStyle name="Note 5 6 4" xfId="5060"/>
    <cellStyle name="Note 5 7" xfId="5061"/>
    <cellStyle name="Note 5 7 2" xfId="5062"/>
    <cellStyle name="Note 5 7 2 2" xfId="5063"/>
    <cellStyle name="Note 5 7 2 3" xfId="5064"/>
    <cellStyle name="Note 5 7 3" xfId="5065"/>
    <cellStyle name="Note 5 7 3 2" xfId="5066"/>
    <cellStyle name="Note 5 7 4" xfId="5067"/>
    <cellStyle name="Note 5 8" xfId="5068"/>
    <cellStyle name="Note 5 8 2" xfId="5069"/>
    <cellStyle name="Note 5 8 2 2" xfId="5070"/>
    <cellStyle name="Note 5 8 2 3" xfId="5071"/>
    <cellStyle name="Note 5 8 3" xfId="5072"/>
    <cellStyle name="Note 5 8 3 2" xfId="5073"/>
    <cellStyle name="Note 5 8 4" xfId="5074"/>
    <cellStyle name="Note 6 2" xfId="5075"/>
    <cellStyle name="Note 6 2 2" xfId="5076"/>
    <cellStyle name="Note 6 2 2 2" xfId="5077"/>
    <cellStyle name="Note 6 2 2 3" xfId="5078"/>
    <cellStyle name="Note 6 2 3" xfId="5079"/>
    <cellStyle name="Note 6 2 3 2" xfId="5080"/>
    <cellStyle name="Note 6 2 4" xfId="5081"/>
    <cellStyle name="Note 6 3" xfId="5082"/>
    <cellStyle name="Note 6 3 2" xfId="5083"/>
    <cellStyle name="Note 6 3 2 2" xfId="5084"/>
    <cellStyle name="Note 6 3 2 3" xfId="5085"/>
    <cellStyle name="Note 6 3 3" xfId="5086"/>
    <cellStyle name="Note 6 3 3 2" xfId="5087"/>
    <cellStyle name="Note 6 3 4" xfId="5088"/>
    <cellStyle name="Note 6 4" xfId="5089"/>
    <cellStyle name="Note 6 4 2" xfId="5090"/>
    <cellStyle name="Note 6 4 2 2" xfId="5091"/>
    <cellStyle name="Note 6 4 2 3" xfId="5092"/>
    <cellStyle name="Note 6 4 3" xfId="5093"/>
    <cellStyle name="Note 6 4 3 2" xfId="5094"/>
    <cellStyle name="Note 6 4 4" xfId="5095"/>
    <cellStyle name="Note 6 5" xfId="5096"/>
    <cellStyle name="Note 6 5 2" xfId="5097"/>
    <cellStyle name="Note 6 5 2 2" xfId="5098"/>
    <cellStyle name="Note 6 5 2 3" xfId="5099"/>
    <cellStyle name="Note 6 5 3" xfId="5100"/>
    <cellStyle name="Note 6 5 3 2" xfId="5101"/>
    <cellStyle name="Note 6 5 4" xfId="5102"/>
    <cellStyle name="Note 6 6" xfId="5103"/>
    <cellStyle name="Note 6 6 2" xfId="5104"/>
    <cellStyle name="Note 6 6 2 2" xfId="5105"/>
    <cellStyle name="Note 6 6 2 3" xfId="5106"/>
    <cellStyle name="Note 6 6 3" xfId="5107"/>
    <cellStyle name="Note 6 6 3 2" xfId="5108"/>
    <cellStyle name="Note 6 6 4" xfId="5109"/>
    <cellStyle name="Note 6 7" xfId="5110"/>
    <cellStyle name="Note 6 7 2" xfId="5111"/>
    <cellStyle name="Note 6 7 2 2" xfId="5112"/>
    <cellStyle name="Note 6 7 2 3" xfId="5113"/>
    <cellStyle name="Note 6 7 3" xfId="5114"/>
    <cellStyle name="Note 6 7 3 2" xfId="5115"/>
    <cellStyle name="Note 6 7 4" xfId="5116"/>
    <cellStyle name="Note 6 8" xfId="5117"/>
    <cellStyle name="Note 6 8 2" xfId="5118"/>
    <cellStyle name="Note 6 8 2 2" xfId="5119"/>
    <cellStyle name="Note 6 8 2 3" xfId="5120"/>
    <cellStyle name="Note 6 8 3" xfId="5121"/>
    <cellStyle name="Note 6 8 3 2" xfId="5122"/>
    <cellStyle name="Note 6 8 4" xfId="5123"/>
    <cellStyle name="Note 7 2" xfId="5124"/>
    <cellStyle name="Note 7 2 2" xfId="5125"/>
    <cellStyle name="Note 7 2 2 2" xfId="5126"/>
    <cellStyle name="Note 7 2 2 3" xfId="5127"/>
    <cellStyle name="Note 7 2 3" xfId="5128"/>
    <cellStyle name="Note 7 2 3 2" xfId="5129"/>
    <cellStyle name="Note 7 2 4" xfId="5130"/>
    <cellStyle name="Note 7 3" xfId="5131"/>
    <cellStyle name="Note 7 3 2" xfId="5132"/>
    <cellStyle name="Note 7 3 2 2" xfId="5133"/>
    <cellStyle name="Note 7 3 2 3" xfId="5134"/>
    <cellStyle name="Note 7 3 3" xfId="5135"/>
    <cellStyle name="Note 7 3 3 2" xfId="5136"/>
    <cellStyle name="Note 7 3 4" xfId="5137"/>
    <cellStyle name="Note 7 4" xfId="5138"/>
    <cellStyle name="Note 7 4 2" xfId="5139"/>
    <cellStyle name="Note 7 4 2 2" xfId="5140"/>
    <cellStyle name="Note 7 4 2 3" xfId="5141"/>
    <cellStyle name="Note 7 4 3" xfId="5142"/>
    <cellStyle name="Note 7 4 3 2" xfId="5143"/>
    <cellStyle name="Note 7 4 4" xfId="5144"/>
    <cellStyle name="Note 7 5" xfId="5145"/>
    <cellStyle name="Note 7 5 2" xfId="5146"/>
    <cellStyle name="Note 7 5 2 2" xfId="5147"/>
    <cellStyle name="Note 7 5 2 3" xfId="5148"/>
    <cellStyle name="Note 7 5 3" xfId="5149"/>
    <cellStyle name="Note 7 5 3 2" xfId="5150"/>
    <cellStyle name="Note 7 5 4" xfId="5151"/>
    <cellStyle name="Note 7 6" xfId="5152"/>
    <cellStyle name="Note 7 6 2" xfId="5153"/>
    <cellStyle name="Note 7 6 2 2" xfId="5154"/>
    <cellStyle name="Note 7 6 2 3" xfId="5155"/>
    <cellStyle name="Note 7 6 3" xfId="5156"/>
    <cellStyle name="Note 7 6 3 2" xfId="5157"/>
    <cellStyle name="Note 7 6 4" xfId="5158"/>
    <cellStyle name="Note 7 7" xfId="5159"/>
    <cellStyle name="Note 7 7 2" xfId="5160"/>
    <cellStyle name="Note 7 7 2 2" xfId="5161"/>
    <cellStyle name="Note 7 7 2 3" xfId="5162"/>
    <cellStyle name="Note 7 7 3" xfId="5163"/>
    <cellStyle name="Note 7 7 3 2" xfId="5164"/>
    <cellStyle name="Note 7 7 4" xfId="5165"/>
    <cellStyle name="Note 7 8" xfId="5166"/>
    <cellStyle name="Note 7 8 2" xfId="5167"/>
    <cellStyle name="Note 7 8 2 2" xfId="5168"/>
    <cellStyle name="Note 7 8 2 3" xfId="5169"/>
    <cellStyle name="Note 7 8 3" xfId="5170"/>
    <cellStyle name="Note 7 8 3 2" xfId="5171"/>
    <cellStyle name="Note 7 8 4" xfId="5172"/>
    <cellStyle name="Note 8 2" xfId="5173"/>
    <cellStyle name="Note 8 2 2" xfId="5174"/>
    <cellStyle name="Note 8 2 2 2" xfId="5175"/>
    <cellStyle name="Note 8 2 2 3" xfId="5176"/>
    <cellStyle name="Note 8 2 3" xfId="5177"/>
    <cellStyle name="Note 8 2 3 2" xfId="5178"/>
    <cellStyle name="Note 8 2 4" xfId="5179"/>
    <cellStyle name="Note 8 3" xfId="5180"/>
    <cellStyle name="Note 8 3 2" xfId="5181"/>
    <cellStyle name="Note 8 3 2 2" xfId="5182"/>
    <cellStyle name="Note 8 3 2 3" xfId="5183"/>
    <cellStyle name="Note 8 3 3" xfId="5184"/>
    <cellStyle name="Note 8 3 3 2" xfId="5185"/>
    <cellStyle name="Note 8 3 4" xfId="5186"/>
    <cellStyle name="Note 8 4" xfId="5187"/>
    <cellStyle name="Note 8 4 2" xfId="5188"/>
    <cellStyle name="Note 8 4 2 2" xfId="5189"/>
    <cellStyle name="Note 8 4 2 3" xfId="5190"/>
    <cellStyle name="Note 8 4 3" xfId="5191"/>
    <cellStyle name="Note 8 4 3 2" xfId="5192"/>
    <cellStyle name="Note 8 4 4" xfId="5193"/>
    <cellStyle name="Note 8 5" xfId="5194"/>
    <cellStyle name="Note 8 5 2" xfId="5195"/>
    <cellStyle name="Note 8 5 2 2" xfId="5196"/>
    <cellStyle name="Note 8 5 2 3" xfId="5197"/>
    <cellStyle name="Note 8 5 3" xfId="5198"/>
    <cellStyle name="Note 8 5 3 2" xfId="5199"/>
    <cellStyle name="Note 8 5 4" xfId="5200"/>
    <cellStyle name="Note 8 6" xfId="5201"/>
    <cellStyle name="Note 8 6 2" xfId="5202"/>
    <cellStyle name="Note 8 6 2 2" xfId="5203"/>
    <cellStyle name="Note 8 6 2 3" xfId="5204"/>
    <cellStyle name="Note 8 6 3" xfId="5205"/>
    <cellStyle name="Note 8 6 3 2" xfId="5206"/>
    <cellStyle name="Note 8 6 4" xfId="5207"/>
    <cellStyle name="Note 8 7" xfId="5208"/>
    <cellStyle name="Note 8 7 2" xfId="5209"/>
    <cellStyle name="Note 8 7 2 2" xfId="5210"/>
    <cellStyle name="Note 8 7 2 3" xfId="5211"/>
    <cellStyle name="Note 8 7 3" xfId="5212"/>
    <cellStyle name="Note 8 7 3 2" xfId="5213"/>
    <cellStyle name="Note 8 7 4" xfId="5214"/>
    <cellStyle name="Note 8 8" xfId="5215"/>
    <cellStyle name="Note 8 8 2" xfId="5216"/>
    <cellStyle name="Note 8 8 2 2" xfId="5217"/>
    <cellStyle name="Note 8 8 2 3" xfId="5218"/>
    <cellStyle name="Note 8 8 3" xfId="5219"/>
    <cellStyle name="Note 8 8 3 2" xfId="5220"/>
    <cellStyle name="Note 8 8 4" xfId="5221"/>
    <cellStyle name="Note 9 2" xfId="5222"/>
    <cellStyle name="Note 9 2 2" xfId="5223"/>
    <cellStyle name="Note 9 2 2 2" xfId="5224"/>
    <cellStyle name="Note 9 2 2 3" xfId="5225"/>
    <cellStyle name="Note 9 2 3" xfId="5226"/>
    <cellStyle name="Note 9 2 3 2" xfId="5227"/>
    <cellStyle name="Note 9 2 4" xfId="5228"/>
    <cellStyle name="Note 9 3" xfId="5229"/>
    <cellStyle name="Note 9 3 2" xfId="5230"/>
    <cellStyle name="Note 9 3 2 2" xfId="5231"/>
    <cellStyle name="Note 9 3 2 3" xfId="5232"/>
    <cellStyle name="Note 9 3 3" xfId="5233"/>
    <cellStyle name="Note 9 3 3 2" xfId="5234"/>
    <cellStyle name="Note 9 3 4" xfId="5235"/>
    <cellStyle name="Note 9 4" xfId="5236"/>
    <cellStyle name="Note 9 4 2" xfId="5237"/>
    <cellStyle name="Note 9 4 2 2" xfId="5238"/>
    <cellStyle name="Note 9 4 2 3" xfId="5239"/>
    <cellStyle name="Note 9 4 3" xfId="5240"/>
    <cellStyle name="Note 9 4 3 2" xfId="5241"/>
    <cellStyle name="Note 9 4 4" xfId="5242"/>
    <cellStyle name="Note 9 5" xfId="5243"/>
    <cellStyle name="Note 9 5 2" xfId="5244"/>
    <cellStyle name="Note 9 5 2 2" xfId="5245"/>
    <cellStyle name="Note 9 5 2 3" xfId="5246"/>
    <cellStyle name="Note 9 5 3" xfId="5247"/>
    <cellStyle name="Note 9 5 3 2" xfId="5248"/>
    <cellStyle name="Note 9 5 4" xfId="5249"/>
    <cellStyle name="Note 9 6" xfId="5250"/>
    <cellStyle name="Note 9 6 2" xfId="5251"/>
    <cellStyle name="Note 9 6 2 2" xfId="5252"/>
    <cellStyle name="Note 9 6 2 3" xfId="5253"/>
    <cellStyle name="Note 9 6 3" xfId="5254"/>
    <cellStyle name="Note 9 6 3 2" xfId="5255"/>
    <cellStyle name="Note 9 6 4" xfId="5256"/>
    <cellStyle name="Note 9 7" xfId="5257"/>
    <cellStyle name="Note 9 7 2" xfId="5258"/>
    <cellStyle name="Note 9 7 2 2" xfId="5259"/>
    <cellStyle name="Note 9 7 2 3" xfId="5260"/>
    <cellStyle name="Note 9 7 3" xfId="5261"/>
    <cellStyle name="Note 9 7 3 2" xfId="5262"/>
    <cellStyle name="Note 9 7 4" xfId="5263"/>
    <cellStyle name="Note 9 8" xfId="5264"/>
    <cellStyle name="Note 9 8 2" xfId="5265"/>
    <cellStyle name="Note 9 8 2 2" xfId="5266"/>
    <cellStyle name="Note 9 8 2 3" xfId="5267"/>
    <cellStyle name="Note 9 8 3" xfId="5268"/>
    <cellStyle name="Note 9 8 3 2" xfId="5269"/>
    <cellStyle name="Note 9 8 4" xfId="5270"/>
    <cellStyle name="notes" xfId="5271"/>
    <cellStyle name="Percent [2]" xfId="5272"/>
    <cellStyle name="Percent 10" xfId="5273"/>
    <cellStyle name="Percent 11" xfId="5274"/>
    <cellStyle name="Percent 12" xfId="5275"/>
    <cellStyle name="Percent 13" xfId="5276"/>
    <cellStyle name="Percent 2" xfId="17"/>
    <cellStyle name="Percent 2 2" xfId="5277"/>
    <cellStyle name="Percent 2 2 2" xfId="5278"/>
    <cellStyle name="Percent 2 2 3" xfId="5279"/>
    <cellStyle name="Percent 2 2_Tertiary Salaries Survey" xfId="5280"/>
    <cellStyle name="Percent 2 3" xfId="5281"/>
    <cellStyle name="Percent 2_Tertiary Salaries Survey" xfId="5282"/>
    <cellStyle name="Percent 3" xfId="5283"/>
    <cellStyle name="Percent 3 2" xfId="5284"/>
    <cellStyle name="Percent 3 2 2" xfId="5285"/>
    <cellStyle name="Percent 3 2 2 2" xfId="5286"/>
    <cellStyle name="Percent 3 2 2 3" xfId="5287"/>
    <cellStyle name="Percent 3 2 3" xfId="5288"/>
    <cellStyle name="Percent 3 2 3 2" xfId="5289"/>
    <cellStyle name="Percent 3 2 3 3" xfId="5290"/>
    <cellStyle name="Percent 3 2 4" xfId="5291"/>
    <cellStyle name="Percent 3 2 5" xfId="5292"/>
    <cellStyle name="Percent 3 3" xfId="5293"/>
    <cellStyle name="Percent 3 3 2" xfId="5294"/>
    <cellStyle name="Percent 3 3 3" xfId="5295"/>
    <cellStyle name="Percent 3_Tertiary Salaries Survey" xfId="5296"/>
    <cellStyle name="Percent 4" xfId="5297"/>
    <cellStyle name="Percent 5" xfId="5298"/>
    <cellStyle name="Percent 6" xfId="5299"/>
    <cellStyle name="Percent 7" xfId="5300"/>
    <cellStyle name="Percent 8" xfId="5301"/>
    <cellStyle name="Percent 9" xfId="5302"/>
    <cellStyle name="Prozent_SubCatperStud" xfId="5303"/>
    <cellStyle name="row" xfId="5304"/>
    <cellStyle name="row 10" xfId="5305"/>
    <cellStyle name="row 11" xfId="5306"/>
    <cellStyle name="row 12" xfId="5307"/>
    <cellStyle name="row 13" xfId="5308"/>
    <cellStyle name="row 14" xfId="5309"/>
    <cellStyle name="row 2" xfId="5310"/>
    <cellStyle name="row 2 10" xfId="5311"/>
    <cellStyle name="row 2 10 2" xfId="5312"/>
    <cellStyle name="row 2 10 2 2" xfId="5313"/>
    <cellStyle name="row 2 10 2_Tertiary Salaries Survey" xfId="5314"/>
    <cellStyle name="row 2 10 3" xfId="5315"/>
    <cellStyle name="row 2 10 3 2" xfId="5316"/>
    <cellStyle name="row 2 10 3_Tertiary Salaries Survey" xfId="5317"/>
    <cellStyle name="row 2 10 4" xfId="5318"/>
    <cellStyle name="row 2 10 5" xfId="5319"/>
    <cellStyle name="row 2 10 6" xfId="5320"/>
    <cellStyle name="row 2 10_Tertiary Salaries Survey" xfId="5321"/>
    <cellStyle name="row 2 11" xfId="5322"/>
    <cellStyle name="row 2 11 2" xfId="5323"/>
    <cellStyle name="row 2 11 2 2" xfId="5324"/>
    <cellStyle name="row 2 11 2_Tertiary Salaries Survey" xfId="5325"/>
    <cellStyle name="row 2 11 3" xfId="5326"/>
    <cellStyle name="row 2 11 3 2" xfId="5327"/>
    <cellStyle name="row 2 11 3_Tertiary Salaries Survey" xfId="5328"/>
    <cellStyle name="row 2 11 4" xfId="5329"/>
    <cellStyle name="row 2 11 5" xfId="5330"/>
    <cellStyle name="row 2 11 6" xfId="5331"/>
    <cellStyle name="row 2 11_Tertiary Salaries Survey" xfId="5332"/>
    <cellStyle name="row 2 12" xfId="5333"/>
    <cellStyle name="row 2 13" xfId="5334"/>
    <cellStyle name="row 2 14" xfId="5335"/>
    <cellStyle name="row 2 15" xfId="5336"/>
    <cellStyle name="row 2 2" xfId="5337"/>
    <cellStyle name="row 2 2 2" xfId="5338"/>
    <cellStyle name="row 2 2 2 2" xfId="5339"/>
    <cellStyle name="row 2 2 2 2 2" xfId="5340"/>
    <cellStyle name="row 2 2 2 2 3" xfId="5341"/>
    <cellStyle name="row 2 2 2 2 4" xfId="5342"/>
    <cellStyle name="row 2 2 2 2 5" xfId="5343"/>
    <cellStyle name="row 2 2 2 2_Tertiary Salaries Survey" xfId="5344"/>
    <cellStyle name="row 2 2 2 3" xfId="5345"/>
    <cellStyle name="row 2 2 2 4" xfId="5346"/>
    <cellStyle name="row 2 2 2 5" xfId="5347"/>
    <cellStyle name="row 2 2 2 6" xfId="5348"/>
    <cellStyle name="row 2 2 2_STUD aligned by INSTIT" xfId="5349"/>
    <cellStyle name="row 2 2 3" xfId="5350"/>
    <cellStyle name="row 2 2 3 2" xfId="5351"/>
    <cellStyle name="row 2 2 3 3" xfId="5352"/>
    <cellStyle name="row 2 2 3 4" xfId="5353"/>
    <cellStyle name="row 2 2 3 5" xfId="5354"/>
    <cellStyle name="row 2 2 3_Tertiary Salaries Survey" xfId="5355"/>
    <cellStyle name="row 2 2 4" xfId="5356"/>
    <cellStyle name="row 2 2 5" xfId="5357"/>
    <cellStyle name="row 2 2 6" xfId="5358"/>
    <cellStyle name="row 2 2 7" xfId="5359"/>
    <cellStyle name="row 2 2_STUD aligned by INSTIT" xfId="5360"/>
    <cellStyle name="row 2 3" xfId="5361"/>
    <cellStyle name="row 2 3 2" xfId="5362"/>
    <cellStyle name="row 2 3 2 2" xfId="5363"/>
    <cellStyle name="row 2 3 2 3" xfId="5364"/>
    <cellStyle name="row 2 3 2 4" xfId="5365"/>
    <cellStyle name="row 2 3 2 5" xfId="5366"/>
    <cellStyle name="row 2 3 2_Tertiary Salaries Survey" xfId="5367"/>
    <cellStyle name="row 2 3 3" xfId="5368"/>
    <cellStyle name="row 2 3 4" xfId="5369"/>
    <cellStyle name="row 2 3 5" xfId="5370"/>
    <cellStyle name="row 2 3 6" xfId="5371"/>
    <cellStyle name="row 2 3_STUD aligned by INSTIT" xfId="5372"/>
    <cellStyle name="row 2 4" xfId="5373"/>
    <cellStyle name="row 2 4 10" xfId="5374"/>
    <cellStyle name="row 2 4 2" xfId="5375"/>
    <cellStyle name="row 2 4 2 2" xfId="5376"/>
    <cellStyle name="row 2 4 2 3" xfId="5377"/>
    <cellStyle name="row 2 4 2 4" xfId="5378"/>
    <cellStyle name="row 2 4 2 5" xfId="5379"/>
    <cellStyle name="row 2 4 2_Tertiary Salaries Survey" xfId="5380"/>
    <cellStyle name="row 2 4 3" xfId="5381"/>
    <cellStyle name="row 2 4 3 2" xfId="5382"/>
    <cellStyle name="row 2 4 3 2 2" xfId="5383"/>
    <cellStyle name="row 2 4 3 2_Tertiary Salaries Survey" xfId="5384"/>
    <cellStyle name="row 2 4 3 3" xfId="5385"/>
    <cellStyle name="row 2 4 3 3 2" xfId="5386"/>
    <cellStyle name="row 2 4 3 3_Tertiary Salaries Survey" xfId="5387"/>
    <cellStyle name="row 2 4 3 4" xfId="5388"/>
    <cellStyle name="row 2 4 3 5" xfId="5389"/>
    <cellStyle name="row 2 4 3 6" xfId="5390"/>
    <cellStyle name="row 2 4 3_Tertiary Salaries Survey" xfId="5391"/>
    <cellStyle name="row 2 4 4" xfId="5392"/>
    <cellStyle name="row 2 4 4 2" xfId="5393"/>
    <cellStyle name="row 2 4 4 2 2" xfId="5394"/>
    <cellStyle name="row 2 4 4 2_Tertiary Salaries Survey" xfId="5395"/>
    <cellStyle name="row 2 4 4 3" xfId="5396"/>
    <cellStyle name="row 2 4 4 3 2" xfId="5397"/>
    <cellStyle name="row 2 4 4 3_Tertiary Salaries Survey" xfId="5398"/>
    <cellStyle name="row 2 4 4 4" xfId="5399"/>
    <cellStyle name="row 2 4 4 5" xfId="5400"/>
    <cellStyle name="row 2 4 4 6" xfId="5401"/>
    <cellStyle name="row 2 4 4_Tertiary Salaries Survey" xfId="5402"/>
    <cellStyle name="row 2 4 5" xfId="5403"/>
    <cellStyle name="row 2 4 5 2" xfId="5404"/>
    <cellStyle name="row 2 4 5 2 2" xfId="5405"/>
    <cellStyle name="row 2 4 5 2_Tertiary Salaries Survey" xfId="5406"/>
    <cellStyle name="row 2 4 5 3" xfId="5407"/>
    <cellStyle name="row 2 4 5 3 2" xfId="5408"/>
    <cellStyle name="row 2 4 5 3_Tertiary Salaries Survey" xfId="5409"/>
    <cellStyle name="row 2 4 5 4" xfId="5410"/>
    <cellStyle name="row 2 4 5 5" xfId="5411"/>
    <cellStyle name="row 2 4 5 6" xfId="5412"/>
    <cellStyle name="row 2 4 5_Tertiary Salaries Survey" xfId="5413"/>
    <cellStyle name="row 2 4 6" xfId="5414"/>
    <cellStyle name="row 2 4 6 2" xfId="5415"/>
    <cellStyle name="row 2 4 6 2 2" xfId="5416"/>
    <cellStyle name="row 2 4 6 2_Tertiary Salaries Survey" xfId="5417"/>
    <cellStyle name="row 2 4 6 3" xfId="5418"/>
    <cellStyle name="row 2 4 6 3 2" xfId="5419"/>
    <cellStyle name="row 2 4 6 3_Tertiary Salaries Survey" xfId="5420"/>
    <cellStyle name="row 2 4 6 4" xfId="5421"/>
    <cellStyle name="row 2 4 6 5" xfId="5422"/>
    <cellStyle name="row 2 4 6 6" xfId="5423"/>
    <cellStyle name="row 2 4 6_Tertiary Salaries Survey" xfId="5424"/>
    <cellStyle name="row 2 4 7" xfId="5425"/>
    <cellStyle name="row 2 4 8" xfId="5426"/>
    <cellStyle name="row 2 4 9" xfId="5427"/>
    <cellStyle name="row 2 4_STUD aligned by INSTIT" xfId="5428"/>
    <cellStyle name="row 2 5" xfId="5429"/>
    <cellStyle name="row 2 5 10" xfId="5430"/>
    <cellStyle name="row 2 5 2" xfId="5431"/>
    <cellStyle name="row 2 5 2 2" xfId="5432"/>
    <cellStyle name="row 2 5 2 2 2" xfId="5433"/>
    <cellStyle name="row 2 5 2 2_Tertiary Salaries Survey" xfId="5434"/>
    <cellStyle name="row 2 5 2 3" xfId="5435"/>
    <cellStyle name="row 2 5 2 3 2" xfId="5436"/>
    <cellStyle name="row 2 5 2 3_Tertiary Salaries Survey" xfId="5437"/>
    <cellStyle name="row 2 5 2 4" xfId="5438"/>
    <cellStyle name="row 2 5 2 5" xfId="5439"/>
    <cellStyle name="row 2 5 2_Tertiary Salaries Survey" xfId="5440"/>
    <cellStyle name="row 2 5 3" xfId="5441"/>
    <cellStyle name="row 2 5 3 2" xfId="5442"/>
    <cellStyle name="row 2 5 3 2 2" xfId="5443"/>
    <cellStyle name="row 2 5 3 2_Tertiary Salaries Survey" xfId="5444"/>
    <cellStyle name="row 2 5 3 3" xfId="5445"/>
    <cellStyle name="row 2 5 3 3 2" xfId="5446"/>
    <cellStyle name="row 2 5 3 3_Tertiary Salaries Survey" xfId="5447"/>
    <cellStyle name="row 2 5 3 4" xfId="5448"/>
    <cellStyle name="row 2 5 3 5" xfId="5449"/>
    <cellStyle name="row 2 5 3 6" xfId="5450"/>
    <cellStyle name="row 2 5 3 7" xfId="5451"/>
    <cellStyle name="row 2 5 3_Tertiary Salaries Survey" xfId="5452"/>
    <cellStyle name="row 2 5 4" xfId="5453"/>
    <cellStyle name="row 2 5 4 2" xfId="5454"/>
    <cellStyle name="row 2 5 4 2 2" xfId="5455"/>
    <cellStyle name="row 2 5 4 2_Tertiary Salaries Survey" xfId="5456"/>
    <cellStyle name="row 2 5 4 3" xfId="5457"/>
    <cellStyle name="row 2 5 4 3 2" xfId="5458"/>
    <cellStyle name="row 2 5 4 3_Tertiary Salaries Survey" xfId="5459"/>
    <cellStyle name="row 2 5 4 4" xfId="5460"/>
    <cellStyle name="row 2 5 4 5" xfId="5461"/>
    <cellStyle name="row 2 5 4 6" xfId="5462"/>
    <cellStyle name="row 2 5 4_Tertiary Salaries Survey" xfId="5463"/>
    <cellStyle name="row 2 5 5" xfId="5464"/>
    <cellStyle name="row 2 5 5 2" xfId="5465"/>
    <cellStyle name="row 2 5 5 2 2" xfId="5466"/>
    <cellStyle name="row 2 5 5 2_Tertiary Salaries Survey" xfId="5467"/>
    <cellStyle name="row 2 5 5 3" xfId="5468"/>
    <cellStyle name="row 2 5 5 3 2" xfId="5469"/>
    <cellStyle name="row 2 5 5 3_Tertiary Salaries Survey" xfId="5470"/>
    <cellStyle name="row 2 5 5 4" xfId="5471"/>
    <cellStyle name="row 2 5 5 5" xfId="5472"/>
    <cellStyle name="row 2 5 5 6" xfId="5473"/>
    <cellStyle name="row 2 5 5_Tertiary Salaries Survey" xfId="5474"/>
    <cellStyle name="row 2 5 6" xfId="5475"/>
    <cellStyle name="row 2 5 6 2" xfId="5476"/>
    <cellStyle name="row 2 5 6 2 2" xfId="5477"/>
    <cellStyle name="row 2 5 6 2_Tertiary Salaries Survey" xfId="5478"/>
    <cellStyle name="row 2 5 6 3" xfId="5479"/>
    <cellStyle name="row 2 5 6 3 2" xfId="5480"/>
    <cellStyle name="row 2 5 6 3_Tertiary Salaries Survey" xfId="5481"/>
    <cellStyle name="row 2 5 6 4" xfId="5482"/>
    <cellStyle name="row 2 5 6 5" xfId="5483"/>
    <cellStyle name="row 2 5 6 6" xfId="5484"/>
    <cellStyle name="row 2 5 6_Tertiary Salaries Survey" xfId="5485"/>
    <cellStyle name="row 2 5 7" xfId="5486"/>
    <cellStyle name="row 2 5 7 2" xfId="5487"/>
    <cellStyle name="row 2 5 7_Tertiary Salaries Survey" xfId="5488"/>
    <cellStyle name="row 2 5 8" xfId="5489"/>
    <cellStyle name="row 2 5 8 2" xfId="5490"/>
    <cellStyle name="row 2 5 8_Tertiary Salaries Survey" xfId="5491"/>
    <cellStyle name="row 2 5 9" xfId="5492"/>
    <cellStyle name="row 2 5_STUD aligned by INSTIT" xfId="5493"/>
    <cellStyle name="row 2 6" xfId="5494"/>
    <cellStyle name="row 2 6 10" xfId="5495"/>
    <cellStyle name="row 2 6 2" xfId="5496"/>
    <cellStyle name="row 2 6 2 2" xfId="5497"/>
    <cellStyle name="row 2 6 2 2 2" xfId="5498"/>
    <cellStyle name="row 2 6 2 2_Tertiary Salaries Survey" xfId="5499"/>
    <cellStyle name="row 2 6 2 3" xfId="5500"/>
    <cellStyle name="row 2 6 2 3 2" xfId="5501"/>
    <cellStyle name="row 2 6 2 3_Tertiary Salaries Survey" xfId="5502"/>
    <cellStyle name="row 2 6 2 4" xfId="5503"/>
    <cellStyle name="row 2 6 2 5" xfId="5504"/>
    <cellStyle name="row 2 6 2_Tertiary Salaries Survey" xfId="5505"/>
    <cellStyle name="row 2 6 3" xfId="5506"/>
    <cellStyle name="row 2 6 3 2" xfId="5507"/>
    <cellStyle name="row 2 6 3 2 2" xfId="5508"/>
    <cellStyle name="row 2 6 3 2_Tertiary Salaries Survey" xfId="5509"/>
    <cellStyle name="row 2 6 3 3" xfId="5510"/>
    <cellStyle name="row 2 6 3 3 2" xfId="5511"/>
    <cellStyle name="row 2 6 3 3_Tertiary Salaries Survey" xfId="5512"/>
    <cellStyle name="row 2 6 3 4" xfId="5513"/>
    <cellStyle name="row 2 6 3 5" xfId="5514"/>
    <cellStyle name="row 2 6 3 6" xfId="5515"/>
    <cellStyle name="row 2 6 3 7" xfId="5516"/>
    <cellStyle name="row 2 6 3_Tertiary Salaries Survey" xfId="5517"/>
    <cellStyle name="row 2 6 4" xfId="5518"/>
    <cellStyle name="row 2 6 4 2" xfId="5519"/>
    <cellStyle name="row 2 6 4 2 2" xfId="5520"/>
    <cellStyle name="row 2 6 4 2_Tertiary Salaries Survey" xfId="5521"/>
    <cellStyle name="row 2 6 4 3" xfId="5522"/>
    <cellStyle name="row 2 6 4 3 2" xfId="5523"/>
    <cellStyle name="row 2 6 4 3_Tertiary Salaries Survey" xfId="5524"/>
    <cellStyle name="row 2 6 4 4" xfId="5525"/>
    <cellStyle name="row 2 6 4 5" xfId="5526"/>
    <cellStyle name="row 2 6 4 6" xfId="5527"/>
    <cellStyle name="row 2 6 4_Tertiary Salaries Survey" xfId="5528"/>
    <cellStyle name="row 2 6 5" xfId="5529"/>
    <cellStyle name="row 2 6 5 2" xfId="5530"/>
    <cellStyle name="row 2 6 5 2 2" xfId="5531"/>
    <cellStyle name="row 2 6 5 2_Tertiary Salaries Survey" xfId="5532"/>
    <cellStyle name="row 2 6 5 3" xfId="5533"/>
    <cellStyle name="row 2 6 5 3 2" xfId="5534"/>
    <cellStyle name="row 2 6 5 3_Tertiary Salaries Survey" xfId="5535"/>
    <cellStyle name="row 2 6 5 4" xfId="5536"/>
    <cellStyle name="row 2 6 5 5" xfId="5537"/>
    <cellStyle name="row 2 6 5 6" xfId="5538"/>
    <cellStyle name="row 2 6 5_Tertiary Salaries Survey" xfId="5539"/>
    <cellStyle name="row 2 6 6" xfId="5540"/>
    <cellStyle name="row 2 6 6 2" xfId="5541"/>
    <cellStyle name="row 2 6 6 2 2" xfId="5542"/>
    <cellStyle name="row 2 6 6 2_Tertiary Salaries Survey" xfId="5543"/>
    <cellStyle name="row 2 6 6 3" xfId="5544"/>
    <cellStyle name="row 2 6 6 3 2" xfId="5545"/>
    <cellStyle name="row 2 6 6 3_Tertiary Salaries Survey" xfId="5546"/>
    <cellStyle name="row 2 6 6 4" xfId="5547"/>
    <cellStyle name="row 2 6 6 5" xfId="5548"/>
    <cellStyle name="row 2 6 6 6" xfId="5549"/>
    <cellStyle name="row 2 6 6_Tertiary Salaries Survey" xfId="5550"/>
    <cellStyle name="row 2 6 7" xfId="5551"/>
    <cellStyle name="row 2 6 7 2" xfId="5552"/>
    <cellStyle name="row 2 6 7_Tertiary Salaries Survey" xfId="5553"/>
    <cellStyle name="row 2 6 8" xfId="5554"/>
    <cellStyle name="row 2 6 8 2" xfId="5555"/>
    <cellStyle name="row 2 6 8_Tertiary Salaries Survey" xfId="5556"/>
    <cellStyle name="row 2 6 9" xfId="5557"/>
    <cellStyle name="row 2 6_STUD aligned by INSTIT" xfId="5558"/>
    <cellStyle name="row 2 7" xfId="5559"/>
    <cellStyle name="row 2 7 2" xfId="5560"/>
    <cellStyle name="row 2 7 3" xfId="5561"/>
    <cellStyle name="row 2 7 4" xfId="5562"/>
    <cellStyle name="row 2 7 5" xfId="5563"/>
    <cellStyle name="row 2 7_Tertiary Salaries Survey" xfId="5564"/>
    <cellStyle name="row 2 8" xfId="5565"/>
    <cellStyle name="row 2 8 2" xfId="5566"/>
    <cellStyle name="row 2 8 2 2" xfId="5567"/>
    <cellStyle name="row 2 8 2_Tertiary Salaries Survey" xfId="5568"/>
    <cellStyle name="row 2 8 3" xfId="5569"/>
    <cellStyle name="row 2 8 3 2" xfId="5570"/>
    <cellStyle name="row 2 8 3_Tertiary Salaries Survey" xfId="5571"/>
    <cellStyle name="row 2 8 4" xfId="5572"/>
    <cellStyle name="row 2 8 5" xfId="5573"/>
    <cellStyle name="row 2 8 6" xfId="5574"/>
    <cellStyle name="row 2 8_Tertiary Salaries Survey" xfId="5575"/>
    <cellStyle name="row 2 9" xfId="5576"/>
    <cellStyle name="row 2 9 2" xfId="5577"/>
    <cellStyle name="row 2 9 2 2" xfId="5578"/>
    <cellStyle name="row 2 9 2_Tertiary Salaries Survey" xfId="5579"/>
    <cellStyle name="row 2 9 3" xfId="5580"/>
    <cellStyle name="row 2 9 3 2" xfId="5581"/>
    <cellStyle name="row 2 9 3_Tertiary Salaries Survey" xfId="5582"/>
    <cellStyle name="row 2 9 4" xfId="5583"/>
    <cellStyle name="row 2 9 5" xfId="5584"/>
    <cellStyle name="row 2 9 6" xfId="5585"/>
    <cellStyle name="row 2 9_Tertiary Salaries Survey" xfId="5586"/>
    <cellStyle name="row 2_STUD aligned by INSTIT" xfId="5587"/>
    <cellStyle name="row 3" xfId="5588"/>
    <cellStyle name="row 3 2" xfId="5589"/>
    <cellStyle name="row 3 2 2" xfId="5590"/>
    <cellStyle name="row 3 2 2 2" xfId="5591"/>
    <cellStyle name="row 3 2 2 3" xfId="5592"/>
    <cellStyle name="row 3 2 2 4" xfId="5593"/>
    <cellStyle name="row 3 2 2 5" xfId="5594"/>
    <cellStyle name="row 3 2 2_Tertiary Salaries Survey" xfId="5595"/>
    <cellStyle name="row 3 2 3" xfId="5596"/>
    <cellStyle name="row 3 2 4" xfId="5597"/>
    <cellStyle name="row 3 2 5" xfId="5598"/>
    <cellStyle name="row 3 2 6" xfId="5599"/>
    <cellStyle name="row 3 2_STUD aligned by INSTIT" xfId="5600"/>
    <cellStyle name="row 3 3" xfId="5601"/>
    <cellStyle name="row 3 3 2" xfId="5602"/>
    <cellStyle name="row 3 3 3" xfId="5603"/>
    <cellStyle name="row 3 3 4" xfId="5604"/>
    <cellStyle name="row 3 3 5" xfId="5605"/>
    <cellStyle name="row 3 3_Tertiary Salaries Survey" xfId="5606"/>
    <cellStyle name="row 3 4" xfId="5607"/>
    <cellStyle name="row 3 5" xfId="5608"/>
    <cellStyle name="row 3 6" xfId="5609"/>
    <cellStyle name="row 3 7" xfId="5610"/>
    <cellStyle name="row 3 8" xfId="5611"/>
    <cellStyle name="row 3_STUD aligned by INSTIT" xfId="5612"/>
    <cellStyle name="row 4" xfId="5613"/>
    <cellStyle name="row 4 2" xfId="5614"/>
    <cellStyle name="row 4 2 2" xfId="5615"/>
    <cellStyle name="row 4 2 2 2" xfId="5616"/>
    <cellStyle name="row 4 2 2 3" xfId="5617"/>
    <cellStyle name="row 4 2 2 4" xfId="5618"/>
    <cellStyle name="row 4 2 2 5" xfId="5619"/>
    <cellStyle name="row 4 2 2_Tertiary Salaries Survey" xfId="5620"/>
    <cellStyle name="row 4 2 3" xfId="5621"/>
    <cellStyle name="row 4 2 4" xfId="5622"/>
    <cellStyle name="row 4 2 5" xfId="5623"/>
    <cellStyle name="row 4 2 6" xfId="5624"/>
    <cellStyle name="row 4 2_STUD aligned by INSTIT" xfId="5625"/>
    <cellStyle name="row 4 3" xfId="5626"/>
    <cellStyle name="row 4 3 2" xfId="5627"/>
    <cellStyle name="row 4 3 3" xfId="5628"/>
    <cellStyle name="row 4 3 4" xfId="5629"/>
    <cellStyle name="row 4 3 5" xfId="5630"/>
    <cellStyle name="row 4 3_Tertiary Salaries Survey" xfId="5631"/>
    <cellStyle name="row 4 4" xfId="5632"/>
    <cellStyle name="row 4 5" xfId="5633"/>
    <cellStyle name="row 4 6" xfId="5634"/>
    <cellStyle name="row 4 7" xfId="5635"/>
    <cellStyle name="row 4 8" xfId="5636"/>
    <cellStyle name="row 4_STUD aligned by INSTIT" xfId="5637"/>
    <cellStyle name="row 5" xfId="5638"/>
    <cellStyle name="row 5 10" xfId="5639"/>
    <cellStyle name="row 5 2" xfId="5640"/>
    <cellStyle name="row 5 2 2" xfId="5641"/>
    <cellStyle name="row 5 2 3" xfId="5642"/>
    <cellStyle name="row 5 2 4" xfId="5643"/>
    <cellStyle name="row 5 2 5" xfId="5644"/>
    <cellStyle name="row 5 2_Tertiary Salaries Survey" xfId="5645"/>
    <cellStyle name="row 5 3" xfId="5646"/>
    <cellStyle name="row 5 3 2" xfId="5647"/>
    <cellStyle name="row 5 3 2 2" xfId="5648"/>
    <cellStyle name="row 5 3 2_Tertiary Salaries Survey" xfId="5649"/>
    <cellStyle name="row 5 3 3" xfId="5650"/>
    <cellStyle name="row 5 3 3 2" xfId="5651"/>
    <cellStyle name="row 5 3 3_Tertiary Salaries Survey" xfId="5652"/>
    <cellStyle name="row 5 3 4" xfId="5653"/>
    <cellStyle name="row 5 3 5" xfId="5654"/>
    <cellStyle name="row 5 3 6" xfId="5655"/>
    <cellStyle name="row 5 3_Tertiary Salaries Survey" xfId="5656"/>
    <cellStyle name="row 5 4" xfId="5657"/>
    <cellStyle name="row 5 4 2" xfId="5658"/>
    <cellStyle name="row 5 4 2 2" xfId="5659"/>
    <cellStyle name="row 5 4 2_Tertiary Salaries Survey" xfId="5660"/>
    <cellStyle name="row 5 4 3" xfId="5661"/>
    <cellStyle name="row 5 4 3 2" xfId="5662"/>
    <cellStyle name="row 5 4 3_Tertiary Salaries Survey" xfId="5663"/>
    <cellStyle name="row 5 4 4" xfId="5664"/>
    <cellStyle name="row 5 4 5" xfId="5665"/>
    <cellStyle name="row 5 4 6" xfId="5666"/>
    <cellStyle name="row 5 4_Tertiary Salaries Survey" xfId="5667"/>
    <cellStyle name="row 5 5" xfId="5668"/>
    <cellStyle name="row 5 5 2" xfId="5669"/>
    <cellStyle name="row 5 5 2 2" xfId="5670"/>
    <cellStyle name="row 5 5 2_Tertiary Salaries Survey" xfId="5671"/>
    <cellStyle name="row 5 5 3" xfId="5672"/>
    <cellStyle name="row 5 5 3 2" xfId="5673"/>
    <cellStyle name="row 5 5 3_Tertiary Salaries Survey" xfId="5674"/>
    <cellStyle name="row 5 5 4" xfId="5675"/>
    <cellStyle name="row 5 5 5" xfId="5676"/>
    <cellStyle name="row 5 5 6" xfId="5677"/>
    <cellStyle name="row 5 5_Tertiary Salaries Survey" xfId="5678"/>
    <cellStyle name="row 5 6" xfId="5679"/>
    <cellStyle name="row 5 6 2" xfId="5680"/>
    <cellStyle name="row 5 6 2 2" xfId="5681"/>
    <cellStyle name="row 5 6 2_Tertiary Salaries Survey" xfId="5682"/>
    <cellStyle name="row 5 6 3" xfId="5683"/>
    <cellStyle name="row 5 6 3 2" xfId="5684"/>
    <cellStyle name="row 5 6 3_Tertiary Salaries Survey" xfId="5685"/>
    <cellStyle name="row 5 6 4" xfId="5686"/>
    <cellStyle name="row 5 6 5" xfId="5687"/>
    <cellStyle name="row 5 6 6" xfId="5688"/>
    <cellStyle name="row 5 6_Tertiary Salaries Survey" xfId="5689"/>
    <cellStyle name="row 5 7" xfId="5690"/>
    <cellStyle name="row 5 8" xfId="5691"/>
    <cellStyle name="row 5 9" xfId="5692"/>
    <cellStyle name="row 5_STUD aligned by INSTIT" xfId="5693"/>
    <cellStyle name="row 6" xfId="5694"/>
    <cellStyle name="row 6 10" xfId="5695"/>
    <cellStyle name="row 6 2" xfId="5696"/>
    <cellStyle name="row 6 2 2" xfId="5697"/>
    <cellStyle name="row 6 2 2 2" xfId="5698"/>
    <cellStyle name="row 6 2 2_Tertiary Salaries Survey" xfId="5699"/>
    <cellStyle name="row 6 2 3" xfId="5700"/>
    <cellStyle name="row 6 2 3 2" xfId="5701"/>
    <cellStyle name="row 6 2 3_Tertiary Salaries Survey" xfId="5702"/>
    <cellStyle name="row 6 2 4" xfId="5703"/>
    <cellStyle name="row 6 2 5" xfId="5704"/>
    <cellStyle name="row 6 2_Tertiary Salaries Survey" xfId="5705"/>
    <cellStyle name="row 6 3" xfId="5706"/>
    <cellStyle name="row 6 3 2" xfId="5707"/>
    <cellStyle name="row 6 3 2 2" xfId="5708"/>
    <cellStyle name="row 6 3 2_Tertiary Salaries Survey" xfId="5709"/>
    <cellStyle name="row 6 3 3" xfId="5710"/>
    <cellStyle name="row 6 3 3 2" xfId="5711"/>
    <cellStyle name="row 6 3 3_Tertiary Salaries Survey" xfId="5712"/>
    <cellStyle name="row 6 3 4" xfId="5713"/>
    <cellStyle name="row 6 3 5" xfId="5714"/>
    <cellStyle name="row 6 3 6" xfId="5715"/>
    <cellStyle name="row 6 3 7" xfId="5716"/>
    <cellStyle name="row 6 3_Tertiary Salaries Survey" xfId="5717"/>
    <cellStyle name="row 6 4" xfId="5718"/>
    <cellStyle name="row 6 4 2" xfId="5719"/>
    <cellStyle name="row 6 4 2 2" xfId="5720"/>
    <cellStyle name="row 6 4 2_Tertiary Salaries Survey" xfId="5721"/>
    <cellStyle name="row 6 4 3" xfId="5722"/>
    <cellStyle name="row 6 4 3 2" xfId="5723"/>
    <cellStyle name="row 6 4 3_Tertiary Salaries Survey" xfId="5724"/>
    <cellStyle name="row 6 4 4" xfId="5725"/>
    <cellStyle name="row 6 4 5" xfId="5726"/>
    <cellStyle name="row 6 4 6" xfId="5727"/>
    <cellStyle name="row 6 4_Tertiary Salaries Survey" xfId="5728"/>
    <cellStyle name="row 6 5" xfId="5729"/>
    <cellStyle name="row 6 5 2" xfId="5730"/>
    <cellStyle name="row 6 5 2 2" xfId="5731"/>
    <cellStyle name="row 6 5 2_Tertiary Salaries Survey" xfId="5732"/>
    <cellStyle name="row 6 5 3" xfId="5733"/>
    <cellStyle name="row 6 5 3 2" xfId="5734"/>
    <cellStyle name="row 6 5 3_Tertiary Salaries Survey" xfId="5735"/>
    <cellStyle name="row 6 5 4" xfId="5736"/>
    <cellStyle name="row 6 5 5" xfId="5737"/>
    <cellStyle name="row 6 5 6" xfId="5738"/>
    <cellStyle name="row 6 5_Tertiary Salaries Survey" xfId="5739"/>
    <cellStyle name="row 6 6" xfId="5740"/>
    <cellStyle name="row 6 6 2" xfId="5741"/>
    <cellStyle name="row 6 6 2 2" xfId="5742"/>
    <cellStyle name="row 6 6 2_Tertiary Salaries Survey" xfId="5743"/>
    <cellStyle name="row 6 6 3" xfId="5744"/>
    <cellStyle name="row 6 6 3 2" xfId="5745"/>
    <cellStyle name="row 6 6 3_Tertiary Salaries Survey" xfId="5746"/>
    <cellStyle name="row 6 6 4" xfId="5747"/>
    <cellStyle name="row 6 6 5" xfId="5748"/>
    <cellStyle name="row 6 6 6" xfId="5749"/>
    <cellStyle name="row 6 6_Tertiary Salaries Survey" xfId="5750"/>
    <cellStyle name="row 6 7" xfId="5751"/>
    <cellStyle name="row 6 7 2" xfId="5752"/>
    <cellStyle name="row 6 7_Tertiary Salaries Survey" xfId="5753"/>
    <cellStyle name="row 6 8" xfId="5754"/>
    <cellStyle name="row 6 8 2" xfId="5755"/>
    <cellStyle name="row 6 8_Tertiary Salaries Survey" xfId="5756"/>
    <cellStyle name="row 6 9" xfId="5757"/>
    <cellStyle name="row 6_STUD aligned by INSTIT" xfId="5758"/>
    <cellStyle name="row 7" xfId="5759"/>
    <cellStyle name="row 7 2" xfId="5760"/>
    <cellStyle name="row 7 3" xfId="5761"/>
    <cellStyle name="row 7 4" xfId="5762"/>
    <cellStyle name="row 7 5" xfId="5763"/>
    <cellStyle name="row 7_Tertiary Salaries Survey" xfId="5764"/>
    <cellStyle name="row 8" xfId="5765"/>
    <cellStyle name="row 9" xfId="5766"/>
    <cellStyle name="row_ENRLSUP5" xfId="5767"/>
    <cellStyle name="RowCodes" xfId="5768"/>
    <cellStyle name="RowCodes 2" xfId="5769"/>
    <cellStyle name="Row-Col Headings" xfId="5770"/>
    <cellStyle name="Row-Col Headings 2" xfId="5771"/>
    <cellStyle name="RowTitles" xfId="5772"/>
    <cellStyle name="RowTitles 2" xfId="5773"/>
    <cellStyle name="RowTitles 2 2" xfId="5774"/>
    <cellStyle name="RowTitles 2 2 2" xfId="5775"/>
    <cellStyle name="RowTitles 2 2 2 2" xfId="5776"/>
    <cellStyle name="RowTitles 2 2 2 3" xfId="5777"/>
    <cellStyle name="RowTitles 2 2 2 4" xfId="5778"/>
    <cellStyle name="RowTitles 2 2 2 5" xfId="5779"/>
    <cellStyle name="RowTitles 2 2 2_Tertiary Salaries Survey" xfId="5780"/>
    <cellStyle name="RowTitles 2 2 3" xfId="5781"/>
    <cellStyle name="RowTitles 2 2 4" xfId="5782"/>
    <cellStyle name="RowTitles 2 2 5" xfId="5783"/>
    <cellStyle name="RowTitles 2 2 6" xfId="5784"/>
    <cellStyle name="RowTitles 2 2_STUD aligned by INSTIT" xfId="5785"/>
    <cellStyle name="RowTitles 2 3" xfId="5786"/>
    <cellStyle name="RowTitles 2 3 2" xfId="5787"/>
    <cellStyle name="RowTitles 2 3 3" xfId="5788"/>
    <cellStyle name="RowTitles 2 3 4" xfId="5789"/>
    <cellStyle name="RowTitles 2 3 5" xfId="5790"/>
    <cellStyle name="RowTitles 2 3_Tertiary Salaries Survey" xfId="5791"/>
    <cellStyle name="RowTitles 2 4" xfId="5792"/>
    <cellStyle name="RowTitles 2 5" xfId="5793"/>
    <cellStyle name="RowTitles 2 6" xfId="5794"/>
    <cellStyle name="RowTitles 2 7" xfId="5795"/>
    <cellStyle name="RowTitles 2_STUD aligned by INSTIT" xfId="5796"/>
    <cellStyle name="RowTitles 3" xfId="5797"/>
    <cellStyle name="RowTitles 3 2" xfId="5798"/>
    <cellStyle name="RowTitles 3 2 2" xfId="5799"/>
    <cellStyle name="RowTitles 3 2 3" xfId="5800"/>
    <cellStyle name="RowTitles 3 2 4" xfId="5801"/>
    <cellStyle name="RowTitles 3 2 5" xfId="5802"/>
    <cellStyle name="RowTitles 3 2_Tertiary Salaries Survey" xfId="5803"/>
    <cellStyle name="RowTitles 3 3" xfId="5804"/>
    <cellStyle name="RowTitles 3 4" xfId="5805"/>
    <cellStyle name="RowTitles 3 5" xfId="5806"/>
    <cellStyle name="RowTitles 3 6" xfId="5807"/>
    <cellStyle name="RowTitles 3_STUD aligned by INSTIT" xfId="5808"/>
    <cellStyle name="RowTitles 4" xfId="5809"/>
    <cellStyle name="RowTitles 4 2" xfId="5810"/>
    <cellStyle name="RowTitles 4 3" xfId="5811"/>
    <cellStyle name="RowTitles 4 4" xfId="5812"/>
    <cellStyle name="RowTitles 4 5" xfId="5813"/>
    <cellStyle name="RowTitles 4_Tertiary Salaries Survey" xfId="5814"/>
    <cellStyle name="RowTitles 5" xfId="5815"/>
    <cellStyle name="RowTitles 6" xfId="5816"/>
    <cellStyle name="RowTitles 7" xfId="5817"/>
    <cellStyle name="RowTitles 8" xfId="5818"/>
    <cellStyle name="RowTitles_CENTRAL_GOVT" xfId="5819"/>
    <cellStyle name="RowTitles1-Detail" xfId="5820"/>
    <cellStyle name="RowTitles1-Detail 10" xfId="5821"/>
    <cellStyle name="RowTitles1-Detail 10 2" xfId="5822"/>
    <cellStyle name="RowTitles1-Detail 10 2 2" xfId="5823"/>
    <cellStyle name="RowTitles1-Detail 10 2 2 2" xfId="5824"/>
    <cellStyle name="RowTitles1-Detail 10 2 2_Tertiary Salaries Survey" xfId="5825"/>
    <cellStyle name="RowTitles1-Detail 10 2 3" xfId="5826"/>
    <cellStyle name="RowTitles1-Detail 10 2_Tertiary Salaries Survey" xfId="5827"/>
    <cellStyle name="RowTitles1-Detail 10 3" xfId="5828"/>
    <cellStyle name="RowTitles1-Detail 10 3 2" xfId="5829"/>
    <cellStyle name="RowTitles1-Detail 10 3 2 2" xfId="5830"/>
    <cellStyle name="RowTitles1-Detail 10 3 2_Tertiary Salaries Survey" xfId="5831"/>
    <cellStyle name="RowTitles1-Detail 10 3 3" xfId="5832"/>
    <cellStyle name="RowTitles1-Detail 10 3_Tertiary Salaries Survey" xfId="5833"/>
    <cellStyle name="RowTitles1-Detail 10 4" xfId="5834"/>
    <cellStyle name="RowTitles1-Detail 10 4 2" xfId="5835"/>
    <cellStyle name="RowTitles1-Detail 10 4_Tertiary Salaries Survey" xfId="5836"/>
    <cellStyle name="RowTitles1-Detail 10 5" xfId="5837"/>
    <cellStyle name="RowTitles1-Detail 10_Tertiary Salaries Survey" xfId="5838"/>
    <cellStyle name="RowTitles1-Detail 11" xfId="5839"/>
    <cellStyle name="RowTitles1-Detail 11 2" xfId="5840"/>
    <cellStyle name="RowTitles1-Detail 11 2 2" xfId="5841"/>
    <cellStyle name="RowTitles1-Detail 11 2 2 2" xfId="5842"/>
    <cellStyle name="RowTitles1-Detail 11 2 2_Tertiary Salaries Survey" xfId="5843"/>
    <cellStyle name="RowTitles1-Detail 11 2 3" xfId="5844"/>
    <cellStyle name="RowTitles1-Detail 11 2_Tertiary Salaries Survey" xfId="5845"/>
    <cellStyle name="RowTitles1-Detail 11 3" xfId="5846"/>
    <cellStyle name="RowTitles1-Detail 11 3 2" xfId="5847"/>
    <cellStyle name="RowTitles1-Detail 11 3 2 2" xfId="5848"/>
    <cellStyle name="RowTitles1-Detail 11 3 2_Tertiary Salaries Survey" xfId="5849"/>
    <cellStyle name="RowTitles1-Detail 11 3 3" xfId="5850"/>
    <cellStyle name="RowTitles1-Detail 11 3_Tertiary Salaries Survey" xfId="5851"/>
    <cellStyle name="RowTitles1-Detail 11 4" xfId="5852"/>
    <cellStyle name="RowTitles1-Detail 11 4 2" xfId="5853"/>
    <cellStyle name="RowTitles1-Detail 11 4_Tertiary Salaries Survey" xfId="5854"/>
    <cellStyle name="RowTitles1-Detail 11 5" xfId="5855"/>
    <cellStyle name="RowTitles1-Detail 11_Tertiary Salaries Survey" xfId="5856"/>
    <cellStyle name="RowTitles1-Detail 12" xfId="5857"/>
    <cellStyle name="RowTitles1-Detail 12 2" xfId="5858"/>
    <cellStyle name="RowTitles1-Detail 12 2 2" xfId="5859"/>
    <cellStyle name="RowTitles1-Detail 12 2 2 2" xfId="5860"/>
    <cellStyle name="RowTitles1-Detail 12 2 2_Tertiary Salaries Survey" xfId="5861"/>
    <cellStyle name="RowTitles1-Detail 12 2 3" xfId="5862"/>
    <cellStyle name="RowTitles1-Detail 12 2_Tertiary Salaries Survey" xfId="5863"/>
    <cellStyle name="RowTitles1-Detail 12 3" xfId="5864"/>
    <cellStyle name="RowTitles1-Detail 12 3 2" xfId="5865"/>
    <cellStyle name="RowTitles1-Detail 12 3 2 2" xfId="5866"/>
    <cellStyle name="RowTitles1-Detail 12 3 2_Tertiary Salaries Survey" xfId="5867"/>
    <cellStyle name="RowTitles1-Detail 12 3 3" xfId="5868"/>
    <cellStyle name="RowTitles1-Detail 12 3_Tertiary Salaries Survey" xfId="5869"/>
    <cellStyle name="RowTitles1-Detail 12 4" xfId="5870"/>
    <cellStyle name="RowTitles1-Detail 12 4 2" xfId="5871"/>
    <cellStyle name="RowTitles1-Detail 12 4_Tertiary Salaries Survey" xfId="5872"/>
    <cellStyle name="RowTitles1-Detail 12 5" xfId="5873"/>
    <cellStyle name="RowTitles1-Detail 12_Tertiary Salaries Survey" xfId="5874"/>
    <cellStyle name="RowTitles1-Detail 13" xfId="5875"/>
    <cellStyle name="RowTitles1-Detail 13 2" xfId="5876"/>
    <cellStyle name="RowTitles1-Detail 13 2 2" xfId="5877"/>
    <cellStyle name="RowTitles1-Detail 13 2_Tertiary Salaries Survey" xfId="5878"/>
    <cellStyle name="RowTitles1-Detail 13 3" xfId="5879"/>
    <cellStyle name="RowTitles1-Detail 13_Tertiary Salaries Survey" xfId="5880"/>
    <cellStyle name="RowTitles1-Detail 14" xfId="5881"/>
    <cellStyle name="RowTitles1-Detail 15" xfId="5882"/>
    <cellStyle name="RowTitles1-Detail 2" xfId="5883"/>
    <cellStyle name="RowTitles1-Detail 2 10" xfId="5884"/>
    <cellStyle name="RowTitles1-Detail 2 10 2" xfId="5885"/>
    <cellStyle name="RowTitles1-Detail 2 10 2 2" xfId="5886"/>
    <cellStyle name="RowTitles1-Detail 2 10 2 2 2" xfId="5887"/>
    <cellStyle name="RowTitles1-Detail 2 10 2 2_Tertiary Salaries Survey" xfId="5888"/>
    <cellStyle name="RowTitles1-Detail 2 10 2 3" xfId="5889"/>
    <cellStyle name="RowTitles1-Detail 2 10 2_Tertiary Salaries Survey" xfId="5890"/>
    <cellStyle name="RowTitles1-Detail 2 10 3" xfId="5891"/>
    <cellStyle name="RowTitles1-Detail 2 10 3 2" xfId="5892"/>
    <cellStyle name="RowTitles1-Detail 2 10 3 2 2" xfId="5893"/>
    <cellStyle name="RowTitles1-Detail 2 10 3 2_Tertiary Salaries Survey" xfId="5894"/>
    <cellStyle name="RowTitles1-Detail 2 10 3 3" xfId="5895"/>
    <cellStyle name="RowTitles1-Detail 2 10 3_Tertiary Salaries Survey" xfId="5896"/>
    <cellStyle name="RowTitles1-Detail 2 10 4" xfId="5897"/>
    <cellStyle name="RowTitles1-Detail 2 10 5" xfId="5898"/>
    <cellStyle name="RowTitles1-Detail 2 10 5 2" xfId="5899"/>
    <cellStyle name="RowTitles1-Detail 2 10 5_Tertiary Salaries Survey" xfId="5900"/>
    <cellStyle name="RowTitles1-Detail 2 10 6" xfId="5901"/>
    <cellStyle name="RowTitles1-Detail 2 10_Tertiary Salaries Survey" xfId="5902"/>
    <cellStyle name="RowTitles1-Detail 2 11" xfId="5903"/>
    <cellStyle name="RowTitles1-Detail 2 11 2" xfId="5904"/>
    <cellStyle name="RowTitles1-Detail 2 11 2 2" xfId="5905"/>
    <cellStyle name="RowTitles1-Detail 2 11 2 2 2" xfId="5906"/>
    <cellStyle name="RowTitles1-Detail 2 11 2 2_Tertiary Salaries Survey" xfId="5907"/>
    <cellStyle name="RowTitles1-Detail 2 11 2 3" xfId="5908"/>
    <cellStyle name="RowTitles1-Detail 2 11 2_Tertiary Salaries Survey" xfId="5909"/>
    <cellStyle name="RowTitles1-Detail 2 11 3" xfId="5910"/>
    <cellStyle name="RowTitles1-Detail 2 11 3 2" xfId="5911"/>
    <cellStyle name="RowTitles1-Detail 2 11 3 2 2" xfId="5912"/>
    <cellStyle name="RowTitles1-Detail 2 11 3 2_Tertiary Salaries Survey" xfId="5913"/>
    <cellStyle name="RowTitles1-Detail 2 11 3 3" xfId="5914"/>
    <cellStyle name="RowTitles1-Detail 2 11 3_Tertiary Salaries Survey" xfId="5915"/>
    <cellStyle name="RowTitles1-Detail 2 11 4" xfId="5916"/>
    <cellStyle name="RowTitles1-Detail 2 11 4 2" xfId="5917"/>
    <cellStyle name="RowTitles1-Detail 2 11 4_Tertiary Salaries Survey" xfId="5918"/>
    <cellStyle name="RowTitles1-Detail 2 11 5" xfId="5919"/>
    <cellStyle name="RowTitles1-Detail 2 11_Tertiary Salaries Survey" xfId="5920"/>
    <cellStyle name="RowTitles1-Detail 2 12" xfId="5921"/>
    <cellStyle name="RowTitles1-Detail 2 12 2" xfId="5922"/>
    <cellStyle name="RowTitles1-Detail 2 12 2 2" xfId="5923"/>
    <cellStyle name="RowTitles1-Detail 2 12 2 2 2" xfId="5924"/>
    <cellStyle name="RowTitles1-Detail 2 12 2 2_Tertiary Salaries Survey" xfId="5925"/>
    <cellStyle name="RowTitles1-Detail 2 12 2 3" xfId="5926"/>
    <cellStyle name="RowTitles1-Detail 2 12 2_Tertiary Salaries Survey" xfId="5927"/>
    <cellStyle name="RowTitles1-Detail 2 12 3" xfId="5928"/>
    <cellStyle name="RowTitles1-Detail 2 12 3 2" xfId="5929"/>
    <cellStyle name="RowTitles1-Detail 2 12 3 2 2" xfId="5930"/>
    <cellStyle name="RowTitles1-Detail 2 12 3 2_Tertiary Salaries Survey" xfId="5931"/>
    <cellStyle name="RowTitles1-Detail 2 12 3 3" xfId="5932"/>
    <cellStyle name="RowTitles1-Detail 2 12 3_Tertiary Salaries Survey" xfId="5933"/>
    <cellStyle name="RowTitles1-Detail 2 12 4" xfId="5934"/>
    <cellStyle name="RowTitles1-Detail 2 12 4 2" xfId="5935"/>
    <cellStyle name="RowTitles1-Detail 2 12 4_Tertiary Salaries Survey" xfId="5936"/>
    <cellStyle name="RowTitles1-Detail 2 12 5" xfId="5937"/>
    <cellStyle name="RowTitles1-Detail 2 12_Tertiary Salaries Survey" xfId="5938"/>
    <cellStyle name="RowTitles1-Detail 2 13" xfId="5939"/>
    <cellStyle name="RowTitles1-Detail 2 13 2" xfId="5940"/>
    <cellStyle name="RowTitles1-Detail 2 13 2 2" xfId="5941"/>
    <cellStyle name="RowTitles1-Detail 2 13 2_Tertiary Salaries Survey" xfId="5942"/>
    <cellStyle name="RowTitles1-Detail 2 13 3" xfId="5943"/>
    <cellStyle name="RowTitles1-Detail 2 13_Tertiary Salaries Survey" xfId="5944"/>
    <cellStyle name="RowTitles1-Detail 2 14" xfId="5945"/>
    <cellStyle name="RowTitles1-Detail 2 15" xfId="5946"/>
    <cellStyle name="RowTitles1-Detail 2 16" xfId="5947"/>
    <cellStyle name="RowTitles1-Detail 2 2" xfId="5948"/>
    <cellStyle name="RowTitles1-Detail 2 2 10" xfId="5949"/>
    <cellStyle name="RowTitles1-Detail 2 2 10 2" xfId="5950"/>
    <cellStyle name="RowTitles1-Detail 2 2 10 2 2" xfId="5951"/>
    <cellStyle name="RowTitles1-Detail 2 2 10 2 2 2" xfId="5952"/>
    <cellStyle name="RowTitles1-Detail 2 2 10 2 2_Tertiary Salaries Survey" xfId="5953"/>
    <cellStyle name="RowTitles1-Detail 2 2 10 2 3" xfId="5954"/>
    <cellStyle name="RowTitles1-Detail 2 2 10 2_Tertiary Salaries Survey" xfId="5955"/>
    <cellStyle name="RowTitles1-Detail 2 2 10 3" xfId="5956"/>
    <cellStyle name="RowTitles1-Detail 2 2 10 3 2" xfId="5957"/>
    <cellStyle name="RowTitles1-Detail 2 2 10 3 2 2" xfId="5958"/>
    <cellStyle name="RowTitles1-Detail 2 2 10 3 2_Tertiary Salaries Survey" xfId="5959"/>
    <cellStyle name="RowTitles1-Detail 2 2 10 3 3" xfId="5960"/>
    <cellStyle name="RowTitles1-Detail 2 2 10 3_Tertiary Salaries Survey" xfId="5961"/>
    <cellStyle name="RowTitles1-Detail 2 2 10 4" xfId="5962"/>
    <cellStyle name="RowTitles1-Detail 2 2 10 4 2" xfId="5963"/>
    <cellStyle name="RowTitles1-Detail 2 2 10 4_Tertiary Salaries Survey" xfId="5964"/>
    <cellStyle name="RowTitles1-Detail 2 2 10 5" xfId="5965"/>
    <cellStyle name="RowTitles1-Detail 2 2 10_Tertiary Salaries Survey" xfId="5966"/>
    <cellStyle name="RowTitles1-Detail 2 2 11" xfId="5967"/>
    <cellStyle name="RowTitles1-Detail 2 2 11 2" xfId="5968"/>
    <cellStyle name="RowTitles1-Detail 2 2 11 2 2" xfId="5969"/>
    <cellStyle name="RowTitles1-Detail 2 2 11 2 2 2" xfId="5970"/>
    <cellStyle name="RowTitles1-Detail 2 2 11 2 2_Tertiary Salaries Survey" xfId="5971"/>
    <cellStyle name="RowTitles1-Detail 2 2 11 2 3" xfId="5972"/>
    <cellStyle name="RowTitles1-Detail 2 2 11 2_Tertiary Salaries Survey" xfId="5973"/>
    <cellStyle name="RowTitles1-Detail 2 2 11 3" xfId="5974"/>
    <cellStyle name="RowTitles1-Detail 2 2 11 3 2" xfId="5975"/>
    <cellStyle name="RowTitles1-Detail 2 2 11 3 2 2" xfId="5976"/>
    <cellStyle name="RowTitles1-Detail 2 2 11 3 2_Tertiary Salaries Survey" xfId="5977"/>
    <cellStyle name="RowTitles1-Detail 2 2 11 3 3" xfId="5978"/>
    <cellStyle name="RowTitles1-Detail 2 2 11 3_Tertiary Salaries Survey" xfId="5979"/>
    <cellStyle name="RowTitles1-Detail 2 2 11 4" xfId="5980"/>
    <cellStyle name="RowTitles1-Detail 2 2 11 4 2" xfId="5981"/>
    <cellStyle name="RowTitles1-Detail 2 2 11 4_Tertiary Salaries Survey" xfId="5982"/>
    <cellStyle name="RowTitles1-Detail 2 2 11 5" xfId="5983"/>
    <cellStyle name="RowTitles1-Detail 2 2 11_Tertiary Salaries Survey" xfId="5984"/>
    <cellStyle name="RowTitles1-Detail 2 2 12" xfId="5985"/>
    <cellStyle name="RowTitles1-Detail 2 2 12 2" xfId="5986"/>
    <cellStyle name="RowTitles1-Detail 2 2 12 2 2" xfId="5987"/>
    <cellStyle name="RowTitles1-Detail 2 2 12 2_Tertiary Salaries Survey" xfId="5988"/>
    <cellStyle name="RowTitles1-Detail 2 2 12 3" xfId="5989"/>
    <cellStyle name="RowTitles1-Detail 2 2 12_Tertiary Salaries Survey" xfId="5990"/>
    <cellStyle name="RowTitles1-Detail 2 2 13" xfId="5991"/>
    <cellStyle name="RowTitles1-Detail 2 2 14" xfId="5992"/>
    <cellStyle name="RowTitles1-Detail 2 2 15" xfId="5993"/>
    <cellStyle name="RowTitles1-Detail 2 2 2" xfId="5994"/>
    <cellStyle name="RowTitles1-Detail 2 2 2 10" xfId="5995"/>
    <cellStyle name="RowTitles1-Detail 2 2 2 10 2" xfId="5996"/>
    <cellStyle name="RowTitles1-Detail 2 2 2 10 2 2" xfId="5997"/>
    <cellStyle name="RowTitles1-Detail 2 2 2 10 2 2 2" xfId="5998"/>
    <cellStyle name="RowTitles1-Detail 2 2 2 10 2 2_Tertiary Salaries Survey" xfId="5999"/>
    <cellStyle name="RowTitles1-Detail 2 2 2 10 2 3" xfId="6000"/>
    <cellStyle name="RowTitles1-Detail 2 2 2 10 2_Tertiary Salaries Survey" xfId="6001"/>
    <cellStyle name="RowTitles1-Detail 2 2 2 10 3" xfId="6002"/>
    <cellStyle name="RowTitles1-Detail 2 2 2 10 3 2" xfId="6003"/>
    <cellStyle name="RowTitles1-Detail 2 2 2 10 3 2 2" xfId="6004"/>
    <cellStyle name="RowTitles1-Detail 2 2 2 10 3 2_Tertiary Salaries Survey" xfId="6005"/>
    <cellStyle name="RowTitles1-Detail 2 2 2 10 3 3" xfId="6006"/>
    <cellStyle name="RowTitles1-Detail 2 2 2 10 3_Tertiary Salaries Survey" xfId="6007"/>
    <cellStyle name="RowTitles1-Detail 2 2 2 10 4" xfId="6008"/>
    <cellStyle name="RowTitles1-Detail 2 2 2 10 4 2" xfId="6009"/>
    <cellStyle name="RowTitles1-Detail 2 2 2 10 4_Tertiary Salaries Survey" xfId="6010"/>
    <cellStyle name="RowTitles1-Detail 2 2 2 10 5" xfId="6011"/>
    <cellStyle name="RowTitles1-Detail 2 2 2 10_Tertiary Salaries Survey" xfId="6012"/>
    <cellStyle name="RowTitles1-Detail 2 2 2 11" xfId="6013"/>
    <cellStyle name="RowTitles1-Detail 2 2 2 11 2" xfId="6014"/>
    <cellStyle name="RowTitles1-Detail 2 2 2 11 2 2" xfId="6015"/>
    <cellStyle name="RowTitles1-Detail 2 2 2 11 2_Tertiary Salaries Survey" xfId="6016"/>
    <cellStyle name="RowTitles1-Detail 2 2 2 11 3" xfId="6017"/>
    <cellStyle name="RowTitles1-Detail 2 2 2 11_Tertiary Salaries Survey" xfId="6018"/>
    <cellStyle name="RowTitles1-Detail 2 2 2 12" xfId="6019"/>
    <cellStyle name="RowTitles1-Detail 2 2 2 13" xfId="6020"/>
    <cellStyle name="RowTitles1-Detail 2 2 2 2" xfId="6021"/>
    <cellStyle name="RowTitles1-Detail 2 2 2 2 10" xfId="6022"/>
    <cellStyle name="RowTitles1-Detail 2 2 2 2 10 2" xfId="6023"/>
    <cellStyle name="RowTitles1-Detail 2 2 2 2 10 2 2" xfId="6024"/>
    <cellStyle name="RowTitles1-Detail 2 2 2 2 10 2_Tertiary Salaries Survey" xfId="6025"/>
    <cellStyle name="RowTitles1-Detail 2 2 2 2 10 3" xfId="6026"/>
    <cellStyle name="RowTitles1-Detail 2 2 2 2 10_Tertiary Salaries Survey" xfId="6027"/>
    <cellStyle name="RowTitles1-Detail 2 2 2 2 11" xfId="6028"/>
    <cellStyle name="RowTitles1-Detail 2 2 2 2 12" xfId="6029"/>
    <cellStyle name="RowTitles1-Detail 2 2 2 2 2" xfId="6030"/>
    <cellStyle name="RowTitles1-Detail 2 2 2 2 2 2" xfId="6031"/>
    <cellStyle name="RowTitles1-Detail 2 2 2 2 2 2 2" xfId="6032"/>
    <cellStyle name="RowTitles1-Detail 2 2 2 2 2 2 2 2" xfId="6033"/>
    <cellStyle name="RowTitles1-Detail 2 2 2 2 2 2 2 2 2" xfId="6034"/>
    <cellStyle name="RowTitles1-Detail 2 2 2 2 2 2 2 2_Tertiary Salaries Survey" xfId="6035"/>
    <cellStyle name="RowTitles1-Detail 2 2 2 2 2 2 2 3" xfId="6036"/>
    <cellStyle name="RowTitles1-Detail 2 2 2 2 2 2 2_Tertiary Salaries Survey" xfId="6037"/>
    <cellStyle name="RowTitles1-Detail 2 2 2 2 2 2 3" xfId="6038"/>
    <cellStyle name="RowTitles1-Detail 2 2 2 2 2 2 3 2" xfId="6039"/>
    <cellStyle name="RowTitles1-Detail 2 2 2 2 2 2 3 2 2" xfId="6040"/>
    <cellStyle name="RowTitles1-Detail 2 2 2 2 2 2 3 2_Tertiary Salaries Survey" xfId="6041"/>
    <cellStyle name="RowTitles1-Detail 2 2 2 2 2 2 3 3" xfId="6042"/>
    <cellStyle name="RowTitles1-Detail 2 2 2 2 2 2 3_Tertiary Salaries Survey" xfId="6043"/>
    <cellStyle name="RowTitles1-Detail 2 2 2 2 2 2 4" xfId="6044"/>
    <cellStyle name="RowTitles1-Detail 2 2 2 2 2 2 5" xfId="6045"/>
    <cellStyle name="RowTitles1-Detail 2 2 2 2 2 2_Tertiary Salaries Survey" xfId="6046"/>
    <cellStyle name="RowTitles1-Detail 2 2 2 2 2 3" xfId="6047"/>
    <cellStyle name="RowTitles1-Detail 2 2 2 2 2 3 2" xfId="6048"/>
    <cellStyle name="RowTitles1-Detail 2 2 2 2 2 3 2 2" xfId="6049"/>
    <cellStyle name="RowTitles1-Detail 2 2 2 2 2 3 2 2 2" xfId="6050"/>
    <cellStyle name="RowTitles1-Detail 2 2 2 2 2 3 2 2_Tertiary Salaries Survey" xfId="6051"/>
    <cellStyle name="RowTitles1-Detail 2 2 2 2 2 3 2 3" xfId="6052"/>
    <cellStyle name="RowTitles1-Detail 2 2 2 2 2 3 2_Tertiary Salaries Survey" xfId="6053"/>
    <cellStyle name="RowTitles1-Detail 2 2 2 2 2 3 3" xfId="6054"/>
    <cellStyle name="RowTitles1-Detail 2 2 2 2 2 3 3 2" xfId="6055"/>
    <cellStyle name="RowTitles1-Detail 2 2 2 2 2 3 3 2 2" xfId="6056"/>
    <cellStyle name="RowTitles1-Detail 2 2 2 2 2 3 3 2_Tertiary Salaries Survey" xfId="6057"/>
    <cellStyle name="RowTitles1-Detail 2 2 2 2 2 3 3 3" xfId="6058"/>
    <cellStyle name="RowTitles1-Detail 2 2 2 2 2 3 3_Tertiary Salaries Survey" xfId="6059"/>
    <cellStyle name="RowTitles1-Detail 2 2 2 2 2 3 4" xfId="6060"/>
    <cellStyle name="RowTitles1-Detail 2 2 2 2 2 3 5" xfId="6061"/>
    <cellStyle name="RowTitles1-Detail 2 2 2 2 2 3 5 2" xfId="6062"/>
    <cellStyle name="RowTitles1-Detail 2 2 2 2 2 3 5_Tertiary Salaries Survey" xfId="6063"/>
    <cellStyle name="RowTitles1-Detail 2 2 2 2 2 3 6" xfId="6064"/>
    <cellStyle name="RowTitles1-Detail 2 2 2 2 2 3_Tertiary Salaries Survey" xfId="6065"/>
    <cellStyle name="RowTitles1-Detail 2 2 2 2 2 4" xfId="6066"/>
    <cellStyle name="RowTitles1-Detail 2 2 2 2 2 4 2" xfId="6067"/>
    <cellStyle name="RowTitles1-Detail 2 2 2 2 2 4 2 2" xfId="6068"/>
    <cellStyle name="RowTitles1-Detail 2 2 2 2 2 4 2 2 2" xfId="6069"/>
    <cellStyle name="RowTitles1-Detail 2 2 2 2 2 4 2 2_Tertiary Salaries Survey" xfId="6070"/>
    <cellStyle name="RowTitles1-Detail 2 2 2 2 2 4 2 3" xfId="6071"/>
    <cellStyle name="RowTitles1-Detail 2 2 2 2 2 4 2_Tertiary Salaries Survey" xfId="6072"/>
    <cellStyle name="RowTitles1-Detail 2 2 2 2 2 4 3" xfId="6073"/>
    <cellStyle name="RowTitles1-Detail 2 2 2 2 2 4 3 2" xfId="6074"/>
    <cellStyle name="RowTitles1-Detail 2 2 2 2 2 4 3 2 2" xfId="6075"/>
    <cellStyle name="RowTitles1-Detail 2 2 2 2 2 4 3 2_Tertiary Salaries Survey" xfId="6076"/>
    <cellStyle name="RowTitles1-Detail 2 2 2 2 2 4 3 3" xfId="6077"/>
    <cellStyle name="RowTitles1-Detail 2 2 2 2 2 4 3_Tertiary Salaries Survey" xfId="6078"/>
    <cellStyle name="RowTitles1-Detail 2 2 2 2 2 4 4" xfId="6079"/>
    <cellStyle name="RowTitles1-Detail 2 2 2 2 2 4 4 2" xfId="6080"/>
    <cellStyle name="RowTitles1-Detail 2 2 2 2 2 4 4_Tertiary Salaries Survey" xfId="6081"/>
    <cellStyle name="RowTitles1-Detail 2 2 2 2 2 4 5" xfId="6082"/>
    <cellStyle name="RowTitles1-Detail 2 2 2 2 2 4_Tertiary Salaries Survey" xfId="6083"/>
    <cellStyle name="RowTitles1-Detail 2 2 2 2 2 5" xfId="6084"/>
    <cellStyle name="RowTitles1-Detail 2 2 2 2 2 5 2" xfId="6085"/>
    <cellStyle name="RowTitles1-Detail 2 2 2 2 2 5 2 2" xfId="6086"/>
    <cellStyle name="RowTitles1-Detail 2 2 2 2 2 5 2 2 2" xfId="6087"/>
    <cellStyle name="RowTitles1-Detail 2 2 2 2 2 5 2 2_Tertiary Salaries Survey" xfId="6088"/>
    <cellStyle name="RowTitles1-Detail 2 2 2 2 2 5 2 3" xfId="6089"/>
    <cellStyle name="RowTitles1-Detail 2 2 2 2 2 5 2_Tertiary Salaries Survey" xfId="6090"/>
    <cellStyle name="RowTitles1-Detail 2 2 2 2 2 5 3" xfId="6091"/>
    <cellStyle name="RowTitles1-Detail 2 2 2 2 2 5 3 2" xfId="6092"/>
    <cellStyle name="RowTitles1-Detail 2 2 2 2 2 5 3 2 2" xfId="6093"/>
    <cellStyle name="RowTitles1-Detail 2 2 2 2 2 5 3 2_Tertiary Salaries Survey" xfId="6094"/>
    <cellStyle name="RowTitles1-Detail 2 2 2 2 2 5 3 3" xfId="6095"/>
    <cellStyle name="RowTitles1-Detail 2 2 2 2 2 5 3_Tertiary Salaries Survey" xfId="6096"/>
    <cellStyle name="RowTitles1-Detail 2 2 2 2 2 5 4" xfId="6097"/>
    <cellStyle name="RowTitles1-Detail 2 2 2 2 2 5 4 2" xfId="6098"/>
    <cellStyle name="RowTitles1-Detail 2 2 2 2 2 5 4_Tertiary Salaries Survey" xfId="6099"/>
    <cellStyle name="RowTitles1-Detail 2 2 2 2 2 5 5" xfId="6100"/>
    <cellStyle name="RowTitles1-Detail 2 2 2 2 2 5_Tertiary Salaries Survey" xfId="6101"/>
    <cellStyle name="RowTitles1-Detail 2 2 2 2 2 6" xfId="6102"/>
    <cellStyle name="RowTitles1-Detail 2 2 2 2 2 6 2" xfId="6103"/>
    <cellStyle name="RowTitles1-Detail 2 2 2 2 2 6 2 2" xfId="6104"/>
    <cellStyle name="RowTitles1-Detail 2 2 2 2 2 6 2 2 2" xfId="6105"/>
    <cellStyle name="RowTitles1-Detail 2 2 2 2 2 6 2 2_Tertiary Salaries Survey" xfId="6106"/>
    <cellStyle name="RowTitles1-Detail 2 2 2 2 2 6 2 3" xfId="6107"/>
    <cellStyle name="RowTitles1-Detail 2 2 2 2 2 6 2_Tertiary Salaries Survey" xfId="6108"/>
    <cellStyle name="RowTitles1-Detail 2 2 2 2 2 6 3" xfId="6109"/>
    <cellStyle name="RowTitles1-Detail 2 2 2 2 2 6 3 2" xfId="6110"/>
    <cellStyle name="RowTitles1-Detail 2 2 2 2 2 6 3 2 2" xfId="6111"/>
    <cellStyle name="RowTitles1-Detail 2 2 2 2 2 6 3 2_Tertiary Salaries Survey" xfId="6112"/>
    <cellStyle name="RowTitles1-Detail 2 2 2 2 2 6 3 3" xfId="6113"/>
    <cellStyle name="RowTitles1-Detail 2 2 2 2 2 6 3_Tertiary Salaries Survey" xfId="6114"/>
    <cellStyle name="RowTitles1-Detail 2 2 2 2 2 6 4" xfId="6115"/>
    <cellStyle name="RowTitles1-Detail 2 2 2 2 2 6 4 2" xfId="6116"/>
    <cellStyle name="RowTitles1-Detail 2 2 2 2 2 6 4_Tertiary Salaries Survey" xfId="6117"/>
    <cellStyle name="RowTitles1-Detail 2 2 2 2 2 6 5" xfId="6118"/>
    <cellStyle name="RowTitles1-Detail 2 2 2 2 2 6_Tertiary Salaries Survey" xfId="6119"/>
    <cellStyle name="RowTitles1-Detail 2 2 2 2 2 7" xfId="6120"/>
    <cellStyle name="RowTitles1-Detail 2 2 2 2 2 7 2" xfId="6121"/>
    <cellStyle name="RowTitles1-Detail 2 2 2 2 2 7 2 2" xfId="6122"/>
    <cellStyle name="RowTitles1-Detail 2 2 2 2 2 7 2_Tertiary Salaries Survey" xfId="6123"/>
    <cellStyle name="RowTitles1-Detail 2 2 2 2 2 7 3" xfId="6124"/>
    <cellStyle name="RowTitles1-Detail 2 2 2 2 2 7_Tertiary Salaries Survey" xfId="6125"/>
    <cellStyle name="RowTitles1-Detail 2 2 2 2 2 8" xfId="6126"/>
    <cellStyle name="RowTitles1-Detail 2 2 2 2 2 9" xfId="6127"/>
    <cellStyle name="RowTitles1-Detail 2 2 2 2 2_STUD aligned by INSTIT" xfId="6128"/>
    <cellStyle name="RowTitles1-Detail 2 2 2 2 3" xfId="6129"/>
    <cellStyle name="RowTitles1-Detail 2 2 2 2 3 2" xfId="6130"/>
    <cellStyle name="RowTitles1-Detail 2 2 2 2 3 2 2" xfId="6131"/>
    <cellStyle name="RowTitles1-Detail 2 2 2 2 3 2 2 2" xfId="6132"/>
    <cellStyle name="RowTitles1-Detail 2 2 2 2 3 2 2 2 2" xfId="6133"/>
    <cellStyle name="RowTitles1-Detail 2 2 2 2 3 2 2 2_Tertiary Salaries Survey" xfId="6134"/>
    <cellStyle name="RowTitles1-Detail 2 2 2 2 3 2 2 3" xfId="6135"/>
    <cellStyle name="RowTitles1-Detail 2 2 2 2 3 2 2_Tertiary Salaries Survey" xfId="6136"/>
    <cellStyle name="RowTitles1-Detail 2 2 2 2 3 2 3" xfId="6137"/>
    <cellStyle name="RowTitles1-Detail 2 2 2 2 3 2 3 2" xfId="6138"/>
    <cellStyle name="RowTitles1-Detail 2 2 2 2 3 2 3 2 2" xfId="6139"/>
    <cellStyle name="RowTitles1-Detail 2 2 2 2 3 2 3 2_Tertiary Salaries Survey" xfId="6140"/>
    <cellStyle name="RowTitles1-Detail 2 2 2 2 3 2 3 3" xfId="6141"/>
    <cellStyle name="RowTitles1-Detail 2 2 2 2 3 2 3_Tertiary Salaries Survey" xfId="6142"/>
    <cellStyle name="RowTitles1-Detail 2 2 2 2 3 2 4" xfId="6143"/>
    <cellStyle name="RowTitles1-Detail 2 2 2 2 3 2 5" xfId="6144"/>
    <cellStyle name="RowTitles1-Detail 2 2 2 2 3 2 5 2" xfId="6145"/>
    <cellStyle name="RowTitles1-Detail 2 2 2 2 3 2 5_Tertiary Salaries Survey" xfId="6146"/>
    <cellStyle name="RowTitles1-Detail 2 2 2 2 3 2 6" xfId="6147"/>
    <cellStyle name="RowTitles1-Detail 2 2 2 2 3 2_Tertiary Salaries Survey" xfId="6148"/>
    <cellStyle name="RowTitles1-Detail 2 2 2 2 3 3" xfId="6149"/>
    <cellStyle name="RowTitles1-Detail 2 2 2 2 3 3 2" xfId="6150"/>
    <cellStyle name="RowTitles1-Detail 2 2 2 2 3 3 2 2" xfId="6151"/>
    <cellStyle name="RowTitles1-Detail 2 2 2 2 3 3 2 2 2" xfId="6152"/>
    <cellStyle name="RowTitles1-Detail 2 2 2 2 3 3 2 2_Tertiary Salaries Survey" xfId="6153"/>
    <cellStyle name="RowTitles1-Detail 2 2 2 2 3 3 2 3" xfId="6154"/>
    <cellStyle name="RowTitles1-Detail 2 2 2 2 3 3 2_Tertiary Salaries Survey" xfId="6155"/>
    <cellStyle name="RowTitles1-Detail 2 2 2 2 3 3 3" xfId="6156"/>
    <cellStyle name="RowTitles1-Detail 2 2 2 2 3 3 3 2" xfId="6157"/>
    <cellStyle name="RowTitles1-Detail 2 2 2 2 3 3 3 2 2" xfId="6158"/>
    <cellStyle name="RowTitles1-Detail 2 2 2 2 3 3 3 2_Tertiary Salaries Survey" xfId="6159"/>
    <cellStyle name="RowTitles1-Detail 2 2 2 2 3 3 3 3" xfId="6160"/>
    <cellStyle name="RowTitles1-Detail 2 2 2 2 3 3 3_Tertiary Salaries Survey" xfId="6161"/>
    <cellStyle name="RowTitles1-Detail 2 2 2 2 3 3 4" xfId="6162"/>
    <cellStyle name="RowTitles1-Detail 2 2 2 2 3 3 5" xfId="6163"/>
    <cellStyle name="RowTitles1-Detail 2 2 2 2 3 3_Tertiary Salaries Survey" xfId="6164"/>
    <cellStyle name="RowTitles1-Detail 2 2 2 2 3 4" xfId="6165"/>
    <cellStyle name="RowTitles1-Detail 2 2 2 2 3 4 2" xfId="6166"/>
    <cellStyle name="RowTitles1-Detail 2 2 2 2 3 4 2 2" xfId="6167"/>
    <cellStyle name="RowTitles1-Detail 2 2 2 2 3 4 2 2 2" xfId="6168"/>
    <cellStyle name="RowTitles1-Detail 2 2 2 2 3 4 2 2_Tertiary Salaries Survey" xfId="6169"/>
    <cellStyle name="RowTitles1-Detail 2 2 2 2 3 4 2 3" xfId="6170"/>
    <cellStyle name="RowTitles1-Detail 2 2 2 2 3 4 2_Tertiary Salaries Survey" xfId="6171"/>
    <cellStyle name="RowTitles1-Detail 2 2 2 2 3 4 3" xfId="6172"/>
    <cellStyle name="RowTitles1-Detail 2 2 2 2 3 4 3 2" xfId="6173"/>
    <cellStyle name="RowTitles1-Detail 2 2 2 2 3 4 3 2 2" xfId="6174"/>
    <cellStyle name="RowTitles1-Detail 2 2 2 2 3 4 3 2_Tertiary Salaries Survey" xfId="6175"/>
    <cellStyle name="RowTitles1-Detail 2 2 2 2 3 4 3 3" xfId="6176"/>
    <cellStyle name="RowTitles1-Detail 2 2 2 2 3 4 3_Tertiary Salaries Survey" xfId="6177"/>
    <cellStyle name="RowTitles1-Detail 2 2 2 2 3 4 4" xfId="6178"/>
    <cellStyle name="RowTitles1-Detail 2 2 2 2 3 4 4 2" xfId="6179"/>
    <cellStyle name="RowTitles1-Detail 2 2 2 2 3 4 4_Tertiary Salaries Survey" xfId="6180"/>
    <cellStyle name="RowTitles1-Detail 2 2 2 2 3 4 5" xfId="6181"/>
    <cellStyle name="RowTitles1-Detail 2 2 2 2 3 4_Tertiary Salaries Survey" xfId="6182"/>
    <cellStyle name="RowTitles1-Detail 2 2 2 2 3 5" xfId="6183"/>
    <cellStyle name="RowTitles1-Detail 2 2 2 2 3 5 2" xfId="6184"/>
    <cellStyle name="RowTitles1-Detail 2 2 2 2 3 5 2 2" xfId="6185"/>
    <cellStyle name="RowTitles1-Detail 2 2 2 2 3 5 2 2 2" xfId="6186"/>
    <cellStyle name="RowTitles1-Detail 2 2 2 2 3 5 2 2_Tertiary Salaries Survey" xfId="6187"/>
    <cellStyle name="RowTitles1-Detail 2 2 2 2 3 5 2 3" xfId="6188"/>
    <cellStyle name="RowTitles1-Detail 2 2 2 2 3 5 2_Tertiary Salaries Survey" xfId="6189"/>
    <cellStyle name="RowTitles1-Detail 2 2 2 2 3 5 3" xfId="6190"/>
    <cellStyle name="RowTitles1-Detail 2 2 2 2 3 5 3 2" xfId="6191"/>
    <cellStyle name="RowTitles1-Detail 2 2 2 2 3 5 3 2 2" xfId="6192"/>
    <cellStyle name="RowTitles1-Detail 2 2 2 2 3 5 3 2_Tertiary Salaries Survey" xfId="6193"/>
    <cellStyle name="RowTitles1-Detail 2 2 2 2 3 5 3 3" xfId="6194"/>
    <cellStyle name="RowTitles1-Detail 2 2 2 2 3 5 3_Tertiary Salaries Survey" xfId="6195"/>
    <cellStyle name="RowTitles1-Detail 2 2 2 2 3 5 4" xfId="6196"/>
    <cellStyle name="RowTitles1-Detail 2 2 2 2 3 5 4 2" xfId="6197"/>
    <cellStyle name="RowTitles1-Detail 2 2 2 2 3 5 4_Tertiary Salaries Survey" xfId="6198"/>
    <cellStyle name="RowTitles1-Detail 2 2 2 2 3 5 5" xfId="6199"/>
    <cellStyle name="RowTitles1-Detail 2 2 2 2 3 5_Tertiary Salaries Survey" xfId="6200"/>
    <cellStyle name="RowTitles1-Detail 2 2 2 2 3 6" xfId="6201"/>
    <cellStyle name="RowTitles1-Detail 2 2 2 2 3 6 2" xfId="6202"/>
    <cellStyle name="RowTitles1-Detail 2 2 2 2 3 6 2 2" xfId="6203"/>
    <cellStyle name="RowTitles1-Detail 2 2 2 2 3 6 2 2 2" xfId="6204"/>
    <cellStyle name="RowTitles1-Detail 2 2 2 2 3 6 2 2_Tertiary Salaries Survey" xfId="6205"/>
    <cellStyle name="RowTitles1-Detail 2 2 2 2 3 6 2 3" xfId="6206"/>
    <cellStyle name="RowTitles1-Detail 2 2 2 2 3 6 2_Tertiary Salaries Survey" xfId="6207"/>
    <cellStyle name="RowTitles1-Detail 2 2 2 2 3 6 3" xfId="6208"/>
    <cellStyle name="RowTitles1-Detail 2 2 2 2 3 6 3 2" xfId="6209"/>
    <cellStyle name="RowTitles1-Detail 2 2 2 2 3 6 3 2 2" xfId="6210"/>
    <cellStyle name="RowTitles1-Detail 2 2 2 2 3 6 3 2_Tertiary Salaries Survey" xfId="6211"/>
    <cellStyle name="RowTitles1-Detail 2 2 2 2 3 6 3 3" xfId="6212"/>
    <cellStyle name="RowTitles1-Detail 2 2 2 2 3 6 3_Tertiary Salaries Survey" xfId="6213"/>
    <cellStyle name="RowTitles1-Detail 2 2 2 2 3 6 4" xfId="6214"/>
    <cellStyle name="RowTitles1-Detail 2 2 2 2 3 6 4 2" xfId="6215"/>
    <cellStyle name="RowTitles1-Detail 2 2 2 2 3 6 4_Tertiary Salaries Survey" xfId="6216"/>
    <cellStyle name="RowTitles1-Detail 2 2 2 2 3 6 5" xfId="6217"/>
    <cellStyle name="RowTitles1-Detail 2 2 2 2 3 6_Tertiary Salaries Survey" xfId="6218"/>
    <cellStyle name="RowTitles1-Detail 2 2 2 2 3 7" xfId="6219"/>
    <cellStyle name="RowTitles1-Detail 2 2 2 2 3 7 2" xfId="6220"/>
    <cellStyle name="RowTitles1-Detail 2 2 2 2 3 7 2 2" xfId="6221"/>
    <cellStyle name="RowTitles1-Detail 2 2 2 2 3 7 2_Tertiary Salaries Survey" xfId="6222"/>
    <cellStyle name="RowTitles1-Detail 2 2 2 2 3 7 3" xfId="6223"/>
    <cellStyle name="RowTitles1-Detail 2 2 2 2 3 7_Tertiary Salaries Survey" xfId="6224"/>
    <cellStyle name="RowTitles1-Detail 2 2 2 2 3 8" xfId="6225"/>
    <cellStyle name="RowTitles1-Detail 2 2 2 2 3 8 2" xfId="6226"/>
    <cellStyle name="RowTitles1-Detail 2 2 2 2 3 8 2 2" xfId="6227"/>
    <cellStyle name="RowTitles1-Detail 2 2 2 2 3 8 2_Tertiary Salaries Survey" xfId="6228"/>
    <cellStyle name="RowTitles1-Detail 2 2 2 2 3 8 3" xfId="6229"/>
    <cellStyle name="RowTitles1-Detail 2 2 2 2 3 8_Tertiary Salaries Survey" xfId="6230"/>
    <cellStyle name="RowTitles1-Detail 2 2 2 2 3 9" xfId="6231"/>
    <cellStyle name="RowTitles1-Detail 2 2 2 2 3_STUD aligned by INSTIT" xfId="6232"/>
    <cellStyle name="RowTitles1-Detail 2 2 2 2 4" xfId="6233"/>
    <cellStyle name="RowTitles1-Detail 2 2 2 2 4 2" xfId="6234"/>
    <cellStyle name="RowTitles1-Detail 2 2 2 2 4 2 2" xfId="6235"/>
    <cellStyle name="RowTitles1-Detail 2 2 2 2 4 2 2 2" xfId="6236"/>
    <cellStyle name="RowTitles1-Detail 2 2 2 2 4 2 2 2 2" xfId="6237"/>
    <cellStyle name="RowTitles1-Detail 2 2 2 2 4 2 2 2_Tertiary Salaries Survey" xfId="6238"/>
    <cellStyle name="RowTitles1-Detail 2 2 2 2 4 2 2 3" xfId="6239"/>
    <cellStyle name="RowTitles1-Detail 2 2 2 2 4 2 2_Tertiary Salaries Survey" xfId="6240"/>
    <cellStyle name="RowTitles1-Detail 2 2 2 2 4 2 3" xfId="6241"/>
    <cellStyle name="RowTitles1-Detail 2 2 2 2 4 2 3 2" xfId="6242"/>
    <cellStyle name="RowTitles1-Detail 2 2 2 2 4 2 3 2 2" xfId="6243"/>
    <cellStyle name="RowTitles1-Detail 2 2 2 2 4 2 3 2_Tertiary Salaries Survey" xfId="6244"/>
    <cellStyle name="RowTitles1-Detail 2 2 2 2 4 2 3 3" xfId="6245"/>
    <cellStyle name="RowTitles1-Detail 2 2 2 2 4 2 3_Tertiary Salaries Survey" xfId="6246"/>
    <cellStyle name="RowTitles1-Detail 2 2 2 2 4 2 4" xfId="6247"/>
    <cellStyle name="RowTitles1-Detail 2 2 2 2 4 2 5" xfId="6248"/>
    <cellStyle name="RowTitles1-Detail 2 2 2 2 4 2 5 2" xfId="6249"/>
    <cellStyle name="RowTitles1-Detail 2 2 2 2 4 2 5_Tertiary Salaries Survey" xfId="6250"/>
    <cellStyle name="RowTitles1-Detail 2 2 2 2 4 2 6" xfId="6251"/>
    <cellStyle name="RowTitles1-Detail 2 2 2 2 4 2_Tertiary Salaries Survey" xfId="6252"/>
    <cellStyle name="RowTitles1-Detail 2 2 2 2 4 3" xfId="6253"/>
    <cellStyle name="RowTitles1-Detail 2 2 2 2 4 3 2" xfId="6254"/>
    <cellStyle name="RowTitles1-Detail 2 2 2 2 4 3 2 2" xfId="6255"/>
    <cellStyle name="RowTitles1-Detail 2 2 2 2 4 3 2 2 2" xfId="6256"/>
    <cellStyle name="RowTitles1-Detail 2 2 2 2 4 3 2 2_Tertiary Salaries Survey" xfId="6257"/>
    <cellStyle name="RowTitles1-Detail 2 2 2 2 4 3 2 3" xfId="6258"/>
    <cellStyle name="RowTitles1-Detail 2 2 2 2 4 3 2_Tertiary Salaries Survey" xfId="6259"/>
    <cellStyle name="RowTitles1-Detail 2 2 2 2 4 3 3" xfId="6260"/>
    <cellStyle name="RowTitles1-Detail 2 2 2 2 4 3 3 2" xfId="6261"/>
    <cellStyle name="RowTitles1-Detail 2 2 2 2 4 3 3 2 2" xfId="6262"/>
    <cellStyle name="RowTitles1-Detail 2 2 2 2 4 3 3 2_Tertiary Salaries Survey" xfId="6263"/>
    <cellStyle name="RowTitles1-Detail 2 2 2 2 4 3 3 3" xfId="6264"/>
    <cellStyle name="RowTitles1-Detail 2 2 2 2 4 3 3_Tertiary Salaries Survey" xfId="6265"/>
    <cellStyle name="RowTitles1-Detail 2 2 2 2 4 3 4" xfId="6266"/>
    <cellStyle name="RowTitles1-Detail 2 2 2 2 4 3 5" xfId="6267"/>
    <cellStyle name="RowTitles1-Detail 2 2 2 2 4 3_Tertiary Salaries Survey" xfId="6268"/>
    <cellStyle name="RowTitles1-Detail 2 2 2 2 4 4" xfId="6269"/>
    <cellStyle name="RowTitles1-Detail 2 2 2 2 4 4 2" xfId="6270"/>
    <cellStyle name="RowTitles1-Detail 2 2 2 2 4 4 2 2" xfId="6271"/>
    <cellStyle name="RowTitles1-Detail 2 2 2 2 4 4 2 2 2" xfId="6272"/>
    <cellStyle name="RowTitles1-Detail 2 2 2 2 4 4 2 2_Tertiary Salaries Survey" xfId="6273"/>
    <cellStyle name="RowTitles1-Detail 2 2 2 2 4 4 2 3" xfId="6274"/>
    <cellStyle name="RowTitles1-Detail 2 2 2 2 4 4 2_Tertiary Salaries Survey" xfId="6275"/>
    <cellStyle name="RowTitles1-Detail 2 2 2 2 4 4 3" xfId="6276"/>
    <cellStyle name="RowTitles1-Detail 2 2 2 2 4 4 3 2" xfId="6277"/>
    <cellStyle name="RowTitles1-Detail 2 2 2 2 4 4 3 2 2" xfId="6278"/>
    <cellStyle name="RowTitles1-Detail 2 2 2 2 4 4 3 2_Tertiary Salaries Survey" xfId="6279"/>
    <cellStyle name="RowTitles1-Detail 2 2 2 2 4 4 3 3" xfId="6280"/>
    <cellStyle name="RowTitles1-Detail 2 2 2 2 4 4 3_Tertiary Salaries Survey" xfId="6281"/>
    <cellStyle name="RowTitles1-Detail 2 2 2 2 4 4 4" xfId="6282"/>
    <cellStyle name="RowTitles1-Detail 2 2 2 2 4 4 5" xfId="6283"/>
    <cellStyle name="RowTitles1-Detail 2 2 2 2 4 4 5 2" xfId="6284"/>
    <cellStyle name="RowTitles1-Detail 2 2 2 2 4 4 5_Tertiary Salaries Survey" xfId="6285"/>
    <cellStyle name="RowTitles1-Detail 2 2 2 2 4 4 6" xfId="6286"/>
    <cellStyle name="RowTitles1-Detail 2 2 2 2 4 4_Tertiary Salaries Survey" xfId="6287"/>
    <cellStyle name="RowTitles1-Detail 2 2 2 2 4 5" xfId="6288"/>
    <cellStyle name="RowTitles1-Detail 2 2 2 2 4 5 2" xfId="6289"/>
    <cellStyle name="RowTitles1-Detail 2 2 2 2 4 5 2 2" xfId="6290"/>
    <cellStyle name="RowTitles1-Detail 2 2 2 2 4 5 2 2 2" xfId="6291"/>
    <cellStyle name="RowTitles1-Detail 2 2 2 2 4 5 2 2_Tertiary Salaries Survey" xfId="6292"/>
    <cellStyle name="RowTitles1-Detail 2 2 2 2 4 5 2 3" xfId="6293"/>
    <cellStyle name="RowTitles1-Detail 2 2 2 2 4 5 2_Tertiary Salaries Survey" xfId="6294"/>
    <cellStyle name="RowTitles1-Detail 2 2 2 2 4 5 3" xfId="6295"/>
    <cellStyle name="RowTitles1-Detail 2 2 2 2 4 5 3 2" xfId="6296"/>
    <cellStyle name="RowTitles1-Detail 2 2 2 2 4 5 3 2 2" xfId="6297"/>
    <cellStyle name="RowTitles1-Detail 2 2 2 2 4 5 3 2_Tertiary Salaries Survey" xfId="6298"/>
    <cellStyle name="RowTitles1-Detail 2 2 2 2 4 5 3 3" xfId="6299"/>
    <cellStyle name="RowTitles1-Detail 2 2 2 2 4 5 3_Tertiary Salaries Survey" xfId="6300"/>
    <cellStyle name="RowTitles1-Detail 2 2 2 2 4 5 4" xfId="6301"/>
    <cellStyle name="RowTitles1-Detail 2 2 2 2 4 5 4 2" xfId="6302"/>
    <cellStyle name="RowTitles1-Detail 2 2 2 2 4 5 4_Tertiary Salaries Survey" xfId="6303"/>
    <cellStyle name="RowTitles1-Detail 2 2 2 2 4 5 5" xfId="6304"/>
    <cellStyle name="RowTitles1-Detail 2 2 2 2 4 5_Tertiary Salaries Survey" xfId="6305"/>
    <cellStyle name="RowTitles1-Detail 2 2 2 2 4 6" xfId="6306"/>
    <cellStyle name="RowTitles1-Detail 2 2 2 2 4 6 2" xfId="6307"/>
    <cellStyle name="RowTitles1-Detail 2 2 2 2 4 6 2 2" xfId="6308"/>
    <cellStyle name="RowTitles1-Detail 2 2 2 2 4 6 2 2 2" xfId="6309"/>
    <cellStyle name="RowTitles1-Detail 2 2 2 2 4 6 2 2_Tertiary Salaries Survey" xfId="6310"/>
    <cellStyle name="RowTitles1-Detail 2 2 2 2 4 6 2 3" xfId="6311"/>
    <cellStyle name="RowTitles1-Detail 2 2 2 2 4 6 2_Tertiary Salaries Survey" xfId="6312"/>
    <cellStyle name="RowTitles1-Detail 2 2 2 2 4 6 3" xfId="6313"/>
    <cellStyle name="RowTitles1-Detail 2 2 2 2 4 6 3 2" xfId="6314"/>
    <cellStyle name="RowTitles1-Detail 2 2 2 2 4 6 3 2 2" xfId="6315"/>
    <cellStyle name="RowTitles1-Detail 2 2 2 2 4 6 3 2_Tertiary Salaries Survey" xfId="6316"/>
    <cellStyle name="RowTitles1-Detail 2 2 2 2 4 6 3 3" xfId="6317"/>
    <cellStyle name="RowTitles1-Detail 2 2 2 2 4 6 3_Tertiary Salaries Survey" xfId="6318"/>
    <cellStyle name="RowTitles1-Detail 2 2 2 2 4 6 4" xfId="6319"/>
    <cellStyle name="RowTitles1-Detail 2 2 2 2 4 6 4 2" xfId="6320"/>
    <cellStyle name="RowTitles1-Detail 2 2 2 2 4 6 4_Tertiary Salaries Survey" xfId="6321"/>
    <cellStyle name="RowTitles1-Detail 2 2 2 2 4 6 5" xfId="6322"/>
    <cellStyle name="RowTitles1-Detail 2 2 2 2 4 6_Tertiary Salaries Survey" xfId="6323"/>
    <cellStyle name="RowTitles1-Detail 2 2 2 2 4 7" xfId="6324"/>
    <cellStyle name="RowTitles1-Detail 2 2 2 2 4 7 2" xfId="6325"/>
    <cellStyle name="RowTitles1-Detail 2 2 2 2 4 7 2 2" xfId="6326"/>
    <cellStyle name="RowTitles1-Detail 2 2 2 2 4 7 2_Tertiary Salaries Survey" xfId="6327"/>
    <cellStyle name="RowTitles1-Detail 2 2 2 2 4 7 3" xfId="6328"/>
    <cellStyle name="RowTitles1-Detail 2 2 2 2 4 7_Tertiary Salaries Survey" xfId="6329"/>
    <cellStyle name="RowTitles1-Detail 2 2 2 2 4 8" xfId="6330"/>
    <cellStyle name="RowTitles1-Detail 2 2 2 2 4 9" xfId="6331"/>
    <cellStyle name="RowTitles1-Detail 2 2 2 2 4_STUD aligned by INSTIT" xfId="6332"/>
    <cellStyle name="RowTitles1-Detail 2 2 2 2 5" xfId="6333"/>
    <cellStyle name="RowTitles1-Detail 2 2 2 2 5 2" xfId="6334"/>
    <cellStyle name="RowTitles1-Detail 2 2 2 2 5 2 2" xfId="6335"/>
    <cellStyle name="RowTitles1-Detail 2 2 2 2 5 2 2 2" xfId="6336"/>
    <cellStyle name="RowTitles1-Detail 2 2 2 2 5 2 2_Tertiary Salaries Survey" xfId="6337"/>
    <cellStyle name="RowTitles1-Detail 2 2 2 2 5 2 3" xfId="6338"/>
    <cellStyle name="RowTitles1-Detail 2 2 2 2 5 2_Tertiary Salaries Survey" xfId="6339"/>
    <cellStyle name="RowTitles1-Detail 2 2 2 2 5 3" xfId="6340"/>
    <cellStyle name="RowTitles1-Detail 2 2 2 2 5 3 2" xfId="6341"/>
    <cellStyle name="RowTitles1-Detail 2 2 2 2 5 3 2 2" xfId="6342"/>
    <cellStyle name="RowTitles1-Detail 2 2 2 2 5 3 2_Tertiary Salaries Survey" xfId="6343"/>
    <cellStyle name="RowTitles1-Detail 2 2 2 2 5 3 3" xfId="6344"/>
    <cellStyle name="RowTitles1-Detail 2 2 2 2 5 3_Tertiary Salaries Survey" xfId="6345"/>
    <cellStyle name="RowTitles1-Detail 2 2 2 2 5 4" xfId="6346"/>
    <cellStyle name="RowTitles1-Detail 2 2 2 2 5 5" xfId="6347"/>
    <cellStyle name="RowTitles1-Detail 2 2 2 2 5 5 2" xfId="6348"/>
    <cellStyle name="RowTitles1-Detail 2 2 2 2 5 5_Tertiary Salaries Survey" xfId="6349"/>
    <cellStyle name="RowTitles1-Detail 2 2 2 2 5 6" xfId="6350"/>
    <cellStyle name="RowTitles1-Detail 2 2 2 2 5_Tertiary Salaries Survey" xfId="6351"/>
    <cellStyle name="RowTitles1-Detail 2 2 2 2 6" xfId="6352"/>
    <cellStyle name="RowTitles1-Detail 2 2 2 2 6 2" xfId="6353"/>
    <cellStyle name="RowTitles1-Detail 2 2 2 2 6 2 2" xfId="6354"/>
    <cellStyle name="RowTitles1-Detail 2 2 2 2 6 2 2 2" xfId="6355"/>
    <cellStyle name="RowTitles1-Detail 2 2 2 2 6 2 2_Tertiary Salaries Survey" xfId="6356"/>
    <cellStyle name="RowTitles1-Detail 2 2 2 2 6 2 3" xfId="6357"/>
    <cellStyle name="RowTitles1-Detail 2 2 2 2 6 2_Tertiary Salaries Survey" xfId="6358"/>
    <cellStyle name="RowTitles1-Detail 2 2 2 2 6 3" xfId="6359"/>
    <cellStyle name="RowTitles1-Detail 2 2 2 2 6 3 2" xfId="6360"/>
    <cellStyle name="RowTitles1-Detail 2 2 2 2 6 3 2 2" xfId="6361"/>
    <cellStyle name="RowTitles1-Detail 2 2 2 2 6 3 2_Tertiary Salaries Survey" xfId="6362"/>
    <cellStyle name="RowTitles1-Detail 2 2 2 2 6 3 3" xfId="6363"/>
    <cellStyle name="RowTitles1-Detail 2 2 2 2 6 3_Tertiary Salaries Survey" xfId="6364"/>
    <cellStyle name="RowTitles1-Detail 2 2 2 2 6 4" xfId="6365"/>
    <cellStyle name="RowTitles1-Detail 2 2 2 2 6 5" xfId="6366"/>
    <cellStyle name="RowTitles1-Detail 2 2 2 2 6_Tertiary Salaries Survey" xfId="6367"/>
    <cellStyle name="RowTitles1-Detail 2 2 2 2 7" xfId="6368"/>
    <cellStyle name="RowTitles1-Detail 2 2 2 2 7 2" xfId="6369"/>
    <cellStyle name="RowTitles1-Detail 2 2 2 2 7 2 2" xfId="6370"/>
    <cellStyle name="RowTitles1-Detail 2 2 2 2 7 2 2 2" xfId="6371"/>
    <cellStyle name="RowTitles1-Detail 2 2 2 2 7 2 2_Tertiary Salaries Survey" xfId="6372"/>
    <cellStyle name="RowTitles1-Detail 2 2 2 2 7 2 3" xfId="6373"/>
    <cellStyle name="RowTitles1-Detail 2 2 2 2 7 2_Tertiary Salaries Survey" xfId="6374"/>
    <cellStyle name="RowTitles1-Detail 2 2 2 2 7 3" xfId="6375"/>
    <cellStyle name="RowTitles1-Detail 2 2 2 2 7 3 2" xfId="6376"/>
    <cellStyle name="RowTitles1-Detail 2 2 2 2 7 3 2 2" xfId="6377"/>
    <cellStyle name="RowTitles1-Detail 2 2 2 2 7 3 2_Tertiary Salaries Survey" xfId="6378"/>
    <cellStyle name="RowTitles1-Detail 2 2 2 2 7 3 3" xfId="6379"/>
    <cellStyle name="RowTitles1-Detail 2 2 2 2 7 3_Tertiary Salaries Survey" xfId="6380"/>
    <cellStyle name="RowTitles1-Detail 2 2 2 2 7 4" xfId="6381"/>
    <cellStyle name="RowTitles1-Detail 2 2 2 2 7 5" xfId="6382"/>
    <cellStyle name="RowTitles1-Detail 2 2 2 2 7 5 2" xfId="6383"/>
    <cellStyle name="RowTitles1-Detail 2 2 2 2 7 5_Tertiary Salaries Survey" xfId="6384"/>
    <cellStyle name="RowTitles1-Detail 2 2 2 2 7 6" xfId="6385"/>
    <cellStyle name="RowTitles1-Detail 2 2 2 2 7_Tertiary Salaries Survey" xfId="6386"/>
    <cellStyle name="RowTitles1-Detail 2 2 2 2 8" xfId="6387"/>
    <cellStyle name="RowTitles1-Detail 2 2 2 2 8 2" xfId="6388"/>
    <cellStyle name="RowTitles1-Detail 2 2 2 2 8 2 2" xfId="6389"/>
    <cellStyle name="RowTitles1-Detail 2 2 2 2 8 2 2 2" xfId="6390"/>
    <cellStyle name="RowTitles1-Detail 2 2 2 2 8 2 2_Tertiary Salaries Survey" xfId="6391"/>
    <cellStyle name="RowTitles1-Detail 2 2 2 2 8 2 3" xfId="6392"/>
    <cellStyle name="RowTitles1-Detail 2 2 2 2 8 2_Tertiary Salaries Survey" xfId="6393"/>
    <cellStyle name="RowTitles1-Detail 2 2 2 2 8 3" xfId="6394"/>
    <cellStyle name="RowTitles1-Detail 2 2 2 2 8 3 2" xfId="6395"/>
    <cellStyle name="RowTitles1-Detail 2 2 2 2 8 3 2 2" xfId="6396"/>
    <cellStyle name="RowTitles1-Detail 2 2 2 2 8 3 2_Tertiary Salaries Survey" xfId="6397"/>
    <cellStyle name="RowTitles1-Detail 2 2 2 2 8 3 3" xfId="6398"/>
    <cellStyle name="RowTitles1-Detail 2 2 2 2 8 3_Tertiary Salaries Survey" xfId="6399"/>
    <cellStyle name="RowTitles1-Detail 2 2 2 2 8 4" xfId="6400"/>
    <cellStyle name="RowTitles1-Detail 2 2 2 2 8 4 2" xfId="6401"/>
    <cellStyle name="RowTitles1-Detail 2 2 2 2 8 4_Tertiary Salaries Survey" xfId="6402"/>
    <cellStyle name="RowTitles1-Detail 2 2 2 2 8 5" xfId="6403"/>
    <cellStyle name="RowTitles1-Detail 2 2 2 2 8_Tertiary Salaries Survey" xfId="6404"/>
    <cellStyle name="RowTitles1-Detail 2 2 2 2 9" xfId="6405"/>
    <cellStyle name="RowTitles1-Detail 2 2 2 2 9 2" xfId="6406"/>
    <cellStyle name="RowTitles1-Detail 2 2 2 2 9 2 2" xfId="6407"/>
    <cellStyle name="RowTitles1-Detail 2 2 2 2 9 2 2 2" xfId="6408"/>
    <cellStyle name="RowTitles1-Detail 2 2 2 2 9 2 2_Tertiary Salaries Survey" xfId="6409"/>
    <cellStyle name="RowTitles1-Detail 2 2 2 2 9 2 3" xfId="6410"/>
    <cellStyle name="RowTitles1-Detail 2 2 2 2 9 2_Tertiary Salaries Survey" xfId="6411"/>
    <cellStyle name="RowTitles1-Detail 2 2 2 2 9 3" xfId="6412"/>
    <cellStyle name="RowTitles1-Detail 2 2 2 2 9 3 2" xfId="6413"/>
    <cellStyle name="RowTitles1-Detail 2 2 2 2 9 3 2 2" xfId="6414"/>
    <cellStyle name="RowTitles1-Detail 2 2 2 2 9 3 2_Tertiary Salaries Survey" xfId="6415"/>
    <cellStyle name="RowTitles1-Detail 2 2 2 2 9 3 3" xfId="6416"/>
    <cellStyle name="RowTitles1-Detail 2 2 2 2 9 3_Tertiary Salaries Survey" xfId="6417"/>
    <cellStyle name="RowTitles1-Detail 2 2 2 2 9 4" xfId="6418"/>
    <cellStyle name="RowTitles1-Detail 2 2 2 2 9 4 2" xfId="6419"/>
    <cellStyle name="RowTitles1-Detail 2 2 2 2 9 4_Tertiary Salaries Survey" xfId="6420"/>
    <cellStyle name="RowTitles1-Detail 2 2 2 2 9 5" xfId="6421"/>
    <cellStyle name="RowTitles1-Detail 2 2 2 2 9_Tertiary Salaries Survey" xfId="6422"/>
    <cellStyle name="RowTitles1-Detail 2 2 2 2_STUD aligned by INSTIT" xfId="6423"/>
    <cellStyle name="RowTitles1-Detail 2 2 2 3" xfId="6424"/>
    <cellStyle name="RowTitles1-Detail 2 2 2 3 2" xfId="6425"/>
    <cellStyle name="RowTitles1-Detail 2 2 2 3 2 2" xfId="6426"/>
    <cellStyle name="RowTitles1-Detail 2 2 2 3 2 2 2" xfId="6427"/>
    <cellStyle name="RowTitles1-Detail 2 2 2 3 2 2 2 2" xfId="6428"/>
    <cellStyle name="RowTitles1-Detail 2 2 2 3 2 2 2_Tertiary Salaries Survey" xfId="6429"/>
    <cellStyle name="RowTitles1-Detail 2 2 2 3 2 2 3" xfId="6430"/>
    <cellStyle name="RowTitles1-Detail 2 2 2 3 2 2_Tertiary Salaries Survey" xfId="6431"/>
    <cellStyle name="RowTitles1-Detail 2 2 2 3 2 3" xfId="6432"/>
    <cellStyle name="RowTitles1-Detail 2 2 2 3 2 3 2" xfId="6433"/>
    <cellStyle name="RowTitles1-Detail 2 2 2 3 2 3 2 2" xfId="6434"/>
    <cellStyle name="RowTitles1-Detail 2 2 2 3 2 3 2_Tertiary Salaries Survey" xfId="6435"/>
    <cellStyle name="RowTitles1-Detail 2 2 2 3 2 3 3" xfId="6436"/>
    <cellStyle name="RowTitles1-Detail 2 2 2 3 2 3_Tertiary Salaries Survey" xfId="6437"/>
    <cellStyle name="RowTitles1-Detail 2 2 2 3 2 4" xfId="6438"/>
    <cellStyle name="RowTitles1-Detail 2 2 2 3 2 5" xfId="6439"/>
    <cellStyle name="RowTitles1-Detail 2 2 2 3 2_Tertiary Salaries Survey" xfId="6440"/>
    <cellStyle name="RowTitles1-Detail 2 2 2 3 3" xfId="6441"/>
    <cellStyle name="RowTitles1-Detail 2 2 2 3 3 2" xfId="6442"/>
    <cellStyle name="RowTitles1-Detail 2 2 2 3 3 2 2" xfId="6443"/>
    <cellStyle name="RowTitles1-Detail 2 2 2 3 3 2 2 2" xfId="6444"/>
    <cellStyle name="RowTitles1-Detail 2 2 2 3 3 2 2_Tertiary Salaries Survey" xfId="6445"/>
    <cellStyle name="RowTitles1-Detail 2 2 2 3 3 2 3" xfId="6446"/>
    <cellStyle name="RowTitles1-Detail 2 2 2 3 3 2_Tertiary Salaries Survey" xfId="6447"/>
    <cellStyle name="RowTitles1-Detail 2 2 2 3 3 3" xfId="6448"/>
    <cellStyle name="RowTitles1-Detail 2 2 2 3 3 3 2" xfId="6449"/>
    <cellStyle name="RowTitles1-Detail 2 2 2 3 3 3 2 2" xfId="6450"/>
    <cellStyle name="RowTitles1-Detail 2 2 2 3 3 3 2_Tertiary Salaries Survey" xfId="6451"/>
    <cellStyle name="RowTitles1-Detail 2 2 2 3 3 3 3" xfId="6452"/>
    <cellStyle name="RowTitles1-Detail 2 2 2 3 3 3_Tertiary Salaries Survey" xfId="6453"/>
    <cellStyle name="RowTitles1-Detail 2 2 2 3 3 4" xfId="6454"/>
    <cellStyle name="RowTitles1-Detail 2 2 2 3 3 5" xfId="6455"/>
    <cellStyle name="RowTitles1-Detail 2 2 2 3 3 5 2" xfId="6456"/>
    <cellStyle name="RowTitles1-Detail 2 2 2 3 3 5_Tertiary Salaries Survey" xfId="6457"/>
    <cellStyle name="RowTitles1-Detail 2 2 2 3 3 6" xfId="6458"/>
    <cellStyle name="RowTitles1-Detail 2 2 2 3 3_Tertiary Salaries Survey" xfId="6459"/>
    <cellStyle name="RowTitles1-Detail 2 2 2 3 4" xfId="6460"/>
    <cellStyle name="RowTitles1-Detail 2 2 2 3 4 2" xfId="6461"/>
    <cellStyle name="RowTitles1-Detail 2 2 2 3 4 2 2" xfId="6462"/>
    <cellStyle name="RowTitles1-Detail 2 2 2 3 4 2 2 2" xfId="6463"/>
    <cellStyle name="RowTitles1-Detail 2 2 2 3 4 2 2_Tertiary Salaries Survey" xfId="6464"/>
    <cellStyle name="RowTitles1-Detail 2 2 2 3 4 2 3" xfId="6465"/>
    <cellStyle name="RowTitles1-Detail 2 2 2 3 4 2_Tertiary Salaries Survey" xfId="6466"/>
    <cellStyle name="RowTitles1-Detail 2 2 2 3 4 3" xfId="6467"/>
    <cellStyle name="RowTitles1-Detail 2 2 2 3 4 3 2" xfId="6468"/>
    <cellStyle name="RowTitles1-Detail 2 2 2 3 4 3 2 2" xfId="6469"/>
    <cellStyle name="RowTitles1-Detail 2 2 2 3 4 3 2_Tertiary Salaries Survey" xfId="6470"/>
    <cellStyle name="RowTitles1-Detail 2 2 2 3 4 3 3" xfId="6471"/>
    <cellStyle name="RowTitles1-Detail 2 2 2 3 4 3_Tertiary Salaries Survey" xfId="6472"/>
    <cellStyle name="RowTitles1-Detail 2 2 2 3 4 4" xfId="6473"/>
    <cellStyle name="RowTitles1-Detail 2 2 2 3 4 4 2" xfId="6474"/>
    <cellStyle name="RowTitles1-Detail 2 2 2 3 4 4_Tertiary Salaries Survey" xfId="6475"/>
    <cellStyle name="RowTitles1-Detail 2 2 2 3 4 5" xfId="6476"/>
    <cellStyle name="RowTitles1-Detail 2 2 2 3 4_Tertiary Salaries Survey" xfId="6477"/>
    <cellStyle name="RowTitles1-Detail 2 2 2 3 5" xfId="6478"/>
    <cellStyle name="RowTitles1-Detail 2 2 2 3 5 2" xfId="6479"/>
    <cellStyle name="RowTitles1-Detail 2 2 2 3 5 2 2" xfId="6480"/>
    <cellStyle name="RowTitles1-Detail 2 2 2 3 5 2 2 2" xfId="6481"/>
    <cellStyle name="RowTitles1-Detail 2 2 2 3 5 2 2_Tertiary Salaries Survey" xfId="6482"/>
    <cellStyle name="RowTitles1-Detail 2 2 2 3 5 2 3" xfId="6483"/>
    <cellStyle name="RowTitles1-Detail 2 2 2 3 5 2_Tertiary Salaries Survey" xfId="6484"/>
    <cellStyle name="RowTitles1-Detail 2 2 2 3 5 3" xfId="6485"/>
    <cellStyle name="RowTitles1-Detail 2 2 2 3 5 3 2" xfId="6486"/>
    <cellStyle name="RowTitles1-Detail 2 2 2 3 5 3 2 2" xfId="6487"/>
    <cellStyle name="RowTitles1-Detail 2 2 2 3 5 3 2_Tertiary Salaries Survey" xfId="6488"/>
    <cellStyle name="RowTitles1-Detail 2 2 2 3 5 3 3" xfId="6489"/>
    <cellStyle name="RowTitles1-Detail 2 2 2 3 5 3_Tertiary Salaries Survey" xfId="6490"/>
    <cellStyle name="RowTitles1-Detail 2 2 2 3 5 4" xfId="6491"/>
    <cellStyle name="RowTitles1-Detail 2 2 2 3 5 4 2" xfId="6492"/>
    <cellStyle name="RowTitles1-Detail 2 2 2 3 5 4_Tertiary Salaries Survey" xfId="6493"/>
    <cellStyle name="RowTitles1-Detail 2 2 2 3 5 5" xfId="6494"/>
    <cellStyle name="RowTitles1-Detail 2 2 2 3 5_Tertiary Salaries Survey" xfId="6495"/>
    <cellStyle name="RowTitles1-Detail 2 2 2 3 6" xfId="6496"/>
    <cellStyle name="RowTitles1-Detail 2 2 2 3 6 2" xfId="6497"/>
    <cellStyle name="RowTitles1-Detail 2 2 2 3 6 2 2" xfId="6498"/>
    <cellStyle name="RowTitles1-Detail 2 2 2 3 6 2 2 2" xfId="6499"/>
    <cellStyle name="RowTitles1-Detail 2 2 2 3 6 2 2_Tertiary Salaries Survey" xfId="6500"/>
    <cellStyle name="RowTitles1-Detail 2 2 2 3 6 2 3" xfId="6501"/>
    <cellStyle name="RowTitles1-Detail 2 2 2 3 6 2_Tertiary Salaries Survey" xfId="6502"/>
    <cellStyle name="RowTitles1-Detail 2 2 2 3 6 3" xfId="6503"/>
    <cellStyle name="RowTitles1-Detail 2 2 2 3 6 3 2" xfId="6504"/>
    <cellStyle name="RowTitles1-Detail 2 2 2 3 6 3 2 2" xfId="6505"/>
    <cellStyle name="RowTitles1-Detail 2 2 2 3 6 3 2_Tertiary Salaries Survey" xfId="6506"/>
    <cellStyle name="RowTitles1-Detail 2 2 2 3 6 3 3" xfId="6507"/>
    <cellStyle name="RowTitles1-Detail 2 2 2 3 6 3_Tertiary Salaries Survey" xfId="6508"/>
    <cellStyle name="RowTitles1-Detail 2 2 2 3 6 4" xfId="6509"/>
    <cellStyle name="RowTitles1-Detail 2 2 2 3 6 4 2" xfId="6510"/>
    <cellStyle name="RowTitles1-Detail 2 2 2 3 6 4_Tertiary Salaries Survey" xfId="6511"/>
    <cellStyle name="RowTitles1-Detail 2 2 2 3 6 5" xfId="6512"/>
    <cellStyle name="RowTitles1-Detail 2 2 2 3 6_Tertiary Salaries Survey" xfId="6513"/>
    <cellStyle name="RowTitles1-Detail 2 2 2 3 7" xfId="6514"/>
    <cellStyle name="RowTitles1-Detail 2 2 2 3 7 2" xfId="6515"/>
    <cellStyle name="RowTitles1-Detail 2 2 2 3 7 2 2" xfId="6516"/>
    <cellStyle name="RowTitles1-Detail 2 2 2 3 7 2_Tertiary Salaries Survey" xfId="6517"/>
    <cellStyle name="RowTitles1-Detail 2 2 2 3 7 3" xfId="6518"/>
    <cellStyle name="RowTitles1-Detail 2 2 2 3 7_Tertiary Salaries Survey" xfId="6519"/>
    <cellStyle name="RowTitles1-Detail 2 2 2 3 8" xfId="6520"/>
    <cellStyle name="RowTitles1-Detail 2 2 2 3 9" xfId="6521"/>
    <cellStyle name="RowTitles1-Detail 2 2 2 3_STUD aligned by INSTIT" xfId="6522"/>
    <cellStyle name="RowTitles1-Detail 2 2 2 4" xfId="6523"/>
    <cellStyle name="RowTitles1-Detail 2 2 2 4 2" xfId="6524"/>
    <cellStyle name="RowTitles1-Detail 2 2 2 4 2 2" xfId="6525"/>
    <cellStyle name="RowTitles1-Detail 2 2 2 4 2 2 2" xfId="6526"/>
    <cellStyle name="RowTitles1-Detail 2 2 2 4 2 2 2 2" xfId="6527"/>
    <cellStyle name="RowTitles1-Detail 2 2 2 4 2 2 2_Tertiary Salaries Survey" xfId="6528"/>
    <cellStyle name="RowTitles1-Detail 2 2 2 4 2 2 3" xfId="6529"/>
    <cellStyle name="RowTitles1-Detail 2 2 2 4 2 2_Tertiary Salaries Survey" xfId="6530"/>
    <cellStyle name="RowTitles1-Detail 2 2 2 4 2 3" xfId="6531"/>
    <cellStyle name="RowTitles1-Detail 2 2 2 4 2 3 2" xfId="6532"/>
    <cellStyle name="RowTitles1-Detail 2 2 2 4 2 3 2 2" xfId="6533"/>
    <cellStyle name="RowTitles1-Detail 2 2 2 4 2 3 2_Tertiary Salaries Survey" xfId="6534"/>
    <cellStyle name="RowTitles1-Detail 2 2 2 4 2 3 3" xfId="6535"/>
    <cellStyle name="RowTitles1-Detail 2 2 2 4 2 3_Tertiary Salaries Survey" xfId="6536"/>
    <cellStyle name="RowTitles1-Detail 2 2 2 4 2 4" xfId="6537"/>
    <cellStyle name="RowTitles1-Detail 2 2 2 4 2 5" xfId="6538"/>
    <cellStyle name="RowTitles1-Detail 2 2 2 4 2 5 2" xfId="6539"/>
    <cellStyle name="RowTitles1-Detail 2 2 2 4 2 5_Tertiary Salaries Survey" xfId="6540"/>
    <cellStyle name="RowTitles1-Detail 2 2 2 4 2 6" xfId="6541"/>
    <cellStyle name="RowTitles1-Detail 2 2 2 4 2_Tertiary Salaries Survey" xfId="6542"/>
    <cellStyle name="RowTitles1-Detail 2 2 2 4 3" xfId="6543"/>
    <cellStyle name="RowTitles1-Detail 2 2 2 4 3 2" xfId="6544"/>
    <cellStyle name="RowTitles1-Detail 2 2 2 4 3 2 2" xfId="6545"/>
    <cellStyle name="RowTitles1-Detail 2 2 2 4 3 2 2 2" xfId="6546"/>
    <cellStyle name="RowTitles1-Detail 2 2 2 4 3 2 2_Tertiary Salaries Survey" xfId="6547"/>
    <cellStyle name="RowTitles1-Detail 2 2 2 4 3 2 3" xfId="6548"/>
    <cellStyle name="RowTitles1-Detail 2 2 2 4 3 2_Tertiary Salaries Survey" xfId="6549"/>
    <cellStyle name="RowTitles1-Detail 2 2 2 4 3 3" xfId="6550"/>
    <cellStyle name="RowTitles1-Detail 2 2 2 4 3 3 2" xfId="6551"/>
    <cellStyle name="RowTitles1-Detail 2 2 2 4 3 3 2 2" xfId="6552"/>
    <cellStyle name="RowTitles1-Detail 2 2 2 4 3 3 2_Tertiary Salaries Survey" xfId="6553"/>
    <cellStyle name="RowTitles1-Detail 2 2 2 4 3 3 3" xfId="6554"/>
    <cellStyle name="RowTitles1-Detail 2 2 2 4 3 3_Tertiary Salaries Survey" xfId="6555"/>
    <cellStyle name="RowTitles1-Detail 2 2 2 4 3 4" xfId="6556"/>
    <cellStyle name="RowTitles1-Detail 2 2 2 4 3 5" xfId="6557"/>
    <cellStyle name="RowTitles1-Detail 2 2 2 4 3_Tertiary Salaries Survey" xfId="6558"/>
    <cellStyle name="RowTitles1-Detail 2 2 2 4 4" xfId="6559"/>
    <cellStyle name="RowTitles1-Detail 2 2 2 4 4 2" xfId="6560"/>
    <cellStyle name="RowTitles1-Detail 2 2 2 4 4 2 2" xfId="6561"/>
    <cellStyle name="RowTitles1-Detail 2 2 2 4 4 2 2 2" xfId="6562"/>
    <cellStyle name="RowTitles1-Detail 2 2 2 4 4 2 2_Tertiary Salaries Survey" xfId="6563"/>
    <cellStyle name="RowTitles1-Detail 2 2 2 4 4 2 3" xfId="6564"/>
    <cellStyle name="RowTitles1-Detail 2 2 2 4 4 2_Tertiary Salaries Survey" xfId="6565"/>
    <cellStyle name="RowTitles1-Detail 2 2 2 4 4 3" xfId="6566"/>
    <cellStyle name="RowTitles1-Detail 2 2 2 4 4 3 2" xfId="6567"/>
    <cellStyle name="RowTitles1-Detail 2 2 2 4 4 3 2 2" xfId="6568"/>
    <cellStyle name="RowTitles1-Detail 2 2 2 4 4 3 2_Tertiary Salaries Survey" xfId="6569"/>
    <cellStyle name="RowTitles1-Detail 2 2 2 4 4 3 3" xfId="6570"/>
    <cellStyle name="RowTitles1-Detail 2 2 2 4 4 3_Tertiary Salaries Survey" xfId="6571"/>
    <cellStyle name="RowTitles1-Detail 2 2 2 4 4 4" xfId="6572"/>
    <cellStyle name="RowTitles1-Detail 2 2 2 4 4 4 2" xfId="6573"/>
    <cellStyle name="RowTitles1-Detail 2 2 2 4 4 4_Tertiary Salaries Survey" xfId="6574"/>
    <cellStyle name="RowTitles1-Detail 2 2 2 4 4 5" xfId="6575"/>
    <cellStyle name="RowTitles1-Detail 2 2 2 4 4_Tertiary Salaries Survey" xfId="6576"/>
    <cellStyle name="RowTitles1-Detail 2 2 2 4 5" xfId="6577"/>
    <cellStyle name="RowTitles1-Detail 2 2 2 4 5 2" xfId="6578"/>
    <cellStyle name="RowTitles1-Detail 2 2 2 4 5 2 2" xfId="6579"/>
    <cellStyle name="RowTitles1-Detail 2 2 2 4 5 2 2 2" xfId="6580"/>
    <cellStyle name="RowTitles1-Detail 2 2 2 4 5 2 2_Tertiary Salaries Survey" xfId="6581"/>
    <cellStyle name="RowTitles1-Detail 2 2 2 4 5 2 3" xfId="6582"/>
    <cellStyle name="RowTitles1-Detail 2 2 2 4 5 2_Tertiary Salaries Survey" xfId="6583"/>
    <cellStyle name="RowTitles1-Detail 2 2 2 4 5 3" xfId="6584"/>
    <cellStyle name="RowTitles1-Detail 2 2 2 4 5 3 2" xfId="6585"/>
    <cellStyle name="RowTitles1-Detail 2 2 2 4 5 3 2 2" xfId="6586"/>
    <cellStyle name="RowTitles1-Detail 2 2 2 4 5 3 2_Tertiary Salaries Survey" xfId="6587"/>
    <cellStyle name="RowTitles1-Detail 2 2 2 4 5 3 3" xfId="6588"/>
    <cellStyle name="RowTitles1-Detail 2 2 2 4 5 3_Tertiary Salaries Survey" xfId="6589"/>
    <cellStyle name="RowTitles1-Detail 2 2 2 4 5 4" xfId="6590"/>
    <cellStyle name="RowTitles1-Detail 2 2 2 4 5 4 2" xfId="6591"/>
    <cellStyle name="RowTitles1-Detail 2 2 2 4 5 4_Tertiary Salaries Survey" xfId="6592"/>
    <cellStyle name="RowTitles1-Detail 2 2 2 4 5 5" xfId="6593"/>
    <cellStyle name="RowTitles1-Detail 2 2 2 4 5_Tertiary Salaries Survey" xfId="6594"/>
    <cellStyle name="RowTitles1-Detail 2 2 2 4 6" xfId="6595"/>
    <cellStyle name="RowTitles1-Detail 2 2 2 4 6 2" xfId="6596"/>
    <cellStyle name="RowTitles1-Detail 2 2 2 4 6 2 2" xfId="6597"/>
    <cellStyle name="RowTitles1-Detail 2 2 2 4 6 2 2 2" xfId="6598"/>
    <cellStyle name="RowTitles1-Detail 2 2 2 4 6 2 2_Tertiary Salaries Survey" xfId="6599"/>
    <cellStyle name="RowTitles1-Detail 2 2 2 4 6 2 3" xfId="6600"/>
    <cellStyle name="RowTitles1-Detail 2 2 2 4 6 2_Tertiary Salaries Survey" xfId="6601"/>
    <cellStyle name="RowTitles1-Detail 2 2 2 4 6 3" xfId="6602"/>
    <cellStyle name="RowTitles1-Detail 2 2 2 4 6 3 2" xfId="6603"/>
    <cellStyle name="RowTitles1-Detail 2 2 2 4 6 3 2 2" xfId="6604"/>
    <cellStyle name="RowTitles1-Detail 2 2 2 4 6 3 2_Tertiary Salaries Survey" xfId="6605"/>
    <cellStyle name="RowTitles1-Detail 2 2 2 4 6 3 3" xfId="6606"/>
    <cellStyle name="RowTitles1-Detail 2 2 2 4 6 3_Tertiary Salaries Survey" xfId="6607"/>
    <cellStyle name="RowTitles1-Detail 2 2 2 4 6 4" xfId="6608"/>
    <cellStyle name="RowTitles1-Detail 2 2 2 4 6 4 2" xfId="6609"/>
    <cellStyle name="RowTitles1-Detail 2 2 2 4 6 4_Tertiary Salaries Survey" xfId="6610"/>
    <cellStyle name="RowTitles1-Detail 2 2 2 4 6 5" xfId="6611"/>
    <cellStyle name="RowTitles1-Detail 2 2 2 4 6_Tertiary Salaries Survey" xfId="6612"/>
    <cellStyle name="RowTitles1-Detail 2 2 2 4 7" xfId="6613"/>
    <cellStyle name="RowTitles1-Detail 2 2 2 4 7 2" xfId="6614"/>
    <cellStyle name="RowTitles1-Detail 2 2 2 4 7 2 2" xfId="6615"/>
    <cellStyle name="RowTitles1-Detail 2 2 2 4 7 2_Tertiary Salaries Survey" xfId="6616"/>
    <cellStyle name="RowTitles1-Detail 2 2 2 4 7 3" xfId="6617"/>
    <cellStyle name="RowTitles1-Detail 2 2 2 4 7_Tertiary Salaries Survey" xfId="6618"/>
    <cellStyle name="RowTitles1-Detail 2 2 2 4 8" xfId="6619"/>
    <cellStyle name="RowTitles1-Detail 2 2 2 4 8 2" xfId="6620"/>
    <cellStyle name="RowTitles1-Detail 2 2 2 4 8 2 2" xfId="6621"/>
    <cellStyle name="RowTitles1-Detail 2 2 2 4 8 2_Tertiary Salaries Survey" xfId="6622"/>
    <cellStyle name="RowTitles1-Detail 2 2 2 4 8 3" xfId="6623"/>
    <cellStyle name="RowTitles1-Detail 2 2 2 4 8_Tertiary Salaries Survey" xfId="6624"/>
    <cellStyle name="RowTitles1-Detail 2 2 2 4 9" xfId="6625"/>
    <cellStyle name="RowTitles1-Detail 2 2 2 4_STUD aligned by INSTIT" xfId="6626"/>
    <cellStyle name="RowTitles1-Detail 2 2 2 5" xfId="6627"/>
    <cellStyle name="RowTitles1-Detail 2 2 2 5 2" xfId="6628"/>
    <cellStyle name="RowTitles1-Detail 2 2 2 5 2 2" xfId="6629"/>
    <cellStyle name="RowTitles1-Detail 2 2 2 5 2 2 2" xfId="6630"/>
    <cellStyle name="RowTitles1-Detail 2 2 2 5 2 2 2 2" xfId="6631"/>
    <cellStyle name="RowTitles1-Detail 2 2 2 5 2 2 2_Tertiary Salaries Survey" xfId="6632"/>
    <cellStyle name="RowTitles1-Detail 2 2 2 5 2 2 3" xfId="6633"/>
    <cellStyle name="RowTitles1-Detail 2 2 2 5 2 2_Tertiary Salaries Survey" xfId="6634"/>
    <cellStyle name="RowTitles1-Detail 2 2 2 5 2 3" xfId="6635"/>
    <cellStyle name="RowTitles1-Detail 2 2 2 5 2 3 2" xfId="6636"/>
    <cellStyle name="RowTitles1-Detail 2 2 2 5 2 3 2 2" xfId="6637"/>
    <cellStyle name="RowTitles1-Detail 2 2 2 5 2 3 2_Tertiary Salaries Survey" xfId="6638"/>
    <cellStyle name="RowTitles1-Detail 2 2 2 5 2 3 3" xfId="6639"/>
    <cellStyle name="RowTitles1-Detail 2 2 2 5 2 3_Tertiary Salaries Survey" xfId="6640"/>
    <cellStyle name="RowTitles1-Detail 2 2 2 5 2 4" xfId="6641"/>
    <cellStyle name="RowTitles1-Detail 2 2 2 5 2 5" xfId="6642"/>
    <cellStyle name="RowTitles1-Detail 2 2 2 5 2 5 2" xfId="6643"/>
    <cellStyle name="RowTitles1-Detail 2 2 2 5 2 5_Tertiary Salaries Survey" xfId="6644"/>
    <cellStyle name="RowTitles1-Detail 2 2 2 5 2 6" xfId="6645"/>
    <cellStyle name="RowTitles1-Detail 2 2 2 5 2_Tertiary Salaries Survey" xfId="6646"/>
    <cellStyle name="RowTitles1-Detail 2 2 2 5 3" xfId="6647"/>
    <cellStyle name="RowTitles1-Detail 2 2 2 5 3 2" xfId="6648"/>
    <cellStyle name="RowTitles1-Detail 2 2 2 5 3 2 2" xfId="6649"/>
    <cellStyle name="RowTitles1-Detail 2 2 2 5 3 2 2 2" xfId="6650"/>
    <cellStyle name="RowTitles1-Detail 2 2 2 5 3 2 2_Tertiary Salaries Survey" xfId="6651"/>
    <cellStyle name="RowTitles1-Detail 2 2 2 5 3 2 3" xfId="6652"/>
    <cellStyle name="RowTitles1-Detail 2 2 2 5 3 2_Tertiary Salaries Survey" xfId="6653"/>
    <cellStyle name="RowTitles1-Detail 2 2 2 5 3 3" xfId="6654"/>
    <cellStyle name="RowTitles1-Detail 2 2 2 5 3 3 2" xfId="6655"/>
    <cellStyle name="RowTitles1-Detail 2 2 2 5 3 3 2 2" xfId="6656"/>
    <cellStyle name="RowTitles1-Detail 2 2 2 5 3 3 2_Tertiary Salaries Survey" xfId="6657"/>
    <cellStyle name="RowTitles1-Detail 2 2 2 5 3 3 3" xfId="6658"/>
    <cellStyle name="RowTitles1-Detail 2 2 2 5 3 3_Tertiary Salaries Survey" xfId="6659"/>
    <cellStyle name="RowTitles1-Detail 2 2 2 5 3 4" xfId="6660"/>
    <cellStyle name="RowTitles1-Detail 2 2 2 5 3 5" xfId="6661"/>
    <cellStyle name="RowTitles1-Detail 2 2 2 5 3_Tertiary Salaries Survey" xfId="6662"/>
    <cellStyle name="RowTitles1-Detail 2 2 2 5 4" xfId="6663"/>
    <cellStyle name="RowTitles1-Detail 2 2 2 5 4 2" xfId="6664"/>
    <cellStyle name="RowTitles1-Detail 2 2 2 5 4 2 2" xfId="6665"/>
    <cellStyle name="RowTitles1-Detail 2 2 2 5 4 2 2 2" xfId="6666"/>
    <cellStyle name="RowTitles1-Detail 2 2 2 5 4 2 2_Tertiary Salaries Survey" xfId="6667"/>
    <cellStyle name="RowTitles1-Detail 2 2 2 5 4 2 3" xfId="6668"/>
    <cellStyle name="RowTitles1-Detail 2 2 2 5 4 2_Tertiary Salaries Survey" xfId="6669"/>
    <cellStyle name="RowTitles1-Detail 2 2 2 5 4 3" xfId="6670"/>
    <cellStyle name="RowTitles1-Detail 2 2 2 5 4 3 2" xfId="6671"/>
    <cellStyle name="RowTitles1-Detail 2 2 2 5 4 3 2 2" xfId="6672"/>
    <cellStyle name="RowTitles1-Detail 2 2 2 5 4 3 2_Tertiary Salaries Survey" xfId="6673"/>
    <cellStyle name="RowTitles1-Detail 2 2 2 5 4 3 3" xfId="6674"/>
    <cellStyle name="RowTitles1-Detail 2 2 2 5 4 3_Tertiary Salaries Survey" xfId="6675"/>
    <cellStyle name="RowTitles1-Detail 2 2 2 5 4 4" xfId="6676"/>
    <cellStyle name="RowTitles1-Detail 2 2 2 5 4 5" xfId="6677"/>
    <cellStyle name="RowTitles1-Detail 2 2 2 5 4 5 2" xfId="6678"/>
    <cellStyle name="RowTitles1-Detail 2 2 2 5 4 5_Tertiary Salaries Survey" xfId="6679"/>
    <cellStyle name="RowTitles1-Detail 2 2 2 5 4 6" xfId="6680"/>
    <cellStyle name="RowTitles1-Detail 2 2 2 5 4_Tertiary Salaries Survey" xfId="6681"/>
    <cellStyle name="RowTitles1-Detail 2 2 2 5 5" xfId="6682"/>
    <cellStyle name="RowTitles1-Detail 2 2 2 5 5 2" xfId="6683"/>
    <cellStyle name="RowTitles1-Detail 2 2 2 5 5 2 2" xfId="6684"/>
    <cellStyle name="RowTitles1-Detail 2 2 2 5 5 2 2 2" xfId="6685"/>
    <cellStyle name="RowTitles1-Detail 2 2 2 5 5 2 2_Tertiary Salaries Survey" xfId="6686"/>
    <cellStyle name="RowTitles1-Detail 2 2 2 5 5 2 3" xfId="6687"/>
    <cellStyle name="RowTitles1-Detail 2 2 2 5 5 2_Tertiary Salaries Survey" xfId="6688"/>
    <cellStyle name="RowTitles1-Detail 2 2 2 5 5 3" xfId="6689"/>
    <cellStyle name="RowTitles1-Detail 2 2 2 5 5 3 2" xfId="6690"/>
    <cellStyle name="RowTitles1-Detail 2 2 2 5 5 3 2 2" xfId="6691"/>
    <cellStyle name="RowTitles1-Detail 2 2 2 5 5 3 2_Tertiary Salaries Survey" xfId="6692"/>
    <cellStyle name="RowTitles1-Detail 2 2 2 5 5 3 3" xfId="6693"/>
    <cellStyle name="RowTitles1-Detail 2 2 2 5 5 3_Tertiary Salaries Survey" xfId="6694"/>
    <cellStyle name="RowTitles1-Detail 2 2 2 5 5 4" xfId="6695"/>
    <cellStyle name="RowTitles1-Detail 2 2 2 5 5 4 2" xfId="6696"/>
    <cellStyle name="RowTitles1-Detail 2 2 2 5 5 4_Tertiary Salaries Survey" xfId="6697"/>
    <cellStyle name="RowTitles1-Detail 2 2 2 5 5 5" xfId="6698"/>
    <cellStyle name="RowTitles1-Detail 2 2 2 5 5_Tertiary Salaries Survey" xfId="6699"/>
    <cellStyle name="RowTitles1-Detail 2 2 2 5 6" xfId="6700"/>
    <cellStyle name="RowTitles1-Detail 2 2 2 5 6 2" xfId="6701"/>
    <cellStyle name="RowTitles1-Detail 2 2 2 5 6 2 2" xfId="6702"/>
    <cellStyle name="RowTitles1-Detail 2 2 2 5 6 2 2 2" xfId="6703"/>
    <cellStyle name="RowTitles1-Detail 2 2 2 5 6 2 2_Tertiary Salaries Survey" xfId="6704"/>
    <cellStyle name="RowTitles1-Detail 2 2 2 5 6 2 3" xfId="6705"/>
    <cellStyle name="RowTitles1-Detail 2 2 2 5 6 2_Tertiary Salaries Survey" xfId="6706"/>
    <cellStyle name="RowTitles1-Detail 2 2 2 5 6 3" xfId="6707"/>
    <cellStyle name="RowTitles1-Detail 2 2 2 5 6 3 2" xfId="6708"/>
    <cellStyle name="RowTitles1-Detail 2 2 2 5 6 3 2 2" xfId="6709"/>
    <cellStyle name="RowTitles1-Detail 2 2 2 5 6 3 2_Tertiary Salaries Survey" xfId="6710"/>
    <cellStyle name="RowTitles1-Detail 2 2 2 5 6 3 3" xfId="6711"/>
    <cellStyle name="RowTitles1-Detail 2 2 2 5 6 3_Tertiary Salaries Survey" xfId="6712"/>
    <cellStyle name="RowTitles1-Detail 2 2 2 5 6 4" xfId="6713"/>
    <cellStyle name="RowTitles1-Detail 2 2 2 5 6 4 2" xfId="6714"/>
    <cellStyle name="RowTitles1-Detail 2 2 2 5 6 4_Tertiary Salaries Survey" xfId="6715"/>
    <cellStyle name="RowTitles1-Detail 2 2 2 5 6 5" xfId="6716"/>
    <cellStyle name="RowTitles1-Detail 2 2 2 5 6_Tertiary Salaries Survey" xfId="6717"/>
    <cellStyle name="RowTitles1-Detail 2 2 2 5 7" xfId="6718"/>
    <cellStyle name="RowTitles1-Detail 2 2 2 5 7 2" xfId="6719"/>
    <cellStyle name="RowTitles1-Detail 2 2 2 5 7 2 2" xfId="6720"/>
    <cellStyle name="RowTitles1-Detail 2 2 2 5 7 2_Tertiary Salaries Survey" xfId="6721"/>
    <cellStyle name="RowTitles1-Detail 2 2 2 5 7 3" xfId="6722"/>
    <cellStyle name="RowTitles1-Detail 2 2 2 5 7_Tertiary Salaries Survey" xfId="6723"/>
    <cellStyle name="RowTitles1-Detail 2 2 2 5 8" xfId="6724"/>
    <cellStyle name="RowTitles1-Detail 2 2 2 5 9" xfId="6725"/>
    <cellStyle name="RowTitles1-Detail 2 2 2 5_STUD aligned by INSTIT" xfId="6726"/>
    <cellStyle name="RowTitles1-Detail 2 2 2 6" xfId="6727"/>
    <cellStyle name="RowTitles1-Detail 2 2 2 6 2" xfId="6728"/>
    <cellStyle name="RowTitles1-Detail 2 2 2 6 2 2" xfId="6729"/>
    <cellStyle name="RowTitles1-Detail 2 2 2 6 2 2 2" xfId="6730"/>
    <cellStyle name="RowTitles1-Detail 2 2 2 6 2 2_Tertiary Salaries Survey" xfId="6731"/>
    <cellStyle name="RowTitles1-Detail 2 2 2 6 2 3" xfId="6732"/>
    <cellStyle name="RowTitles1-Detail 2 2 2 6 2_Tertiary Salaries Survey" xfId="6733"/>
    <cellStyle name="RowTitles1-Detail 2 2 2 6 3" xfId="6734"/>
    <cellStyle name="RowTitles1-Detail 2 2 2 6 3 2" xfId="6735"/>
    <cellStyle name="RowTitles1-Detail 2 2 2 6 3 2 2" xfId="6736"/>
    <cellStyle name="RowTitles1-Detail 2 2 2 6 3 2_Tertiary Salaries Survey" xfId="6737"/>
    <cellStyle name="RowTitles1-Detail 2 2 2 6 3 3" xfId="6738"/>
    <cellStyle name="RowTitles1-Detail 2 2 2 6 3_Tertiary Salaries Survey" xfId="6739"/>
    <cellStyle name="RowTitles1-Detail 2 2 2 6 4" xfId="6740"/>
    <cellStyle name="RowTitles1-Detail 2 2 2 6 5" xfId="6741"/>
    <cellStyle name="RowTitles1-Detail 2 2 2 6 5 2" xfId="6742"/>
    <cellStyle name="RowTitles1-Detail 2 2 2 6 5_Tertiary Salaries Survey" xfId="6743"/>
    <cellStyle name="RowTitles1-Detail 2 2 2 6 6" xfId="6744"/>
    <cellStyle name="RowTitles1-Detail 2 2 2 6_Tertiary Salaries Survey" xfId="6745"/>
    <cellStyle name="RowTitles1-Detail 2 2 2 7" xfId="6746"/>
    <cellStyle name="RowTitles1-Detail 2 2 2 7 2" xfId="6747"/>
    <cellStyle name="RowTitles1-Detail 2 2 2 7 2 2" xfId="6748"/>
    <cellStyle name="RowTitles1-Detail 2 2 2 7 2 2 2" xfId="6749"/>
    <cellStyle name="RowTitles1-Detail 2 2 2 7 2 2_Tertiary Salaries Survey" xfId="6750"/>
    <cellStyle name="RowTitles1-Detail 2 2 2 7 2 3" xfId="6751"/>
    <cellStyle name="RowTitles1-Detail 2 2 2 7 2_Tertiary Salaries Survey" xfId="6752"/>
    <cellStyle name="RowTitles1-Detail 2 2 2 7 3" xfId="6753"/>
    <cellStyle name="RowTitles1-Detail 2 2 2 7 3 2" xfId="6754"/>
    <cellStyle name="RowTitles1-Detail 2 2 2 7 3 2 2" xfId="6755"/>
    <cellStyle name="RowTitles1-Detail 2 2 2 7 3 2_Tertiary Salaries Survey" xfId="6756"/>
    <cellStyle name="RowTitles1-Detail 2 2 2 7 3 3" xfId="6757"/>
    <cellStyle name="RowTitles1-Detail 2 2 2 7 3_Tertiary Salaries Survey" xfId="6758"/>
    <cellStyle name="RowTitles1-Detail 2 2 2 7 4" xfId="6759"/>
    <cellStyle name="RowTitles1-Detail 2 2 2 7 5" xfId="6760"/>
    <cellStyle name="RowTitles1-Detail 2 2 2 7_Tertiary Salaries Survey" xfId="6761"/>
    <cellStyle name="RowTitles1-Detail 2 2 2 8" xfId="6762"/>
    <cellStyle name="RowTitles1-Detail 2 2 2 8 2" xfId="6763"/>
    <cellStyle name="RowTitles1-Detail 2 2 2 8 2 2" xfId="6764"/>
    <cellStyle name="RowTitles1-Detail 2 2 2 8 2 2 2" xfId="6765"/>
    <cellStyle name="RowTitles1-Detail 2 2 2 8 2 2_Tertiary Salaries Survey" xfId="6766"/>
    <cellStyle name="RowTitles1-Detail 2 2 2 8 2 3" xfId="6767"/>
    <cellStyle name="RowTitles1-Detail 2 2 2 8 2_Tertiary Salaries Survey" xfId="6768"/>
    <cellStyle name="RowTitles1-Detail 2 2 2 8 3" xfId="6769"/>
    <cellStyle name="RowTitles1-Detail 2 2 2 8 3 2" xfId="6770"/>
    <cellStyle name="RowTitles1-Detail 2 2 2 8 3 2 2" xfId="6771"/>
    <cellStyle name="RowTitles1-Detail 2 2 2 8 3 2_Tertiary Salaries Survey" xfId="6772"/>
    <cellStyle name="RowTitles1-Detail 2 2 2 8 3 3" xfId="6773"/>
    <cellStyle name="RowTitles1-Detail 2 2 2 8 3_Tertiary Salaries Survey" xfId="6774"/>
    <cellStyle name="RowTitles1-Detail 2 2 2 8 4" xfId="6775"/>
    <cellStyle name="RowTitles1-Detail 2 2 2 8 5" xfId="6776"/>
    <cellStyle name="RowTitles1-Detail 2 2 2 8 5 2" xfId="6777"/>
    <cellStyle name="RowTitles1-Detail 2 2 2 8 5_Tertiary Salaries Survey" xfId="6778"/>
    <cellStyle name="RowTitles1-Detail 2 2 2 8 6" xfId="6779"/>
    <cellStyle name="RowTitles1-Detail 2 2 2 8_Tertiary Salaries Survey" xfId="6780"/>
    <cellStyle name="RowTitles1-Detail 2 2 2 9" xfId="6781"/>
    <cellStyle name="RowTitles1-Detail 2 2 2 9 2" xfId="6782"/>
    <cellStyle name="RowTitles1-Detail 2 2 2 9 2 2" xfId="6783"/>
    <cellStyle name="RowTitles1-Detail 2 2 2 9 2 2 2" xfId="6784"/>
    <cellStyle name="RowTitles1-Detail 2 2 2 9 2 2_Tertiary Salaries Survey" xfId="6785"/>
    <cellStyle name="RowTitles1-Detail 2 2 2 9 2 3" xfId="6786"/>
    <cellStyle name="RowTitles1-Detail 2 2 2 9 2_Tertiary Salaries Survey" xfId="6787"/>
    <cellStyle name="RowTitles1-Detail 2 2 2 9 3" xfId="6788"/>
    <cellStyle name="RowTitles1-Detail 2 2 2 9 3 2" xfId="6789"/>
    <cellStyle name="RowTitles1-Detail 2 2 2 9 3 2 2" xfId="6790"/>
    <cellStyle name="RowTitles1-Detail 2 2 2 9 3 2_Tertiary Salaries Survey" xfId="6791"/>
    <cellStyle name="RowTitles1-Detail 2 2 2 9 3 3" xfId="6792"/>
    <cellStyle name="RowTitles1-Detail 2 2 2 9 3_Tertiary Salaries Survey" xfId="6793"/>
    <cellStyle name="RowTitles1-Detail 2 2 2 9 4" xfId="6794"/>
    <cellStyle name="RowTitles1-Detail 2 2 2 9 4 2" xfId="6795"/>
    <cellStyle name="RowTitles1-Detail 2 2 2 9 4_Tertiary Salaries Survey" xfId="6796"/>
    <cellStyle name="RowTitles1-Detail 2 2 2 9 5" xfId="6797"/>
    <cellStyle name="RowTitles1-Detail 2 2 2 9_Tertiary Salaries Survey" xfId="6798"/>
    <cellStyle name="RowTitles1-Detail 2 2 2_STUD aligned by INSTIT" xfId="6799"/>
    <cellStyle name="RowTitles1-Detail 2 2 3" xfId="6800"/>
    <cellStyle name="RowTitles1-Detail 2 2 3 10" xfId="6801"/>
    <cellStyle name="RowTitles1-Detail 2 2 3 10 2" xfId="6802"/>
    <cellStyle name="RowTitles1-Detail 2 2 3 10 2 2" xfId="6803"/>
    <cellStyle name="RowTitles1-Detail 2 2 3 10 2_Tertiary Salaries Survey" xfId="6804"/>
    <cellStyle name="RowTitles1-Detail 2 2 3 10 3" xfId="6805"/>
    <cellStyle name="RowTitles1-Detail 2 2 3 10_Tertiary Salaries Survey" xfId="6806"/>
    <cellStyle name="RowTitles1-Detail 2 2 3 11" xfId="6807"/>
    <cellStyle name="RowTitles1-Detail 2 2 3 12" xfId="6808"/>
    <cellStyle name="RowTitles1-Detail 2 2 3 2" xfId="6809"/>
    <cellStyle name="RowTitles1-Detail 2 2 3 2 2" xfId="6810"/>
    <cellStyle name="RowTitles1-Detail 2 2 3 2 2 2" xfId="6811"/>
    <cellStyle name="RowTitles1-Detail 2 2 3 2 2 2 2" xfId="6812"/>
    <cellStyle name="RowTitles1-Detail 2 2 3 2 2 2 2 2" xfId="6813"/>
    <cellStyle name="RowTitles1-Detail 2 2 3 2 2 2 2_Tertiary Salaries Survey" xfId="6814"/>
    <cellStyle name="RowTitles1-Detail 2 2 3 2 2 2 3" xfId="6815"/>
    <cellStyle name="RowTitles1-Detail 2 2 3 2 2 2_Tertiary Salaries Survey" xfId="6816"/>
    <cellStyle name="RowTitles1-Detail 2 2 3 2 2 3" xfId="6817"/>
    <cellStyle name="RowTitles1-Detail 2 2 3 2 2 3 2" xfId="6818"/>
    <cellStyle name="RowTitles1-Detail 2 2 3 2 2 3 2 2" xfId="6819"/>
    <cellStyle name="RowTitles1-Detail 2 2 3 2 2 3 2_Tertiary Salaries Survey" xfId="6820"/>
    <cellStyle name="RowTitles1-Detail 2 2 3 2 2 3 3" xfId="6821"/>
    <cellStyle name="RowTitles1-Detail 2 2 3 2 2 3_Tertiary Salaries Survey" xfId="6822"/>
    <cellStyle name="RowTitles1-Detail 2 2 3 2 2 4" xfId="6823"/>
    <cellStyle name="RowTitles1-Detail 2 2 3 2 2 5" xfId="6824"/>
    <cellStyle name="RowTitles1-Detail 2 2 3 2 2_Tertiary Salaries Survey" xfId="6825"/>
    <cellStyle name="RowTitles1-Detail 2 2 3 2 3" xfId="6826"/>
    <cellStyle name="RowTitles1-Detail 2 2 3 2 3 2" xfId="6827"/>
    <cellStyle name="RowTitles1-Detail 2 2 3 2 3 2 2" xfId="6828"/>
    <cellStyle name="RowTitles1-Detail 2 2 3 2 3 2 2 2" xfId="6829"/>
    <cellStyle name="RowTitles1-Detail 2 2 3 2 3 2 2_Tertiary Salaries Survey" xfId="6830"/>
    <cellStyle name="RowTitles1-Detail 2 2 3 2 3 2 3" xfId="6831"/>
    <cellStyle name="RowTitles1-Detail 2 2 3 2 3 2_Tertiary Salaries Survey" xfId="6832"/>
    <cellStyle name="RowTitles1-Detail 2 2 3 2 3 3" xfId="6833"/>
    <cellStyle name="RowTitles1-Detail 2 2 3 2 3 3 2" xfId="6834"/>
    <cellStyle name="RowTitles1-Detail 2 2 3 2 3 3 2 2" xfId="6835"/>
    <cellStyle name="RowTitles1-Detail 2 2 3 2 3 3 2_Tertiary Salaries Survey" xfId="6836"/>
    <cellStyle name="RowTitles1-Detail 2 2 3 2 3 3 3" xfId="6837"/>
    <cellStyle name="RowTitles1-Detail 2 2 3 2 3 3_Tertiary Salaries Survey" xfId="6838"/>
    <cellStyle name="RowTitles1-Detail 2 2 3 2 3 4" xfId="6839"/>
    <cellStyle name="RowTitles1-Detail 2 2 3 2 3 5" xfId="6840"/>
    <cellStyle name="RowTitles1-Detail 2 2 3 2 3 5 2" xfId="6841"/>
    <cellStyle name="RowTitles1-Detail 2 2 3 2 3 5_Tertiary Salaries Survey" xfId="6842"/>
    <cellStyle name="RowTitles1-Detail 2 2 3 2 3 6" xfId="6843"/>
    <cellStyle name="RowTitles1-Detail 2 2 3 2 3_Tertiary Salaries Survey" xfId="6844"/>
    <cellStyle name="RowTitles1-Detail 2 2 3 2 4" xfId="6845"/>
    <cellStyle name="RowTitles1-Detail 2 2 3 2 4 2" xfId="6846"/>
    <cellStyle name="RowTitles1-Detail 2 2 3 2 4 2 2" xfId="6847"/>
    <cellStyle name="RowTitles1-Detail 2 2 3 2 4 2 2 2" xfId="6848"/>
    <cellStyle name="RowTitles1-Detail 2 2 3 2 4 2 2_Tertiary Salaries Survey" xfId="6849"/>
    <cellStyle name="RowTitles1-Detail 2 2 3 2 4 2 3" xfId="6850"/>
    <cellStyle name="RowTitles1-Detail 2 2 3 2 4 2_Tertiary Salaries Survey" xfId="6851"/>
    <cellStyle name="RowTitles1-Detail 2 2 3 2 4 3" xfId="6852"/>
    <cellStyle name="RowTitles1-Detail 2 2 3 2 4 3 2" xfId="6853"/>
    <cellStyle name="RowTitles1-Detail 2 2 3 2 4 3 2 2" xfId="6854"/>
    <cellStyle name="RowTitles1-Detail 2 2 3 2 4 3 2_Tertiary Salaries Survey" xfId="6855"/>
    <cellStyle name="RowTitles1-Detail 2 2 3 2 4 3 3" xfId="6856"/>
    <cellStyle name="RowTitles1-Detail 2 2 3 2 4 3_Tertiary Salaries Survey" xfId="6857"/>
    <cellStyle name="RowTitles1-Detail 2 2 3 2 4 4" xfId="6858"/>
    <cellStyle name="RowTitles1-Detail 2 2 3 2 4 4 2" xfId="6859"/>
    <cellStyle name="RowTitles1-Detail 2 2 3 2 4 4_Tertiary Salaries Survey" xfId="6860"/>
    <cellStyle name="RowTitles1-Detail 2 2 3 2 4 5" xfId="6861"/>
    <cellStyle name="RowTitles1-Detail 2 2 3 2 4_Tertiary Salaries Survey" xfId="6862"/>
    <cellStyle name="RowTitles1-Detail 2 2 3 2 5" xfId="6863"/>
    <cellStyle name="RowTitles1-Detail 2 2 3 2 5 2" xfId="6864"/>
    <cellStyle name="RowTitles1-Detail 2 2 3 2 5 2 2" xfId="6865"/>
    <cellStyle name="RowTitles1-Detail 2 2 3 2 5 2 2 2" xfId="6866"/>
    <cellStyle name="RowTitles1-Detail 2 2 3 2 5 2 2_Tertiary Salaries Survey" xfId="6867"/>
    <cellStyle name="RowTitles1-Detail 2 2 3 2 5 2 3" xfId="6868"/>
    <cellStyle name="RowTitles1-Detail 2 2 3 2 5 2_Tertiary Salaries Survey" xfId="6869"/>
    <cellStyle name="RowTitles1-Detail 2 2 3 2 5 3" xfId="6870"/>
    <cellStyle name="RowTitles1-Detail 2 2 3 2 5 3 2" xfId="6871"/>
    <cellStyle name="RowTitles1-Detail 2 2 3 2 5 3 2 2" xfId="6872"/>
    <cellStyle name="RowTitles1-Detail 2 2 3 2 5 3 2_Tertiary Salaries Survey" xfId="6873"/>
    <cellStyle name="RowTitles1-Detail 2 2 3 2 5 3 3" xfId="6874"/>
    <cellStyle name="RowTitles1-Detail 2 2 3 2 5 3_Tertiary Salaries Survey" xfId="6875"/>
    <cellStyle name="RowTitles1-Detail 2 2 3 2 5 4" xfId="6876"/>
    <cellStyle name="RowTitles1-Detail 2 2 3 2 5 4 2" xfId="6877"/>
    <cellStyle name="RowTitles1-Detail 2 2 3 2 5 4_Tertiary Salaries Survey" xfId="6878"/>
    <cellStyle name="RowTitles1-Detail 2 2 3 2 5 5" xfId="6879"/>
    <cellStyle name="RowTitles1-Detail 2 2 3 2 5_Tertiary Salaries Survey" xfId="6880"/>
    <cellStyle name="RowTitles1-Detail 2 2 3 2 6" xfId="6881"/>
    <cellStyle name="RowTitles1-Detail 2 2 3 2 6 2" xfId="6882"/>
    <cellStyle name="RowTitles1-Detail 2 2 3 2 6 2 2" xfId="6883"/>
    <cellStyle name="RowTitles1-Detail 2 2 3 2 6 2 2 2" xfId="6884"/>
    <cellStyle name="RowTitles1-Detail 2 2 3 2 6 2 2_Tertiary Salaries Survey" xfId="6885"/>
    <cellStyle name="RowTitles1-Detail 2 2 3 2 6 2 3" xfId="6886"/>
    <cellStyle name="RowTitles1-Detail 2 2 3 2 6 2_Tertiary Salaries Survey" xfId="6887"/>
    <cellStyle name="RowTitles1-Detail 2 2 3 2 6 3" xfId="6888"/>
    <cellStyle name="RowTitles1-Detail 2 2 3 2 6 3 2" xfId="6889"/>
    <cellStyle name="RowTitles1-Detail 2 2 3 2 6 3 2 2" xfId="6890"/>
    <cellStyle name="RowTitles1-Detail 2 2 3 2 6 3 2_Tertiary Salaries Survey" xfId="6891"/>
    <cellStyle name="RowTitles1-Detail 2 2 3 2 6 3 3" xfId="6892"/>
    <cellStyle name="RowTitles1-Detail 2 2 3 2 6 3_Tertiary Salaries Survey" xfId="6893"/>
    <cellStyle name="RowTitles1-Detail 2 2 3 2 6 4" xfId="6894"/>
    <cellStyle name="RowTitles1-Detail 2 2 3 2 6 4 2" xfId="6895"/>
    <cellStyle name="RowTitles1-Detail 2 2 3 2 6 4_Tertiary Salaries Survey" xfId="6896"/>
    <cellStyle name="RowTitles1-Detail 2 2 3 2 6 5" xfId="6897"/>
    <cellStyle name="RowTitles1-Detail 2 2 3 2 6_Tertiary Salaries Survey" xfId="6898"/>
    <cellStyle name="RowTitles1-Detail 2 2 3 2 7" xfId="6899"/>
    <cellStyle name="RowTitles1-Detail 2 2 3 2 7 2" xfId="6900"/>
    <cellStyle name="RowTitles1-Detail 2 2 3 2 7 2 2" xfId="6901"/>
    <cellStyle name="RowTitles1-Detail 2 2 3 2 7 2_Tertiary Salaries Survey" xfId="6902"/>
    <cellStyle name="RowTitles1-Detail 2 2 3 2 7 3" xfId="6903"/>
    <cellStyle name="RowTitles1-Detail 2 2 3 2 7_Tertiary Salaries Survey" xfId="6904"/>
    <cellStyle name="RowTitles1-Detail 2 2 3 2 8" xfId="6905"/>
    <cellStyle name="RowTitles1-Detail 2 2 3 2 9" xfId="6906"/>
    <cellStyle name="RowTitles1-Detail 2 2 3 2_STUD aligned by INSTIT" xfId="6907"/>
    <cellStyle name="RowTitles1-Detail 2 2 3 3" xfId="6908"/>
    <cellStyle name="RowTitles1-Detail 2 2 3 3 2" xfId="6909"/>
    <cellStyle name="RowTitles1-Detail 2 2 3 3 2 2" xfId="6910"/>
    <cellStyle name="RowTitles1-Detail 2 2 3 3 2 2 2" xfId="6911"/>
    <cellStyle name="RowTitles1-Detail 2 2 3 3 2 2 2 2" xfId="6912"/>
    <cellStyle name="RowTitles1-Detail 2 2 3 3 2 2 2_Tertiary Salaries Survey" xfId="6913"/>
    <cellStyle name="RowTitles1-Detail 2 2 3 3 2 2 3" xfId="6914"/>
    <cellStyle name="RowTitles1-Detail 2 2 3 3 2 2_Tertiary Salaries Survey" xfId="6915"/>
    <cellStyle name="RowTitles1-Detail 2 2 3 3 2 3" xfId="6916"/>
    <cellStyle name="RowTitles1-Detail 2 2 3 3 2 3 2" xfId="6917"/>
    <cellStyle name="RowTitles1-Detail 2 2 3 3 2 3 2 2" xfId="6918"/>
    <cellStyle name="RowTitles1-Detail 2 2 3 3 2 3 2_Tertiary Salaries Survey" xfId="6919"/>
    <cellStyle name="RowTitles1-Detail 2 2 3 3 2 3 3" xfId="6920"/>
    <cellStyle name="RowTitles1-Detail 2 2 3 3 2 3_Tertiary Salaries Survey" xfId="6921"/>
    <cellStyle name="RowTitles1-Detail 2 2 3 3 2 4" xfId="6922"/>
    <cellStyle name="RowTitles1-Detail 2 2 3 3 2 5" xfId="6923"/>
    <cellStyle name="RowTitles1-Detail 2 2 3 3 2 5 2" xfId="6924"/>
    <cellStyle name="RowTitles1-Detail 2 2 3 3 2 5_Tertiary Salaries Survey" xfId="6925"/>
    <cellStyle name="RowTitles1-Detail 2 2 3 3 2 6" xfId="6926"/>
    <cellStyle name="RowTitles1-Detail 2 2 3 3 2_Tertiary Salaries Survey" xfId="6927"/>
    <cellStyle name="RowTitles1-Detail 2 2 3 3 3" xfId="6928"/>
    <cellStyle name="RowTitles1-Detail 2 2 3 3 3 2" xfId="6929"/>
    <cellStyle name="RowTitles1-Detail 2 2 3 3 3 2 2" xfId="6930"/>
    <cellStyle name="RowTitles1-Detail 2 2 3 3 3 2 2 2" xfId="6931"/>
    <cellStyle name="RowTitles1-Detail 2 2 3 3 3 2 2_Tertiary Salaries Survey" xfId="6932"/>
    <cellStyle name="RowTitles1-Detail 2 2 3 3 3 2 3" xfId="6933"/>
    <cellStyle name="RowTitles1-Detail 2 2 3 3 3 2_Tertiary Salaries Survey" xfId="6934"/>
    <cellStyle name="RowTitles1-Detail 2 2 3 3 3 3" xfId="6935"/>
    <cellStyle name="RowTitles1-Detail 2 2 3 3 3 3 2" xfId="6936"/>
    <cellStyle name="RowTitles1-Detail 2 2 3 3 3 3 2 2" xfId="6937"/>
    <cellStyle name="RowTitles1-Detail 2 2 3 3 3 3 2_Tertiary Salaries Survey" xfId="6938"/>
    <cellStyle name="RowTitles1-Detail 2 2 3 3 3 3 3" xfId="6939"/>
    <cellStyle name="RowTitles1-Detail 2 2 3 3 3 3_Tertiary Salaries Survey" xfId="6940"/>
    <cellStyle name="RowTitles1-Detail 2 2 3 3 3 4" xfId="6941"/>
    <cellStyle name="RowTitles1-Detail 2 2 3 3 3 5" xfId="6942"/>
    <cellStyle name="RowTitles1-Detail 2 2 3 3 3_Tertiary Salaries Survey" xfId="6943"/>
    <cellStyle name="RowTitles1-Detail 2 2 3 3 4" xfId="6944"/>
    <cellStyle name="RowTitles1-Detail 2 2 3 3 4 2" xfId="6945"/>
    <cellStyle name="RowTitles1-Detail 2 2 3 3 4 2 2" xfId="6946"/>
    <cellStyle name="RowTitles1-Detail 2 2 3 3 4 2 2 2" xfId="6947"/>
    <cellStyle name="RowTitles1-Detail 2 2 3 3 4 2 2_Tertiary Salaries Survey" xfId="6948"/>
    <cellStyle name="RowTitles1-Detail 2 2 3 3 4 2 3" xfId="6949"/>
    <cellStyle name="RowTitles1-Detail 2 2 3 3 4 2_Tertiary Salaries Survey" xfId="6950"/>
    <cellStyle name="RowTitles1-Detail 2 2 3 3 4 3" xfId="6951"/>
    <cellStyle name="RowTitles1-Detail 2 2 3 3 4 3 2" xfId="6952"/>
    <cellStyle name="RowTitles1-Detail 2 2 3 3 4 3 2 2" xfId="6953"/>
    <cellStyle name="RowTitles1-Detail 2 2 3 3 4 3 2_Tertiary Salaries Survey" xfId="6954"/>
    <cellStyle name="RowTitles1-Detail 2 2 3 3 4 3 3" xfId="6955"/>
    <cellStyle name="RowTitles1-Detail 2 2 3 3 4 3_Tertiary Salaries Survey" xfId="6956"/>
    <cellStyle name="RowTitles1-Detail 2 2 3 3 4 4" xfId="6957"/>
    <cellStyle name="RowTitles1-Detail 2 2 3 3 4 4 2" xfId="6958"/>
    <cellStyle name="RowTitles1-Detail 2 2 3 3 4 4_Tertiary Salaries Survey" xfId="6959"/>
    <cellStyle name="RowTitles1-Detail 2 2 3 3 4 5" xfId="6960"/>
    <cellStyle name="RowTitles1-Detail 2 2 3 3 4_Tertiary Salaries Survey" xfId="6961"/>
    <cellStyle name="RowTitles1-Detail 2 2 3 3 5" xfId="6962"/>
    <cellStyle name="RowTitles1-Detail 2 2 3 3 5 2" xfId="6963"/>
    <cellStyle name="RowTitles1-Detail 2 2 3 3 5 2 2" xfId="6964"/>
    <cellStyle name="RowTitles1-Detail 2 2 3 3 5 2 2 2" xfId="6965"/>
    <cellStyle name="RowTitles1-Detail 2 2 3 3 5 2 2_Tertiary Salaries Survey" xfId="6966"/>
    <cellStyle name="RowTitles1-Detail 2 2 3 3 5 2 3" xfId="6967"/>
    <cellStyle name="RowTitles1-Detail 2 2 3 3 5 2_Tertiary Salaries Survey" xfId="6968"/>
    <cellStyle name="RowTitles1-Detail 2 2 3 3 5 3" xfId="6969"/>
    <cellStyle name="RowTitles1-Detail 2 2 3 3 5 3 2" xfId="6970"/>
    <cellStyle name="RowTitles1-Detail 2 2 3 3 5 3 2 2" xfId="6971"/>
    <cellStyle name="RowTitles1-Detail 2 2 3 3 5 3 2_Tertiary Salaries Survey" xfId="6972"/>
    <cellStyle name="RowTitles1-Detail 2 2 3 3 5 3 3" xfId="6973"/>
    <cellStyle name="RowTitles1-Detail 2 2 3 3 5 3_Tertiary Salaries Survey" xfId="6974"/>
    <cellStyle name="RowTitles1-Detail 2 2 3 3 5 4" xfId="6975"/>
    <cellStyle name="RowTitles1-Detail 2 2 3 3 5 4 2" xfId="6976"/>
    <cellStyle name="RowTitles1-Detail 2 2 3 3 5 4_Tertiary Salaries Survey" xfId="6977"/>
    <cellStyle name="RowTitles1-Detail 2 2 3 3 5 5" xfId="6978"/>
    <cellStyle name="RowTitles1-Detail 2 2 3 3 5_Tertiary Salaries Survey" xfId="6979"/>
    <cellStyle name="RowTitles1-Detail 2 2 3 3 6" xfId="6980"/>
    <cellStyle name="RowTitles1-Detail 2 2 3 3 6 2" xfId="6981"/>
    <cellStyle name="RowTitles1-Detail 2 2 3 3 6 2 2" xfId="6982"/>
    <cellStyle name="RowTitles1-Detail 2 2 3 3 6 2 2 2" xfId="6983"/>
    <cellStyle name="RowTitles1-Detail 2 2 3 3 6 2 2_Tertiary Salaries Survey" xfId="6984"/>
    <cellStyle name="RowTitles1-Detail 2 2 3 3 6 2 3" xfId="6985"/>
    <cellStyle name="RowTitles1-Detail 2 2 3 3 6 2_Tertiary Salaries Survey" xfId="6986"/>
    <cellStyle name="RowTitles1-Detail 2 2 3 3 6 3" xfId="6987"/>
    <cellStyle name="RowTitles1-Detail 2 2 3 3 6 3 2" xfId="6988"/>
    <cellStyle name="RowTitles1-Detail 2 2 3 3 6 3 2 2" xfId="6989"/>
    <cellStyle name="RowTitles1-Detail 2 2 3 3 6 3 2_Tertiary Salaries Survey" xfId="6990"/>
    <cellStyle name="RowTitles1-Detail 2 2 3 3 6 3 3" xfId="6991"/>
    <cellStyle name="RowTitles1-Detail 2 2 3 3 6 3_Tertiary Salaries Survey" xfId="6992"/>
    <cellStyle name="RowTitles1-Detail 2 2 3 3 6 4" xfId="6993"/>
    <cellStyle name="RowTitles1-Detail 2 2 3 3 6 4 2" xfId="6994"/>
    <cellStyle name="RowTitles1-Detail 2 2 3 3 6 4_Tertiary Salaries Survey" xfId="6995"/>
    <cellStyle name="RowTitles1-Detail 2 2 3 3 6 5" xfId="6996"/>
    <cellStyle name="RowTitles1-Detail 2 2 3 3 6_Tertiary Salaries Survey" xfId="6997"/>
    <cellStyle name="RowTitles1-Detail 2 2 3 3 7" xfId="6998"/>
    <cellStyle name="RowTitles1-Detail 2 2 3 3 7 2" xfId="6999"/>
    <cellStyle name="RowTitles1-Detail 2 2 3 3 7 2 2" xfId="7000"/>
    <cellStyle name="RowTitles1-Detail 2 2 3 3 7 2_Tertiary Salaries Survey" xfId="7001"/>
    <cellStyle name="RowTitles1-Detail 2 2 3 3 7 3" xfId="7002"/>
    <cellStyle name="RowTitles1-Detail 2 2 3 3 7_Tertiary Salaries Survey" xfId="7003"/>
    <cellStyle name="RowTitles1-Detail 2 2 3 3 8" xfId="7004"/>
    <cellStyle name="RowTitles1-Detail 2 2 3 3 8 2" xfId="7005"/>
    <cellStyle name="RowTitles1-Detail 2 2 3 3 8 2 2" xfId="7006"/>
    <cellStyle name="RowTitles1-Detail 2 2 3 3 8 2_Tertiary Salaries Survey" xfId="7007"/>
    <cellStyle name="RowTitles1-Detail 2 2 3 3 8 3" xfId="7008"/>
    <cellStyle name="RowTitles1-Detail 2 2 3 3 8_Tertiary Salaries Survey" xfId="7009"/>
    <cellStyle name="RowTitles1-Detail 2 2 3 3 9" xfId="7010"/>
    <cellStyle name="RowTitles1-Detail 2 2 3 3_STUD aligned by INSTIT" xfId="7011"/>
    <cellStyle name="RowTitles1-Detail 2 2 3 4" xfId="7012"/>
    <cellStyle name="RowTitles1-Detail 2 2 3 4 2" xfId="7013"/>
    <cellStyle name="RowTitles1-Detail 2 2 3 4 2 2" xfId="7014"/>
    <cellStyle name="RowTitles1-Detail 2 2 3 4 2 2 2" xfId="7015"/>
    <cellStyle name="RowTitles1-Detail 2 2 3 4 2 2 2 2" xfId="7016"/>
    <cellStyle name="RowTitles1-Detail 2 2 3 4 2 2 2_Tertiary Salaries Survey" xfId="7017"/>
    <cellStyle name="RowTitles1-Detail 2 2 3 4 2 2 3" xfId="7018"/>
    <cellStyle name="RowTitles1-Detail 2 2 3 4 2 2_Tertiary Salaries Survey" xfId="7019"/>
    <cellStyle name="RowTitles1-Detail 2 2 3 4 2 3" xfId="7020"/>
    <cellStyle name="RowTitles1-Detail 2 2 3 4 2 3 2" xfId="7021"/>
    <cellStyle name="RowTitles1-Detail 2 2 3 4 2 3 2 2" xfId="7022"/>
    <cellStyle name="RowTitles1-Detail 2 2 3 4 2 3 2_Tertiary Salaries Survey" xfId="7023"/>
    <cellStyle name="RowTitles1-Detail 2 2 3 4 2 3 3" xfId="7024"/>
    <cellStyle name="RowTitles1-Detail 2 2 3 4 2 3_Tertiary Salaries Survey" xfId="7025"/>
    <cellStyle name="RowTitles1-Detail 2 2 3 4 2 4" xfId="7026"/>
    <cellStyle name="RowTitles1-Detail 2 2 3 4 2 5" xfId="7027"/>
    <cellStyle name="RowTitles1-Detail 2 2 3 4 2 5 2" xfId="7028"/>
    <cellStyle name="RowTitles1-Detail 2 2 3 4 2 5_Tertiary Salaries Survey" xfId="7029"/>
    <cellStyle name="RowTitles1-Detail 2 2 3 4 2 6" xfId="7030"/>
    <cellStyle name="RowTitles1-Detail 2 2 3 4 2_Tertiary Salaries Survey" xfId="7031"/>
    <cellStyle name="RowTitles1-Detail 2 2 3 4 3" xfId="7032"/>
    <cellStyle name="RowTitles1-Detail 2 2 3 4 3 2" xfId="7033"/>
    <cellStyle name="RowTitles1-Detail 2 2 3 4 3 2 2" xfId="7034"/>
    <cellStyle name="RowTitles1-Detail 2 2 3 4 3 2 2 2" xfId="7035"/>
    <cellStyle name="RowTitles1-Detail 2 2 3 4 3 2 2_Tertiary Salaries Survey" xfId="7036"/>
    <cellStyle name="RowTitles1-Detail 2 2 3 4 3 2 3" xfId="7037"/>
    <cellStyle name="RowTitles1-Detail 2 2 3 4 3 2_Tertiary Salaries Survey" xfId="7038"/>
    <cellStyle name="RowTitles1-Detail 2 2 3 4 3 3" xfId="7039"/>
    <cellStyle name="RowTitles1-Detail 2 2 3 4 3 3 2" xfId="7040"/>
    <cellStyle name="RowTitles1-Detail 2 2 3 4 3 3 2 2" xfId="7041"/>
    <cellStyle name="RowTitles1-Detail 2 2 3 4 3 3 2_Tertiary Salaries Survey" xfId="7042"/>
    <cellStyle name="RowTitles1-Detail 2 2 3 4 3 3 3" xfId="7043"/>
    <cellStyle name="RowTitles1-Detail 2 2 3 4 3 3_Tertiary Salaries Survey" xfId="7044"/>
    <cellStyle name="RowTitles1-Detail 2 2 3 4 3 4" xfId="7045"/>
    <cellStyle name="RowTitles1-Detail 2 2 3 4 3 5" xfId="7046"/>
    <cellStyle name="RowTitles1-Detail 2 2 3 4 3_Tertiary Salaries Survey" xfId="7047"/>
    <cellStyle name="RowTitles1-Detail 2 2 3 4 4" xfId="7048"/>
    <cellStyle name="RowTitles1-Detail 2 2 3 4 4 2" xfId="7049"/>
    <cellStyle name="RowTitles1-Detail 2 2 3 4 4 2 2" xfId="7050"/>
    <cellStyle name="RowTitles1-Detail 2 2 3 4 4 2 2 2" xfId="7051"/>
    <cellStyle name="RowTitles1-Detail 2 2 3 4 4 2 2_Tertiary Salaries Survey" xfId="7052"/>
    <cellStyle name="RowTitles1-Detail 2 2 3 4 4 2 3" xfId="7053"/>
    <cellStyle name="RowTitles1-Detail 2 2 3 4 4 2_Tertiary Salaries Survey" xfId="7054"/>
    <cellStyle name="RowTitles1-Detail 2 2 3 4 4 3" xfId="7055"/>
    <cellStyle name="RowTitles1-Detail 2 2 3 4 4 3 2" xfId="7056"/>
    <cellStyle name="RowTitles1-Detail 2 2 3 4 4 3 2 2" xfId="7057"/>
    <cellStyle name="RowTitles1-Detail 2 2 3 4 4 3 2_Tertiary Salaries Survey" xfId="7058"/>
    <cellStyle name="RowTitles1-Detail 2 2 3 4 4 3 3" xfId="7059"/>
    <cellStyle name="RowTitles1-Detail 2 2 3 4 4 3_Tertiary Salaries Survey" xfId="7060"/>
    <cellStyle name="RowTitles1-Detail 2 2 3 4 4 4" xfId="7061"/>
    <cellStyle name="RowTitles1-Detail 2 2 3 4 4 5" xfId="7062"/>
    <cellStyle name="RowTitles1-Detail 2 2 3 4 4 5 2" xfId="7063"/>
    <cellStyle name="RowTitles1-Detail 2 2 3 4 4 5_Tertiary Salaries Survey" xfId="7064"/>
    <cellStyle name="RowTitles1-Detail 2 2 3 4 4 6" xfId="7065"/>
    <cellStyle name="RowTitles1-Detail 2 2 3 4 4_Tertiary Salaries Survey" xfId="7066"/>
    <cellStyle name="RowTitles1-Detail 2 2 3 4 5" xfId="7067"/>
    <cellStyle name="RowTitles1-Detail 2 2 3 4 5 2" xfId="7068"/>
    <cellStyle name="RowTitles1-Detail 2 2 3 4 5 2 2" xfId="7069"/>
    <cellStyle name="RowTitles1-Detail 2 2 3 4 5 2 2 2" xfId="7070"/>
    <cellStyle name="RowTitles1-Detail 2 2 3 4 5 2 2_Tertiary Salaries Survey" xfId="7071"/>
    <cellStyle name="RowTitles1-Detail 2 2 3 4 5 2 3" xfId="7072"/>
    <cellStyle name="RowTitles1-Detail 2 2 3 4 5 2_Tertiary Salaries Survey" xfId="7073"/>
    <cellStyle name="RowTitles1-Detail 2 2 3 4 5 3" xfId="7074"/>
    <cellStyle name="RowTitles1-Detail 2 2 3 4 5 3 2" xfId="7075"/>
    <cellStyle name="RowTitles1-Detail 2 2 3 4 5 3 2 2" xfId="7076"/>
    <cellStyle name="RowTitles1-Detail 2 2 3 4 5 3 2_Tertiary Salaries Survey" xfId="7077"/>
    <cellStyle name="RowTitles1-Detail 2 2 3 4 5 3 3" xfId="7078"/>
    <cellStyle name="RowTitles1-Detail 2 2 3 4 5 3_Tertiary Salaries Survey" xfId="7079"/>
    <cellStyle name="RowTitles1-Detail 2 2 3 4 5 4" xfId="7080"/>
    <cellStyle name="RowTitles1-Detail 2 2 3 4 5 4 2" xfId="7081"/>
    <cellStyle name="RowTitles1-Detail 2 2 3 4 5 4_Tertiary Salaries Survey" xfId="7082"/>
    <cellStyle name="RowTitles1-Detail 2 2 3 4 5 5" xfId="7083"/>
    <cellStyle name="RowTitles1-Detail 2 2 3 4 5_Tertiary Salaries Survey" xfId="7084"/>
    <cellStyle name="RowTitles1-Detail 2 2 3 4 6" xfId="7085"/>
    <cellStyle name="RowTitles1-Detail 2 2 3 4 6 2" xfId="7086"/>
    <cellStyle name="RowTitles1-Detail 2 2 3 4 6 2 2" xfId="7087"/>
    <cellStyle name="RowTitles1-Detail 2 2 3 4 6 2 2 2" xfId="7088"/>
    <cellStyle name="RowTitles1-Detail 2 2 3 4 6 2 2_Tertiary Salaries Survey" xfId="7089"/>
    <cellStyle name="RowTitles1-Detail 2 2 3 4 6 2 3" xfId="7090"/>
    <cellStyle name="RowTitles1-Detail 2 2 3 4 6 2_Tertiary Salaries Survey" xfId="7091"/>
    <cellStyle name="RowTitles1-Detail 2 2 3 4 6 3" xfId="7092"/>
    <cellStyle name="RowTitles1-Detail 2 2 3 4 6 3 2" xfId="7093"/>
    <cellStyle name="RowTitles1-Detail 2 2 3 4 6 3 2 2" xfId="7094"/>
    <cellStyle name="RowTitles1-Detail 2 2 3 4 6 3 2_Tertiary Salaries Survey" xfId="7095"/>
    <cellStyle name="RowTitles1-Detail 2 2 3 4 6 3 3" xfId="7096"/>
    <cellStyle name="RowTitles1-Detail 2 2 3 4 6 3_Tertiary Salaries Survey" xfId="7097"/>
    <cellStyle name="RowTitles1-Detail 2 2 3 4 6 4" xfId="7098"/>
    <cellStyle name="RowTitles1-Detail 2 2 3 4 6 4 2" xfId="7099"/>
    <cellStyle name="RowTitles1-Detail 2 2 3 4 6 4_Tertiary Salaries Survey" xfId="7100"/>
    <cellStyle name="RowTitles1-Detail 2 2 3 4 6 5" xfId="7101"/>
    <cellStyle name="RowTitles1-Detail 2 2 3 4 6_Tertiary Salaries Survey" xfId="7102"/>
    <cellStyle name="RowTitles1-Detail 2 2 3 4 7" xfId="7103"/>
    <cellStyle name="RowTitles1-Detail 2 2 3 4 7 2" xfId="7104"/>
    <cellStyle name="RowTitles1-Detail 2 2 3 4 7 2 2" xfId="7105"/>
    <cellStyle name="RowTitles1-Detail 2 2 3 4 7 2_Tertiary Salaries Survey" xfId="7106"/>
    <cellStyle name="RowTitles1-Detail 2 2 3 4 7 3" xfId="7107"/>
    <cellStyle name="RowTitles1-Detail 2 2 3 4 7_Tertiary Salaries Survey" xfId="7108"/>
    <cellStyle name="RowTitles1-Detail 2 2 3 4 8" xfId="7109"/>
    <cellStyle name="RowTitles1-Detail 2 2 3 4 9" xfId="7110"/>
    <cellStyle name="RowTitles1-Detail 2 2 3 4_STUD aligned by INSTIT" xfId="7111"/>
    <cellStyle name="RowTitles1-Detail 2 2 3 5" xfId="7112"/>
    <cellStyle name="RowTitles1-Detail 2 2 3 5 2" xfId="7113"/>
    <cellStyle name="RowTitles1-Detail 2 2 3 5 2 2" xfId="7114"/>
    <cellStyle name="RowTitles1-Detail 2 2 3 5 2 2 2" xfId="7115"/>
    <cellStyle name="RowTitles1-Detail 2 2 3 5 2 2_Tertiary Salaries Survey" xfId="7116"/>
    <cellStyle name="RowTitles1-Detail 2 2 3 5 2 3" xfId="7117"/>
    <cellStyle name="RowTitles1-Detail 2 2 3 5 2_Tertiary Salaries Survey" xfId="7118"/>
    <cellStyle name="RowTitles1-Detail 2 2 3 5 3" xfId="7119"/>
    <cellStyle name="RowTitles1-Detail 2 2 3 5 3 2" xfId="7120"/>
    <cellStyle name="RowTitles1-Detail 2 2 3 5 3 2 2" xfId="7121"/>
    <cellStyle name="RowTitles1-Detail 2 2 3 5 3 2_Tertiary Salaries Survey" xfId="7122"/>
    <cellStyle name="RowTitles1-Detail 2 2 3 5 3 3" xfId="7123"/>
    <cellStyle name="RowTitles1-Detail 2 2 3 5 3_Tertiary Salaries Survey" xfId="7124"/>
    <cellStyle name="RowTitles1-Detail 2 2 3 5 4" xfId="7125"/>
    <cellStyle name="RowTitles1-Detail 2 2 3 5 5" xfId="7126"/>
    <cellStyle name="RowTitles1-Detail 2 2 3 5 5 2" xfId="7127"/>
    <cellStyle name="RowTitles1-Detail 2 2 3 5 5_Tertiary Salaries Survey" xfId="7128"/>
    <cellStyle name="RowTitles1-Detail 2 2 3 5 6" xfId="7129"/>
    <cellStyle name="RowTitles1-Detail 2 2 3 5_Tertiary Salaries Survey" xfId="7130"/>
    <cellStyle name="RowTitles1-Detail 2 2 3 6" xfId="7131"/>
    <cellStyle name="RowTitles1-Detail 2 2 3 6 2" xfId="7132"/>
    <cellStyle name="RowTitles1-Detail 2 2 3 6 2 2" xfId="7133"/>
    <cellStyle name="RowTitles1-Detail 2 2 3 6 2 2 2" xfId="7134"/>
    <cellStyle name="RowTitles1-Detail 2 2 3 6 2 2_Tertiary Salaries Survey" xfId="7135"/>
    <cellStyle name="RowTitles1-Detail 2 2 3 6 2 3" xfId="7136"/>
    <cellStyle name="RowTitles1-Detail 2 2 3 6 2_Tertiary Salaries Survey" xfId="7137"/>
    <cellStyle name="RowTitles1-Detail 2 2 3 6 3" xfId="7138"/>
    <cellStyle name="RowTitles1-Detail 2 2 3 6 3 2" xfId="7139"/>
    <cellStyle name="RowTitles1-Detail 2 2 3 6 3 2 2" xfId="7140"/>
    <cellStyle name="RowTitles1-Detail 2 2 3 6 3 2_Tertiary Salaries Survey" xfId="7141"/>
    <cellStyle name="RowTitles1-Detail 2 2 3 6 3 3" xfId="7142"/>
    <cellStyle name="RowTitles1-Detail 2 2 3 6 3_Tertiary Salaries Survey" xfId="7143"/>
    <cellStyle name="RowTitles1-Detail 2 2 3 6 4" xfId="7144"/>
    <cellStyle name="RowTitles1-Detail 2 2 3 6 5" xfId="7145"/>
    <cellStyle name="RowTitles1-Detail 2 2 3 6_Tertiary Salaries Survey" xfId="7146"/>
    <cellStyle name="RowTitles1-Detail 2 2 3 7" xfId="7147"/>
    <cellStyle name="RowTitles1-Detail 2 2 3 7 2" xfId="7148"/>
    <cellStyle name="RowTitles1-Detail 2 2 3 7 2 2" xfId="7149"/>
    <cellStyle name="RowTitles1-Detail 2 2 3 7 2 2 2" xfId="7150"/>
    <cellStyle name="RowTitles1-Detail 2 2 3 7 2 2_Tertiary Salaries Survey" xfId="7151"/>
    <cellStyle name="RowTitles1-Detail 2 2 3 7 2 3" xfId="7152"/>
    <cellStyle name="RowTitles1-Detail 2 2 3 7 2_Tertiary Salaries Survey" xfId="7153"/>
    <cellStyle name="RowTitles1-Detail 2 2 3 7 3" xfId="7154"/>
    <cellStyle name="RowTitles1-Detail 2 2 3 7 3 2" xfId="7155"/>
    <cellStyle name="RowTitles1-Detail 2 2 3 7 3 2 2" xfId="7156"/>
    <cellStyle name="RowTitles1-Detail 2 2 3 7 3 2_Tertiary Salaries Survey" xfId="7157"/>
    <cellStyle name="RowTitles1-Detail 2 2 3 7 3 3" xfId="7158"/>
    <cellStyle name="RowTitles1-Detail 2 2 3 7 3_Tertiary Salaries Survey" xfId="7159"/>
    <cellStyle name="RowTitles1-Detail 2 2 3 7 4" xfId="7160"/>
    <cellStyle name="RowTitles1-Detail 2 2 3 7 5" xfId="7161"/>
    <cellStyle name="RowTitles1-Detail 2 2 3 7 5 2" xfId="7162"/>
    <cellStyle name="RowTitles1-Detail 2 2 3 7 5_Tertiary Salaries Survey" xfId="7163"/>
    <cellStyle name="RowTitles1-Detail 2 2 3 7 6" xfId="7164"/>
    <cellStyle name="RowTitles1-Detail 2 2 3 7_Tertiary Salaries Survey" xfId="7165"/>
    <cellStyle name="RowTitles1-Detail 2 2 3 8" xfId="7166"/>
    <cellStyle name="RowTitles1-Detail 2 2 3 8 2" xfId="7167"/>
    <cellStyle name="RowTitles1-Detail 2 2 3 8 2 2" xfId="7168"/>
    <cellStyle name="RowTitles1-Detail 2 2 3 8 2 2 2" xfId="7169"/>
    <cellStyle name="RowTitles1-Detail 2 2 3 8 2 2_Tertiary Salaries Survey" xfId="7170"/>
    <cellStyle name="RowTitles1-Detail 2 2 3 8 2 3" xfId="7171"/>
    <cellStyle name="RowTitles1-Detail 2 2 3 8 2_Tertiary Salaries Survey" xfId="7172"/>
    <cellStyle name="RowTitles1-Detail 2 2 3 8 3" xfId="7173"/>
    <cellStyle name="RowTitles1-Detail 2 2 3 8 3 2" xfId="7174"/>
    <cellStyle name="RowTitles1-Detail 2 2 3 8 3 2 2" xfId="7175"/>
    <cellStyle name="RowTitles1-Detail 2 2 3 8 3 2_Tertiary Salaries Survey" xfId="7176"/>
    <cellStyle name="RowTitles1-Detail 2 2 3 8 3 3" xfId="7177"/>
    <cellStyle name="RowTitles1-Detail 2 2 3 8 3_Tertiary Salaries Survey" xfId="7178"/>
    <cellStyle name="RowTitles1-Detail 2 2 3 8 4" xfId="7179"/>
    <cellStyle name="RowTitles1-Detail 2 2 3 8 4 2" xfId="7180"/>
    <cellStyle name="RowTitles1-Detail 2 2 3 8 4_Tertiary Salaries Survey" xfId="7181"/>
    <cellStyle name="RowTitles1-Detail 2 2 3 8 5" xfId="7182"/>
    <cellStyle name="RowTitles1-Detail 2 2 3 8_Tertiary Salaries Survey" xfId="7183"/>
    <cellStyle name="RowTitles1-Detail 2 2 3 9" xfId="7184"/>
    <cellStyle name="RowTitles1-Detail 2 2 3 9 2" xfId="7185"/>
    <cellStyle name="RowTitles1-Detail 2 2 3 9 2 2" xfId="7186"/>
    <cellStyle name="RowTitles1-Detail 2 2 3 9 2 2 2" xfId="7187"/>
    <cellStyle name="RowTitles1-Detail 2 2 3 9 2 2_Tertiary Salaries Survey" xfId="7188"/>
    <cellStyle name="RowTitles1-Detail 2 2 3 9 2 3" xfId="7189"/>
    <cellStyle name="RowTitles1-Detail 2 2 3 9 2_Tertiary Salaries Survey" xfId="7190"/>
    <cellStyle name="RowTitles1-Detail 2 2 3 9 3" xfId="7191"/>
    <cellStyle name="RowTitles1-Detail 2 2 3 9 3 2" xfId="7192"/>
    <cellStyle name="RowTitles1-Detail 2 2 3 9 3 2 2" xfId="7193"/>
    <cellStyle name="RowTitles1-Detail 2 2 3 9 3 2_Tertiary Salaries Survey" xfId="7194"/>
    <cellStyle name="RowTitles1-Detail 2 2 3 9 3 3" xfId="7195"/>
    <cellStyle name="RowTitles1-Detail 2 2 3 9 3_Tertiary Salaries Survey" xfId="7196"/>
    <cellStyle name="RowTitles1-Detail 2 2 3 9 4" xfId="7197"/>
    <cellStyle name="RowTitles1-Detail 2 2 3 9 4 2" xfId="7198"/>
    <cellStyle name="RowTitles1-Detail 2 2 3 9 4_Tertiary Salaries Survey" xfId="7199"/>
    <cellStyle name="RowTitles1-Detail 2 2 3 9 5" xfId="7200"/>
    <cellStyle name="RowTitles1-Detail 2 2 3 9_Tertiary Salaries Survey" xfId="7201"/>
    <cellStyle name="RowTitles1-Detail 2 2 3_STUD aligned by INSTIT" xfId="7202"/>
    <cellStyle name="RowTitles1-Detail 2 2 4" xfId="7203"/>
    <cellStyle name="RowTitles1-Detail 2 2 4 2" xfId="7204"/>
    <cellStyle name="RowTitles1-Detail 2 2 4 2 2" xfId="7205"/>
    <cellStyle name="RowTitles1-Detail 2 2 4 2 2 2" xfId="7206"/>
    <cellStyle name="RowTitles1-Detail 2 2 4 2 2 2 2" xfId="7207"/>
    <cellStyle name="RowTitles1-Detail 2 2 4 2 2 2_Tertiary Salaries Survey" xfId="7208"/>
    <cellStyle name="RowTitles1-Detail 2 2 4 2 2 3" xfId="7209"/>
    <cellStyle name="RowTitles1-Detail 2 2 4 2 2_Tertiary Salaries Survey" xfId="7210"/>
    <cellStyle name="RowTitles1-Detail 2 2 4 2 3" xfId="7211"/>
    <cellStyle name="RowTitles1-Detail 2 2 4 2 3 2" xfId="7212"/>
    <cellStyle name="RowTitles1-Detail 2 2 4 2 3 2 2" xfId="7213"/>
    <cellStyle name="RowTitles1-Detail 2 2 4 2 3 2_Tertiary Salaries Survey" xfId="7214"/>
    <cellStyle name="RowTitles1-Detail 2 2 4 2 3 3" xfId="7215"/>
    <cellStyle name="RowTitles1-Detail 2 2 4 2 3_Tertiary Salaries Survey" xfId="7216"/>
    <cellStyle name="RowTitles1-Detail 2 2 4 2 4" xfId="7217"/>
    <cellStyle name="RowTitles1-Detail 2 2 4 2 5" xfId="7218"/>
    <cellStyle name="RowTitles1-Detail 2 2 4 2_Tertiary Salaries Survey" xfId="7219"/>
    <cellStyle name="RowTitles1-Detail 2 2 4 3" xfId="7220"/>
    <cellStyle name="RowTitles1-Detail 2 2 4 3 2" xfId="7221"/>
    <cellStyle name="RowTitles1-Detail 2 2 4 3 2 2" xfId="7222"/>
    <cellStyle name="RowTitles1-Detail 2 2 4 3 2 2 2" xfId="7223"/>
    <cellStyle name="RowTitles1-Detail 2 2 4 3 2 2_Tertiary Salaries Survey" xfId="7224"/>
    <cellStyle name="RowTitles1-Detail 2 2 4 3 2 3" xfId="7225"/>
    <cellStyle name="RowTitles1-Detail 2 2 4 3 2_Tertiary Salaries Survey" xfId="7226"/>
    <cellStyle name="RowTitles1-Detail 2 2 4 3 3" xfId="7227"/>
    <cellStyle name="RowTitles1-Detail 2 2 4 3 3 2" xfId="7228"/>
    <cellStyle name="RowTitles1-Detail 2 2 4 3 3 2 2" xfId="7229"/>
    <cellStyle name="RowTitles1-Detail 2 2 4 3 3 2_Tertiary Salaries Survey" xfId="7230"/>
    <cellStyle name="RowTitles1-Detail 2 2 4 3 3 3" xfId="7231"/>
    <cellStyle name="RowTitles1-Detail 2 2 4 3 3_Tertiary Salaries Survey" xfId="7232"/>
    <cellStyle name="RowTitles1-Detail 2 2 4 3 4" xfId="7233"/>
    <cellStyle name="RowTitles1-Detail 2 2 4 3 5" xfId="7234"/>
    <cellStyle name="RowTitles1-Detail 2 2 4 3 5 2" xfId="7235"/>
    <cellStyle name="RowTitles1-Detail 2 2 4 3 5_Tertiary Salaries Survey" xfId="7236"/>
    <cellStyle name="RowTitles1-Detail 2 2 4 3 6" xfId="7237"/>
    <cellStyle name="RowTitles1-Detail 2 2 4 3_Tertiary Salaries Survey" xfId="7238"/>
    <cellStyle name="RowTitles1-Detail 2 2 4 4" xfId="7239"/>
    <cellStyle name="RowTitles1-Detail 2 2 4 4 2" xfId="7240"/>
    <cellStyle name="RowTitles1-Detail 2 2 4 4 2 2" xfId="7241"/>
    <cellStyle name="RowTitles1-Detail 2 2 4 4 2 2 2" xfId="7242"/>
    <cellStyle name="RowTitles1-Detail 2 2 4 4 2 2_Tertiary Salaries Survey" xfId="7243"/>
    <cellStyle name="RowTitles1-Detail 2 2 4 4 2 3" xfId="7244"/>
    <cellStyle name="RowTitles1-Detail 2 2 4 4 2_Tertiary Salaries Survey" xfId="7245"/>
    <cellStyle name="RowTitles1-Detail 2 2 4 4 3" xfId="7246"/>
    <cellStyle name="RowTitles1-Detail 2 2 4 4 3 2" xfId="7247"/>
    <cellStyle name="RowTitles1-Detail 2 2 4 4 3 2 2" xfId="7248"/>
    <cellStyle name="RowTitles1-Detail 2 2 4 4 3 2_Tertiary Salaries Survey" xfId="7249"/>
    <cellStyle name="RowTitles1-Detail 2 2 4 4 3 3" xfId="7250"/>
    <cellStyle name="RowTitles1-Detail 2 2 4 4 3_Tertiary Salaries Survey" xfId="7251"/>
    <cellStyle name="RowTitles1-Detail 2 2 4 4 4" xfId="7252"/>
    <cellStyle name="RowTitles1-Detail 2 2 4 4 4 2" xfId="7253"/>
    <cellStyle name="RowTitles1-Detail 2 2 4 4 4_Tertiary Salaries Survey" xfId="7254"/>
    <cellStyle name="RowTitles1-Detail 2 2 4 4 5" xfId="7255"/>
    <cellStyle name="RowTitles1-Detail 2 2 4 4_Tertiary Salaries Survey" xfId="7256"/>
    <cellStyle name="RowTitles1-Detail 2 2 4 5" xfId="7257"/>
    <cellStyle name="RowTitles1-Detail 2 2 4 5 2" xfId="7258"/>
    <cellStyle name="RowTitles1-Detail 2 2 4 5 2 2" xfId="7259"/>
    <cellStyle name="RowTitles1-Detail 2 2 4 5 2 2 2" xfId="7260"/>
    <cellStyle name="RowTitles1-Detail 2 2 4 5 2 2_Tertiary Salaries Survey" xfId="7261"/>
    <cellStyle name="RowTitles1-Detail 2 2 4 5 2 3" xfId="7262"/>
    <cellStyle name="RowTitles1-Detail 2 2 4 5 2_Tertiary Salaries Survey" xfId="7263"/>
    <cellStyle name="RowTitles1-Detail 2 2 4 5 3" xfId="7264"/>
    <cellStyle name="RowTitles1-Detail 2 2 4 5 3 2" xfId="7265"/>
    <cellStyle name="RowTitles1-Detail 2 2 4 5 3 2 2" xfId="7266"/>
    <cellStyle name="RowTitles1-Detail 2 2 4 5 3 2_Tertiary Salaries Survey" xfId="7267"/>
    <cellStyle name="RowTitles1-Detail 2 2 4 5 3 3" xfId="7268"/>
    <cellStyle name="RowTitles1-Detail 2 2 4 5 3_Tertiary Salaries Survey" xfId="7269"/>
    <cellStyle name="RowTitles1-Detail 2 2 4 5 4" xfId="7270"/>
    <cellStyle name="RowTitles1-Detail 2 2 4 5 4 2" xfId="7271"/>
    <cellStyle name="RowTitles1-Detail 2 2 4 5 4_Tertiary Salaries Survey" xfId="7272"/>
    <cellStyle name="RowTitles1-Detail 2 2 4 5 5" xfId="7273"/>
    <cellStyle name="RowTitles1-Detail 2 2 4 5_Tertiary Salaries Survey" xfId="7274"/>
    <cellStyle name="RowTitles1-Detail 2 2 4 6" xfId="7275"/>
    <cellStyle name="RowTitles1-Detail 2 2 4 6 2" xfId="7276"/>
    <cellStyle name="RowTitles1-Detail 2 2 4 6 2 2" xfId="7277"/>
    <cellStyle name="RowTitles1-Detail 2 2 4 6 2 2 2" xfId="7278"/>
    <cellStyle name="RowTitles1-Detail 2 2 4 6 2 2_Tertiary Salaries Survey" xfId="7279"/>
    <cellStyle name="RowTitles1-Detail 2 2 4 6 2 3" xfId="7280"/>
    <cellStyle name="RowTitles1-Detail 2 2 4 6 2_Tertiary Salaries Survey" xfId="7281"/>
    <cellStyle name="RowTitles1-Detail 2 2 4 6 3" xfId="7282"/>
    <cellStyle name="RowTitles1-Detail 2 2 4 6 3 2" xfId="7283"/>
    <cellStyle name="RowTitles1-Detail 2 2 4 6 3 2 2" xfId="7284"/>
    <cellStyle name="RowTitles1-Detail 2 2 4 6 3 2_Tertiary Salaries Survey" xfId="7285"/>
    <cellStyle name="RowTitles1-Detail 2 2 4 6 3 3" xfId="7286"/>
    <cellStyle name="RowTitles1-Detail 2 2 4 6 3_Tertiary Salaries Survey" xfId="7287"/>
    <cellStyle name="RowTitles1-Detail 2 2 4 6 4" xfId="7288"/>
    <cellStyle name="RowTitles1-Detail 2 2 4 6 4 2" xfId="7289"/>
    <cellStyle name="RowTitles1-Detail 2 2 4 6 4_Tertiary Salaries Survey" xfId="7290"/>
    <cellStyle name="RowTitles1-Detail 2 2 4 6 5" xfId="7291"/>
    <cellStyle name="RowTitles1-Detail 2 2 4 6_Tertiary Salaries Survey" xfId="7292"/>
    <cellStyle name="RowTitles1-Detail 2 2 4 7" xfId="7293"/>
    <cellStyle name="RowTitles1-Detail 2 2 4 7 2" xfId="7294"/>
    <cellStyle name="RowTitles1-Detail 2 2 4 7 2 2" xfId="7295"/>
    <cellStyle name="RowTitles1-Detail 2 2 4 7 2_Tertiary Salaries Survey" xfId="7296"/>
    <cellStyle name="RowTitles1-Detail 2 2 4 7 3" xfId="7297"/>
    <cellStyle name="RowTitles1-Detail 2 2 4 7_Tertiary Salaries Survey" xfId="7298"/>
    <cellStyle name="RowTitles1-Detail 2 2 4 8" xfId="7299"/>
    <cellStyle name="RowTitles1-Detail 2 2 4 9" xfId="7300"/>
    <cellStyle name="RowTitles1-Detail 2 2 4_STUD aligned by INSTIT" xfId="7301"/>
    <cellStyle name="RowTitles1-Detail 2 2 5" xfId="7302"/>
    <cellStyle name="RowTitles1-Detail 2 2 5 2" xfId="7303"/>
    <cellStyle name="RowTitles1-Detail 2 2 5 2 2" xfId="7304"/>
    <cellStyle name="RowTitles1-Detail 2 2 5 2 2 2" xfId="7305"/>
    <cellStyle name="RowTitles1-Detail 2 2 5 2 2 2 2" xfId="7306"/>
    <cellStyle name="RowTitles1-Detail 2 2 5 2 2 2_Tertiary Salaries Survey" xfId="7307"/>
    <cellStyle name="RowTitles1-Detail 2 2 5 2 2 3" xfId="7308"/>
    <cellStyle name="RowTitles1-Detail 2 2 5 2 2_Tertiary Salaries Survey" xfId="7309"/>
    <cellStyle name="RowTitles1-Detail 2 2 5 2 3" xfId="7310"/>
    <cellStyle name="RowTitles1-Detail 2 2 5 2 3 2" xfId="7311"/>
    <cellStyle name="RowTitles1-Detail 2 2 5 2 3 2 2" xfId="7312"/>
    <cellStyle name="RowTitles1-Detail 2 2 5 2 3 2_Tertiary Salaries Survey" xfId="7313"/>
    <cellStyle name="RowTitles1-Detail 2 2 5 2 3 3" xfId="7314"/>
    <cellStyle name="RowTitles1-Detail 2 2 5 2 3_Tertiary Salaries Survey" xfId="7315"/>
    <cellStyle name="RowTitles1-Detail 2 2 5 2 4" xfId="7316"/>
    <cellStyle name="RowTitles1-Detail 2 2 5 2 5" xfId="7317"/>
    <cellStyle name="RowTitles1-Detail 2 2 5 2 5 2" xfId="7318"/>
    <cellStyle name="RowTitles1-Detail 2 2 5 2 5_Tertiary Salaries Survey" xfId="7319"/>
    <cellStyle name="RowTitles1-Detail 2 2 5 2 6" xfId="7320"/>
    <cellStyle name="RowTitles1-Detail 2 2 5 2_Tertiary Salaries Survey" xfId="7321"/>
    <cellStyle name="RowTitles1-Detail 2 2 5 3" xfId="7322"/>
    <cellStyle name="RowTitles1-Detail 2 2 5 3 2" xfId="7323"/>
    <cellStyle name="RowTitles1-Detail 2 2 5 3 2 2" xfId="7324"/>
    <cellStyle name="RowTitles1-Detail 2 2 5 3 2 2 2" xfId="7325"/>
    <cellStyle name="RowTitles1-Detail 2 2 5 3 2 2_Tertiary Salaries Survey" xfId="7326"/>
    <cellStyle name="RowTitles1-Detail 2 2 5 3 2 3" xfId="7327"/>
    <cellStyle name="RowTitles1-Detail 2 2 5 3 2_Tertiary Salaries Survey" xfId="7328"/>
    <cellStyle name="RowTitles1-Detail 2 2 5 3 3" xfId="7329"/>
    <cellStyle name="RowTitles1-Detail 2 2 5 3 3 2" xfId="7330"/>
    <cellStyle name="RowTitles1-Detail 2 2 5 3 3 2 2" xfId="7331"/>
    <cellStyle name="RowTitles1-Detail 2 2 5 3 3 2_Tertiary Salaries Survey" xfId="7332"/>
    <cellStyle name="RowTitles1-Detail 2 2 5 3 3 3" xfId="7333"/>
    <cellStyle name="RowTitles1-Detail 2 2 5 3 3_Tertiary Salaries Survey" xfId="7334"/>
    <cellStyle name="RowTitles1-Detail 2 2 5 3 4" xfId="7335"/>
    <cellStyle name="RowTitles1-Detail 2 2 5 3 5" xfId="7336"/>
    <cellStyle name="RowTitles1-Detail 2 2 5 3_Tertiary Salaries Survey" xfId="7337"/>
    <cellStyle name="RowTitles1-Detail 2 2 5 4" xfId="7338"/>
    <cellStyle name="RowTitles1-Detail 2 2 5 4 2" xfId="7339"/>
    <cellStyle name="RowTitles1-Detail 2 2 5 4 2 2" xfId="7340"/>
    <cellStyle name="RowTitles1-Detail 2 2 5 4 2 2 2" xfId="7341"/>
    <cellStyle name="RowTitles1-Detail 2 2 5 4 2 2_Tertiary Salaries Survey" xfId="7342"/>
    <cellStyle name="RowTitles1-Detail 2 2 5 4 2 3" xfId="7343"/>
    <cellStyle name="RowTitles1-Detail 2 2 5 4 2_Tertiary Salaries Survey" xfId="7344"/>
    <cellStyle name="RowTitles1-Detail 2 2 5 4 3" xfId="7345"/>
    <cellStyle name="RowTitles1-Detail 2 2 5 4 3 2" xfId="7346"/>
    <cellStyle name="RowTitles1-Detail 2 2 5 4 3 2 2" xfId="7347"/>
    <cellStyle name="RowTitles1-Detail 2 2 5 4 3 2_Tertiary Salaries Survey" xfId="7348"/>
    <cellStyle name="RowTitles1-Detail 2 2 5 4 3 3" xfId="7349"/>
    <cellStyle name="RowTitles1-Detail 2 2 5 4 3_Tertiary Salaries Survey" xfId="7350"/>
    <cellStyle name="RowTitles1-Detail 2 2 5 4 4" xfId="7351"/>
    <cellStyle name="RowTitles1-Detail 2 2 5 4 4 2" xfId="7352"/>
    <cellStyle name="RowTitles1-Detail 2 2 5 4 4_Tertiary Salaries Survey" xfId="7353"/>
    <cellStyle name="RowTitles1-Detail 2 2 5 4 5" xfId="7354"/>
    <cellStyle name="RowTitles1-Detail 2 2 5 4_Tertiary Salaries Survey" xfId="7355"/>
    <cellStyle name="RowTitles1-Detail 2 2 5 5" xfId="7356"/>
    <cellStyle name="RowTitles1-Detail 2 2 5 5 2" xfId="7357"/>
    <cellStyle name="RowTitles1-Detail 2 2 5 5 2 2" xfId="7358"/>
    <cellStyle name="RowTitles1-Detail 2 2 5 5 2 2 2" xfId="7359"/>
    <cellStyle name="RowTitles1-Detail 2 2 5 5 2 2_Tertiary Salaries Survey" xfId="7360"/>
    <cellStyle name="RowTitles1-Detail 2 2 5 5 2 3" xfId="7361"/>
    <cellStyle name="RowTitles1-Detail 2 2 5 5 2_Tertiary Salaries Survey" xfId="7362"/>
    <cellStyle name="RowTitles1-Detail 2 2 5 5 3" xfId="7363"/>
    <cellStyle name="RowTitles1-Detail 2 2 5 5 3 2" xfId="7364"/>
    <cellStyle name="RowTitles1-Detail 2 2 5 5 3 2 2" xfId="7365"/>
    <cellStyle name="RowTitles1-Detail 2 2 5 5 3 2_Tertiary Salaries Survey" xfId="7366"/>
    <cellStyle name="RowTitles1-Detail 2 2 5 5 3 3" xfId="7367"/>
    <cellStyle name="RowTitles1-Detail 2 2 5 5 3_Tertiary Salaries Survey" xfId="7368"/>
    <cellStyle name="RowTitles1-Detail 2 2 5 5 4" xfId="7369"/>
    <cellStyle name="RowTitles1-Detail 2 2 5 5 4 2" xfId="7370"/>
    <cellStyle name="RowTitles1-Detail 2 2 5 5 4_Tertiary Salaries Survey" xfId="7371"/>
    <cellStyle name="RowTitles1-Detail 2 2 5 5 5" xfId="7372"/>
    <cellStyle name="RowTitles1-Detail 2 2 5 5_Tertiary Salaries Survey" xfId="7373"/>
    <cellStyle name="RowTitles1-Detail 2 2 5 6" xfId="7374"/>
    <cellStyle name="RowTitles1-Detail 2 2 5 6 2" xfId="7375"/>
    <cellStyle name="RowTitles1-Detail 2 2 5 6 2 2" xfId="7376"/>
    <cellStyle name="RowTitles1-Detail 2 2 5 6 2 2 2" xfId="7377"/>
    <cellStyle name="RowTitles1-Detail 2 2 5 6 2 2_Tertiary Salaries Survey" xfId="7378"/>
    <cellStyle name="RowTitles1-Detail 2 2 5 6 2 3" xfId="7379"/>
    <cellStyle name="RowTitles1-Detail 2 2 5 6 2_Tertiary Salaries Survey" xfId="7380"/>
    <cellStyle name="RowTitles1-Detail 2 2 5 6 3" xfId="7381"/>
    <cellStyle name="RowTitles1-Detail 2 2 5 6 3 2" xfId="7382"/>
    <cellStyle name="RowTitles1-Detail 2 2 5 6 3 2 2" xfId="7383"/>
    <cellStyle name="RowTitles1-Detail 2 2 5 6 3 2_Tertiary Salaries Survey" xfId="7384"/>
    <cellStyle name="RowTitles1-Detail 2 2 5 6 3 3" xfId="7385"/>
    <cellStyle name="RowTitles1-Detail 2 2 5 6 3_Tertiary Salaries Survey" xfId="7386"/>
    <cellStyle name="RowTitles1-Detail 2 2 5 6 4" xfId="7387"/>
    <cellStyle name="RowTitles1-Detail 2 2 5 6 4 2" xfId="7388"/>
    <cellStyle name="RowTitles1-Detail 2 2 5 6 4_Tertiary Salaries Survey" xfId="7389"/>
    <cellStyle name="RowTitles1-Detail 2 2 5 6 5" xfId="7390"/>
    <cellStyle name="RowTitles1-Detail 2 2 5 6_Tertiary Salaries Survey" xfId="7391"/>
    <cellStyle name="RowTitles1-Detail 2 2 5 7" xfId="7392"/>
    <cellStyle name="RowTitles1-Detail 2 2 5 7 2" xfId="7393"/>
    <cellStyle name="RowTitles1-Detail 2 2 5 7 2 2" xfId="7394"/>
    <cellStyle name="RowTitles1-Detail 2 2 5 7 2_Tertiary Salaries Survey" xfId="7395"/>
    <cellStyle name="RowTitles1-Detail 2 2 5 7 3" xfId="7396"/>
    <cellStyle name="RowTitles1-Detail 2 2 5 7_Tertiary Salaries Survey" xfId="7397"/>
    <cellStyle name="RowTitles1-Detail 2 2 5 8" xfId="7398"/>
    <cellStyle name="RowTitles1-Detail 2 2 5 8 2" xfId="7399"/>
    <cellStyle name="RowTitles1-Detail 2 2 5 8 2 2" xfId="7400"/>
    <cellStyle name="RowTitles1-Detail 2 2 5 8 2_Tertiary Salaries Survey" xfId="7401"/>
    <cellStyle name="RowTitles1-Detail 2 2 5 8 3" xfId="7402"/>
    <cellStyle name="RowTitles1-Detail 2 2 5 8_Tertiary Salaries Survey" xfId="7403"/>
    <cellStyle name="RowTitles1-Detail 2 2 5 9" xfId="7404"/>
    <cellStyle name="RowTitles1-Detail 2 2 5_STUD aligned by INSTIT" xfId="7405"/>
    <cellStyle name="RowTitles1-Detail 2 2 6" xfId="7406"/>
    <cellStyle name="RowTitles1-Detail 2 2 6 2" xfId="7407"/>
    <cellStyle name="RowTitles1-Detail 2 2 6 2 2" xfId="7408"/>
    <cellStyle name="RowTitles1-Detail 2 2 6 2 2 2" xfId="7409"/>
    <cellStyle name="RowTitles1-Detail 2 2 6 2 2 2 2" xfId="7410"/>
    <cellStyle name="RowTitles1-Detail 2 2 6 2 2 2_Tertiary Salaries Survey" xfId="7411"/>
    <cellStyle name="RowTitles1-Detail 2 2 6 2 2 3" xfId="7412"/>
    <cellStyle name="RowTitles1-Detail 2 2 6 2 2_Tertiary Salaries Survey" xfId="7413"/>
    <cellStyle name="RowTitles1-Detail 2 2 6 2 3" xfId="7414"/>
    <cellStyle name="RowTitles1-Detail 2 2 6 2 3 2" xfId="7415"/>
    <cellStyle name="RowTitles1-Detail 2 2 6 2 3 2 2" xfId="7416"/>
    <cellStyle name="RowTitles1-Detail 2 2 6 2 3 2_Tertiary Salaries Survey" xfId="7417"/>
    <cellStyle name="RowTitles1-Detail 2 2 6 2 3 3" xfId="7418"/>
    <cellStyle name="RowTitles1-Detail 2 2 6 2 3_Tertiary Salaries Survey" xfId="7419"/>
    <cellStyle name="RowTitles1-Detail 2 2 6 2 4" xfId="7420"/>
    <cellStyle name="RowTitles1-Detail 2 2 6 2 5" xfId="7421"/>
    <cellStyle name="RowTitles1-Detail 2 2 6 2 5 2" xfId="7422"/>
    <cellStyle name="RowTitles1-Detail 2 2 6 2 5_Tertiary Salaries Survey" xfId="7423"/>
    <cellStyle name="RowTitles1-Detail 2 2 6 2 6" xfId="7424"/>
    <cellStyle name="RowTitles1-Detail 2 2 6 2_Tertiary Salaries Survey" xfId="7425"/>
    <cellStyle name="RowTitles1-Detail 2 2 6 3" xfId="7426"/>
    <cellStyle name="RowTitles1-Detail 2 2 6 3 2" xfId="7427"/>
    <cellStyle name="RowTitles1-Detail 2 2 6 3 2 2" xfId="7428"/>
    <cellStyle name="RowTitles1-Detail 2 2 6 3 2 2 2" xfId="7429"/>
    <cellStyle name="RowTitles1-Detail 2 2 6 3 2 2_Tertiary Salaries Survey" xfId="7430"/>
    <cellStyle name="RowTitles1-Detail 2 2 6 3 2 3" xfId="7431"/>
    <cellStyle name="RowTitles1-Detail 2 2 6 3 2_Tertiary Salaries Survey" xfId="7432"/>
    <cellStyle name="RowTitles1-Detail 2 2 6 3 3" xfId="7433"/>
    <cellStyle name="RowTitles1-Detail 2 2 6 3 3 2" xfId="7434"/>
    <cellStyle name="RowTitles1-Detail 2 2 6 3 3 2 2" xfId="7435"/>
    <cellStyle name="RowTitles1-Detail 2 2 6 3 3 2_Tertiary Salaries Survey" xfId="7436"/>
    <cellStyle name="RowTitles1-Detail 2 2 6 3 3 3" xfId="7437"/>
    <cellStyle name="RowTitles1-Detail 2 2 6 3 3_Tertiary Salaries Survey" xfId="7438"/>
    <cellStyle name="RowTitles1-Detail 2 2 6 3 4" xfId="7439"/>
    <cellStyle name="RowTitles1-Detail 2 2 6 3 5" xfId="7440"/>
    <cellStyle name="RowTitles1-Detail 2 2 6 3_Tertiary Salaries Survey" xfId="7441"/>
    <cellStyle name="RowTitles1-Detail 2 2 6 4" xfId="7442"/>
    <cellStyle name="RowTitles1-Detail 2 2 6 4 2" xfId="7443"/>
    <cellStyle name="RowTitles1-Detail 2 2 6 4 2 2" xfId="7444"/>
    <cellStyle name="RowTitles1-Detail 2 2 6 4 2 2 2" xfId="7445"/>
    <cellStyle name="RowTitles1-Detail 2 2 6 4 2 2_Tertiary Salaries Survey" xfId="7446"/>
    <cellStyle name="RowTitles1-Detail 2 2 6 4 2 3" xfId="7447"/>
    <cellStyle name="RowTitles1-Detail 2 2 6 4 2_Tertiary Salaries Survey" xfId="7448"/>
    <cellStyle name="RowTitles1-Detail 2 2 6 4 3" xfId="7449"/>
    <cellStyle name="RowTitles1-Detail 2 2 6 4 3 2" xfId="7450"/>
    <cellStyle name="RowTitles1-Detail 2 2 6 4 3 2 2" xfId="7451"/>
    <cellStyle name="RowTitles1-Detail 2 2 6 4 3 2_Tertiary Salaries Survey" xfId="7452"/>
    <cellStyle name="RowTitles1-Detail 2 2 6 4 3 3" xfId="7453"/>
    <cellStyle name="RowTitles1-Detail 2 2 6 4 3_Tertiary Salaries Survey" xfId="7454"/>
    <cellStyle name="RowTitles1-Detail 2 2 6 4 4" xfId="7455"/>
    <cellStyle name="RowTitles1-Detail 2 2 6 4 5" xfId="7456"/>
    <cellStyle name="RowTitles1-Detail 2 2 6 4 5 2" xfId="7457"/>
    <cellStyle name="RowTitles1-Detail 2 2 6 4 5_Tertiary Salaries Survey" xfId="7458"/>
    <cellStyle name="RowTitles1-Detail 2 2 6 4 6" xfId="7459"/>
    <cellStyle name="RowTitles1-Detail 2 2 6 4_Tertiary Salaries Survey" xfId="7460"/>
    <cellStyle name="RowTitles1-Detail 2 2 6 5" xfId="7461"/>
    <cellStyle name="RowTitles1-Detail 2 2 6 5 2" xfId="7462"/>
    <cellStyle name="RowTitles1-Detail 2 2 6 5 2 2" xfId="7463"/>
    <cellStyle name="RowTitles1-Detail 2 2 6 5 2 2 2" xfId="7464"/>
    <cellStyle name="RowTitles1-Detail 2 2 6 5 2 2_Tertiary Salaries Survey" xfId="7465"/>
    <cellStyle name="RowTitles1-Detail 2 2 6 5 2 3" xfId="7466"/>
    <cellStyle name="RowTitles1-Detail 2 2 6 5 2_Tertiary Salaries Survey" xfId="7467"/>
    <cellStyle name="RowTitles1-Detail 2 2 6 5 3" xfId="7468"/>
    <cellStyle name="RowTitles1-Detail 2 2 6 5 3 2" xfId="7469"/>
    <cellStyle name="RowTitles1-Detail 2 2 6 5 3 2 2" xfId="7470"/>
    <cellStyle name="RowTitles1-Detail 2 2 6 5 3 2_Tertiary Salaries Survey" xfId="7471"/>
    <cellStyle name="RowTitles1-Detail 2 2 6 5 3 3" xfId="7472"/>
    <cellStyle name="RowTitles1-Detail 2 2 6 5 3_Tertiary Salaries Survey" xfId="7473"/>
    <cellStyle name="RowTitles1-Detail 2 2 6 5 4" xfId="7474"/>
    <cellStyle name="RowTitles1-Detail 2 2 6 5 4 2" xfId="7475"/>
    <cellStyle name="RowTitles1-Detail 2 2 6 5 4_Tertiary Salaries Survey" xfId="7476"/>
    <cellStyle name="RowTitles1-Detail 2 2 6 5 5" xfId="7477"/>
    <cellStyle name="RowTitles1-Detail 2 2 6 5_Tertiary Salaries Survey" xfId="7478"/>
    <cellStyle name="RowTitles1-Detail 2 2 6 6" xfId="7479"/>
    <cellStyle name="RowTitles1-Detail 2 2 6 6 2" xfId="7480"/>
    <cellStyle name="RowTitles1-Detail 2 2 6 6 2 2" xfId="7481"/>
    <cellStyle name="RowTitles1-Detail 2 2 6 6 2 2 2" xfId="7482"/>
    <cellStyle name="RowTitles1-Detail 2 2 6 6 2 2_Tertiary Salaries Survey" xfId="7483"/>
    <cellStyle name="RowTitles1-Detail 2 2 6 6 2 3" xfId="7484"/>
    <cellStyle name="RowTitles1-Detail 2 2 6 6 2_Tertiary Salaries Survey" xfId="7485"/>
    <cellStyle name="RowTitles1-Detail 2 2 6 6 3" xfId="7486"/>
    <cellStyle name="RowTitles1-Detail 2 2 6 6 3 2" xfId="7487"/>
    <cellStyle name="RowTitles1-Detail 2 2 6 6 3 2 2" xfId="7488"/>
    <cellStyle name="RowTitles1-Detail 2 2 6 6 3 2_Tertiary Salaries Survey" xfId="7489"/>
    <cellStyle name="RowTitles1-Detail 2 2 6 6 3 3" xfId="7490"/>
    <cellStyle name="RowTitles1-Detail 2 2 6 6 3_Tertiary Salaries Survey" xfId="7491"/>
    <cellStyle name="RowTitles1-Detail 2 2 6 6 4" xfId="7492"/>
    <cellStyle name="RowTitles1-Detail 2 2 6 6 4 2" xfId="7493"/>
    <cellStyle name="RowTitles1-Detail 2 2 6 6 4_Tertiary Salaries Survey" xfId="7494"/>
    <cellStyle name="RowTitles1-Detail 2 2 6 6 5" xfId="7495"/>
    <cellStyle name="RowTitles1-Detail 2 2 6 6_Tertiary Salaries Survey" xfId="7496"/>
    <cellStyle name="RowTitles1-Detail 2 2 6 7" xfId="7497"/>
    <cellStyle name="RowTitles1-Detail 2 2 6 7 2" xfId="7498"/>
    <cellStyle name="RowTitles1-Detail 2 2 6 7 2 2" xfId="7499"/>
    <cellStyle name="RowTitles1-Detail 2 2 6 7 2_Tertiary Salaries Survey" xfId="7500"/>
    <cellStyle name="RowTitles1-Detail 2 2 6 7 3" xfId="7501"/>
    <cellStyle name="RowTitles1-Detail 2 2 6 7_Tertiary Salaries Survey" xfId="7502"/>
    <cellStyle name="RowTitles1-Detail 2 2 6 8" xfId="7503"/>
    <cellStyle name="RowTitles1-Detail 2 2 6 9" xfId="7504"/>
    <cellStyle name="RowTitles1-Detail 2 2 6_STUD aligned by INSTIT" xfId="7505"/>
    <cellStyle name="RowTitles1-Detail 2 2 7" xfId="7506"/>
    <cellStyle name="RowTitles1-Detail 2 2 7 2" xfId="7507"/>
    <cellStyle name="RowTitles1-Detail 2 2 7 2 2" xfId="7508"/>
    <cellStyle name="RowTitles1-Detail 2 2 7 2 2 2" xfId="7509"/>
    <cellStyle name="RowTitles1-Detail 2 2 7 2 2_Tertiary Salaries Survey" xfId="7510"/>
    <cellStyle name="RowTitles1-Detail 2 2 7 2 3" xfId="7511"/>
    <cellStyle name="RowTitles1-Detail 2 2 7 2_Tertiary Salaries Survey" xfId="7512"/>
    <cellStyle name="RowTitles1-Detail 2 2 7 3" xfId="7513"/>
    <cellStyle name="RowTitles1-Detail 2 2 7 3 2" xfId="7514"/>
    <cellStyle name="RowTitles1-Detail 2 2 7 3 2 2" xfId="7515"/>
    <cellStyle name="RowTitles1-Detail 2 2 7 3 2_Tertiary Salaries Survey" xfId="7516"/>
    <cellStyle name="RowTitles1-Detail 2 2 7 3 3" xfId="7517"/>
    <cellStyle name="RowTitles1-Detail 2 2 7 3_Tertiary Salaries Survey" xfId="7518"/>
    <cellStyle name="RowTitles1-Detail 2 2 7 4" xfId="7519"/>
    <cellStyle name="RowTitles1-Detail 2 2 7 5" xfId="7520"/>
    <cellStyle name="RowTitles1-Detail 2 2 7 5 2" xfId="7521"/>
    <cellStyle name="RowTitles1-Detail 2 2 7 5_Tertiary Salaries Survey" xfId="7522"/>
    <cellStyle name="RowTitles1-Detail 2 2 7 6" xfId="7523"/>
    <cellStyle name="RowTitles1-Detail 2 2 7_Tertiary Salaries Survey" xfId="7524"/>
    <cellStyle name="RowTitles1-Detail 2 2 8" xfId="7525"/>
    <cellStyle name="RowTitles1-Detail 2 2 8 2" xfId="7526"/>
    <cellStyle name="RowTitles1-Detail 2 2 8 2 2" xfId="7527"/>
    <cellStyle name="RowTitles1-Detail 2 2 8 2 2 2" xfId="7528"/>
    <cellStyle name="RowTitles1-Detail 2 2 8 2 2_Tertiary Salaries Survey" xfId="7529"/>
    <cellStyle name="RowTitles1-Detail 2 2 8 2 3" xfId="7530"/>
    <cellStyle name="RowTitles1-Detail 2 2 8 2_Tertiary Salaries Survey" xfId="7531"/>
    <cellStyle name="RowTitles1-Detail 2 2 8 3" xfId="7532"/>
    <cellStyle name="RowTitles1-Detail 2 2 8 3 2" xfId="7533"/>
    <cellStyle name="RowTitles1-Detail 2 2 8 3 2 2" xfId="7534"/>
    <cellStyle name="RowTitles1-Detail 2 2 8 3 2_Tertiary Salaries Survey" xfId="7535"/>
    <cellStyle name="RowTitles1-Detail 2 2 8 3 3" xfId="7536"/>
    <cellStyle name="RowTitles1-Detail 2 2 8 3_Tertiary Salaries Survey" xfId="7537"/>
    <cellStyle name="RowTitles1-Detail 2 2 8 4" xfId="7538"/>
    <cellStyle name="RowTitles1-Detail 2 2 8 5" xfId="7539"/>
    <cellStyle name="RowTitles1-Detail 2 2 8_Tertiary Salaries Survey" xfId="7540"/>
    <cellStyle name="RowTitles1-Detail 2 2 9" xfId="7541"/>
    <cellStyle name="RowTitles1-Detail 2 2 9 2" xfId="7542"/>
    <cellStyle name="RowTitles1-Detail 2 2 9 2 2" xfId="7543"/>
    <cellStyle name="RowTitles1-Detail 2 2 9 2 2 2" xfId="7544"/>
    <cellStyle name="RowTitles1-Detail 2 2 9 2 2_Tertiary Salaries Survey" xfId="7545"/>
    <cellStyle name="RowTitles1-Detail 2 2 9 2 3" xfId="7546"/>
    <cellStyle name="RowTitles1-Detail 2 2 9 2_Tertiary Salaries Survey" xfId="7547"/>
    <cellStyle name="RowTitles1-Detail 2 2 9 3" xfId="7548"/>
    <cellStyle name="RowTitles1-Detail 2 2 9 3 2" xfId="7549"/>
    <cellStyle name="RowTitles1-Detail 2 2 9 3 2 2" xfId="7550"/>
    <cellStyle name="RowTitles1-Detail 2 2 9 3 2_Tertiary Salaries Survey" xfId="7551"/>
    <cellStyle name="RowTitles1-Detail 2 2 9 3 3" xfId="7552"/>
    <cellStyle name="RowTitles1-Detail 2 2 9 3_Tertiary Salaries Survey" xfId="7553"/>
    <cellStyle name="RowTitles1-Detail 2 2 9 4" xfId="7554"/>
    <cellStyle name="RowTitles1-Detail 2 2 9 5" xfId="7555"/>
    <cellStyle name="RowTitles1-Detail 2 2 9 5 2" xfId="7556"/>
    <cellStyle name="RowTitles1-Detail 2 2 9 5_Tertiary Salaries Survey" xfId="7557"/>
    <cellStyle name="RowTitles1-Detail 2 2 9 6" xfId="7558"/>
    <cellStyle name="RowTitles1-Detail 2 2 9_Tertiary Salaries Survey" xfId="7559"/>
    <cellStyle name="RowTitles1-Detail 2 2_STUD aligned by INSTIT" xfId="7560"/>
    <cellStyle name="RowTitles1-Detail 2 3" xfId="7561"/>
    <cellStyle name="RowTitles1-Detail 2 3 10" xfId="7562"/>
    <cellStyle name="RowTitles1-Detail 2 3 10 2" xfId="7563"/>
    <cellStyle name="RowTitles1-Detail 2 3 10 2 2" xfId="7564"/>
    <cellStyle name="RowTitles1-Detail 2 3 10 2 2 2" xfId="7565"/>
    <cellStyle name="RowTitles1-Detail 2 3 10 2 2_Tertiary Salaries Survey" xfId="7566"/>
    <cellStyle name="RowTitles1-Detail 2 3 10 2 3" xfId="7567"/>
    <cellStyle name="RowTitles1-Detail 2 3 10 2_Tertiary Salaries Survey" xfId="7568"/>
    <cellStyle name="RowTitles1-Detail 2 3 10 3" xfId="7569"/>
    <cellStyle name="RowTitles1-Detail 2 3 10 3 2" xfId="7570"/>
    <cellStyle name="RowTitles1-Detail 2 3 10 3 2 2" xfId="7571"/>
    <cellStyle name="RowTitles1-Detail 2 3 10 3 2_Tertiary Salaries Survey" xfId="7572"/>
    <cellStyle name="RowTitles1-Detail 2 3 10 3 3" xfId="7573"/>
    <cellStyle name="RowTitles1-Detail 2 3 10 3_Tertiary Salaries Survey" xfId="7574"/>
    <cellStyle name="RowTitles1-Detail 2 3 10 4" xfId="7575"/>
    <cellStyle name="RowTitles1-Detail 2 3 10 4 2" xfId="7576"/>
    <cellStyle name="RowTitles1-Detail 2 3 10 4_Tertiary Salaries Survey" xfId="7577"/>
    <cellStyle name="RowTitles1-Detail 2 3 10 5" xfId="7578"/>
    <cellStyle name="RowTitles1-Detail 2 3 10_Tertiary Salaries Survey" xfId="7579"/>
    <cellStyle name="RowTitles1-Detail 2 3 11" xfId="7580"/>
    <cellStyle name="RowTitles1-Detail 2 3 11 2" xfId="7581"/>
    <cellStyle name="RowTitles1-Detail 2 3 11 2 2" xfId="7582"/>
    <cellStyle name="RowTitles1-Detail 2 3 11 2 2 2" xfId="7583"/>
    <cellStyle name="RowTitles1-Detail 2 3 11 2 2_Tertiary Salaries Survey" xfId="7584"/>
    <cellStyle name="RowTitles1-Detail 2 3 11 2 3" xfId="7585"/>
    <cellStyle name="RowTitles1-Detail 2 3 11 2_Tertiary Salaries Survey" xfId="7586"/>
    <cellStyle name="RowTitles1-Detail 2 3 11 3" xfId="7587"/>
    <cellStyle name="RowTitles1-Detail 2 3 11 3 2" xfId="7588"/>
    <cellStyle name="RowTitles1-Detail 2 3 11 3 2 2" xfId="7589"/>
    <cellStyle name="RowTitles1-Detail 2 3 11 3 2_Tertiary Salaries Survey" xfId="7590"/>
    <cellStyle name="RowTitles1-Detail 2 3 11 3 3" xfId="7591"/>
    <cellStyle name="RowTitles1-Detail 2 3 11 3_Tertiary Salaries Survey" xfId="7592"/>
    <cellStyle name="RowTitles1-Detail 2 3 11 4" xfId="7593"/>
    <cellStyle name="RowTitles1-Detail 2 3 11 4 2" xfId="7594"/>
    <cellStyle name="RowTitles1-Detail 2 3 11 4_Tertiary Salaries Survey" xfId="7595"/>
    <cellStyle name="RowTitles1-Detail 2 3 11 5" xfId="7596"/>
    <cellStyle name="RowTitles1-Detail 2 3 11_Tertiary Salaries Survey" xfId="7597"/>
    <cellStyle name="RowTitles1-Detail 2 3 12" xfId="7598"/>
    <cellStyle name="RowTitles1-Detail 2 3 12 2" xfId="7599"/>
    <cellStyle name="RowTitles1-Detail 2 3 12 2 2" xfId="7600"/>
    <cellStyle name="RowTitles1-Detail 2 3 12 2_Tertiary Salaries Survey" xfId="7601"/>
    <cellStyle name="RowTitles1-Detail 2 3 12 3" xfId="7602"/>
    <cellStyle name="RowTitles1-Detail 2 3 12_Tertiary Salaries Survey" xfId="7603"/>
    <cellStyle name="RowTitles1-Detail 2 3 13" xfId="7604"/>
    <cellStyle name="RowTitles1-Detail 2 3 14" xfId="7605"/>
    <cellStyle name="RowTitles1-Detail 2 3 15" xfId="7606"/>
    <cellStyle name="RowTitles1-Detail 2 3 2" xfId="7607"/>
    <cellStyle name="RowTitles1-Detail 2 3 2 10" xfId="7608"/>
    <cellStyle name="RowTitles1-Detail 2 3 2 10 2" xfId="7609"/>
    <cellStyle name="RowTitles1-Detail 2 3 2 10 2 2" xfId="7610"/>
    <cellStyle name="RowTitles1-Detail 2 3 2 10 2 2 2" xfId="7611"/>
    <cellStyle name="RowTitles1-Detail 2 3 2 10 2 2_Tertiary Salaries Survey" xfId="7612"/>
    <cellStyle name="RowTitles1-Detail 2 3 2 10 2 3" xfId="7613"/>
    <cellStyle name="RowTitles1-Detail 2 3 2 10 2_Tertiary Salaries Survey" xfId="7614"/>
    <cellStyle name="RowTitles1-Detail 2 3 2 10 3" xfId="7615"/>
    <cellStyle name="RowTitles1-Detail 2 3 2 10 3 2" xfId="7616"/>
    <cellStyle name="RowTitles1-Detail 2 3 2 10 3 2 2" xfId="7617"/>
    <cellStyle name="RowTitles1-Detail 2 3 2 10 3 2_Tertiary Salaries Survey" xfId="7618"/>
    <cellStyle name="RowTitles1-Detail 2 3 2 10 3 3" xfId="7619"/>
    <cellStyle name="RowTitles1-Detail 2 3 2 10 3_Tertiary Salaries Survey" xfId="7620"/>
    <cellStyle name="RowTitles1-Detail 2 3 2 10 4" xfId="7621"/>
    <cellStyle name="RowTitles1-Detail 2 3 2 10 4 2" xfId="7622"/>
    <cellStyle name="RowTitles1-Detail 2 3 2 10 4_Tertiary Salaries Survey" xfId="7623"/>
    <cellStyle name="RowTitles1-Detail 2 3 2 10 5" xfId="7624"/>
    <cellStyle name="RowTitles1-Detail 2 3 2 10_Tertiary Salaries Survey" xfId="7625"/>
    <cellStyle name="RowTitles1-Detail 2 3 2 11" xfId="7626"/>
    <cellStyle name="RowTitles1-Detail 2 3 2 11 2" xfId="7627"/>
    <cellStyle name="RowTitles1-Detail 2 3 2 11 2 2" xfId="7628"/>
    <cellStyle name="RowTitles1-Detail 2 3 2 11 2_Tertiary Salaries Survey" xfId="7629"/>
    <cellStyle name="RowTitles1-Detail 2 3 2 11 3" xfId="7630"/>
    <cellStyle name="RowTitles1-Detail 2 3 2 11_Tertiary Salaries Survey" xfId="7631"/>
    <cellStyle name="RowTitles1-Detail 2 3 2 12" xfId="7632"/>
    <cellStyle name="RowTitles1-Detail 2 3 2 13" xfId="7633"/>
    <cellStyle name="RowTitles1-Detail 2 3 2 2" xfId="7634"/>
    <cellStyle name="RowTitles1-Detail 2 3 2 2 10" xfId="7635"/>
    <cellStyle name="RowTitles1-Detail 2 3 2 2 10 2" xfId="7636"/>
    <cellStyle name="RowTitles1-Detail 2 3 2 2 10 2 2" xfId="7637"/>
    <cellStyle name="RowTitles1-Detail 2 3 2 2 10 2_Tertiary Salaries Survey" xfId="7638"/>
    <cellStyle name="RowTitles1-Detail 2 3 2 2 10 3" xfId="7639"/>
    <cellStyle name="RowTitles1-Detail 2 3 2 2 10_Tertiary Salaries Survey" xfId="7640"/>
    <cellStyle name="RowTitles1-Detail 2 3 2 2 11" xfId="7641"/>
    <cellStyle name="RowTitles1-Detail 2 3 2 2 12" xfId="7642"/>
    <cellStyle name="RowTitles1-Detail 2 3 2 2 2" xfId="7643"/>
    <cellStyle name="RowTitles1-Detail 2 3 2 2 2 2" xfId="7644"/>
    <cellStyle name="RowTitles1-Detail 2 3 2 2 2 2 2" xfId="7645"/>
    <cellStyle name="RowTitles1-Detail 2 3 2 2 2 2 2 2" xfId="7646"/>
    <cellStyle name="RowTitles1-Detail 2 3 2 2 2 2 2 2 2" xfId="7647"/>
    <cellStyle name="RowTitles1-Detail 2 3 2 2 2 2 2 2_Tertiary Salaries Survey" xfId="7648"/>
    <cellStyle name="RowTitles1-Detail 2 3 2 2 2 2 2 3" xfId="7649"/>
    <cellStyle name="RowTitles1-Detail 2 3 2 2 2 2 2_Tertiary Salaries Survey" xfId="7650"/>
    <cellStyle name="RowTitles1-Detail 2 3 2 2 2 2 3" xfId="7651"/>
    <cellStyle name="RowTitles1-Detail 2 3 2 2 2 2 3 2" xfId="7652"/>
    <cellStyle name="RowTitles1-Detail 2 3 2 2 2 2 3 2 2" xfId="7653"/>
    <cellStyle name="RowTitles1-Detail 2 3 2 2 2 2 3 2_Tertiary Salaries Survey" xfId="7654"/>
    <cellStyle name="RowTitles1-Detail 2 3 2 2 2 2 3 3" xfId="7655"/>
    <cellStyle name="RowTitles1-Detail 2 3 2 2 2 2 3_Tertiary Salaries Survey" xfId="7656"/>
    <cellStyle name="RowTitles1-Detail 2 3 2 2 2 2 4" xfId="7657"/>
    <cellStyle name="RowTitles1-Detail 2 3 2 2 2 2 5" xfId="7658"/>
    <cellStyle name="RowTitles1-Detail 2 3 2 2 2 2_Tertiary Salaries Survey" xfId="7659"/>
    <cellStyle name="RowTitles1-Detail 2 3 2 2 2 3" xfId="7660"/>
    <cellStyle name="RowTitles1-Detail 2 3 2 2 2 3 2" xfId="7661"/>
    <cellStyle name="RowTitles1-Detail 2 3 2 2 2 3 2 2" xfId="7662"/>
    <cellStyle name="RowTitles1-Detail 2 3 2 2 2 3 2 2 2" xfId="7663"/>
    <cellStyle name="RowTitles1-Detail 2 3 2 2 2 3 2 2_Tertiary Salaries Survey" xfId="7664"/>
    <cellStyle name="RowTitles1-Detail 2 3 2 2 2 3 2 3" xfId="7665"/>
    <cellStyle name="RowTitles1-Detail 2 3 2 2 2 3 2_Tertiary Salaries Survey" xfId="7666"/>
    <cellStyle name="RowTitles1-Detail 2 3 2 2 2 3 3" xfId="7667"/>
    <cellStyle name="RowTitles1-Detail 2 3 2 2 2 3 3 2" xfId="7668"/>
    <cellStyle name="RowTitles1-Detail 2 3 2 2 2 3 3 2 2" xfId="7669"/>
    <cellStyle name="RowTitles1-Detail 2 3 2 2 2 3 3 2_Tertiary Salaries Survey" xfId="7670"/>
    <cellStyle name="RowTitles1-Detail 2 3 2 2 2 3 3 3" xfId="7671"/>
    <cellStyle name="RowTitles1-Detail 2 3 2 2 2 3 3_Tertiary Salaries Survey" xfId="7672"/>
    <cellStyle name="RowTitles1-Detail 2 3 2 2 2 3 4" xfId="7673"/>
    <cellStyle name="RowTitles1-Detail 2 3 2 2 2 3 5" xfId="7674"/>
    <cellStyle name="RowTitles1-Detail 2 3 2 2 2 3 5 2" xfId="7675"/>
    <cellStyle name="RowTitles1-Detail 2 3 2 2 2 3 5_Tertiary Salaries Survey" xfId="7676"/>
    <cellStyle name="RowTitles1-Detail 2 3 2 2 2 3 6" xfId="7677"/>
    <cellStyle name="RowTitles1-Detail 2 3 2 2 2 3_Tertiary Salaries Survey" xfId="7678"/>
    <cellStyle name="RowTitles1-Detail 2 3 2 2 2 4" xfId="7679"/>
    <cellStyle name="RowTitles1-Detail 2 3 2 2 2 4 2" xfId="7680"/>
    <cellStyle name="RowTitles1-Detail 2 3 2 2 2 4 2 2" xfId="7681"/>
    <cellStyle name="RowTitles1-Detail 2 3 2 2 2 4 2 2 2" xfId="7682"/>
    <cellStyle name="RowTitles1-Detail 2 3 2 2 2 4 2 2_Tertiary Salaries Survey" xfId="7683"/>
    <cellStyle name="RowTitles1-Detail 2 3 2 2 2 4 2 3" xfId="7684"/>
    <cellStyle name="RowTitles1-Detail 2 3 2 2 2 4 2_Tertiary Salaries Survey" xfId="7685"/>
    <cellStyle name="RowTitles1-Detail 2 3 2 2 2 4 3" xfId="7686"/>
    <cellStyle name="RowTitles1-Detail 2 3 2 2 2 4 3 2" xfId="7687"/>
    <cellStyle name="RowTitles1-Detail 2 3 2 2 2 4 3 2 2" xfId="7688"/>
    <cellStyle name="RowTitles1-Detail 2 3 2 2 2 4 3 2_Tertiary Salaries Survey" xfId="7689"/>
    <cellStyle name="RowTitles1-Detail 2 3 2 2 2 4 3 3" xfId="7690"/>
    <cellStyle name="RowTitles1-Detail 2 3 2 2 2 4 3_Tertiary Salaries Survey" xfId="7691"/>
    <cellStyle name="RowTitles1-Detail 2 3 2 2 2 4 4" xfId="7692"/>
    <cellStyle name="RowTitles1-Detail 2 3 2 2 2 4 4 2" xfId="7693"/>
    <cellStyle name="RowTitles1-Detail 2 3 2 2 2 4 4_Tertiary Salaries Survey" xfId="7694"/>
    <cellStyle name="RowTitles1-Detail 2 3 2 2 2 4 5" xfId="7695"/>
    <cellStyle name="RowTitles1-Detail 2 3 2 2 2 4_Tertiary Salaries Survey" xfId="7696"/>
    <cellStyle name="RowTitles1-Detail 2 3 2 2 2 5" xfId="7697"/>
    <cellStyle name="RowTitles1-Detail 2 3 2 2 2 5 2" xfId="7698"/>
    <cellStyle name="RowTitles1-Detail 2 3 2 2 2 5 2 2" xfId="7699"/>
    <cellStyle name="RowTitles1-Detail 2 3 2 2 2 5 2 2 2" xfId="7700"/>
    <cellStyle name="RowTitles1-Detail 2 3 2 2 2 5 2 2_Tertiary Salaries Survey" xfId="7701"/>
    <cellStyle name="RowTitles1-Detail 2 3 2 2 2 5 2 3" xfId="7702"/>
    <cellStyle name="RowTitles1-Detail 2 3 2 2 2 5 2_Tertiary Salaries Survey" xfId="7703"/>
    <cellStyle name="RowTitles1-Detail 2 3 2 2 2 5 3" xfId="7704"/>
    <cellStyle name="RowTitles1-Detail 2 3 2 2 2 5 3 2" xfId="7705"/>
    <cellStyle name="RowTitles1-Detail 2 3 2 2 2 5 3 2 2" xfId="7706"/>
    <cellStyle name="RowTitles1-Detail 2 3 2 2 2 5 3 2_Tertiary Salaries Survey" xfId="7707"/>
    <cellStyle name="RowTitles1-Detail 2 3 2 2 2 5 3 3" xfId="7708"/>
    <cellStyle name="RowTitles1-Detail 2 3 2 2 2 5 3_Tertiary Salaries Survey" xfId="7709"/>
    <cellStyle name="RowTitles1-Detail 2 3 2 2 2 5 4" xfId="7710"/>
    <cellStyle name="RowTitles1-Detail 2 3 2 2 2 5 4 2" xfId="7711"/>
    <cellStyle name="RowTitles1-Detail 2 3 2 2 2 5 4_Tertiary Salaries Survey" xfId="7712"/>
    <cellStyle name="RowTitles1-Detail 2 3 2 2 2 5 5" xfId="7713"/>
    <cellStyle name="RowTitles1-Detail 2 3 2 2 2 5_Tertiary Salaries Survey" xfId="7714"/>
    <cellStyle name="RowTitles1-Detail 2 3 2 2 2 6" xfId="7715"/>
    <cellStyle name="RowTitles1-Detail 2 3 2 2 2 6 2" xfId="7716"/>
    <cellStyle name="RowTitles1-Detail 2 3 2 2 2 6 2 2" xfId="7717"/>
    <cellStyle name="RowTitles1-Detail 2 3 2 2 2 6 2 2 2" xfId="7718"/>
    <cellStyle name="RowTitles1-Detail 2 3 2 2 2 6 2 2_Tertiary Salaries Survey" xfId="7719"/>
    <cellStyle name="RowTitles1-Detail 2 3 2 2 2 6 2 3" xfId="7720"/>
    <cellStyle name="RowTitles1-Detail 2 3 2 2 2 6 2_Tertiary Salaries Survey" xfId="7721"/>
    <cellStyle name="RowTitles1-Detail 2 3 2 2 2 6 3" xfId="7722"/>
    <cellStyle name="RowTitles1-Detail 2 3 2 2 2 6 3 2" xfId="7723"/>
    <cellStyle name="RowTitles1-Detail 2 3 2 2 2 6 3 2 2" xfId="7724"/>
    <cellStyle name="RowTitles1-Detail 2 3 2 2 2 6 3 2_Tertiary Salaries Survey" xfId="7725"/>
    <cellStyle name="RowTitles1-Detail 2 3 2 2 2 6 3 3" xfId="7726"/>
    <cellStyle name="RowTitles1-Detail 2 3 2 2 2 6 3_Tertiary Salaries Survey" xfId="7727"/>
    <cellStyle name="RowTitles1-Detail 2 3 2 2 2 6 4" xfId="7728"/>
    <cellStyle name="RowTitles1-Detail 2 3 2 2 2 6 4 2" xfId="7729"/>
    <cellStyle name="RowTitles1-Detail 2 3 2 2 2 6 4_Tertiary Salaries Survey" xfId="7730"/>
    <cellStyle name="RowTitles1-Detail 2 3 2 2 2 6 5" xfId="7731"/>
    <cellStyle name="RowTitles1-Detail 2 3 2 2 2 6_Tertiary Salaries Survey" xfId="7732"/>
    <cellStyle name="RowTitles1-Detail 2 3 2 2 2 7" xfId="7733"/>
    <cellStyle name="RowTitles1-Detail 2 3 2 2 2 7 2" xfId="7734"/>
    <cellStyle name="RowTitles1-Detail 2 3 2 2 2 7 2 2" xfId="7735"/>
    <cellStyle name="RowTitles1-Detail 2 3 2 2 2 7 2_Tertiary Salaries Survey" xfId="7736"/>
    <cellStyle name="RowTitles1-Detail 2 3 2 2 2 7 3" xfId="7737"/>
    <cellStyle name="RowTitles1-Detail 2 3 2 2 2 7_Tertiary Salaries Survey" xfId="7738"/>
    <cellStyle name="RowTitles1-Detail 2 3 2 2 2 8" xfId="7739"/>
    <cellStyle name="RowTitles1-Detail 2 3 2 2 2 9" xfId="7740"/>
    <cellStyle name="RowTitles1-Detail 2 3 2 2 2_STUD aligned by INSTIT" xfId="7741"/>
    <cellStyle name="RowTitles1-Detail 2 3 2 2 3" xfId="7742"/>
    <cellStyle name="RowTitles1-Detail 2 3 2 2 3 2" xfId="7743"/>
    <cellStyle name="RowTitles1-Detail 2 3 2 2 3 2 2" xfId="7744"/>
    <cellStyle name="RowTitles1-Detail 2 3 2 2 3 2 2 2" xfId="7745"/>
    <cellStyle name="RowTitles1-Detail 2 3 2 2 3 2 2 2 2" xfId="7746"/>
    <cellStyle name="RowTitles1-Detail 2 3 2 2 3 2 2 2_Tertiary Salaries Survey" xfId="7747"/>
    <cellStyle name="RowTitles1-Detail 2 3 2 2 3 2 2 3" xfId="7748"/>
    <cellStyle name="RowTitles1-Detail 2 3 2 2 3 2 2_Tertiary Salaries Survey" xfId="7749"/>
    <cellStyle name="RowTitles1-Detail 2 3 2 2 3 2 3" xfId="7750"/>
    <cellStyle name="RowTitles1-Detail 2 3 2 2 3 2 3 2" xfId="7751"/>
    <cellStyle name="RowTitles1-Detail 2 3 2 2 3 2 3 2 2" xfId="7752"/>
    <cellStyle name="RowTitles1-Detail 2 3 2 2 3 2 3 2_Tertiary Salaries Survey" xfId="7753"/>
    <cellStyle name="RowTitles1-Detail 2 3 2 2 3 2 3 3" xfId="7754"/>
    <cellStyle name="RowTitles1-Detail 2 3 2 2 3 2 3_Tertiary Salaries Survey" xfId="7755"/>
    <cellStyle name="RowTitles1-Detail 2 3 2 2 3 2 4" xfId="7756"/>
    <cellStyle name="RowTitles1-Detail 2 3 2 2 3 2 5" xfId="7757"/>
    <cellStyle name="RowTitles1-Detail 2 3 2 2 3 2 5 2" xfId="7758"/>
    <cellStyle name="RowTitles1-Detail 2 3 2 2 3 2 5_Tertiary Salaries Survey" xfId="7759"/>
    <cellStyle name="RowTitles1-Detail 2 3 2 2 3 2 6" xfId="7760"/>
    <cellStyle name="RowTitles1-Detail 2 3 2 2 3 2_Tertiary Salaries Survey" xfId="7761"/>
    <cellStyle name="RowTitles1-Detail 2 3 2 2 3 3" xfId="7762"/>
    <cellStyle name="RowTitles1-Detail 2 3 2 2 3 3 2" xfId="7763"/>
    <cellStyle name="RowTitles1-Detail 2 3 2 2 3 3 2 2" xfId="7764"/>
    <cellStyle name="RowTitles1-Detail 2 3 2 2 3 3 2 2 2" xfId="7765"/>
    <cellStyle name="RowTitles1-Detail 2 3 2 2 3 3 2 2_Tertiary Salaries Survey" xfId="7766"/>
    <cellStyle name="RowTitles1-Detail 2 3 2 2 3 3 2 3" xfId="7767"/>
    <cellStyle name="RowTitles1-Detail 2 3 2 2 3 3 2_Tertiary Salaries Survey" xfId="7768"/>
    <cellStyle name="RowTitles1-Detail 2 3 2 2 3 3 3" xfId="7769"/>
    <cellStyle name="RowTitles1-Detail 2 3 2 2 3 3 3 2" xfId="7770"/>
    <cellStyle name="RowTitles1-Detail 2 3 2 2 3 3 3 2 2" xfId="7771"/>
    <cellStyle name="RowTitles1-Detail 2 3 2 2 3 3 3 2_Tertiary Salaries Survey" xfId="7772"/>
    <cellStyle name="RowTitles1-Detail 2 3 2 2 3 3 3 3" xfId="7773"/>
    <cellStyle name="RowTitles1-Detail 2 3 2 2 3 3 3_Tertiary Salaries Survey" xfId="7774"/>
    <cellStyle name="RowTitles1-Detail 2 3 2 2 3 3 4" xfId="7775"/>
    <cellStyle name="RowTitles1-Detail 2 3 2 2 3 3 5" xfId="7776"/>
    <cellStyle name="RowTitles1-Detail 2 3 2 2 3 3_Tertiary Salaries Survey" xfId="7777"/>
    <cellStyle name="RowTitles1-Detail 2 3 2 2 3 4" xfId="7778"/>
    <cellStyle name="RowTitles1-Detail 2 3 2 2 3 4 2" xfId="7779"/>
    <cellStyle name="RowTitles1-Detail 2 3 2 2 3 4 2 2" xfId="7780"/>
    <cellStyle name="RowTitles1-Detail 2 3 2 2 3 4 2 2 2" xfId="7781"/>
    <cellStyle name="RowTitles1-Detail 2 3 2 2 3 4 2 2_Tertiary Salaries Survey" xfId="7782"/>
    <cellStyle name="RowTitles1-Detail 2 3 2 2 3 4 2 3" xfId="7783"/>
    <cellStyle name="RowTitles1-Detail 2 3 2 2 3 4 2_Tertiary Salaries Survey" xfId="7784"/>
    <cellStyle name="RowTitles1-Detail 2 3 2 2 3 4 3" xfId="7785"/>
    <cellStyle name="RowTitles1-Detail 2 3 2 2 3 4 3 2" xfId="7786"/>
    <cellStyle name="RowTitles1-Detail 2 3 2 2 3 4 3 2 2" xfId="7787"/>
    <cellStyle name="RowTitles1-Detail 2 3 2 2 3 4 3 2_Tertiary Salaries Survey" xfId="7788"/>
    <cellStyle name="RowTitles1-Detail 2 3 2 2 3 4 3 3" xfId="7789"/>
    <cellStyle name="RowTitles1-Detail 2 3 2 2 3 4 3_Tertiary Salaries Survey" xfId="7790"/>
    <cellStyle name="RowTitles1-Detail 2 3 2 2 3 4 4" xfId="7791"/>
    <cellStyle name="RowTitles1-Detail 2 3 2 2 3 4 4 2" xfId="7792"/>
    <cellStyle name="RowTitles1-Detail 2 3 2 2 3 4 4_Tertiary Salaries Survey" xfId="7793"/>
    <cellStyle name="RowTitles1-Detail 2 3 2 2 3 4 5" xfId="7794"/>
    <cellStyle name="RowTitles1-Detail 2 3 2 2 3 4_Tertiary Salaries Survey" xfId="7795"/>
    <cellStyle name="RowTitles1-Detail 2 3 2 2 3 5" xfId="7796"/>
    <cellStyle name="RowTitles1-Detail 2 3 2 2 3 5 2" xfId="7797"/>
    <cellStyle name="RowTitles1-Detail 2 3 2 2 3 5 2 2" xfId="7798"/>
    <cellStyle name="RowTitles1-Detail 2 3 2 2 3 5 2 2 2" xfId="7799"/>
    <cellStyle name="RowTitles1-Detail 2 3 2 2 3 5 2 2_Tertiary Salaries Survey" xfId="7800"/>
    <cellStyle name="RowTitles1-Detail 2 3 2 2 3 5 2 3" xfId="7801"/>
    <cellStyle name="RowTitles1-Detail 2 3 2 2 3 5 2_Tertiary Salaries Survey" xfId="7802"/>
    <cellStyle name="RowTitles1-Detail 2 3 2 2 3 5 3" xfId="7803"/>
    <cellStyle name="RowTitles1-Detail 2 3 2 2 3 5 3 2" xfId="7804"/>
    <cellStyle name="RowTitles1-Detail 2 3 2 2 3 5 3 2 2" xfId="7805"/>
    <cellStyle name="RowTitles1-Detail 2 3 2 2 3 5 3 2_Tertiary Salaries Survey" xfId="7806"/>
    <cellStyle name="RowTitles1-Detail 2 3 2 2 3 5 3 3" xfId="7807"/>
    <cellStyle name="RowTitles1-Detail 2 3 2 2 3 5 3_Tertiary Salaries Survey" xfId="7808"/>
    <cellStyle name="RowTitles1-Detail 2 3 2 2 3 5 4" xfId="7809"/>
    <cellStyle name="RowTitles1-Detail 2 3 2 2 3 5 4 2" xfId="7810"/>
    <cellStyle name="RowTitles1-Detail 2 3 2 2 3 5 4_Tertiary Salaries Survey" xfId="7811"/>
    <cellStyle name="RowTitles1-Detail 2 3 2 2 3 5 5" xfId="7812"/>
    <cellStyle name="RowTitles1-Detail 2 3 2 2 3 5_Tertiary Salaries Survey" xfId="7813"/>
    <cellStyle name="RowTitles1-Detail 2 3 2 2 3 6" xfId="7814"/>
    <cellStyle name="RowTitles1-Detail 2 3 2 2 3 6 2" xfId="7815"/>
    <cellStyle name="RowTitles1-Detail 2 3 2 2 3 6 2 2" xfId="7816"/>
    <cellStyle name="RowTitles1-Detail 2 3 2 2 3 6 2 2 2" xfId="7817"/>
    <cellStyle name="RowTitles1-Detail 2 3 2 2 3 6 2 2_Tertiary Salaries Survey" xfId="7818"/>
    <cellStyle name="RowTitles1-Detail 2 3 2 2 3 6 2 3" xfId="7819"/>
    <cellStyle name="RowTitles1-Detail 2 3 2 2 3 6 2_Tertiary Salaries Survey" xfId="7820"/>
    <cellStyle name="RowTitles1-Detail 2 3 2 2 3 6 3" xfId="7821"/>
    <cellStyle name="RowTitles1-Detail 2 3 2 2 3 6 3 2" xfId="7822"/>
    <cellStyle name="RowTitles1-Detail 2 3 2 2 3 6 3 2 2" xfId="7823"/>
    <cellStyle name="RowTitles1-Detail 2 3 2 2 3 6 3 2_Tertiary Salaries Survey" xfId="7824"/>
    <cellStyle name="RowTitles1-Detail 2 3 2 2 3 6 3 3" xfId="7825"/>
    <cellStyle name="RowTitles1-Detail 2 3 2 2 3 6 3_Tertiary Salaries Survey" xfId="7826"/>
    <cellStyle name="RowTitles1-Detail 2 3 2 2 3 6 4" xfId="7827"/>
    <cellStyle name="RowTitles1-Detail 2 3 2 2 3 6 4 2" xfId="7828"/>
    <cellStyle name="RowTitles1-Detail 2 3 2 2 3 6 4_Tertiary Salaries Survey" xfId="7829"/>
    <cellStyle name="RowTitles1-Detail 2 3 2 2 3 6 5" xfId="7830"/>
    <cellStyle name="RowTitles1-Detail 2 3 2 2 3 6_Tertiary Salaries Survey" xfId="7831"/>
    <cellStyle name="RowTitles1-Detail 2 3 2 2 3 7" xfId="7832"/>
    <cellStyle name="RowTitles1-Detail 2 3 2 2 3 7 2" xfId="7833"/>
    <cellStyle name="RowTitles1-Detail 2 3 2 2 3 7 2 2" xfId="7834"/>
    <cellStyle name="RowTitles1-Detail 2 3 2 2 3 7 2_Tertiary Salaries Survey" xfId="7835"/>
    <cellStyle name="RowTitles1-Detail 2 3 2 2 3 7 3" xfId="7836"/>
    <cellStyle name="RowTitles1-Detail 2 3 2 2 3 7_Tertiary Salaries Survey" xfId="7837"/>
    <cellStyle name="RowTitles1-Detail 2 3 2 2 3 8" xfId="7838"/>
    <cellStyle name="RowTitles1-Detail 2 3 2 2 3 8 2" xfId="7839"/>
    <cellStyle name="RowTitles1-Detail 2 3 2 2 3 8 2 2" xfId="7840"/>
    <cellStyle name="RowTitles1-Detail 2 3 2 2 3 8 2_Tertiary Salaries Survey" xfId="7841"/>
    <cellStyle name="RowTitles1-Detail 2 3 2 2 3 8 3" xfId="7842"/>
    <cellStyle name="RowTitles1-Detail 2 3 2 2 3 8_Tertiary Salaries Survey" xfId="7843"/>
    <cellStyle name="RowTitles1-Detail 2 3 2 2 3 9" xfId="7844"/>
    <cellStyle name="RowTitles1-Detail 2 3 2 2 3_STUD aligned by INSTIT" xfId="7845"/>
    <cellStyle name="RowTitles1-Detail 2 3 2 2 4" xfId="7846"/>
    <cellStyle name="RowTitles1-Detail 2 3 2 2 4 2" xfId="7847"/>
    <cellStyle name="RowTitles1-Detail 2 3 2 2 4 2 2" xfId="7848"/>
    <cellStyle name="RowTitles1-Detail 2 3 2 2 4 2 2 2" xfId="7849"/>
    <cellStyle name="RowTitles1-Detail 2 3 2 2 4 2 2 2 2" xfId="7850"/>
    <cellStyle name="RowTitles1-Detail 2 3 2 2 4 2 2 2_Tertiary Salaries Survey" xfId="7851"/>
    <cellStyle name="RowTitles1-Detail 2 3 2 2 4 2 2 3" xfId="7852"/>
    <cellStyle name="RowTitles1-Detail 2 3 2 2 4 2 2_Tertiary Salaries Survey" xfId="7853"/>
    <cellStyle name="RowTitles1-Detail 2 3 2 2 4 2 3" xfId="7854"/>
    <cellStyle name="RowTitles1-Detail 2 3 2 2 4 2 3 2" xfId="7855"/>
    <cellStyle name="RowTitles1-Detail 2 3 2 2 4 2 3 2 2" xfId="7856"/>
    <cellStyle name="RowTitles1-Detail 2 3 2 2 4 2 3 2_Tertiary Salaries Survey" xfId="7857"/>
    <cellStyle name="RowTitles1-Detail 2 3 2 2 4 2 3 3" xfId="7858"/>
    <cellStyle name="RowTitles1-Detail 2 3 2 2 4 2 3_Tertiary Salaries Survey" xfId="7859"/>
    <cellStyle name="RowTitles1-Detail 2 3 2 2 4 2 4" xfId="7860"/>
    <cellStyle name="RowTitles1-Detail 2 3 2 2 4 2 5" xfId="7861"/>
    <cellStyle name="RowTitles1-Detail 2 3 2 2 4 2 5 2" xfId="7862"/>
    <cellStyle name="RowTitles1-Detail 2 3 2 2 4 2 5_Tertiary Salaries Survey" xfId="7863"/>
    <cellStyle name="RowTitles1-Detail 2 3 2 2 4 2 6" xfId="7864"/>
    <cellStyle name="RowTitles1-Detail 2 3 2 2 4 2_Tertiary Salaries Survey" xfId="7865"/>
    <cellStyle name="RowTitles1-Detail 2 3 2 2 4 3" xfId="7866"/>
    <cellStyle name="RowTitles1-Detail 2 3 2 2 4 3 2" xfId="7867"/>
    <cellStyle name="RowTitles1-Detail 2 3 2 2 4 3 2 2" xfId="7868"/>
    <cellStyle name="RowTitles1-Detail 2 3 2 2 4 3 2 2 2" xfId="7869"/>
    <cellStyle name="RowTitles1-Detail 2 3 2 2 4 3 2 2_Tertiary Salaries Survey" xfId="7870"/>
    <cellStyle name="RowTitles1-Detail 2 3 2 2 4 3 2 3" xfId="7871"/>
    <cellStyle name="RowTitles1-Detail 2 3 2 2 4 3 2_Tertiary Salaries Survey" xfId="7872"/>
    <cellStyle name="RowTitles1-Detail 2 3 2 2 4 3 3" xfId="7873"/>
    <cellStyle name="RowTitles1-Detail 2 3 2 2 4 3 3 2" xfId="7874"/>
    <cellStyle name="RowTitles1-Detail 2 3 2 2 4 3 3 2 2" xfId="7875"/>
    <cellStyle name="RowTitles1-Detail 2 3 2 2 4 3 3 2_Tertiary Salaries Survey" xfId="7876"/>
    <cellStyle name="RowTitles1-Detail 2 3 2 2 4 3 3 3" xfId="7877"/>
    <cellStyle name="RowTitles1-Detail 2 3 2 2 4 3 3_Tertiary Salaries Survey" xfId="7878"/>
    <cellStyle name="RowTitles1-Detail 2 3 2 2 4 3 4" xfId="7879"/>
    <cellStyle name="RowTitles1-Detail 2 3 2 2 4 3 5" xfId="7880"/>
    <cellStyle name="RowTitles1-Detail 2 3 2 2 4 3_Tertiary Salaries Survey" xfId="7881"/>
    <cellStyle name="RowTitles1-Detail 2 3 2 2 4 4" xfId="7882"/>
    <cellStyle name="RowTitles1-Detail 2 3 2 2 4 4 2" xfId="7883"/>
    <cellStyle name="RowTitles1-Detail 2 3 2 2 4 4 2 2" xfId="7884"/>
    <cellStyle name="RowTitles1-Detail 2 3 2 2 4 4 2 2 2" xfId="7885"/>
    <cellStyle name="RowTitles1-Detail 2 3 2 2 4 4 2 2_Tertiary Salaries Survey" xfId="7886"/>
    <cellStyle name="RowTitles1-Detail 2 3 2 2 4 4 2 3" xfId="7887"/>
    <cellStyle name="RowTitles1-Detail 2 3 2 2 4 4 2_Tertiary Salaries Survey" xfId="7888"/>
    <cellStyle name="RowTitles1-Detail 2 3 2 2 4 4 3" xfId="7889"/>
    <cellStyle name="RowTitles1-Detail 2 3 2 2 4 4 3 2" xfId="7890"/>
    <cellStyle name="RowTitles1-Detail 2 3 2 2 4 4 3 2 2" xfId="7891"/>
    <cellStyle name="RowTitles1-Detail 2 3 2 2 4 4 3 2_Tertiary Salaries Survey" xfId="7892"/>
    <cellStyle name="RowTitles1-Detail 2 3 2 2 4 4 3 3" xfId="7893"/>
    <cellStyle name="RowTitles1-Detail 2 3 2 2 4 4 3_Tertiary Salaries Survey" xfId="7894"/>
    <cellStyle name="RowTitles1-Detail 2 3 2 2 4 4 4" xfId="7895"/>
    <cellStyle name="RowTitles1-Detail 2 3 2 2 4 4 5" xfId="7896"/>
    <cellStyle name="RowTitles1-Detail 2 3 2 2 4 4 5 2" xfId="7897"/>
    <cellStyle name="RowTitles1-Detail 2 3 2 2 4 4 5_Tertiary Salaries Survey" xfId="7898"/>
    <cellStyle name="RowTitles1-Detail 2 3 2 2 4 4 6" xfId="7899"/>
    <cellStyle name="RowTitles1-Detail 2 3 2 2 4 4_Tertiary Salaries Survey" xfId="7900"/>
    <cellStyle name="RowTitles1-Detail 2 3 2 2 4 5" xfId="7901"/>
    <cellStyle name="RowTitles1-Detail 2 3 2 2 4 5 2" xfId="7902"/>
    <cellStyle name="RowTitles1-Detail 2 3 2 2 4 5 2 2" xfId="7903"/>
    <cellStyle name="RowTitles1-Detail 2 3 2 2 4 5 2 2 2" xfId="7904"/>
    <cellStyle name="RowTitles1-Detail 2 3 2 2 4 5 2 2_Tertiary Salaries Survey" xfId="7905"/>
    <cellStyle name="RowTitles1-Detail 2 3 2 2 4 5 2 3" xfId="7906"/>
    <cellStyle name="RowTitles1-Detail 2 3 2 2 4 5 2_Tertiary Salaries Survey" xfId="7907"/>
    <cellStyle name="RowTitles1-Detail 2 3 2 2 4 5 3" xfId="7908"/>
    <cellStyle name="RowTitles1-Detail 2 3 2 2 4 5 3 2" xfId="7909"/>
    <cellStyle name="RowTitles1-Detail 2 3 2 2 4 5 3 2 2" xfId="7910"/>
    <cellStyle name="RowTitles1-Detail 2 3 2 2 4 5 3 2_Tertiary Salaries Survey" xfId="7911"/>
    <cellStyle name="RowTitles1-Detail 2 3 2 2 4 5 3 3" xfId="7912"/>
    <cellStyle name="RowTitles1-Detail 2 3 2 2 4 5 3_Tertiary Salaries Survey" xfId="7913"/>
    <cellStyle name="RowTitles1-Detail 2 3 2 2 4 5 4" xfId="7914"/>
    <cellStyle name="RowTitles1-Detail 2 3 2 2 4 5 4 2" xfId="7915"/>
    <cellStyle name="RowTitles1-Detail 2 3 2 2 4 5 4_Tertiary Salaries Survey" xfId="7916"/>
    <cellStyle name="RowTitles1-Detail 2 3 2 2 4 5 5" xfId="7917"/>
    <cellStyle name="RowTitles1-Detail 2 3 2 2 4 5_Tertiary Salaries Survey" xfId="7918"/>
    <cellStyle name="RowTitles1-Detail 2 3 2 2 4 6" xfId="7919"/>
    <cellStyle name="RowTitles1-Detail 2 3 2 2 4 6 2" xfId="7920"/>
    <cellStyle name="RowTitles1-Detail 2 3 2 2 4 6 2 2" xfId="7921"/>
    <cellStyle name="RowTitles1-Detail 2 3 2 2 4 6 2 2 2" xfId="7922"/>
    <cellStyle name="RowTitles1-Detail 2 3 2 2 4 6 2 2_Tertiary Salaries Survey" xfId="7923"/>
    <cellStyle name="RowTitles1-Detail 2 3 2 2 4 6 2 3" xfId="7924"/>
    <cellStyle name="RowTitles1-Detail 2 3 2 2 4 6 2_Tertiary Salaries Survey" xfId="7925"/>
    <cellStyle name="RowTitles1-Detail 2 3 2 2 4 6 3" xfId="7926"/>
    <cellStyle name="RowTitles1-Detail 2 3 2 2 4 6 3 2" xfId="7927"/>
    <cellStyle name="RowTitles1-Detail 2 3 2 2 4 6 3 2 2" xfId="7928"/>
    <cellStyle name="RowTitles1-Detail 2 3 2 2 4 6 3 2_Tertiary Salaries Survey" xfId="7929"/>
    <cellStyle name="RowTitles1-Detail 2 3 2 2 4 6 3 3" xfId="7930"/>
    <cellStyle name="RowTitles1-Detail 2 3 2 2 4 6 3_Tertiary Salaries Survey" xfId="7931"/>
    <cellStyle name="RowTitles1-Detail 2 3 2 2 4 6 4" xfId="7932"/>
    <cellStyle name="RowTitles1-Detail 2 3 2 2 4 6 4 2" xfId="7933"/>
    <cellStyle name="RowTitles1-Detail 2 3 2 2 4 6 4_Tertiary Salaries Survey" xfId="7934"/>
    <cellStyle name="RowTitles1-Detail 2 3 2 2 4 6 5" xfId="7935"/>
    <cellStyle name="RowTitles1-Detail 2 3 2 2 4 6_Tertiary Salaries Survey" xfId="7936"/>
    <cellStyle name="RowTitles1-Detail 2 3 2 2 4 7" xfId="7937"/>
    <cellStyle name="RowTitles1-Detail 2 3 2 2 4 7 2" xfId="7938"/>
    <cellStyle name="RowTitles1-Detail 2 3 2 2 4 7 2 2" xfId="7939"/>
    <cellStyle name="RowTitles1-Detail 2 3 2 2 4 7 2_Tertiary Salaries Survey" xfId="7940"/>
    <cellStyle name="RowTitles1-Detail 2 3 2 2 4 7 3" xfId="7941"/>
    <cellStyle name="RowTitles1-Detail 2 3 2 2 4 7_Tertiary Salaries Survey" xfId="7942"/>
    <cellStyle name="RowTitles1-Detail 2 3 2 2 4 8" xfId="7943"/>
    <cellStyle name="RowTitles1-Detail 2 3 2 2 4 9" xfId="7944"/>
    <cellStyle name="RowTitles1-Detail 2 3 2 2 4_STUD aligned by INSTIT" xfId="7945"/>
    <cellStyle name="RowTitles1-Detail 2 3 2 2 5" xfId="7946"/>
    <cellStyle name="RowTitles1-Detail 2 3 2 2 5 2" xfId="7947"/>
    <cellStyle name="RowTitles1-Detail 2 3 2 2 5 2 2" xfId="7948"/>
    <cellStyle name="RowTitles1-Detail 2 3 2 2 5 2 2 2" xfId="7949"/>
    <cellStyle name="RowTitles1-Detail 2 3 2 2 5 2 2_Tertiary Salaries Survey" xfId="7950"/>
    <cellStyle name="RowTitles1-Detail 2 3 2 2 5 2 3" xfId="7951"/>
    <cellStyle name="RowTitles1-Detail 2 3 2 2 5 2_Tertiary Salaries Survey" xfId="7952"/>
    <cellStyle name="RowTitles1-Detail 2 3 2 2 5 3" xfId="7953"/>
    <cellStyle name="RowTitles1-Detail 2 3 2 2 5 3 2" xfId="7954"/>
    <cellStyle name="RowTitles1-Detail 2 3 2 2 5 3 2 2" xfId="7955"/>
    <cellStyle name="RowTitles1-Detail 2 3 2 2 5 3 2_Tertiary Salaries Survey" xfId="7956"/>
    <cellStyle name="RowTitles1-Detail 2 3 2 2 5 3 3" xfId="7957"/>
    <cellStyle name="RowTitles1-Detail 2 3 2 2 5 3_Tertiary Salaries Survey" xfId="7958"/>
    <cellStyle name="RowTitles1-Detail 2 3 2 2 5 4" xfId="7959"/>
    <cellStyle name="RowTitles1-Detail 2 3 2 2 5 5" xfId="7960"/>
    <cellStyle name="RowTitles1-Detail 2 3 2 2 5 5 2" xfId="7961"/>
    <cellStyle name="RowTitles1-Detail 2 3 2 2 5 5_Tertiary Salaries Survey" xfId="7962"/>
    <cellStyle name="RowTitles1-Detail 2 3 2 2 5 6" xfId="7963"/>
    <cellStyle name="RowTitles1-Detail 2 3 2 2 5_Tertiary Salaries Survey" xfId="7964"/>
    <cellStyle name="RowTitles1-Detail 2 3 2 2 6" xfId="7965"/>
    <cellStyle name="RowTitles1-Detail 2 3 2 2 6 2" xfId="7966"/>
    <cellStyle name="RowTitles1-Detail 2 3 2 2 6 2 2" xfId="7967"/>
    <cellStyle name="RowTitles1-Detail 2 3 2 2 6 2 2 2" xfId="7968"/>
    <cellStyle name="RowTitles1-Detail 2 3 2 2 6 2 2_Tertiary Salaries Survey" xfId="7969"/>
    <cellStyle name="RowTitles1-Detail 2 3 2 2 6 2 3" xfId="7970"/>
    <cellStyle name="RowTitles1-Detail 2 3 2 2 6 2_Tertiary Salaries Survey" xfId="7971"/>
    <cellStyle name="RowTitles1-Detail 2 3 2 2 6 3" xfId="7972"/>
    <cellStyle name="RowTitles1-Detail 2 3 2 2 6 3 2" xfId="7973"/>
    <cellStyle name="RowTitles1-Detail 2 3 2 2 6 3 2 2" xfId="7974"/>
    <cellStyle name="RowTitles1-Detail 2 3 2 2 6 3 2_Tertiary Salaries Survey" xfId="7975"/>
    <cellStyle name="RowTitles1-Detail 2 3 2 2 6 3 3" xfId="7976"/>
    <cellStyle name="RowTitles1-Detail 2 3 2 2 6 3_Tertiary Salaries Survey" xfId="7977"/>
    <cellStyle name="RowTitles1-Detail 2 3 2 2 6 4" xfId="7978"/>
    <cellStyle name="RowTitles1-Detail 2 3 2 2 6 5" xfId="7979"/>
    <cellStyle name="RowTitles1-Detail 2 3 2 2 6_Tertiary Salaries Survey" xfId="7980"/>
    <cellStyle name="RowTitles1-Detail 2 3 2 2 7" xfId="7981"/>
    <cellStyle name="RowTitles1-Detail 2 3 2 2 7 2" xfId="7982"/>
    <cellStyle name="RowTitles1-Detail 2 3 2 2 7 2 2" xfId="7983"/>
    <cellStyle name="RowTitles1-Detail 2 3 2 2 7 2 2 2" xfId="7984"/>
    <cellStyle name="RowTitles1-Detail 2 3 2 2 7 2 2_Tertiary Salaries Survey" xfId="7985"/>
    <cellStyle name="RowTitles1-Detail 2 3 2 2 7 2 3" xfId="7986"/>
    <cellStyle name="RowTitles1-Detail 2 3 2 2 7 2_Tertiary Salaries Survey" xfId="7987"/>
    <cellStyle name="RowTitles1-Detail 2 3 2 2 7 3" xfId="7988"/>
    <cellStyle name="RowTitles1-Detail 2 3 2 2 7 3 2" xfId="7989"/>
    <cellStyle name="RowTitles1-Detail 2 3 2 2 7 3 2 2" xfId="7990"/>
    <cellStyle name="RowTitles1-Detail 2 3 2 2 7 3 2_Tertiary Salaries Survey" xfId="7991"/>
    <cellStyle name="RowTitles1-Detail 2 3 2 2 7 3 3" xfId="7992"/>
    <cellStyle name="RowTitles1-Detail 2 3 2 2 7 3_Tertiary Salaries Survey" xfId="7993"/>
    <cellStyle name="RowTitles1-Detail 2 3 2 2 7 4" xfId="7994"/>
    <cellStyle name="RowTitles1-Detail 2 3 2 2 7 5" xfId="7995"/>
    <cellStyle name="RowTitles1-Detail 2 3 2 2 7 5 2" xfId="7996"/>
    <cellStyle name="RowTitles1-Detail 2 3 2 2 7 5_Tertiary Salaries Survey" xfId="7997"/>
    <cellStyle name="RowTitles1-Detail 2 3 2 2 7 6" xfId="7998"/>
    <cellStyle name="RowTitles1-Detail 2 3 2 2 7_Tertiary Salaries Survey" xfId="7999"/>
    <cellStyle name="RowTitles1-Detail 2 3 2 2 8" xfId="8000"/>
    <cellStyle name="RowTitles1-Detail 2 3 2 2 8 2" xfId="8001"/>
    <cellStyle name="RowTitles1-Detail 2 3 2 2 8 2 2" xfId="8002"/>
    <cellStyle name="RowTitles1-Detail 2 3 2 2 8 2 2 2" xfId="8003"/>
    <cellStyle name="RowTitles1-Detail 2 3 2 2 8 2 2_Tertiary Salaries Survey" xfId="8004"/>
    <cellStyle name="RowTitles1-Detail 2 3 2 2 8 2 3" xfId="8005"/>
    <cellStyle name="RowTitles1-Detail 2 3 2 2 8 2_Tertiary Salaries Survey" xfId="8006"/>
    <cellStyle name="RowTitles1-Detail 2 3 2 2 8 3" xfId="8007"/>
    <cellStyle name="RowTitles1-Detail 2 3 2 2 8 3 2" xfId="8008"/>
    <cellStyle name="RowTitles1-Detail 2 3 2 2 8 3 2 2" xfId="8009"/>
    <cellStyle name="RowTitles1-Detail 2 3 2 2 8 3 2_Tertiary Salaries Survey" xfId="8010"/>
    <cellStyle name="RowTitles1-Detail 2 3 2 2 8 3 3" xfId="8011"/>
    <cellStyle name="RowTitles1-Detail 2 3 2 2 8 3_Tertiary Salaries Survey" xfId="8012"/>
    <cellStyle name="RowTitles1-Detail 2 3 2 2 8 4" xfId="8013"/>
    <cellStyle name="RowTitles1-Detail 2 3 2 2 8 4 2" xfId="8014"/>
    <cellStyle name="RowTitles1-Detail 2 3 2 2 8 4_Tertiary Salaries Survey" xfId="8015"/>
    <cellStyle name="RowTitles1-Detail 2 3 2 2 8 5" xfId="8016"/>
    <cellStyle name="RowTitles1-Detail 2 3 2 2 8_Tertiary Salaries Survey" xfId="8017"/>
    <cellStyle name="RowTitles1-Detail 2 3 2 2 9" xfId="8018"/>
    <cellStyle name="RowTitles1-Detail 2 3 2 2 9 2" xfId="8019"/>
    <cellStyle name="RowTitles1-Detail 2 3 2 2 9 2 2" xfId="8020"/>
    <cellStyle name="RowTitles1-Detail 2 3 2 2 9 2 2 2" xfId="8021"/>
    <cellStyle name="RowTitles1-Detail 2 3 2 2 9 2 2_Tertiary Salaries Survey" xfId="8022"/>
    <cellStyle name="RowTitles1-Detail 2 3 2 2 9 2 3" xfId="8023"/>
    <cellStyle name="RowTitles1-Detail 2 3 2 2 9 2_Tertiary Salaries Survey" xfId="8024"/>
    <cellStyle name="RowTitles1-Detail 2 3 2 2 9 3" xfId="8025"/>
    <cellStyle name="RowTitles1-Detail 2 3 2 2 9 3 2" xfId="8026"/>
    <cellStyle name="RowTitles1-Detail 2 3 2 2 9 3 2 2" xfId="8027"/>
    <cellStyle name="RowTitles1-Detail 2 3 2 2 9 3 2_Tertiary Salaries Survey" xfId="8028"/>
    <cellStyle name="RowTitles1-Detail 2 3 2 2 9 3 3" xfId="8029"/>
    <cellStyle name="RowTitles1-Detail 2 3 2 2 9 3_Tertiary Salaries Survey" xfId="8030"/>
    <cellStyle name="RowTitles1-Detail 2 3 2 2 9 4" xfId="8031"/>
    <cellStyle name="RowTitles1-Detail 2 3 2 2 9 4 2" xfId="8032"/>
    <cellStyle name="RowTitles1-Detail 2 3 2 2 9 4_Tertiary Salaries Survey" xfId="8033"/>
    <cellStyle name="RowTitles1-Detail 2 3 2 2 9 5" xfId="8034"/>
    <cellStyle name="RowTitles1-Detail 2 3 2 2 9_Tertiary Salaries Survey" xfId="8035"/>
    <cellStyle name="RowTitles1-Detail 2 3 2 2_STUD aligned by INSTIT" xfId="8036"/>
    <cellStyle name="RowTitles1-Detail 2 3 2 3" xfId="8037"/>
    <cellStyle name="RowTitles1-Detail 2 3 2 3 2" xfId="8038"/>
    <cellStyle name="RowTitles1-Detail 2 3 2 3 2 2" xfId="8039"/>
    <cellStyle name="RowTitles1-Detail 2 3 2 3 2 2 2" xfId="8040"/>
    <cellStyle name="RowTitles1-Detail 2 3 2 3 2 2 2 2" xfId="8041"/>
    <cellStyle name="RowTitles1-Detail 2 3 2 3 2 2 2_Tertiary Salaries Survey" xfId="8042"/>
    <cellStyle name="RowTitles1-Detail 2 3 2 3 2 2 3" xfId="8043"/>
    <cellStyle name="RowTitles1-Detail 2 3 2 3 2 2_Tertiary Salaries Survey" xfId="8044"/>
    <cellStyle name="RowTitles1-Detail 2 3 2 3 2 3" xfId="8045"/>
    <cellStyle name="RowTitles1-Detail 2 3 2 3 2 3 2" xfId="8046"/>
    <cellStyle name="RowTitles1-Detail 2 3 2 3 2 3 2 2" xfId="8047"/>
    <cellStyle name="RowTitles1-Detail 2 3 2 3 2 3 2_Tertiary Salaries Survey" xfId="8048"/>
    <cellStyle name="RowTitles1-Detail 2 3 2 3 2 3 3" xfId="8049"/>
    <cellStyle name="RowTitles1-Detail 2 3 2 3 2 3_Tertiary Salaries Survey" xfId="8050"/>
    <cellStyle name="RowTitles1-Detail 2 3 2 3 2 4" xfId="8051"/>
    <cellStyle name="RowTitles1-Detail 2 3 2 3 2 5" xfId="8052"/>
    <cellStyle name="RowTitles1-Detail 2 3 2 3 2_Tertiary Salaries Survey" xfId="8053"/>
    <cellStyle name="RowTitles1-Detail 2 3 2 3 3" xfId="8054"/>
    <cellStyle name="RowTitles1-Detail 2 3 2 3 3 2" xfId="8055"/>
    <cellStyle name="RowTitles1-Detail 2 3 2 3 3 2 2" xfId="8056"/>
    <cellStyle name="RowTitles1-Detail 2 3 2 3 3 2 2 2" xfId="8057"/>
    <cellStyle name="RowTitles1-Detail 2 3 2 3 3 2 2_Tertiary Salaries Survey" xfId="8058"/>
    <cellStyle name="RowTitles1-Detail 2 3 2 3 3 2 3" xfId="8059"/>
    <cellStyle name="RowTitles1-Detail 2 3 2 3 3 2_Tertiary Salaries Survey" xfId="8060"/>
    <cellStyle name="RowTitles1-Detail 2 3 2 3 3 3" xfId="8061"/>
    <cellStyle name="RowTitles1-Detail 2 3 2 3 3 3 2" xfId="8062"/>
    <cellStyle name="RowTitles1-Detail 2 3 2 3 3 3 2 2" xfId="8063"/>
    <cellStyle name="RowTitles1-Detail 2 3 2 3 3 3 2_Tertiary Salaries Survey" xfId="8064"/>
    <cellStyle name="RowTitles1-Detail 2 3 2 3 3 3 3" xfId="8065"/>
    <cellStyle name="RowTitles1-Detail 2 3 2 3 3 3_Tertiary Salaries Survey" xfId="8066"/>
    <cellStyle name="RowTitles1-Detail 2 3 2 3 3 4" xfId="8067"/>
    <cellStyle name="RowTitles1-Detail 2 3 2 3 3 5" xfId="8068"/>
    <cellStyle name="RowTitles1-Detail 2 3 2 3 3 5 2" xfId="8069"/>
    <cellStyle name="RowTitles1-Detail 2 3 2 3 3 5_Tertiary Salaries Survey" xfId="8070"/>
    <cellStyle name="RowTitles1-Detail 2 3 2 3 3 6" xfId="8071"/>
    <cellStyle name="RowTitles1-Detail 2 3 2 3 3_Tertiary Salaries Survey" xfId="8072"/>
    <cellStyle name="RowTitles1-Detail 2 3 2 3 4" xfId="8073"/>
    <cellStyle name="RowTitles1-Detail 2 3 2 3 4 2" xfId="8074"/>
    <cellStyle name="RowTitles1-Detail 2 3 2 3 4 2 2" xfId="8075"/>
    <cellStyle name="RowTitles1-Detail 2 3 2 3 4 2 2 2" xfId="8076"/>
    <cellStyle name="RowTitles1-Detail 2 3 2 3 4 2 2_Tertiary Salaries Survey" xfId="8077"/>
    <cellStyle name="RowTitles1-Detail 2 3 2 3 4 2 3" xfId="8078"/>
    <cellStyle name="RowTitles1-Detail 2 3 2 3 4 2_Tertiary Salaries Survey" xfId="8079"/>
    <cellStyle name="RowTitles1-Detail 2 3 2 3 4 3" xfId="8080"/>
    <cellStyle name="RowTitles1-Detail 2 3 2 3 4 3 2" xfId="8081"/>
    <cellStyle name="RowTitles1-Detail 2 3 2 3 4 3 2 2" xfId="8082"/>
    <cellStyle name="RowTitles1-Detail 2 3 2 3 4 3 2_Tertiary Salaries Survey" xfId="8083"/>
    <cellStyle name="RowTitles1-Detail 2 3 2 3 4 3 3" xfId="8084"/>
    <cellStyle name="RowTitles1-Detail 2 3 2 3 4 3_Tertiary Salaries Survey" xfId="8085"/>
    <cellStyle name="RowTitles1-Detail 2 3 2 3 4 4" xfId="8086"/>
    <cellStyle name="RowTitles1-Detail 2 3 2 3 4 4 2" xfId="8087"/>
    <cellStyle name="RowTitles1-Detail 2 3 2 3 4 4_Tertiary Salaries Survey" xfId="8088"/>
    <cellStyle name="RowTitles1-Detail 2 3 2 3 4 5" xfId="8089"/>
    <cellStyle name="RowTitles1-Detail 2 3 2 3 4_Tertiary Salaries Survey" xfId="8090"/>
    <cellStyle name="RowTitles1-Detail 2 3 2 3 5" xfId="8091"/>
    <cellStyle name="RowTitles1-Detail 2 3 2 3 5 2" xfId="8092"/>
    <cellStyle name="RowTitles1-Detail 2 3 2 3 5 2 2" xfId="8093"/>
    <cellStyle name="RowTitles1-Detail 2 3 2 3 5 2 2 2" xfId="8094"/>
    <cellStyle name="RowTitles1-Detail 2 3 2 3 5 2 2_Tertiary Salaries Survey" xfId="8095"/>
    <cellStyle name="RowTitles1-Detail 2 3 2 3 5 2 3" xfId="8096"/>
    <cellStyle name="RowTitles1-Detail 2 3 2 3 5 2_Tertiary Salaries Survey" xfId="8097"/>
    <cellStyle name="RowTitles1-Detail 2 3 2 3 5 3" xfId="8098"/>
    <cellStyle name="RowTitles1-Detail 2 3 2 3 5 3 2" xfId="8099"/>
    <cellStyle name="RowTitles1-Detail 2 3 2 3 5 3 2 2" xfId="8100"/>
    <cellStyle name="RowTitles1-Detail 2 3 2 3 5 3 2_Tertiary Salaries Survey" xfId="8101"/>
    <cellStyle name="RowTitles1-Detail 2 3 2 3 5 3 3" xfId="8102"/>
    <cellStyle name="RowTitles1-Detail 2 3 2 3 5 3_Tertiary Salaries Survey" xfId="8103"/>
    <cellStyle name="RowTitles1-Detail 2 3 2 3 5 4" xfId="8104"/>
    <cellStyle name="RowTitles1-Detail 2 3 2 3 5 4 2" xfId="8105"/>
    <cellStyle name="RowTitles1-Detail 2 3 2 3 5 4_Tertiary Salaries Survey" xfId="8106"/>
    <cellStyle name="RowTitles1-Detail 2 3 2 3 5 5" xfId="8107"/>
    <cellStyle name="RowTitles1-Detail 2 3 2 3 5_Tertiary Salaries Survey" xfId="8108"/>
    <cellStyle name="RowTitles1-Detail 2 3 2 3 6" xfId="8109"/>
    <cellStyle name="RowTitles1-Detail 2 3 2 3 6 2" xfId="8110"/>
    <cellStyle name="RowTitles1-Detail 2 3 2 3 6 2 2" xfId="8111"/>
    <cellStyle name="RowTitles1-Detail 2 3 2 3 6 2 2 2" xfId="8112"/>
    <cellStyle name="RowTitles1-Detail 2 3 2 3 6 2 2_Tertiary Salaries Survey" xfId="8113"/>
    <cellStyle name="RowTitles1-Detail 2 3 2 3 6 2 3" xfId="8114"/>
    <cellStyle name="RowTitles1-Detail 2 3 2 3 6 2_Tertiary Salaries Survey" xfId="8115"/>
    <cellStyle name="RowTitles1-Detail 2 3 2 3 6 3" xfId="8116"/>
    <cellStyle name="RowTitles1-Detail 2 3 2 3 6 3 2" xfId="8117"/>
    <cellStyle name="RowTitles1-Detail 2 3 2 3 6 3 2 2" xfId="8118"/>
    <cellStyle name="RowTitles1-Detail 2 3 2 3 6 3 2_Tertiary Salaries Survey" xfId="8119"/>
    <cellStyle name="RowTitles1-Detail 2 3 2 3 6 3 3" xfId="8120"/>
    <cellStyle name="RowTitles1-Detail 2 3 2 3 6 3_Tertiary Salaries Survey" xfId="8121"/>
    <cellStyle name="RowTitles1-Detail 2 3 2 3 6 4" xfId="8122"/>
    <cellStyle name="RowTitles1-Detail 2 3 2 3 6 4 2" xfId="8123"/>
    <cellStyle name="RowTitles1-Detail 2 3 2 3 6 4_Tertiary Salaries Survey" xfId="8124"/>
    <cellStyle name="RowTitles1-Detail 2 3 2 3 6 5" xfId="8125"/>
    <cellStyle name="RowTitles1-Detail 2 3 2 3 6_Tertiary Salaries Survey" xfId="8126"/>
    <cellStyle name="RowTitles1-Detail 2 3 2 3 7" xfId="8127"/>
    <cellStyle name="RowTitles1-Detail 2 3 2 3 7 2" xfId="8128"/>
    <cellStyle name="RowTitles1-Detail 2 3 2 3 7 2 2" xfId="8129"/>
    <cellStyle name="RowTitles1-Detail 2 3 2 3 7 2_Tertiary Salaries Survey" xfId="8130"/>
    <cellStyle name="RowTitles1-Detail 2 3 2 3 7 3" xfId="8131"/>
    <cellStyle name="RowTitles1-Detail 2 3 2 3 7_Tertiary Salaries Survey" xfId="8132"/>
    <cellStyle name="RowTitles1-Detail 2 3 2 3 8" xfId="8133"/>
    <cellStyle name="RowTitles1-Detail 2 3 2 3 9" xfId="8134"/>
    <cellStyle name="RowTitles1-Detail 2 3 2 3_STUD aligned by INSTIT" xfId="8135"/>
    <cellStyle name="RowTitles1-Detail 2 3 2 4" xfId="8136"/>
    <cellStyle name="RowTitles1-Detail 2 3 2 4 2" xfId="8137"/>
    <cellStyle name="RowTitles1-Detail 2 3 2 4 2 2" xfId="8138"/>
    <cellStyle name="RowTitles1-Detail 2 3 2 4 2 2 2" xfId="8139"/>
    <cellStyle name="RowTitles1-Detail 2 3 2 4 2 2 2 2" xfId="8140"/>
    <cellStyle name="RowTitles1-Detail 2 3 2 4 2 2 2_Tertiary Salaries Survey" xfId="8141"/>
    <cellStyle name="RowTitles1-Detail 2 3 2 4 2 2 3" xfId="8142"/>
    <cellStyle name="RowTitles1-Detail 2 3 2 4 2 2_Tertiary Salaries Survey" xfId="8143"/>
    <cellStyle name="RowTitles1-Detail 2 3 2 4 2 3" xfId="8144"/>
    <cellStyle name="RowTitles1-Detail 2 3 2 4 2 3 2" xfId="8145"/>
    <cellStyle name="RowTitles1-Detail 2 3 2 4 2 3 2 2" xfId="8146"/>
    <cellStyle name="RowTitles1-Detail 2 3 2 4 2 3 2_Tertiary Salaries Survey" xfId="8147"/>
    <cellStyle name="RowTitles1-Detail 2 3 2 4 2 3 3" xfId="8148"/>
    <cellStyle name="RowTitles1-Detail 2 3 2 4 2 3_Tertiary Salaries Survey" xfId="8149"/>
    <cellStyle name="RowTitles1-Detail 2 3 2 4 2 4" xfId="8150"/>
    <cellStyle name="RowTitles1-Detail 2 3 2 4 2 5" xfId="8151"/>
    <cellStyle name="RowTitles1-Detail 2 3 2 4 2 5 2" xfId="8152"/>
    <cellStyle name="RowTitles1-Detail 2 3 2 4 2 5_Tertiary Salaries Survey" xfId="8153"/>
    <cellStyle name="RowTitles1-Detail 2 3 2 4 2 6" xfId="8154"/>
    <cellStyle name="RowTitles1-Detail 2 3 2 4 2_Tertiary Salaries Survey" xfId="8155"/>
    <cellStyle name="RowTitles1-Detail 2 3 2 4 3" xfId="8156"/>
    <cellStyle name="RowTitles1-Detail 2 3 2 4 3 2" xfId="8157"/>
    <cellStyle name="RowTitles1-Detail 2 3 2 4 3 2 2" xfId="8158"/>
    <cellStyle name="RowTitles1-Detail 2 3 2 4 3 2 2 2" xfId="8159"/>
    <cellStyle name="RowTitles1-Detail 2 3 2 4 3 2 2_Tertiary Salaries Survey" xfId="8160"/>
    <cellStyle name="RowTitles1-Detail 2 3 2 4 3 2 3" xfId="8161"/>
    <cellStyle name="RowTitles1-Detail 2 3 2 4 3 2_Tertiary Salaries Survey" xfId="8162"/>
    <cellStyle name="RowTitles1-Detail 2 3 2 4 3 3" xfId="8163"/>
    <cellStyle name="RowTitles1-Detail 2 3 2 4 3 3 2" xfId="8164"/>
    <cellStyle name="RowTitles1-Detail 2 3 2 4 3 3 2 2" xfId="8165"/>
    <cellStyle name="RowTitles1-Detail 2 3 2 4 3 3 2_Tertiary Salaries Survey" xfId="8166"/>
    <cellStyle name="RowTitles1-Detail 2 3 2 4 3 3 3" xfId="8167"/>
    <cellStyle name="RowTitles1-Detail 2 3 2 4 3 3_Tertiary Salaries Survey" xfId="8168"/>
    <cellStyle name="RowTitles1-Detail 2 3 2 4 3 4" xfId="8169"/>
    <cellStyle name="RowTitles1-Detail 2 3 2 4 3 5" xfId="8170"/>
    <cellStyle name="RowTitles1-Detail 2 3 2 4 3_Tertiary Salaries Survey" xfId="8171"/>
    <cellStyle name="RowTitles1-Detail 2 3 2 4 4" xfId="8172"/>
    <cellStyle name="RowTitles1-Detail 2 3 2 4 4 2" xfId="8173"/>
    <cellStyle name="RowTitles1-Detail 2 3 2 4 4 2 2" xfId="8174"/>
    <cellStyle name="RowTitles1-Detail 2 3 2 4 4 2 2 2" xfId="8175"/>
    <cellStyle name="RowTitles1-Detail 2 3 2 4 4 2 2_Tertiary Salaries Survey" xfId="8176"/>
    <cellStyle name="RowTitles1-Detail 2 3 2 4 4 2 3" xfId="8177"/>
    <cellStyle name="RowTitles1-Detail 2 3 2 4 4 2_Tertiary Salaries Survey" xfId="8178"/>
    <cellStyle name="RowTitles1-Detail 2 3 2 4 4 3" xfId="8179"/>
    <cellStyle name="RowTitles1-Detail 2 3 2 4 4 3 2" xfId="8180"/>
    <cellStyle name="RowTitles1-Detail 2 3 2 4 4 3 2 2" xfId="8181"/>
    <cellStyle name="RowTitles1-Detail 2 3 2 4 4 3 2_Tertiary Salaries Survey" xfId="8182"/>
    <cellStyle name="RowTitles1-Detail 2 3 2 4 4 3 3" xfId="8183"/>
    <cellStyle name="RowTitles1-Detail 2 3 2 4 4 3_Tertiary Salaries Survey" xfId="8184"/>
    <cellStyle name="RowTitles1-Detail 2 3 2 4 4 4" xfId="8185"/>
    <cellStyle name="RowTitles1-Detail 2 3 2 4 4 4 2" xfId="8186"/>
    <cellStyle name="RowTitles1-Detail 2 3 2 4 4 4_Tertiary Salaries Survey" xfId="8187"/>
    <cellStyle name="RowTitles1-Detail 2 3 2 4 4 5" xfId="8188"/>
    <cellStyle name="RowTitles1-Detail 2 3 2 4 4_Tertiary Salaries Survey" xfId="8189"/>
    <cellStyle name="RowTitles1-Detail 2 3 2 4 5" xfId="8190"/>
    <cellStyle name="RowTitles1-Detail 2 3 2 4 5 2" xfId="8191"/>
    <cellStyle name="RowTitles1-Detail 2 3 2 4 5 2 2" xfId="8192"/>
    <cellStyle name="RowTitles1-Detail 2 3 2 4 5 2 2 2" xfId="8193"/>
    <cellStyle name="RowTitles1-Detail 2 3 2 4 5 2 2_Tertiary Salaries Survey" xfId="8194"/>
    <cellStyle name="RowTitles1-Detail 2 3 2 4 5 2 3" xfId="8195"/>
    <cellStyle name="RowTitles1-Detail 2 3 2 4 5 2_Tertiary Salaries Survey" xfId="8196"/>
    <cellStyle name="RowTitles1-Detail 2 3 2 4 5 3" xfId="8197"/>
    <cellStyle name="RowTitles1-Detail 2 3 2 4 5 3 2" xfId="8198"/>
    <cellStyle name="RowTitles1-Detail 2 3 2 4 5 3 2 2" xfId="8199"/>
    <cellStyle name="RowTitles1-Detail 2 3 2 4 5 3 2_Tertiary Salaries Survey" xfId="8200"/>
    <cellStyle name="RowTitles1-Detail 2 3 2 4 5 3 3" xfId="8201"/>
    <cellStyle name="RowTitles1-Detail 2 3 2 4 5 3_Tertiary Salaries Survey" xfId="8202"/>
    <cellStyle name="RowTitles1-Detail 2 3 2 4 5 4" xfId="8203"/>
    <cellStyle name="RowTitles1-Detail 2 3 2 4 5 4 2" xfId="8204"/>
    <cellStyle name="RowTitles1-Detail 2 3 2 4 5 4_Tertiary Salaries Survey" xfId="8205"/>
    <cellStyle name="RowTitles1-Detail 2 3 2 4 5 5" xfId="8206"/>
    <cellStyle name="RowTitles1-Detail 2 3 2 4 5_Tertiary Salaries Survey" xfId="8207"/>
    <cellStyle name="RowTitles1-Detail 2 3 2 4 6" xfId="8208"/>
    <cellStyle name="RowTitles1-Detail 2 3 2 4 6 2" xfId="8209"/>
    <cellStyle name="RowTitles1-Detail 2 3 2 4 6 2 2" xfId="8210"/>
    <cellStyle name="RowTitles1-Detail 2 3 2 4 6 2 2 2" xfId="8211"/>
    <cellStyle name="RowTitles1-Detail 2 3 2 4 6 2 2_Tertiary Salaries Survey" xfId="8212"/>
    <cellStyle name="RowTitles1-Detail 2 3 2 4 6 2 3" xfId="8213"/>
    <cellStyle name="RowTitles1-Detail 2 3 2 4 6 2_Tertiary Salaries Survey" xfId="8214"/>
    <cellStyle name="RowTitles1-Detail 2 3 2 4 6 3" xfId="8215"/>
    <cellStyle name="RowTitles1-Detail 2 3 2 4 6 3 2" xfId="8216"/>
    <cellStyle name="RowTitles1-Detail 2 3 2 4 6 3 2 2" xfId="8217"/>
    <cellStyle name="RowTitles1-Detail 2 3 2 4 6 3 2_Tertiary Salaries Survey" xfId="8218"/>
    <cellStyle name="RowTitles1-Detail 2 3 2 4 6 3 3" xfId="8219"/>
    <cellStyle name="RowTitles1-Detail 2 3 2 4 6 3_Tertiary Salaries Survey" xfId="8220"/>
    <cellStyle name="RowTitles1-Detail 2 3 2 4 6 4" xfId="8221"/>
    <cellStyle name="RowTitles1-Detail 2 3 2 4 6 4 2" xfId="8222"/>
    <cellStyle name="RowTitles1-Detail 2 3 2 4 6 4_Tertiary Salaries Survey" xfId="8223"/>
    <cellStyle name="RowTitles1-Detail 2 3 2 4 6 5" xfId="8224"/>
    <cellStyle name="RowTitles1-Detail 2 3 2 4 6_Tertiary Salaries Survey" xfId="8225"/>
    <cellStyle name="RowTitles1-Detail 2 3 2 4 7" xfId="8226"/>
    <cellStyle name="RowTitles1-Detail 2 3 2 4 7 2" xfId="8227"/>
    <cellStyle name="RowTitles1-Detail 2 3 2 4 7 2 2" xfId="8228"/>
    <cellStyle name="RowTitles1-Detail 2 3 2 4 7 2_Tertiary Salaries Survey" xfId="8229"/>
    <cellStyle name="RowTitles1-Detail 2 3 2 4 7 3" xfId="8230"/>
    <cellStyle name="RowTitles1-Detail 2 3 2 4 7_Tertiary Salaries Survey" xfId="8231"/>
    <cellStyle name="RowTitles1-Detail 2 3 2 4 8" xfId="8232"/>
    <cellStyle name="RowTitles1-Detail 2 3 2 4 8 2" xfId="8233"/>
    <cellStyle name="RowTitles1-Detail 2 3 2 4 8 2 2" xfId="8234"/>
    <cellStyle name="RowTitles1-Detail 2 3 2 4 8 2_Tertiary Salaries Survey" xfId="8235"/>
    <cellStyle name="RowTitles1-Detail 2 3 2 4 8 3" xfId="8236"/>
    <cellStyle name="RowTitles1-Detail 2 3 2 4 8_Tertiary Salaries Survey" xfId="8237"/>
    <cellStyle name="RowTitles1-Detail 2 3 2 4 9" xfId="8238"/>
    <cellStyle name="RowTitles1-Detail 2 3 2 4_STUD aligned by INSTIT" xfId="8239"/>
    <cellStyle name="RowTitles1-Detail 2 3 2 5" xfId="8240"/>
    <cellStyle name="RowTitles1-Detail 2 3 2 5 2" xfId="8241"/>
    <cellStyle name="RowTitles1-Detail 2 3 2 5 2 2" xfId="8242"/>
    <cellStyle name="RowTitles1-Detail 2 3 2 5 2 2 2" xfId="8243"/>
    <cellStyle name="RowTitles1-Detail 2 3 2 5 2 2 2 2" xfId="8244"/>
    <cellStyle name="RowTitles1-Detail 2 3 2 5 2 2 2_Tertiary Salaries Survey" xfId="8245"/>
    <cellStyle name="RowTitles1-Detail 2 3 2 5 2 2 3" xfId="8246"/>
    <cellStyle name="RowTitles1-Detail 2 3 2 5 2 2_Tertiary Salaries Survey" xfId="8247"/>
    <cellStyle name="RowTitles1-Detail 2 3 2 5 2 3" xfId="8248"/>
    <cellStyle name="RowTitles1-Detail 2 3 2 5 2 3 2" xfId="8249"/>
    <cellStyle name="RowTitles1-Detail 2 3 2 5 2 3 2 2" xfId="8250"/>
    <cellStyle name="RowTitles1-Detail 2 3 2 5 2 3 2_Tertiary Salaries Survey" xfId="8251"/>
    <cellStyle name="RowTitles1-Detail 2 3 2 5 2 3 3" xfId="8252"/>
    <cellStyle name="RowTitles1-Detail 2 3 2 5 2 3_Tertiary Salaries Survey" xfId="8253"/>
    <cellStyle name="RowTitles1-Detail 2 3 2 5 2 4" xfId="8254"/>
    <cellStyle name="RowTitles1-Detail 2 3 2 5 2 5" xfId="8255"/>
    <cellStyle name="RowTitles1-Detail 2 3 2 5 2 5 2" xfId="8256"/>
    <cellStyle name="RowTitles1-Detail 2 3 2 5 2 5_Tertiary Salaries Survey" xfId="8257"/>
    <cellStyle name="RowTitles1-Detail 2 3 2 5 2 6" xfId="8258"/>
    <cellStyle name="RowTitles1-Detail 2 3 2 5 2_Tertiary Salaries Survey" xfId="8259"/>
    <cellStyle name="RowTitles1-Detail 2 3 2 5 3" xfId="8260"/>
    <cellStyle name="RowTitles1-Detail 2 3 2 5 3 2" xfId="8261"/>
    <cellStyle name="RowTitles1-Detail 2 3 2 5 3 2 2" xfId="8262"/>
    <cellStyle name="RowTitles1-Detail 2 3 2 5 3 2 2 2" xfId="8263"/>
    <cellStyle name="RowTitles1-Detail 2 3 2 5 3 2 2_Tertiary Salaries Survey" xfId="8264"/>
    <cellStyle name="RowTitles1-Detail 2 3 2 5 3 2 3" xfId="8265"/>
    <cellStyle name="RowTitles1-Detail 2 3 2 5 3 2_Tertiary Salaries Survey" xfId="8266"/>
    <cellStyle name="RowTitles1-Detail 2 3 2 5 3 3" xfId="8267"/>
    <cellStyle name="RowTitles1-Detail 2 3 2 5 3 3 2" xfId="8268"/>
    <cellStyle name="RowTitles1-Detail 2 3 2 5 3 3 2 2" xfId="8269"/>
    <cellStyle name="RowTitles1-Detail 2 3 2 5 3 3 2_Tertiary Salaries Survey" xfId="8270"/>
    <cellStyle name="RowTitles1-Detail 2 3 2 5 3 3 3" xfId="8271"/>
    <cellStyle name="RowTitles1-Detail 2 3 2 5 3 3_Tertiary Salaries Survey" xfId="8272"/>
    <cellStyle name="RowTitles1-Detail 2 3 2 5 3 4" xfId="8273"/>
    <cellStyle name="RowTitles1-Detail 2 3 2 5 3 5" xfId="8274"/>
    <cellStyle name="RowTitles1-Detail 2 3 2 5 3_Tertiary Salaries Survey" xfId="8275"/>
    <cellStyle name="RowTitles1-Detail 2 3 2 5 4" xfId="8276"/>
    <cellStyle name="RowTitles1-Detail 2 3 2 5 4 2" xfId="8277"/>
    <cellStyle name="RowTitles1-Detail 2 3 2 5 4 2 2" xfId="8278"/>
    <cellStyle name="RowTitles1-Detail 2 3 2 5 4 2 2 2" xfId="8279"/>
    <cellStyle name="RowTitles1-Detail 2 3 2 5 4 2 2_Tertiary Salaries Survey" xfId="8280"/>
    <cellStyle name="RowTitles1-Detail 2 3 2 5 4 2 3" xfId="8281"/>
    <cellStyle name="RowTitles1-Detail 2 3 2 5 4 2_Tertiary Salaries Survey" xfId="8282"/>
    <cellStyle name="RowTitles1-Detail 2 3 2 5 4 3" xfId="8283"/>
    <cellStyle name="RowTitles1-Detail 2 3 2 5 4 3 2" xfId="8284"/>
    <cellStyle name="RowTitles1-Detail 2 3 2 5 4 3 2 2" xfId="8285"/>
    <cellStyle name="RowTitles1-Detail 2 3 2 5 4 3 2_Tertiary Salaries Survey" xfId="8286"/>
    <cellStyle name="RowTitles1-Detail 2 3 2 5 4 3 3" xfId="8287"/>
    <cellStyle name="RowTitles1-Detail 2 3 2 5 4 3_Tertiary Salaries Survey" xfId="8288"/>
    <cellStyle name="RowTitles1-Detail 2 3 2 5 4 4" xfId="8289"/>
    <cellStyle name="RowTitles1-Detail 2 3 2 5 4 5" xfId="8290"/>
    <cellStyle name="RowTitles1-Detail 2 3 2 5 4 5 2" xfId="8291"/>
    <cellStyle name="RowTitles1-Detail 2 3 2 5 4 5_Tertiary Salaries Survey" xfId="8292"/>
    <cellStyle name="RowTitles1-Detail 2 3 2 5 4 6" xfId="8293"/>
    <cellStyle name="RowTitles1-Detail 2 3 2 5 4_Tertiary Salaries Survey" xfId="8294"/>
    <cellStyle name="RowTitles1-Detail 2 3 2 5 5" xfId="8295"/>
    <cellStyle name="RowTitles1-Detail 2 3 2 5 5 2" xfId="8296"/>
    <cellStyle name="RowTitles1-Detail 2 3 2 5 5 2 2" xfId="8297"/>
    <cellStyle name="RowTitles1-Detail 2 3 2 5 5 2 2 2" xfId="8298"/>
    <cellStyle name="RowTitles1-Detail 2 3 2 5 5 2 2_Tertiary Salaries Survey" xfId="8299"/>
    <cellStyle name="RowTitles1-Detail 2 3 2 5 5 2 3" xfId="8300"/>
    <cellStyle name="RowTitles1-Detail 2 3 2 5 5 2_Tertiary Salaries Survey" xfId="8301"/>
    <cellStyle name="RowTitles1-Detail 2 3 2 5 5 3" xfId="8302"/>
    <cellStyle name="RowTitles1-Detail 2 3 2 5 5 3 2" xfId="8303"/>
    <cellStyle name="RowTitles1-Detail 2 3 2 5 5 3 2 2" xfId="8304"/>
    <cellStyle name="RowTitles1-Detail 2 3 2 5 5 3 2_Tertiary Salaries Survey" xfId="8305"/>
    <cellStyle name="RowTitles1-Detail 2 3 2 5 5 3 3" xfId="8306"/>
    <cellStyle name="RowTitles1-Detail 2 3 2 5 5 3_Tertiary Salaries Survey" xfId="8307"/>
    <cellStyle name="RowTitles1-Detail 2 3 2 5 5 4" xfId="8308"/>
    <cellStyle name="RowTitles1-Detail 2 3 2 5 5 4 2" xfId="8309"/>
    <cellStyle name="RowTitles1-Detail 2 3 2 5 5 4_Tertiary Salaries Survey" xfId="8310"/>
    <cellStyle name="RowTitles1-Detail 2 3 2 5 5 5" xfId="8311"/>
    <cellStyle name="RowTitles1-Detail 2 3 2 5 5_Tertiary Salaries Survey" xfId="8312"/>
    <cellStyle name="RowTitles1-Detail 2 3 2 5 6" xfId="8313"/>
    <cellStyle name="RowTitles1-Detail 2 3 2 5 6 2" xfId="8314"/>
    <cellStyle name="RowTitles1-Detail 2 3 2 5 6 2 2" xfId="8315"/>
    <cellStyle name="RowTitles1-Detail 2 3 2 5 6 2 2 2" xfId="8316"/>
    <cellStyle name="RowTitles1-Detail 2 3 2 5 6 2 2_Tertiary Salaries Survey" xfId="8317"/>
    <cellStyle name="RowTitles1-Detail 2 3 2 5 6 2 3" xfId="8318"/>
    <cellStyle name="RowTitles1-Detail 2 3 2 5 6 2_Tertiary Salaries Survey" xfId="8319"/>
    <cellStyle name="RowTitles1-Detail 2 3 2 5 6 3" xfId="8320"/>
    <cellStyle name="RowTitles1-Detail 2 3 2 5 6 3 2" xfId="8321"/>
    <cellStyle name="RowTitles1-Detail 2 3 2 5 6 3 2 2" xfId="8322"/>
    <cellStyle name="RowTitles1-Detail 2 3 2 5 6 3 2_Tertiary Salaries Survey" xfId="8323"/>
    <cellStyle name="RowTitles1-Detail 2 3 2 5 6 3 3" xfId="8324"/>
    <cellStyle name="RowTitles1-Detail 2 3 2 5 6 3_Tertiary Salaries Survey" xfId="8325"/>
    <cellStyle name="RowTitles1-Detail 2 3 2 5 6 4" xfId="8326"/>
    <cellStyle name="RowTitles1-Detail 2 3 2 5 6 4 2" xfId="8327"/>
    <cellStyle name="RowTitles1-Detail 2 3 2 5 6 4_Tertiary Salaries Survey" xfId="8328"/>
    <cellStyle name="RowTitles1-Detail 2 3 2 5 6 5" xfId="8329"/>
    <cellStyle name="RowTitles1-Detail 2 3 2 5 6_Tertiary Salaries Survey" xfId="8330"/>
    <cellStyle name="RowTitles1-Detail 2 3 2 5 7" xfId="8331"/>
    <cellStyle name="RowTitles1-Detail 2 3 2 5 7 2" xfId="8332"/>
    <cellStyle name="RowTitles1-Detail 2 3 2 5 7 2 2" xfId="8333"/>
    <cellStyle name="RowTitles1-Detail 2 3 2 5 7 2_Tertiary Salaries Survey" xfId="8334"/>
    <cellStyle name="RowTitles1-Detail 2 3 2 5 7 3" xfId="8335"/>
    <cellStyle name="RowTitles1-Detail 2 3 2 5 7_Tertiary Salaries Survey" xfId="8336"/>
    <cellStyle name="RowTitles1-Detail 2 3 2 5 8" xfId="8337"/>
    <cellStyle name="RowTitles1-Detail 2 3 2 5 9" xfId="8338"/>
    <cellStyle name="RowTitles1-Detail 2 3 2 5_STUD aligned by INSTIT" xfId="8339"/>
    <cellStyle name="RowTitles1-Detail 2 3 2 6" xfId="8340"/>
    <cellStyle name="RowTitles1-Detail 2 3 2 6 2" xfId="8341"/>
    <cellStyle name="RowTitles1-Detail 2 3 2 6 2 2" xfId="8342"/>
    <cellStyle name="RowTitles1-Detail 2 3 2 6 2 2 2" xfId="8343"/>
    <cellStyle name="RowTitles1-Detail 2 3 2 6 2 2_Tertiary Salaries Survey" xfId="8344"/>
    <cellStyle name="RowTitles1-Detail 2 3 2 6 2 3" xfId="8345"/>
    <cellStyle name="RowTitles1-Detail 2 3 2 6 2_Tertiary Salaries Survey" xfId="8346"/>
    <cellStyle name="RowTitles1-Detail 2 3 2 6 3" xfId="8347"/>
    <cellStyle name="RowTitles1-Detail 2 3 2 6 3 2" xfId="8348"/>
    <cellStyle name="RowTitles1-Detail 2 3 2 6 3 2 2" xfId="8349"/>
    <cellStyle name="RowTitles1-Detail 2 3 2 6 3 2_Tertiary Salaries Survey" xfId="8350"/>
    <cellStyle name="RowTitles1-Detail 2 3 2 6 3 3" xfId="8351"/>
    <cellStyle name="RowTitles1-Detail 2 3 2 6 3_Tertiary Salaries Survey" xfId="8352"/>
    <cellStyle name="RowTitles1-Detail 2 3 2 6 4" xfId="8353"/>
    <cellStyle name="RowTitles1-Detail 2 3 2 6 5" xfId="8354"/>
    <cellStyle name="RowTitles1-Detail 2 3 2 6 5 2" xfId="8355"/>
    <cellStyle name="RowTitles1-Detail 2 3 2 6 5_Tertiary Salaries Survey" xfId="8356"/>
    <cellStyle name="RowTitles1-Detail 2 3 2 6 6" xfId="8357"/>
    <cellStyle name="RowTitles1-Detail 2 3 2 6_Tertiary Salaries Survey" xfId="8358"/>
    <cellStyle name="RowTitles1-Detail 2 3 2 7" xfId="8359"/>
    <cellStyle name="RowTitles1-Detail 2 3 2 7 2" xfId="8360"/>
    <cellStyle name="RowTitles1-Detail 2 3 2 7 2 2" xfId="8361"/>
    <cellStyle name="RowTitles1-Detail 2 3 2 7 2 2 2" xfId="8362"/>
    <cellStyle name="RowTitles1-Detail 2 3 2 7 2 2_Tertiary Salaries Survey" xfId="8363"/>
    <cellStyle name="RowTitles1-Detail 2 3 2 7 2 3" xfId="8364"/>
    <cellStyle name="RowTitles1-Detail 2 3 2 7 2_Tertiary Salaries Survey" xfId="8365"/>
    <cellStyle name="RowTitles1-Detail 2 3 2 7 3" xfId="8366"/>
    <cellStyle name="RowTitles1-Detail 2 3 2 7 3 2" xfId="8367"/>
    <cellStyle name="RowTitles1-Detail 2 3 2 7 3 2 2" xfId="8368"/>
    <cellStyle name="RowTitles1-Detail 2 3 2 7 3 2_Tertiary Salaries Survey" xfId="8369"/>
    <cellStyle name="RowTitles1-Detail 2 3 2 7 3 3" xfId="8370"/>
    <cellStyle name="RowTitles1-Detail 2 3 2 7 3_Tertiary Salaries Survey" xfId="8371"/>
    <cellStyle name="RowTitles1-Detail 2 3 2 7 4" xfId="8372"/>
    <cellStyle name="RowTitles1-Detail 2 3 2 7 5" xfId="8373"/>
    <cellStyle name="RowTitles1-Detail 2 3 2 7_Tertiary Salaries Survey" xfId="8374"/>
    <cellStyle name="RowTitles1-Detail 2 3 2 8" xfId="8375"/>
    <cellStyle name="RowTitles1-Detail 2 3 2 8 2" xfId="8376"/>
    <cellStyle name="RowTitles1-Detail 2 3 2 8 2 2" xfId="8377"/>
    <cellStyle name="RowTitles1-Detail 2 3 2 8 2 2 2" xfId="8378"/>
    <cellStyle name="RowTitles1-Detail 2 3 2 8 2 2_Tertiary Salaries Survey" xfId="8379"/>
    <cellStyle name="RowTitles1-Detail 2 3 2 8 2 3" xfId="8380"/>
    <cellStyle name="RowTitles1-Detail 2 3 2 8 2_Tertiary Salaries Survey" xfId="8381"/>
    <cellStyle name="RowTitles1-Detail 2 3 2 8 3" xfId="8382"/>
    <cellStyle name="RowTitles1-Detail 2 3 2 8 3 2" xfId="8383"/>
    <cellStyle name="RowTitles1-Detail 2 3 2 8 3 2 2" xfId="8384"/>
    <cellStyle name="RowTitles1-Detail 2 3 2 8 3 2_Tertiary Salaries Survey" xfId="8385"/>
    <cellStyle name="RowTitles1-Detail 2 3 2 8 3 3" xfId="8386"/>
    <cellStyle name="RowTitles1-Detail 2 3 2 8 3_Tertiary Salaries Survey" xfId="8387"/>
    <cellStyle name="RowTitles1-Detail 2 3 2 8 4" xfId="8388"/>
    <cellStyle name="RowTitles1-Detail 2 3 2 8 5" xfId="8389"/>
    <cellStyle name="RowTitles1-Detail 2 3 2 8 5 2" xfId="8390"/>
    <cellStyle name="RowTitles1-Detail 2 3 2 8 5_Tertiary Salaries Survey" xfId="8391"/>
    <cellStyle name="RowTitles1-Detail 2 3 2 8 6" xfId="8392"/>
    <cellStyle name="RowTitles1-Detail 2 3 2 8_Tertiary Salaries Survey" xfId="8393"/>
    <cellStyle name="RowTitles1-Detail 2 3 2 9" xfId="8394"/>
    <cellStyle name="RowTitles1-Detail 2 3 2 9 2" xfId="8395"/>
    <cellStyle name="RowTitles1-Detail 2 3 2 9 2 2" xfId="8396"/>
    <cellStyle name="RowTitles1-Detail 2 3 2 9 2 2 2" xfId="8397"/>
    <cellStyle name="RowTitles1-Detail 2 3 2 9 2 2_Tertiary Salaries Survey" xfId="8398"/>
    <cellStyle name="RowTitles1-Detail 2 3 2 9 2 3" xfId="8399"/>
    <cellStyle name="RowTitles1-Detail 2 3 2 9 2_Tertiary Salaries Survey" xfId="8400"/>
    <cellStyle name="RowTitles1-Detail 2 3 2 9 3" xfId="8401"/>
    <cellStyle name="RowTitles1-Detail 2 3 2 9 3 2" xfId="8402"/>
    <cellStyle name="RowTitles1-Detail 2 3 2 9 3 2 2" xfId="8403"/>
    <cellStyle name="RowTitles1-Detail 2 3 2 9 3 2_Tertiary Salaries Survey" xfId="8404"/>
    <cellStyle name="RowTitles1-Detail 2 3 2 9 3 3" xfId="8405"/>
    <cellStyle name="RowTitles1-Detail 2 3 2 9 3_Tertiary Salaries Survey" xfId="8406"/>
    <cellStyle name="RowTitles1-Detail 2 3 2 9 4" xfId="8407"/>
    <cellStyle name="RowTitles1-Detail 2 3 2 9 4 2" xfId="8408"/>
    <cellStyle name="RowTitles1-Detail 2 3 2 9 4_Tertiary Salaries Survey" xfId="8409"/>
    <cellStyle name="RowTitles1-Detail 2 3 2 9 5" xfId="8410"/>
    <cellStyle name="RowTitles1-Detail 2 3 2 9_Tertiary Salaries Survey" xfId="8411"/>
    <cellStyle name="RowTitles1-Detail 2 3 2_STUD aligned by INSTIT" xfId="8412"/>
    <cellStyle name="RowTitles1-Detail 2 3 3" xfId="8413"/>
    <cellStyle name="RowTitles1-Detail 2 3 3 10" xfId="8414"/>
    <cellStyle name="RowTitles1-Detail 2 3 3 10 2" xfId="8415"/>
    <cellStyle name="RowTitles1-Detail 2 3 3 10 2 2" xfId="8416"/>
    <cellStyle name="RowTitles1-Detail 2 3 3 10 2_Tertiary Salaries Survey" xfId="8417"/>
    <cellStyle name="RowTitles1-Detail 2 3 3 10 3" xfId="8418"/>
    <cellStyle name="RowTitles1-Detail 2 3 3 10_Tertiary Salaries Survey" xfId="8419"/>
    <cellStyle name="RowTitles1-Detail 2 3 3 11" xfId="8420"/>
    <cellStyle name="RowTitles1-Detail 2 3 3 12" xfId="8421"/>
    <cellStyle name="RowTitles1-Detail 2 3 3 2" xfId="8422"/>
    <cellStyle name="RowTitles1-Detail 2 3 3 2 2" xfId="8423"/>
    <cellStyle name="RowTitles1-Detail 2 3 3 2 2 2" xfId="8424"/>
    <cellStyle name="RowTitles1-Detail 2 3 3 2 2 2 2" xfId="8425"/>
    <cellStyle name="RowTitles1-Detail 2 3 3 2 2 2 2 2" xfId="8426"/>
    <cellStyle name="RowTitles1-Detail 2 3 3 2 2 2 2_Tertiary Salaries Survey" xfId="8427"/>
    <cellStyle name="RowTitles1-Detail 2 3 3 2 2 2 3" xfId="8428"/>
    <cellStyle name="RowTitles1-Detail 2 3 3 2 2 2_Tertiary Salaries Survey" xfId="8429"/>
    <cellStyle name="RowTitles1-Detail 2 3 3 2 2 3" xfId="8430"/>
    <cellStyle name="RowTitles1-Detail 2 3 3 2 2 3 2" xfId="8431"/>
    <cellStyle name="RowTitles1-Detail 2 3 3 2 2 3 2 2" xfId="8432"/>
    <cellStyle name="RowTitles1-Detail 2 3 3 2 2 3 2_Tertiary Salaries Survey" xfId="8433"/>
    <cellStyle name="RowTitles1-Detail 2 3 3 2 2 3 3" xfId="8434"/>
    <cellStyle name="RowTitles1-Detail 2 3 3 2 2 3_Tertiary Salaries Survey" xfId="8435"/>
    <cellStyle name="RowTitles1-Detail 2 3 3 2 2 4" xfId="8436"/>
    <cellStyle name="RowTitles1-Detail 2 3 3 2 2 5" xfId="8437"/>
    <cellStyle name="RowTitles1-Detail 2 3 3 2 2_Tertiary Salaries Survey" xfId="8438"/>
    <cellStyle name="RowTitles1-Detail 2 3 3 2 3" xfId="8439"/>
    <cellStyle name="RowTitles1-Detail 2 3 3 2 3 2" xfId="8440"/>
    <cellStyle name="RowTitles1-Detail 2 3 3 2 3 2 2" xfId="8441"/>
    <cellStyle name="RowTitles1-Detail 2 3 3 2 3 2 2 2" xfId="8442"/>
    <cellStyle name="RowTitles1-Detail 2 3 3 2 3 2 2_Tertiary Salaries Survey" xfId="8443"/>
    <cellStyle name="RowTitles1-Detail 2 3 3 2 3 2 3" xfId="8444"/>
    <cellStyle name="RowTitles1-Detail 2 3 3 2 3 2_Tertiary Salaries Survey" xfId="8445"/>
    <cellStyle name="RowTitles1-Detail 2 3 3 2 3 3" xfId="8446"/>
    <cellStyle name="RowTitles1-Detail 2 3 3 2 3 3 2" xfId="8447"/>
    <cellStyle name="RowTitles1-Detail 2 3 3 2 3 3 2 2" xfId="8448"/>
    <cellStyle name="RowTitles1-Detail 2 3 3 2 3 3 2_Tertiary Salaries Survey" xfId="8449"/>
    <cellStyle name="RowTitles1-Detail 2 3 3 2 3 3 3" xfId="8450"/>
    <cellStyle name="RowTitles1-Detail 2 3 3 2 3 3_Tertiary Salaries Survey" xfId="8451"/>
    <cellStyle name="RowTitles1-Detail 2 3 3 2 3 4" xfId="8452"/>
    <cellStyle name="RowTitles1-Detail 2 3 3 2 3 5" xfId="8453"/>
    <cellStyle name="RowTitles1-Detail 2 3 3 2 3 5 2" xfId="8454"/>
    <cellStyle name="RowTitles1-Detail 2 3 3 2 3 5_Tertiary Salaries Survey" xfId="8455"/>
    <cellStyle name="RowTitles1-Detail 2 3 3 2 3 6" xfId="8456"/>
    <cellStyle name="RowTitles1-Detail 2 3 3 2 3_Tertiary Salaries Survey" xfId="8457"/>
    <cellStyle name="RowTitles1-Detail 2 3 3 2 4" xfId="8458"/>
    <cellStyle name="RowTitles1-Detail 2 3 3 2 4 2" xfId="8459"/>
    <cellStyle name="RowTitles1-Detail 2 3 3 2 4 2 2" xfId="8460"/>
    <cellStyle name="RowTitles1-Detail 2 3 3 2 4 2 2 2" xfId="8461"/>
    <cellStyle name="RowTitles1-Detail 2 3 3 2 4 2 2_Tertiary Salaries Survey" xfId="8462"/>
    <cellStyle name="RowTitles1-Detail 2 3 3 2 4 2 3" xfId="8463"/>
    <cellStyle name="RowTitles1-Detail 2 3 3 2 4 2_Tertiary Salaries Survey" xfId="8464"/>
    <cellStyle name="RowTitles1-Detail 2 3 3 2 4 3" xfId="8465"/>
    <cellStyle name="RowTitles1-Detail 2 3 3 2 4 3 2" xfId="8466"/>
    <cellStyle name="RowTitles1-Detail 2 3 3 2 4 3 2 2" xfId="8467"/>
    <cellStyle name="RowTitles1-Detail 2 3 3 2 4 3 2_Tertiary Salaries Survey" xfId="8468"/>
    <cellStyle name="RowTitles1-Detail 2 3 3 2 4 3 3" xfId="8469"/>
    <cellStyle name="RowTitles1-Detail 2 3 3 2 4 3_Tertiary Salaries Survey" xfId="8470"/>
    <cellStyle name="RowTitles1-Detail 2 3 3 2 4 4" xfId="8471"/>
    <cellStyle name="RowTitles1-Detail 2 3 3 2 4 4 2" xfId="8472"/>
    <cellStyle name="RowTitles1-Detail 2 3 3 2 4 4_Tertiary Salaries Survey" xfId="8473"/>
    <cellStyle name="RowTitles1-Detail 2 3 3 2 4 5" xfId="8474"/>
    <cellStyle name="RowTitles1-Detail 2 3 3 2 4_Tertiary Salaries Survey" xfId="8475"/>
    <cellStyle name="RowTitles1-Detail 2 3 3 2 5" xfId="8476"/>
    <cellStyle name="RowTitles1-Detail 2 3 3 2 5 2" xfId="8477"/>
    <cellStyle name="RowTitles1-Detail 2 3 3 2 5 2 2" xfId="8478"/>
    <cellStyle name="RowTitles1-Detail 2 3 3 2 5 2 2 2" xfId="8479"/>
    <cellStyle name="RowTitles1-Detail 2 3 3 2 5 2 2_Tertiary Salaries Survey" xfId="8480"/>
    <cellStyle name="RowTitles1-Detail 2 3 3 2 5 2 3" xfId="8481"/>
    <cellStyle name="RowTitles1-Detail 2 3 3 2 5 2_Tertiary Salaries Survey" xfId="8482"/>
    <cellStyle name="RowTitles1-Detail 2 3 3 2 5 3" xfId="8483"/>
    <cellStyle name="RowTitles1-Detail 2 3 3 2 5 3 2" xfId="8484"/>
    <cellStyle name="RowTitles1-Detail 2 3 3 2 5 3 2 2" xfId="8485"/>
    <cellStyle name="RowTitles1-Detail 2 3 3 2 5 3 2_Tertiary Salaries Survey" xfId="8486"/>
    <cellStyle name="RowTitles1-Detail 2 3 3 2 5 3 3" xfId="8487"/>
    <cellStyle name="RowTitles1-Detail 2 3 3 2 5 3_Tertiary Salaries Survey" xfId="8488"/>
    <cellStyle name="RowTitles1-Detail 2 3 3 2 5 4" xfId="8489"/>
    <cellStyle name="RowTitles1-Detail 2 3 3 2 5 4 2" xfId="8490"/>
    <cellStyle name="RowTitles1-Detail 2 3 3 2 5 4_Tertiary Salaries Survey" xfId="8491"/>
    <cellStyle name="RowTitles1-Detail 2 3 3 2 5 5" xfId="8492"/>
    <cellStyle name="RowTitles1-Detail 2 3 3 2 5_Tertiary Salaries Survey" xfId="8493"/>
    <cellStyle name="RowTitles1-Detail 2 3 3 2 6" xfId="8494"/>
    <cellStyle name="RowTitles1-Detail 2 3 3 2 6 2" xfId="8495"/>
    <cellStyle name="RowTitles1-Detail 2 3 3 2 6 2 2" xfId="8496"/>
    <cellStyle name="RowTitles1-Detail 2 3 3 2 6 2 2 2" xfId="8497"/>
    <cellStyle name="RowTitles1-Detail 2 3 3 2 6 2 2_Tertiary Salaries Survey" xfId="8498"/>
    <cellStyle name="RowTitles1-Detail 2 3 3 2 6 2 3" xfId="8499"/>
    <cellStyle name="RowTitles1-Detail 2 3 3 2 6 2_Tertiary Salaries Survey" xfId="8500"/>
    <cellStyle name="RowTitles1-Detail 2 3 3 2 6 3" xfId="8501"/>
    <cellStyle name="RowTitles1-Detail 2 3 3 2 6 3 2" xfId="8502"/>
    <cellStyle name="RowTitles1-Detail 2 3 3 2 6 3 2 2" xfId="8503"/>
    <cellStyle name="RowTitles1-Detail 2 3 3 2 6 3 2_Tertiary Salaries Survey" xfId="8504"/>
    <cellStyle name="RowTitles1-Detail 2 3 3 2 6 3 3" xfId="8505"/>
    <cellStyle name="RowTitles1-Detail 2 3 3 2 6 3_Tertiary Salaries Survey" xfId="8506"/>
    <cellStyle name="RowTitles1-Detail 2 3 3 2 6 4" xfId="8507"/>
    <cellStyle name="RowTitles1-Detail 2 3 3 2 6 4 2" xfId="8508"/>
    <cellStyle name="RowTitles1-Detail 2 3 3 2 6 4_Tertiary Salaries Survey" xfId="8509"/>
    <cellStyle name="RowTitles1-Detail 2 3 3 2 6 5" xfId="8510"/>
    <cellStyle name="RowTitles1-Detail 2 3 3 2 6_Tertiary Salaries Survey" xfId="8511"/>
    <cellStyle name="RowTitles1-Detail 2 3 3 2 7" xfId="8512"/>
    <cellStyle name="RowTitles1-Detail 2 3 3 2 7 2" xfId="8513"/>
    <cellStyle name="RowTitles1-Detail 2 3 3 2 7 2 2" xfId="8514"/>
    <cellStyle name="RowTitles1-Detail 2 3 3 2 7 2_Tertiary Salaries Survey" xfId="8515"/>
    <cellStyle name="RowTitles1-Detail 2 3 3 2 7 3" xfId="8516"/>
    <cellStyle name="RowTitles1-Detail 2 3 3 2 7_Tertiary Salaries Survey" xfId="8517"/>
    <cellStyle name="RowTitles1-Detail 2 3 3 2 8" xfId="8518"/>
    <cellStyle name="RowTitles1-Detail 2 3 3 2 9" xfId="8519"/>
    <cellStyle name="RowTitles1-Detail 2 3 3 2_STUD aligned by INSTIT" xfId="8520"/>
    <cellStyle name="RowTitles1-Detail 2 3 3 3" xfId="8521"/>
    <cellStyle name="RowTitles1-Detail 2 3 3 3 2" xfId="8522"/>
    <cellStyle name="RowTitles1-Detail 2 3 3 3 2 2" xfId="8523"/>
    <cellStyle name="RowTitles1-Detail 2 3 3 3 2 2 2" xfId="8524"/>
    <cellStyle name="RowTitles1-Detail 2 3 3 3 2 2 2 2" xfId="8525"/>
    <cellStyle name="RowTitles1-Detail 2 3 3 3 2 2 2_Tertiary Salaries Survey" xfId="8526"/>
    <cellStyle name="RowTitles1-Detail 2 3 3 3 2 2 3" xfId="8527"/>
    <cellStyle name="RowTitles1-Detail 2 3 3 3 2 2_Tertiary Salaries Survey" xfId="8528"/>
    <cellStyle name="RowTitles1-Detail 2 3 3 3 2 3" xfId="8529"/>
    <cellStyle name="RowTitles1-Detail 2 3 3 3 2 3 2" xfId="8530"/>
    <cellStyle name="RowTitles1-Detail 2 3 3 3 2 3 2 2" xfId="8531"/>
    <cellStyle name="RowTitles1-Detail 2 3 3 3 2 3 2_Tertiary Salaries Survey" xfId="8532"/>
    <cellStyle name="RowTitles1-Detail 2 3 3 3 2 3 3" xfId="8533"/>
    <cellStyle name="RowTitles1-Detail 2 3 3 3 2 3_Tertiary Salaries Survey" xfId="8534"/>
    <cellStyle name="RowTitles1-Detail 2 3 3 3 2 4" xfId="8535"/>
    <cellStyle name="RowTitles1-Detail 2 3 3 3 2 5" xfId="8536"/>
    <cellStyle name="RowTitles1-Detail 2 3 3 3 2 5 2" xfId="8537"/>
    <cellStyle name="RowTitles1-Detail 2 3 3 3 2 5_Tertiary Salaries Survey" xfId="8538"/>
    <cellStyle name="RowTitles1-Detail 2 3 3 3 2 6" xfId="8539"/>
    <cellStyle name="RowTitles1-Detail 2 3 3 3 2_Tertiary Salaries Survey" xfId="8540"/>
    <cellStyle name="RowTitles1-Detail 2 3 3 3 3" xfId="8541"/>
    <cellStyle name="RowTitles1-Detail 2 3 3 3 3 2" xfId="8542"/>
    <cellStyle name="RowTitles1-Detail 2 3 3 3 3 2 2" xfId="8543"/>
    <cellStyle name="RowTitles1-Detail 2 3 3 3 3 2 2 2" xfId="8544"/>
    <cellStyle name="RowTitles1-Detail 2 3 3 3 3 2 2_Tertiary Salaries Survey" xfId="8545"/>
    <cellStyle name="RowTitles1-Detail 2 3 3 3 3 2 3" xfId="8546"/>
    <cellStyle name="RowTitles1-Detail 2 3 3 3 3 2_Tertiary Salaries Survey" xfId="8547"/>
    <cellStyle name="RowTitles1-Detail 2 3 3 3 3 3" xfId="8548"/>
    <cellStyle name="RowTitles1-Detail 2 3 3 3 3 3 2" xfId="8549"/>
    <cellStyle name="RowTitles1-Detail 2 3 3 3 3 3 2 2" xfId="8550"/>
    <cellStyle name="RowTitles1-Detail 2 3 3 3 3 3 2_Tertiary Salaries Survey" xfId="8551"/>
    <cellStyle name="RowTitles1-Detail 2 3 3 3 3 3 3" xfId="8552"/>
    <cellStyle name="RowTitles1-Detail 2 3 3 3 3 3_Tertiary Salaries Survey" xfId="8553"/>
    <cellStyle name="RowTitles1-Detail 2 3 3 3 3 4" xfId="8554"/>
    <cellStyle name="RowTitles1-Detail 2 3 3 3 3 5" xfId="8555"/>
    <cellStyle name="RowTitles1-Detail 2 3 3 3 3_Tertiary Salaries Survey" xfId="8556"/>
    <cellStyle name="RowTitles1-Detail 2 3 3 3 4" xfId="8557"/>
    <cellStyle name="RowTitles1-Detail 2 3 3 3 4 2" xfId="8558"/>
    <cellStyle name="RowTitles1-Detail 2 3 3 3 4 2 2" xfId="8559"/>
    <cellStyle name="RowTitles1-Detail 2 3 3 3 4 2 2 2" xfId="8560"/>
    <cellStyle name="RowTitles1-Detail 2 3 3 3 4 2 2_Tertiary Salaries Survey" xfId="8561"/>
    <cellStyle name="RowTitles1-Detail 2 3 3 3 4 2 3" xfId="8562"/>
    <cellStyle name="RowTitles1-Detail 2 3 3 3 4 2_Tertiary Salaries Survey" xfId="8563"/>
    <cellStyle name="RowTitles1-Detail 2 3 3 3 4 3" xfId="8564"/>
    <cellStyle name="RowTitles1-Detail 2 3 3 3 4 3 2" xfId="8565"/>
    <cellStyle name="RowTitles1-Detail 2 3 3 3 4 3 2 2" xfId="8566"/>
    <cellStyle name="RowTitles1-Detail 2 3 3 3 4 3 2_Tertiary Salaries Survey" xfId="8567"/>
    <cellStyle name="RowTitles1-Detail 2 3 3 3 4 3 3" xfId="8568"/>
    <cellStyle name="RowTitles1-Detail 2 3 3 3 4 3_Tertiary Salaries Survey" xfId="8569"/>
    <cellStyle name="RowTitles1-Detail 2 3 3 3 4 4" xfId="8570"/>
    <cellStyle name="RowTitles1-Detail 2 3 3 3 4 4 2" xfId="8571"/>
    <cellStyle name="RowTitles1-Detail 2 3 3 3 4 4_Tertiary Salaries Survey" xfId="8572"/>
    <cellStyle name="RowTitles1-Detail 2 3 3 3 4 5" xfId="8573"/>
    <cellStyle name="RowTitles1-Detail 2 3 3 3 4_Tertiary Salaries Survey" xfId="8574"/>
    <cellStyle name="RowTitles1-Detail 2 3 3 3 5" xfId="8575"/>
    <cellStyle name="RowTitles1-Detail 2 3 3 3 5 2" xfId="8576"/>
    <cellStyle name="RowTitles1-Detail 2 3 3 3 5 2 2" xfId="8577"/>
    <cellStyle name="RowTitles1-Detail 2 3 3 3 5 2 2 2" xfId="8578"/>
    <cellStyle name="RowTitles1-Detail 2 3 3 3 5 2 2_Tertiary Salaries Survey" xfId="8579"/>
    <cellStyle name="RowTitles1-Detail 2 3 3 3 5 2 3" xfId="8580"/>
    <cellStyle name="RowTitles1-Detail 2 3 3 3 5 2_Tertiary Salaries Survey" xfId="8581"/>
    <cellStyle name="RowTitles1-Detail 2 3 3 3 5 3" xfId="8582"/>
    <cellStyle name="RowTitles1-Detail 2 3 3 3 5 3 2" xfId="8583"/>
    <cellStyle name="RowTitles1-Detail 2 3 3 3 5 3 2 2" xfId="8584"/>
    <cellStyle name="RowTitles1-Detail 2 3 3 3 5 3 2_Tertiary Salaries Survey" xfId="8585"/>
    <cellStyle name="RowTitles1-Detail 2 3 3 3 5 3 3" xfId="8586"/>
    <cellStyle name="RowTitles1-Detail 2 3 3 3 5 3_Tertiary Salaries Survey" xfId="8587"/>
    <cellStyle name="RowTitles1-Detail 2 3 3 3 5 4" xfId="8588"/>
    <cellStyle name="RowTitles1-Detail 2 3 3 3 5 4 2" xfId="8589"/>
    <cellStyle name="RowTitles1-Detail 2 3 3 3 5 4_Tertiary Salaries Survey" xfId="8590"/>
    <cellStyle name="RowTitles1-Detail 2 3 3 3 5 5" xfId="8591"/>
    <cellStyle name="RowTitles1-Detail 2 3 3 3 5_Tertiary Salaries Survey" xfId="8592"/>
    <cellStyle name="RowTitles1-Detail 2 3 3 3 6" xfId="8593"/>
    <cellStyle name="RowTitles1-Detail 2 3 3 3 6 2" xfId="8594"/>
    <cellStyle name="RowTitles1-Detail 2 3 3 3 6 2 2" xfId="8595"/>
    <cellStyle name="RowTitles1-Detail 2 3 3 3 6 2 2 2" xfId="8596"/>
    <cellStyle name="RowTitles1-Detail 2 3 3 3 6 2 2_Tertiary Salaries Survey" xfId="8597"/>
    <cellStyle name="RowTitles1-Detail 2 3 3 3 6 2 3" xfId="8598"/>
    <cellStyle name="RowTitles1-Detail 2 3 3 3 6 2_Tertiary Salaries Survey" xfId="8599"/>
    <cellStyle name="RowTitles1-Detail 2 3 3 3 6 3" xfId="8600"/>
    <cellStyle name="RowTitles1-Detail 2 3 3 3 6 3 2" xfId="8601"/>
    <cellStyle name="RowTitles1-Detail 2 3 3 3 6 3 2 2" xfId="8602"/>
    <cellStyle name="RowTitles1-Detail 2 3 3 3 6 3 2_Tertiary Salaries Survey" xfId="8603"/>
    <cellStyle name="RowTitles1-Detail 2 3 3 3 6 3 3" xfId="8604"/>
    <cellStyle name="RowTitles1-Detail 2 3 3 3 6 3_Tertiary Salaries Survey" xfId="8605"/>
    <cellStyle name="RowTitles1-Detail 2 3 3 3 6 4" xfId="8606"/>
    <cellStyle name="RowTitles1-Detail 2 3 3 3 6 4 2" xfId="8607"/>
    <cellStyle name="RowTitles1-Detail 2 3 3 3 6 4_Tertiary Salaries Survey" xfId="8608"/>
    <cellStyle name="RowTitles1-Detail 2 3 3 3 6 5" xfId="8609"/>
    <cellStyle name="RowTitles1-Detail 2 3 3 3 6_Tertiary Salaries Survey" xfId="8610"/>
    <cellStyle name="RowTitles1-Detail 2 3 3 3 7" xfId="8611"/>
    <cellStyle name="RowTitles1-Detail 2 3 3 3 7 2" xfId="8612"/>
    <cellStyle name="RowTitles1-Detail 2 3 3 3 7 2 2" xfId="8613"/>
    <cellStyle name="RowTitles1-Detail 2 3 3 3 7 2_Tertiary Salaries Survey" xfId="8614"/>
    <cellStyle name="RowTitles1-Detail 2 3 3 3 7 3" xfId="8615"/>
    <cellStyle name="RowTitles1-Detail 2 3 3 3 7_Tertiary Salaries Survey" xfId="8616"/>
    <cellStyle name="RowTitles1-Detail 2 3 3 3 8" xfId="8617"/>
    <cellStyle name="RowTitles1-Detail 2 3 3 3 8 2" xfId="8618"/>
    <cellStyle name="RowTitles1-Detail 2 3 3 3 8 2 2" xfId="8619"/>
    <cellStyle name="RowTitles1-Detail 2 3 3 3 8 2_Tertiary Salaries Survey" xfId="8620"/>
    <cellStyle name="RowTitles1-Detail 2 3 3 3 8 3" xfId="8621"/>
    <cellStyle name="RowTitles1-Detail 2 3 3 3 8_Tertiary Salaries Survey" xfId="8622"/>
    <cellStyle name="RowTitles1-Detail 2 3 3 3 9" xfId="8623"/>
    <cellStyle name="RowTitles1-Detail 2 3 3 3_STUD aligned by INSTIT" xfId="8624"/>
    <cellStyle name="RowTitles1-Detail 2 3 3 4" xfId="8625"/>
    <cellStyle name="RowTitles1-Detail 2 3 3 4 2" xfId="8626"/>
    <cellStyle name="RowTitles1-Detail 2 3 3 4 2 2" xfId="8627"/>
    <cellStyle name="RowTitles1-Detail 2 3 3 4 2 2 2" xfId="8628"/>
    <cellStyle name="RowTitles1-Detail 2 3 3 4 2 2 2 2" xfId="8629"/>
    <cellStyle name="RowTitles1-Detail 2 3 3 4 2 2 2_Tertiary Salaries Survey" xfId="8630"/>
    <cellStyle name="RowTitles1-Detail 2 3 3 4 2 2 3" xfId="8631"/>
    <cellStyle name="RowTitles1-Detail 2 3 3 4 2 2_Tertiary Salaries Survey" xfId="8632"/>
    <cellStyle name="RowTitles1-Detail 2 3 3 4 2 3" xfId="8633"/>
    <cellStyle name="RowTitles1-Detail 2 3 3 4 2 3 2" xfId="8634"/>
    <cellStyle name="RowTitles1-Detail 2 3 3 4 2 3 2 2" xfId="8635"/>
    <cellStyle name="RowTitles1-Detail 2 3 3 4 2 3 2_Tertiary Salaries Survey" xfId="8636"/>
    <cellStyle name="RowTitles1-Detail 2 3 3 4 2 3 3" xfId="8637"/>
    <cellStyle name="RowTitles1-Detail 2 3 3 4 2 3_Tertiary Salaries Survey" xfId="8638"/>
    <cellStyle name="RowTitles1-Detail 2 3 3 4 2 4" xfId="8639"/>
    <cellStyle name="RowTitles1-Detail 2 3 3 4 2 5" xfId="8640"/>
    <cellStyle name="RowTitles1-Detail 2 3 3 4 2 5 2" xfId="8641"/>
    <cellStyle name="RowTitles1-Detail 2 3 3 4 2 5_Tertiary Salaries Survey" xfId="8642"/>
    <cellStyle name="RowTitles1-Detail 2 3 3 4 2 6" xfId="8643"/>
    <cellStyle name="RowTitles1-Detail 2 3 3 4 2_Tertiary Salaries Survey" xfId="8644"/>
    <cellStyle name="RowTitles1-Detail 2 3 3 4 3" xfId="8645"/>
    <cellStyle name="RowTitles1-Detail 2 3 3 4 3 2" xfId="8646"/>
    <cellStyle name="RowTitles1-Detail 2 3 3 4 3 2 2" xfId="8647"/>
    <cellStyle name="RowTitles1-Detail 2 3 3 4 3 2 2 2" xfId="8648"/>
    <cellStyle name="RowTitles1-Detail 2 3 3 4 3 2 2_Tertiary Salaries Survey" xfId="8649"/>
    <cellStyle name="RowTitles1-Detail 2 3 3 4 3 2 3" xfId="8650"/>
    <cellStyle name="RowTitles1-Detail 2 3 3 4 3 2_Tertiary Salaries Survey" xfId="8651"/>
    <cellStyle name="RowTitles1-Detail 2 3 3 4 3 3" xfId="8652"/>
    <cellStyle name="RowTitles1-Detail 2 3 3 4 3 3 2" xfId="8653"/>
    <cellStyle name="RowTitles1-Detail 2 3 3 4 3 3 2 2" xfId="8654"/>
    <cellStyle name="RowTitles1-Detail 2 3 3 4 3 3 2_Tertiary Salaries Survey" xfId="8655"/>
    <cellStyle name="RowTitles1-Detail 2 3 3 4 3 3 3" xfId="8656"/>
    <cellStyle name="RowTitles1-Detail 2 3 3 4 3 3_Tertiary Salaries Survey" xfId="8657"/>
    <cellStyle name="RowTitles1-Detail 2 3 3 4 3 4" xfId="8658"/>
    <cellStyle name="RowTitles1-Detail 2 3 3 4 3 5" xfId="8659"/>
    <cellStyle name="RowTitles1-Detail 2 3 3 4 3_Tertiary Salaries Survey" xfId="8660"/>
    <cellStyle name="RowTitles1-Detail 2 3 3 4 4" xfId="8661"/>
    <cellStyle name="RowTitles1-Detail 2 3 3 4 4 2" xfId="8662"/>
    <cellStyle name="RowTitles1-Detail 2 3 3 4 4 2 2" xfId="8663"/>
    <cellStyle name="RowTitles1-Detail 2 3 3 4 4 2 2 2" xfId="8664"/>
    <cellStyle name="RowTitles1-Detail 2 3 3 4 4 2 2_Tertiary Salaries Survey" xfId="8665"/>
    <cellStyle name="RowTitles1-Detail 2 3 3 4 4 2 3" xfId="8666"/>
    <cellStyle name="RowTitles1-Detail 2 3 3 4 4 2_Tertiary Salaries Survey" xfId="8667"/>
    <cellStyle name="RowTitles1-Detail 2 3 3 4 4 3" xfId="8668"/>
    <cellStyle name="RowTitles1-Detail 2 3 3 4 4 3 2" xfId="8669"/>
    <cellStyle name="RowTitles1-Detail 2 3 3 4 4 3 2 2" xfId="8670"/>
    <cellStyle name="RowTitles1-Detail 2 3 3 4 4 3 2_Tertiary Salaries Survey" xfId="8671"/>
    <cellStyle name="RowTitles1-Detail 2 3 3 4 4 3 3" xfId="8672"/>
    <cellStyle name="RowTitles1-Detail 2 3 3 4 4 3_Tertiary Salaries Survey" xfId="8673"/>
    <cellStyle name="RowTitles1-Detail 2 3 3 4 4 4" xfId="8674"/>
    <cellStyle name="RowTitles1-Detail 2 3 3 4 4 5" xfId="8675"/>
    <cellStyle name="RowTitles1-Detail 2 3 3 4 4 5 2" xfId="8676"/>
    <cellStyle name="RowTitles1-Detail 2 3 3 4 4 5_Tertiary Salaries Survey" xfId="8677"/>
    <cellStyle name="RowTitles1-Detail 2 3 3 4 4 6" xfId="8678"/>
    <cellStyle name="RowTitles1-Detail 2 3 3 4 4_Tertiary Salaries Survey" xfId="8679"/>
    <cellStyle name="RowTitles1-Detail 2 3 3 4 5" xfId="8680"/>
    <cellStyle name="RowTitles1-Detail 2 3 3 4 5 2" xfId="8681"/>
    <cellStyle name="RowTitles1-Detail 2 3 3 4 5 2 2" xfId="8682"/>
    <cellStyle name="RowTitles1-Detail 2 3 3 4 5 2 2 2" xfId="8683"/>
    <cellStyle name="RowTitles1-Detail 2 3 3 4 5 2 2_Tertiary Salaries Survey" xfId="8684"/>
    <cellStyle name="RowTitles1-Detail 2 3 3 4 5 2 3" xfId="8685"/>
    <cellStyle name="RowTitles1-Detail 2 3 3 4 5 2_Tertiary Salaries Survey" xfId="8686"/>
    <cellStyle name="RowTitles1-Detail 2 3 3 4 5 3" xfId="8687"/>
    <cellStyle name="RowTitles1-Detail 2 3 3 4 5 3 2" xfId="8688"/>
    <cellStyle name="RowTitles1-Detail 2 3 3 4 5 3 2 2" xfId="8689"/>
    <cellStyle name="RowTitles1-Detail 2 3 3 4 5 3 2_Tertiary Salaries Survey" xfId="8690"/>
    <cellStyle name="RowTitles1-Detail 2 3 3 4 5 3 3" xfId="8691"/>
    <cellStyle name="RowTitles1-Detail 2 3 3 4 5 3_Tertiary Salaries Survey" xfId="8692"/>
    <cellStyle name="RowTitles1-Detail 2 3 3 4 5 4" xfId="8693"/>
    <cellStyle name="RowTitles1-Detail 2 3 3 4 5 4 2" xfId="8694"/>
    <cellStyle name="RowTitles1-Detail 2 3 3 4 5 4_Tertiary Salaries Survey" xfId="8695"/>
    <cellStyle name="RowTitles1-Detail 2 3 3 4 5 5" xfId="8696"/>
    <cellStyle name="RowTitles1-Detail 2 3 3 4 5_Tertiary Salaries Survey" xfId="8697"/>
    <cellStyle name="RowTitles1-Detail 2 3 3 4 6" xfId="8698"/>
    <cellStyle name="RowTitles1-Detail 2 3 3 4 6 2" xfId="8699"/>
    <cellStyle name="RowTitles1-Detail 2 3 3 4 6 2 2" xfId="8700"/>
    <cellStyle name="RowTitles1-Detail 2 3 3 4 6 2 2 2" xfId="8701"/>
    <cellStyle name="RowTitles1-Detail 2 3 3 4 6 2 2_Tertiary Salaries Survey" xfId="8702"/>
    <cellStyle name="RowTitles1-Detail 2 3 3 4 6 2 3" xfId="8703"/>
    <cellStyle name="RowTitles1-Detail 2 3 3 4 6 2_Tertiary Salaries Survey" xfId="8704"/>
    <cellStyle name="RowTitles1-Detail 2 3 3 4 6 3" xfId="8705"/>
    <cellStyle name="RowTitles1-Detail 2 3 3 4 6 3 2" xfId="8706"/>
    <cellStyle name="RowTitles1-Detail 2 3 3 4 6 3 2 2" xfId="8707"/>
    <cellStyle name="RowTitles1-Detail 2 3 3 4 6 3 2_Tertiary Salaries Survey" xfId="8708"/>
    <cellStyle name="RowTitles1-Detail 2 3 3 4 6 3 3" xfId="8709"/>
    <cellStyle name="RowTitles1-Detail 2 3 3 4 6 3_Tertiary Salaries Survey" xfId="8710"/>
    <cellStyle name="RowTitles1-Detail 2 3 3 4 6 4" xfId="8711"/>
    <cellStyle name="RowTitles1-Detail 2 3 3 4 6 4 2" xfId="8712"/>
    <cellStyle name="RowTitles1-Detail 2 3 3 4 6 4_Tertiary Salaries Survey" xfId="8713"/>
    <cellStyle name="RowTitles1-Detail 2 3 3 4 6 5" xfId="8714"/>
    <cellStyle name="RowTitles1-Detail 2 3 3 4 6_Tertiary Salaries Survey" xfId="8715"/>
    <cellStyle name="RowTitles1-Detail 2 3 3 4 7" xfId="8716"/>
    <cellStyle name="RowTitles1-Detail 2 3 3 4 7 2" xfId="8717"/>
    <cellStyle name="RowTitles1-Detail 2 3 3 4 7 2 2" xfId="8718"/>
    <cellStyle name="RowTitles1-Detail 2 3 3 4 7 2_Tertiary Salaries Survey" xfId="8719"/>
    <cellStyle name="RowTitles1-Detail 2 3 3 4 7 3" xfId="8720"/>
    <cellStyle name="RowTitles1-Detail 2 3 3 4 7_Tertiary Salaries Survey" xfId="8721"/>
    <cellStyle name="RowTitles1-Detail 2 3 3 4 8" xfId="8722"/>
    <cellStyle name="RowTitles1-Detail 2 3 3 4 9" xfId="8723"/>
    <cellStyle name="RowTitles1-Detail 2 3 3 4_STUD aligned by INSTIT" xfId="8724"/>
    <cellStyle name="RowTitles1-Detail 2 3 3 5" xfId="8725"/>
    <cellStyle name="RowTitles1-Detail 2 3 3 5 2" xfId="8726"/>
    <cellStyle name="RowTitles1-Detail 2 3 3 5 2 2" xfId="8727"/>
    <cellStyle name="RowTitles1-Detail 2 3 3 5 2 2 2" xfId="8728"/>
    <cellStyle name="RowTitles1-Detail 2 3 3 5 2 2_Tertiary Salaries Survey" xfId="8729"/>
    <cellStyle name="RowTitles1-Detail 2 3 3 5 2 3" xfId="8730"/>
    <cellStyle name="RowTitles1-Detail 2 3 3 5 2_Tertiary Salaries Survey" xfId="8731"/>
    <cellStyle name="RowTitles1-Detail 2 3 3 5 3" xfId="8732"/>
    <cellStyle name="RowTitles1-Detail 2 3 3 5 3 2" xfId="8733"/>
    <cellStyle name="RowTitles1-Detail 2 3 3 5 3 2 2" xfId="8734"/>
    <cellStyle name="RowTitles1-Detail 2 3 3 5 3 2_Tertiary Salaries Survey" xfId="8735"/>
    <cellStyle name="RowTitles1-Detail 2 3 3 5 3 3" xfId="8736"/>
    <cellStyle name="RowTitles1-Detail 2 3 3 5 3_Tertiary Salaries Survey" xfId="8737"/>
    <cellStyle name="RowTitles1-Detail 2 3 3 5 4" xfId="8738"/>
    <cellStyle name="RowTitles1-Detail 2 3 3 5 5" xfId="8739"/>
    <cellStyle name="RowTitles1-Detail 2 3 3 5 5 2" xfId="8740"/>
    <cellStyle name="RowTitles1-Detail 2 3 3 5 5_Tertiary Salaries Survey" xfId="8741"/>
    <cellStyle name="RowTitles1-Detail 2 3 3 5 6" xfId="8742"/>
    <cellStyle name="RowTitles1-Detail 2 3 3 5_Tertiary Salaries Survey" xfId="8743"/>
    <cellStyle name="RowTitles1-Detail 2 3 3 6" xfId="8744"/>
    <cellStyle name="RowTitles1-Detail 2 3 3 6 2" xfId="8745"/>
    <cellStyle name="RowTitles1-Detail 2 3 3 6 2 2" xfId="8746"/>
    <cellStyle name="RowTitles1-Detail 2 3 3 6 2 2 2" xfId="8747"/>
    <cellStyle name="RowTitles1-Detail 2 3 3 6 2 2_Tertiary Salaries Survey" xfId="8748"/>
    <cellStyle name="RowTitles1-Detail 2 3 3 6 2 3" xfId="8749"/>
    <cellStyle name="RowTitles1-Detail 2 3 3 6 2_Tertiary Salaries Survey" xfId="8750"/>
    <cellStyle name="RowTitles1-Detail 2 3 3 6 3" xfId="8751"/>
    <cellStyle name="RowTitles1-Detail 2 3 3 6 3 2" xfId="8752"/>
    <cellStyle name="RowTitles1-Detail 2 3 3 6 3 2 2" xfId="8753"/>
    <cellStyle name="RowTitles1-Detail 2 3 3 6 3 2_Tertiary Salaries Survey" xfId="8754"/>
    <cellStyle name="RowTitles1-Detail 2 3 3 6 3 3" xfId="8755"/>
    <cellStyle name="RowTitles1-Detail 2 3 3 6 3_Tertiary Salaries Survey" xfId="8756"/>
    <cellStyle name="RowTitles1-Detail 2 3 3 6 4" xfId="8757"/>
    <cellStyle name="RowTitles1-Detail 2 3 3 6 5" xfId="8758"/>
    <cellStyle name="RowTitles1-Detail 2 3 3 6_Tertiary Salaries Survey" xfId="8759"/>
    <cellStyle name="RowTitles1-Detail 2 3 3 7" xfId="8760"/>
    <cellStyle name="RowTitles1-Detail 2 3 3 7 2" xfId="8761"/>
    <cellStyle name="RowTitles1-Detail 2 3 3 7 2 2" xfId="8762"/>
    <cellStyle name="RowTitles1-Detail 2 3 3 7 2 2 2" xfId="8763"/>
    <cellStyle name="RowTitles1-Detail 2 3 3 7 2 2_Tertiary Salaries Survey" xfId="8764"/>
    <cellStyle name="RowTitles1-Detail 2 3 3 7 2 3" xfId="8765"/>
    <cellStyle name="RowTitles1-Detail 2 3 3 7 2_Tertiary Salaries Survey" xfId="8766"/>
    <cellStyle name="RowTitles1-Detail 2 3 3 7 3" xfId="8767"/>
    <cellStyle name="RowTitles1-Detail 2 3 3 7 3 2" xfId="8768"/>
    <cellStyle name="RowTitles1-Detail 2 3 3 7 3 2 2" xfId="8769"/>
    <cellStyle name="RowTitles1-Detail 2 3 3 7 3 2_Tertiary Salaries Survey" xfId="8770"/>
    <cellStyle name="RowTitles1-Detail 2 3 3 7 3 3" xfId="8771"/>
    <cellStyle name="RowTitles1-Detail 2 3 3 7 3_Tertiary Salaries Survey" xfId="8772"/>
    <cellStyle name="RowTitles1-Detail 2 3 3 7 4" xfId="8773"/>
    <cellStyle name="RowTitles1-Detail 2 3 3 7 5" xfId="8774"/>
    <cellStyle name="RowTitles1-Detail 2 3 3 7 5 2" xfId="8775"/>
    <cellStyle name="RowTitles1-Detail 2 3 3 7 5_Tertiary Salaries Survey" xfId="8776"/>
    <cellStyle name="RowTitles1-Detail 2 3 3 7 6" xfId="8777"/>
    <cellStyle name="RowTitles1-Detail 2 3 3 7_Tertiary Salaries Survey" xfId="8778"/>
    <cellStyle name="RowTitles1-Detail 2 3 3 8" xfId="8779"/>
    <cellStyle name="RowTitles1-Detail 2 3 3 8 2" xfId="8780"/>
    <cellStyle name="RowTitles1-Detail 2 3 3 8 2 2" xfId="8781"/>
    <cellStyle name="RowTitles1-Detail 2 3 3 8 2 2 2" xfId="8782"/>
    <cellStyle name="RowTitles1-Detail 2 3 3 8 2 2_Tertiary Salaries Survey" xfId="8783"/>
    <cellStyle name="RowTitles1-Detail 2 3 3 8 2 3" xfId="8784"/>
    <cellStyle name="RowTitles1-Detail 2 3 3 8 2_Tertiary Salaries Survey" xfId="8785"/>
    <cellStyle name="RowTitles1-Detail 2 3 3 8 3" xfId="8786"/>
    <cellStyle name="RowTitles1-Detail 2 3 3 8 3 2" xfId="8787"/>
    <cellStyle name="RowTitles1-Detail 2 3 3 8 3 2 2" xfId="8788"/>
    <cellStyle name="RowTitles1-Detail 2 3 3 8 3 2_Tertiary Salaries Survey" xfId="8789"/>
    <cellStyle name="RowTitles1-Detail 2 3 3 8 3 3" xfId="8790"/>
    <cellStyle name="RowTitles1-Detail 2 3 3 8 3_Tertiary Salaries Survey" xfId="8791"/>
    <cellStyle name="RowTitles1-Detail 2 3 3 8 4" xfId="8792"/>
    <cellStyle name="RowTitles1-Detail 2 3 3 8 4 2" xfId="8793"/>
    <cellStyle name="RowTitles1-Detail 2 3 3 8 4_Tertiary Salaries Survey" xfId="8794"/>
    <cellStyle name="RowTitles1-Detail 2 3 3 8 5" xfId="8795"/>
    <cellStyle name="RowTitles1-Detail 2 3 3 8_Tertiary Salaries Survey" xfId="8796"/>
    <cellStyle name="RowTitles1-Detail 2 3 3 9" xfId="8797"/>
    <cellStyle name="RowTitles1-Detail 2 3 3 9 2" xfId="8798"/>
    <cellStyle name="RowTitles1-Detail 2 3 3 9 2 2" xfId="8799"/>
    <cellStyle name="RowTitles1-Detail 2 3 3 9 2 2 2" xfId="8800"/>
    <cellStyle name="RowTitles1-Detail 2 3 3 9 2 2_Tertiary Salaries Survey" xfId="8801"/>
    <cellStyle name="RowTitles1-Detail 2 3 3 9 2 3" xfId="8802"/>
    <cellStyle name="RowTitles1-Detail 2 3 3 9 2_Tertiary Salaries Survey" xfId="8803"/>
    <cellStyle name="RowTitles1-Detail 2 3 3 9 3" xfId="8804"/>
    <cellStyle name="RowTitles1-Detail 2 3 3 9 3 2" xfId="8805"/>
    <cellStyle name="RowTitles1-Detail 2 3 3 9 3 2 2" xfId="8806"/>
    <cellStyle name="RowTitles1-Detail 2 3 3 9 3 2_Tertiary Salaries Survey" xfId="8807"/>
    <cellStyle name="RowTitles1-Detail 2 3 3 9 3 3" xfId="8808"/>
    <cellStyle name="RowTitles1-Detail 2 3 3 9 3_Tertiary Salaries Survey" xfId="8809"/>
    <cellStyle name="RowTitles1-Detail 2 3 3 9 4" xfId="8810"/>
    <cellStyle name="RowTitles1-Detail 2 3 3 9 4 2" xfId="8811"/>
    <cellStyle name="RowTitles1-Detail 2 3 3 9 4_Tertiary Salaries Survey" xfId="8812"/>
    <cellStyle name="RowTitles1-Detail 2 3 3 9 5" xfId="8813"/>
    <cellStyle name="RowTitles1-Detail 2 3 3 9_Tertiary Salaries Survey" xfId="8814"/>
    <cellStyle name="RowTitles1-Detail 2 3 3_STUD aligned by INSTIT" xfId="8815"/>
    <cellStyle name="RowTitles1-Detail 2 3 4" xfId="8816"/>
    <cellStyle name="RowTitles1-Detail 2 3 4 2" xfId="8817"/>
    <cellStyle name="RowTitles1-Detail 2 3 4 2 2" xfId="8818"/>
    <cellStyle name="RowTitles1-Detail 2 3 4 2 2 2" xfId="8819"/>
    <cellStyle name="RowTitles1-Detail 2 3 4 2 2 2 2" xfId="8820"/>
    <cellStyle name="RowTitles1-Detail 2 3 4 2 2 2_Tertiary Salaries Survey" xfId="8821"/>
    <cellStyle name="RowTitles1-Detail 2 3 4 2 2 3" xfId="8822"/>
    <cellStyle name="RowTitles1-Detail 2 3 4 2 2_Tertiary Salaries Survey" xfId="8823"/>
    <cellStyle name="RowTitles1-Detail 2 3 4 2 3" xfId="8824"/>
    <cellStyle name="RowTitles1-Detail 2 3 4 2 3 2" xfId="8825"/>
    <cellStyle name="RowTitles1-Detail 2 3 4 2 3 2 2" xfId="8826"/>
    <cellStyle name="RowTitles1-Detail 2 3 4 2 3 2_Tertiary Salaries Survey" xfId="8827"/>
    <cellStyle name="RowTitles1-Detail 2 3 4 2 3 3" xfId="8828"/>
    <cellStyle name="RowTitles1-Detail 2 3 4 2 3_Tertiary Salaries Survey" xfId="8829"/>
    <cellStyle name="RowTitles1-Detail 2 3 4 2 4" xfId="8830"/>
    <cellStyle name="RowTitles1-Detail 2 3 4 2 5" xfId="8831"/>
    <cellStyle name="RowTitles1-Detail 2 3 4 2_Tertiary Salaries Survey" xfId="8832"/>
    <cellStyle name="RowTitles1-Detail 2 3 4 3" xfId="8833"/>
    <cellStyle name="RowTitles1-Detail 2 3 4 3 2" xfId="8834"/>
    <cellStyle name="RowTitles1-Detail 2 3 4 3 2 2" xfId="8835"/>
    <cellStyle name="RowTitles1-Detail 2 3 4 3 2 2 2" xfId="8836"/>
    <cellStyle name="RowTitles1-Detail 2 3 4 3 2 2_Tertiary Salaries Survey" xfId="8837"/>
    <cellStyle name="RowTitles1-Detail 2 3 4 3 2 3" xfId="8838"/>
    <cellStyle name="RowTitles1-Detail 2 3 4 3 2_Tertiary Salaries Survey" xfId="8839"/>
    <cellStyle name="RowTitles1-Detail 2 3 4 3 3" xfId="8840"/>
    <cellStyle name="RowTitles1-Detail 2 3 4 3 3 2" xfId="8841"/>
    <cellStyle name="RowTitles1-Detail 2 3 4 3 3 2 2" xfId="8842"/>
    <cellStyle name="RowTitles1-Detail 2 3 4 3 3 2_Tertiary Salaries Survey" xfId="8843"/>
    <cellStyle name="RowTitles1-Detail 2 3 4 3 3 3" xfId="8844"/>
    <cellStyle name="RowTitles1-Detail 2 3 4 3 3_Tertiary Salaries Survey" xfId="8845"/>
    <cellStyle name="RowTitles1-Detail 2 3 4 3 4" xfId="8846"/>
    <cellStyle name="RowTitles1-Detail 2 3 4 3 5" xfId="8847"/>
    <cellStyle name="RowTitles1-Detail 2 3 4 3 5 2" xfId="8848"/>
    <cellStyle name="RowTitles1-Detail 2 3 4 3 5_Tertiary Salaries Survey" xfId="8849"/>
    <cellStyle name="RowTitles1-Detail 2 3 4 3 6" xfId="8850"/>
    <cellStyle name="RowTitles1-Detail 2 3 4 3_Tertiary Salaries Survey" xfId="8851"/>
    <cellStyle name="RowTitles1-Detail 2 3 4 4" xfId="8852"/>
    <cellStyle name="RowTitles1-Detail 2 3 4 4 2" xfId="8853"/>
    <cellStyle name="RowTitles1-Detail 2 3 4 4 2 2" xfId="8854"/>
    <cellStyle name="RowTitles1-Detail 2 3 4 4 2 2 2" xfId="8855"/>
    <cellStyle name="RowTitles1-Detail 2 3 4 4 2 2_Tertiary Salaries Survey" xfId="8856"/>
    <cellStyle name="RowTitles1-Detail 2 3 4 4 2 3" xfId="8857"/>
    <cellStyle name="RowTitles1-Detail 2 3 4 4 2_Tertiary Salaries Survey" xfId="8858"/>
    <cellStyle name="RowTitles1-Detail 2 3 4 4 3" xfId="8859"/>
    <cellStyle name="RowTitles1-Detail 2 3 4 4 3 2" xfId="8860"/>
    <cellStyle name="RowTitles1-Detail 2 3 4 4 3 2 2" xfId="8861"/>
    <cellStyle name="RowTitles1-Detail 2 3 4 4 3 2_Tertiary Salaries Survey" xfId="8862"/>
    <cellStyle name="RowTitles1-Detail 2 3 4 4 3 3" xfId="8863"/>
    <cellStyle name="RowTitles1-Detail 2 3 4 4 3_Tertiary Salaries Survey" xfId="8864"/>
    <cellStyle name="RowTitles1-Detail 2 3 4 4 4" xfId="8865"/>
    <cellStyle name="RowTitles1-Detail 2 3 4 4 4 2" xfId="8866"/>
    <cellStyle name="RowTitles1-Detail 2 3 4 4 4_Tertiary Salaries Survey" xfId="8867"/>
    <cellStyle name="RowTitles1-Detail 2 3 4 4 5" xfId="8868"/>
    <cellStyle name="RowTitles1-Detail 2 3 4 4_Tertiary Salaries Survey" xfId="8869"/>
    <cellStyle name="RowTitles1-Detail 2 3 4 5" xfId="8870"/>
    <cellStyle name="RowTitles1-Detail 2 3 4 5 2" xfId="8871"/>
    <cellStyle name="RowTitles1-Detail 2 3 4 5 2 2" xfId="8872"/>
    <cellStyle name="RowTitles1-Detail 2 3 4 5 2 2 2" xfId="8873"/>
    <cellStyle name="RowTitles1-Detail 2 3 4 5 2 2_Tertiary Salaries Survey" xfId="8874"/>
    <cellStyle name="RowTitles1-Detail 2 3 4 5 2 3" xfId="8875"/>
    <cellStyle name="RowTitles1-Detail 2 3 4 5 2_Tertiary Salaries Survey" xfId="8876"/>
    <cellStyle name="RowTitles1-Detail 2 3 4 5 3" xfId="8877"/>
    <cellStyle name="RowTitles1-Detail 2 3 4 5 3 2" xfId="8878"/>
    <cellStyle name="RowTitles1-Detail 2 3 4 5 3 2 2" xfId="8879"/>
    <cellStyle name="RowTitles1-Detail 2 3 4 5 3 2_Tertiary Salaries Survey" xfId="8880"/>
    <cellStyle name="RowTitles1-Detail 2 3 4 5 3 3" xfId="8881"/>
    <cellStyle name="RowTitles1-Detail 2 3 4 5 3_Tertiary Salaries Survey" xfId="8882"/>
    <cellStyle name="RowTitles1-Detail 2 3 4 5 4" xfId="8883"/>
    <cellStyle name="RowTitles1-Detail 2 3 4 5 4 2" xfId="8884"/>
    <cellStyle name="RowTitles1-Detail 2 3 4 5 4_Tertiary Salaries Survey" xfId="8885"/>
    <cellStyle name="RowTitles1-Detail 2 3 4 5 5" xfId="8886"/>
    <cellStyle name="RowTitles1-Detail 2 3 4 5_Tertiary Salaries Survey" xfId="8887"/>
    <cellStyle name="RowTitles1-Detail 2 3 4 6" xfId="8888"/>
    <cellStyle name="RowTitles1-Detail 2 3 4 6 2" xfId="8889"/>
    <cellStyle name="RowTitles1-Detail 2 3 4 6 2 2" xfId="8890"/>
    <cellStyle name="RowTitles1-Detail 2 3 4 6 2 2 2" xfId="8891"/>
    <cellStyle name="RowTitles1-Detail 2 3 4 6 2 2_Tertiary Salaries Survey" xfId="8892"/>
    <cellStyle name="RowTitles1-Detail 2 3 4 6 2 3" xfId="8893"/>
    <cellStyle name="RowTitles1-Detail 2 3 4 6 2_Tertiary Salaries Survey" xfId="8894"/>
    <cellStyle name="RowTitles1-Detail 2 3 4 6 3" xfId="8895"/>
    <cellStyle name="RowTitles1-Detail 2 3 4 6 3 2" xfId="8896"/>
    <cellStyle name="RowTitles1-Detail 2 3 4 6 3 2 2" xfId="8897"/>
    <cellStyle name="RowTitles1-Detail 2 3 4 6 3 2_Tertiary Salaries Survey" xfId="8898"/>
    <cellStyle name="RowTitles1-Detail 2 3 4 6 3 3" xfId="8899"/>
    <cellStyle name="RowTitles1-Detail 2 3 4 6 3_Tertiary Salaries Survey" xfId="8900"/>
    <cellStyle name="RowTitles1-Detail 2 3 4 6 4" xfId="8901"/>
    <cellStyle name="RowTitles1-Detail 2 3 4 6 4 2" xfId="8902"/>
    <cellStyle name="RowTitles1-Detail 2 3 4 6 4_Tertiary Salaries Survey" xfId="8903"/>
    <cellStyle name="RowTitles1-Detail 2 3 4 6 5" xfId="8904"/>
    <cellStyle name="RowTitles1-Detail 2 3 4 6_Tertiary Salaries Survey" xfId="8905"/>
    <cellStyle name="RowTitles1-Detail 2 3 4 7" xfId="8906"/>
    <cellStyle name="RowTitles1-Detail 2 3 4 7 2" xfId="8907"/>
    <cellStyle name="RowTitles1-Detail 2 3 4 7 2 2" xfId="8908"/>
    <cellStyle name="RowTitles1-Detail 2 3 4 7 2_Tertiary Salaries Survey" xfId="8909"/>
    <cellStyle name="RowTitles1-Detail 2 3 4 7 3" xfId="8910"/>
    <cellStyle name="RowTitles1-Detail 2 3 4 7_Tertiary Salaries Survey" xfId="8911"/>
    <cellStyle name="RowTitles1-Detail 2 3 4 8" xfId="8912"/>
    <cellStyle name="RowTitles1-Detail 2 3 4 9" xfId="8913"/>
    <cellStyle name="RowTitles1-Detail 2 3 4_STUD aligned by INSTIT" xfId="8914"/>
    <cellStyle name="RowTitles1-Detail 2 3 5" xfId="8915"/>
    <cellStyle name="RowTitles1-Detail 2 3 5 2" xfId="8916"/>
    <cellStyle name="RowTitles1-Detail 2 3 5 2 2" xfId="8917"/>
    <cellStyle name="RowTitles1-Detail 2 3 5 2 2 2" xfId="8918"/>
    <cellStyle name="RowTitles1-Detail 2 3 5 2 2 2 2" xfId="8919"/>
    <cellStyle name="RowTitles1-Detail 2 3 5 2 2 2_Tertiary Salaries Survey" xfId="8920"/>
    <cellStyle name="RowTitles1-Detail 2 3 5 2 2 3" xfId="8921"/>
    <cellStyle name="RowTitles1-Detail 2 3 5 2 2_Tertiary Salaries Survey" xfId="8922"/>
    <cellStyle name="RowTitles1-Detail 2 3 5 2 3" xfId="8923"/>
    <cellStyle name="RowTitles1-Detail 2 3 5 2 3 2" xfId="8924"/>
    <cellStyle name="RowTitles1-Detail 2 3 5 2 3 2 2" xfId="8925"/>
    <cellStyle name="RowTitles1-Detail 2 3 5 2 3 2_Tertiary Salaries Survey" xfId="8926"/>
    <cellStyle name="RowTitles1-Detail 2 3 5 2 3 3" xfId="8927"/>
    <cellStyle name="RowTitles1-Detail 2 3 5 2 3_Tertiary Salaries Survey" xfId="8928"/>
    <cellStyle name="RowTitles1-Detail 2 3 5 2 4" xfId="8929"/>
    <cellStyle name="RowTitles1-Detail 2 3 5 2 5" xfId="8930"/>
    <cellStyle name="RowTitles1-Detail 2 3 5 2 5 2" xfId="8931"/>
    <cellStyle name="RowTitles1-Detail 2 3 5 2 5_Tertiary Salaries Survey" xfId="8932"/>
    <cellStyle name="RowTitles1-Detail 2 3 5 2 6" xfId="8933"/>
    <cellStyle name="RowTitles1-Detail 2 3 5 2_Tertiary Salaries Survey" xfId="8934"/>
    <cellStyle name="RowTitles1-Detail 2 3 5 3" xfId="8935"/>
    <cellStyle name="RowTitles1-Detail 2 3 5 3 2" xfId="8936"/>
    <cellStyle name="RowTitles1-Detail 2 3 5 3 2 2" xfId="8937"/>
    <cellStyle name="RowTitles1-Detail 2 3 5 3 2 2 2" xfId="8938"/>
    <cellStyle name="RowTitles1-Detail 2 3 5 3 2 2_Tertiary Salaries Survey" xfId="8939"/>
    <cellStyle name="RowTitles1-Detail 2 3 5 3 2 3" xfId="8940"/>
    <cellStyle name="RowTitles1-Detail 2 3 5 3 2_Tertiary Salaries Survey" xfId="8941"/>
    <cellStyle name="RowTitles1-Detail 2 3 5 3 3" xfId="8942"/>
    <cellStyle name="RowTitles1-Detail 2 3 5 3 3 2" xfId="8943"/>
    <cellStyle name="RowTitles1-Detail 2 3 5 3 3 2 2" xfId="8944"/>
    <cellStyle name="RowTitles1-Detail 2 3 5 3 3 2_Tertiary Salaries Survey" xfId="8945"/>
    <cellStyle name="RowTitles1-Detail 2 3 5 3 3 3" xfId="8946"/>
    <cellStyle name="RowTitles1-Detail 2 3 5 3 3_Tertiary Salaries Survey" xfId="8947"/>
    <cellStyle name="RowTitles1-Detail 2 3 5 3 4" xfId="8948"/>
    <cellStyle name="RowTitles1-Detail 2 3 5 3 5" xfId="8949"/>
    <cellStyle name="RowTitles1-Detail 2 3 5 3_Tertiary Salaries Survey" xfId="8950"/>
    <cellStyle name="RowTitles1-Detail 2 3 5 4" xfId="8951"/>
    <cellStyle name="RowTitles1-Detail 2 3 5 4 2" xfId="8952"/>
    <cellStyle name="RowTitles1-Detail 2 3 5 4 2 2" xfId="8953"/>
    <cellStyle name="RowTitles1-Detail 2 3 5 4 2 2 2" xfId="8954"/>
    <cellStyle name="RowTitles1-Detail 2 3 5 4 2 2_Tertiary Salaries Survey" xfId="8955"/>
    <cellStyle name="RowTitles1-Detail 2 3 5 4 2 3" xfId="8956"/>
    <cellStyle name="RowTitles1-Detail 2 3 5 4 2_Tertiary Salaries Survey" xfId="8957"/>
    <cellStyle name="RowTitles1-Detail 2 3 5 4 3" xfId="8958"/>
    <cellStyle name="RowTitles1-Detail 2 3 5 4 3 2" xfId="8959"/>
    <cellStyle name="RowTitles1-Detail 2 3 5 4 3 2 2" xfId="8960"/>
    <cellStyle name="RowTitles1-Detail 2 3 5 4 3 2_Tertiary Salaries Survey" xfId="8961"/>
    <cellStyle name="RowTitles1-Detail 2 3 5 4 3 3" xfId="8962"/>
    <cellStyle name="RowTitles1-Detail 2 3 5 4 3_Tertiary Salaries Survey" xfId="8963"/>
    <cellStyle name="RowTitles1-Detail 2 3 5 4 4" xfId="8964"/>
    <cellStyle name="RowTitles1-Detail 2 3 5 4 4 2" xfId="8965"/>
    <cellStyle name="RowTitles1-Detail 2 3 5 4 4_Tertiary Salaries Survey" xfId="8966"/>
    <cellStyle name="RowTitles1-Detail 2 3 5 4 5" xfId="8967"/>
    <cellStyle name="RowTitles1-Detail 2 3 5 4_Tertiary Salaries Survey" xfId="8968"/>
    <cellStyle name="RowTitles1-Detail 2 3 5 5" xfId="8969"/>
    <cellStyle name="RowTitles1-Detail 2 3 5 5 2" xfId="8970"/>
    <cellStyle name="RowTitles1-Detail 2 3 5 5 2 2" xfId="8971"/>
    <cellStyle name="RowTitles1-Detail 2 3 5 5 2 2 2" xfId="8972"/>
    <cellStyle name="RowTitles1-Detail 2 3 5 5 2 2_Tertiary Salaries Survey" xfId="8973"/>
    <cellStyle name="RowTitles1-Detail 2 3 5 5 2 3" xfId="8974"/>
    <cellStyle name="RowTitles1-Detail 2 3 5 5 2_Tertiary Salaries Survey" xfId="8975"/>
    <cellStyle name="RowTitles1-Detail 2 3 5 5 3" xfId="8976"/>
    <cellStyle name="RowTitles1-Detail 2 3 5 5 3 2" xfId="8977"/>
    <cellStyle name="RowTitles1-Detail 2 3 5 5 3 2 2" xfId="8978"/>
    <cellStyle name="RowTitles1-Detail 2 3 5 5 3 2_Tertiary Salaries Survey" xfId="8979"/>
    <cellStyle name="RowTitles1-Detail 2 3 5 5 3 3" xfId="8980"/>
    <cellStyle name="RowTitles1-Detail 2 3 5 5 3_Tertiary Salaries Survey" xfId="8981"/>
    <cellStyle name="RowTitles1-Detail 2 3 5 5 4" xfId="8982"/>
    <cellStyle name="RowTitles1-Detail 2 3 5 5 4 2" xfId="8983"/>
    <cellStyle name="RowTitles1-Detail 2 3 5 5 4_Tertiary Salaries Survey" xfId="8984"/>
    <cellStyle name="RowTitles1-Detail 2 3 5 5 5" xfId="8985"/>
    <cellStyle name="RowTitles1-Detail 2 3 5 5_Tertiary Salaries Survey" xfId="8986"/>
    <cellStyle name="RowTitles1-Detail 2 3 5 6" xfId="8987"/>
    <cellStyle name="RowTitles1-Detail 2 3 5 6 2" xfId="8988"/>
    <cellStyle name="RowTitles1-Detail 2 3 5 6 2 2" xfId="8989"/>
    <cellStyle name="RowTitles1-Detail 2 3 5 6 2 2 2" xfId="8990"/>
    <cellStyle name="RowTitles1-Detail 2 3 5 6 2 2_Tertiary Salaries Survey" xfId="8991"/>
    <cellStyle name="RowTitles1-Detail 2 3 5 6 2 3" xfId="8992"/>
    <cellStyle name="RowTitles1-Detail 2 3 5 6 2_Tertiary Salaries Survey" xfId="8993"/>
    <cellStyle name="RowTitles1-Detail 2 3 5 6 3" xfId="8994"/>
    <cellStyle name="RowTitles1-Detail 2 3 5 6 3 2" xfId="8995"/>
    <cellStyle name="RowTitles1-Detail 2 3 5 6 3 2 2" xfId="8996"/>
    <cellStyle name="RowTitles1-Detail 2 3 5 6 3 2_Tertiary Salaries Survey" xfId="8997"/>
    <cellStyle name="RowTitles1-Detail 2 3 5 6 3 3" xfId="8998"/>
    <cellStyle name="RowTitles1-Detail 2 3 5 6 3_Tertiary Salaries Survey" xfId="8999"/>
    <cellStyle name="RowTitles1-Detail 2 3 5 6 4" xfId="9000"/>
    <cellStyle name="RowTitles1-Detail 2 3 5 6 4 2" xfId="9001"/>
    <cellStyle name="RowTitles1-Detail 2 3 5 6 4_Tertiary Salaries Survey" xfId="9002"/>
    <cellStyle name="RowTitles1-Detail 2 3 5 6 5" xfId="9003"/>
    <cellStyle name="RowTitles1-Detail 2 3 5 6_Tertiary Salaries Survey" xfId="9004"/>
    <cellStyle name="RowTitles1-Detail 2 3 5 7" xfId="9005"/>
    <cellStyle name="RowTitles1-Detail 2 3 5 7 2" xfId="9006"/>
    <cellStyle name="RowTitles1-Detail 2 3 5 7 2 2" xfId="9007"/>
    <cellStyle name="RowTitles1-Detail 2 3 5 7 2_Tertiary Salaries Survey" xfId="9008"/>
    <cellStyle name="RowTitles1-Detail 2 3 5 7 3" xfId="9009"/>
    <cellStyle name="RowTitles1-Detail 2 3 5 7_Tertiary Salaries Survey" xfId="9010"/>
    <cellStyle name="RowTitles1-Detail 2 3 5 8" xfId="9011"/>
    <cellStyle name="RowTitles1-Detail 2 3 5 8 2" xfId="9012"/>
    <cellStyle name="RowTitles1-Detail 2 3 5 8 2 2" xfId="9013"/>
    <cellStyle name="RowTitles1-Detail 2 3 5 8 2_Tertiary Salaries Survey" xfId="9014"/>
    <cellStyle name="RowTitles1-Detail 2 3 5 8 3" xfId="9015"/>
    <cellStyle name="RowTitles1-Detail 2 3 5 8_Tertiary Salaries Survey" xfId="9016"/>
    <cellStyle name="RowTitles1-Detail 2 3 5 9" xfId="9017"/>
    <cellStyle name="RowTitles1-Detail 2 3 5_STUD aligned by INSTIT" xfId="9018"/>
    <cellStyle name="RowTitles1-Detail 2 3 6" xfId="9019"/>
    <cellStyle name="RowTitles1-Detail 2 3 6 2" xfId="9020"/>
    <cellStyle name="RowTitles1-Detail 2 3 6 2 2" xfId="9021"/>
    <cellStyle name="RowTitles1-Detail 2 3 6 2 2 2" xfId="9022"/>
    <cellStyle name="RowTitles1-Detail 2 3 6 2 2 2 2" xfId="9023"/>
    <cellStyle name="RowTitles1-Detail 2 3 6 2 2 2_Tertiary Salaries Survey" xfId="9024"/>
    <cellStyle name="RowTitles1-Detail 2 3 6 2 2 3" xfId="9025"/>
    <cellStyle name="RowTitles1-Detail 2 3 6 2 2_Tertiary Salaries Survey" xfId="9026"/>
    <cellStyle name="RowTitles1-Detail 2 3 6 2 3" xfId="9027"/>
    <cellStyle name="RowTitles1-Detail 2 3 6 2 3 2" xfId="9028"/>
    <cellStyle name="RowTitles1-Detail 2 3 6 2 3 2 2" xfId="9029"/>
    <cellStyle name="RowTitles1-Detail 2 3 6 2 3 2_Tertiary Salaries Survey" xfId="9030"/>
    <cellStyle name="RowTitles1-Detail 2 3 6 2 3 3" xfId="9031"/>
    <cellStyle name="RowTitles1-Detail 2 3 6 2 3_Tertiary Salaries Survey" xfId="9032"/>
    <cellStyle name="RowTitles1-Detail 2 3 6 2 4" xfId="9033"/>
    <cellStyle name="RowTitles1-Detail 2 3 6 2 5" xfId="9034"/>
    <cellStyle name="RowTitles1-Detail 2 3 6 2 5 2" xfId="9035"/>
    <cellStyle name="RowTitles1-Detail 2 3 6 2 5_Tertiary Salaries Survey" xfId="9036"/>
    <cellStyle name="RowTitles1-Detail 2 3 6 2 6" xfId="9037"/>
    <cellStyle name="RowTitles1-Detail 2 3 6 2_Tertiary Salaries Survey" xfId="9038"/>
    <cellStyle name="RowTitles1-Detail 2 3 6 3" xfId="9039"/>
    <cellStyle name="RowTitles1-Detail 2 3 6 3 2" xfId="9040"/>
    <cellStyle name="RowTitles1-Detail 2 3 6 3 2 2" xfId="9041"/>
    <cellStyle name="RowTitles1-Detail 2 3 6 3 2 2 2" xfId="9042"/>
    <cellStyle name="RowTitles1-Detail 2 3 6 3 2 2_Tertiary Salaries Survey" xfId="9043"/>
    <cellStyle name="RowTitles1-Detail 2 3 6 3 2 3" xfId="9044"/>
    <cellStyle name="RowTitles1-Detail 2 3 6 3 2_Tertiary Salaries Survey" xfId="9045"/>
    <cellStyle name="RowTitles1-Detail 2 3 6 3 3" xfId="9046"/>
    <cellStyle name="RowTitles1-Detail 2 3 6 3 3 2" xfId="9047"/>
    <cellStyle name="RowTitles1-Detail 2 3 6 3 3 2 2" xfId="9048"/>
    <cellStyle name="RowTitles1-Detail 2 3 6 3 3 2_Tertiary Salaries Survey" xfId="9049"/>
    <cellStyle name="RowTitles1-Detail 2 3 6 3 3 3" xfId="9050"/>
    <cellStyle name="RowTitles1-Detail 2 3 6 3 3_Tertiary Salaries Survey" xfId="9051"/>
    <cellStyle name="RowTitles1-Detail 2 3 6 3 4" xfId="9052"/>
    <cellStyle name="RowTitles1-Detail 2 3 6 3 5" xfId="9053"/>
    <cellStyle name="RowTitles1-Detail 2 3 6 3_Tertiary Salaries Survey" xfId="9054"/>
    <cellStyle name="RowTitles1-Detail 2 3 6 4" xfId="9055"/>
    <cellStyle name="RowTitles1-Detail 2 3 6 4 2" xfId="9056"/>
    <cellStyle name="RowTitles1-Detail 2 3 6 4 2 2" xfId="9057"/>
    <cellStyle name="RowTitles1-Detail 2 3 6 4 2 2 2" xfId="9058"/>
    <cellStyle name="RowTitles1-Detail 2 3 6 4 2 2_Tertiary Salaries Survey" xfId="9059"/>
    <cellStyle name="RowTitles1-Detail 2 3 6 4 2 3" xfId="9060"/>
    <cellStyle name="RowTitles1-Detail 2 3 6 4 2_Tertiary Salaries Survey" xfId="9061"/>
    <cellStyle name="RowTitles1-Detail 2 3 6 4 3" xfId="9062"/>
    <cellStyle name="RowTitles1-Detail 2 3 6 4 3 2" xfId="9063"/>
    <cellStyle name="RowTitles1-Detail 2 3 6 4 3 2 2" xfId="9064"/>
    <cellStyle name="RowTitles1-Detail 2 3 6 4 3 2_Tertiary Salaries Survey" xfId="9065"/>
    <cellStyle name="RowTitles1-Detail 2 3 6 4 3 3" xfId="9066"/>
    <cellStyle name="RowTitles1-Detail 2 3 6 4 3_Tertiary Salaries Survey" xfId="9067"/>
    <cellStyle name="RowTitles1-Detail 2 3 6 4 4" xfId="9068"/>
    <cellStyle name="RowTitles1-Detail 2 3 6 4 5" xfId="9069"/>
    <cellStyle name="RowTitles1-Detail 2 3 6 4 5 2" xfId="9070"/>
    <cellStyle name="RowTitles1-Detail 2 3 6 4 5_Tertiary Salaries Survey" xfId="9071"/>
    <cellStyle name="RowTitles1-Detail 2 3 6 4 6" xfId="9072"/>
    <cellStyle name="RowTitles1-Detail 2 3 6 4_Tertiary Salaries Survey" xfId="9073"/>
    <cellStyle name="RowTitles1-Detail 2 3 6 5" xfId="9074"/>
    <cellStyle name="RowTitles1-Detail 2 3 6 5 2" xfId="9075"/>
    <cellStyle name="RowTitles1-Detail 2 3 6 5 2 2" xfId="9076"/>
    <cellStyle name="RowTitles1-Detail 2 3 6 5 2 2 2" xfId="9077"/>
    <cellStyle name="RowTitles1-Detail 2 3 6 5 2 2_Tertiary Salaries Survey" xfId="9078"/>
    <cellStyle name="RowTitles1-Detail 2 3 6 5 2 3" xfId="9079"/>
    <cellStyle name="RowTitles1-Detail 2 3 6 5 2_Tertiary Salaries Survey" xfId="9080"/>
    <cellStyle name="RowTitles1-Detail 2 3 6 5 3" xfId="9081"/>
    <cellStyle name="RowTitles1-Detail 2 3 6 5 3 2" xfId="9082"/>
    <cellStyle name="RowTitles1-Detail 2 3 6 5 3 2 2" xfId="9083"/>
    <cellStyle name="RowTitles1-Detail 2 3 6 5 3 2_Tertiary Salaries Survey" xfId="9084"/>
    <cellStyle name="RowTitles1-Detail 2 3 6 5 3 3" xfId="9085"/>
    <cellStyle name="RowTitles1-Detail 2 3 6 5 3_Tertiary Salaries Survey" xfId="9086"/>
    <cellStyle name="RowTitles1-Detail 2 3 6 5 4" xfId="9087"/>
    <cellStyle name="RowTitles1-Detail 2 3 6 5 4 2" xfId="9088"/>
    <cellStyle name="RowTitles1-Detail 2 3 6 5 4_Tertiary Salaries Survey" xfId="9089"/>
    <cellStyle name="RowTitles1-Detail 2 3 6 5 5" xfId="9090"/>
    <cellStyle name="RowTitles1-Detail 2 3 6 5_Tertiary Salaries Survey" xfId="9091"/>
    <cellStyle name="RowTitles1-Detail 2 3 6 6" xfId="9092"/>
    <cellStyle name="RowTitles1-Detail 2 3 6 6 2" xfId="9093"/>
    <cellStyle name="RowTitles1-Detail 2 3 6 6 2 2" xfId="9094"/>
    <cellStyle name="RowTitles1-Detail 2 3 6 6 2 2 2" xfId="9095"/>
    <cellStyle name="RowTitles1-Detail 2 3 6 6 2 2_Tertiary Salaries Survey" xfId="9096"/>
    <cellStyle name="RowTitles1-Detail 2 3 6 6 2 3" xfId="9097"/>
    <cellStyle name="RowTitles1-Detail 2 3 6 6 2_Tertiary Salaries Survey" xfId="9098"/>
    <cellStyle name="RowTitles1-Detail 2 3 6 6 3" xfId="9099"/>
    <cellStyle name="RowTitles1-Detail 2 3 6 6 3 2" xfId="9100"/>
    <cellStyle name="RowTitles1-Detail 2 3 6 6 3 2 2" xfId="9101"/>
    <cellStyle name="RowTitles1-Detail 2 3 6 6 3 2_Tertiary Salaries Survey" xfId="9102"/>
    <cellStyle name="RowTitles1-Detail 2 3 6 6 3 3" xfId="9103"/>
    <cellStyle name="RowTitles1-Detail 2 3 6 6 3_Tertiary Salaries Survey" xfId="9104"/>
    <cellStyle name="RowTitles1-Detail 2 3 6 6 4" xfId="9105"/>
    <cellStyle name="RowTitles1-Detail 2 3 6 6 4 2" xfId="9106"/>
    <cellStyle name="RowTitles1-Detail 2 3 6 6 4_Tertiary Salaries Survey" xfId="9107"/>
    <cellStyle name="RowTitles1-Detail 2 3 6 6 5" xfId="9108"/>
    <cellStyle name="RowTitles1-Detail 2 3 6 6_Tertiary Salaries Survey" xfId="9109"/>
    <cellStyle name="RowTitles1-Detail 2 3 6 7" xfId="9110"/>
    <cellStyle name="RowTitles1-Detail 2 3 6 7 2" xfId="9111"/>
    <cellStyle name="RowTitles1-Detail 2 3 6 7 2 2" xfId="9112"/>
    <cellStyle name="RowTitles1-Detail 2 3 6 7 2_Tertiary Salaries Survey" xfId="9113"/>
    <cellStyle name="RowTitles1-Detail 2 3 6 7 3" xfId="9114"/>
    <cellStyle name="RowTitles1-Detail 2 3 6 7_Tertiary Salaries Survey" xfId="9115"/>
    <cellStyle name="RowTitles1-Detail 2 3 6 8" xfId="9116"/>
    <cellStyle name="RowTitles1-Detail 2 3 6 9" xfId="9117"/>
    <cellStyle name="RowTitles1-Detail 2 3 6_STUD aligned by INSTIT" xfId="9118"/>
    <cellStyle name="RowTitles1-Detail 2 3 7" xfId="9119"/>
    <cellStyle name="RowTitles1-Detail 2 3 7 2" xfId="9120"/>
    <cellStyle name="RowTitles1-Detail 2 3 7 2 2" xfId="9121"/>
    <cellStyle name="RowTitles1-Detail 2 3 7 2 2 2" xfId="9122"/>
    <cellStyle name="RowTitles1-Detail 2 3 7 2 2_Tertiary Salaries Survey" xfId="9123"/>
    <cellStyle name="RowTitles1-Detail 2 3 7 2 3" xfId="9124"/>
    <cellStyle name="RowTitles1-Detail 2 3 7 2_Tertiary Salaries Survey" xfId="9125"/>
    <cellStyle name="RowTitles1-Detail 2 3 7 3" xfId="9126"/>
    <cellStyle name="RowTitles1-Detail 2 3 7 3 2" xfId="9127"/>
    <cellStyle name="RowTitles1-Detail 2 3 7 3 2 2" xfId="9128"/>
    <cellStyle name="RowTitles1-Detail 2 3 7 3 2_Tertiary Salaries Survey" xfId="9129"/>
    <cellStyle name="RowTitles1-Detail 2 3 7 3 3" xfId="9130"/>
    <cellStyle name="RowTitles1-Detail 2 3 7 3_Tertiary Salaries Survey" xfId="9131"/>
    <cellStyle name="RowTitles1-Detail 2 3 7 4" xfId="9132"/>
    <cellStyle name="RowTitles1-Detail 2 3 7 5" xfId="9133"/>
    <cellStyle name="RowTitles1-Detail 2 3 7 5 2" xfId="9134"/>
    <cellStyle name="RowTitles1-Detail 2 3 7 5_Tertiary Salaries Survey" xfId="9135"/>
    <cellStyle name="RowTitles1-Detail 2 3 7 6" xfId="9136"/>
    <cellStyle name="RowTitles1-Detail 2 3 7_Tertiary Salaries Survey" xfId="9137"/>
    <cellStyle name="RowTitles1-Detail 2 3 8" xfId="9138"/>
    <cellStyle name="RowTitles1-Detail 2 3 8 2" xfId="9139"/>
    <cellStyle name="RowTitles1-Detail 2 3 8 2 2" xfId="9140"/>
    <cellStyle name="RowTitles1-Detail 2 3 8 2 2 2" xfId="9141"/>
    <cellStyle name="RowTitles1-Detail 2 3 8 2 2_Tertiary Salaries Survey" xfId="9142"/>
    <cellStyle name="RowTitles1-Detail 2 3 8 2 3" xfId="9143"/>
    <cellStyle name="RowTitles1-Detail 2 3 8 2_Tertiary Salaries Survey" xfId="9144"/>
    <cellStyle name="RowTitles1-Detail 2 3 8 3" xfId="9145"/>
    <cellStyle name="RowTitles1-Detail 2 3 8 3 2" xfId="9146"/>
    <cellStyle name="RowTitles1-Detail 2 3 8 3 2 2" xfId="9147"/>
    <cellStyle name="RowTitles1-Detail 2 3 8 3 2_Tertiary Salaries Survey" xfId="9148"/>
    <cellStyle name="RowTitles1-Detail 2 3 8 3 3" xfId="9149"/>
    <cellStyle name="RowTitles1-Detail 2 3 8 3_Tertiary Salaries Survey" xfId="9150"/>
    <cellStyle name="RowTitles1-Detail 2 3 8 4" xfId="9151"/>
    <cellStyle name="RowTitles1-Detail 2 3 8 5" xfId="9152"/>
    <cellStyle name="RowTitles1-Detail 2 3 8_Tertiary Salaries Survey" xfId="9153"/>
    <cellStyle name="RowTitles1-Detail 2 3 9" xfId="9154"/>
    <cellStyle name="RowTitles1-Detail 2 3 9 2" xfId="9155"/>
    <cellStyle name="RowTitles1-Detail 2 3 9 2 2" xfId="9156"/>
    <cellStyle name="RowTitles1-Detail 2 3 9 2 2 2" xfId="9157"/>
    <cellStyle name="RowTitles1-Detail 2 3 9 2 2_Tertiary Salaries Survey" xfId="9158"/>
    <cellStyle name="RowTitles1-Detail 2 3 9 2 3" xfId="9159"/>
    <cellStyle name="RowTitles1-Detail 2 3 9 2_Tertiary Salaries Survey" xfId="9160"/>
    <cellStyle name="RowTitles1-Detail 2 3 9 3" xfId="9161"/>
    <cellStyle name="RowTitles1-Detail 2 3 9 3 2" xfId="9162"/>
    <cellStyle name="RowTitles1-Detail 2 3 9 3 2 2" xfId="9163"/>
    <cellStyle name="RowTitles1-Detail 2 3 9 3 2_Tertiary Salaries Survey" xfId="9164"/>
    <cellStyle name="RowTitles1-Detail 2 3 9 3 3" xfId="9165"/>
    <cellStyle name="RowTitles1-Detail 2 3 9 3_Tertiary Salaries Survey" xfId="9166"/>
    <cellStyle name="RowTitles1-Detail 2 3 9 4" xfId="9167"/>
    <cellStyle name="RowTitles1-Detail 2 3 9 5" xfId="9168"/>
    <cellStyle name="RowTitles1-Detail 2 3 9 5 2" xfId="9169"/>
    <cellStyle name="RowTitles1-Detail 2 3 9 5_Tertiary Salaries Survey" xfId="9170"/>
    <cellStyle name="RowTitles1-Detail 2 3 9 6" xfId="9171"/>
    <cellStyle name="RowTitles1-Detail 2 3 9_Tertiary Salaries Survey" xfId="9172"/>
    <cellStyle name="RowTitles1-Detail 2 3_STUD aligned by INSTIT" xfId="9173"/>
    <cellStyle name="RowTitles1-Detail 2 4" xfId="9174"/>
    <cellStyle name="RowTitles1-Detail 2 4 10" xfId="9175"/>
    <cellStyle name="RowTitles1-Detail 2 4 10 2" xfId="9176"/>
    <cellStyle name="RowTitles1-Detail 2 4 10 2 2" xfId="9177"/>
    <cellStyle name="RowTitles1-Detail 2 4 10 2_Tertiary Salaries Survey" xfId="9178"/>
    <cellStyle name="RowTitles1-Detail 2 4 10 3" xfId="9179"/>
    <cellStyle name="RowTitles1-Detail 2 4 10_Tertiary Salaries Survey" xfId="9180"/>
    <cellStyle name="RowTitles1-Detail 2 4 11" xfId="9181"/>
    <cellStyle name="RowTitles1-Detail 2 4 12" xfId="9182"/>
    <cellStyle name="RowTitles1-Detail 2 4 2" xfId="9183"/>
    <cellStyle name="RowTitles1-Detail 2 4 2 2" xfId="9184"/>
    <cellStyle name="RowTitles1-Detail 2 4 2 2 2" xfId="9185"/>
    <cellStyle name="RowTitles1-Detail 2 4 2 2 2 2" xfId="9186"/>
    <cellStyle name="RowTitles1-Detail 2 4 2 2 2 2 2" xfId="9187"/>
    <cellStyle name="RowTitles1-Detail 2 4 2 2 2 2_Tertiary Salaries Survey" xfId="9188"/>
    <cellStyle name="RowTitles1-Detail 2 4 2 2 2 3" xfId="9189"/>
    <cellStyle name="RowTitles1-Detail 2 4 2 2 2_Tertiary Salaries Survey" xfId="9190"/>
    <cellStyle name="RowTitles1-Detail 2 4 2 2 3" xfId="9191"/>
    <cellStyle name="RowTitles1-Detail 2 4 2 2 3 2" xfId="9192"/>
    <cellStyle name="RowTitles1-Detail 2 4 2 2 3 2 2" xfId="9193"/>
    <cellStyle name="RowTitles1-Detail 2 4 2 2 3 2_Tertiary Salaries Survey" xfId="9194"/>
    <cellStyle name="RowTitles1-Detail 2 4 2 2 3 3" xfId="9195"/>
    <cellStyle name="RowTitles1-Detail 2 4 2 2 3_Tertiary Salaries Survey" xfId="9196"/>
    <cellStyle name="RowTitles1-Detail 2 4 2 2 4" xfId="9197"/>
    <cellStyle name="RowTitles1-Detail 2 4 2 2 5" xfId="9198"/>
    <cellStyle name="RowTitles1-Detail 2 4 2 2_Tertiary Salaries Survey" xfId="9199"/>
    <cellStyle name="RowTitles1-Detail 2 4 2 3" xfId="9200"/>
    <cellStyle name="RowTitles1-Detail 2 4 2 3 2" xfId="9201"/>
    <cellStyle name="RowTitles1-Detail 2 4 2 3 2 2" xfId="9202"/>
    <cellStyle name="RowTitles1-Detail 2 4 2 3 2 2 2" xfId="9203"/>
    <cellStyle name="RowTitles1-Detail 2 4 2 3 2 2_Tertiary Salaries Survey" xfId="9204"/>
    <cellStyle name="RowTitles1-Detail 2 4 2 3 2 3" xfId="9205"/>
    <cellStyle name="RowTitles1-Detail 2 4 2 3 2_Tertiary Salaries Survey" xfId="9206"/>
    <cellStyle name="RowTitles1-Detail 2 4 2 3 3" xfId="9207"/>
    <cellStyle name="RowTitles1-Detail 2 4 2 3 3 2" xfId="9208"/>
    <cellStyle name="RowTitles1-Detail 2 4 2 3 3 2 2" xfId="9209"/>
    <cellStyle name="RowTitles1-Detail 2 4 2 3 3 2_Tertiary Salaries Survey" xfId="9210"/>
    <cellStyle name="RowTitles1-Detail 2 4 2 3 3 3" xfId="9211"/>
    <cellStyle name="RowTitles1-Detail 2 4 2 3 3_Tertiary Salaries Survey" xfId="9212"/>
    <cellStyle name="RowTitles1-Detail 2 4 2 3 4" xfId="9213"/>
    <cellStyle name="RowTitles1-Detail 2 4 2 3 5" xfId="9214"/>
    <cellStyle name="RowTitles1-Detail 2 4 2 3 5 2" xfId="9215"/>
    <cellStyle name="RowTitles1-Detail 2 4 2 3 5_Tertiary Salaries Survey" xfId="9216"/>
    <cellStyle name="RowTitles1-Detail 2 4 2 3 6" xfId="9217"/>
    <cellStyle name="RowTitles1-Detail 2 4 2 3_Tertiary Salaries Survey" xfId="9218"/>
    <cellStyle name="RowTitles1-Detail 2 4 2 4" xfId="9219"/>
    <cellStyle name="RowTitles1-Detail 2 4 2 4 2" xfId="9220"/>
    <cellStyle name="RowTitles1-Detail 2 4 2 4 2 2" xfId="9221"/>
    <cellStyle name="RowTitles1-Detail 2 4 2 4 2 2 2" xfId="9222"/>
    <cellStyle name="RowTitles1-Detail 2 4 2 4 2 2_Tertiary Salaries Survey" xfId="9223"/>
    <cellStyle name="RowTitles1-Detail 2 4 2 4 2 3" xfId="9224"/>
    <cellStyle name="RowTitles1-Detail 2 4 2 4 2_Tertiary Salaries Survey" xfId="9225"/>
    <cellStyle name="RowTitles1-Detail 2 4 2 4 3" xfId="9226"/>
    <cellStyle name="RowTitles1-Detail 2 4 2 4 3 2" xfId="9227"/>
    <cellStyle name="RowTitles1-Detail 2 4 2 4 3 2 2" xfId="9228"/>
    <cellStyle name="RowTitles1-Detail 2 4 2 4 3 2_Tertiary Salaries Survey" xfId="9229"/>
    <cellStyle name="RowTitles1-Detail 2 4 2 4 3 3" xfId="9230"/>
    <cellStyle name="RowTitles1-Detail 2 4 2 4 3_Tertiary Salaries Survey" xfId="9231"/>
    <cellStyle name="RowTitles1-Detail 2 4 2 4 4" xfId="9232"/>
    <cellStyle name="RowTitles1-Detail 2 4 2 4 4 2" xfId="9233"/>
    <cellStyle name="RowTitles1-Detail 2 4 2 4 4_Tertiary Salaries Survey" xfId="9234"/>
    <cellStyle name="RowTitles1-Detail 2 4 2 4 5" xfId="9235"/>
    <cellStyle name="RowTitles1-Detail 2 4 2 4_Tertiary Salaries Survey" xfId="9236"/>
    <cellStyle name="RowTitles1-Detail 2 4 2 5" xfId="9237"/>
    <cellStyle name="RowTitles1-Detail 2 4 2 5 2" xfId="9238"/>
    <cellStyle name="RowTitles1-Detail 2 4 2 5 2 2" xfId="9239"/>
    <cellStyle name="RowTitles1-Detail 2 4 2 5 2 2 2" xfId="9240"/>
    <cellStyle name="RowTitles1-Detail 2 4 2 5 2 2_Tertiary Salaries Survey" xfId="9241"/>
    <cellStyle name="RowTitles1-Detail 2 4 2 5 2 3" xfId="9242"/>
    <cellStyle name="RowTitles1-Detail 2 4 2 5 2_Tertiary Salaries Survey" xfId="9243"/>
    <cellStyle name="RowTitles1-Detail 2 4 2 5 3" xfId="9244"/>
    <cellStyle name="RowTitles1-Detail 2 4 2 5 3 2" xfId="9245"/>
    <cellStyle name="RowTitles1-Detail 2 4 2 5 3 2 2" xfId="9246"/>
    <cellStyle name="RowTitles1-Detail 2 4 2 5 3 2_Tertiary Salaries Survey" xfId="9247"/>
    <cellStyle name="RowTitles1-Detail 2 4 2 5 3 3" xfId="9248"/>
    <cellStyle name="RowTitles1-Detail 2 4 2 5 3_Tertiary Salaries Survey" xfId="9249"/>
    <cellStyle name="RowTitles1-Detail 2 4 2 5 4" xfId="9250"/>
    <cellStyle name="RowTitles1-Detail 2 4 2 5 4 2" xfId="9251"/>
    <cellStyle name="RowTitles1-Detail 2 4 2 5 4_Tertiary Salaries Survey" xfId="9252"/>
    <cellStyle name="RowTitles1-Detail 2 4 2 5 5" xfId="9253"/>
    <cellStyle name="RowTitles1-Detail 2 4 2 5_Tertiary Salaries Survey" xfId="9254"/>
    <cellStyle name="RowTitles1-Detail 2 4 2 6" xfId="9255"/>
    <cellStyle name="RowTitles1-Detail 2 4 2 6 2" xfId="9256"/>
    <cellStyle name="RowTitles1-Detail 2 4 2 6 2 2" xfId="9257"/>
    <cellStyle name="RowTitles1-Detail 2 4 2 6 2 2 2" xfId="9258"/>
    <cellStyle name="RowTitles1-Detail 2 4 2 6 2 2_Tertiary Salaries Survey" xfId="9259"/>
    <cellStyle name="RowTitles1-Detail 2 4 2 6 2 3" xfId="9260"/>
    <cellStyle name="RowTitles1-Detail 2 4 2 6 2_Tertiary Salaries Survey" xfId="9261"/>
    <cellStyle name="RowTitles1-Detail 2 4 2 6 3" xfId="9262"/>
    <cellStyle name="RowTitles1-Detail 2 4 2 6 3 2" xfId="9263"/>
    <cellStyle name="RowTitles1-Detail 2 4 2 6 3 2 2" xfId="9264"/>
    <cellStyle name="RowTitles1-Detail 2 4 2 6 3 2_Tertiary Salaries Survey" xfId="9265"/>
    <cellStyle name="RowTitles1-Detail 2 4 2 6 3 3" xfId="9266"/>
    <cellStyle name="RowTitles1-Detail 2 4 2 6 3_Tertiary Salaries Survey" xfId="9267"/>
    <cellStyle name="RowTitles1-Detail 2 4 2 6 4" xfId="9268"/>
    <cellStyle name="RowTitles1-Detail 2 4 2 6 4 2" xfId="9269"/>
    <cellStyle name="RowTitles1-Detail 2 4 2 6 4_Tertiary Salaries Survey" xfId="9270"/>
    <cellStyle name="RowTitles1-Detail 2 4 2 6 5" xfId="9271"/>
    <cellStyle name="RowTitles1-Detail 2 4 2 6_Tertiary Salaries Survey" xfId="9272"/>
    <cellStyle name="RowTitles1-Detail 2 4 2 7" xfId="9273"/>
    <cellStyle name="RowTitles1-Detail 2 4 2 7 2" xfId="9274"/>
    <cellStyle name="RowTitles1-Detail 2 4 2 7 2 2" xfId="9275"/>
    <cellStyle name="RowTitles1-Detail 2 4 2 7 2_Tertiary Salaries Survey" xfId="9276"/>
    <cellStyle name="RowTitles1-Detail 2 4 2 7 3" xfId="9277"/>
    <cellStyle name="RowTitles1-Detail 2 4 2 7_Tertiary Salaries Survey" xfId="9278"/>
    <cellStyle name="RowTitles1-Detail 2 4 2 8" xfId="9279"/>
    <cellStyle name="RowTitles1-Detail 2 4 2 9" xfId="9280"/>
    <cellStyle name="RowTitles1-Detail 2 4 2_STUD aligned by INSTIT" xfId="9281"/>
    <cellStyle name="RowTitles1-Detail 2 4 3" xfId="9282"/>
    <cellStyle name="RowTitles1-Detail 2 4 3 2" xfId="9283"/>
    <cellStyle name="RowTitles1-Detail 2 4 3 2 2" xfId="9284"/>
    <cellStyle name="RowTitles1-Detail 2 4 3 2 2 2" xfId="9285"/>
    <cellStyle name="RowTitles1-Detail 2 4 3 2 2 2 2" xfId="9286"/>
    <cellStyle name="RowTitles1-Detail 2 4 3 2 2 2_Tertiary Salaries Survey" xfId="9287"/>
    <cellStyle name="RowTitles1-Detail 2 4 3 2 2 3" xfId="9288"/>
    <cellStyle name="RowTitles1-Detail 2 4 3 2 2_Tertiary Salaries Survey" xfId="9289"/>
    <cellStyle name="RowTitles1-Detail 2 4 3 2 3" xfId="9290"/>
    <cellStyle name="RowTitles1-Detail 2 4 3 2 3 2" xfId="9291"/>
    <cellStyle name="RowTitles1-Detail 2 4 3 2 3 2 2" xfId="9292"/>
    <cellStyle name="RowTitles1-Detail 2 4 3 2 3 2_Tertiary Salaries Survey" xfId="9293"/>
    <cellStyle name="RowTitles1-Detail 2 4 3 2 3 3" xfId="9294"/>
    <cellStyle name="RowTitles1-Detail 2 4 3 2 3_Tertiary Salaries Survey" xfId="9295"/>
    <cellStyle name="RowTitles1-Detail 2 4 3 2 4" xfId="9296"/>
    <cellStyle name="RowTitles1-Detail 2 4 3 2 5" xfId="9297"/>
    <cellStyle name="RowTitles1-Detail 2 4 3 2 5 2" xfId="9298"/>
    <cellStyle name="RowTitles1-Detail 2 4 3 2 5_Tertiary Salaries Survey" xfId="9299"/>
    <cellStyle name="RowTitles1-Detail 2 4 3 2 6" xfId="9300"/>
    <cellStyle name="RowTitles1-Detail 2 4 3 2_Tertiary Salaries Survey" xfId="9301"/>
    <cellStyle name="RowTitles1-Detail 2 4 3 3" xfId="9302"/>
    <cellStyle name="RowTitles1-Detail 2 4 3 3 2" xfId="9303"/>
    <cellStyle name="RowTitles1-Detail 2 4 3 3 2 2" xfId="9304"/>
    <cellStyle name="RowTitles1-Detail 2 4 3 3 2 2 2" xfId="9305"/>
    <cellStyle name="RowTitles1-Detail 2 4 3 3 2 2_Tertiary Salaries Survey" xfId="9306"/>
    <cellStyle name="RowTitles1-Detail 2 4 3 3 2 3" xfId="9307"/>
    <cellStyle name="RowTitles1-Detail 2 4 3 3 2_Tertiary Salaries Survey" xfId="9308"/>
    <cellStyle name="RowTitles1-Detail 2 4 3 3 3" xfId="9309"/>
    <cellStyle name="RowTitles1-Detail 2 4 3 3 3 2" xfId="9310"/>
    <cellStyle name="RowTitles1-Detail 2 4 3 3 3 2 2" xfId="9311"/>
    <cellStyle name="RowTitles1-Detail 2 4 3 3 3 2_Tertiary Salaries Survey" xfId="9312"/>
    <cellStyle name="RowTitles1-Detail 2 4 3 3 3 3" xfId="9313"/>
    <cellStyle name="RowTitles1-Detail 2 4 3 3 3_Tertiary Salaries Survey" xfId="9314"/>
    <cellStyle name="RowTitles1-Detail 2 4 3 3 4" xfId="9315"/>
    <cellStyle name="RowTitles1-Detail 2 4 3 3 5" xfId="9316"/>
    <cellStyle name="RowTitles1-Detail 2 4 3 3_Tertiary Salaries Survey" xfId="9317"/>
    <cellStyle name="RowTitles1-Detail 2 4 3 4" xfId="9318"/>
    <cellStyle name="RowTitles1-Detail 2 4 3 4 2" xfId="9319"/>
    <cellStyle name="RowTitles1-Detail 2 4 3 4 2 2" xfId="9320"/>
    <cellStyle name="RowTitles1-Detail 2 4 3 4 2 2 2" xfId="9321"/>
    <cellStyle name="RowTitles1-Detail 2 4 3 4 2 2_Tertiary Salaries Survey" xfId="9322"/>
    <cellStyle name="RowTitles1-Detail 2 4 3 4 2 3" xfId="9323"/>
    <cellStyle name="RowTitles1-Detail 2 4 3 4 2_Tertiary Salaries Survey" xfId="9324"/>
    <cellStyle name="RowTitles1-Detail 2 4 3 4 3" xfId="9325"/>
    <cellStyle name="RowTitles1-Detail 2 4 3 4 3 2" xfId="9326"/>
    <cellStyle name="RowTitles1-Detail 2 4 3 4 3 2 2" xfId="9327"/>
    <cellStyle name="RowTitles1-Detail 2 4 3 4 3 2_Tertiary Salaries Survey" xfId="9328"/>
    <cellStyle name="RowTitles1-Detail 2 4 3 4 3 3" xfId="9329"/>
    <cellStyle name="RowTitles1-Detail 2 4 3 4 3_Tertiary Salaries Survey" xfId="9330"/>
    <cellStyle name="RowTitles1-Detail 2 4 3 4 4" xfId="9331"/>
    <cellStyle name="RowTitles1-Detail 2 4 3 4 4 2" xfId="9332"/>
    <cellStyle name="RowTitles1-Detail 2 4 3 4 4_Tertiary Salaries Survey" xfId="9333"/>
    <cellStyle name="RowTitles1-Detail 2 4 3 4 5" xfId="9334"/>
    <cellStyle name="RowTitles1-Detail 2 4 3 4_Tertiary Salaries Survey" xfId="9335"/>
    <cellStyle name="RowTitles1-Detail 2 4 3 5" xfId="9336"/>
    <cellStyle name="RowTitles1-Detail 2 4 3 5 2" xfId="9337"/>
    <cellStyle name="RowTitles1-Detail 2 4 3 5 2 2" xfId="9338"/>
    <cellStyle name="RowTitles1-Detail 2 4 3 5 2 2 2" xfId="9339"/>
    <cellStyle name="RowTitles1-Detail 2 4 3 5 2 2_Tertiary Salaries Survey" xfId="9340"/>
    <cellStyle name="RowTitles1-Detail 2 4 3 5 2 3" xfId="9341"/>
    <cellStyle name="RowTitles1-Detail 2 4 3 5 2_Tertiary Salaries Survey" xfId="9342"/>
    <cellStyle name="RowTitles1-Detail 2 4 3 5 3" xfId="9343"/>
    <cellStyle name="RowTitles1-Detail 2 4 3 5 3 2" xfId="9344"/>
    <cellStyle name="RowTitles1-Detail 2 4 3 5 3 2 2" xfId="9345"/>
    <cellStyle name="RowTitles1-Detail 2 4 3 5 3 2_Tertiary Salaries Survey" xfId="9346"/>
    <cellStyle name="RowTitles1-Detail 2 4 3 5 3 3" xfId="9347"/>
    <cellStyle name="RowTitles1-Detail 2 4 3 5 3_Tertiary Salaries Survey" xfId="9348"/>
    <cellStyle name="RowTitles1-Detail 2 4 3 5 4" xfId="9349"/>
    <cellStyle name="RowTitles1-Detail 2 4 3 5 4 2" xfId="9350"/>
    <cellStyle name="RowTitles1-Detail 2 4 3 5 4_Tertiary Salaries Survey" xfId="9351"/>
    <cellStyle name="RowTitles1-Detail 2 4 3 5 5" xfId="9352"/>
    <cellStyle name="RowTitles1-Detail 2 4 3 5_Tertiary Salaries Survey" xfId="9353"/>
    <cellStyle name="RowTitles1-Detail 2 4 3 6" xfId="9354"/>
    <cellStyle name="RowTitles1-Detail 2 4 3 6 2" xfId="9355"/>
    <cellStyle name="RowTitles1-Detail 2 4 3 6 2 2" xfId="9356"/>
    <cellStyle name="RowTitles1-Detail 2 4 3 6 2 2 2" xfId="9357"/>
    <cellStyle name="RowTitles1-Detail 2 4 3 6 2 2_Tertiary Salaries Survey" xfId="9358"/>
    <cellStyle name="RowTitles1-Detail 2 4 3 6 2 3" xfId="9359"/>
    <cellStyle name="RowTitles1-Detail 2 4 3 6 2_Tertiary Salaries Survey" xfId="9360"/>
    <cellStyle name="RowTitles1-Detail 2 4 3 6 3" xfId="9361"/>
    <cellStyle name="RowTitles1-Detail 2 4 3 6 3 2" xfId="9362"/>
    <cellStyle name="RowTitles1-Detail 2 4 3 6 3 2 2" xfId="9363"/>
    <cellStyle name="RowTitles1-Detail 2 4 3 6 3 2_Tertiary Salaries Survey" xfId="9364"/>
    <cellStyle name="RowTitles1-Detail 2 4 3 6 3 3" xfId="9365"/>
    <cellStyle name="RowTitles1-Detail 2 4 3 6 3_Tertiary Salaries Survey" xfId="9366"/>
    <cellStyle name="RowTitles1-Detail 2 4 3 6 4" xfId="9367"/>
    <cellStyle name="RowTitles1-Detail 2 4 3 6 4 2" xfId="9368"/>
    <cellStyle name="RowTitles1-Detail 2 4 3 6 4_Tertiary Salaries Survey" xfId="9369"/>
    <cellStyle name="RowTitles1-Detail 2 4 3 6 5" xfId="9370"/>
    <cellStyle name="RowTitles1-Detail 2 4 3 6_Tertiary Salaries Survey" xfId="9371"/>
    <cellStyle name="RowTitles1-Detail 2 4 3 7" xfId="9372"/>
    <cellStyle name="RowTitles1-Detail 2 4 3 7 2" xfId="9373"/>
    <cellStyle name="RowTitles1-Detail 2 4 3 7 2 2" xfId="9374"/>
    <cellStyle name="RowTitles1-Detail 2 4 3 7 2_Tertiary Salaries Survey" xfId="9375"/>
    <cellStyle name="RowTitles1-Detail 2 4 3 7 3" xfId="9376"/>
    <cellStyle name="RowTitles1-Detail 2 4 3 7_Tertiary Salaries Survey" xfId="9377"/>
    <cellStyle name="RowTitles1-Detail 2 4 3 8" xfId="9378"/>
    <cellStyle name="RowTitles1-Detail 2 4 3 8 2" xfId="9379"/>
    <cellStyle name="RowTitles1-Detail 2 4 3 8 2 2" xfId="9380"/>
    <cellStyle name="RowTitles1-Detail 2 4 3 8 2_Tertiary Salaries Survey" xfId="9381"/>
    <cellStyle name="RowTitles1-Detail 2 4 3 8 3" xfId="9382"/>
    <cellStyle name="RowTitles1-Detail 2 4 3 8_Tertiary Salaries Survey" xfId="9383"/>
    <cellStyle name="RowTitles1-Detail 2 4 3 9" xfId="9384"/>
    <cellStyle name="RowTitles1-Detail 2 4 3_STUD aligned by INSTIT" xfId="9385"/>
    <cellStyle name="RowTitles1-Detail 2 4 4" xfId="9386"/>
    <cellStyle name="RowTitles1-Detail 2 4 4 2" xfId="9387"/>
    <cellStyle name="RowTitles1-Detail 2 4 4 2 2" xfId="9388"/>
    <cellStyle name="RowTitles1-Detail 2 4 4 2 2 2" xfId="9389"/>
    <cellStyle name="RowTitles1-Detail 2 4 4 2 2 2 2" xfId="9390"/>
    <cellStyle name="RowTitles1-Detail 2 4 4 2 2 2_Tertiary Salaries Survey" xfId="9391"/>
    <cellStyle name="RowTitles1-Detail 2 4 4 2 2 3" xfId="9392"/>
    <cellStyle name="RowTitles1-Detail 2 4 4 2 2_Tertiary Salaries Survey" xfId="9393"/>
    <cellStyle name="RowTitles1-Detail 2 4 4 2 3" xfId="9394"/>
    <cellStyle name="RowTitles1-Detail 2 4 4 2 3 2" xfId="9395"/>
    <cellStyle name="RowTitles1-Detail 2 4 4 2 3 2 2" xfId="9396"/>
    <cellStyle name="RowTitles1-Detail 2 4 4 2 3 2_Tertiary Salaries Survey" xfId="9397"/>
    <cellStyle name="RowTitles1-Detail 2 4 4 2 3 3" xfId="9398"/>
    <cellStyle name="RowTitles1-Detail 2 4 4 2 3_Tertiary Salaries Survey" xfId="9399"/>
    <cellStyle name="RowTitles1-Detail 2 4 4 2 4" xfId="9400"/>
    <cellStyle name="RowTitles1-Detail 2 4 4 2 5" xfId="9401"/>
    <cellStyle name="RowTitles1-Detail 2 4 4 2 5 2" xfId="9402"/>
    <cellStyle name="RowTitles1-Detail 2 4 4 2 5_Tertiary Salaries Survey" xfId="9403"/>
    <cellStyle name="RowTitles1-Detail 2 4 4 2 6" xfId="9404"/>
    <cellStyle name="RowTitles1-Detail 2 4 4 2_Tertiary Salaries Survey" xfId="9405"/>
    <cellStyle name="RowTitles1-Detail 2 4 4 3" xfId="9406"/>
    <cellStyle name="RowTitles1-Detail 2 4 4 3 2" xfId="9407"/>
    <cellStyle name="RowTitles1-Detail 2 4 4 3 2 2" xfId="9408"/>
    <cellStyle name="RowTitles1-Detail 2 4 4 3 2 2 2" xfId="9409"/>
    <cellStyle name="RowTitles1-Detail 2 4 4 3 2 2_Tertiary Salaries Survey" xfId="9410"/>
    <cellStyle name="RowTitles1-Detail 2 4 4 3 2 3" xfId="9411"/>
    <cellStyle name="RowTitles1-Detail 2 4 4 3 2_Tertiary Salaries Survey" xfId="9412"/>
    <cellStyle name="RowTitles1-Detail 2 4 4 3 3" xfId="9413"/>
    <cellStyle name="RowTitles1-Detail 2 4 4 3 3 2" xfId="9414"/>
    <cellStyle name="RowTitles1-Detail 2 4 4 3 3 2 2" xfId="9415"/>
    <cellStyle name="RowTitles1-Detail 2 4 4 3 3 2_Tertiary Salaries Survey" xfId="9416"/>
    <cellStyle name="RowTitles1-Detail 2 4 4 3 3 3" xfId="9417"/>
    <cellStyle name="RowTitles1-Detail 2 4 4 3 3_Tertiary Salaries Survey" xfId="9418"/>
    <cellStyle name="RowTitles1-Detail 2 4 4 3 4" xfId="9419"/>
    <cellStyle name="RowTitles1-Detail 2 4 4 3 5" xfId="9420"/>
    <cellStyle name="RowTitles1-Detail 2 4 4 3_Tertiary Salaries Survey" xfId="9421"/>
    <cellStyle name="RowTitles1-Detail 2 4 4 4" xfId="9422"/>
    <cellStyle name="RowTitles1-Detail 2 4 4 4 2" xfId="9423"/>
    <cellStyle name="RowTitles1-Detail 2 4 4 4 2 2" xfId="9424"/>
    <cellStyle name="RowTitles1-Detail 2 4 4 4 2 2 2" xfId="9425"/>
    <cellStyle name="RowTitles1-Detail 2 4 4 4 2 2_Tertiary Salaries Survey" xfId="9426"/>
    <cellStyle name="RowTitles1-Detail 2 4 4 4 2 3" xfId="9427"/>
    <cellStyle name="RowTitles1-Detail 2 4 4 4 2_Tertiary Salaries Survey" xfId="9428"/>
    <cellStyle name="RowTitles1-Detail 2 4 4 4 3" xfId="9429"/>
    <cellStyle name="RowTitles1-Detail 2 4 4 4 3 2" xfId="9430"/>
    <cellStyle name="RowTitles1-Detail 2 4 4 4 3 2 2" xfId="9431"/>
    <cellStyle name="RowTitles1-Detail 2 4 4 4 3 2_Tertiary Salaries Survey" xfId="9432"/>
    <cellStyle name="RowTitles1-Detail 2 4 4 4 3 3" xfId="9433"/>
    <cellStyle name="RowTitles1-Detail 2 4 4 4 3_Tertiary Salaries Survey" xfId="9434"/>
    <cellStyle name="RowTitles1-Detail 2 4 4 4 4" xfId="9435"/>
    <cellStyle name="RowTitles1-Detail 2 4 4 4 5" xfId="9436"/>
    <cellStyle name="RowTitles1-Detail 2 4 4 4 5 2" xfId="9437"/>
    <cellStyle name="RowTitles1-Detail 2 4 4 4 5_Tertiary Salaries Survey" xfId="9438"/>
    <cellStyle name="RowTitles1-Detail 2 4 4 4 6" xfId="9439"/>
    <cellStyle name="RowTitles1-Detail 2 4 4 4_Tertiary Salaries Survey" xfId="9440"/>
    <cellStyle name="RowTitles1-Detail 2 4 4 5" xfId="9441"/>
    <cellStyle name="RowTitles1-Detail 2 4 4 5 2" xfId="9442"/>
    <cellStyle name="RowTitles1-Detail 2 4 4 5 2 2" xfId="9443"/>
    <cellStyle name="RowTitles1-Detail 2 4 4 5 2 2 2" xfId="9444"/>
    <cellStyle name="RowTitles1-Detail 2 4 4 5 2 2_Tertiary Salaries Survey" xfId="9445"/>
    <cellStyle name="RowTitles1-Detail 2 4 4 5 2 3" xfId="9446"/>
    <cellStyle name="RowTitles1-Detail 2 4 4 5 2_Tertiary Salaries Survey" xfId="9447"/>
    <cellStyle name="RowTitles1-Detail 2 4 4 5 3" xfId="9448"/>
    <cellStyle name="RowTitles1-Detail 2 4 4 5 3 2" xfId="9449"/>
    <cellStyle name="RowTitles1-Detail 2 4 4 5 3 2 2" xfId="9450"/>
    <cellStyle name="RowTitles1-Detail 2 4 4 5 3 2_Tertiary Salaries Survey" xfId="9451"/>
    <cellStyle name="RowTitles1-Detail 2 4 4 5 3 3" xfId="9452"/>
    <cellStyle name="RowTitles1-Detail 2 4 4 5 3_Tertiary Salaries Survey" xfId="9453"/>
    <cellStyle name="RowTitles1-Detail 2 4 4 5 4" xfId="9454"/>
    <cellStyle name="RowTitles1-Detail 2 4 4 5 4 2" xfId="9455"/>
    <cellStyle name="RowTitles1-Detail 2 4 4 5 4_Tertiary Salaries Survey" xfId="9456"/>
    <cellStyle name="RowTitles1-Detail 2 4 4 5 5" xfId="9457"/>
    <cellStyle name="RowTitles1-Detail 2 4 4 5_Tertiary Salaries Survey" xfId="9458"/>
    <cellStyle name="RowTitles1-Detail 2 4 4 6" xfId="9459"/>
    <cellStyle name="RowTitles1-Detail 2 4 4 6 2" xfId="9460"/>
    <cellStyle name="RowTitles1-Detail 2 4 4 6 2 2" xfId="9461"/>
    <cellStyle name="RowTitles1-Detail 2 4 4 6 2 2 2" xfId="9462"/>
    <cellStyle name="RowTitles1-Detail 2 4 4 6 2 2_Tertiary Salaries Survey" xfId="9463"/>
    <cellStyle name="RowTitles1-Detail 2 4 4 6 2 3" xfId="9464"/>
    <cellStyle name="RowTitles1-Detail 2 4 4 6 2_Tertiary Salaries Survey" xfId="9465"/>
    <cellStyle name="RowTitles1-Detail 2 4 4 6 3" xfId="9466"/>
    <cellStyle name="RowTitles1-Detail 2 4 4 6 3 2" xfId="9467"/>
    <cellStyle name="RowTitles1-Detail 2 4 4 6 3 2 2" xfId="9468"/>
    <cellStyle name="RowTitles1-Detail 2 4 4 6 3 2_Tertiary Salaries Survey" xfId="9469"/>
    <cellStyle name="RowTitles1-Detail 2 4 4 6 3 3" xfId="9470"/>
    <cellStyle name="RowTitles1-Detail 2 4 4 6 3_Tertiary Salaries Survey" xfId="9471"/>
    <cellStyle name="RowTitles1-Detail 2 4 4 6 4" xfId="9472"/>
    <cellStyle name="RowTitles1-Detail 2 4 4 6 4 2" xfId="9473"/>
    <cellStyle name="RowTitles1-Detail 2 4 4 6 4_Tertiary Salaries Survey" xfId="9474"/>
    <cellStyle name="RowTitles1-Detail 2 4 4 6 5" xfId="9475"/>
    <cellStyle name="RowTitles1-Detail 2 4 4 6_Tertiary Salaries Survey" xfId="9476"/>
    <cellStyle name="RowTitles1-Detail 2 4 4 7" xfId="9477"/>
    <cellStyle name="RowTitles1-Detail 2 4 4 7 2" xfId="9478"/>
    <cellStyle name="RowTitles1-Detail 2 4 4 7 2 2" xfId="9479"/>
    <cellStyle name="RowTitles1-Detail 2 4 4 7 2_Tertiary Salaries Survey" xfId="9480"/>
    <cellStyle name="RowTitles1-Detail 2 4 4 7 3" xfId="9481"/>
    <cellStyle name="RowTitles1-Detail 2 4 4 7_Tertiary Salaries Survey" xfId="9482"/>
    <cellStyle name="RowTitles1-Detail 2 4 4 8" xfId="9483"/>
    <cellStyle name="RowTitles1-Detail 2 4 4 9" xfId="9484"/>
    <cellStyle name="RowTitles1-Detail 2 4 4_STUD aligned by INSTIT" xfId="9485"/>
    <cellStyle name="RowTitles1-Detail 2 4 5" xfId="9486"/>
    <cellStyle name="RowTitles1-Detail 2 4 5 2" xfId="9487"/>
    <cellStyle name="RowTitles1-Detail 2 4 5 2 2" xfId="9488"/>
    <cellStyle name="RowTitles1-Detail 2 4 5 2 2 2" xfId="9489"/>
    <cellStyle name="RowTitles1-Detail 2 4 5 2 2_Tertiary Salaries Survey" xfId="9490"/>
    <cellStyle name="RowTitles1-Detail 2 4 5 2 3" xfId="9491"/>
    <cellStyle name="RowTitles1-Detail 2 4 5 2_Tertiary Salaries Survey" xfId="9492"/>
    <cellStyle name="RowTitles1-Detail 2 4 5 3" xfId="9493"/>
    <cellStyle name="RowTitles1-Detail 2 4 5 3 2" xfId="9494"/>
    <cellStyle name="RowTitles1-Detail 2 4 5 3 2 2" xfId="9495"/>
    <cellStyle name="RowTitles1-Detail 2 4 5 3 2_Tertiary Salaries Survey" xfId="9496"/>
    <cellStyle name="RowTitles1-Detail 2 4 5 3 3" xfId="9497"/>
    <cellStyle name="RowTitles1-Detail 2 4 5 3_Tertiary Salaries Survey" xfId="9498"/>
    <cellStyle name="RowTitles1-Detail 2 4 5 4" xfId="9499"/>
    <cellStyle name="RowTitles1-Detail 2 4 5 5" xfId="9500"/>
    <cellStyle name="RowTitles1-Detail 2 4 5 5 2" xfId="9501"/>
    <cellStyle name="RowTitles1-Detail 2 4 5 5_Tertiary Salaries Survey" xfId="9502"/>
    <cellStyle name="RowTitles1-Detail 2 4 5 6" xfId="9503"/>
    <cellStyle name="RowTitles1-Detail 2 4 5_Tertiary Salaries Survey" xfId="9504"/>
    <cellStyle name="RowTitles1-Detail 2 4 6" xfId="9505"/>
    <cellStyle name="RowTitles1-Detail 2 4 6 2" xfId="9506"/>
    <cellStyle name="RowTitles1-Detail 2 4 6 2 2" xfId="9507"/>
    <cellStyle name="RowTitles1-Detail 2 4 6 2 2 2" xfId="9508"/>
    <cellStyle name="RowTitles1-Detail 2 4 6 2 2_Tertiary Salaries Survey" xfId="9509"/>
    <cellStyle name="RowTitles1-Detail 2 4 6 2 3" xfId="9510"/>
    <cellStyle name="RowTitles1-Detail 2 4 6 2_Tertiary Salaries Survey" xfId="9511"/>
    <cellStyle name="RowTitles1-Detail 2 4 6 3" xfId="9512"/>
    <cellStyle name="RowTitles1-Detail 2 4 6 3 2" xfId="9513"/>
    <cellStyle name="RowTitles1-Detail 2 4 6 3 2 2" xfId="9514"/>
    <cellStyle name="RowTitles1-Detail 2 4 6 3 2_Tertiary Salaries Survey" xfId="9515"/>
    <cellStyle name="RowTitles1-Detail 2 4 6 3 3" xfId="9516"/>
    <cellStyle name="RowTitles1-Detail 2 4 6 3_Tertiary Salaries Survey" xfId="9517"/>
    <cellStyle name="RowTitles1-Detail 2 4 6 4" xfId="9518"/>
    <cellStyle name="RowTitles1-Detail 2 4 6 5" xfId="9519"/>
    <cellStyle name="RowTitles1-Detail 2 4 6_Tertiary Salaries Survey" xfId="9520"/>
    <cellStyle name="RowTitles1-Detail 2 4 7" xfId="9521"/>
    <cellStyle name="RowTitles1-Detail 2 4 7 2" xfId="9522"/>
    <cellStyle name="RowTitles1-Detail 2 4 7 2 2" xfId="9523"/>
    <cellStyle name="RowTitles1-Detail 2 4 7 2 2 2" xfId="9524"/>
    <cellStyle name="RowTitles1-Detail 2 4 7 2 2_Tertiary Salaries Survey" xfId="9525"/>
    <cellStyle name="RowTitles1-Detail 2 4 7 2 3" xfId="9526"/>
    <cellStyle name="RowTitles1-Detail 2 4 7 2_Tertiary Salaries Survey" xfId="9527"/>
    <cellStyle name="RowTitles1-Detail 2 4 7 3" xfId="9528"/>
    <cellStyle name="RowTitles1-Detail 2 4 7 3 2" xfId="9529"/>
    <cellStyle name="RowTitles1-Detail 2 4 7 3 2 2" xfId="9530"/>
    <cellStyle name="RowTitles1-Detail 2 4 7 3 2_Tertiary Salaries Survey" xfId="9531"/>
    <cellStyle name="RowTitles1-Detail 2 4 7 3 3" xfId="9532"/>
    <cellStyle name="RowTitles1-Detail 2 4 7 3_Tertiary Salaries Survey" xfId="9533"/>
    <cellStyle name="RowTitles1-Detail 2 4 7 4" xfId="9534"/>
    <cellStyle name="RowTitles1-Detail 2 4 7 5" xfId="9535"/>
    <cellStyle name="RowTitles1-Detail 2 4 7 5 2" xfId="9536"/>
    <cellStyle name="RowTitles1-Detail 2 4 7 5_Tertiary Salaries Survey" xfId="9537"/>
    <cellStyle name="RowTitles1-Detail 2 4 7 6" xfId="9538"/>
    <cellStyle name="RowTitles1-Detail 2 4 7_Tertiary Salaries Survey" xfId="9539"/>
    <cellStyle name="RowTitles1-Detail 2 4 8" xfId="9540"/>
    <cellStyle name="RowTitles1-Detail 2 4 8 2" xfId="9541"/>
    <cellStyle name="RowTitles1-Detail 2 4 8 2 2" xfId="9542"/>
    <cellStyle name="RowTitles1-Detail 2 4 8 2 2 2" xfId="9543"/>
    <cellStyle name="RowTitles1-Detail 2 4 8 2 2_Tertiary Salaries Survey" xfId="9544"/>
    <cellStyle name="RowTitles1-Detail 2 4 8 2 3" xfId="9545"/>
    <cellStyle name="RowTitles1-Detail 2 4 8 2_Tertiary Salaries Survey" xfId="9546"/>
    <cellStyle name="RowTitles1-Detail 2 4 8 3" xfId="9547"/>
    <cellStyle name="RowTitles1-Detail 2 4 8 3 2" xfId="9548"/>
    <cellStyle name="RowTitles1-Detail 2 4 8 3 2 2" xfId="9549"/>
    <cellStyle name="RowTitles1-Detail 2 4 8 3 2_Tertiary Salaries Survey" xfId="9550"/>
    <cellStyle name="RowTitles1-Detail 2 4 8 3 3" xfId="9551"/>
    <cellStyle name="RowTitles1-Detail 2 4 8 3_Tertiary Salaries Survey" xfId="9552"/>
    <cellStyle name="RowTitles1-Detail 2 4 8 4" xfId="9553"/>
    <cellStyle name="RowTitles1-Detail 2 4 8 4 2" xfId="9554"/>
    <cellStyle name="RowTitles1-Detail 2 4 8 4_Tertiary Salaries Survey" xfId="9555"/>
    <cellStyle name="RowTitles1-Detail 2 4 8 5" xfId="9556"/>
    <cellStyle name="RowTitles1-Detail 2 4 8_Tertiary Salaries Survey" xfId="9557"/>
    <cellStyle name="RowTitles1-Detail 2 4 9" xfId="9558"/>
    <cellStyle name="RowTitles1-Detail 2 4 9 2" xfId="9559"/>
    <cellStyle name="RowTitles1-Detail 2 4 9 2 2" xfId="9560"/>
    <cellStyle name="RowTitles1-Detail 2 4 9 2 2 2" xfId="9561"/>
    <cellStyle name="RowTitles1-Detail 2 4 9 2 2_Tertiary Salaries Survey" xfId="9562"/>
    <cellStyle name="RowTitles1-Detail 2 4 9 2 3" xfId="9563"/>
    <cellStyle name="RowTitles1-Detail 2 4 9 2_Tertiary Salaries Survey" xfId="9564"/>
    <cellStyle name="RowTitles1-Detail 2 4 9 3" xfId="9565"/>
    <cellStyle name="RowTitles1-Detail 2 4 9 3 2" xfId="9566"/>
    <cellStyle name="RowTitles1-Detail 2 4 9 3 2 2" xfId="9567"/>
    <cellStyle name="RowTitles1-Detail 2 4 9 3 2_Tertiary Salaries Survey" xfId="9568"/>
    <cellStyle name="RowTitles1-Detail 2 4 9 3 3" xfId="9569"/>
    <cellStyle name="RowTitles1-Detail 2 4 9 3_Tertiary Salaries Survey" xfId="9570"/>
    <cellStyle name="RowTitles1-Detail 2 4 9 4" xfId="9571"/>
    <cellStyle name="RowTitles1-Detail 2 4 9 4 2" xfId="9572"/>
    <cellStyle name="RowTitles1-Detail 2 4 9 4_Tertiary Salaries Survey" xfId="9573"/>
    <cellStyle name="RowTitles1-Detail 2 4 9 5" xfId="9574"/>
    <cellStyle name="RowTitles1-Detail 2 4 9_Tertiary Salaries Survey" xfId="9575"/>
    <cellStyle name="RowTitles1-Detail 2 4_STUD aligned by INSTIT" xfId="9576"/>
    <cellStyle name="RowTitles1-Detail 2 5" xfId="9577"/>
    <cellStyle name="RowTitles1-Detail 2 5 2" xfId="9578"/>
    <cellStyle name="RowTitles1-Detail 2 5 2 2" xfId="9579"/>
    <cellStyle name="RowTitles1-Detail 2 5 2 2 2" xfId="9580"/>
    <cellStyle name="RowTitles1-Detail 2 5 2 2 2 2" xfId="9581"/>
    <cellStyle name="RowTitles1-Detail 2 5 2 2 2_Tertiary Salaries Survey" xfId="9582"/>
    <cellStyle name="RowTitles1-Detail 2 5 2 2 3" xfId="9583"/>
    <cellStyle name="RowTitles1-Detail 2 5 2 2_Tertiary Salaries Survey" xfId="9584"/>
    <cellStyle name="RowTitles1-Detail 2 5 2 3" xfId="9585"/>
    <cellStyle name="RowTitles1-Detail 2 5 2 3 2" xfId="9586"/>
    <cellStyle name="RowTitles1-Detail 2 5 2 3 2 2" xfId="9587"/>
    <cellStyle name="RowTitles1-Detail 2 5 2 3 2_Tertiary Salaries Survey" xfId="9588"/>
    <cellStyle name="RowTitles1-Detail 2 5 2 3 3" xfId="9589"/>
    <cellStyle name="RowTitles1-Detail 2 5 2 3_Tertiary Salaries Survey" xfId="9590"/>
    <cellStyle name="RowTitles1-Detail 2 5 2 4" xfId="9591"/>
    <cellStyle name="RowTitles1-Detail 2 5 2 5" xfId="9592"/>
    <cellStyle name="RowTitles1-Detail 2 5 2_Tertiary Salaries Survey" xfId="9593"/>
    <cellStyle name="RowTitles1-Detail 2 5 3" xfId="9594"/>
    <cellStyle name="RowTitles1-Detail 2 5 3 2" xfId="9595"/>
    <cellStyle name="RowTitles1-Detail 2 5 3 2 2" xfId="9596"/>
    <cellStyle name="RowTitles1-Detail 2 5 3 2 2 2" xfId="9597"/>
    <cellStyle name="RowTitles1-Detail 2 5 3 2 2_Tertiary Salaries Survey" xfId="9598"/>
    <cellStyle name="RowTitles1-Detail 2 5 3 2 3" xfId="9599"/>
    <cellStyle name="RowTitles1-Detail 2 5 3 2_Tertiary Salaries Survey" xfId="9600"/>
    <cellStyle name="RowTitles1-Detail 2 5 3 3" xfId="9601"/>
    <cellStyle name="RowTitles1-Detail 2 5 3 3 2" xfId="9602"/>
    <cellStyle name="RowTitles1-Detail 2 5 3 3 2 2" xfId="9603"/>
    <cellStyle name="RowTitles1-Detail 2 5 3 3 2_Tertiary Salaries Survey" xfId="9604"/>
    <cellStyle name="RowTitles1-Detail 2 5 3 3 3" xfId="9605"/>
    <cellStyle name="RowTitles1-Detail 2 5 3 3_Tertiary Salaries Survey" xfId="9606"/>
    <cellStyle name="RowTitles1-Detail 2 5 3 4" xfId="9607"/>
    <cellStyle name="RowTitles1-Detail 2 5 3 5" xfId="9608"/>
    <cellStyle name="RowTitles1-Detail 2 5 3 5 2" xfId="9609"/>
    <cellStyle name="RowTitles1-Detail 2 5 3 5_Tertiary Salaries Survey" xfId="9610"/>
    <cellStyle name="RowTitles1-Detail 2 5 3 6" xfId="9611"/>
    <cellStyle name="RowTitles1-Detail 2 5 3_Tertiary Salaries Survey" xfId="9612"/>
    <cellStyle name="RowTitles1-Detail 2 5 4" xfId="9613"/>
    <cellStyle name="RowTitles1-Detail 2 5 4 2" xfId="9614"/>
    <cellStyle name="RowTitles1-Detail 2 5 4 2 2" xfId="9615"/>
    <cellStyle name="RowTitles1-Detail 2 5 4 2 2 2" xfId="9616"/>
    <cellStyle name="RowTitles1-Detail 2 5 4 2 2_Tertiary Salaries Survey" xfId="9617"/>
    <cellStyle name="RowTitles1-Detail 2 5 4 2 3" xfId="9618"/>
    <cellStyle name="RowTitles1-Detail 2 5 4 2_Tertiary Salaries Survey" xfId="9619"/>
    <cellStyle name="RowTitles1-Detail 2 5 4 3" xfId="9620"/>
    <cellStyle name="RowTitles1-Detail 2 5 4 3 2" xfId="9621"/>
    <cellStyle name="RowTitles1-Detail 2 5 4 3 2 2" xfId="9622"/>
    <cellStyle name="RowTitles1-Detail 2 5 4 3 2_Tertiary Salaries Survey" xfId="9623"/>
    <cellStyle name="RowTitles1-Detail 2 5 4 3 3" xfId="9624"/>
    <cellStyle name="RowTitles1-Detail 2 5 4 3_Tertiary Salaries Survey" xfId="9625"/>
    <cellStyle name="RowTitles1-Detail 2 5 4 4" xfId="9626"/>
    <cellStyle name="RowTitles1-Detail 2 5 4 4 2" xfId="9627"/>
    <cellStyle name="RowTitles1-Detail 2 5 4 4_Tertiary Salaries Survey" xfId="9628"/>
    <cellStyle name="RowTitles1-Detail 2 5 4 5" xfId="9629"/>
    <cellStyle name="RowTitles1-Detail 2 5 4_Tertiary Salaries Survey" xfId="9630"/>
    <cellStyle name="RowTitles1-Detail 2 5 5" xfId="9631"/>
    <cellStyle name="RowTitles1-Detail 2 5 5 2" xfId="9632"/>
    <cellStyle name="RowTitles1-Detail 2 5 5 2 2" xfId="9633"/>
    <cellStyle name="RowTitles1-Detail 2 5 5 2 2 2" xfId="9634"/>
    <cellStyle name="RowTitles1-Detail 2 5 5 2 2_Tertiary Salaries Survey" xfId="9635"/>
    <cellStyle name="RowTitles1-Detail 2 5 5 2 3" xfId="9636"/>
    <cellStyle name="RowTitles1-Detail 2 5 5 2_Tertiary Salaries Survey" xfId="9637"/>
    <cellStyle name="RowTitles1-Detail 2 5 5 3" xfId="9638"/>
    <cellStyle name="RowTitles1-Detail 2 5 5 3 2" xfId="9639"/>
    <cellStyle name="RowTitles1-Detail 2 5 5 3 2 2" xfId="9640"/>
    <cellStyle name="RowTitles1-Detail 2 5 5 3 2_Tertiary Salaries Survey" xfId="9641"/>
    <cellStyle name="RowTitles1-Detail 2 5 5 3 3" xfId="9642"/>
    <cellStyle name="RowTitles1-Detail 2 5 5 3_Tertiary Salaries Survey" xfId="9643"/>
    <cellStyle name="RowTitles1-Detail 2 5 5 4" xfId="9644"/>
    <cellStyle name="RowTitles1-Detail 2 5 5 4 2" xfId="9645"/>
    <cellStyle name="RowTitles1-Detail 2 5 5 4_Tertiary Salaries Survey" xfId="9646"/>
    <cellStyle name="RowTitles1-Detail 2 5 5 5" xfId="9647"/>
    <cellStyle name="RowTitles1-Detail 2 5 5_Tertiary Salaries Survey" xfId="9648"/>
    <cellStyle name="RowTitles1-Detail 2 5 6" xfId="9649"/>
    <cellStyle name="RowTitles1-Detail 2 5 6 2" xfId="9650"/>
    <cellStyle name="RowTitles1-Detail 2 5 6 2 2" xfId="9651"/>
    <cellStyle name="RowTitles1-Detail 2 5 6 2 2 2" xfId="9652"/>
    <cellStyle name="RowTitles1-Detail 2 5 6 2 2_Tertiary Salaries Survey" xfId="9653"/>
    <cellStyle name="RowTitles1-Detail 2 5 6 2 3" xfId="9654"/>
    <cellStyle name="RowTitles1-Detail 2 5 6 2_Tertiary Salaries Survey" xfId="9655"/>
    <cellStyle name="RowTitles1-Detail 2 5 6 3" xfId="9656"/>
    <cellStyle name="RowTitles1-Detail 2 5 6 3 2" xfId="9657"/>
    <cellStyle name="RowTitles1-Detail 2 5 6 3 2 2" xfId="9658"/>
    <cellStyle name="RowTitles1-Detail 2 5 6 3 2_Tertiary Salaries Survey" xfId="9659"/>
    <cellStyle name="RowTitles1-Detail 2 5 6 3 3" xfId="9660"/>
    <cellStyle name="RowTitles1-Detail 2 5 6 3_Tertiary Salaries Survey" xfId="9661"/>
    <cellStyle name="RowTitles1-Detail 2 5 6 4" xfId="9662"/>
    <cellStyle name="RowTitles1-Detail 2 5 6 4 2" xfId="9663"/>
    <cellStyle name="RowTitles1-Detail 2 5 6 4_Tertiary Salaries Survey" xfId="9664"/>
    <cellStyle name="RowTitles1-Detail 2 5 6 5" xfId="9665"/>
    <cellStyle name="RowTitles1-Detail 2 5 6_Tertiary Salaries Survey" xfId="9666"/>
    <cellStyle name="RowTitles1-Detail 2 5 7" xfId="9667"/>
    <cellStyle name="RowTitles1-Detail 2 5 7 2" xfId="9668"/>
    <cellStyle name="RowTitles1-Detail 2 5 7 2 2" xfId="9669"/>
    <cellStyle name="RowTitles1-Detail 2 5 7 2_Tertiary Salaries Survey" xfId="9670"/>
    <cellStyle name="RowTitles1-Detail 2 5 7 3" xfId="9671"/>
    <cellStyle name="RowTitles1-Detail 2 5 7_Tertiary Salaries Survey" xfId="9672"/>
    <cellStyle name="RowTitles1-Detail 2 5 8" xfId="9673"/>
    <cellStyle name="RowTitles1-Detail 2 5 9" xfId="9674"/>
    <cellStyle name="RowTitles1-Detail 2 5_STUD aligned by INSTIT" xfId="9675"/>
    <cellStyle name="RowTitles1-Detail 2 6" xfId="9676"/>
    <cellStyle name="RowTitles1-Detail 2 6 2" xfId="9677"/>
    <cellStyle name="RowTitles1-Detail 2 6 2 2" xfId="9678"/>
    <cellStyle name="RowTitles1-Detail 2 6 2 2 2" xfId="9679"/>
    <cellStyle name="RowTitles1-Detail 2 6 2 2 2 2" xfId="9680"/>
    <cellStyle name="RowTitles1-Detail 2 6 2 2 2_Tertiary Salaries Survey" xfId="9681"/>
    <cellStyle name="RowTitles1-Detail 2 6 2 2 3" xfId="9682"/>
    <cellStyle name="RowTitles1-Detail 2 6 2 2_Tertiary Salaries Survey" xfId="9683"/>
    <cellStyle name="RowTitles1-Detail 2 6 2 3" xfId="9684"/>
    <cellStyle name="RowTitles1-Detail 2 6 2 3 2" xfId="9685"/>
    <cellStyle name="RowTitles1-Detail 2 6 2 3 2 2" xfId="9686"/>
    <cellStyle name="RowTitles1-Detail 2 6 2 3 2_Tertiary Salaries Survey" xfId="9687"/>
    <cellStyle name="RowTitles1-Detail 2 6 2 3 3" xfId="9688"/>
    <cellStyle name="RowTitles1-Detail 2 6 2 3_Tertiary Salaries Survey" xfId="9689"/>
    <cellStyle name="RowTitles1-Detail 2 6 2 4" xfId="9690"/>
    <cellStyle name="RowTitles1-Detail 2 6 2 5" xfId="9691"/>
    <cellStyle name="RowTitles1-Detail 2 6 2 5 2" xfId="9692"/>
    <cellStyle name="RowTitles1-Detail 2 6 2 5_Tertiary Salaries Survey" xfId="9693"/>
    <cellStyle name="RowTitles1-Detail 2 6 2 6" xfId="9694"/>
    <cellStyle name="RowTitles1-Detail 2 6 2_Tertiary Salaries Survey" xfId="9695"/>
    <cellStyle name="RowTitles1-Detail 2 6 3" xfId="9696"/>
    <cellStyle name="RowTitles1-Detail 2 6 3 2" xfId="9697"/>
    <cellStyle name="RowTitles1-Detail 2 6 3 2 2" xfId="9698"/>
    <cellStyle name="RowTitles1-Detail 2 6 3 2 2 2" xfId="9699"/>
    <cellStyle name="RowTitles1-Detail 2 6 3 2 2_Tertiary Salaries Survey" xfId="9700"/>
    <cellStyle name="RowTitles1-Detail 2 6 3 2 3" xfId="9701"/>
    <cellStyle name="RowTitles1-Detail 2 6 3 2_Tertiary Salaries Survey" xfId="9702"/>
    <cellStyle name="RowTitles1-Detail 2 6 3 3" xfId="9703"/>
    <cellStyle name="RowTitles1-Detail 2 6 3 3 2" xfId="9704"/>
    <cellStyle name="RowTitles1-Detail 2 6 3 3 2 2" xfId="9705"/>
    <cellStyle name="RowTitles1-Detail 2 6 3 3 2_Tertiary Salaries Survey" xfId="9706"/>
    <cellStyle name="RowTitles1-Detail 2 6 3 3 3" xfId="9707"/>
    <cellStyle name="RowTitles1-Detail 2 6 3 3_Tertiary Salaries Survey" xfId="9708"/>
    <cellStyle name="RowTitles1-Detail 2 6 3 4" xfId="9709"/>
    <cellStyle name="RowTitles1-Detail 2 6 3 5" xfId="9710"/>
    <cellStyle name="RowTitles1-Detail 2 6 3_Tertiary Salaries Survey" xfId="9711"/>
    <cellStyle name="RowTitles1-Detail 2 6 4" xfId="9712"/>
    <cellStyle name="RowTitles1-Detail 2 6 4 2" xfId="9713"/>
    <cellStyle name="RowTitles1-Detail 2 6 4 2 2" xfId="9714"/>
    <cellStyle name="RowTitles1-Detail 2 6 4 2 2 2" xfId="9715"/>
    <cellStyle name="RowTitles1-Detail 2 6 4 2 2_Tertiary Salaries Survey" xfId="9716"/>
    <cellStyle name="RowTitles1-Detail 2 6 4 2 3" xfId="9717"/>
    <cellStyle name="RowTitles1-Detail 2 6 4 2_Tertiary Salaries Survey" xfId="9718"/>
    <cellStyle name="RowTitles1-Detail 2 6 4 3" xfId="9719"/>
    <cellStyle name="RowTitles1-Detail 2 6 4 3 2" xfId="9720"/>
    <cellStyle name="RowTitles1-Detail 2 6 4 3 2 2" xfId="9721"/>
    <cellStyle name="RowTitles1-Detail 2 6 4 3 2_Tertiary Salaries Survey" xfId="9722"/>
    <cellStyle name="RowTitles1-Detail 2 6 4 3 3" xfId="9723"/>
    <cellStyle name="RowTitles1-Detail 2 6 4 3_Tertiary Salaries Survey" xfId="9724"/>
    <cellStyle name="RowTitles1-Detail 2 6 4 4" xfId="9725"/>
    <cellStyle name="RowTitles1-Detail 2 6 4 4 2" xfId="9726"/>
    <cellStyle name="RowTitles1-Detail 2 6 4 4_Tertiary Salaries Survey" xfId="9727"/>
    <cellStyle name="RowTitles1-Detail 2 6 4 5" xfId="9728"/>
    <cellStyle name="RowTitles1-Detail 2 6 4_Tertiary Salaries Survey" xfId="9729"/>
    <cellStyle name="RowTitles1-Detail 2 6 5" xfId="9730"/>
    <cellStyle name="RowTitles1-Detail 2 6 5 2" xfId="9731"/>
    <cellStyle name="RowTitles1-Detail 2 6 5 2 2" xfId="9732"/>
    <cellStyle name="RowTitles1-Detail 2 6 5 2 2 2" xfId="9733"/>
    <cellStyle name="RowTitles1-Detail 2 6 5 2 2_Tertiary Salaries Survey" xfId="9734"/>
    <cellStyle name="RowTitles1-Detail 2 6 5 2 3" xfId="9735"/>
    <cellStyle name="RowTitles1-Detail 2 6 5 2_Tertiary Salaries Survey" xfId="9736"/>
    <cellStyle name="RowTitles1-Detail 2 6 5 3" xfId="9737"/>
    <cellStyle name="RowTitles1-Detail 2 6 5 3 2" xfId="9738"/>
    <cellStyle name="RowTitles1-Detail 2 6 5 3 2 2" xfId="9739"/>
    <cellStyle name="RowTitles1-Detail 2 6 5 3 2_Tertiary Salaries Survey" xfId="9740"/>
    <cellStyle name="RowTitles1-Detail 2 6 5 3 3" xfId="9741"/>
    <cellStyle name="RowTitles1-Detail 2 6 5 3_Tertiary Salaries Survey" xfId="9742"/>
    <cellStyle name="RowTitles1-Detail 2 6 5 4" xfId="9743"/>
    <cellStyle name="RowTitles1-Detail 2 6 5 4 2" xfId="9744"/>
    <cellStyle name="RowTitles1-Detail 2 6 5 4_Tertiary Salaries Survey" xfId="9745"/>
    <cellStyle name="RowTitles1-Detail 2 6 5 5" xfId="9746"/>
    <cellStyle name="RowTitles1-Detail 2 6 5_Tertiary Salaries Survey" xfId="9747"/>
    <cellStyle name="RowTitles1-Detail 2 6 6" xfId="9748"/>
    <cellStyle name="RowTitles1-Detail 2 6 6 2" xfId="9749"/>
    <cellStyle name="RowTitles1-Detail 2 6 6 2 2" xfId="9750"/>
    <cellStyle name="RowTitles1-Detail 2 6 6 2 2 2" xfId="9751"/>
    <cellStyle name="RowTitles1-Detail 2 6 6 2 2_Tertiary Salaries Survey" xfId="9752"/>
    <cellStyle name="RowTitles1-Detail 2 6 6 2 3" xfId="9753"/>
    <cellStyle name="RowTitles1-Detail 2 6 6 2_Tertiary Salaries Survey" xfId="9754"/>
    <cellStyle name="RowTitles1-Detail 2 6 6 3" xfId="9755"/>
    <cellStyle name="RowTitles1-Detail 2 6 6 3 2" xfId="9756"/>
    <cellStyle name="RowTitles1-Detail 2 6 6 3 2 2" xfId="9757"/>
    <cellStyle name="RowTitles1-Detail 2 6 6 3 2_Tertiary Salaries Survey" xfId="9758"/>
    <cellStyle name="RowTitles1-Detail 2 6 6 3 3" xfId="9759"/>
    <cellStyle name="RowTitles1-Detail 2 6 6 3_Tertiary Salaries Survey" xfId="9760"/>
    <cellStyle name="RowTitles1-Detail 2 6 6 4" xfId="9761"/>
    <cellStyle name="RowTitles1-Detail 2 6 6 4 2" xfId="9762"/>
    <cellStyle name="RowTitles1-Detail 2 6 6 4_Tertiary Salaries Survey" xfId="9763"/>
    <cellStyle name="RowTitles1-Detail 2 6 6 5" xfId="9764"/>
    <cellStyle name="RowTitles1-Detail 2 6 6_Tertiary Salaries Survey" xfId="9765"/>
    <cellStyle name="RowTitles1-Detail 2 6 7" xfId="9766"/>
    <cellStyle name="RowTitles1-Detail 2 6 7 2" xfId="9767"/>
    <cellStyle name="RowTitles1-Detail 2 6 7 2 2" xfId="9768"/>
    <cellStyle name="RowTitles1-Detail 2 6 7 2_Tertiary Salaries Survey" xfId="9769"/>
    <cellStyle name="RowTitles1-Detail 2 6 7 3" xfId="9770"/>
    <cellStyle name="RowTitles1-Detail 2 6 7_Tertiary Salaries Survey" xfId="9771"/>
    <cellStyle name="RowTitles1-Detail 2 6 8" xfId="9772"/>
    <cellStyle name="RowTitles1-Detail 2 6 8 2" xfId="9773"/>
    <cellStyle name="RowTitles1-Detail 2 6 8 2 2" xfId="9774"/>
    <cellStyle name="RowTitles1-Detail 2 6 8 2_Tertiary Salaries Survey" xfId="9775"/>
    <cellStyle name="RowTitles1-Detail 2 6 8 3" xfId="9776"/>
    <cellStyle name="RowTitles1-Detail 2 6 8_Tertiary Salaries Survey" xfId="9777"/>
    <cellStyle name="RowTitles1-Detail 2 6 9" xfId="9778"/>
    <cellStyle name="RowTitles1-Detail 2 6_STUD aligned by INSTIT" xfId="9779"/>
    <cellStyle name="RowTitles1-Detail 2 7" xfId="9780"/>
    <cellStyle name="RowTitles1-Detail 2 7 2" xfId="9781"/>
    <cellStyle name="RowTitles1-Detail 2 7 2 2" xfId="9782"/>
    <cellStyle name="RowTitles1-Detail 2 7 2 2 2" xfId="9783"/>
    <cellStyle name="RowTitles1-Detail 2 7 2 2 2 2" xfId="9784"/>
    <cellStyle name="RowTitles1-Detail 2 7 2 2 2_Tertiary Salaries Survey" xfId="9785"/>
    <cellStyle name="RowTitles1-Detail 2 7 2 2 3" xfId="9786"/>
    <cellStyle name="RowTitles1-Detail 2 7 2 2_Tertiary Salaries Survey" xfId="9787"/>
    <cellStyle name="RowTitles1-Detail 2 7 2 3" xfId="9788"/>
    <cellStyle name="RowTitles1-Detail 2 7 2 3 2" xfId="9789"/>
    <cellStyle name="RowTitles1-Detail 2 7 2 3 2 2" xfId="9790"/>
    <cellStyle name="RowTitles1-Detail 2 7 2 3 2_Tertiary Salaries Survey" xfId="9791"/>
    <cellStyle name="RowTitles1-Detail 2 7 2 3 3" xfId="9792"/>
    <cellStyle name="RowTitles1-Detail 2 7 2 3_Tertiary Salaries Survey" xfId="9793"/>
    <cellStyle name="RowTitles1-Detail 2 7 2 4" xfId="9794"/>
    <cellStyle name="RowTitles1-Detail 2 7 2 5" xfId="9795"/>
    <cellStyle name="RowTitles1-Detail 2 7 2_Tertiary Salaries Survey" xfId="9796"/>
    <cellStyle name="RowTitles1-Detail 2 7 3" xfId="9797"/>
    <cellStyle name="RowTitles1-Detail 2 7 3 2" xfId="9798"/>
    <cellStyle name="RowTitles1-Detail 2 7 3 2 2" xfId="9799"/>
    <cellStyle name="RowTitles1-Detail 2 7 3 2 2 2" xfId="9800"/>
    <cellStyle name="RowTitles1-Detail 2 7 3 2 2_Tertiary Salaries Survey" xfId="9801"/>
    <cellStyle name="RowTitles1-Detail 2 7 3 2 3" xfId="9802"/>
    <cellStyle name="RowTitles1-Detail 2 7 3 2_Tertiary Salaries Survey" xfId="9803"/>
    <cellStyle name="RowTitles1-Detail 2 7 3 3" xfId="9804"/>
    <cellStyle name="RowTitles1-Detail 2 7 3 3 2" xfId="9805"/>
    <cellStyle name="RowTitles1-Detail 2 7 3 3 2 2" xfId="9806"/>
    <cellStyle name="RowTitles1-Detail 2 7 3 3 2_Tertiary Salaries Survey" xfId="9807"/>
    <cellStyle name="RowTitles1-Detail 2 7 3 3 3" xfId="9808"/>
    <cellStyle name="RowTitles1-Detail 2 7 3 3_Tertiary Salaries Survey" xfId="9809"/>
    <cellStyle name="RowTitles1-Detail 2 7 3 4" xfId="9810"/>
    <cellStyle name="RowTitles1-Detail 2 7 3 4 2" xfId="9811"/>
    <cellStyle name="RowTitles1-Detail 2 7 3 4_Tertiary Salaries Survey" xfId="9812"/>
    <cellStyle name="RowTitles1-Detail 2 7 3 5" xfId="9813"/>
    <cellStyle name="RowTitles1-Detail 2 7 3_Tertiary Salaries Survey" xfId="9814"/>
    <cellStyle name="RowTitles1-Detail 2 7 4" xfId="9815"/>
    <cellStyle name="RowTitles1-Detail 2 7 4 2" xfId="9816"/>
    <cellStyle name="RowTitles1-Detail 2 7 4 2 2" xfId="9817"/>
    <cellStyle name="RowTitles1-Detail 2 7 4 2 2 2" xfId="9818"/>
    <cellStyle name="RowTitles1-Detail 2 7 4 2 2_Tertiary Salaries Survey" xfId="9819"/>
    <cellStyle name="RowTitles1-Detail 2 7 4 2 3" xfId="9820"/>
    <cellStyle name="RowTitles1-Detail 2 7 4 2_Tertiary Salaries Survey" xfId="9821"/>
    <cellStyle name="RowTitles1-Detail 2 7 4 3" xfId="9822"/>
    <cellStyle name="RowTitles1-Detail 2 7 4 3 2" xfId="9823"/>
    <cellStyle name="RowTitles1-Detail 2 7 4 3 2 2" xfId="9824"/>
    <cellStyle name="RowTitles1-Detail 2 7 4 3 2_Tertiary Salaries Survey" xfId="9825"/>
    <cellStyle name="RowTitles1-Detail 2 7 4 3 3" xfId="9826"/>
    <cellStyle name="RowTitles1-Detail 2 7 4 3_Tertiary Salaries Survey" xfId="9827"/>
    <cellStyle name="RowTitles1-Detail 2 7 4 4" xfId="9828"/>
    <cellStyle name="RowTitles1-Detail 2 7 4 4 2" xfId="9829"/>
    <cellStyle name="RowTitles1-Detail 2 7 4 4_Tertiary Salaries Survey" xfId="9830"/>
    <cellStyle name="RowTitles1-Detail 2 7 4 5" xfId="9831"/>
    <cellStyle name="RowTitles1-Detail 2 7 4_Tertiary Salaries Survey" xfId="9832"/>
    <cellStyle name="RowTitles1-Detail 2 7 5" xfId="9833"/>
    <cellStyle name="RowTitles1-Detail 2 7 5 2" xfId="9834"/>
    <cellStyle name="RowTitles1-Detail 2 7 5 2 2" xfId="9835"/>
    <cellStyle name="RowTitles1-Detail 2 7 5 2 2 2" xfId="9836"/>
    <cellStyle name="RowTitles1-Detail 2 7 5 2 2_Tertiary Salaries Survey" xfId="9837"/>
    <cellStyle name="RowTitles1-Detail 2 7 5 2 3" xfId="9838"/>
    <cellStyle name="RowTitles1-Detail 2 7 5 2_Tertiary Salaries Survey" xfId="9839"/>
    <cellStyle name="RowTitles1-Detail 2 7 5 3" xfId="9840"/>
    <cellStyle name="RowTitles1-Detail 2 7 5 3 2" xfId="9841"/>
    <cellStyle name="RowTitles1-Detail 2 7 5 3 2 2" xfId="9842"/>
    <cellStyle name="RowTitles1-Detail 2 7 5 3 2_Tertiary Salaries Survey" xfId="9843"/>
    <cellStyle name="RowTitles1-Detail 2 7 5 3 3" xfId="9844"/>
    <cellStyle name="RowTitles1-Detail 2 7 5 3_Tertiary Salaries Survey" xfId="9845"/>
    <cellStyle name="RowTitles1-Detail 2 7 5 4" xfId="9846"/>
    <cellStyle name="RowTitles1-Detail 2 7 5 4 2" xfId="9847"/>
    <cellStyle name="RowTitles1-Detail 2 7 5 4_Tertiary Salaries Survey" xfId="9848"/>
    <cellStyle name="RowTitles1-Detail 2 7 5 5" xfId="9849"/>
    <cellStyle name="RowTitles1-Detail 2 7 5_Tertiary Salaries Survey" xfId="9850"/>
    <cellStyle name="RowTitles1-Detail 2 7 6" xfId="9851"/>
    <cellStyle name="RowTitles1-Detail 2 7 6 2" xfId="9852"/>
    <cellStyle name="RowTitles1-Detail 2 7 6 2 2" xfId="9853"/>
    <cellStyle name="RowTitles1-Detail 2 7 6 2 2 2" xfId="9854"/>
    <cellStyle name="RowTitles1-Detail 2 7 6 2 2_Tertiary Salaries Survey" xfId="9855"/>
    <cellStyle name="RowTitles1-Detail 2 7 6 2 3" xfId="9856"/>
    <cellStyle name="RowTitles1-Detail 2 7 6 2_Tertiary Salaries Survey" xfId="9857"/>
    <cellStyle name="RowTitles1-Detail 2 7 6 3" xfId="9858"/>
    <cellStyle name="RowTitles1-Detail 2 7 6 3 2" xfId="9859"/>
    <cellStyle name="RowTitles1-Detail 2 7 6 3 2 2" xfId="9860"/>
    <cellStyle name="RowTitles1-Detail 2 7 6 3 2_Tertiary Salaries Survey" xfId="9861"/>
    <cellStyle name="RowTitles1-Detail 2 7 6 3 3" xfId="9862"/>
    <cellStyle name="RowTitles1-Detail 2 7 6 3_Tertiary Salaries Survey" xfId="9863"/>
    <cellStyle name="RowTitles1-Detail 2 7 6 4" xfId="9864"/>
    <cellStyle name="RowTitles1-Detail 2 7 6 4 2" xfId="9865"/>
    <cellStyle name="RowTitles1-Detail 2 7 6 4_Tertiary Salaries Survey" xfId="9866"/>
    <cellStyle name="RowTitles1-Detail 2 7 6 5" xfId="9867"/>
    <cellStyle name="RowTitles1-Detail 2 7 6_Tertiary Salaries Survey" xfId="9868"/>
    <cellStyle name="RowTitles1-Detail 2 7 7" xfId="9869"/>
    <cellStyle name="RowTitles1-Detail 2 7 7 2" xfId="9870"/>
    <cellStyle name="RowTitles1-Detail 2 7 7 2 2" xfId="9871"/>
    <cellStyle name="RowTitles1-Detail 2 7 7 2_Tertiary Salaries Survey" xfId="9872"/>
    <cellStyle name="RowTitles1-Detail 2 7 7 3" xfId="9873"/>
    <cellStyle name="RowTitles1-Detail 2 7 7_Tertiary Salaries Survey" xfId="9874"/>
    <cellStyle name="RowTitles1-Detail 2 7 8" xfId="9875"/>
    <cellStyle name="RowTitles1-Detail 2 7 8 2" xfId="9876"/>
    <cellStyle name="RowTitles1-Detail 2 7 8 2 2" xfId="9877"/>
    <cellStyle name="RowTitles1-Detail 2 7 8 2_Tertiary Salaries Survey" xfId="9878"/>
    <cellStyle name="RowTitles1-Detail 2 7 8 3" xfId="9879"/>
    <cellStyle name="RowTitles1-Detail 2 7 8_Tertiary Salaries Survey" xfId="9880"/>
    <cellStyle name="RowTitles1-Detail 2 7 9" xfId="9881"/>
    <cellStyle name="RowTitles1-Detail 2 7_STUD aligned by INSTIT" xfId="9882"/>
    <cellStyle name="RowTitles1-Detail 2 8" xfId="9883"/>
    <cellStyle name="RowTitles1-Detail 2 8 2" xfId="9884"/>
    <cellStyle name="RowTitles1-Detail 2 8 2 2" xfId="9885"/>
    <cellStyle name="RowTitles1-Detail 2 8 2 2 2" xfId="9886"/>
    <cellStyle name="RowTitles1-Detail 2 8 2 2_Tertiary Salaries Survey" xfId="9887"/>
    <cellStyle name="RowTitles1-Detail 2 8 2 3" xfId="9888"/>
    <cellStyle name="RowTitles1-Detail 2 8 2_Tertiary Salaries Survey" xfId="9889"/>
    <cellStyle name="RowTitles1-Detail 2 8 3" xfId="9890"/>
    <cellStyle name="RowTitles1-Detail 2 8 3 2" xfId="9891"/>
    <cellStyle name="RowTitles1-Detail 2 8 3 2 2" xfId="9892"/>
    <cellStyle name="RowTitles1-Detail 2 8 3 2_Tertiary Salaries Survey" xfId="9893"/>
    <cellStyle name="RowTitles1-Detail 2 8 3 3" xfId="9894"/>
    <cellStyle name="RowTitles1-Detail 2 8 3_Tertiary Salaries Survey" xfId="9895"/>
    <cellStyle name="RowTitles1-Detail 2 8 4" xfId="9896"/>
    <cellStyle name="RowTitles1-Detail 2 8 5" xfId="9897"/>
    <cellStyle name="RowTitles1-Detail 2 8 5 2" xfId="9898"/>
    <cellStyle name="RowTitles1-Detail 2 8 5_Tertiary Salaries Survey" xfId="9899"/>
    <cellStyle name="RowTitles1-Detail 2 8 6" xfId="9900"/>
    <cellStyle name="RowTitles1-Detail 2 8_Tertiary Salaries Survey" xfId="9901"/>
    <cellStyle name="RowTitles1-Detail 2 9" xfId="9902"/>
    <cellStyle name="RowTitles1-Detail 2 9 2" xfId="9903"/>
    <cellStyle name="RowTitles1-Detail 2 9 2 2" xfId="9904"/>
    <cellStyle name="RowTitles1-Detail 2 9 2 2 2" xfId="9905"/>
    <cellStyle name="RowTitles1-Detail 2 9 2 2_Tertiary Salaries Survey" xfId="9906"/>
    <cellStyle name="RowTitles1-Detail 2 9 2 3" xfId="9907"/>
    <cellStyle name="RowTitles1-Detail 2 9 2_Tertiary Salaries Survey" xfId="9908"/>
    <cellStyle name="RowTitles1-Detail 2 9 3" xfId="9909"/>
    <cellStyle name="RowTitles1-Detail 2 9 3 2" xfId="9910"/>
    <cellStyle name="RowTitles1-Detail 2 9 3 2 2" xfId="9911"/>
    <cellStyle name="RowTitles1-Detail 2 9 3 2_Tertiary Salaries Survey" xfId="9912"/>
    <cellStyle name="RowTitles1-Detail 2 9 3 3" xfId="9913"/>
    <cellStyle name="RowTitles1-Detail 2 9 3_Tertiary Salaries Survey" xfId="9914"/>
    <cellStyle name="RowTitles1-Detail 2 9 4" xfId="9915"/>
    <cellStyle name="RowTitles1-Detail 2 9 5" xfId="9916"/>
    <cellStyle name="RowTitles1-Detail 2 9_Tertiary Salaries Survey" xfId="9917"/>
    <cellStyle name="RowTitles1-Detail 2_STUD aligned by INSTIT" xfId="9918"/>
    <cellStyle name="RowTitles1-Detail 3" xfId="9919"/>
    <cellStyle name="RowTitles1-Detail 3 10" xfId="9920"/>
    <cellStyle name="RowTitles1-Detail 3 10 2" xfId="9921"/>
    <cellStyle name="RowTitles1-Detail 3 10 2 2" xfId="9922"/>
    <cellStyle name="RowTitles1-Detail 3 10 2 2 2" xfId="9923"/>
    <cellStyle name="RowTitles1-Detail 3 10 2 2_Tertiary Salaries Survey" xfId="9924"/>
    <cellStyle name="RowTitles1-Detail 3 10 2 3" xfId="9925"/>
    <cellStyle name="RowTitles1-Detail 3 10 2_Tertiary Salaries Survey" xfId="9926"/>
    <cellStyle name="RowTitles1-Detail 3 10 3" xfId="9927"/>
    <cellStyle name="RowTitles1-Detail 3 10 3 2" xfId="9928"/>
    <cellStyle name="RowTitles1-Detail 3 10 3 2 2" xfId="9929"/>
    <cellStyle name="RowTitles1-Detail 3 10 3 2_Tertiary Salaries Survey" xfId="9930"/>
    <cellStyle name="RowTitles1-Detail 3 10 3 3" xfId="9931"/>
    <cellStyle name="RowTitles1-Detail 3 10 3_Tertiary Salaries Survey" xfId="9932"/>
    <cellStyle name="RowTitles1-Detail 3 10 4" xfId="9933"/>
    <cellStyle name="RowTitles1-Detail 3 10 4 2" xfId="9934"/>
    <cellStyle name="RowTitles1-Detail 3 10 4_Tertiary Salaries Survey" xfId="9935"/>
    <cellStyle name="RowTitles1-Detail 3 10 5" xfId="9936"/>
    <cellStyle name="RowTitles1-Detail 3 10_Tertiary Salaries Survey" xfId="9937"/>
    <cellStyle name="RowTitles1-Detail 3 11" xfId="9938"/>
    <cellStyle name="RowTitles1-Detail 3 11 2" xfId="9939"/>
    <cellStyle name="RowTitles1-Detail 3 11 2 2" xfId="9940"/>
    <cellStyle name="RowTitles1-Detail 3 11 2 2 2" xfId="9941"/>
    <cellStyle name="RowTitles1-Detail 3 11 2 2_Tertiary Salaries Survey" xfId="9942"/>
    <cellStyle name="RowTitles1-Detail 3 11 2 3" xfId="9943"/>
    <cellStyle name="RowTitles1-Detail 3 11 2_Tertiary Salaries Survey" xfId="9944"/>
    <cellStyle name="RowTitles1-Detail 3 11 3" xfId="9945"/>
    <cellStyle name="RowTitles1-Detail 3 11 3 2" xfId="9946"/>
    <cellStyle name="RowTitles1-Detail 3 11 3 2 2" xfId="9947"/>
    <cellStyle name="RowTitles1-Detail 3 11 3 2_Tertiary Salaries Survey" xfId="9948"/>
    <cellStyle name="RowTitles1-Detail 3 11 3 3" xfId="9949"/>
    <cellStyle name="RowTitles1-Detail 3 11 3_Tertiary Salaries Survey" xfId="9950"/>
    <cellStyle name="RowTitles1-Detail 3 11 4" xfId="9951"/>
    <cellStyle name="RowTitles1-Detail 3 11 4 2" xfId="9952"/>
    <cellStyle name="RowTitles1-Detail 3 11 4_Tertiary Salaries Survey" xfId="9953"/>
    <cellStyle name="RowTitles1-Detail 3 11 5" xfId="9954"/>
    <cellStyle name="RowTitles1-Detail 3 11_Tertiary Salaries Survey" xfId="9955"/>
    <cellStyle name="RowTitles1-Detail 3 12" xfId="9956"/>
    <cellStyle name="RowTitles1-Detail 3 12 2" xfId="9957"/>
    <cellStyle name="RowTitles1-Detail 3 12 2 2" xfId="9958"/>
    <cellStyle name="RowTitles1-Detail 3 12 2_Tertiary Salaries Survey" xfId="9959"/>
    <cellStyle name="RowTitles1-Detail 3 12 3" xfId="9960"/>
    <cellStyle name="RowTitles1-Detail 3 12_Tertiary Salaries Survey" xfId="9961"/>
    <cellStyle name="RowTitles1-Detail 3 13" xfId="9962"/>
    <cellStyle name="RowTitles1-Detail 3 14" xfId="9963"/>
    <cellStyle name="RowTitles1-Detail 3 15" xfId="9964"/>
    <cellStyle name="RowTitles1-Detail 3 2" xfId="9965"/>
    <cellStyle name="RowTitles1-Detail 3 2 10" xfId="9966"/>
    <cellStyle name="RowTitles1-Detail 3 2 10 2" xfId="9967"/>
    <cellStyle name="RowTitles1-Detail 3 2 10 2 2" xfId="9968"/>
    <cellStyle name="RowTitles1-Detail 3 2 10 2 2 2" xfId="9969"/>
    <cellStyle name="RowTitles1-Detail 3 2 10 2 2_Tertiary Salaries Survey" xfId="9970"/>
    <cellStyle name="RowTitles1-Detail 3 2 10 2 3" xfId="9971"/>
    <cellStyle name="RowTitles1-Detail 3 2 10 2_Tertiary Salaries Survey" xfId="9972"/>
    <cellStyle name="RowTitles1-Detail 3 2 10 3" xfId="9973"/>
    <cellStyle name="RowTitles1-Detail 3 2 10 3 2" xfId="9974"/>
    <cellStyle name="RowTitles1-Detail 3 2 10 3 2 2" xfId="9975"/>
    <cellStyle name="RowTitles1-Detail 3 2 10 3 2_Tertiary Salaries Survey" xfId="9976"/>
    <cellStyle name="RowTitles1-Detail 3 2 10 3 3" xfId="9977"/>
    <cellStyle name="RowTitles1-Detail 3 2 10 3_Tertiary Salaries Survey" xfId="9978"/>
    <cellStyle name="RowTitles1-Detail 3 2 10 4" xfId="9979"/>
    <cellStyle name="RowTitles1-Detail 3 2 10 4 2" xfId="9980"/>
    <cellStyle name="RowTitles1-Detail 3 2 10 4_Tertiary Salaries Survey" xfId="9981"/>
    <cellStyle name="RowTitles1-Detail 3 2 10 5" xfId="9982"/>
    <cellStyle name="RowTitles1-Detail 3 2 10_Tertiary Salaries Survey" xfId="9983"/>
    <cellStyle name="RowTitles1-Detail 3 2 11" xfId="9984"/>
    <cellStyle name="RowTitles1-Detail 3 2 11 2" xfId="9985"/>
    <cellStyle name="RowTitles1-Detail 3 2 11 2 2" xfId="9986"/>
    <cellStyle name="RowTitles1-Detail 3 2 11 2_Tertiary Salaries Survey" xfId="9987"/>
    <cellStyle name="RowTitles1-Detail 3 2 11 3" xfId="9988"/>
    <cellStyle name="RowTitles1-Detail 3 2 11_Tertiary Salaries Survey" xfId="9989"/>
    <cellStyle name="RowTitles1-Detail 3 2 12" xfId="9990"/>
    <cellStyle name="RowTitles1-Detail 3 2 13" xfId="9991"/>
    <cellStyle name="RowTitles1-Detail 3 2 2" xfId="9992"/>
    <cellStyle name="RowTitles1-Detail 3 2 2 10" xfId="9993"/>
    <cellStyle name="RowTitles1-Detail 3 2 2 10 2" xfId="9994"/>
    <cellStyle name="RowTitles1-Detail 3 2 2 10 2 2" xfId="9995"/>
    <cellStyle name="RowTitles1-Detail 3 2 2 10 2_Tertiary Salaries Survey" xfId="9996"/>
    <cellStyle name="RowTitles1-Detail 3 2 2 10 3" xfId="9997"/>
    <cellStyle name="RowTitles1-Detail 3 2 2 10_Tertiary Salaries Survey" xfId="9998"/>
    <cellStyle name="RowTitles1-Detail 3 2 2 11" xfId="9999"/>
    <cellStyle name="RowTitles1-Detail 3 2 2 12" xfId="10000"/>
    <cellStyle name="RowTitles1-Detail 3 2 2 2" xfId="10001"/>
    <cellStyle name="RowTitles1-Detail 3 2 2 2 2" xfId="10002"/>
    <cellStyle name="RowTitles1-Detail 3 2 2 2 2 2" xfId="10003"/>
    <cellStyle name="RowTitles1-Detail 3 2 2 2 2 2 2" xfId="10004"/>
    <cellStyle name="RowTitles1-Detail 3 2 2 2 2 2 2 2" xfId="10005"/>
    <cellStyle name="RowTitles1-Detail 3 2 2 2 2 2 2_Tertiary Salaries Survey" xfId="10006"/>
    <cellStyle name="RowTitles1-Detail 3 2 2 2 2 2 3" xfId="10007"/>
    <cellStyle name="RowTitles1-Detail 3 2 2 2 2 2_Tertiary Salaries Survey" xfId="10008"/>
    <cellStyle name="RowTitles1-Detail 3 2 2 2 2 3" xfId="10009"/>
    <cellStyle name="RowTitles1-Detail 3 2 2 2 2 3 2" xfId="10010"/>
    <cellStyle name="RowTitles1-Detail 3 2 2 2 2 3 2 2" xfId="10011"/>
    <cellStyle name="RowTitles1-Detail 3 2 2 2 2 3 2_Tertiary Salaries Survey" xfId="10012"/>
    <cellStyle name="RowTitles1-Detail 3 2 2 2 2 3 3" xfId="10013"/>
    <cellStyle name="RowTitles1-Detail 3 2 2 2 2 3_Tertiary Salaries Survey" xfId="10014"/>
    <cellStyle name="RowTitles1-Detail 3 2 2 2 2 4" xfId="10015"/>
    <cellStyle name="RowTitles1-Detail 3 2 2 2 2 5" xfId="10016"/>
    <cellStyle name="RowTitles1-Detail 3 2 2 2 2_Tertiary Salaries Survey" xfId="10017"/>
    <cellStyle name="RowTitles1-Detail 3 2 2 2 3" xfId="10018"/>
    <cellStyle name="RowTitles1-Detail 3 2 2 2 3 2" xfId="10019"/>
    <cellStyle name="RowTitles1-Detail 3 2 2 2 3 2 2" xfId="10020"/>
    <cellStyle name="RowTitles1-Detail 3 2 2 2 3 2 2 2" xfId="10021"/>
    <cellStyle name="RowTitles1-Detail 3 2 2 2 3 2 2_Tertiary Salaries Survey" xfId="10022"/>
    <cellStyle name="RowTitles1-Detail 3 2 2 2 3 2 3" xfId="10023"/>
    <cellStyle name="RowTitles1-Detail 3 2 2 2 3 2_Tertiary Salaries Survey" xfId="10024"/>
    <cellStyle name="RowTitles1-Detail 3 2 2 2 3 3" xfId="10025"/>
    <cellStyle name="RowTitles1-Detail 3 2 2 2 3 3 2" xfId="10026"/>
    <cellStyle name="RowTitles1-Detail 3 2 2 2 3 3 2 2" xfId="10027"/>
    <cellStyle name="RowTitles1-Detail 3 2 2 2 3 3 2_Tertiary Salaries Survey" xfId="10028"/>
    <cellStyle name="RowTitles1-Detail 3 2 2 2 3 3 3" xfId="10029"/>
    <cellStyle name="RowTitles1-Detail 3 2 2 2 3 3_Tertiary Salaries Survey" xfId="10030"/>
    <cellStyle name="RowTitles1-Detail 3 2 2 2 3 4" xfId="10031"/>
    <cellStyle name="RowTitles1-Detail 3 2 2 2 3 5" xfId="10032"/>
    <cellStyle name="RowTitles1-Detail 3 2 2 2 3 5 2" xfId="10033"/>
    <cellStyle name="RowTitles1-Detail 3 2 2 2 3 5_Tertiary Salaries Survey" xfId="10034"/>
    <cellStyle name="RowTitles1-Detail 3 2 2 2 3 6" xfId="10035"/>
    <cellStyle name="RowTitles1-Detail 3 2 2 2 3_Tertiary Salaries Survey" xfId="10036"/>
    <cellStyle name="RowTitles1-Detail 3 2 2 2 4" xfId="10037"/>
    <cellStyle name="RowTitles1-Detail 3 2 2 2 4 2" xfId="10038"/>
    <cellStyle name="RowTitles1-Detail 3 2 2 2 4 2 2" xfId="10039"/>
    <cellStyle name="RowTitles1-Detail 3 2 2 2 4 2 2 2" xfId="10040"/>
    <cellStyle name="RowTitles1-Detail 3 2 2 2 4 2 2_Tertiary Salaries Survey" xfId="10041"/>
    <cellStyle name="RowTitles1-Detail 3 2 2 2 4 2 3" xfId="10042"/>
    <cellStyle name="RowTitles1-Detail 3 2 2 2 4 2_Tertiary Salaries Survey" xfId="10043"/>
    <cellStyle name="RowTitles1-Detail 3 2 2 2 4 3" xfId="10044"/>
    <cellStyle name="RowTitles1-Detail 3 2 2 2 4 3 2" xfId="10045"/>
    <cellStyle name="RowTitles1-Detail 3 2 2 2 4 3 2 2" xfId="10046"/>
    <cellStyle name="RowTitles1-Detail 3 2 2 2 4 3 2_Tertiary Salaries Survey" xfId="10047"/>
    <cellStyle name="RowTitles1-Detail 3 2 2 2 4 3 3" xfId="10048"/>
    <cellStyle name="RowTitles1-Detail 3 2 2 2 4 3_Tertiary Salaries Survey" xfId="10049"/>
    <cellStyle name="RowTitles1-Detail 3 2 2 2 4 4" xfId="10050"/>
    <cellStyle name="RowTitles1-Detail 3 2 2 2 4 4 2" xfId="10051"/>
    <cellStyle name="RowTitles1-Detail 3 2 2 2 4 4_Tertiary Salaries Survey" xfId="10052"/>
    <cellStyle name="RowTitles1-Detail 3 2 2 2 4 5" xfId="10053"/>
    <cellStyle name="RowTitles1-Detail 3 2 2 2 4_Tertiary Salaries Survey" xfId="10054"/>
    <cellStyle name="RowTitles1-Detail 3 2 2 2 5" xfId="10055"/>
    <cellStyle name="RowTitles1-Detail 3 2 2 2 5 2" xfId="10056"/>
    <cellStyle name="RowTitles1-Detail 3 2 2 2 5 2 2" xfId="10057"/>
    <cellStyle name="RowTitles1-Detail 3 2 2 2 5 2 2 2" xfId="10058"/>
    <cellStyle name="RowTitles1-Detail 3 2 2 2 5 2 2_Tertiary Salaries Survey" xfId="10059"/>
    <cellStyle name="RowTitles1-Detail 3 2 2 2 5 2 3" xfId="10060"/>
    <cellStyle name="RowTitles1-Detail 3 2 2 2 5 2_Tertiary Salaries Survey" xfId="10061"/>
    <cellStyle name="RowTitles1-Detail 3 2 2 2 5 3" xfId="10062"/>
    <cellStyle name="RowTitles1-Detail 3 2 2 2 5 3 2" xfId="10063"/>
    <cellStyle name="RowTitles1-Detail 3 2 2 2 5 3 2 2" xfId="10064"/>
    <cellStyle name="RowTitles1-Detail 3 2 2 2 5 3 2_Tertiary Salaries Survey" xfId="10065"/>
    <cellStyle name="RowTitles1-Detail 3 2 2 2 5 3 3" xfId="10066"/>
    <cellStyle name="RowTitles1-Detail 3 2 2 2 5 3_Tertiary Salaries Survey" xfId="10067"/>
    <cellStyle name="RowTitles1-Detail 3 2 2 2 5 4" xfId="10068"/>
    <cellStyle name="RowTitles1-Detail 3 2 2 2 5 4 2" xfId="10069"/>
    <cellStyle name="RowTitles1-Detail 3 2 2 2 5 4_Tertiary Salaries Survey" xfId="10070"/>
    <cellStyle name="RowTitles1-Detail 3 2 2 2 5 5" xfId="10071"/>
    <cellStyle name="RowTitles1-Detail 3 2 2 2 5_Tertiary Salaries Survey" xfId="10072"/>
    <cellStyle name="RowTitles1-Detail 3 2 2 2 6" xfId="10073"/>
    <cellStyle name="RowTitles1-Detail 3 2 2 2 6 2" xfId="10074"/>
    <cellStyle name="RowTitles1-Detail 3 2 2 2 6 2 2" xfId="10075"/>
    <cellStyle name="RowTitles1-Detail 3 2 2 2 6 2 2 2" xfId="10076"/>
    <cellStyle name="RowTitles1-Detail 3 2 2 2 6 2 2_Tertiary Salaries Survey" xfId="10077"/>
    <cellStyle name="RowTitles1-Detail 3 2 2 2 6 2 3" xfId="10078"/>
    <cellStyle name="RowTitles1-Detail 3 2 2 2 6 2_Tertiary Salaries Survey" xfId="10079"/>
    <cellStyle name="RowTitles1-Detail 3 2 2 2 6 3" xfId="10080"/>
    <cellStyle name="RowTitles1-Detail 3 2 2 2 6 3 2" xfId="10081"/>
    <cellStyle name="RowTitles1-Detail 3 2 2 2 6 3 2 2" xfId="10082"/>
    <cellStyle name="RowTitles1-Detail 3 2 2 2 6 3 2_Tertiary Salaries Survey" xfId="10083"/>
    <cellStyle name="RowTitles1-Detail 3 2 2 2 6 3 3" xfId="10084"/>
    <cellStyle name="RowTitles1-Detail 3 2 2 2 6 3_Tertiary Salaries Survey" xfId="10085"/>
    <cellStyle name="RowTitles1-Detail 3 2 2 2 6 4" xfId="10086"/>
    <cellStyle name="RowTitles1-Detail 3 2 2 2 6 4 2" xfId="10087"/>
    <cellStyle name="RowTitles1-Detail 3 2 2 2 6 4_Tertiary Salaries Survey" xfId="10088"/>
    <cellStyle name="RowTitles1-Detail 3 2 2 2 6 5" xfId="10089"/>
    <cellStyle name="RowTitles1-Detail 3 2 2 2 6_Tertiary Salaries Survey" xfId="10090"/>
    <cellStyle name="RowTitles1-Detail 3 2 2 2 7" xfId="10091"/>
    <cellStyle name="RowTitles1-Detail 3 2 2 2 7 2" xfId="10092"/>
    <cellStyle name="RowTitles1-Detail 3 2 2 2 7 2 2" xfId="10093"/>
    <cellStyle name="RowTitles1-Detail 3 2 2 2 7 2_Tertiary Salaries Survey" xfId="10094"/>
    <cellStyle name="RowTitles1-Detail 3 2 2 2 7 3" xfId="10095"/>
    <cellStyle name="RowTitles1-Detail 3 2 2 2 7_Tertiary Salaries Survey" xfId="10096"/>
    <cellStyle name="RowTitles1-Detail 3 2 2 2 8" xfId="10097"/>
    <cellStyle name="RowTitles1-Detail 3 2 2 2 9" xfId="10098"/>
    <cellStyle name="RowTitles1-Detail 3 2 2 2_STUD aligned by INSTIT" xfId="10099"/>
    <cellStyle name="RowTitles1-Detail 3 2 2 3" xfId="10100"/>
    <cellStyle name="RowTitles1-Detail 3 2 2 3 2" xfId="10101"/>
    <cellStyle name="RowTitles1-Detail 3 2 2 3 2 2" xfId="10102"/>
    <cellStyle name="RowTitles1-Detail 3 2 2 3 2 2 2" xfId="10103"/>
    <cellStyle name="RowTitles1-Detail 3 2 2 3 2 2 2 2" xfId="10104"/>
    <cellStyle name="RowTitles1-Detail 3 2 2 3 2 2 2_Tertiary Salaries Survey" xfId="10105"/>
    <cellStyle name="RowTitles1-Detail 3 2 2 3 2 2 3" xfId="10106"/>
    <cellStyle name="RowTitles1-Detail 3 2 2 3 2 2_Tertiary Salaries Survey" xfId="10107"/>
    <cellStyle name="RowTitles1-Detail 3 2 2 3 2 3" xfId="10108"/>
    <cellStyle name="RowTitles1-Detail 3 2 2 3 2 3 2" xfId="10109"/>
    <cellStyle name="RowTitles1-Detail 3 2 2 3 2 3 2 2" xfId="10110"/>
    <cellStyle name="RowTitles1-Detail 3 2 2 3 2 3 2_Tertiary Salaries Survey" xfId="10111"/>
    <cellStyle name="RowTitles1-Detail 3 2 2 3 2 3 3" xfId="10112"/>
    <cellStyle name="RowTitles1-Detail 3 2 2 3 2 3_Tertiary Salaries Survey" xfId="10113"/>
    <cellStyle name="RowTitles1-Detail 3 2 2 3 2 4" xfId="10114"/>
    <cellStyle name="RowTitles1-Detail 3 2 2 3 2 5" xfId="10115"/>
    <cellStyle name="RowTitles1-Detail 3 2 2 3 2 5 2" xfId="10116"/>
    <cellStyle name="RowTitles1-Detail 3 2 2 3 2 5_Tertiary Salaries Survey" xfId="10117"/>
    <cellStyle name="RowTitles1-Detail 3 2 2 3 2 6" xfId="10118"/>
    <cellStyle name="RowTitles1-Detail 3 2 2 3 2_Tertiary Salaries Survey" xfId="10119"/>
    <cellStyle name="RowTitles1-Detail 3 2 2 3 3" xfId="10120"/>
    <cellStyle name="RowTitles1-Detail 3 2 2 3 3 2" xfId="10121"/>
    <cellStyle name="RowTitles1-Detail 3 2 2 3 3 2 2" xfId="10122"/>
    <cellStyle name="RowTitles1-Detail 3 2 2 3 3 2 2 2" xfId="10123"/>
    <cellStyle name="RowTitles1-Detail 3 2 2 3 3 2 2_Tertiary Salaries Survey" xfId="10124"/>
    <cellStyle name="RowTitles1-Detail 3 2 2 3 3 2 3" xfId="10125"/>
    <cellStyle name="RowTitles1-Detail 3 2 2 3 3 2_Tertiary Salaries Survey" xfId="10126"/>
    <cellStyle name="RowTitles1-Detail 3 2 2 3 3 3" xfId="10127"/>
    <cellStyle name="RowTitles1-Detail 3 2 2 3 3 3 2" xfId="10128"/>
    <cellStyle name="RowTitles1-Detail 3 2 2 3 3 3 2 2" xfId="10129"/>
    <cellStyle name="RowTitles1-Detail 3 2 2 3 3 3 2_Tertiary Salaries Survey" xfId="10130"/>
    <cellStyle name="RowTitles1-Detail 3 2 2 3 3 3 3" xfId="10131"/>
    <cellStyle name="RowTitles1-Detail 3 2 2 3 3 3_Tertiary Salaries Survey" xfId="10132"/>
    <cellStyle name="RowTitles1-Detail 3 2 2 3 3 4" xfId="10133"/>
    <cellStyle name="RowTitles1-Detail 3 2 2 3 3 5" xfId="10134"/>
    <cellStyle name="RowTitles1-Detail 3 2 2 3 3_Tertiary Salaries Survey" xfId="10135"/>
    <cellStyle name="RowTitles1-Detail 3 2 2 3 4" xfId="10136"/>
    <cellStyle name="RowTitles1-Detail 3 2 2 3 4 2" xfId="10137"/>
    <cellStyle name="RowTitles1-Detail 3 2 2 3 4 2 2" xfId="10138"/>
    <cellStyle name="RowTitles1-Detail 3 2 2 3 4 2 2 2" xfId="10139"/>
    <cellStyle name="RowTitles1-Detail 3 2 2 3 4 2 2_Tertiary Salaries Survey" xfId="10140"/>
    <cellStyle name="RowTitles1-Detail 3 2 2 3 4 2 3" xfId="10141"/>
    <cellStyle name="RowTitles1-Detail 3 2 2 3 4 2_Tertiary Salaries Survey" xfId="10142"/>
    <cellStyle name="RowTitles1-Detail 3 2 2 3 4 3" xfId="10143"/>
    <cellStyle name="RowTitles1-Detail 3 2 2 3 4 3 2" xfId="10144"/>
    <cellStyle name="RowTitles1-Detail 3 2 2 3 4 3 2 2" xfId="10145"/>
    <cellStyle name="RowTitles1-Detail 3 2 2 3 4 3 2_Tertiary Salaries Survey" xfId="10146"/>
    <cellStyle name="RowTitles1-Detail 3 2 2 3 4 3 3" xfId="10147"/>
    <cellStyle name="RowTitles1-Detail 3 2 2 3 4 3_Tertiary Salaries Survey" xfId="10148"/>
    <cellStyle name="RowTitles1-Detail 3 2 2 3 4 4" xfId="10149"/>
    <cellStyle name="RowTitles1-Detail 3 2 2 3 4 4 2" xfId="10150"/>
    <cellStyle name="RowTitles1-Detail 3 2 2 3 4 4_Tertiary Salaries Survey" xfId="10151"/>
    <cellStyle name="RowTitles1-Detail 3 2 2 3 4 5" xfId="10152"/>
    <cellStyle name="RowTitles1-Detail 3 2 2 3 4_Tertiary Salaries Survey" xfId="10153"/>
    <cellStyle name="RowTitles1-Detail 3 2 2 3 5" xfId="10154"/>
    <cellStyle name="RowTitles1-Detail 3 2 2 3 5 2" xfId="10155"/>
    <cellStyle name="RowTitles1-Detail 3 2 2 3 5 2 2" xfId="10156"/>
    <cellStyle name="RowTitles1-Detail 3 2 2 3 5 2 2 2" xfId="10157"/>
    <cellStyle name="RowTitles1-Detail 3 2 2 3 5 2 2_Tertiary Salaries Survey" xfId="10158"/>
    <cellStyle name="RowTitles1-Detail 3 2 2 3 5 2 3" xfId="10159"/>
    <cellStyle name="RowTitles1-Detail 3 2 2 3 5 2_Tertiary Salaries Survey" xfId="10160"/>
    <cellStyle name="RowTitles1-Detail 3 2 2 3 5 3" xfId="10161"/>
    <cellStyle name="RowTitles1-Detail 3 2 2 3 5 3 2" xfId="10162"/>
    <cellStyle name="RowTitles1-Detail 3 2 2 3 5 3 2 2" xfId="10163"/>
    <cellStyle name="RowTitles1-Detail 3 2 2 3 5 3 2_Tertiary Salaries Survey" xfId="10164"/>
    <cellStyle name="RowTitles1-Detail 3 2 2 3 5 3 3" xfId="10165"/>
    <cellStyle name="RowTitles1-Detail 3 2 2 3 5 3_Tertiary Salaries Survey" xfId="10166"/>
    <cellStyle name="RowTitles1-Detail 3 2 2 3 5 4" xfId="10167"/>
    <cellStyle name="RowTitles1-Detail 3 2 2 3 5 4 2" xfId="10168"/>
    <cellStyle name="RowTitles1-Detail 3 2 2 3 5 4_Tertiary Salaries Survey" xfId="10169"/>
    <cellStyle name="RowTitles1-Detail 3 2 2 3 5 5" xfId="10170"/>
    <cellStyle name="RowTitles1-Detail 3 2 2 3 5_Tertiary Salaries Survey" xfId="10171"/>
    <cellStyle name="RowTitles1-Detail 3 2 2 3 6" xfId="10172"/>
    <cellStyle name="RowTitles1-Detail 3 2 2 3 6 2" xfId="10173"/>
    <cellStyle name="RowTitles1-Detail 3 2 2 3 6 2 2" xfId="10174"/>
    <cellStyle name="RowTitles1-Detail 3 2 2 3 6 2 2 2" xfId="10175"/>
    <cellStyle name="RowTitles1-Detail 3 2 2 3 6 2 2_Tertiary Salaries Survey" xfId="10176"/>
    <cellStyle name="RowTitles1-Detail 3 2 2 3 6 2 3" xfId="10177"/>
    <cellStyle name="RowTitles1-Detail 3 2 2 3 6 2_Tertiary Salaries Survey" xfId="10178"/>
    <cellStyle name="RowTitles1-Detail 3 2 2 3 6 3" xfId="10179"/>
    <cellStyle name="RowTitles1-Detail 3 2 2 3 6 3 2" xfId="10180"/>
    <cellStyle name="RowTitles1-Detail 3 2 2 3 6 3 2 2" xfId="10181"/>
    <cellStyle name="RowTitles1-Detail 3 2 2 3 6 3 2_Tertiary Salaries Survey" xfId="10182"/>
    <cellStyle name="RowTitles1-Detail 3 2 2 3 6 3 3" xfId="10183"/>
    <cellStyle name="RowTitles1-Detail 3 2 2 3 6 3_Tertiary Salaries Survey" xfId="10184"/>
    <cellStyle name="RowTitles1-Detail 3 2 2 3 6 4" xfId="10185"/>
    <cellStyle name="RowTitles1-Detail 3 2 2 3 6 4 2" xfId="10186"/>
    <cellStyle name="RowTitles1-Detail 3 2 2 3 6 4_Tertiary Salaries Survey" xfId="10187"/>
    <cellStyle name="RowTitles1-Detail 3 2 2 3 6 5" xfId="10188"/>
    <cellStyle name="RowTitles1-Detail 3 2 2 3 6_Tertiary Salaries Survey" xfId="10189"/>
    <cellStyle name="RowTitles1-Detail 3 2 2 3 7" xfId="10190"/>
    <cellStyle name="RowTitles1-Detail 3 2 2 3 7 2" xfId="10191"/>
    <cellStyle name="RowTitles1-Detail 3 2 2 3 7 2 2" xfId="10192"/>
    <cellStyle name="RowTitles1-Detail 3 2 2 3 7 2_Tertiary Salaries Survey" xfId="10193"/>
    <cellStyle name="RowTitles1-Detail 3 2 2 3 7 3" xfId="10194"/>
    <cellStyle name="RowTitles1-Detail 3 2 2 3 7_Tertiary Salaries Survey" xfId="10195"/>
    <cellStyle name="RowTitles1-Detail 3 2 2 3 8" xfId="10196"/>
    <cellStyle name="RowTitles1-Detail 3 2 2 3 8 2" xfId="10197"/>
    <cellStyle name="RowTitles1-Detail 3 2 2 3 8 2 2" xfId="10198"/>
    <cellStyle name="RowTitles1-Detail 3 2 2 3 8 2_Tertiary Salaries Survey" xfId="10199"/>
    <cellStyle name="RowTitles1-Detail 3 2 2 3 8 3" xfId="10200"/>
    <cellStyle name="RowTitles1-Detail 3 2 2 3 8_Tertiary Salaries Survey" xfId="10201"/>
    <cellStyle name="RowTitles1-Detail 3 2 2 3 9" xfId="10202"/>
    <cellStyle name="RowTitles1-Detail 3 2 2 3_STUD aligned by INSTIT" xfId="10203"/>
    <cellStyle name="RowTitles1-Detail 3 2 2 4" xfId="10204"/>
    <cellStyle name="RowTitles1-Detail 3 2 2 4 2" xfId="10205"/>
    <cellStyle name="RowTitles1-Detail 3 2 2 4 2 2" xfId="10206"/>
    <cellStyle name="RowTitles1-Detail 3 2 2 4 2 2 2" xfId="10207"/>
    <cellStyle name="RowTitles1-Detail 3 2 2 4 2 2 2 2" xfId="10208"/>
    <cellStyle name="RowTitles1-Detail 3 2 2 4 2 2 2_Tertiary Salaries Survey" xfId="10209"/>
    <cellStyle name="RowTitles1-Detail 3 2 2 4 2 2 3" xfId="10210"/>
    <cellStyle name="RowTitles1-Detail 3 2 2 4 2 2_Tertiary Salaries Survey" xfId="10211"/>
    <cellStyle name="RowTitles1-Detail 3 2 2 4 2 3" xfId="10212"/>
    <cellStyle name="RowTitles1-Detail 3 2 2 4 2 3 2" xfId="10213"/>
    <cellStyle name="RowTitles1-Detail 3 2 2 4 2 3 2 2" xfId="10214"/>
    <cellStyle name="RowTitles1-Detail 3 2 2 4 2 3 2_Tertiary Salaries Survey" xfId="10215"/>
    <cellStyle name="RowTitles1-Detail 3 2 2 4 2 3 3" xfId="10216"/>
    <cellStyle name="RowTitles1-Detail 3 2 2 4 2 3_Tertiary Salaries Survey" xfId="10217"/>
    <cellStyle name="RowTitles1-Detail 3 2 2 4 2 4" xfId="10218"/>
    <cellStyle name="RowTitles1-Detail 3 2 2 4 2 5" xfId="10219"/>
    <cellStyle name="RowTitles1-Detail 3 2 2 4 2 5 2" xfId="10220"/>
    <cellStyle name="RowTitles1-Detail 3 2 2 4 2 5_Tertiary Salaries Survey" xfId="10221"/>
    <cellStyle name="RowTitles1-Detail 3 2 2 4 2 6" xfId="10222"/>
    <cellStyle name="RowTitles1-Detail 3 2 2 4 2_Tertiary Salaries Survey" xfId="10223"/>
    <cellStyle name="RowTitles1-Detail 3 2 2 4 3" xfId="10224"/>
    <cellStyle name="RowTitles1-Detail 3 2 2 4 3 2" xfId="10225"/>
    <cellStyle name="RowTitles1-Detail 3 2 2 4 3 2 2" xfId="10226"/>
    <cellStyle name="RowTitles1-Detail 3 2 2 4 3 2 2 2" xfId="10227"/>
    <cellStyle name="RowTitles1-Detail 3 2 2 4 3 2 2_Tertiary Salaries Survey" xfId="10228"/>
    <cellStyle name="RowTitles1-Detail 3 2 2 4 3 2 3" xfId="10229"/>
    <cellStyle name="RowTitles1-Detail 3 2 2 4 3 2_Tertiary Salaries Survey" xfId="10230"/>
    <cellStyle name="RowTitles1-Detail 3 2 2 4 3 3" xfId="10231"/>
    <cellStyle name="RowTitles1-Detail 3 2 2 4 3 3 2" xfId="10232"/>
    <cellStyle name="RowTitles1-Detail 3 2 2 4 3 3 2 2" xfId="10233"/>
    <cellStyle name="RowTitles1-Detail 3 2 2 4 3 3 2_Tertiary Salaries Survey" xfId="10234"/>
    <cellStyle name="RowTitles1-Detail 3 2 2 4 3 3 3" xfId="10235"/>
    <cellStyle name="RowTitles1-Detail 3 2 2 4 3 3_Tertiary Salaries Survey" xfId="10236"/>
    <cellStyle name="RowTitles1-Detail 3 2 2 4 3 4" xfId="10237"/>
    <cellStyle name="RowTitles1-Detail 3 2 2 4 3 5" xfId="10238"/>
    <cellStyle name="RowTitles1-Detail 3 2 2 4 3_Tertiary Salaries Survey" xfId="10239"/>
    <cellStyle name="RowTitles1-Detail 3 2 2 4 4" xfId="10240"/>
    <cellStyle name="RowTitles1-Detail 3 2 2 4 4 2" xfId="10241"/>
    <cellStyle name="RowTitles1-Detail 3 2 2 4 4 2 2" xfId="10242"/>
    <cellStyle name="RowTitles1-Detail 3 2 2 4 4 2 2 2" xfId="10243"/>
    <cellStyle name="RowTitles1-Detail 3 2 2 4 4 2 2_Tertiary Salaries Survey" xfId="10244"/>
    <cellStyle name="RowTitles1-Detail 3 2 2 4 4 2 3" xfId="10245"/>
    <cellStyle name="RowTitles1-Detail 3 2 2 4 4 2_Tertiary Salaries Survey" xfId="10246"/>
    <cellStyle name="RowTitles1-Detail 3 2 2 4 4 3" xfId="10247"/>
    <cellStyle name="RowTitles1-Detail 3 2 2 4 4 3 2" xfId="10248"/>
    <cellStyle name="RowTitles1-Detail 3 2 2 4 4 3 2 2" xfId="10249"/>
    <cellStyle name="RowTitles1-Detail 3 2 2 4 4 3 2_Tertiary Salaries Survey" xfId="10250"/>
    <cellStyle name="RowTitles1-Detail 3 2 2 4 4 3 3" xfId="10251"/>
    <cellStyle name="RowTitles1-Detail 3 2 2 4 4 3_Tertiary Salaries Survey" xfId="10252"/>
    <cellStyle name="RowTitles1-Detail 3 2 2 4 4 4" xfId="10253"/>
    <cellStyle name="RowTitles1-Detail 3 2 2 4 4 5" xfId="10254"/>
    <cellStyle name="RowTitles1-Detail 3 2 2 4 4 5 2" xfId="10255"/>
    <cellStyle name="RowTitles1-Detail 3 2 2 4 4 5_Tertiary Salaries Survey" xfId="10256"/>
    <cellStyle name="RowTitles1-Detail 3 2 2 4 4 6" xfId="10257"/>
    <cellStyle name="RowTitles1-Detail 3 2 2 4 4_Tertiary Salaries Survey" xfId="10258"/>
    <cellStyle name="RowTitles1-Detail 3 2 2 4 5" xfId="10259"/>
    <cellStyle name="RowTitles1-Detail 3 2 2 4 5 2" xfId="10260"/>
    <cellStyle name="RowTitles1-Detail 3 2 2 4 5 2 2" xfId="10261"/>
    <cellStyle name="RowTitles1-Detail 3 2 2 4 5 2 2 2" xfId="10262"/>
    <cellStyle name="RowTitles1-Detail 3 2 2 4 5 2 2_Tertiary Salaries Survey" xfId="10263"/>
    <cellStyle name="RowTitles1-Detail 3 2 2 4 5 2 3" xfId="10264"/>
    <cellStyle name="RowTitles1-Detail 3 2 2 4 5 2_Tertiary Salaries Survey" xfId="10265"/>
    <cellStyle name="RowTitles1-Detail 3 2 2 4 5 3" xfId="10266"/>
    <cellStyle name="RowTitles1-Detail 3 2 2 4 5 3 2" xfId="10267"/>
    <cellStyle name="RowTitles1-Detail 3 2 2 4 5 3 2 2" xfId="10268"/>
    <cellStyle name="RowTitles1-Detail 3 2 2 4 5 3 2_Tertiary Salaries Survey" xfId="10269"/>
    <cellStyle name="RowTitles1-Detail 3 2 2 4 5 3 3" xfId="10270"/>
    <cellStyle name="RowTitles1-Detail 3 2 2 4 5 3_Tertiary Salaries Survey" xfId="10271"/>
    <cellStyle name="RowTitles1-Detail 3 2 2 4 5 4" xfId="10272"/>
    <cellStyle name="RowTitles1-Detail 3 2 2 4 5 4 2" xfId="10273"/>
    <cellStyle name="RowTitles1-Detail 3 2 2 4 5 4_Tertiary Salaries Survey" xfId="10274"/>
    <cellStyle name="RowTitles1-Detail 3 2 2 4 5 5" xfId="10275"/>
    <cellStyle name="RowTitles1-Detail 3 2 2 4 5_Tertiary Salaries Survey" xfId="10276"/>
    <cellStyle name="RowTitles1-Detail 3 2 2 4 6" xfId="10277"/>
    <cellStyle name="RowTitles1-Detail 3 2 2 4 6 2" xfId="10278"/>
    <cellStyle name="RowTitles1-Detail 3 2 2 4 6 2 2" xfId="10279"/>
    <cellStyle name="RowTitles1-Detail 3 2 2 4 6 2 2 2" xfId="10280"/>
    <cellStyle name="RowTitles1-Detail 3 2 2 4 6 2 2_Tertiary Salaries Survey" xfId="10281"/>
    <cellStyle name="RowTitles1-Detail 3 2 2 4 6 2 3" xfId="10282"/>
    <cellStyle name="RowTitles1-Detail 3 2 2 4 6 2_Tertiary Salaries Survey" xfId="10283"/>
    <cellStyle name="RowTitles1-Detail 3 2 2 4 6 3" xfId="10284"/>
    <cellStyle name="RowTitles1-Detail 3 2 2 4 6 3 2" xfId="10285"/>
    <cellStyle name="RowTitles1-Detail 3 2 2 4 6 3 2 2" xfId="10286"/>
    <cellStyle name="RowTitles1-Detail 3 2 2 4 6 3 2_Tertiary Salaries Survey" xfId="10287"/>
    <cellStyle name="RowTitles1-Detail 3 2 2 4 6 3 3" xfId="10288"/>
    <cellStyle name="RowTitles1-Detail 3 2 2 4 6 3_Tertiary Salaries Survey" xfId="10289"/>
    <cellStyle name="RowTitles1-Detail 3 2 2 4 6 4" xfId="10290"/>
    <cellStyle name="RowTitles1-Detail 3 2 2 4 6 4 2" xfId="10291"/>
    <cellStyle name="RowTitles1-Detail 3 2 2 4 6 4_Tertiary Salaries Survey" xfId="10292"/>
    <cellStyle name="RowTitles1-Detail 3 2 2 4 6 5" xfId="10293"/>
    <cellStyle name="RowTitles1-Detail 3 2 2 4 6_Tertiary Salaries Survey" xfId="10294"/>
    <cellStyle name="RowTitles1-Detail 3 2 2 4 7" xfId="10295"/>
    <cellStyle name="RowTitles1-Detail 3 2 2 4 7 2" xfId="10296"/>
    <cellStyle name="RowTitles1-Detail 3 2 2 4 7 2 2" xfId="10297"/>
    <cellStyle name="RowTitles1-Detail 3 2 2 4 7 2_Tertiary Salaries Survey" xfId="10298"/>
    <cellStyle name="RowTitles1-Detail 3 2 2 4 7 3" xfId="10299"/>
    <cellStyle name="RowTitles1-Detail 3 2 2 4 7_Tertiary Salaries Survey" xfId="10300"/>
    <cellStyle name="RowTitles1-Detail 3 2 2 4 8" xfId="10301"/>
    <cellStyle name="RowTitles1-Detail 3 2 2 4 9" xfId="10302"/>
    <cellStyle name="RowTitles1-Detail 3 2 2 4_STUD aligned by INSTIT" xfId="10303"/>
    <cellStyle name="RowTitles1-Detail 3 2 2 5" xfId="10304"/>
    <cellStyle name="RowTitles1-Detail 3 2 2 5 2" xfId="10305"/>
    <cellStyle name="RowTitles1-Detail 3 2 2 5 2 2" xfId="10306"/>
    <cellStyle name="RowTitles1-Detail 3 2 2 5 2 2 2" xfId="10307"/>
    <cellStyle name="RowTitles1-Detail 3 2 2 5 2 2_Tertiary Salaries Survey" xfId="10308"/>
    <cellStyle name="RowTitles1-Detail 3 2 2 5 2 3" xfId="10309"/>
    <cellStyle name="RowTitles1-Detail 3 2 2 5 2_Tertiary Salaries Survey" xfId="10310"/>
    <cellStyle name="RowTitles1-Detail 3 2 2 5 3" xfId="10311"/>
    <cellStyle name="RowTitles1-Detail 3 2 2 5 3 2" xfId="10312"/>
    <cellStyle name="RowTitles1-Detail 3 2 2 5 3 2 2" xfId="10313"/>
    <cellStyle name="RowTitles1-Detail 3 2 2 5 3 2_Tertiary Salaries Survey" xfId="10314"/>
    <cellStyle name="RowTitles1-Detail 3 2 2 5 3 3" xfId="10315"/>
    <cellStyle name="RowTitles1-Detail 3 2 2 5 3_Tertiary Salaries Survey" xfId="10316"/>
    <cellStyle name="RowTitles1-Detail 3 2 2 5 4" xfId="10317"/>
    <cellStyle name="RowTitles1-Detail 3 2 2 5 5" xfId="10318"/>
    <cellStyle name="RowTitles1-Detail 3 2 2 5 5 2" xfId="10319"/>
    <cellStyle name="RowTitles1-Detail 3 2 2 5 5_Tertiary Salaries Survey" xfId="10320"/>
    <cellStyle name="RowTitles1-Detail 3 2 2 5 6" xfId="10321"/>
    <cellStyle name="RowTitles1-Detail 3 2 2 5_Tertiary Salaries Survey" xfId="10322"/>
    <cellStyle name="RowTitles1-Detail 3 2 2 6" xfId="10323"/>
    <cellStyle name="RowTitles1-Detail 3 2 2 6 2" xfId="10324"/>
    <cellStyle name="RowTitles1-Detail 3 2 2 6 2 2" xfId="10325"/>
    <cellStyle name="RowTitles1-Detail 3 2 2 6 2 2 2" xfId="10326"/>
    <cellStyle name="RowTitles1-Detail 3 2 2 6 2 2_Tertiary Salaries Survey" xfId="10327"/>
    <cellStyle name="RowTitles1-Detail 3 2 2 6 2 3" xfId="10328"/>
    <cellStyle name="RowTitles1-Detail 3 2 2 6 2_Tertiary Salaries Survey" xfId="10329"/>
    <cellStyle name="RowTitles1-Detail 3 2 2 6 3" xfId="10330"/>
    <cellStyle name="RowTitles1-Detail 3 2 2 6 3 2" xfId="10331"/>
    <cellStyle name="RowTitles1-Detail 3 2 2 6 3 2 2" xfId="10332"/>
    <cellStyle name="RowTitles1-Detail 3 2 2 6 3 2_Tertiary Salaries Survey" xfId="10333"/>
    <cellStyle name="RowTitles1-Detail 3 2 2 6 3 3" xfId="10334"/>
    <cellStyle name="RowTitles1-Detail 3 2 2 6 3_Tertiary Salaries Survey" xfId="10335"/>
    <cellStyle name="RowTitles1-Detail 3 2 2 6 4" xfId="10336"/>
    <cellStyle name="RowTitles1-Detail 3 2 2 6 5" xfId="10337"/>
    <cellStyle name="RowTitles1-Detail 3 2 2 6_Tertiary Salaries Survey" xfId="10338"/>
    <cellStyle name="RowTitles1-Detail 3 2 2 7" xfId="10339"/>
    <cellStyle name="RowTitles1-Detail 3 2 2 7 2" xfId="10340"/>
    <cellStyle name="RowTitles1-Detail 3 2 2 7 2 2" xfId="10341"/>
    <cellStyle name="RowTitles1-Detail 3 2 2 7 2 2 2" xfId="10342"/>
    <cellStyle name="RowTitles1-Detail 3 2 2 7 2 2_Tertiary Salaries Survey" xfId="10343"/>
    <cellStyle name="RowTitles1-Detail 3 2 2 7 2 3" xfId="10344"/>
    <cellStyle name="RowTitles1-Detail 3 2 2 7 2_Tertiary Salaries Survey" xfId="10345"/>
    <cellStyle name="RowTitles1-Detail 3 2 2 7 3" xfId="10346"/>
    <cellStyle name="RowTitles1-Detail 3 2 2 7 3 2" xfId="10347"/>
    <cellStyle name="RowTitles1-Detail 3 2 2 7 3 2 2" xfId="10348"/>
    <cellStyle name="RowTitles1-Detail 3 2 2 7 3 2_Tertiary Salaries Survey" xfId="10349"/>
    <cellStyle name="RowTitles1-Detail 3 2 2 7 3 3" xfId="10350"/>
    <cellStyle name="RowTitles1-Detail 3 2 2 7 3_Tertiary Salaries Survey" xfId="10351"/>
    <cellStyle name="RowTitles1-Detail 3 2 2 7 4" xfId="10352"/>
    <cellStyle name="RowTitles1-Detail 3 2 2 7 5" xfId="10353"/>
    <cellStyle name="RowTitles1-Detail 3 2 2 7 5 2" xfId="10354"/>
    <cellStyle name="RowTitles1-Detail 3 2 2 7 5_Tertiary Salaries Survey" xfId="10355"/>
    <cellStyle name="RowTitles1-Detail 3 2 2 7 6" xfId="10356"/>
    <cellStyle name="RowTitles1-Detail 3 2 2 7_Tertiary Salaries Survey" xfId="10357"/>
    <cellStyle name="RowTitles1-Detail 3 2 2 8" xfId="10358"/>
    <cellStyle name="RowTitles1-Detail 3 2 2 8 2" xfId="10359"/>
    <cellStyle name="RowTitles1-Detail 3 2 2 8 2 2" xfId="10360"/>
    <cellStyle name="RowTitles1-Detail 3 2 2 8 2 2 2" xfId="10361"/>
    <cellStyle name="RowTitles1-Detail 3 2 2 8 2 2_Tertiary Salaries Survey" xfId="10362"/>
    <cellStyle name="RowTitles1-Detail 3 2 2 8 2 3" xfId="10363"/>
    <cellStyle name="RowTitles1-Detail 3 2 2 8 2_Tertiary Salaries Survey" xfId="10364"/>
    <cellStyle name="RowTitles1-Detail 3 2 2 8 3" xfId="10365"/>
    <cellStyle name="RowTitles1-Detail 3 2 2 8 3 2" xfId="10366"/>
    <cellStyle name="RowTitles1-Detail 3 2 2 8 3 2 2" xfId="10367"/>
    <cellStyle name="RowTitles1-Detail 3 2 2 8 3 2_Tertiary Salaries Survey" xfId="10368"/>
    <cellStyle name="RowTitles1-Detail 3 2 2 8 3 3" xfId="10369"/>
    <cellStyle name="RowTitles1-Detail 3 2 2 8 3_Tertiary Salaries Survey" xfId="10370"/>
    <cellStyle name="RowTitles1-Detail 3 2 2 8 4" xfId="10371"/>
    <cellStyle name="RowTitles1-Detail 3 2 2 8 4 2" xfId="10372"/>
    <cellStyle name="RowTitles1-Detail 3 2 2 8 4_Tertiary Salaries Survey" xfId="10373"/>
    <cellStyle name="RowTitles1-Detail 3 2 2 8 5" xfId="10374"/>
    <cellStyle name="RowTitles1-Detail 3 2 2 8_Tertiary Salaries Survey" xfId="10375"/>
    <cellStyle name="RowTitles1-Detail 3 2 2 9" xfId="10376"/>
    <cellStyle name="RowTitles1-Detail 3 2 2 9 2" xfId="10377"/>
    <cellStyle name="RowTitles1-Detail 3 2 2 9 2 2" xfId="10378"/>
    <cellStyle name="RowTitles1-Detail 3 2 2 9 2 2 2" xfId="10379"/>
    <cellStyle name="RowTitles1-Detail 3 2 2 9 2 2_Tertiary Salaries Survey" xfId="10380"/>
    <cellStyle name="RowTitles1-Detail 3 2 2 9 2 3" xfId="10381"/>
    <cellStyle name="RowTitles1-Detail 3 2 2 9 2_Tertiary Salaries Survey" xfId="10382"/>
    <cellStyle name="RowTitles1-Detail 3 2 2 9 3" xfId="10383"/>
    <cellStyle name="RowTitles1-Detail 3 2 2 9 3 2" xfId="10384"/>
    <cellStyle name="RowTitles1-Detail 3 2 2 9 3 2 2" xfId="10385"/>
    <cellStyle name="RowTitles1-Detail 3 2 2 9 3 2_Tertiary Salaries Survey" xfId="10386"/>
    <cellStyle name="RowTitles1-Detail 3 2 2 9 3 3" xfId="10387"/>
    <cellStyle name="RowTitles1-Detail 3 2 2 9 3_Tertiary Salaries Survey" xfId="10388"/>
    <cellStyle name="RowTitles1-Detail 3 2 2 9 4" xfId="10389"/>
    <cellStyle name="RowTitles1-Detail 3 2 2 9 4 2" xfId="10390"/>
    <cellStyle name="RowTitles1-Detail 3 2 2 9 4_Tertiary Salaries Survey" xfId="10391"/>
    <cellStyle name="RowTitles1-Detail 3 2 2 9 5" xfId="10392"/>
    <cellStyle name="RowTitles1-Detail 3 2 2 9_Tertiary Salaries Survey" xfId="10393"/>
    <cellStyle name="RowTitles1-Detail 3 2 2_STUD aligned by INSTIT" xfId="10394"/>
    <cellStyle name="RowTitles1-Detail 3 2 3" xfId="10395"/>
    <cellStyle name="RowTitles1-Detail 3 2 3 2" xfId="10396"/>
    <cellStyle name="RowTitles1-Detail 3 2 3 2 2" xfId="10397"/>
    <cellStyle name="RowTitles1-Detail 3 2 3 2 2 2" xfId="10398"/>
    <cellStyle name="RowTitles1-Detail 3 2 3 2 2 2 2" xfId="10399"/>
    <cellStyle name="RowTitles1-Detail 3 2 3 2 2 2_Tertiary Salaries Survey" xfId="10400"/>
    <cellStyle name="RowTitles1-Detail 3 2 3 2 2 3" xfId="10401"/>
    <cellStyle name="RowTitles1-Detail 3 2 3 2 2_Tertiary Salaries Survey" xfId="10402"/>
    <cellStyle name="RowTitles1-Detail 3 2 3 2 3" xfId="10403"/>
    <cellStyle name="RowTitles1-Detail 3 2 3 2 3 2" xfId="10404"/>
    <cellStyle name="RowTitles1-Detail 3 2 3 2 3 2 2" xfId="10405"/>
    <cellStyle name="RowTitles1-Detail 3 2 3 2 3 2_Tertiary Salaries Survey" xfId="10406"/>
    <cellStyle name="RowTitles1-Detail 3 2 3 2 3 3" xfId="10407"/>
    <cellStyle name="RowTitles1-Detail 3 2 3 2 3_Tertiary Salaries Survey" xfId="10408"/>
    <cellStyle name="RowTitles1-Detail 3 2 3 2 4" xfId="10409"/>
    <cellStyle name="RowTitles1-Detail 3 2 3 2 5" xfId="10410"/>
    <cellStyle name="RowTitles1-Detail 3 2 3 2_Tertiary Salaries Survey" xfId="10411"/>
    <cellStyle name="RowTitles1-Detail 3 2 3 3" xfId="10412"/>
    <cellStyle name="RowTitles1-Detail 3 2 3 3 2" xfId="10413"/>
    <cellStyle name="RowTitles1-Detail 3 2 3 3 2 2" xfId="10414"/>
    <cellStyle name="RowTitles1-Detail 3 2 3 3 2 2 2" xfId="10415"/>
    <cellStyle name="RowTitles1-Detail 3 2 3 3 2 2_Tertiary Salaries Survey" xfId="10416"/>
    <cellStyle name="RowTitles1-Detail 3 2 3 3 2 3" xfId="10417"/>
    <cellStyle name="RowTitles1-Detail 3 2 3 3 2_Tertiary Salaries Survey" xfId="10418"/>
    <cellStyle name="RowTitles1-Detail 3 2 3 3 3" xfId="10419"/>
    <cellStyle name="RowTitles1-Detail 3 2 3 3 3 2" xfId="10420"/>
    <cellStyle name="RowTitles1-Detail 3 2 3 3 3 2 2" xfId="10421"/>
    <cellStyle name="RowTitles1-Detail 3 2 3 3 3 2_Tertiary Salaries Survey" xfId="10422"/>
    <cellStyle name="RowTitles1-Detail 3 2 3 3 3 3" xfId="10423"/>
    <cellStyle name="RowTitles1-Detail 3 2 3 3 3_Tertiary Salaries Survey" xfId="10424"/>
    <cellStyle name="RowTitles1-Detail 3 2 3 3 4" xfId="10425"/>
    <cellStyle name="RowTitles1-Detail 3 2 3 3 5" xfId="10426"/>
    <cellStyle name="RowTitles1-Detail 3 2 3 3 5 2" xfId="10427"/>
    <cellStyle name="RowTitles1-Detail 3 2 3 3 5_Tertiary Salaries Survey" xfId="10428"/>
    <cellStyle name="RowTitles1-Detail 3 2 3 3 6" xfId="10429"/>
    <cellStyle name="RowTitles1-Detail 3 2 3 3_Tertiary Salaries Survey" xfId="10430"/>
    <cellStyle name="RowTitles1-Detail 3 2 3 4" xfId="10431"/>
    <cellStyle name="RowTitles1-Detail 3 2 3 4 2" xfId="10432"/>
    <cellStyle name="RowTitles1-Detail 3 2 3 4 2 2" xfId="10433"/>
    <cellStyle name="RowTitles1-Detail 3 2 3 4 2 2 2" xfId="10434"/>
    <cellStyle name="RowTitles1-Detail 3 2 3 4 2 2_Tertiary Salaries Survey" xfId="10435"/>
    <cellStyle name="RowTitles1-Detail 3 2 3 4 2 3" xfId="10436"/>
    <cellStyle name="RowTitles1-Detail 3 2 3 4 2_Tertiary Salaries Survey" xfId="10437"/>
    <cellStyle name="RowTitles1-Detail 3 2 3 4 3" xfId="10438"/>
    <cellStyle name="RowTitles1-Detail 3 2 3 4 3 2" xfId="10439"/>
    <cellStyle name="RowTitles1-Detail 3 2 3 4 3 2 2" xfId="10440"/>
    <cellStyle name="RowTitles1-Detail 3 2 3 4 3 2_Tertiary Salaries Survey" xfId="10441"/>
    <cellStyle name="RowTitles1-Detail 3 2 3 4 3 3" xfId="10442"/>
    <cellStyle name="RowTitles1-Detail 3 2 3 4 3_Tertiary Salaries Survey" xfId="10443"/>
    <cellStyle name="RowTitles1-Detail 3 2 3 4 4" xfId="10444"/>
    <cellStyle name="RowTitles1-Detail 3 2 3 4 4 2" xfId="10445"/>
    <cellStyle name="RowTitles1-Detail 3 2 3 4 4_Tertiary Salaries Survey" xfId="10446"/>
    <cellStyle name="RowTitles1-Detail 3 2 3 4 5" xfId="10447"/>
    <cellStyle name="RowTitles1-Detail 3 2 3 4_Tertiary Salaries Survey" xfId="10448"/>
    <cellStyle name="RowTitles1-Detail 3 2 3 5" xfId="10449"/>
    <cellStyle name="RowTitles1-Detail 3 2 3 5 2" xfId="10450"/>
    <cellStyle name="RowTitles1-Detail 3 2 3 5 2 2" xfId="10451"/>
    <cellStyle name="RowTitles1-Detail 3 2 3 5 2 2 2" xfId="10452"/>
    <cellStyle name="RowTitles1-Detail 3 2 3 5 2 2_Tertiary Salaries Survey" xfId="10453"/>
    <cellStyle name="RowTitles1-Detail 3 2 3 5 2 3" xfId="10454"/>
    <cellStyle name="RowTitles1-Detail 3 2 3 5 2_Tertiary Salaries Survey" xfId="10455"/>
    <cellStyle name="RowTitles1-Detail 3 2 3 5 3" xfId="10456"/>
    <cellStyle name="RowTitles1-Detail 3 2 3 5 3 2" xfId="10457"/>
    <cellStyle name="RowTitles1-Detail 3 2 3 5 3 2 2" xfId="10458"/>
    <cellStyle name="RowTitles1-Detail 3 2 3 5 3 2_Tertiary Salaries Survey" xfId="10459"/>
    <cellStyle name="RowTitles1-Detail 3 2 3 5 3 3" xfId="10460"/>
    <cellStyle name="RowTitles1-Detail 3 2 3 5 3_Tertiary Salaries Survey" xfId="10461"/>
    <cellStyle name="RowTitles1-Detail 3 2 3 5 4" xfId="10462"/>
    <cellStyle name="RowTitles1-Detail 3 2 3 5 4 2" xfId="10463"/>
    <cellStyle name="RowTitles1-Detail 3 2 3 5 4_Tertiary Salaries Survey" xfId="10464"/>
    <cellStyle name="RowTitles1-Detail 3 2 3 5 5" xfId="10465"/>
    <cellStyle name="RowTitles1-Detail 3 2 3 5_Tertiary Salaries Survey" xfId="10466"/>
    <cellStyle name="RowTitles1-Detail 3 2 3 6" xfId="10467"/>
    <cellStyle name="RowTitles1-Detail 3 2 3 6 2" xfId="10468"/>
    <cellStyle name="RowTitles1-Detail 3 2 3 6 2 2" xfId="10469"/>
    <cellStyle name="RowTitles1-Detail 3 2 3 6 2 2 2" xfId="10470"/>
    <cellStyle name="RowTitles1-Detail 3 2 3 6 2 2_Tertiary Salaries Survey" xfId="10471"/>
    <cellStyle name="RowTitles1-Detail 3 2 3 6 2 3" xfId="10472"/>
    <cellStyle name="RowTitles1-Detail 3 2 3 6 2_Tertiary Salaries Survey" xfId="10473"/>
    <cellStyle name="RowTitles1-Detail 3 2 3 6 3" xfId="10474"/>
    <cellStyle name="RowTitles1-Detail 3 2 3 6 3 2" xfId="10475"/>
    <cellStyle name="RowTitles1-Detail 3 2 3 6 3 2 2" xfId="10476"/>
    <cellStyle name="RowTitles1-Detail 3 2 3 6 3 2_Tertiary Salaries Survey" xfId="10477"/>
    <cellStyle name="RowTitles1-Detail 3 2 3 6 3 3" xfId="10478"/>
    <cellStyle name="RowTitles1-Detail 3 2 3 6 3_Tertiary Salaries Survey" xfId="10479"/>
    <cellStyle name="RowTitles1-Detail 3 2 3 6 4" xfId="10480"/>
    <cellStyle name="RowTitles1-Detail 3 2 3 6 4 2" xfId="10481"/>
    <cellStyle name="RowTitles1-Detail 3 2 3 6 4_Tertiary Salaries Survey" xfId="10482"/>
    <cellStyle name="RowTitles1-Detail 3 2 3 6 5" xfId="10483"/>
    <cellStyle name="RowTitles1-Detail 3 2 3 6_Tertiary Salaries Survey" xfId="10484"/>
    <cellStyle name="RowTitles1-Detail 3 2 3 7" xfId="10485"/>
    <cellStyle name="RowTitles1-Detail 3 2 3 7 2" xfId="10486"/>
    <cellStyle name="RowTitles1-Detail 3 2 3 7 2 2" xfId="10487"/>
    <cellStyle name="RowTitles1-Detail 3 2 3 7 2_Tertiary Salaries Survey" xfId="10488"/>
    <cellStyle name="RowTitles1-Detail 3 2 3 7 3" xfId="10489"/>
    <cellStyle name="RowTitles1-Detail 3 2 3 7_Tertiary Salaries Survey" xfId="10490"/>
    <cellStyle name="RowTitles1-Detail 3 2 3 8" xfId="10491"/>
    <cellStyle name="RowTitles1-Detail 3 2 3 9" xfId="10492"/>
    <cellStyle name="RowTitles1-Detail 3 2 3_STUD aligned by INSTIT" xfId="10493"/>
    <cellStyle name="RowTitles1-Detail 3 2 4" xfId="10494"/>
    <cellStyle name="RowTitles1-Detail 3 2 4 2" xfId="10495"/>
    <cellStyle name="RowTitles1-Detail 3 2 4 2 2" xfId="10496"/>
    <cellStyle name="RowTitles1-Detail 3 2 4 2 2 2" xfId="10497"/>
    <cellStyle name="RowTitles1-Detail 3 2 4 2 2 2 2" xfId="10498"/>
    <cellStyle name="RowTitles1-Detail 3 2 4 2 2 2_Tertiary Salaries Survey" xfId="10499"/>
    <cellStyle name="RowTitles1-Detail 3 2 4 2 2 3" xfId="10500"/>
    <cellStyle name="RowTitles1-Detail 3 2 4 2 2_Tertiary Salaries Survey" xfId="10501"/>
    <cellStyle name="RowTitles1-Detail 3 2 4 2 3" xfId="10502"/>
    <cellStyle name="RowTitles1-Detail 3 2 4 2 3 2" xfId="10503"/>
    <cellStyle name="RowTitles1-Detail 3 2 4 2 3 2 2" xfId="10504"/>
    <cellStyle name="RowTitles1-Detail 3 2 4 2 3 2_Tertiary Salaries Survey" xfId="10505"/>
    <cellStyle name="RowTitles1-Detail 3 2 4 2 3 3" xfId="10506"/>
    <cellStyle name="RowTitles1-Detail 3 2 4 2 3_Tertiary Salaries Survey" xfId="10507"/>
    <cellStyle name="RowTitles1-Detail 3 2 4 2 4" xfId="10508"/>
    <cellStyle name="RowTitles1-Detail 3 2 4 2 5" xfId="10509"/>
    <cellStyle name="RowTitles1-Detail 3 2 4 2 5 2" xfId="10510"/>
    <cellStyle name="RowTitles1-Detail 3 2 4 2 5_Tertiary Salaries Survey" xfId="10511"/>
    <cellStyle name="RowTitles1-Detail 3 2 4 2 6" xfId="10512"/>
    <cellStyle name="RowTitles1-Detail 3 2 4 2_Tertiary Salaries Survey" xfId="10513"/>
    <cellStyle name="RowTitles1-Detail 3 2 4 3" xfId="10514"/>
    <cellStyle name="RowTitles1-Detail 3 2 4 3 2" xfId="10515"/>
    <cellStyle name="RowTitles1-Detail 3 2 4 3 2 2" xfId="10516"/>
    <cellStyle name="RowTitles1-Detail 3 2 4 3 2 2 2" xfId="10517"/>
    <cellStyle name="RowTitles1-Detail 3 2 4 3 2 2_Tertiary Salaries Survey" xfId="10518"/>
    <cellStyle name="RowTitles1-Detail 3 2 4 3 2 3" xfId="10519"/>
    <cellStyle name="RowTitles1-Detail 3 2 4 3 2_Tertiary Salaries Survey" xfId="10520"/>
    <cellStyle name="RowTitles1-Detail 3 2 4 3 3" xfId="10521"/>
    <cellStyle name="RowTitles1-Detail 3 2 4 3 3 2" xfId="10522"/>
    <cellStyle name="RowTitles1-Detail 3 2 4 3 3 2 2" xfId="10523"/>
    <cellStyle name="RowTitles1-Detail 3 2 4 3 3 2_Tertiary Salaries Survey" xfId="10524"/>
    <cellStyle name="RowTitles1-Detail 3 2 4 3 3 3" xfId="10525"/>
    <cellStyle name="RowTitles1-Detail 3 2 4 3 3_Tertiary Salaries Survey" xfId="10526"/>
    <cellStyle name="RowTitles1-Detail 3 2 4 3 4" xfId="10527"/>
    <cellStyle name="RowTitles1-Detail 3 2 4 3 5" xfId="10528"/>
    <cellStyle name="RowTitles1-Detail 3 2 4 3_Tertiary Salaries Survey" xfId="10529"/>
    <cellStyle name="RowTitles1-Detail 3 2 4 4" xfId="10530"/>
    <cellStyle name="RowTitles1-Detail 3 2 4 4 2" xfId="10531"/>
    <cellStyle name="RowTitles1-Detail 3 2 4 4 2 2" xfId="10532"/>
    <cellStyle name="RowTitles1-Detail 3 2 4 4 2 2 2" xfId="10533"/>
    <cellStyle name="RowTitles1-Detail 3 2 4 4 2 2_Tertiary Salaries Survey" xfId="10534"/>
    <cellStyle name="RowTitles1-Detail 3 2 4 4 2 3" xfId="10535"/>
    <cellStyle name="RowTitles1-Detail 3 2 4 4 2_Tertiary Salaries Survey" xfId="10536"/>
    <cellStyle name="RowTitles1-Detail 3 2 4 4 3" xfId="10537"/>
    <cellStyle name="RowTitles1-Detail 3 2 4 4 3 2" xfId="10538"/>
    <cellStyle name="RowTitles1-Detail 3 2 4 4 3 2 2" xfId="10539"/>
    <cellStyle name="RowTitles1-Detail 3 2 4 4 3 2_Tertiary Salaries Survey" xfId="10540"/>
    <cellStyle name="RowTitles1-Detail 3 2 4 4 3 3" xfId="10541"/>
    <cellStyle name="RowTitles1-Detail 3 2 4 4 3_Tertiary Salaries Survey" xfId="10542"/>
    <cellStyle name="RowTitles1-Detail 3 2 4 4 4" xfId="10543"/>
    <cellStyle name="RowTitles1-Detail 3 2 4 4 4 2" xfId="10544"/>
    <cellStyle name="RowTitles1-Detail 3 2 4 4 4_Tertiary Salaries Survey" xfId="10545"/>
    <cellStyle name="RowTitles1-Detail 3 2 4 4 5" xfId="10546"/>
    <cellStyle name="RowTitles1-Detail 3 2 4 4_Tertiary Salaries Survey" xfId="10547"/>
    <cellStyle name="RowTitles1-Detail 3 2 4 5" xfId="10548"/>
    <cellStyle name="RowTitles1-Detail 3 2 4 5 2" xfId="10549"/>
    <cellStyle name="RowTitles1-Detail 3 2 4 5 2 2" xfId="10550"/>
    <cellStyle name="RowTitles1-Detail 3 2 4 5 2 2 2" xfId="10551"/>
    <cellStyle name="RowTitles1-Detail 3 2 4 5 2 2_Tertiary Salaries Survey" xfId="10552"/>
    <cellStyle name="RowTitles1-Detail 3 2 4 5 2 3" xfId="10553"/>
    <cellStyle name="RowTitles1-Detail 3 2 4 5 2_Tertiary Salaries Survey" xfId="10554"/>
    <cellStyle name="RowTitles1-Detail 3 2 4 5 3" xfId="10555"/>
    <cellStyle name="RowTitles1-Detail 3 2 4 5 3 2" xfId="10556"/>
    <cellStyle name="RowTitles1-Detail 3 2 4 5 3 2 2" xfId="10557"/>
    <cellStyle name="RowTitles1-Detail 3 2 4 5 3 2_Tertiary Salaries Survey" xfId="10558"/>
    <cellStyle name="RowTitles1-Detail 3 2 4 5 3 3" xfId="10559"/>
    <cellStyle name="RowTitles1-Detail 3 2 4 5 3_Tertiary Salaries Survey" xfId="10560"/>
    <cellStyle name="RowTitles1-Detail 3 2 4 5 4" xfId="10561"/>
    <cellStyle name="RowTitles1-Detail 3 2 4 5 4 2" xfId="10562"/>
    <cellStyle name="RowTitles1-Detail 3 2 4 5 4_Tertiary Salaries Survey" xfId="10563"/>
    <cellStyle name="RowTitles1-Detail 3 2 4 5 5" xfId="10564"/>
    <cellStyle name="RowTitles1-Detail 3 2 4 5_Tertiary Salaries Survey" xfId="10565"/>
    <cellStyle name="RowTitles1-Detail 3 2 4 6" xfId="10566"/>
    <cellStyle name="RowTitles1-Detail 3 2 4 6 2" xfId="10567"/>
    <cellStyle name="RowTitles1-Detail 3 2 4 6 2 2" xfId="10568"/>
    <cellStyle name="RowTitles1-Detail 3 2 4 6 2 2 2" xfId="10569"/>
    <cellStyle name="RowTitles1-Detail 3 2 4 6 2 2_Tertiary Salaries Survey" xfId="10570"/>
    <cellStyle name="RowTitles1-Detail 3 2 4 6 2 3" xfId="10571"/>
    <cellStyle name="RowTitles1-Detail 3 2 4 6 2_Tertiary Salaries Survey" xfId="10572"/>
    <cellStyle name="RowTitles1-Detail 3 2 4 6 3" xfId="10573"/>
    <cellStyle name="RowTitles1-Detail 3 2 4 6 3 2" xfId="10574"/>
    <cellStyle name="RowTitles1-Detail 3 2 4 6 3 2 2" xfId="10575"/>
    <cellStyle name="RowTitles1-Detail 3 2 4 6 3 2_Tertiary Salaries Survey" xfId="10576"/>
    <cellStyle name="RowTitles1-Detail 3 2 4 6 3 3" xfId="10577"/>
    <cellStyle name="RowTitles1-Detail 3 2 4 6 3_Tertiary Salaries Survey" xfId="10578"/>
    <cellStyle name="RowTitles1-Detail 3 2 4 6 4" xfId="10579"/>
    <cellStyle name="RowTitles1-Detail 3 2 4 6 4 2" xfId="10580"/>
    <cellStyle name="RowTitles1-Detail 3 2 4 6 4_Tertiary Salaries Survey" xfId="10581"/>
    <cellStyle name="RowTitles1-Detail 3 2 4 6 5" xfId="10582"/>
    <cellStyle name="RowTitles1-Detail 3 2 4 6_Tertiary Salaries Survey" xfId="10583"/>
    <cellStyle name="RowTitles1-Detail 3 2 4 7" xfId="10584"/>
    <cellStyle name="RowTitles1-Detail 3 2 4 7 2" xfId="10585"/>
    <cellStyle name="RowTitles1-Detail 3 2 4 7 2 2" xfId="10586"/>
    <cellStyle name="RowTitles1-Detail 3 2 4 7 2_Tertiary Salaries Survey" xfId="10587"/>
    <cellStyle name="RowTitles1-Detail 3 2 4 7 3" xfId="10588"/>
    <cellStyle name="RowTitles1-Detail 3 2 4 7_Tertiary Salaries Survey" xfId="10589"/>
    <cellStyle name="RowTitles1-Detail 3 2 4 8" xfId="10590"/>
    <cellStyle name="RowTitles1-Detail 3 2 4 8 2" xfId="10591"/>
    <cellStyle name="RowTitles1-Detail 3 2 4 8 2 2" xfId="10592"/>
    <cellStyle name="RowTitles1-Detail 3 2 4 8 2_Tertiary Salaries Survey" xfId="10593"/>
    <cellStyle name="RowTitles1-Detail 3 2 4 8 3" xfId="10594"/>
    <cellStyle name="RowTitles1-Detail 3 2 4 8_Tertiary Salaries Survey" xfId="10595"/>
    <cellStyle name="RowTitles1-Detail 3 2 4 9" xfId="10596"/>
    <cellStyle name="RowTitles1-Detail 3 2 4_STUD aligned by INSTIT" xfId="10597"/>
    <cellStyle name="RowTitles1-Detail 3 2 5" xfId="10598"/>
    <cellStyle name="RowTitles1-Detail 3 2 5 2" xfId="10599"/>
    <cellStyle name="RowTitles1-Detail 3 2 5 2 2" xfId="10600"/>
    <cellStyle name="RowTitles1-Detail 3 2 5 2 2 2" xfId="10601"/>
    <cellStyle name="RowTitles1-Detail 3 2 5 2 2 2 2" xfId="10602"/>
    <cellStyle name="RowTitles1-Detail 3 2 5 2 2 2_Tertiary Salaries Survey" xfId="10603"/>
    <cellStyle name="RowTitles1-Detail 3 2 5 2 2 3" xfId="10604"/>
    <cellStyle name="RowTitles1-Detail 3 2 5 2 2_Tertiary Salaries Survey" xfId="10605"/>
    <cellStyle name="RowTitles1-Detail 3 2 5 2 3" xfId="10606"/>
    <cellStyle name="RowTitles1-Detail 3 2 5 2 3 2" xfId="10607"/>
    <cellStyle name="RowTitles1-Detail 3 2 5 2 3 2 2" xfId="10608"/>
    <cellStyle name="RowTitles1-Detail 3 2 5 2 3 2_Tertiary Salaries Survey" xfId="10609"/>
    <cellStyle name="RowTitles1-Detail 3 2 5 2 3 3" xfId="10610"/>
    <cellStyle name="RowTitles1-Detail 3 2 5 2 3_Tertiary Salaries Survey" xfId="10611"/>
    <cellStyle name="RowTitles1-Detail 3 2 5 2 4" xfId="10612"/>
    <cellStyle name="RowTitles1-Detail 3 2 5 2 5" xfId="10613"/>
    <cellStyle name="RowTitles1-Detail 3 2 5 2 5 2" xfId="10614"/>
    <cellStyle name="RowTitles1-Detail 3 2 5 2 5_Tertiary Salaries Survey" xfId="10615"/>
    <cellStyle name="RowTitles1-Detail 3 2 5 2 6" xfId="10616"/>
    <cellStyle name="RowTitles1-Detail 3 2 5 2_Tertiary Salaries Survey" xfId="10617"/>
    <cellStyle name="RowTitles1-Detail 3 2 5 3" xfId="10618"/>
    <cellStyle name="RowTitles1-Detail 3 2 5 3 2" xfId="10619"/>
    <cellStyle name="RowTitles1-Detail 3 2 5 3 2 2" xfId="10620"/>
    <cellStyle name="RowTitles1-Detail 3 2 5 3 2 2 2" xfId="10621"/>
    <cellStyle name="RowTitles1-Detail 3 2 5 3 2 2_Tertiary Salaries Survey" xfId="10622"/>
    <cellStyle name="RowTitles1-Detail 3 2 5 3 2 3" xfId="10623"/>
    <cellStyle name="RowTitles1-Detail 3 2 5 3 2_Tertiary Salaries Survey" xfId="10624"/>
    <cellStyle name="RowTitles1-Detail 3 2 5 3 3" xfId="10625"/>
    <cellStyle name="RowTitles1-Detail 3 2 5 3 3 2" xfId="10626"/>
    <cellStyle name="RowTitles1-Detail 3 2 5 3 3 2 2" xfId="10627"/>
    <cellStyle name="RowTitles1-Detail 3 2 5 3 3 2_Tertiary Salaries Survey" xfId="10628"/>
    <cellStyle name="RowTitles1-Detail 3 2 5 3 3 3" xfId="10629"/>
    <cellStyle name="RowTitles1-Detail 3 2 5 3 3_Tertiary Salaries Survey" xfId="10630"/>
    <cellStyle name="RowTitles1-Detail 3 2 5 3 4" xfId="10631"/>
    <cellStyle name="RowTitles1-Detail 3 2 5 3 5" xfId="10632"/>
    <cellStyle name="RowTitles1-Detail 3 2 5 3_Tertiary Salaries Survey" xfId="10633"/>
    <cellStyle name="RowTitles1-Detail 3 2 5 4" xfId="10634"/>
    <cellStyle name="RowTitles1-Detail 3 2 5 4 2" xfId="10635"/>
    <cellStyle name="RowTitles1-Detail 3 2 5 4 2 2" xfId="10636"/>
    <cellStyle name="RowTitles1-Detail 3 2 5 4 2 2 2" xfId="10637"/>
    <cellStyle name="RowTitles1-Detail 3 2 5 4 2 2_Tertiary Salaries Survey" xfId="10638"/>
    <cellStyle name="RowTitles1-Detail 3 2 5 4 2 3" xfId="10639"/>
    <cellStyle name="RowTitles1-Detail 3 2 5 4 2_Tertiary Salaries Survey" xfId="10640"/>
    <cellStyle name="RowTitles1-Detail 3 2 5 4 3" xfId="10641"/>
    <cellStyle name="RowTitles1-Detail 3 2 5 4 3 2" xfId="10642"/>
    <cellStyle name="RowTitles1-Detail 3 2 5 4 3 2 2" xfId="10643"/>
    <cellStyle name="RowTitles1-Detail 3 2 5 4 3 2_Tertiary Salaries Survey" xfId="10644"/>
    <cellStyle name="RowTitles1-Detail 3 2 5 4 3 3" xfId="10645"/>
    <cellStyle name="RowTitles1-Detail 3 2 5 4 3_Tertiary Salaries Survey" xfId="10646"/>
    <cellStyle name="RowTitles1-Detail 3 2 5 4 4" xfId="10647"/>
    <cellStyle name="RowTitles1-Detail 3 2 5 4 5" xfId="10648"/>
    <cellStyle name="RowTitles1-Detail 3 2 5 4 5 2" xfId="10649"/>
    <cellStyle name="RowTitles1-Detail 3 2 5 4 5_Tertiary Salaries Survey" xfId="10650"/>
    <cellStyle name="RowTitles1-Detail 3 2 5 4 6" xfId="10651"/>
    <cellStyle name="RowTitles1-Detail 3 2 5 4_Tertiary Salaries Survey" xfId="10652"/>
    <cellStyle name="RowTitles1-Detail 3 2 5 5" xfId="10653"/>
    <cellStyle name="RowTitles1-Detail 3 2 5 5 2" xfId="10654"/>
    <cellStyle name="RowTitles1-Detail 3 2 5 5 2 2" xfId="10655"/>
    <cellStyle name="RowTitles1-Detail 3 2 5 5 2 2 2" xfId="10656"/>
    <cellStyle name="RowTitles1-Detail 3 2 5 5 2 2_Tertiary Salaries Survey" xfId="10657"/>
    <cellStyle name="RowTitles1-Detail 3 2 5 5 2 3" xfId="10658"/>
    <cellStyle name="RowTitles1-Detail 3 2 5 5 2_Tertiary Salaries Survey" xfId="10659"/>
    <cellStyle name="RowTitles1-Detail 3 2 5 5 3" xfId="10660"/>
    <cellStyle name="RowTitles1-Detail 3 2 5 5 3 2" xfId="10661"/>
    <cellStyle name="RowTitles1-Detail 3 2 5 5 3 2 2" xfId="10662"/>
    <cellStyle name="RowTitles1-Detail 3 2 5 5 3 2_Tertiary Salaries Survey" xfId="10663"/>
    <cellStyle name="RowTitles1-Detail 3 2 5 5 3 3" xfId="10664"/>
    <cellStyle name="RowTitles1-Detail 3 2 5 5 3_Tertiary Salaries Survey" xfId="10665"/>
    <cellStyle name="RowTitles1-Detail 3 2 5 5 4" xfId="10666"/>
    <cellStyle name="RowTitles1-Detail 3 2 5 5 4 2" xfId="10667"/>
    <cellStyle name="RowTitles1-Detail 3 2 5 5 4_Tertiary Salaries Survey" xfId="10668"/>
    <cellStyle name="RowTitles1-Detail 3 2 5 5 5" xfId="10669"/>
    <cellStyle name="RowTitles1-Detail 3 2 5 5_Tertiary Salaries Survey" xfId="10670"/>
    <cellStyle name="RowTitles1-Detail 3 2 5 6" xfId="10671"/>
    <cellStyle name="RowTitles1-Detail 3 2 5 6 2" xfId="10672"/>
    <cellStyle name="RowTitles1-Detail 3 2 5 6 2 2" xfId="10673"/>
    <cellStyle name="RowTitles1-Detail 3 2 5 6 2 2 2" xfId="10674"/>
    <cellStyle name="RowTitles1-Detail 3 2 5 6 2 2_Tertiary Salaries Survey" xfId="10675"/>
    <cellStyle name="RowTitles1-Detail 3 2 5 6 2 3" xfId="10676"/>
    <cellStyle name="RowTitles1-Detail 3 2 5 6 2_Tertiary Salaries Survey" xfId="10677"/>
    <cellStyle name="RowTitles1-Detail 3 2 5 6 3" xfId="10678"/>
    <cellStyle name="RowTitles1-Detail 3 2 5 6 3 2" xfId="10679"/>
    <cellStyle name="RowTitles1-Detail 3 2 5 6 3 2 2" xfId="10680"/>
    <cellStyle name="RowTitles1-Detail 3 2 5 6 3 2_Tertiary Salaries Survey" xfId="10681"/>
    <cellStyle name="RowTitles1-Detail 3 2 5 6 3 3" xfId="10682"/>
    <cellStyle name="RowTitles1-Detail 3 2 5 6 3_Tertiary Salaries Survey" xfId="10683"/>
    <cellStyle name="RowTitles1-Detail 3 2 5 6 4" xfId="10684"/>
    <cellStyle name="RowTitles1-Detail 3 2 5 6 4 2" xfId="10685"/>
    <cellStyle name="RowTitles1-Detail 3 2 5 6 4_Tertiary Salaries Survey" xfId="10686"/>
    <cellStyle name="RowTitles1-Detail 3 2 5 6 5" xfId="10687"/>
    <cellStyle name="RowTitles1-Detail 3 2 5 6_Tertiary Salaries Survey" xfId="10688"/>
    <cellStyle name="RowTitles1-Detail 3 2 5 7" xfId="10689"/>
    <cellStyle name="RowTitles1-Detail 3 2 5 7 2" xfId="10690"/>
    <cellStyle name="RowTitles1-Detail 3 2 5 7 2 2" xfId="10691"/>
    <cellStyle name="RowTitles1-Detail 3 2 5 7 2_Tertiary Salaries Survey" xfId="10692"/>
    <cellStyle name="RowTitles1-Detail 3 2 5 7 3" xfId="10693"/>
    <cellStyle name="RowTitles1-Detail 3 2 5 7_Tertiary Salaries Survey" xfId="10694"/>
    <cellStyle name="RowTitles1-Detail 3 2 5 8" xfId="10695"/>
    <cellStyle name="RowTitles1-Detail 3 2 5 9" xfId="10696"/>
    <cellStyle name="RowTitles1-Detail 3 2 5_STUD aligned by INSTIT" xfId="10697"/>
    <cellStyle name="RowTitles1-Detail 3 2 6" xfId="10698"/>
    <cellStyle name="RowTitles1-Detail 3 2 6 2" xfId="10699"/>
    <cellStyle name="RowTitles1-Detail 3 2 6 2 2" xfId="10700"/>
    <cellStyle name="RowTitles1-Detail 3 2 6 2 2 2" xfId="10701"/>
    <cellStyle name="RowTitles1-Detail 3 2 6 2 2_Tertiary Salaries Survey" xfId="10702"/>
    <cellStyle name="RowTitles1-Detail 3 2 6 2 3" xfId="10703"/>
    <cellStyle name="RowTitles1-Detail 3 2 6 2_Tertiary Salaries Survey" xfId="10704"/>
    <cellStyle name="RowTitles1-Detail 3 2 6 3" xfId="10705"/>
    <cellStyle name="RowTitles1-Detail 3 2 6 3 2" xfId="10706"/>
    <cellStyle name="RowTitles1-Detail 3 2 6 3 2 2" xfId="10707"/>
    <cellStyle name="RowTitles1-Detail 3 2 6 3 2_Tertiary Salaries Survey" xfId="10708"/>
    <cellStyle name="RowTitles1-Detail 3 2 6 3 3" xfId="10709"/>
    <cellStyle name="RowTitles1-Detail 3 2 6 3_Tertiary Salaries Survey" xfId="10710"/>
    <cellStyle name="RowTitles1-Detail 3 2 6 4" xfId="10711"/>
    <cellStyle name="RowTitles1-Detail 3 2 6 5" xfId="10712"/>
    <cellStyle name="RowTitles1-Detail 3 2 6 5 2" xfId="10713"/>
    <cellStyle name="RowTitles1-Detail 3 2 6 5_Tertiary Salaries Survey" xfId="10714"/>
    <cellStyle name="RowTitles1-Detail 3 2 6 6" xfId="10715"/>
    <cellStyle name="RowTitles1-Detail 3 2 6_Tertiary Salaries Survey" xfId="10716"/>
    <cellStyle name="RowTitles1-Detail 3 2 7" xfId="10717"/>
    <cellStyle name="RowTitles1-Detail 3 2 7 2" xfId="10718"/>
    <cellStyle name="RowTitles1-Detail 3 2 7 2 2" xfId="10719"/>
    <cellStyle name="RowTitles1-Detail 3 2 7 2 2 2" xfId="10720"/>
    <cellStyle name="RowTitles1-Detail 3 2 7 2 2_Tertiary Salaries Survey" xfId="10721"/>
    <cellStyle name="RowTitles1-Detail 3 2 7 2 3" xfId="10722"/>
    <cellStyle name="RowTitles1-Detail 3 2 7 2_Tertiary Salaries Survey" xfId="10723"/>
    <cellStyle name="RowTitles1-Detail 3 2 7 3" xfId="10724"/>
    <cellStyle name="RowTitles1-Detail 3 2 7 3 2" xfId="10725"/>
    <cellStyle name="RowTitles1-Detail 3 2 7 3 2 2" xfId="10726"/>
    <cellStyle name="RowTitles1-Detail 3 2 7 3 2_Tertiary Salaries Survey" xfId="10727"/>
    <cellStyle name="RowTitles1-Detail 3 2 7 3 3" xfId="10728"/>
    <cellStyle name="RowTitles1-Detail 3 2 7 3_Tertiary Salaries Survey" xfId="10729"/>
    <cellStyle name="RowTitles1-Detail 3 2 7 4" xfId="10730"/>
    <cellStyle name="RowTitles1-Detail 3 2 7 5" xfId="10731"/>
    <cellStyle name="RowTitles1-Detail 3 2 7_Tertiary Salaries Survey" xfId="10732"/>
    <cellStyle name="RowTitles1-Detail 3 2 8" xfId="10733"/>
    <cellStyle name="RowTitles1-Detail 3 2 8 2" xfId="10734"/>
    <cellStyle name="RowTitles1-Detail 3 2 8 2 2" xfId="10735"/>
    <cellStyle name="RowTitles1-Detail 3 2 8 2 2 2" xfId="10736"/>
    <cellStyle name="RowTitles1-Detail 3 2 8 2 2_Tertiary Salaries Survey" xfId="10737"/>
    <cellStyle name="RowTitles1-Detail 3 2 8 2 3" xfId="10738"/>
    <cellStyle name="RowTitles1-Detail 3 2 8 2_Tertiary Salaries Survey" xfId="10739"/>
    <cellStyle name="RowTitles1-Detail 3 2 8 3" xfId="10740"/>
    <cellStyle name="RowTitles1-Detail 3 2 8 3 2" xfId="10741"/>
    <cellStyle name="RowTitles1-Detail 3 2 8 3 2 2" xfId="10742"/>
    <cellStyle name="RowTitles1-Detail 3 2 8 3 2_Tertiary Salaries Survey" xfId="10743"/>
    <cellStyle name="RowTitles1-Detail 3 2 8 3 3" xfId="10744"/>
    <cellStyle name="RowTitles1-Detail 3 2 8 3_Tertiary Salaries Survey" xfId="10745"/>
    <cellStyle name="RowTitles1-Detail 3 2 8 4" xfId="10746"/>
    <cellStyle name="RowTitles1-Detail 3 2 8 5" xfId="10747"/>
    <cellStyle name="RowTitles1-Detail 3 2 8 5 2" xfId="10748"/>
    <cellStyle name="RowTitles1-Detail 3 2 8 5_Tertiary Salaries Survey" xfId="10749"/>
    <cellStyle name="RowTitles1-Detail 3 2 8 6" xfId="10750"/>
    <cellStyle name="RowTitles1-Detail 3 2 8_Tertiary Salaries Survey" xfId="10751"/>
    <cellStyle name="RowTitles1-Detail 3 2 9" xfId="10752"/>
    <cellStyle name="RowTitles1-Detail 3 2 9 2" xfId="10753"/>
    <cellStyle name="RowTitles1-Detail 3 2 9 2 2" xfId="10754"/>
    <cellStyle name="RowTitles1-Detail 3 2 9 2 2 2" xfId="10755"/>
    <cellStyle name="RowTitles1-Detail 3 2 9 2 2_Tertiary Salaries Survey" xfId="10756"/>
    <cellStyle name="RowTitles1-Detail 3 2 9 2 3" xfId="10757"/>
    <cellStyle name="RowTitles1-Detail 3 2 9 2_Tertiary Salaries Survey" xfId="10758"/>
    <cellStyle name="RowTitles1-Detail 3 2 9 3" xfId="10759"/>
    <cellStyle name="RowTitles1-Detail 3 2 9 3 2" xfId="10760"/>
    <cellStyle name="RowTitles1-Detail 3 2 9 3 2 2" xfId="10761"/>
    <cellStyle name="RowTitles1-Detail 3 2 9 3 2_Tertiary Salaries Survey" xfId="10762"/>
    <cellStyle name="RowTitles1-Detail 3 2 9 3 3" xfId="10763"/>
    <cellStyle name="RowTitles1-Detail 3 2 9 3_Tertiary Salaries Survey" xfId="10764"/>
    <cellStyle name="RowTitles1-Detail 3 2 9 4" xfId="10765"/>
    <cellStyle name="RowTitles1-Detail 3 2 9 4 2" xfId="10766"/>
    <cellStyle name="RowTitles1-Detail 3 2 9 4_Tertiary Salaries Survey" xfId="10767"/>
    <cellStyle name="RowTitles1-Detail 3 2 9 5" xfId="10768"/>
    <cellStyle name="RowTitles1-Detail 3 2 9_Tertiary Salaries Survey" xfId="10769"/>
    <cellStyle name="RowTitles1-Detail 3 2_STUD aligned by INSTIT" xfId="10770"/>
    <cellStyle name="RowTitles1-Detail 3 3" xfId="10771"/>
    <cellStyle name="RowTitles1-Detail 3 3 10" xfId="10772"/>
    <cellStyle name="RowTitles1-Detail 3 3 10 2" xfId="10773"/>
    <cellStyle name="RowTitles1-Detail 3 3 10 2 2" xfId="10774"/>
    <cellStyle name="RowTitles1-Detail 3 3 10 2_Tertiary Salaries Survey" xfId="10775"/>
    <cellStyle name="RowTitles1-Detail 3 3 10 3" xfId="10776"/>
    <cellStyle name="RowTitles1-Detail 3 3 10_Tertiary Salaries Survey" xfId="10777"/>
    <cellStyle name="RowTitles1-Detail 3 3 11" xfId="10778"/>
    <cellStyle name="RowTitles1-Detail 3 3 12" xfId="10779"/>
    <cellStyle name="RowTitles1-Detail 3 3 2" xfId="10780"/>
    <cellStyle name="RowTitles1-Detail 3 3 2 2" xfId="10781"/>
    <cellStyle name="RowTitles1-Detail 3 3 2 2 2" xfId="10782"/>
    <cellStyle name="RowTitles1-Detail 3 3 2 2 2 2" xfId="10783"/>
    <cellStyle name="RowTitles1-Detail 3 3 2 2 2 2 2" xfId="10784"/>
    <cellStyle name="RowTitles1-Detail 3 3 2 2 2 2_Tertiary Salaries Survey" xfId="10785"/>
    <cellStyle name="RowTitles1-Detail 3 3 2 2 2 3" xfId="10786"/>
    <cellStyle name="RowTitles1-Detail 3 3 2 2 2_Tertiary Salaries Survey" xfId="10787"/>
    <cellStyle name="RowTitles1-Detail 3 3 2 2 3" xfId="10788"/>
    <cellStyle name="RowTitles1-Detail 3 3 2 2 3 2" xfId="10789"/>
    <cellStyle name="RowTitles1-Detail 3 3 2 2 3 2 2" xfId="10790"/>
    <cellStyle name="RowTitles1-Detail 3 3 2 2 3 2_Tertiary Salaries Survey" xfId="10791"/>
    <cellStyle name="RowTitles1-Detail 3 3 2 2 3 3" xfId="10792"/>
    <cellStyle name="RowTitles1-Detail 3 3 2 2 3_Tertiary Salaries Survey" xfId="10793"/>
    <cellStyle name="RowTitles1-Detail 3 3 2 2 4" xfId="10794"/>
    <cellStyle name="RowTitles1-Detail 3 3 2 2 5" xfId="10795"/>
    <cellStyle name="RowTitles1-Detail 3 3 2 2_Tertiary Salaries Survey" xfId="10796"/>
    <cellStyle name="RowTitles1-Detail 3 3 2 3" xfId="10797"/>
    <cellStyle name="RowTitles1-Detail 3 3 2 3 2" xfId="10798"/>
    <cellStyle name="RowTitles1-Detail 3 3 2 3 2 2" xfId="10799"/>
    <cellStyle name="RowTitles1-Detail 3 3 2 3 2 2 2" xfId="10800"/>
    <cellStyle name="RowTitles1-Detail 3 3 2 3 2 2_Tertiary Salaries Survey" xfId="10801"/>
    <cellStyle name="RowTitles1-Detail 3 3 2 3 2 3" xfId="10802"/>
    <cellStyle name="RowTitles1-Detail 3 3 2 3 2_Tertiary Salaries Survey" xfId="10803"/>
    <cellStyle name="RowTitles1-Detail 3 3 2 3 3" xfId="10804"/>
    <cellStyle name="RowTitles1-Detail 3 3 2 3 3 2" xfId="10805"/>
    <cellStyle name="RowTitles1-Detail 3 3 2 3 3 2 2" xfId="10806"/>
    <cellStyle name="RowTitles1-Detail 3 3 2 3 3 2_Tertiary Salaries Survey" xfId="10807"/>
    <cellStyle name="RowTitles1-Detail 3 3 2 3 3 3" xfId="10808"/>
    <cellStyle name="RowTitles1-Detail 3 3 2 3 3_Tertiary Salaries Survey" xfId="10809"/>
    <cellStyle name="RowTitles1-Detail 3 3 2 3 4" xfId="10810"/>
    <cellStyle name="RowTitles1-Detail 3 3 2 3 5" xfId="10811"/>
    <cellStyle name="RowTitles1-Detail 3 3 2 3 5 2" xfId="10812"/>
    <cellStyle name="RowTitles1-Detail 3 3 2 3 5_Tertiary Salaries Survey" xfId="10813"/>
    <cellStyle name="RowTitles1-Detail 3 3 2 3 6" xfId="10814"/>
    <cellStyle name="RowTitles1-Detail 3 3 2 3_Tertiary Salaries Survey" xfId="10815"/>
    <cellStyle name="RowTitles1-Detail 3 3 2 4" xfId="10816"/>
    <cellStyle name="RowTitles1-Detail 3 3 2 4 2" xfId="10817"/>
    <cellStyle name="RowTitles1-Detail 3 3 2 4 2 2" xfId="10818"/>
    <cellStyle name="RowTitles1-Detail 3 3 2 4 2 2 2" xfId="10819"/>
    <cellStyle name="RowTitles1-Detail 3 3 2 4 2 2_Tertiary Salaries Survey" xfId="10820"/>
    <cellStyle name="RowTitles1-Detail 3 3 2 4 2 3" xfId="10821"/>
    <cellStyle name="RowTitles1-Detail 3 3 2 4 2_Tertiary Salaries Survey" xfId="10822"/>
    <cellStyle name="RowTitles1-Detail 3 3 2 4 3" xfId="10823"/>
    <cellStyle name="RowTitles1-Detail 3 3 2 4 3 2" xfId="10824"/>
    <cellStyle name="RowTitles1-Detail 3 3 2 4 3 2 2" xfId="10825"/>
    <cellStyle name="RowTitles1-Detail 3 3 2 4 3 2_Tertiary Salaries Survey" xfId="10826"/>
    <cellStyle name="RowTitles1-Detail 3 3 2 4 3 3" xfId="10827"/>
    <cellStyle name="RowTitles1-Detail 3 3 2 4 3_Tertiary Salaries Survey" xfId="10828"/>
    <cellStyle name="RowTitles1-Detail 3 3 2 4 4" xfId="10829"/>
    <cellStyle name="RowTitles1-Detail 3 3 2 4 4 2" xfId="10830"/>
    <cellStyle name="RowTitles1-Detail 3 3 2 4 4_Tertiary Salaries Survey" xfId="10831"/>
    <cellStyle name="RowTitles1-Detail 3 3 2 4 5" xfId="10832"/>
    <cellStyle name="RowTitles1-Detail 3 3 2 4_Tertiary Salaries Survey" xfId="10833"/>
    <cellStyle name="RowTitles1-Detail 3 3 2 5" xfId="10834"/>
    <cellStyle name="RowTitles1-Detail 3 3 2 5 2" xfId="10835"/>
    <cellStyle name="RowTitles1-Detail 3 3 2 5 2 2" xfId="10836"/>
    <cellStyle name="RowTitles1-Detail 3 3 2 5 2 2 2" xfId="10837"/>
    <cellStyle name="RowTitles1-Detail 3 3 2 5 2 2_Tertiary Salaries Survey" xfId="10838"/>
    <cellStyle name="RowTitles1-Detail 3 3 2 5 2 3" xfId="10839"/>
    <cellStyle name="RowTitles1-Detail 3 3 2 5 2_Tertiary Salaries Survey" xfId="10840"/>
    <cellStyle name="RowTitles1-Detail 3 3 2 5 3" xfId="10841"/>
    <cellStyle name="RowTitles1-Detail 3 3 2 5 3 2" xfId="10842"/>
    <cellStyle name="RowTitles1-Detail 3 3 2 5 3 2 2" xfId="10843"/>
    <cellStyle name="RowTitles1-Detail 3 3 2 5 3 2_Tertiary Salaries Survey" xfId="10844"/>
    <cellStyle name="RowTitles1-Detail 3 3 2 5 3 3" xfId="10845"/>
    <cellStyle name="RowTitles1-Detail 3 3 2 5 3_Tertiary Salaries Survey" xfId="10846"/>
    <cellStyle name="RowTitles1-Detail 3 3 2 5 4" xfId="10847"/>
    <cellStyle name="RowTitles1-Detail 3 3 2 5 4 2" xfId="10848"/>
    <cellStyle name="RowTitles1-Detail 3 3 2 5 4_Tertiary Salaries Survey" xfId="10849"/>
    <cellStyle name="RowTitles1-Detail 3 3 2 5 5" xfId="10850"/>
    <cellStyle name="RowTitles1-Detail 3 3 2 5_Tertiary Salaries Survey" xfId="10851"/>
    <cellStyle name="RowTitles1-Detail 3 3 2 6" xfId="10852"/>
    <cellStyle name="RowTitles1-Detail 3 3 2 6 2" xfId="10853"/>
    <cellStyle name="RowTitles1-Detail 3 3 2 6 2 2" xfId="10854"/>
    <cellStyle name="RowTitles1-Detail 3 3 2 6 2 2 2" xfId="10855"/>
    <cellStyle name="RowTitles1-Detail 3 3 2 6 2 2_Tertiary Salaries Survey" xfId="10856"/>
    <cellStyle name="RowTitles1-Detail 3 3 2 6 2 3" xfId="10857"/>
    <cellStyle name="RowTitles1-Detail 3 3 2 6 2_Tertiary Salaries Survey" xfId="10858"/>
    <cellStyle name="RowTitles1-Detail 3 3 2 6 3" xfId="10859"/>
    <cellStyle name="RowTitles1-Detail 3 3 2 6 3 2" xfId="10860"/>
    <cellStyle name="RowTitles1-Detail 3 3 2 6 3 2 2" xfId="10861"/>
    <cellStyle name="RowTitles1-Detail 3 3 2 6 3 2_Tertiary Salaries Survey" xfId="10862"/>
    <cellStyle name="RowTitles1-Detail 3 3 2 6 3 3" xfId="10863"/>
    <cellStyle name="RowTitles1-Detail 3 3 2 6 3_Tertiary Salaries Survey" xfId="10864"/>
    <cellStyle name="RowTitles1-Detail 3 3 2 6 4" xfId="10865"/>
    <cellStyle name="RowTitles1-Detail 3 3 2 6 4 2" xfId="10866"/>
    <cellStyle name="RowTitles1-Detail 3 3 2 6 4_Tertiary Salaries Survey" xfId="10867"/>
    <cellStyle name="RowTitles1-Detail 3 3 2 6 5" xfId="10868"/>
    <cellStyle name="RowTitles1-Detail 3 3 2 6_Tertiary Salaries Survey" xfId="10869"/>
    <cellStyle name="RowTitles1-Detail 3 3 2 7" xfId="10870"/>
    <cellStyle name="RowTitles1-Detail 3 3 2 7 2" xfId="10871"/>
    <cellStyle name="RowTitles1-Detail 3 3 2 7 2 2" xfId="10872"/>
    <cellStyle name="RowTitles1-Detail 3 3 2 7 2_Tertiary Salaries Survey" xfId="10873"/>
    <cellStyle name="RowTitles1-Detail 3 3 2 7 3" xfId="10874"/>
    <cellStyle name="RowTitles1-Detail 3 3 2 7_Tertiary Salaries Survey" xfId="10875"/>
    <cellStyle name="RowTitles1-Detail 3 3 2 8" xfId="10876"/>
    <cellStyle name="RowTitles1-Detail 3 3 2 9" xfId="10877"/>
    <cellStyle name="RowTitles1-Detail 3 3 2_STUD aligned by INSTIT" xfId="10878"/>
    <cellStyle name="RowTitles1-Detail 3 3 3" xfId="10879"/>
    <cellStyle name="RowTitles1-Detail 3 3 3 2" xfId="10880"/>
    <cellStyle name="RowTitles1-Detail 3 3 3 2 2" xfId="10881"/>
    <cellStyle name="RowTitles1-Detail 3 3 3 2 2 2" xfId="10882"/>
    <cellStyle name="RowTitles1-Detail 3 3 3 2 2 2 2" xfId="10883"/>
    <cellStyle name="RowTitles1-Detail 3 3 3 2 2 2_Tertiary Salaries Survey" xfId="10884"/>
    <cellStyle name="RowTitles1-Detail 3 3 3 2 2 3" xfId="10885"/>
    <cellStyle name="RowTitles1-Detail 3 3 3 2 2_Tertiary Salaries Survey" xfId="10886"/>
    <cellStyle name="RowTitles1-Detail 3 3 3 2 3" xfId="10887"/>
    <cellStyle name="RowTitles1-Detail 3 3 3 2 3 2" xfId="10888"/>
    <cellStyle name="RowTitles1-Detail 3 3 3 2 3 2 2" xfId="10889"/>
    <cellStyle name="RowTitles1-Detail 3 3 3 2 3 2_Tertiary Salaries Survey" xfId="10890"/>
    <cellStyle name="RowTitles1-Detail 3 3 3 2 3 3" xfId="10891"/>
    <cellStyle name="RowTitles1-Detail 3 3 3 2 3_Tertiary Salaries Survey" xfId="10892"/>
    <cellStyle name="RowTitles1-Detail 3 3 3 2 4" xfId="10893"/>
    <cellStyle name="RowTitles1-Detail 3 3 3 2 5" xfId="10894"/>
    <cellStyle name="RowTitles1-Detail 3 3 3 2 5 2" xfId="10895"/>
    <cellStyle name="RowTitles1-Detail 3 3 3 2 5_Tertiary Salaries Survey" xfId="10896"/>
    <cellStyle name="RowTitles1-Detail 3 3 3 2 6" xfId="10897"/>
    <cellStyle name="RowTitles1-Detail 3 3 3 2_Tertiary Salaries Survey" xfId="10898"/>
    <cellStyle name="RowTitles1-Detail 3 3 3 3" xfId="10899"/>
    <cellStyle name="RowTitles1-Detail 3 3 3 3 2" xfId="10900"/>
    <cellStyle name="RowTitles1-Detail 3 3 3 3 2 2" xfId="10901"/>
    <cellStyle name="RowTitles1-Detail 3 3 3 3 2 2 2" xfId="10902"/>
    <cellStyle name="RowTitles1-Detail 3 3 3 3 2 2_Tertiary Salaries Survey" xfId="10903"/>
    <cellStyle name="RowTitles1-Detail 3 3 3 3 2 3" xfId="10904"/>
    <cellStyle name="RowTitles1-Detail 3 3 3 3 2_Tertiary Salaries Survey" xfId="10905"/>
    <cellStyle name="RowTitles1-Detail 3 3 3 3 3" xfId="10906"/>
    <cellStyle name="RowTitles1-Detail 3 3 3 3 3 2" xfId="10907"/>
    <cellStyle name="RowTitles1-Detail 3 3 3 3 3 2 2" xfId="10908"/>
    <cellStyle name="RowTitles1-Detail 3 3 3 3 3 2_Tertiary Salaries Survey" xfId="10909"/>
    <cellStyle name="RowTitles1-Detail 3 3 3 3 3 3" xfId="10910"/>
    <cellStyle name="RowTitles1-Detail 3 3 3 3 3_Tertiary Salaries Survey" xfId="10911"/>
    <cellStyle name="RowTitles1-Detail 3 3 3 3 4" xfId="10912"/>
    <cellStyle name="RowTitles1-Detail 3 3 3 3 5" xfId="10913"/>
    <cellStyle name="RowTitles1-Detail 3 3 3 3_Tertiary Salaries Survey" xfId="10914"/>
    <cellStyle name="RowTitles1-Detail 3 3 3 4" xfId="10915"/>
    <cellStyle name="RowTitles1-Detail 3 3 3 4 2" xfId="10916"/>
    <cellStyle name="RowTitles1-Detail 3 3 3 4 2 2" xfId="10917"/>
    <cellStyle name="RowTitles1-Detail 3 3 3 4 2 2 2" xfId="10918"/>
    <cellStyle name="RowTitles1-Detail 3 3 3 4 2 2_Tertiary Salaries Survey" xfId="10919"/>
    <cellStyle name="RowTitles1-Detail 3 3 3 4 2 3" xfId="10920"/>
    <cellStyle name="RowTitles1-Detail 3 3 3 4 2_Tertiary Salaries Survey" xfId="10921"/>
    <cellStyle name="RowTitles1-Detail 3 3 3 4 3" xfId="10922"/>
    <cellStyle name="RowTitles1-Detail 3 3 3 4 3 2" xfId="10923"/>
    <cellStyle name="RowTitles1-Detail 3 3 3 4 3 2 2" xfId="10924"/>
    <cellStyle name="RowTitles1-Detail 3 3 3 4 3 2_Tertiary Salaries Survey" xfId="10925"/>
    <cellStyle name="RowTitles1-Detail 3 3 3 4 3 3" xfId="10926"/>
    <cellStyle name="RowTitles1-Detail 3 3 3 4 3_Tertiary Salaries Survey" xfId="10927"/>
    <cellStyle name="RowTitles1-Detail 3 3 3 4 4" xfId="10928"/>
    <cellStyle name="RowTitles1-Detail 3 3 3 4 4 2" xfId="10929"/>
    <cellStyle name="RowTitles1-Detail 3 3 3 4 4_Tertiary Salaries Survey" xfId="10930"/>
    <cellStyle name="RowTitles1-Detail 3 3 3 4 5" xfId="10931"/>
    <cellStyle name="RowTitles1-Detail 3 3 3 4_Tertiary Salaries Survey" xfId="10932"/>
    <cellStyle name="RowTitles1-Detail 3 3 3 5" xfId="10933"/>
    <cellStyle name="RowTitles1-Detail 3 3 3 5 2" xfId="10934"/>
    <cellStyle name="RowTitles1-Detail 3 3 3 5 2 2" xfId="10935"/>
    <cellStyle name="RowTitles1-Detail 3 3 3 5 2 2 2" xfId="10936"/>
    <cellStyle name="RowTitles1-Detail 3 3 3 5 2 2_Tertiary Salaries Survey" xfId="10937"/>
    <cellStyle name="RowTitles1-Detail 3 3 3 5 2 3" xfId="10938"/>
    <cellStyle name="RowTitles1-Detail 3 3 3 5 2_Tertiary Salaries Survey" xfId="10939"/>
    <cellStyle name="RowTitles1-Detail 3 3 3 5 3" xfId="10940"/>
    <cellStyle name="RowTitles1-Detail 3 3 3 5 3 2" xfId="10941"/>
    <cellStyle name="RowTitles1-Detail 3 3 3 5 3 2 2" xfId="10942"/>
    <cellStyle name="RowTitles1-Detail 3 3 3 5 3 2_Tertiary Salaries Survey" xfId="10943"/>
    <cellStyle name="RowTitles1-Detail 3 3 3 5 3 3" xfId="10944"/>
    <cellStyle name="RowTitles1-Detail 3 3 3 5 3_Tertiary Salaries Survey" xfId="10945"/>
    <cellStyle name="RowTitles1-Detail 3 3 3 5 4" xfId="10946"/>
    <cellStyle name="RowTitles1-Detail 3 3 3 5 4 2" xfId="10947"/>
    <cellStyle name="RowTitles1-Detail 3 3 3 5 4_Tertiary Salaries Survey" xfId="10948"/>
    <cellStyle name="RowTitles1-Detail 3 3 3 5 5" xfId="10949"/>
    <cellStyle name="RowTitles1-Detail 3 3 3 5_Tertiary Salaries Survey" xfId="10950"/>
    <cellStyle name="RowTitles1-Detail 3 3 3 6" xfId="10951"/>
    <cellStyle name="RowTitles1-Detail 3 3 3 6 2" xfId="10952"/>
    <cellStyle name="RowTitles1-Detail 3 3 3 6 2 2" xfId="10953"/>
    <cellStyle name="RowTitles1-Detail 3 3 3 6 2 2 2" xfId="10954"/>
    <cellStyle name="RowTitles1-Detail 3 3 3 6 2 2_Tertiary Salaries Survey" xfId="10955"/>
    <cellStyle name="RowTitles1-Detail 3 3 3 6 2 3" xfId="10956"/>
    <cellStyle name="RowTitles1-Detail 3 3 3 6 2_Tertiary Salaries Survey" xfId="10957"/>
    <cellStyle name="RowTitles1-Detail 3 3 3 6 3" xfId="10958"/>
    <cellStyle name="RowTitles1-Detail 3 3 3 6 3 2" xfId="10959"/>
    <cellStyle name="RowTitles1-Detail 3 3 3 6 3 2 2" xfId="10960"/>
    <cellStyle name="RowTitles1-Detail 3 3 3 6 3 2_Tertiary Salaries Survey" xfId="10961"/>
    <cellStyle name="RowTitles1-Detail 3 3 3 6 3 3" xfId="10962"/>
    <cellStyle name="RowTitles1-Detail 3 3 3 6 3_Tertiary Salaries Survey" xfId="10963"/>
    <cellStyle name="RowTitles1-Detail 3 3 3 6 4" xfId="10964"/>
    <cellStyle name="RowTitles1-Detail 3 3 3 6 4 2" xfId="10965"/>
    <cellStyle name="RowTitles1-Detail 3 3 3 6 4_Tertiary Salaries Survey" xfId="10966"/>
    <cellStyle name="RowTitles1-Detail 3 3 3 6 5" xfId="10967"/>
    <cellStyle name="RowTitles1-Detail 3 3 3 6_Tertiary Salaries Survey" xfId="10968"/>
    <cellStyle name="RowTitles1-Detail 3 3 3 7" xfId="10969"/>
    <cellStyle name="RowTitles1-Detail 3 3 3 7 2" xfId="10970"/>
    <cellStyle name="RowTitles1-Detail 3 3 3 7 2 2" xfId="10971"/>
    <cellStyle name="RowTitles1-Detail 3 3 3 7 2_Tertiary Salaries Survey" xfId="10972"/>
    <cellStyle name="RowTitles1-Detail 3 3 3 7 3" xfId="10973"/>
    <cellStyle name="RowTitles1-Detail 3 3 3 7_Tertiary Salaries Survey" xfId="10974"/>
    <cellStyle name="RowTitles1-Detail 3 3 3 8" xfId="10975"/>
    <cellStyle name="RowTitles1-Detail 3 3 3 8 2" xfId="10976"/>
    <cellStyle name="RowTitles1-Detail 3 3 3 8 2 2" xfId="10977"/>
    <cellStyle name="RowTitles1-Detail 3 3 3 8 2_Tertiary Salaries Survey" xfId="10978"/>
    <cellStyle name="RowTitles1-Detail 3 3 3 8 3" xfId="10979"/>
    <cellStyle name="RowTitles1-Detail 3 3 3 8_Tertiary Salaries Survey" xfId="10980"/>
    <cellStyle name="RowTitles1-Detail 3 3 3 9" xfId="10981"/>
    <cellStyle name="RowTitles1-Detail 3 3 3_STUD aligned by INSTIT" xfId="10982"/>
    <cellStyle name="RowTitles1-Detail 3 3 4" xfId="10983"/>
    <cellStyle name="RowTitles1-Detail 3 3 4 2" xfId="10984"/>
    <cellStyle name="RowTitles1-Detail 3 3 4 2 2" xfId="10985"/>
    <cellStyle name="RowTitles1-Detail 3 3 4 2 2 2" xfId="10986"/>
    <cellStyle name="RowTitles1-Detail 3 3 4 2 2 2 2" xfId="10987"/>
    <cellStyle name="RowTitles1-Detail 3 3 4 2 2 2_Tertiary Salaries Survey" xfId="10988"/>
    <cellStyle name="RowTitles1-Detail 3 3 4 2 2 3" xfId="10989"/>
    <cellStyle name="RowTitles1-Detail 3 3 4 2 2_Tertiary Salaries Survey" xfId="10990"/>
    <cellStyle name="RowTitles1-Detail 3 3 4 2 3" xfId="10991"/>
    <cellStyle name="RowTitles1-Detail 3 3 4 2 3 2" xfId="10992"/>
    <cellStyle name="RowTitles1-Detail 3 3 4 2 3 2 2" xfId="10993"/>
    <cellStyle name="RowTitles1-Detail 3 3 4 2 3 2_Tertiary Salaries Survey" xfId="10994"/>
    <cellStyle name="RowTitles1-Detail 3 3 4 2 3 3" xfId="10995"/>
    <cellStyle name="RowTitles1-Detail 3 3 4 2 3_Tertiary Salaries Survey" xfId="10996"/>
    <cellStyle name="RowTitles1-Detail 3 3 4 2 4" xfId="10997"/>
    <cellStyle name="RowTitles1-Detail 3 3 4 2 5" xfId="10998"/>
    <cellStyle name="RowTitles1-Detail 3 3 4 2 5 2" xfId="10999"/>
    <cellStyle name="RowTitles1-Detail 3 3 4 2 5_Tertiary Salaries Survey" xfId="11000"/>
    <cellStyle name="RowTitles1-Detail 3 3 4 2 6" xfId="11001"/>
    <cellStyle name="RowTitles1-Detail 3 3 4 2_Tertiary Salaries Survey" xfId="11002"/>
    <cellStyle name="RowTitles1-Detail 3 3 4 3" xfId="11003"/>
    <cellStyle name="RowTitles1-Detail 3 3 4 3 2" xfId="11004"/>
    <cellStyle name="RowTitles1-Detail 3 3 4 3 2 2" xfId="11005"/>
    <cellStyle name="RowTitles1-Detail 3 3 4 3 2 2 2" xfId="11006"/>
    <cellStyle name="RowTitles1-Detail 3 3 4 3 2 2_Tertiary Salaries Survey" xfId="11007"/>
    <cellStyle name="RowTitles1-Detail 3 3 4 3 2 3" xfId="11008"/>
    <cellStyle name="RowTitles1-Detail 3 3 4 3 2_Tertiary Salaries Survey" xfId="11009"/>
    <cellStyle name="RowTitles1-Detail 3 3 4 3 3" xfId="11010"/>
    <cellStyle name="RowTitles1-Detail 3 3 4 3 3 2" xfId="11011"/>
    <cellStyle name="RowTitles1-Detail 3 3 4 3 3 2 2" xfId="11012"/>
    <cellStyle name="RowTitles1-Detail 3 3 4 3 3 2_Tertiary Salaries Survey" xfId="11013"/>
    <cellStyle name="RowTitles1-Detail 3 3 4 3 3 3" xfId="11014"/>
    <cellStyle name="RowTitles1-Detail 3 3 4 3 3_Tertiary Salaries Survey" xfId="11015"/>
    <cellStyle name="RowTitles1-Detail 3 3 4 3 4" xfId="11016"/>
    <cellStyle name="RowTitles1-Detail 3 3 4 3 5" xfId="11017"/>
    <cellStyle name="RowTitles1-Detail 3 3 4 3_Tertiary Salaries Survey" xfId="11018"/>
    <cellStyle name="RowTitles1-Detail 3 3 4 4" xfId="11019"/>
    <cellStyle name="RowTitles1-Detail 3 3 4 4 2" xfId="11020"/>
    <cellStyle name="RowTitles1-Detail 3 3 4 4 2 2" xfId="11021"/>
    <cellStyle name="RowTitles1-Detail 3 3 4 4 2 2 2" xfId="11022"/>
    <cellStyle name="RowTitles1-Detail 3 3 4 4 2 2_Tertiary Salaries Survey" xfId="11023"/>
    <cellStyle name="RowTitles1-Detail 3 3 4 4 2 3" xfId="11024"/>
    <cellStyle name="RowTitles1-Detail 3 3 4 4 2_Tertiary Salaries Survey" xfId="11025"/>
    <cellStyle name="RowTitles1-Detail 3 3 4 4 3" xfId="11026"/>
    <cellStyle name="RowTitles1-Detail 3 3 4 4 3 2" xfId="11027"/>
    <cellStyle name="RowTitles1-Detail 3 3 4 4 3 2 2" xfId="11028"/>
    <cellStyle name="RowTitles1-Detail 3 3 4 4 3 2_Tertiary Salaries Survey" xfId="11029"/>
    <cellStyle name="RowTitles1-Detail 3 3 4 4 3 3" xfId="11030"/>
    <cellStyle name="RowTitles1-Detail 3 3 4 4 3_Tertiary Salaries Survey" xfId="11031"/>
    <cellStyle name="RowTitles1-Detail 3 3 4 4 4" xfId="11032"/>
    <cellStyle name="RowTitles1-Detail 3 3 4 4 5" xfId="11033"/>
    <cellStyle name="RowTitles1-Detail 3 3 4 4 5 2" xfId="11034"/>
    <cellStyle name="RowTitles1-Detail 3 3 4 4 5_Tertiary Salaries Survey" xfId="11035"/>
    <cellStyle name="RowTitles1-Detail 3 3 4 4 6" xfId="11036"/>
    <cellStyle name="RowTitles1-Detail 3 3 4 4_Tertiary Salaries Survey" xfId="11037"/>
    <cellStyle name="RowTitles1-Detail 3 3 4 5" xfId="11038"/>
    <cellStyle name="RowTitles1-Detail 3 3 4 5 2" xfId="11039"/>
    <cellStyle name="RowTitles1-Detail 3 3 4 5 2 2" xfId="11040"/>
    <cellStyle name="RowTitles1-Detail 3 3 4 5 2 2 2" xfId="11041"/>
    <cellStyle name="RowTitles1-Detail 3 3 4 5 2 2_Tertiary Salaries Survey" xfId="11042"/>
    <cellStyle name="RowTitles1-Detail 3 3 4 5 2 3" xfId="11043"/>
    <cellStyle name="RowTitles1-Detail 3 3 4 5 2_Tertiary Salaries Survey" xfId="11044"/>
    <cellStyle name="RowTitles1-Detail 3 3 4 5 3" xfId="11045"/>
    <cellStyle name="RowTitles1-Detail 3 3 4 5 3 2" xfId="11046"/>
    <cellStyle name="RowTitles1-Detail 3 3 4 5 3 2 2" xfId="11047"/>
    <cellStyle name="RowTitles1-Detail 3 3 4 5 3 2_Tertiary Salaries Survey" xfId="11048"/>
    <cellStyle name="RowTitles1-Detail 3 3 4 5 3 3" xfId="11049"/>
    <cellStyle name="RowTitles1-Detail 3 3 4 5 3_Tertiary Salaries Survey" xfId="11050"/>
    <cellStyle name="RowTitles1-Detail 3 3 4 5 4" xfId="11051"/>
    <cellStyle name="RowTitles1-Detail 3 3 4 5 4 2" xfId="11052"/>
    <cellStyle name="RowTitles1-Detail 3 3 4 5 4_Tertiary Salaries Survey" xfId="11053"/>
    <cellStyle name="RowTitles1-Detail 3 3 4 5 5" xfId="11054"/>
    <cellStyle name="RowTitles1-Detail 3 3 4 5_Tertiary Salaries Survey" xfId="11055"/>
    <cellStyle name="RowTitles1-Detail 3 3 4 6" xfId="11056"/>
    <cellStyle name="RowTitles1-Detail 3 3 4 6 2" xfId="11057"/>
    <cellStyle name="RowTitles1-Detail 3 3 4 6 2 2" xfId="11058"/>
    <cellStyle name="RowTitles1-Detail 3 3 4 6 2 2 2" xfId="11059"/>
    <cellStyle name="RowTitles1-Detail 3 3 4 6 2 2_Tertiary Salaries Survey" xfId="11060"/>
    <cellStyle name="RowTitles1-Detail 3 3 4 6 2 3" xfId="11061"/>
    <cellStyle name="RowTitles1-Detail 3 3 4 6 2_Tertiary Salaries Survey" xfId="11062"/>
    <cellStyle name="RowTitles1-Detail 3 3 4 6 3" xfId="11063"/>
    <cellStyle name="RowTitles1-Detail 3 3 4 6 3 2" xfId="11064"/>
    <cellStyle name="RowTitles1-Detail 3 3 4 6 3 2 2" xfId="11065"/>
    <cellStyle name="RowTitles1-Detail 3 3 4 6 3 2_Tertiary Salaries Survey" xfId="11066"/>
    <cellStyle name="RowTitles1-Detail 3 3 4 6 3 3" xfId="11067"/>
    <cellStyle name="RowTitles1-Detail 3 3 4 6 3_Tertiary Salaries Survey" xfId="11068"/>
    <cellStyle name="RowTitles1-Detail 3 3 4 6 4" xfId="11069"/>
    <cellStyle name="RowTitles1-Detail 3 3 4 6 4 2" xfId="11070"/>
    <cellStyle name="RowTitles1-Detail 3 3 4 6 4_Tertiary Salaries Survey" xfId="11071"/>
    <cellStyle name="RowTitles1-Detail 3 3 4 6 5" xfId="11072"/>
    <cellStyle name="RowTitles1-Detail 3 3 4 6_Tertiary Salaries Survey" xfId="11073"/>
    <cellStyle name="RowTitles1-Detail 3 3 4 7" xfId="11074"/>
    <cellStyle name="RowTitles1-Detail 3 3 4 7 2" xfId="11075"/>
    <cellStyle name="RowTitles1-Detail 3 3 4 7 2 2" xfId="11076"/>
    <cellStyle name="RowTitles1-Detail 3 3 4 7 2_Tertiary Salaries Survey" xfId="11077"/>
    <cellStyle name="RowTitles1-Detail 3 3 4 7 3" xfId="11078"/>
    <cellStyle name="RowTitles1-Detail 3 3 4 7_Tertiary Salaries Survey" xfId="11079"/>
    <cellStyle name="RowTitles1-Detail 3 3 4 8" xfId="11080"/>
    <cellStyle name="RowTitles1-Detail 3 3 4 9" xfId="11081"/>
    <cellStyle name="RowTitles1-Detail 3 3 4_STUD aligned by INSTIT" xfId="11082"/>
    <cellStyle name="RowTitles1-Detail 3 3 5" xfId="11083"/>
    <cellStyle name="RowTitles1-Detail 3 3 5 2" xfId="11084"/>
    <cellStyle name="RowTitles1-Detail 3 3 5 2 2" xfId="11085"/>
    <cellStyle name="RowTitles1-Detail 3 3 5 2 2 2" xfId="11086"/>
    <cellStyle name="RowTitles1-Detail 3 3 5 2 2_Tertiary Salaries Survey" xfId="11087"/>
    <cellStyle name="RowTitles1-Detail 3 3 5 2 3" xfId="11088"/>
    <cellStyle name="RowTitles1-Detail 3 3 5 2_Tertiary Salaries Survey" xfId="11089"/>
    <cellStyle name="RowTitles1-Detail 3 3 5 3" xfId="11090"/>
    <cellStyle name="RowTitles1-Detail 3 3 5 3 2" xfId="11091"/>
    <cellStyle name="RowTitles1-Detail 3 3 5 3 2 2" xfId="11092"/>
    <cellStyle name="RowTitles1-Detail 3 3 5 3 2_Tertiary Salaries Survey" xfId="11093"/>
    <cellStyle name="RowTitles1-Detail 3 3 5 3 3" xfId="11094"/>
    <cellStyle name="RowTitles1-Detail 3 3 5 3_Tertiary Salaries Survey" xfId="11095"/>
    <cellStyle name="RowTitles1-Detail 3 3 5 4" xfId="11096"/>
    <cellStyle name="RowTitles1-Detail 3 3 5 5" xfId="11097"/>
    <cellStyle name="RowTitles1-Detail 3 3 5 5 2" xfId="11098"/>
    <cellStyle name="RowTitles1-Detail 3 3 5 5_Tertiary Salaries Survey" xfId="11099"/>
    <cellStyle name="RowTitles1-Detail 3 3 5 6" xfId="11100"/>
    <cellStyle name="RowTitles1-Detail 3 3 5_Tertiary Salaries Survey" xfId="11101"/>
    <cellStyle name="RowTitles1-Detail 3 3 6" xfId="11102"/>
    <cellStyle name="RowTitles1-Detail 3 3 6 2" xfId="11103"/>
    <cellStyle name="RowTitles1-Detail 3 3 6 2 2" xfId="11104"/>
    <cellStyle name="RowTitles1-Detail 3 3 6 2 2 2" xfId="11105"/>
    <cellStyle name="RowTitles1-Detail 3 3 6 2 2_Tertiary Salaries Survey" xfId="11106"/>
    <cellStyle name="RowTitles1-Detail 3 3 6 2 3" xfId="11107"/>
    <cellStyle name="RowTitles1-Detail 3 3 6 2_Tertiary Salaries Survey" xfId="11108"/>
    <cellStyle name="RowTitles1-Detail 3 3 6 3" xfId="11109"/>
    <cellStyle name="RowTitles1-Detail 3 3 6 3 2" xfId="11110"/>
    <cellStyle name="RowTitles1-Detail 3 3 6 3 2 2" xfId="11111"/>
    <cellStyle name="RowTitles1-Detail 3 3 6 3 2_Tertiary Salaries Survey" xfId="11112"/>
    <cellStyle name="RowTitles1-Detail 3 3 6 3 3" xfId="11113"/>
    <cellStyle name="RowTitles1-Detail 3 3 6 3_Tertiary Salaries Survey" xfId="11114"/>
    <cellStyle name="RowTitles1-Detail 3 3 6 4" xfId="11115"/>
    <cellStyle name="RowTitles1-Detail 3 3 6 5" xfId="11116"/>
    <cellStyle name="RowTitles1-Detail 3 3 6_Tertiary Salaries Survey" xfId="11117"/>
    <cellStyle name="RowTitles1-Detail 3 3 7" xfId="11118"/>
    <cellStyle name="RowTitles1-Detail 3 3 7 2" xfId="11119"/>
    <cellStyle name="RowTitles1-Detail 3 3 7 2 2" xfId="11120"/>
    <cellStyle name="RowTitles1-Detail 3 3 7 2 2 2" xfId="11121"/>
    <cellStyle name="RowTitles1-Detail 3 3 7 2 2_Tertiary Salaries Survey" xfId="11122"/>
    <cellStyle name="RowTitles1-Detail 3 3 7 2 3" xfId="11123"/>
    <cellStyle name="RowTitles1-Detail 3 3 7 2_Tertiary Salaries Survey" xfId="11124"/>
    <cellStyle name="RowTitles1-Detail 3 3 7 3" xfId="11125"/>
    <cellStyle name="RowTitles1-Detail 3 3 7 3 2" xfId="11126"/>
    <cellStyle name="RowTitles1-Detail 3 3 7 3 2 2" xfId="11127"/>
    <cellStyle name="RowTitles1-Detail 3 3 7 3 2_Tertiary Salaries Survey" xfId="11128"/>
    <cellStyle name="RowTitles1-Detail 3 3 7 3 3" xfId="11129"/>
    <cellStyle name="RowTitles1-Detail 3 3 7 3_Tertiary Salaries Survey" xfId="11130"/>
    <cellStyle name="RowTitles1-Detail 3 3 7 4" xfId="11131"/>
    <cellStyle name="RowTitles1-Detail 3 3 7 5" xfId="11132"/>
    <cellStyle name="RowTitles1-Detail 3 3 7 5 2" xfId="11133"/>
    <cellStyle name="RowTitles1-Detail 3 3 7 5_Tertiary Salaries Survey" xfId="11134"/>
    <cellStyle name="RowTitles1-Detail 3 3 7 6" xfId="11135"/>
    <cellStyle name="RowTitles1-Detail 3 3 7_Tertiary Salaries Survey" xfId="11136"/>
    <cellStyle name="RowTitles1-Detail 3 3 8" xfId="11137"/>
    <cellStyle name="RowTitles1-Detail 3 3 8 2" xfId="11138"/>
    <cellStyle name="RowTitles1-Detail 3 3 8 2 2" xfId="11139"/>
    <cellStyle name="RowTitles1-Detail 3 3 8 2 2 2" xfId="11140"/>
    <cellStyle name="RowTitles1-Detail 3 3 8 2 2_Tertiary Salaries Survey" xfId="11141"/>
    <cellStyle name="RowTitles1-Detail 3 3 8 2 3" xfId="11142"/>
    <cellStyle name="RowTitles1-Detail 3 3 8 2_Tertiary Salaries Survey" xfId="11143"/>
    <cellStyle name="RowTitles1-Detail 3 3 8 3" xfId="11144"/>
    <cellStyle name="RowTitles1-Detail 3 3 8 3 2" xfId="11145"/>
    <cellStyle name="RowTitles1-Detail 3 3 8 3 2 2" xfId="11146"/>
    <cellStyle name="RowTitles1-Detail 3 3 8 3 2_Tertiary Salaries Survey" xfId="11147"/>
    <cellStyle name="RowTitles1-Detail 3 3 8 3 3" xfId="11148"/>
    <cellStyle name="RowTitles1-Detail 3 3 8 3_Tertiary Salaries Survey" xfId="11149"/>
    <cellStyle name="RowTitles1-Detail 3 3 8 4" xfId="11150"/>
    <cellStyle name="RowTitles1-Detail 3 3 8 4 2" xfId="11151"/>
    <cellStyle name="RowTitles1-Detail 3 3 8 4_Tertiary Salaries Survey" xfId="11152"/>
    <cellStyle name="RowTitles1-Detail 3 3 8 5" xfId="11153"/>
    <cellStyle name="RowTitles1-Detail 3 3 8_Tertiary Salaries Survey" xfId="11154"/>
    <cellStyle name="RowTitles1-Detail 3 3 9" xfId="11155"/>
    <cellStyle name="RowTitles1-Detail 3 3 9 2" xfId="11156"/>
    <cellStyle name="RowTitles1-Detail 3 3 9 2 2" xfId="11157"/>
    <cellStyle name="RowTitles1-Detail 3 3 9 2 2 2" xfId="11158"/>
    <cellStyle name="RowTitles1-Detail 3 3 9 2 2_Tertiary Salaries Survey" xfId="11159"/>
    <cellStyle name="RowTitles1-Detail 3 3 9 2 3" xfId="11160"/>
    <cellStyle name="RowTitles1-Detail 3 3 9 2_Tertiary Salaries Survey" xfId="11161"/>
    <cellStyle name="RowTitles1-Detail 3 3 9 3" xfId="11162"/>
    <cellStyle name="RowTitles1-Detail 3 3 9 3 2" xfId="11163"/>
    <cellStyle name="RowTitles1-Detail 3 3 9 3 2 2" xfId="11164"/>
    <cellStyle name="RowTitles1-Detail 3 3 9 3 2_Tertiary Salaries Survey" xfId="11165"/>
    <cellStyle name="RowTitles1-Detail 3 3 9 3 3" xfId="11166"/>
    <cellStyle name="RowTitles1-Detail 3 3 9 3_Tertiary Salaries Survey" xfId="11167"/>
    <cellStyle name="RowTitles1-Detail 3 3 9 4" xfId="11168"/>
    <cellStyle name="RowTitles1-Detail 3 3 9 4 2" xfId="11169"/>
    <cellStyle name="RowTitles1-Detail 3 3 9 4_Tertiary Salaries Survey" xfId="11170"/>
    <cellStyle name="RowTitles1-Detail 3 3 9 5" xfId="11171"/>
    <cellStyle name="RowTitles1-Detail 3 3 9_Tertiary Salaries Survey" xfId="11172"/>
    <cellStyle name="RowTitles1-Detail 3 3_STUD aligned by INSTIT" xfId="11173"/>
    <cellStyle name="RowTitles1-Detail 3 4" xfId="11174"/>
    <cellStyle name="RowTitles1-Detail 3 4 2" xfId="11175"/>
    <cellStyle name="RowTitles1-Detail 3 4 2 2" xfId="11176"/>
    <cellStyle name="RowTitles1-Detail 3 4 2 2 2" xfId="11177"/>
    <cellStyle name="RowTitles1-Detail 3 4 2 2 2 2" xfId="11178"/>
    <cellStyle name="RowTitles1-Detail 3 4 2 2 2_Tertiary Salaries Survey" xfId="11179"/>
    <cellStyle name="RowTitles1-Detail 3 4 2 2 3" xfId="11180"/>
    <cellStyle name="RowTitles1-Detail 3 4 2 2_Tertiary Salaries Survey" xfId="11181"/>
    <cellStyle name="RowTitles1-Detail 3 4 2 3" xfId="11182"/>
    <cellStyle name="RowTitles1-Detail 3 4 2 3 2" xfId="11183"/>
    <cellStyle name="RowTitles1-Detail 3 4 2 3 2 2" xfId="11184"/>
    <cellStyle name="RowTitles1-Detail 3 4 2 3 2_Tertiary Salaries Survey" xfId="11185"/>
    <cellStyle name="RowTitles1-Detail 3 4 2 3 3" xfId="11186"/>
    <cellStyle name="RowTitles1-Detail 3 4 2 3_Tertiary Salaries Survey" xfId="11187"/>
    <cellStyle name="RowTitles1-Detail 3 4 2 4" xfId="11188"/>
    <cellStyle name="RowTitles1-Detail 3 4 2 5" xfId="11189"/>
    <cellStyle name="RowTitles1-Detail 3 4 2_Tertiary Salaries Survey" xfId="11190"/>
    <cellStyle name="RowTitles1-Detail 3 4 3" xfId="11191"/>
    <cellStyle name="RowTitles1-Detail 3 4 3 2" xfId="11192"/>
    <cellStyle name="RowTitles1-Detail 3 4 3 2 2" xfId="11193"/>
    <cellStyle name="RowTitles1-Detail 3 4 3 2 2 2" xfId="11194"/>
    <cellStyle name="RowTitles1-Detail 3 4 3 2 2_Tertiary Salaries Survey" xfId="11195"/>
    <cellStyle name="RowTitles1-Detail 3 4 3 2 3" xfId="11196"/>
    <cellStyle name="RowTitles1-Detail 3 4 3 2_Tertiary Salaries Survey" xfId="11197"/>
    <cellStyle name="RowTitles1-Detail 3 4 3 3" xfId="11198"/>
    <cellStyle name="RowTitles1-Detail 3 4 3 3 2" xfId="11199"/>
    <cellStyle name="RowTitles1-Detail 3 4 3 3 2 2" xfId="11200"/>
    <cellStyle name="RowTitles1-Detail 3 4 3 3 2_Tertiary Salaries Survey" xfId="11201"/>
    <cellStyle name="RowTitles1-Detail 3 4 3 3 3" xfId="11202"/>
    <cellStyle name="RowTitles1-Detail 3 4 3 3_Tertiary Salaries Survey" xfId="11203"/>
    <cellStyle name="RowTitles1-Detail 3 4 3 4" xfId="11204"/>
    <cellStyle name="RowTitles1-Detail 3 4 3 5" xfId="11205"/>
    <cellStyle name="RowTitles1-Detail 3 4 3 5 2" xfId="11206"/>
    <cellStyle name="RowTitles1-Detail 3 4 3 5_Tertiary Salaries Survey" xfId="11207"/>
    <cellStyle name="RowTitles1-Detail 3 4 3 6" xfId="11208"/>
    <cellStyle name="RowTitles1-Detail 3 4 3_Tertiary Salaries Survey" xfId="11209"/>
    <cellStyle name="RowTitles1-Detail 3 4 4" xfId="11210"/>
    <cellStyle name="RowTitles1-Detail 3 4 4 2" xfId="11211"/>
    <cellStyle name="RowTitles1-Detail 3 4 4 2 2" xfId="11212"/>
    <cellStyle name="RowTitles1-Detail 3 4 4 2 2 2" xfId="11213"/>
    <cellStyle name="RowTitles1-Detail 3 4 4 2 2_Tertiary Salaries Survey" xfId="11214"/>
    <cellStyle name="RowTitles1-Detail 3 4 4 2 3" xfId="11215"/>
    <cellStyle name="RowTitles1-Detail 3 4 4 2_Tertiary Salaries Survey" xfId="11216"/>
    <cellStyle name="RowTitles1-Detail 3 4 4 3" xfId="11217"/>
    <cellStyle name="RowTitles1-Detail 3 4 4 3 2" xfId="11218"/>
    <cellStyle name="RowTitles1-Detail 3 4 4 3 2 2" xfId="11219"/>
    <cellStyle name="RowTitles1-Detail 3 4 4 3 2_Tertiary Salaries Survey" xfId="11220"/>
    <cellStyle name="RowTitles1-Detail 3 4 4 3 3" xfId="11221"/>
    <cellStyle name="RowTitles1-Detail 3 4 4 3_Tertiary Salaries Survey" xfId="11222"/>
    <cellStyle name="RowTitles1-Detail 3 4 4 4" xfId="11223"/>
    <cellStyle name="RowTitles1-Detail 3 4 4 4 2" xfId="11224"/>
    <cellStyle name="RowTitles1-Detail 3 4 4 4_Tertiary Salaries Survey" xfId="11225"/>
    <cellStyle name="RowTitles1-Detail 3 4 4 5" xfId="11226"/>
    <cellStyle name="RowTitles1-Detail 3 4 4_Tertiary Salaries Survey" xfId="11227"/>
    <cellStyle name="RowTitles1-Detail 3 4 5" xfId="11228"/>
    <cellStyle name="RowTitles1-Detail 3 4 5 2" xfId="11229"/>
    <cellStyle name="RowTitles1-Detail 3 4 5 2 2" xfId="11230"/>
    <cellStyle name="RowTitles1-Detail 3 4 5 2 2 2" xfId="11231"/>
    <cellStyle name="RowTitles1-Detail 3 4 5 2 2_Tertiary Salaries Survey" xfId="11232"/>
    <cellStyle name="RowTitles1-Detail 3 4 5 2 3" xfId="11233"/>
    <cellStyle name="RowTitles1-Detail 3 4 5 2_Tertiary Salaries Survey" xfId="11234"/>
    <cellStyle name="RowTitles1-Detail 3 4 5 3" xfId="11235"/>
    <cellStyle name="RowTitles1-Detail 3 4 5 3 2" xfId="11236"/>
    <cellStyle name="RowTitles1-Detail 3 4 5 3 2 2" xfId="11237"/>
    <cellStyle name="RowTitles1-Detail 3 4 5 3 2_Tertiary Salaries Survey" xfId="11238"/>
    <cellStyle name="RowTitles1-Detail 3 4 5 3 3" xfId="11239"/>
    <cellStyle name="RowTitles1-Detail 3 4 5 3_Tertiary Salaries Survey" xfId="11240"/>
    <cellStyle name="RowTitles1-Detail 3 4 5 4" xfId="11241"/>
    <cellStyle name="RowTitles1-Detail 3 4 5 4 2" xfId="11242"/>
    <cellStyle name="RowTitles1-Detail 3 4 5 4_Tertiary Salaries Survey" xfId="11243"/>
    <cellStyle name="RowTitles1-Detail 3 4 5 5" xfId="11244"/>
    <cellStyle name="RowTitles1-Detail 3 4 5_Tertiary Salaries Survey" xfId="11245"/>
    <cellStyle name="RowTitles1-Detail 3 4 6" xfId="11246"/>
    <cellStyle name="RowTitles1-Detail 3 4 6 2" xfId="11247"/>
    <cellStyle name="RowTitles1-Detail 3 4 6 2 2" xfId="11248"/>
    <cellStyle name="RowTitles1-Detail 3 4 6 2 2 2" xfId="11249"/>
    <cellStyle name="RowTitles1-Detail 3 4 6 2 2_Tertiary Salaries Survey" xfId="11250"/>
    <cellStyle name="RowTitles1-Detail 3 4 6 2 3" xfId="11251"/>
    <cellStyle name="RowTitles1-Detail 3 4 6 2_Tertiary Salaries Survey" xfId="11252"/>
    <cellStyle name="RowTitles1-Detail 3 4 6 3" xfId="11253"/>
    <cellStyle name="RowTitles1-Detail 3 4 6 3 2" xfId="11254"/>
    <cellStyle name="RowTitles1-Detail 3 4 6 3 2 2" xfId="11255"/>
    <cellStyle name="RowTitles1-Detail 3 4 6 3 2_Tertiary Salaries Survey" xfId="11256"/>
    <cellStyle name="RowTitles1-Detail 3 4 6 3 3" xfId="11257"/>
    <cellStyle name="RowTitles1-Detail 3 4 6 3_Tertiary Salaries Survey" xfId="11258"/>
    <cellStyle name="RowTitles1-Detail 3 4 6 4" xfId="11259"/>
    <cellStyle name="RowTitles1-Detail 3 4 6 4 2" xfId="11260"/>
    <cellStyle name="RowTitles1-Detail 3 4 6 4_Tertiary Salaries Survey" xfId="11261"/>
    <cellStyle name="RowTitles1-Detail 3 4 6 5" xfId="11262"/>
    <cellStyle name="RowTitles1-Detail 3 4 6_Tertiary Salaries Survey" xfId="11263"/>
    <cellStyle name="RowTitles1-Detail 3 4 7" xfId="11264"/>
    <cellStyle name="RowTitles1-Detail 3 4 7 2" xfId="11265"/>
    <cellStyle name="RowTitles1-Detail 3 4 7 2 2" xfId="11266"/>
    <cellStyle name="RowTitles1-Detail 3 4 7 2_Tertiary Salaries Survey" xfId="11267"/>
    <cellStyle name="RowTitles1-Detail 3 4 7 3" xfId="11268"/>
    <cellStyle name="RowTitles1-Detail 3 4 7_Tertiary Salaries Survey" xfId="11269"/>
    <cellStyle name="RowTitles1-Detail 3 4 8" xfId="11270"/>
    <cellStyle name="RowTitles1-Detail 3 4 9" xfId="11271"/>
    <cellStyle name="RowTitles1-Detail 3 4_STUD aligned by INSTIT" xfId="11272"/>
    <cellStyle name="RowTitles1-Detail 3 5" xfId="11273"/>
    <cellStyle name="RowTitles1-Detail 3 5 2" xfId="11274"/>
    <cellStyle name="RowTitles1-Detail 3 5 2 2" xfId="11275"/>
    <cellStyle name="RowTitles1-Detail 3 5 2 2 2" xfId="11276"/>
    <cellStyle name="RowTitles1-Detail 3 5 2 2 2 2" xfId="11277"/>
    <cellStyle name="RowTitles1-Detail 3 5 2 2 2_Tertiary Salaries Survey" xfId="11278"/>
    <cellStyle name="RowTitles1-Detail 3 5 2 2 3" xfId="11279"/>
    <cellStyle name="RowTitles1-Detail 3 5 2 2_Tertiary Salaries Survey" xfId="11280"/>
    <cellStyle name="RowTitles1-Detail 3 5 2 3" xfId="11281"/>
    <cellStyle name="RowTitles1-Detail 3 5 2 3 2" xfId="11282"/>
    <cellStyle name="RowTitles1-Detail 3 5 2 3 2 2" xfId="11283"/>
    <cellStyle name="RowTitles1-Detail 3 5 2 3 2_Tertiary Salaries Survey" xfId="11284"/>
    <cellStyle name="RowTitles1-Detail 3 5 2 3 3" xfId="11285"/>
    <cellStyle name="RowTitles1-Detail 3 5 2 3_Tertiary Salaries Survey" xfId="11286"/>
    <cellStyle name="RowTitles1-Detail 3 5 2 4" xfId="11287"/>
    <cellStyle name="RowTitles1-Detail 3 5 2 5" xfId="11288"/>
    <cellStyle name="RowTitles1-Detail 3 5 2 5 2" xfId="11289"/>
    <cellStyle name="RowTitles1-Detail 3 5 2 5_Tertiary Salaries Survey" xfId="11290"/>
    <cellStyle name="RowTitles1-Detail 3 5 2 6" xfId="11291"/>
    <cellStyle name="RowTitles1-Detail 3 5 2_Tertiary Salaries Survey" xfId="11292"/>
    <cellStyle name="RowTitles1-Detail 3 5 3" xfId="11293"/>
    <cellStyle name="RowTitles1-Detail 3 5 3 2" xfId="11294"/>
    <cellStyle name="RowTitles1-Detail 3 5 3 2 2" xfId="11295"/>
    <cellStyle name="RowTitles1-Detail 3 5 3 2 2 2" xfId="11296"/>
    <cellStyle name="RowTitles1-Detail 3 5 3 2 2_Tertiary Salaries Survey" xfId="11297"/>
    <cellStyle name="RowTitles1-Detail 3 5 3 2 3" xfId="11298"/>
    <cellStyle name="RowTitles1-Detail 3 5 3 2_Tertiary Salaries Survey" xfId="11299"/>
    <cellStyle name="RowTitles1-Detail 3 5 3 3" xfId="11300"/>
    <cellStyle name="RowTitles1-Detail 3 5 3 3 2" xfId="11301"/>
    <cellStyle name="RowTitles1-Detail 3 5 3 3 2 2" xfId="11302"/>
    <cellStyle name="RowTitles1-Detail 3 5 3 3 2_Tertiary Salaries Survey" xfId="11303"/>
    <cellStyle name="RowTitles1-Detail 3 5 3 3 3" xfId="11304"/>
    <cellStyle name="RowTitles1-Detail 3 5 3 3_Tertiary Salaries Survey" xfId="11305"/>
    <cellStyle name="RowTitles1-Detail 3 5 3 4" xfId="11306"/>
    <cellStyle name="RowTitles1-Detail 3 5 3 5" xfId="11307"/>
    <cellStyle name="RowTitles1-Detail 3 5 3_Tertiary Salaries Survey" xfId="11308"/>
    <cellStyle name="RowTitles1-Detail 3 5 4" xfId="11309"/>
    <cellStyle name="RowTitles1-Detail 3 5 4 2" xfId="11310"/>
    <cellStyle name="RowTitles1-Detail 3 5 4 2 2" xfId="11311"/>
    <cellStyle name="RowTitles1-Detail 3 5 4 2 2 2" xfId="11312"/>
    <cellStyle name="RowTitles1-Detail 3 5 4 2 2_Tertiary Salaries Survey" xfId="11313"/>
    <cellStyle name="RowTitles1-Detail 3 5 4 2 3" xfId="11314"/>
    <cellStyle name="RowTitles1-Detail 3 5 4 2_Tertiary Salaries Survey" xfId="11315"/>
    <cellStyle name="RowTitles1-Detail 3 5 4 3" xfId="11316"/>
    <cellStyle name="RowTitles1-Detail 3 5 4 3 2" xfId="11317"/>
    <cellStyle name="RowTitles1-Detail 3 5 4 3 2 2" xfId="11318"/>
    <cellStyle name="RowTitles1-Detail 3 5 4 3 2_Tertiary Salaries Survey" xfId="11319"/>
    <cellStyle name="RowTitles1-Detail 3 5 4 3 3" xfId="11320"/>
    <cellStyle name="RowTitles1-Detail 3 5 4 3_Tertiary Salaries Survey" xfId="11321"/>
    <cellStyle name="RowTitles1-Detail 3 5 4 4" xfId="11322"/>
    <cellStyle name="RowTitles1-Detail 3 5 4 4 2" xfId="11323"/>
    <cellStyle name="RowTitles1-Detail 3 5 4 4_Tertiary Salaries Survey" xfId="11324"/>
    <cellStyle name="RowTitles1-Detail 3 5 4 5" xfId="11325"/>
    <cellStyle name="RowTitles1-Detail 3 5 4_Tertiary Salaries Survey" xfId="11326"/>
    <cellStyle name="RowTitles1-Detail 3 5 5" xfId="11327"/>
    <cellStyle name="RowTitles1-Detail 3 5 5 2" xfId="11328"/>
    <cellStyle name="RowTitles1-Detail 3 5 5 2 2" xfId="11329"/>
    <cellStyle name="RowTitles1-Detail 3 5 5 2 2 2" xfId="11330"/>
    <cellStyle name="RowTitles1-Detail 3 5 5 2 2_Tertiary Salaries Survey" xfId="11331"/>
    <cellStyle name="RowTitles1-Detail 3 5 5 2 3" xfId="11332"/>
    <cellStyle name="RowTitles1-Detail 3 5 5 2_Tertiary Salaries Survey" xfId="11333"/>
    <cellStyle name="RowTitles1-Detail 3 5 5 3" xfId="11334"/>
    <cellStyle name="RowTitles1-Detail 3 5 5 3 2" xfId="11335"/>
    <cellStyle name="RowTitles1-Detail 3 5 5 3 2 2" xfId="11336"/>
    <cellStyle name="RowTitles1-Detail 3 5 5 3 2_Tertiary Salaries Survey" xfId="11337"/>
    <cellStyle name="RowTitles1-Detail 3 5 5 3 3" xfId="11338"/>
    <cellStyle name="RowTitles1-Detail 3 5 5 3_Tertiary Salaries Survey" xfId="11339"/>
    <cellStyle name="RowTitles1-Detail 3 5 5 4" xfId="11340"/>
    <cellStyle name="RowTitles1-Detail 3 5 5 4 2" xfId="11341"/>
    <cellStyle name="RowTitles1-Detail 3 5 5 4_Tertiary Salaries Survey" xfId="11342"/>
    <cellStyle name="RowTitles1-Detail 3 5 5 5" xfId="11343"/>
    <cellStyle name="RowTitles1-Detail 3 5 5_Tertiary Salaries Survey" xfId="11344"/>
    <cellStyle name="RowTitles1-Detail 3 5 6" xfId="11345"/>
    <cellStyle name="RowTitles1-Detail 3 5 6 2" xfId="11346"/>
    <cellStyle name="RowTitles1-Detail 3 5 6 2 2" xfId="11347"/>
    <cellStyle name="RowTitles1-Detail 3 5 6 2 2 2" xfId="11348"/>
    <cellStyle name="RowTitles1-Detail 3 5 6 2 2_Tertiary Salaries Survey" xfId="11349"/>
    <cellStyle name="RowTitles1-Detail 3 5 6 2 3" xfId="11350"/>
    <cellStyle name="RowTitles1-Detail 3 5 6 2_Tertiary Salaries Survey" xfId="11351"/>
    <cellStyle name="RowTitles1-Detail 3 5 6 3" xfId="11352"/>
    <cellStyle name="RowTitles1-Detail 3 5 6 3 2" xfId="11353"/>
    <cellStyle name="RowTitles1-Detail 3 5 6 3 2 2" xfId="11354"/>
    <cellStyle name="RowTitles1-Detail 3 5 6 3 2_Tertiary Salaries Survey" xfId="11355"/>
    <cellStyle name="RowTitles1-Detail 3 5 6 3 3" xfId="11356"/>
    <cellStyle name="RowTitles1-Detail 3 5 6 3_Tertiary Salaries Survey" xfId="11357"/>
    <cellStyle name="RowTitles1-Detail 3 5 6 4" xfId="11358"/>
    <cellStyle name="RowTitles1-Detail 3 5 6 4 2" xfId="11359"/>
    <cellStyle name="RowTitles1-Detail 3 5 6 4_Tertiary Salaries Survey" xfId="11360"/>
    <cellStyle name="RowTitles1-Detail 3 5 6 5" xfId="11361"/>
    <cellStyle name="RowTitles1-Detail 3 5 6_Tertiary Salaries Survey" xfId="11362"/>
    <cellStyle name="RowTitles1-Detail 3 5 7" xfId="11363"/>
    <cellStyle name="RowTitles1-Detail 3 5 7 2" xfId="11364"/>
    <cellStyle name="RowTitles1-Detail 3 5 7 2 2" xfId="11365"/>
    <cellStyle name="RowTitles1-Detail 3 5 7 2_Tertiary Salaries Survey" xfId="11366"/>
    <cellStyle name="RowTitles1-Detail 3 5 7 3" xfId="11367"/>
    <cellStyle name="RowTitles1-Detail 3 5 7_Tertiary Salaries Survey" xfId="11368"/>
    <cellStyle name="RowTitles1-Detail 3 5 8" xfId="11369"/>
    <cellStyle name="RowTitles1-Detail 3 5 8 2" xfId="11370"/>
    <cellStyle name="RowTitles1-Detail 3 5 8 2 2" xfId="11371"/>
    <cellStyle name="RowTitles1-Detail 3 5 8 2_Tertiary Salaries Survey" xfId="11372"/>
    <cellStyle name="RowTitles1-Detail 3 5 8 3" xfId="11373"/>
    <cellStyle name="RowTitles1-Detail 3 5 8_Tertiary Salaries Survey" xfId="11374"/>
    <cellStyle name="RowTitles1-Detail 3 5 9" xfId="11375"/>
    <cellStyle name="RowTitles1-Detail 3 5_STUD aligned by INSTIT" xfId="11376"/>
    <cellStyle name="RowTitles1-Detail 3 6" xfId="11377"/>
    <cellStyle name="RowTitles1-Detail 3 6 2" xfId="11378"/>
    <cellStyle name="RowTitles1-Detail 3 6 2 2" xfId="11379"/>
    <cellStyle name="RowTitles1-Detail 3 6 2 2 2" xfId="11380"/>
    <cellStyle name="RowTitles1-Detail 3 6 2 2 2 2" xfId="11381"/>
    <cellStyle name="RowTitles1-Detail 3 6 2 2 2_Tertiary Salaries Survey" xfId="11382"/>
    <cellStyle name="RowTitles1-Detail 3 6 2 2 3" xfId="11383"/>
    <cellStyle name="RowTitles1-Detail 3 6 2 2_Tertiary Salaries Survey" xfId="11384"/>
    <cellStyle name="RowTitles1-Detail 3 6 2 3" xfId="11385"/>
    <cellStyle name="RowTitles1-Detail 3 6 2 3 2" xfId="11386"/>
    <cellStyle name="RowTitles1-Detail 3 6 2 3 2 2" xfId="11387"/>
    <cellStyle name="RowTitles1-Detail 3 6 2 3 2_Tertiary Salaries Survey" xfId="11388"/>
    <cellStyle name="RowTitles1-Detail 3 6 2 3 3" xfId="11389"/>
    <cellStyle name="RowTitles1-Detail 3 6 2 3_Tertiary Salaries Survey" xfId="11390"/>
    <cellStyle name="RowTitles1-Detail 3 6 2 4" xfId="11391"/>
    <cellStyle name="RowTitles1-Detail 3 6 2 5" xfId="11392"/>
    <cellStyle name="RowTitles1-Detail 3 6 2 5 2" xfId="11393"/>
    <cellStyle name="RowTitles1-Detail 3 6 2 5_Tertiary Salaries Survey" xfId="11394"/>
    <cellStyle name="RowTitles1-Detail 3 6 2 6" xfId="11395"/>
    <cellStyle name="RowTitles1-Detail 3 6 2_Tertiary Salaries Survey" xfId="11396"/>
    <cellStyle name="RowTitles1-Detail 3 6 3" xfId="11397"/>
    <cellStyle name="RowTitles1-Detail 3 6 3 2" xfId="11398"/>
    <cellStyle name="RowTitles1-Detail 3 6 3 2 2" xfId="11399"/>
    <cellStyle name="RowTitles1-Detail 3 6 3 2 2 2" xfId="11400"/>
    <cellStyle name="RowTitles1-Detail 3 6 3 2 2_Tertiary Salaries Survey" xfId="11401"/>
    <cellStyle name="RowTitles1-Detail 3 6 3 2 3" xfId="11402"/>
    <cellStyle name="RowTitles1-Detail 3 6 3 2_Tertiary Salaries Survey" xfId="11403"/>
    <cellStyle name="RowTitles1-Detail 3 6 3 3" xfId="11404"/>
    <cellStyle name="RowTitles1-Detail 3 6 3 3 2" xfId="11405"/>
    <cellStyle name="RowTitles1-Detail 3 6 3 3 2 2" xfId="11406"/>
    <cellStyle name="RowTitles1-Detail 3 6 3 3 2_Tertiary Salaries Survey" xfId="11407"/>
    <cellStyle name="RowTitles1-Detail 3 6 3 3 3" xfId="11408"/>
    <cellStyle name="RowTitles1-Detail 3 6 3 3_Tertiary Salaries Survey" xfId="11409"/>
    <cellStyle name="RowTitles1-Detail 3 6 3 4" xfId="11410"/>
    <cellStyle name="RowTitles1-Detail 3 6 3 5" xfId="11411"/>
    <cellStyle name="RowTitles1-Detail 3 6 3_Tertiary Salaries Survey" xfId="11412"/>
    <cellStyle name="RowTitles1-Detail 3 6 4" xfId="11413"/>
    <cellStyle name="RowTitles1-Detail 3 6 4 2" xfId="11414"/>
    <cellStyle name="RowTitles1-Detail 3 6 4 2 2" xfId="11415"/>
    <cellStyle name="RowTitles1-Detail 3 6 4 2 2 2" xfId="11416"/>
    <cellStyle name="RowTitles1-Detail 3 6 4 2 2_Tertiary Salaries Survey" xfId="11417"/>
    <cellStyle name="RowTitles1-Detail 3 6 4 2 3" xfId="11418"/>
    <cellStyle name="RowTitles1-Detail 3 6 4 2_Tertiary Salaries Survey" xfId="11419"/>
    <cellStyle name="RowTitles1-Detail 3 6 4 3" xfId="11420"/>
    <cellStyle name="RowTitles1-Detail 3 6 4 3 2" xfId="11421"/>
    <cellStyle name="RowTitles1-Detail 3 6 4 3 2 2" xfId="11422"/>
    <cellStyle name="RowTitles1-Detail 3 6 4 3 2_Tertiary Salaries Survey" xfId="11423"/>
    <cellStyle name="RowTitles1-Detail 3 6 4 3 3" xfId="11424"/>
    <cellStyle name="RowTitles1-Detail 3 6 4 3_Tertiary Salaries Survey" xfId="11425"/>
    <cellStyle name="RowTitles1-Detail 3 6 4 4" xfId="11426"/>
    <cellStyle name="RowTitles1-Detail 3 6 4 5" xfId="11427"/>
    <cellStyle name="RowTitles1-Detail 3 6 4 5 2" xfId="11428"/>
    <cellStyle name="RowTitles1-Detail 3 6 4 5_Tertiary Salaries Survey" xfId="11429"/>
    <cellStyle name="RowTitles1-Detail 3 6 4 6" xfId="11430"/>
    <cellStyle name="RowTitles1-Detail 3 6 4_Tertiary Salaries Survey" xfId="11431"/>
    <cellStyle name="RowTitles1-Detail 3 6 5" xfId="11432"/>
    <cellStyle name="RowTitles1-Detail 3 6 5 2" xfId="11433"/>
    <cellStyle name="RowTitles1-Detail 3 6 5 2 2" xfId="11434"/>
    <cellStyle name="RowTitles1-Detail 3 6 5 2 2 2" xfId="11435"/>
    <cellStyle name="RowTitles1-Detail 3 6 5 2 2_Tertiary Salaries Survey" xfId="11436"/>
    <cellStyle name="RowTitles1-Detail 3 6 5 2 3" xfId="11437"/>
    <cellStyle name="RowTitles1-Detail 3 6 5 2_Tertiary Salaries Survey" xfId="11438"/>
    <cellStyle name="RowTitles1-Detail 3 6 5 3" xfId="11439"/>
    <cellStyle name="RowTitles1-Detail 3 6 5 3 2" xfId="11440"/>
    <cellStyle name="RowTitles1-Detail 3 6 5 3 2 2" xfId="11441"/>
    <cellStyle name="RowTitles1-Detail 3 6 5 3 2_Tertiary Salaries Survey" xfId="11442"/>
    <cellStyle name="RowTitles1-Detail 3 6 5 3 3" xfId="11443"/>
    <cellStyle name="RowTitles1-Detail 3 6 5 3_Tertiary Salaries Survey" xfId="11444"/>
    <cellStyle name="RowTitles1-Detail 3 6 5 4" xfId="11445"/>
    <cellStyle name="RowTitles1-Detail 3 6 5 4 2" xfId="11446"/>
    <cellStyle name="RowTitles1-Detail 3 6 5 4_Tertiary Salaries Survey" xfId="11447"/>
    <cellStyle name="RowTitles1-Detail 3 6 5 5" xfId="11448"/>
    <cellStyle name="RowTitles1-Detail 3 6 5_Tertiary Salaries Survey" xfId="11449"/>
    <cellStyle name="RowTitles1-Detail 3 6 6" xfId="11450"/>
    <cellStyle name="RowTitles1-Detail 3 6 6 2" xfId="11451"/>
    <cellStyle name="RowTitles1-Detail 3 6 6 2 2" xfId="11452"/>
    <cellStyle name="RowTitles1-Detail 3 6 6 2 2 2" xfId="11453"/>
    <cellStyle name="RowTitles1-Detail 3 6 6 2 2_Tertiary Salaries Survey" xfId="11454"/>
    <cellStyle name="RowTitles1-Detail 3 6 6 2 3" xfId="11455"/>
    <cellStyle name="RowTitles1-Detail 3 6 6 2_Tertiary Salaries Survey" xfId="11456"/>
    <cellStyle name="RowTitles1-Detail 3 6 6 3" xfId="11457"/>
    <cellStyle name="RowTitles1-Detail 3 6 6 3 2" xfId="11458"/>
    <cellStyle name="RowTitles1-Detail 3 6 6 3 2 2" xfId="11459"/>
    <cellStyle name="RowTitles1-Detail 3 6 6 3 2_Tertiary Salaries Survey" xfId="11460"/>
    <cellStyle name="RowTitles1-Detail 3 6 6 3 3" xfId="11461"/>
    <cellStyle name="RowTitles1-Detail 3 6 6 3_Tertiary Salaries Survey" xfId="11462"/>
    <cellStyle name="RowTitles1-Detail 3 6 6 4" xfId="11463"/>
    <cellStyle name="RowTitles1-Detail 3 6 6 4 2" xfId="11464"/>
    <cellStyle name="RowTitles1-Detail 3 6 6 4_Tertiary Salaries Survey" xfId="11465"/>
    <cellStyle name="RowTitles1-Detail 3 6 6 5" xfId="11466"/>
    <cellStyle name="RowTitles1-Detail 3 6 6_Tertiary Salaries Survey" xfId="11467"/>
    <cellStyle name="RowTitles1-Detail 3 6 7" xfId="11468"/>
    <cellStyle name="RowTitles1-Detail 3 6 7 2" xfId="11469"/>
    <cellStyle name="RowTitles1-Detail 3 6 7 2 2" xfId="11470"/>
    <cellStyle name="RowTitles1-Detail 3 6 7 2_Tertiary Salaries Survey" xfId="11471"/>
    <cellStyle name="RowTitles1-Detail 3 6 7 3" xfId="11472"/>
    <cellStyle name="RowTitles1-Detail 3 6 7_Tertiary Salaries Survey" xfId="11473"/>
    <cellStyle name="RowTitles1-Detail 3 6 8" xfId="11474"/>
    <cellStyle name="RowTitles1-Detail 3 6 9" xfId="11475"/>
    <cellStyle name="RowTitles1-Detail 3 6_STUD aligned by INSTIT" xfId="11476"/>
    <cellStyle name="RowTitles1-Detail 3 7" xfId="11477"/>
    <cellStyle name="RowTitles1-Detail 3 7 2" xfId="11478"/>
    <cellStyle name="RowTitles1-Detail 3 7 2 2" xfId="11479"/>
    <cellStyle name="RowTitles1-Detail 3 7 2 2 2" xfId="11480"/>
    <cellStyle name="RowTitles1-Detail 3 7 2 2_Tertiary Salaries Survey" xfId="11481"/>
    <cellStyle name="RowTitles1-Detail 3 7 2 3" xfId="11482"/>
    <cellStyle name="RowTitles1-Detail 3 7 2_Tertiary Salaries Survey" xfId="11483"/>
    <cellStyle name="RowTitles1-Detail 3 7 3" xfId="11484"/>
    <cellStyle name="RowTitles1-Detail 3 7 3 2" xfId="11485"/>
    <cellStyle name="RowTitles1-Detail 3 7 3 2 2" xfId="11486"/>
    <cellStyle name="RowTitles1-Detail 3 7 3 2_Tertiary Salaries Survey" xfId="11487"/>
    <cellStyle name="RowTitles1-Detail 3 7 3 3" xfId="11488"/>
    <cellStyle name="RowTitles1-Detail 3 7 3_Tertiary Salaries Survey" xfId="11489"/>
    <cellStyle name="RowTitles1-Detail 3 7 4" xfId="11490"/>
    <cellStyle name="RowTitles1-Detail 3 7 5" xfId="11491"/>
    <cellStyle name="RowTitles1-Detail 3 7 5 2" xfId="11492"/>
    <cellStyle name="RowTitles1-Detail 3 7 5_Tertiary Salaries Survey" xfId="11493"/>
    <cellStyle name="RowTitles1-Detail 3 7 6" xfId="11494"/>
    <cellStyle name="RowTitles1-Detail 3 7_Tertiary Salaries Survey" xfId="11495"/>
    <cellStyle name="RowTitles1-Detail 3 8" xfId="11496"/>
    <cellStyle name="RowTitles1-Detail 3 8 2" xfId="11497"/>
    <cellStyle name="RowTitles1-Detail 3 8 2 2" xfId="11498"/>
    <cellStyle name="RowTitles1-Detail 3 8 2 2 2" xfId="11499"/>
    <cellStyle name="RowTitles1-Detail 3 8 2 2_Tertiary Salaries Survey" xfId="11500"/>
    <cellStyle name="RowTitles1-Detail 3 8 2 3" xfId="11501"/>
    <cellStyle name="RowTitles1-Detail 3 8 2_Tertiary Salaries Survey" xfId="11502"/>
    <cellStyle name="RowTitles1-Detail 3 8 3" xfId="11503"/>
    <cellStyle name="RowTitles1-Detail 3 8 3 2" xfId="11504"/>
    <cellStyle name="RowTitles1-Detail 3 8 3 2 2" xfId="11505"/>
    <cellStyle name="RowTitles1-Detail 3 8 3 2_Tertiary Salaries Survey" xfId="11506"/>
    <cellStyle name="RowTitles1-Detail 3 8 3 3" xfId="11507"/>
    <cellStyle name="RowTitles1-Detail 3 8 3_Tertiary Salaries Survey" xfId="11508"/>
    <cellStyle name="RowTitles1-Detail 3 8 4" xfId="11509"/>
    <cellStyle name="RowTitles1-Detail 3 8 5" xfId="11510"/>
    <cellStyle name="RowTitles1-Detail 3 8_Tertiary Salaries Survey" xfId="11511"/>
    <cellStyle name="RowTitles1-Detail 3 9" xfId="11512"/>
    <cellStyle name="RowTitles1-Detail 3 9 2" xfId="11513"/>
    <cellStyle name="RowTitles1-Detail 3 9 2 2" xfId="11514"/>
    <cellStyle name="RowTitles1-Detail 3 9 2 2 2" xfId="11515"/>
    <cellStyle name="RowTitles1-Detail 3 9 2 2_Tertiary Salaries Survey" xfId="11516"/>
    <cellStyle name="RowTitles1-Detail 3 9 2 3" xfId="11517"/>
    <cellStyle name="RowTitles1-Detail 3 9 2_Tertiary Salaries Survey" xfId="11518"/>
    <cellStyle name="RowTitles1-Detail 3 9 3" xfId="11519"/>
    <cellStyle name="RowTitles1-Detail 3 9 3 2" xfId="11520"/>
    <cellStyle name="RowTitles1-Detail 3 9 3 2 2" xfId="11521"/>
    <cellStyle name="RowTitles1-Detail 3 9 3 2_Tertiary Salaries Survey" xfId="11522"/>
    <cellStyle name="RowTitles1-Detail 3 9 3 3" xfId="11523"/>
    <cellStyle name="RowTitles1-Detail 3 9 3_Tertiary Salaries Survey" xfId="11524"/>
    <cellStyle name="RowTitles1-Detail 3 9 4" xfId="11525"/>
    <cellStyle name="RowTitles1-Detail 3 9 5" xfId="11526"/>
    <cellStyle name="RowTitles1-Detail 3 9 5 2" xfId="11527"/>
    <cellStyle name="RowTitles1-Detail 3 9 5_Tertiary Salaries Survey" xfId="11528"/>
    <cellStyle name="RowTitles1-Detail 3 9 6" xfId="11529"/>
    <cellStyle name="RowTitles1-Detail 3 9_Tertiary Salaries Survey" xfId="11530"/>
    <cellStyle name="RowTitles1-Detail 3_STUD aligned by INSTIT" xfId="11531"/>
    <cellStyle name="RowTitles1-Detail 4" xfId="11532"/>
    <cellStyle name="RowTitles1-Detail 4 10" xfId="11533"/>
    <cellStyle name="RowTitles1-Detail 4 10 2" xfId="11534"/>
    <cellStyle name="RowTitles1-Detail 4 10 2 2" xfId="11535"/>
    <cellStyle name="RowTitles1-Detail 4 10 2 2 2" xfId="11536"/>
    <cellStyle name="RowTitles1-Detail 4 10 2 2_Tertiary Salaries Survey" xfId="11537"/>
    <cellStyle name="RowTitles1-Detail 4 10 2 3" xfId="11538"/>
    <cellStyle name="RowTitles1-Detail 4 10 2_Tertiary Salaries Survey" xfId="11539"/>
    <cellStyle name="RowTitles1-Detail 4 10 3" xfId="11540"/>
    <cellStyle name="RowTitles1-Detail 4 10 3 2" xfId="11541"/>
    <cellStyle name="RowTitles1-Detail 4 10 3 2 2" xfId="11542"/>
    <cellStyle name="RowTitles1-Detail 4 10 3 2_Tertiary Salaries Survey" xfId="11543"/>
    <cellStyle name="RowTitles1-Detail 4 10 3 3" xfId="11544"/>
    <cellStyle name="RowTitles1-Detail 4 10 3_Tertiary Salaries Survey" xfId="11545"/>
    <cellStyle name="RowTitles1-Detail 4 10 4" xfId="11546"/>
    <cellStyle name="RowTitles1-Detail 4 10 4 2" xfId="11547"/>
    <cellStyle name="RowTitles1-Detail 4 10 4_Tertiary Salaries Survey" xfId="11548"/>
    <cellStyle name="RowTitles1-Detail 4 10 5" xfId="11549"/>
    <cellStyle name="RowTitles1-Detail 4 10_Tertiary Salaries Survey" xfId="11550"/>
    <cellStyle name="RowTitles1-Detail 4 11" xfId="11551"/>
    <cellStyle name="RowTitles1-Detail 4 11 2" xfId="11552"/>
    <cellStyle name="RowTitles1-Detail 4 11 2 2" xfId="11553"/>
    <cellStyle name="RowTitles1-Detail 4 11 2 2 2" xfId="11554"/>
    <cellStyle name="RowTitles1-Detail 4 11 2 2_Tertiary Salaries Survey" xfId="11555"/>
    <cellStyle name="RowTitles1-Detail 4 11 2 3" xfId="11556"/>
    <cellStyle name="RowTitles1-Detail 4 11 2_Tertiary Salaries Survey" xfId="11557"/>
    <cellStyle name="RowTitles1-Detail 4 11 3" xfId="11558"/>
    <cellStyle name="RowTitles1-Detail 4 11 3 2" xfId="11559"/>
    <cellStyle name="RowTitles1-Detail 4 11 3 2 2" xfId="11560"/>
    <cellStyle name="RowTitles1-Detail 4 11 3 2_Tertiary Salaries Survey" xfId="11561"/>
    <cellStyle name="RowTitles1-Detail 4 11 3 3" xfId="11562"/>
    <cellStyle name="RowTitles1-Detail 4 11 3_Tertiary Salaries Survey" xfId="11563"/>
    <cellStyle name="RowTitles1-Detail 4 11 4" xfId="11564"/>
    <cellStyle name="RowTitles1-Detail 4 11 4 2" xfId="11565"/>
    <cellStyle name="RowTitles1-Detail 4 11 4_Tertiary Salaries Survey" xfId="11566"/>
    <cellStyle name="RowTitles1-Detail 4 11 5" xfId="11567"/>
    <cellStyle name="RowTitles1-Detail 4 11_Tertiary Salaries Survey" xfId="11568"/>
    <cellStyle name="RowTitles1-Detail 4 12" xfId="11569"/>
    <cellStyle name="RowTitles1-Detail 4 12 2" xfId="11570"/>
    <cellStyle name="RowTitles1-Detail 4 12 2 2" xfId="11571"/>
    <cellStyle name="RowTitles1-Detail 4 12 2_Tertiary Salaries Survey" xfId="11572"/>
    <cellStyle name="RowTitles1-Detail 4 12 3" xfId="11573"/>
    <cellStyle name="RowTitles1-Detail 4 12_Tertiary Salaries Survey" xfId="11574"/>
    <cellStyle name="RowTitles1-Detail 4 13" xfId="11575"/>
    <cellStyle name="RowTitles1-Detail 4 14" xfId="11576"/>
    <cellStyle name="RowTitles1-Detail 4 15" xfId="11577"/>
    <cellStyle name="RowTitles1-Detail 4 2" xfId="11578"/>
    <cellStyle name="RowTitles1-Detail 4 2 10" xfId="11579"/>
    <cellStyle name="RowTitles1-Detail 4 2 10 2" xfId="11580"/>
    <cellStyle name="RowTitles1-Detail 4 2 10 2 2" xfId="11581"/>
    <cellStyle name="RowTitles1-Detail 4 2 10 2 2 2" xfId="11582"/>
    <cellStyle name="RowTitles1-Detail 4 2 10 2 2_Tertiary Salaries Survey" xfId="11583"/>
    <cellStyle name="RowTitles1-Detail 4 2 10 2 3" xfId="11584"/>
    <cellStyle name="RowTitles1-Detail 4 2 10 2_Tertiary Salaries Survey" xfId="11585"/>
    <cellStyle name="RowTitles1-Detail 4 2 10 3" xfId="11586"/>
    <cellStyle name="RowTitles1-Detail 4 2 10 3 2" xfId="11587"/>
    <cellStyle name="RowTitles1-Detail 4 2 10 3 2 2" xfId="11588"/>
    <cellStyle name="RowTitles1-Detail 4 2 10 3 2_Tertiary Salaries Survey" xfId="11589"/>
    <cellStyle name="RowTitles1-Detail 4 2 10 3 3" xfId="11590"/>
    <cellStyle name="RowTitles1-Detail 4 2 10 3_Tertiary Salaries Survey" xfId="11591"/>
    <cellStyle name="RowTitles1-Detail 4 2 10 4" xfId="11592"/>
    <cellStyle name="RowTitles1-Detail 4 2 10 4 2" xfId="11593"/>
    <cellStyle name="RowTitles1-Detail 4 2 10 4_Tertiary Salaries Survey" xfId="11594"/>
    <cellStyle name="RowTitles1-Detail 4 2 10 5" xfId="11595"/>
    <cellStyle name="RowTitles1-Detail 4 2 10_Tertiary Salaries Survey" xfId="11596"/>
    <cellStyle name="RowTitles1-Detail 4 2 11" xfId="11597"/>
    <cellStyle name="RowTitles1-Detail 4 2 11 2" xfId="11598"/>
    <cellStyle name="RowTitles1-Detail 4 2 11 2 2" xfId="11599"/>
    <cellStyle name="RowTitles1-Detail 4 2 11 2_Tertiary Salaries Survey" xfId="11600"/>
    <cellStyle name="RowTitles1-Detail 4 2 11 3" xfId="11601"/>
    <cellStyle name="RowTitles1-Detail 4 2 11_Tertiary Salaries Survey" xfId="11602"/>
    <cellStyle name="RowTitles1-Detail 4 2 12" xfId="11603"/>
    <cellStyle name="RowTitles1-Detail 4 2 13" xfId="11604"/>
    <cellStyle name="RowTitles1-Detail 4 2 2" xfId="11605"/>
    <cellStyle name="RowTitles1-Detail 4 2 2 10" xfId="11606"/>
    <cellStyle name="RowTitles1-Detail 4 2 2 10 2" xfId="11607"/>
    <cellStyle name="RowTitles1-Detail 4 2 2 10 2 2" xfId="11608"/>
    <cellStyle name="RowTitles1-Detail 4 2 2 10 2_Tertiary Salaries Survey" xfId="11609"/>
    <cellStyle name="RowTitles1-Detail 4 2 2 10 3" xfId="11610"/>
    <cellStyle name="RowTitles1-Detail 4 2 2 10_Tertiary Salaries Survey" xfId="11611"/>
    <cellStyle name="RowTitles1-Detail 4 2 2 11" xfId="11612"/>
    <cellStyle name="RowTitles1-Detail 4 2 2 12" xfId="11613"/>
    <cellStyle name="RowTitles1-Detail 4 2 2 2" xfId="11614"/>
    <cellStyle name="RowTitles1-Detail 4 2 2 2 2" xfId="11615"/>
    <cellStyle name="RowTitles1-Detail 4 2 2 2 2 2" xfId="11616"/>
    <cellStyle name="RowTitles1-Detail 4 2 2 2 2 2 2" xfId="11617"/>
    <cellStyle name="RowTitles1-Detail 4 2 2 2 2 2 2 2" xfId="11618"/>
    <cellStyle name="RowTitles1-Detail 4 2 2 2 2 2 2_Tertiary Salaries Survey" xfId="11619"/>
    <cellStyle name="RowTitles1-Detail 4 2 2 2 2 2 3" xfId="11620"/>
    <cellStyle name="RowTitles1-Detail 4 2 2 2 2 2_Tertiary Salaries Survey" xfId="11621"/>
    <cellStyle name="RowTitles1-Detail 4 2 2 2 2 3" xfId="11622"/>
    <cellStyle name="RowTitles1-Detail 4 2 2 2 2 3 2" xfId="11623"/>
    <cellStyle name="RowTitles1-Detail 4 2 2 2 2 3 2 2" xfId="11624"/>
    <cellStyle name="RowTitles1-Detail 4 2 2 2 2 3 2_Tertiary Salaries Survey" xfId="11625"/>
    <cellStyle name="RowTitles1-Detail 4 2 2 2 2 3 3" xfId="11626"/>
    <cellStyle name="RowTitles1-Detail 4 2 2 2 2 3_Tertiary Salaries Survey" xfId="11627"/>
    <cellStyle name="RowTitles1-Detail 4 2 2 2 2 4" xfId="11628"/>
    <cellStyle name="RowTitles1-Detail 4 2 2 2 2 5" xfId="11629"/>
    <cellStyle name="RowTitles1-Detail 4 2 2 2 2_Tertiary Salaries Survey" xfId="11630"/>
    <cellStyle name="RowTitles1-Detail 4 2 2 2 3" xfId="11631"/>
    <cellStyle name="RowTitles1-Detail 4 2 2 2 3 2" xfId="11632"/>
    <cellStyle name="RowTitles1-Detail 4 2 2 2 3 2 2" xfId="11633"/>
    <cellStyle name="RowTitles1-Detail 4 2 2 2 3 2 2 2" xfId="11634"/>
    <cellStyle name="RowTitles1-Detail 4 2 2 2 3 2 2_Tertiary Salaries Survey" xfId="11635"/>
    <cellStyle name="RowTitles1-Detail 4 2 2 2 3 2 3" xfId="11636"/>
    <cellStyle name="RowTitles1-Detail 4 2 2 2 3 2_Tertiary Salaries Survey" xfId="11637"/>
    <cellStyle name="RowTitles1-Detail 4 2 2 2 3 3" xfId="11638"/>
    <cellStyle name="RowTitles1-Detail 4 2 2 2 3 3 2" xfId="11639"/>
    <cellStyle name="RowTitles1-Detail 4 2 2 2 3 3 2 2" xfId="11640"/>
    <cellStyle name="RowTitles1-Detail 4 2 2 2 3 3 2_Tertiary Salaries Survey" xfId="11641"/>
    <cellStyle name="RowTitles1-Detail 4 2 2 2 3 3 3" xfId="11642"/>
    <cellStyle name="RowTitles1-Detail 4 2 2 2 3 3_Tertiary Salaries Survey" xfId="11643"/>
    <cellStyle name="RowTitles1-Detail 4 2 2 2 3 4" xfId="11644"/>
    <cellStyle name="RowTitles1-Detail 4 2 2 2 3 5" xfId="11645"/>
    <cellStyle name="RowTitles1-Detail 4 2 2 2 3 5 2" xfId="11646"/>
    <cellStyle name="RowTitles1-Detail 4 2 2 2 3 5_Tertiary Salaries Survey" xfId="11647"/>
    <cellStyle name="RowTitles1-Detail 4 2 2 2 3 6" xfId="11648"/>
    <cellStyle name="RowTitles1-Detail 4 2 2 2 3_Tertiary Salaries Survey" xfId="11649"/>
    <cellStyle name="RowTitles1-Detail 4 2 2 2 4" xfId="11650"/>
    <cellStyle name="RowTitles1-Detail 4 2 2 2 4 2" xfId="11651"/>
    <cellStyle name="RowTitles1-Detail 4 2 2 2 4 2 2" xfId="11652"/>
    <cellStyle name="RowTitles1-Detail 4 2 2 2 4 2 2 2" xfId="11653"/>
    <cellStyle name="RowTitles1-Detail 4 2 2 2 4 2 2_Tertiary Salaries Survey" xfId="11654"/>
    <cellStyle name="RowTitles1-Detail 4 2 2 2 4 2 3" xfId="11655"/>
    <cellStyle name="RowTitles1-Detail 4 2 2 2 4 2_Tertiary Salaries Survey" xfId="11656"/>
    <cellStyle name="RowTitles1-Detail 4 2 2 2 4 3" xfId="11657"/>
    <cellStyle name="RowTitles1-Detail 4 2 2 2 4 3 2" xfId="11658"/>
    <cellStyle name="RowTitles1-Detail 4 2 2 2 4 3 2 2" xfId="11659"/>
    <cellStyle name="RowTitles1-Detail 4 2 2 2 4 3 2_Tertiary Salaries Survey" xfId="11660"/>
    <cellStyle name="RowTitles1-Detail 4 2 2 2 4 3 3" xfId="11661"/>
    <cellStyle name="RowTitles1-Detail 4 2 2 2 4 3_Tertiary Salaries Survey" xfId="11662"/>
    <cellStyle name="RowTitles1-Detail 4 2 2 2 4 4" xfId="11663"/>
    <cellStyle name="RowTitles1-Detail 4 2 2 2 4 4 2" xfId="11664"/>
    <cellStyle name="RowTitles1-Detail 4 2 2 2 4 4_Tertiary Salaries Survey" xfId="11665"/>
    <cellStyle name="RowTitles1-Detail 4 2 2 2 4 5" xfId="11666"/>
    <cellStyle name="RowTitles1-Detail 4 2 2 2 4_Tertiary Salaries Survey" xfId="11667"/>
    <cellStyle name="RowTitles1-Detail 4 2 2 2 5" xfId="11668"/>
    <cellStyle name="RowTitles1-Detail 4 2 2 2 5 2" xfId="11669"/>
    <cellStyle name="RowTitles1-Detail 4 2 2 2 5 2 2" xfId="11670"/>
    <cellStyle name="RowTitles1-Detail 4 2 2 2 5 2 2 2" xfId="11671"/>
    <cellStyle name="RowTitles1-Detail 4 2 2 2 5 2 2_Tertiary Salaries Survey" xfId="11672"/>
    <cellStyle name="RowTitles1-Detail 4 2 2 2 5 2 3" xfId="11673"/>
    <cellStyle name="RowTitles1-Detail 4 2 2 2 5 2_Tertiary Salaries Survey" xfId="11674"/>
    <cellStyle name="RowTitles1-Detail 4 2 2 2 5 3" xfId="11675"/>
    <cellStyle name="RowTitles1-Detail 4 2 2 2 5 3 2" xfId="11676"/>
    <cellStyle name="RowTitles1-Detail 4 2 2 2 5 3 2 2" xfId="11677"/>
    <cellStyle name="RowTitles1-Detail 4 2 2 2 5 3 2_Tertiary Salaries Survey" xfId="11678"/>
    <cellStyle name="RowTitles1-Detail 4 2 2 2 5 3 3" xfId="11679"/>
    <cellStyle name="RowTitles1-Detail 4 2 2 2 5 3_Tertiary Salaries Survey" xfId="11680"/>
    <cellStyle name="RowTitles1-Detail 4 2 2 2 5 4" xfId="11681"/>
    <cellStyle name="RowTitles1-Detail 4 2 2 2 5 4 2" xfId="11682"/>
    <cellStyle name="RowTitles1-Detail 4 2 2 2 5 4_Tertiary Salaries Survey" xfId="11683"/>
    <cellStyle name="RowTitles1-Detail 4 2 2 2 5 5" xfId="11684"/>
    <cellStyle name="RowTitles1-Detail 4 2 2 2 5_Tertiary Salaries Survey" xfId="11685"/>
    <cellStyle name="RowTitles1-Detail 4 2 2 2 6" xfId="11686"/>
    <cellStyle name="RowTitles1-Detail 4 2 2 2 6 2" xfId="11687"/>
    <cellStyle name="RowTitles1-Detail 4 2 2 2 6 2 2" xfId="11688"/>
    <cellStyle name="RowTitles1-Detail 4 2 2 2 6 2 2 2" xfId="11689"/>
    <cellStyle name="RowTitles1-Detail 4 2 2 2 6 2 2_Tertiary Salaries Survey" xfId="11690"/>
    <cellStyle name="RowTitles1-Detail 4 2 2 2 6 2 3" xfId="11691"/>
    <cellStyle name="RowTitles1-Detail 4 2 2 2 6 2_Tertiary Salaries Survey" xfId="11692"/>
    <cellStyle name="RowTitles1-Detail 4 2 2 2 6 3" xfId="11693"/>
    <cellStyle name="RowTitles1-Detail 4 2 2 2 6 3 2" xfId="11694"/>
    <cellStyle name="RowTitles1-Detail 4 2 2 2 6 3 2 2" xfId="11695"/>
    <cellStyle name="RowTitles1-Detail 4 2 2 2 6 3 2_Tertiary Salaries Survey" xfId="11696"/>
    <cellStyle name="RowTitles1-Detail 4 2 2 2 6 3 3" xfId="11697"/>
    <cellStyle name="RowTitles1-Detail 4 2 2 2 6 3_Tertiary Salaries Survey" xfId="11698"/>
    <cellStyle name="RowTitles1-Detail 4 2 2 2 6 4" xfId="11699"/>
    <cellStyle name="RowTitles1-Detail 4 2 2 2 6 4 2" xfId="11700"/>
    <cellStyle name="RowTitles1-Detail 4 2 2 2 6 4_Tertiary Salaries Survey" xfId="11701"/>
    <cellStyle name="RowTitles1-Detail 4 2 2 2 6 5" xfId="11702"/>
    <cellStyle name="RowTitles1-Detail 4 2 2 2 6_Tertiary Salaries Survey" xfId="11703"/>
    <cellStyle name="RowTitles1-Detail 4 2 2 2 7" xfId="11704"/>
    <cellStyle name="RowTitles1-Detail 4 2 2 2 7 2" xfId="11705"/>
    <cellStyle name="RowTitles1-Detail 4 2 2 2 7 2 2" xfId="11706"/>
    <cellStyle name="RowTitles1-Detail 4 2 2 2 7 2_Tertiary Salaries Survey" xfId="11707"/>
    <cellStyle name="RowTitles1-Detail 4 2 2 2 7 3" xfId="11708"/>
    <cellStyle name="RowTitles1-Detail 4 2 2 2 7_Tertiary Salaries Survey" xfId="11709"/>
    <cellStyle name="RowTitles1-Detail 4 2 2 2 8" xfId="11710"/>
    <cellStyle name="RowTitles1-Detail 4 2 2 2 9" xfId="11711"/>
    <cellStyle name="RowTitles1-Detail 4 2 2 2_STUD aligned by INSTIT" xfId="11712"/>
    <cellStyle name="RowTitles1-Detail 4 2 2 3" xfId="11713"/>
    <cellStyle name="RowTitles1-Detail 4 2 2 3 2" xfId="11714"/>
    <cellStyle name="RowTitles1-Detail 4 2 2 3 2 2" xfId="11715"/>
    <cellStyle name="RowTitles1-Detail 4 2 2 3 2 2 2" xfId="11716"/>
    <cellStyle name="RowTitles1-Detail 4 2 2 3 2 2 2 2" xfId="11717"/>
    <cellStyle name="RowTitles1-Detail 4 2 2 3 2 2 2_Tertiary Salaries Survey" xfId="11718"/>
    <cellStyle name="RowTitles1-Detail 4 2 2 3 2 2 3" xfId="11719"/>
    <cellStyle name="RowTitles1-Detail 4 2 2 3 2 2_Tertiary Salaries Survey" xfId="11720"/>
    <cellStyle name="RowTitles1-Detail 4 2 2 3 2 3" xfId="11721"/>
    <cellStyle name="RowTitles1-Detail 4 2 2 3 2 3 2" xfId="11722"/>
    <cellStyle name="RowTitles1-Detail 4 2 2 3 2 3 2 2" xfId="11723"/>
    <cellStyle name="RowTitles1-Detail 4 2 2 3 2 3 2_Tertiary Salaries Survey" xfId="11724"/>
    <cellStyle name="RowTitles1-Detail 4 2 2 3 2 3 3" xfId="11725"/>
    <cellStyle name="RowTitles1-Detail 4 2 2 3 2 3_Tertiary Salaries Survey" xfId="11726"/>
    <cellStyle name="RowTitles1-Detail 4 2 2 3 2 4" xfId="11727"/>
    <cellStyle name="RowTitles1-Detail 4 2 2 3 2 5" xfId="11728"/>
    <cellStyle name="RowTitles1-Detail 4 2 2 3 2 5 2" xfId="11729"/>
    <cellStyle name="RowTitles1-Detail 4 2 2 3 2 5_Tertiary Salaries Survey" xfId="11730"/>
    <cellStyle name="RowTitles1-Detail 4 2 2 3 2 6" xfId="11731"/>
    <cellStyle name="RowTitles1-Detail 4 2 2 3 2_Tertiary Salaries Survey" xfId="11732"/>
    <cellStyle name="RowTitles1-Detail 4 2 2 3 3" xfId="11733"/>
    <cellStyle name="RowTitles1-Detail 4 2 2 3 3 2" xfId="11734"/>
    <cellStyle name="RowTitles1-Detail 4 2 2 3 3 2 2" xfId="11735"/>
    <cellStyle name="RowTitles1-Detail 4 2 2 3 3 2 2 2" xfId="11736"/>
    <cellStyle name="RowTitles1-Detail 4 2 2 3 3 2 2_Tertiary Salaries Survey" xfId="11737"/>
    <cellStyle name="RowTitles1-Detail 4 2 2 3 3 2 3" xfId="11738"/>
    <cellStyle name="RowTitles1-Detail 4 2 2 3 3 2_Tertiary Salaries Survey" xfId="11739"/>
    <cellStyle name="RowTitles1-Detail 4 2 2 3 3 3" xfId="11740"/>
    <cellStyle name="RowTitles1-Detail 4 2 2 3 3 3 2" xfId="11741"/>
    <cellStyle name="RowTitles1-Detail 4 2 2 3 3 3 2 2" xfId="11742"/>
    <cellStyle name="RowTitles1-Detail 4 2 2 3 3 3 2_Tertiary Salaries Survey" xfId="11743"/>
    <cellStyle name="RowTitles1-Detail 4 2 2 3 3 3 3" xfId="11744"/>
    <cellStyle name="RowTitles1-Detail 4 2 2 3 3 3_Tertiary Salaries Survey" xfId="11745"/>
    <cellStyle name="RowTitles1-Detail 4 2 2 3 3 4" xfId="11746"/>
    <cellStyle name="RowTitles1-Detail 4 2 2 3 3 5" xfId="11747"/>
    <cellStyle name="RowTitles1-Detail 4 2 2 3 3_Tertiary Salaries Survey" xfId="11748"/>
    <cellStyle name="RowTitles1-Detail 4 2 2 3 4" xfId="11749"/>
    <cellStyle name="RowTitles1-Detail 4 2 2 3 4 2" xfId="11750"/>
    <cellStyle name="RowTitles1-Detail 4 2 2 3 4 2 2" xfId="11751"/>
    <cellStyle name="RowTitles1-Detail 4 2 2 3 4 2 2 2" xfId="11752"/>
    <cellStyle name="RowTitles1-Detail 4 2 2 3 4 2 2_Tertiary Salaries Survey" xfId="11753"/>
    <cellStyle name="RowTitles1-Detail 4 2 2 3 4 2 3" xfId="11754"/>
    <cellStyle name="RowTitles1-Detail 4 2 2 3 4 2_Tertiary Salaries Survey" xfId="11755"/>
    <cellStyle name="RowTitles1-Detail 4 2 2 3 4 3" xfId="11756"/>
    <cellStyle name="RowTitles1-Detail 4 2 2 3 4 3 2" xfId="11757"/>
    <cellStyle name="RowTitles1-Detail 4 2 2 3 4 3 2 2" xfId="11758"/>
    <cellStyle name="RowTitles1-Detail 4 2 2 3 4 3 2_Tertiary Salaries Survey" xfId="11759"/>
    <cellStyle name="RowTitles1-Detail 4 2 2 3 4 3 3" xfId="11760"/>
    <cellStyle name="RowTitles1-Detail 4 2 2 3 4 3_Tertiary Salaries Survey" xfId="11761"/>
    <cellStyle name="RowTitles1-Detail 4 2 2 3 4 4" xfId="11762"/>
    <cellStyle name="RowTitles1-Detail 4 2 2 3 4 4 2" xfId="11763"/>
    <cellStyle name="RowTitles1-Detail 4 2 2 3 4 4_Tertiary Salaries Survey" xfId="11764"/>
    <cellStyle name="RowTitles1-Detail 4 2 2 3 4 5" xfId="11765"/>
    <cellStyle name="RowTitles1-Detail 4 2 2 3 4_Tertiary Salaries Survey" xfId="11766"/>
    <cellStyle name="RowTitles1-Detail 4 2 2 3 5" xfId="11767"/>
    <cellStyle name="RowTitles1-Detail 4 2 2 3 5 2" xfId="11768"/>
    <cellStyle name="RowTitles1-Detail 4 2 2 3 5 2 2" xfId="11769"/>
    <cellStyle name="RowTitles1-Detail 4 2 2 3 5 2 2 2" xfId="11770"/>
    <cellStyle name="RowTitles1-Detail 4 2 2 3 5 2 2_Tertiary Salaries Survey" xfId="11771"/>
    <cellStyle name="RowTitles1-Detail 4 2 2 3 5 2 3" xfId="11772"/>
    <cellStyle name="RowTitles1-Detail 4 2 2 3 5 2_Tertiary Salaries Survey" xfId="11773"/>
    <cellStyle name="RowTitles1-Detail 4 2 2 3 5 3" xfId="11774"/>
    <cellStyle name="RowTitles1-Detail 4 2 2 3 5 3 2" xfId="11775"/>
    <cellStyle name="RowTitles1-Detail 4 2 2 3 5 3 2 2" xfId="11776"/>
    <cellStyle name="RowTitles1-Detail 4 2 2 3 5 3 2_Tertiary Salaries Survey" xfId="11777"/>
    <cellStyle name="RowTitles1-Detail 4 2 2 3 5 3 3" xfId="11778"/>
    <cellStyle name="RowTitles1-Detail 4 2 2 3 5 3_Tertiary Salaries Survey" xfId="11779"/>
    <cellStyle name="RowTitles1-Detail 4 2 2 3 5 4" xfId="11780"/>
    <cellStyle name="RowTitles1-Detail 4 2 2 3 5 4 2" xfId="11781"/>
    <cellStyle name="RowTitles1-Detail 4 2 2 3 5 4_Tertiary Salaries Survey" xfId="11782"/>
    <cellStyle name="RowTitles1-Detail 4 2 2 3 5 5" xfId="11783"/>
    <cellStyle name="RowTitles1-Detail 4 2 2 3 5_Tertiary Salaries Survey" xfId="11784"/>
    <cellStyle name="RowTitles1-Detail 4 2 2 3 6" xfId="11785"/>
    <cellStyle name="RowTitles1-Detail 4 2 2 3 6 2" xfId="11786"/>
    <cellStyle name="RowTitles1-Detail 4 2 2 3 6 2 2" xfId="11787"/>
    <cellStyle name="RowTitles1-Detail 4 2 2 3 6 2 2 2" xfId="11788"/>
    <cellStyle name="RowTitles1-Detail 4 2 2 3 6 2 2_Tertiary Salaries Survey" xfId="11789"/>
    <cellStyle name="RowTitles1-Detail 4 2 2 3 6 2 3" xfId="11790"/>
    <cellStyle name="RowTitles1-Detail 4 2 2 3 6 2_Tertiary Salaries Survey" xfId="11791"/>
    <cellStyle name="RowTitles1-Detail 4 2 2 3 6 3" xfId="11792"/>
    <cellStyle name="RowTitles1-Detail 4 2 2 3 6 3 2" xfId="11793"/>
    <cellStyle name="RowTitles1-Detail 4 2 2 3 6 3 2 2" xfId="11794"/>
    <cellStyle name="RowTitles1-Detail 4 2 2 3 6 3 2_Tertiary Salaries Survey" xfId="11795"/>
    <cellStyle name="RowTitles1-Detail 4 2 2 3 6 3 3" xfId="11796"/>
    <cellStyle name="RowTitles1-Detail 4 2 2 3 6 3_Tertiary Salaries Survey" xfId="11797"/>
    <cellStyle name="RowTitles1-Detail 4 2 2 3 6 4" xfId="11798"/>
    <cellStyle name="RowTitles1-Detail 4 2 2 3 6 4 2" xfId="11799"/>
    <cellStyle name="RowTitles1-Detail 4 2 2 3 6 4_Tertiary Salaries Survey" xfId="11800"/>
    <cellStyle name="RowTitles1-Detail 4 2 2 3 6 5" xfId="11801"/>
    <cellStyle name="RowTitles1-Detail 4 2 2 3 6_Tertiary Salaries Survey" xfId="11802"/>
    <cellStyle name="RowTitles1-Detail 4 2 2 3 7" xfId="11803"/>
    <cellStyle name="RowTitles1-Detail 4 2 2 3 7 2" xfId="11804"/>
    <cellStyle name="RowTitles1-Detail 4 2 2 3 7 2 2" xfId="11805"/>
    <cellStyle name="RowTitles1-Detail 4 2 2 3 7 2_Tertiary Salaries Survey" xfId="11806"/>
    <cellStyle name="RowTitles1-Detail 4 2 2 3 7 3" xfId="11807"/>
    <cellStyle name="RowTitles1-Detail 4 2 2 3 7_Tertiary Salaries Survey" xfId="11808"/>
    <cellStyle name="RowTitles1-Detail 4 2 2 3 8" xfId="11809"/>
    <cellStyle name="RowTitles1-Detail 4 2 2 3 8 2" xfId="11810"/>
    <cellStyle name="RowTitles1-Detail 4 2 2 3 8 2 2" xfId="11811"/>
    <cellStyle name="RowTitles1-Detail 4 2 2 3 8 2_Tertiary Salaries Survey" xfId="11812"/>
    <cellStyle name="RowTitles1-Detail 4 2 2 3 8 3" xfId="11813"/>
    <cellStyle name="RowTitles1-Detail 4 2 2 3 8_Tertiary Salaries Survey" xfId="11814"/>
    <cellStyle name="RowTitles1-Detail 4 2 2 3 9" xfId="11815"/>
    <cellStyle name="RowTitles1-Detail 4 2 2 3_STUD aligned by INSTIT" xfId="11816"/>
    <cellStyle name="RowTitles1-Detail 4 2 2 4" xfId="11817"/>
    <cellStyle name="RowTitles1-Detail 4 2 2 4 2" xfId="11818"/>
    <cellStyle name="RowTitles1-Detail 4 2 2 4 2 2" xfId="11819"/>
    <cellStyle name="RowTitles1-Detail 4 2 2 4 2 2 2" xfId="11820"/>
    <cellStyle name="RowTitles1-Detail 4 2 2 4 2 2 2 2" xfId="11821"/>
    <cellStyle name="RowTitles1-Detail 4 2 2 4 2 2 2_Tertiary Salaries Survey" xfId="11822"/>
    <cellStyle name="RowTitles1-Detail 4 2 2 4 2 2 3" xfId="11823"/>
    <cellStyle name="RowTitles1-Detail 4 2 2 4 2 2_Tertiary Salaries Survey" xfId="11824"/>
    <cellStyle name="RowTitles1-Detail 4 2 2 4 2 3" xfId="11825"/>
    <cellStyle name="RowTitles1-Detail 4 2 2 4 2 3 2" xfId="11826"/>
    <cellStyle name="RowTitles1-Detail 4 2 2 4 2 3 2 2" xfId="11827"/>
    <cellStyle name="RowTitles1-Detail 4 2 2 4 2 3 2_Tertiary Salaries Survey" xfId="11828"/>
    <cellStyle name="RowTitles1-Detail 4 2 2 4 2 3 3" xfId="11829"/>
    <cellStyle name="RowTitles1-Detail 4 2 2 4 2 3_Tertiary Salaries Survey" xfId="11830"/>
    <cellStyle name="RowTitles1-Detail 4 2 2 4 2 4" xfId="11831"/>
    <cellStyle name="RowTitles1-Detail 4 2 2 4 2 5" xfId="11832"/>
    <cellStyle name="RowTitles1-Detail 4 2 2 4 2 5 2" xfId="11833"/>
    <cellStyle name="RowTitles1-Detail 4 2 2 4 2 5_Tertiary Salaries Survey" xfId="11834"/>
    <cellStyle name="RowTitles1-Detail 4 2 2 4 2 6" xfId="11835"/>
    <cellStyle name="RowTitles1-Detail 4 2 2 4 2_Tertiary Salaries Survey" xfId="11836"/>
    <cellStyle name="RowTitles1-Detail 4 2 2 4 3" xfId="11837"/>
    <cellStyle name="RowTitles1-Detail 4 2 2 4 3 2" xfId="11838"/>
    <cellStyle name="RowTitles1-Detail 4 2 2 4 3 2 2" xfId="11839"/>
    <cellStyle name="RowTitles1-Detail 4 2 2 4 3 2 2 2" xfId="11840"/>
    <cellStyle name="RowTitles1-Detail 4 2 2 4 3 2 2_Tertiary Salaries Survey" xfId="11841"/>
    <cellStyle name="RowTitles1-Detail 4 2 2 4 3 2 3" xfId="11842"/>
    <cellStyle name="RowTitles1-Detail 4 2 2 4 3 2_Tertiary Salaries Survey" xfId="11843"/>
    <cellStyle name="RowTitles1-Detail 4 2 2 4 3 3" xfId="11844"/>
    <cellStyle name="RowTitles1-Detail 4 2 2 4 3 3 2" xfId="11845"/>
    <cellStyle name="RowTitles1-Detail 4 2 2 4 3 3 2 2" xfId="11846"/>
    <cellStyle name="RowTitles1-Detail 4 2 2 4 3 3 2_Tertiary Salaries Survey" xfId="11847"/>
    <cellStyle name="RowTitles1-Detail 4 2 2 4 3 3 3" xfId="11848"/>
    <cellStyle name="RowTitles1-Detail 4 2 2 4 3 3_Tertiary Salaries Survey" xfId="11849"/>
    <cellStyle name="RowTitles1-Detail 4 2 2 4 3 4" xfId="11850"/>
    <cellStyle name="RowTitles1-Detail 4 2 2 4 3 5" xfId="11851"/>
    <cellStyle name="RowTitles1-Detail 4 2 2 4 3_Tertiary Salaries Survey" xfId="11852"/>
    <cellStyle name="RowTitles1-Detail 4 2 2 4 4" xfId="11853"/>
    <cellStyle name="RowTitles1-Detail 4 2 2 4 4 2" xfId="11854"/>
    <cellStyle name="RowTitles1-Detail 4 2 2 4 4 2 2" xfId="11855"/>
    <cellStyle name="RowTitles1-Detail 4 2 2 4 4 2 2 2" xfId="11856"/>
    <cellStyle name="RowTitles1-Detail 4 2 2 4 4 2 2_Tertiary Salaries Survey" xfId="11857"/>
    <cellStyle name="RowTitles1-Detail 4 2 2 4 4 2 3" xfId="11858"/>
    <cellStyle name="RowTitles1-Detail 4 2 2 4 4 2_Tertiary Salaries Survey" xfId="11859"/>
    <cellStyle name="RowTitles1-Detail 4 2 2 4 4 3" xfId="11860"/>
    <cellStyle name="RowTitles1-Detail 4 2 2 4 4 3 2" xfId="11861"/>
    <cellStyle name="RowTitles1-Detail 4 2 2 4 4 3 2 2" xfId="11862"/>
    <cellStyle name="RowTitles1-Detail 4 2 2 4 4 3 2_Tertiary Salaries Survey" xfId="11863"/>
    <cellStyle name="RowTitles1-Detail 4 2 2 4 4 3 3" xfId="11864"/>
    <cellStyle name="RowTitles1-Detail 4 2 2 4 4 3_Tertiary Salaries Survey" xfId="11865"/>
    <cellStyle name="RowTitles1-Detail 4 2 2 4 4 4" xfId="11866"/>
    <cellStyle name="RowTitles1-Detail 4 2 2 4 4 5" xfId="11867"/>
    <cellStyle name="RowTitles1-Detail 4 2 2 4 4 5 2" xfId="11868"/>
    <cellStyle name="RowTitles1-Detail 4 2 2 4 4 5_Tertiary Salaries Survey" xfId="11869"/>
    <cellStyle name="RowTitles1-Detail 4 2 2 4 4 6" xfId="11870"/>
    <cellStyle name="RowTitles1-Detail 4 2 2 4 4_Tertiary Salaries Survey" xfId="11871"/>
    <cellStyle name="RowTitles1-Detail 4 2 2 4 5" xfId="11872"/>
    <cellStyle name="RowTitles1-Detail 4 2 2 4 5 2" xfId="11873"/>
    <cellStyle name="RowTitles1-Detail 4 2 2 4 5 2 2" xfId="11874"/>
    <cellStyle name="RowTitles1-Detail 4 2 2 4 5 2 2 2" xfId="11875"/>
    <cellStyle name="RowTitles1-Detail 4 2 2 4 5 2 2_Tertiary Salaries Survey" xfId="11876"/>
    <cellStyle name="RowTitles1-Detail 4 2 2 4 5 2 3" xfId="11877"/>
    <cellStyle name="RowTitles1-Detail 4 2 2 4 5 2_Tertiary Salaries Survey" xfId="11878"/>
    <cellStyle name="RowTitles1-Detail 4 2 2 4 5 3" xfId="11879"/>
    <cellStyle name="RowTitles1-Detail 4 2 2 4 5 3 2" xfId="11880"/>
    <cellStyle name="RowTitles1-Detail 4 2 2 4 5 3 2 2" xfId="11881"/>
    <cellStyle name="RowTitles1-Detail 4 2 2 4 5 3 2_Tertiary Salaries Survey" xfId="11882"/>
    <cellStyle name="RowTitles1-Detail 4 2 2 4 5 3 3" xfId="11883"/>
    <cellStyle name="RowTitles1-Detail 4 2 2 4 5 3_Tertiary Salaries Survey" xfId="11884"/>
    <cellStyle name="RowTitles1-Detail 4 2 2 4 5 4" xfId="11885"/>
    <cellStyle name="RowTitles1-Detail 4 2 2 4 5 4 2" xfId="11886"/>
    <cellStyle name="RowTitles1-Detail 4 2 2 4 5 4_Tertiary Salaries Survey" xfId="11887"/>
    <cellStyle name="RowTitles1-Detail 4 2 2 4 5 5" xfId="11888"/>
    <cellStyle name="RowTitles1-Detail 4 2 2 4 5_Tertiary Salaries Survey" xfId="11889"/>
    <cellStyle name="RowTitles1-Detail 4 2 2 4 6" xfId="11890"/>
    <cellStyle name="RowTitles1-Detail 4 2 2 4 6 2" xfId="11891"/>
    <cellStyle name="RowTitles1-Detail 4 2 2 4 6 2 2" xfId="11892"/>
    <cellStyle name="RowTitles1-Detail 4 2 2 4 6 2 2 2" xfId="11893"/>
    <cellStyle name="RowTitles1-Detail 4 2 2 4 6 2 2_Tertiary Salaries Survey" xfId="11894"/>
    <cellStyle name="RowTitles1-Detail 4 2 2 4 6 2 3" xfId="11895"/>
    <cellStyle name="RowTitles1-Detail 4 2 2 4 6 2_Tertiary Salaries Survey" xfId="11896"/>
    <cellStyle name="RowTitles1-Detail 4 2 2 4 6 3" xfId="11897"/>
    <cellStyle name="RowTitles1-Detail 4 2 2 4 6 3 2" xfId="11898"/>
    <cellStyle name="RowTitles1-Detail 4 2 2 4 6 3 2 2" xfId="11899"/>
    <cellStyle name="RowTitles1-Detail 4 2 2 4 6 3 2_Tertiary Salaries Survey" xfId="11900"/>
    <cellStyle name="RowTitles1-Detail 4 2 2 4 6 3 3" xfId="11901"/>
    <cellStyle name="RowTitles1-Detail 4 2 2 4 6 3_Tertiary Salaries Survey" xfId="11902"/>
    <cellStyle name="RowTitles1-Detail 4 2 2 4 6 4" xfId="11903"/>
    <cellStyle name="RowTitles1-Detail 4 2 2 4 6 4 2" xfId="11904"/>
    <cellStyle name="RowTitles1-Detail 4 2 2 4 6 4_Tertiary Salaries Survey" xfId="11905"/>
    <cellStyle name="RowTitles1-Detail 4 2 2 4 6 5" xfId="11906"/>
    <cellStyle name="RowTitles1-Detail 4 2 2 4 6_Tertiary Salaries Survey" xfId="11907"/>
    <cellStyle name="RowTitles1-Detail 4 2 2 4 7" xfId="11908"/>
    <cellStyle name="RowTitles1-Detail 4 2 2 4 7 2" xfId="11909"/>
    <cellStyle name="RowTitles1-Detail 4 2 2 4 7 2 2" xfId="11910"/>
    <cellStyle name="RowTitles1-Detail 4 2 2 4 7 2_Tertiary Salaries Survey" xfId="11911"/>
    <cellStyle name="RowTitles1-Detail 4 2 2 4 7 3" xfId="11912"/>
    <cellStyle name="RowTitles1-Detail 4 2 2 4 7_Tertiary Salaries Survey" xfId="11913"/>
    <cellStyle name="RowTitles1-Detail 4 2 2 4 8" xfId="11914"/>
    <cellStyle name="RowTitles1-Detail 4 2 2 4 9" xfId="11915"/>
    <cellStyle name="RowTitles1-Detail 4 2 2 4_STUD aligned by INSTIT" xfId="11916"/>
    <cellStyle name="RowTitles1-Detail 4 2 2 5" xfId="11917"/>
    <cellStyle name="RowTitles1-Detail 4 2 2 5 2" xfId="11918"/>
    <cellStyle name="RowTitles1-Detail 4 2 2 5 2 2" xfId="11919"/>
    <cellStyle name="RowTitles1-Detail 4 2 2 5 2 2 2" xfId="11920"/>
    <cellStyle name="RowTitles1-Detail 4 2 2 5 2 2_Tertiary Salaries Survey" xfId="11921"/>
    <cellStyle name="RowTitles1-Detail 4 2 2 5 2 3" xfId="11922"/>
    <cellStyle name="RowTitles1-Detail 4 2 2 5 2_Tertiary Salaries Survey" xfId="11923"/>
    <cellStyle name="RowTitles1-Detail 4 2 2 5 3" xfId="11924"/>
    <cellStyle name="RowTitles1-Detail 4 2 2 5 3 2" xfId="11925"/>
    <cellStyle name="RowTitles1-Detail 4 2 2 5 3 2 2" xfId="11926"/>
    <cellStyle name="RowTitles1-Detail 4 2 2 5 3 2_Tertiary Salaries Survey" xfId="11927"/>
    <cellStyle name="RowTitles1-Detail 4 2 2 5 3 3" xfId="11928"/>
    <cellStyle name="RowTitles1-Detail 4 2 2 5 3_Tertiary Salaries Survey" xfId="11929"/>
    <cellStyle name="RowTitles1-Detail 4 2 2 5 4" xfId="11930"/>
    <cellStyle name="RowTitles1-Detail 4 2 2 5 5" xfId="11931"/>
    <cellStyle name="RowTitles1-Detail 4 2 2 5 5 2" xfId="11932"/>
    <cellStyle name="RowTitles1-Detail 4 2 2 5 5_Tertiary Salaries Survey" xfId="11933"/>
    <cellStyle name="RowTitles1-Detail 4 2 2 5 6" xfId="11934"/>
    <cellStyle name="RowTitles1-Detail 4 2 2 5_Tertiary Salaries Survey" xfId="11935"/>
    <cellStyle name="RowTitles1-Detail 4 2 2 6" xfId="11936"/>
    <cellStyle name="RowTitles1-Detail 4 2 2 6 2" xfId="11937"/>
    <cellStyle name="RowTitles1-Detail 4 2 2 6 2 2" xfId="11938"/>
    <cellStyle name="RowTitles1-Detail 4 2 2 6 2 2 2" xfId="11939"/>
    <cellStyle name="RowTitles1-Detail 4 2 2 6 2 2_Tertiary Salaries Survey" xfId="11940"/>
    <cellStyle name="RowTitles1-Detail 4 2 2 6 2 3" xfId="11941"/>
    <cellStyle name="RowTitles1-Detail 4 2 2 6 2_Tertiary Salaries Survey" xfId="11942"/>
    <cellStyle name="RowTitles1-Detail 4 2 2 6 3" xfId="11943"/>
    <cellStyle name="RowTitles1-Detail 4 2 2 6 3 2" xfId="11944"/>
    <cellStyle name="RowTitles1-Detail 4 2 2 6 3 2 2" xfId="11945"/>
    <cellStyle name="RowTitles1-Detail 4 2 2 6 3 2_Tertiary Salaries Survey" xfId="11946"/>
    <cellStyle name="RowTitles1-Detail 4 2 2 6 3 3" xfId="11947"/>
    <cellStyle name="RowTitles1-Detail 4 2 2 6 3_Tertiary Salaries Survey" xfId="11948"/>
    <cellStyle name="RowTitles1-Detail 4 2 2 6 4" xfId="11949"/>
    <cellStyle name="RowTitles1-Detail 4 2 2 6 5" xfId="11950"/>
    <cellStyle name="RowTitles1-Detail 4 2 2 6_Tertiary Salaries Survey" xfId="11951"/>
    <cellStyle name="RowTitles1-Detail 4 2 2 7" xfId="11952"/>
    <cellStyle name="RowTitles1-Detail 4 2 2 7 2" xfId="11953"/>
    <cellStyle name="RowTitles1-Detail 4 2 2 7 2 2" xfId="11954"/>
    <cellStyle name="RowTitles1-Detail 4 2 2 7 2 2 2" xfId="11955"/>
    <cellStyle name="RowTitles1-Detail 4 2 2 7 2 2_Tertiary Salaries Survey" xfId="11956"/>
    <cellStyle name="RowTitles1-Detail 4 2 2 7 2 3" xfId="11957"/>
    <cellStyle name="RowTitles1-Detail 4 2 2 7 2_Tertiary Salaries Survey" xfId="11958"/>
    <cellStyle name="RowTitles1-Detail 4 2 2 7 3" xfId="11959"/>
    <cellStyle name="RowTitles1-Detail 4 2 2 7 3 2" xfId="11960"/>
    <cellStyle name="RowTitles1-Detail 4 2 2 7 3 2 2" xfId="11961"/>
    <cellStyle name="RowTitles1-Detail 4 2 2 7 3 2_Tertiary Salaries Survey" xfId="11962"/>
    <cellStyle name="RowTitles1-Detail 4 2 2 7 3 3" xfId="11963"/>
    <cellStyle name="RowTitles1-Detail 4 2 2 7 3_Tertiary Salaries Survey" xfId="11964"/>
    <cellStyle name="RowTitles1-Detail 4 2 2 7 4" xfId="11965"/>
    <cellStyle name="RowTitles1-Detail 4 2 2 7 5" xfId="11966"/>
    <cellStyle name="RowTitles1-Detail 4 2 2 7 5 2" xfId="11967"/>
    <cellStyle name="RowTitles1-Detail 4 2 2 7 5_Tertiary Salaries Survey" xfId="11968"/>
    <cellStyle name="RowTitles1-Detail 4 2 2 7 6" xfId="11969"/>
    <cellStyle name="RowTitles1-Detail 4 2 2 7_Tertiary Salaries Survey" xfId="11970"/>
    <cellStyle name="RowTitles1-Detail 4 2 2 8" xfId="11971"/>
    <cellStyle name="RowTitles1-Detail 4 2 2 8 2" xfId="11972"/>
    <cellStyle name="RowTitles1-Detail 4 2 2 8 2 2" xfId="11973"/>
    <cellStyle name="RowTitles1-Detail 4 2 2 8 2 2 2" xfId="11974"/>
    <cellStyle name="RowTitles1-Detail 4 2 2 8 2 2_Tertiary Salaries Survey" xfId="11975"/>
    <cellStyle name="RowTitles1-Detail 4 2 2 8 2 3" xfId="11976"/>
    <cellStyle name="RowTitles1-Detail 4 2 2 8 2_Tertiary Salaries Survey" xfId="11977"/>
    <cellStyle name="RowTitles1-Detail 4 2 2 8 3" xfId="11978"/>
    <cellStyle name="RowTitles1-Detail 4 2 2 8 3 2" xfId="11979"/>
    <cellStyle name="RowTitles1-Detail 4 2 2 8 3 2 2" xfId="11980"/>
    <cellStyle name="RowTitles1-Detail 4 2 2 8 3 2_Tertiary Salaries Survey" xfId="11981"/>
    <cellStyle name="RowTitles1-Detail 4 2 2 8 3 3" xfId="11982"/>
    <cellStyle name="RowTitles1-Detail 4 2 2 8 3_Tertiary Salaries Survey" xfId="11983"/>
    <cellStyle name="RowTitles1-Detail 4 2 2 8 4" xfId="11984"/>
    <cellStyle name="RowTitles1-Detail 4 2 2 8 4 2" xfId="11985"/>
    <cellStyle name="RowTitles1-Detail 4 2 2 8 4_Tertiary Salaries Survey" xfId="11986"/>
    <cellStyle name="RowTitles1-Detail 4 2 2 8 5" xfId="11987"/>
    <cellStyle name="RowTitles1-Detail 4 2 2 8_Tertiary Salaries Survey" xfId="11988"/>
    <cellStyle name="RowTitles1-Detail 4 2 2 9" xfId="11989"/>
    <cellStyle name="RowTitles1-Detail 4 2 2 9 2" xfId="11990"/>
    <cellStyle name="RowTitles1-Detail 4 2 2 9 2 2" xfId="11991"/>
    <cellStyle name="RowTitles1-Detail 4 2 2 9 2 2 2" xfId="11992"/>
    <cellStyle name="RowTitles1-Detail 4 2 2 9 2 2_Tertiary Salaries Survey" xfId="11993"/>
    <cellStyle name="RowTitles1-Detail 4 2 2 9 2 3" xfId="11994"/>
    <cellStyle name="RowTitles1-Detail 4 2 2 9 2_Tertiary Salaries Survey" xfId="11995"/>
    <cellStyle name="RowTitles1-Detail 4 2 2 9 3" xfId="11996"/>
    <cellStyle name="RowTitles1-Detail 4 2 2 9 3 2" xfId="11997"/>
    <cellStyle name="RowTitles1-Detail 4 2 2 9 3 2 2" xfId="11998"/>
    <cellStyle name="RowTitles1-Detail 4 2 2 9 3 2_Tertiary Salaries Survey" xfId="11999"/>
    <cellStyle name="RowTitles1-Detail 4 2 2 9 3 3" xfId="12000"/>
    <cellStyle name="RowTitles1-Detail 4 2 2 9 3_Tertiary Salaries Survey" xfId="12001"/>
    <cellStyle name="RowTitles1-Detail 4 2 2 9 4" xfId="12002"/>
    <cellStyle name="RowTitles1-Detail 4 2 2 9 4 2" xfId="12003"/>
    <cellStyle name="RowTitles1-Detail 4 2 2 9 4_Tertiary Salaries Survey" xfId="12004"/>
    <cellStyle name="RowTitles1-Detail 4 2 2 9 5" xfId="12005"/>
    <cellStyle name="RowTitles1-Detail 4 2 2 9_Tertiary Salaries Survey" xfId="12006"/>
    <cellStyle name="RowTitles1-Detail 4 2 2_STUD aligned by INSTIT" xfId="12007"/>
    <cellStyle name="RowTitles1-Detail 4 2 3" xfId="12008"/>
    <cellStyle name="RowTitles1-Detail 4 2 3 2" xfId="12009"/>
    <cellStyle name="RowTitles1-Detail 4 2 3 2 2" xfId="12010"/>
    <cellStyle name="RowTitles1-Detail 4 2 3 2 2 2" xfId="12011"/>
    <cellStyle name="RowTitles1-Detail 4 2 3 2 2 2 2" xfId="12012"/>
    <cellStyle name="RowTitles1-Detail 4 2 3 2 2 2_Tertiary Salaries Survey" xfId="12013"/>
    <cellStyle name="RowTitles1-Detail 4 2 3 2 2 3" xfId="12014"/>
    <cellStyle name="RowTitles1-Detail 4 2 3 2 2_Tertiary Salaries Survey" xfId="12015"/>
    <cellStyle name="RowTitles1-Detail 4 2 3 2 3" xfId="12016"/>
    <cellStyle name="RowTitles1-Detail 4 2 3 2 3 2" xfId="12017"/>
    <cellStyle name="RowTitles1-Detail 4 2 3 2 3 2 2" xfId="12018"/>
    <cellStyle name="RowTitles1-Detail 4 2 3 2 3 2_Tertiary Salaries Survey" xfId="12019"/>
    <cellStyle name="RowTitles1-Detail 4 2 3 2 3 3" xfId="12020"/>
    <cellStyle name="RowTitles1-Detail 4 2 3 2 3_Tertiary Salaries Survey" xfId="12021"/>
    <cellStyle name="RowTitles1-Detail 4 2 3 2 4" xfId="12022"/>
    <cellStyle name="RowTitles1-Detail 4 2 3 2 5" xfId="12023"/>
    <cellStyle name="RowTitles1-Detail 4 2 3 2_Tertiary Salaries Survey" xfId="12024"/>
    <cellStyle name="RowTitles1-Detail 4 2 3 3" xfId="12025"/>
    <cellStyle name="RowTitles1-Detail 4 2 3 3 2" xfId="12026"/>
    <cellStyle name="RowTitles1-Detail 4 2 3 3 2 2" xfId="12027"/>
    <cellStyle name="RowTitles1-Detail 4 2 3 3 2 2 2" xfId="12028"/>
    <cellStyle name="RowTitles1-Detail 4 2 3 3 2 2_Tertiary Salaries Survey" xfId="12029"/>
    <cellStyle name="RowTitles1-Detail 4 2 3 3 2 3" xfId="12030"/>
    <cellStyle name="RowTitles1-Detail 4 2 3 3 2_Tertiary Salaries Survey" xfId="12031"/>
    <cellStyle name="RowTitles1-Detail 4 2 3 3 3" xfId="12032"/>
    <cellStyle name="RowTitles1-Detail 4 2 3 3 3 2" xfId="12033"/>
    <cellStyle name="RowTitles1-Detail 4 2 3 3 3 2 2" xfId="12034"/>
    <cellStyle name="RowTitles1-Detail 4 2 3 3 3 2_Tertiary Salaries Survey" xfId="12035"/>
    <cellStyle name="RowTitles1-Detail 4 2 3 3 3 3" xfId="12036"/>
    <cellStyle name="RowTitles1-Detail 4 2 3 3 3_Tertiary Salaries Survey" xfId="12037"/>
    <cellStyle name="RowTitles1-Detail 4 2 3 3 4" xfId="12038"/>
    <cellStyle name="RowTitles1-Detail 4 2 3 3 5" xfId="12039"/>
    <cellStyle name="RowTitles1-Detail 4 2 3 3 5 2" xfId="12040"/>
    <cellStyle name="RowTitles1-Detail 4 2 3 3 5_Tertiary Salaries Survey" xfId="12041"/>
    <cellStyle name="RowTitles1-Detail 4 2 3 3 6" xfId="12042"/>
    <cellStyle name="RowTitles1-Detail 4 2 3 3_Tertiary Salaries Survey" xfId="12043"/>
    <cellStyle name="RowTitles1-Detail 4 2 3 4" xfId="12044"/>
    <cellStyle name="RowTitles1-Detail 4 2 3 4 2" xfId="12045"/>
    <cellStyle name="RowTitles1-Detail 4 2 3 4 2 2" xfId="12046"/>
    <cellStyle name="RowTitles1-Detail 4 2 3 4 2 2 2" xfId="12047"/>
    <cellStyle name="RowTitles1-Detail 4 2 3 4 2 2_Tertiary Salaries Survey" xfId="12048"/>
    <cellStyle name="RowTitles1-Detail 4 2 3 4 2 3" xfId="12049"/>
    <cellStyle name="RowTitles1-Detail 4 2 3 4 2_Tertiary Salaries Survey" xfId="12050"/>
    <cellStyle name="RowTitles1-Detail 4 2 3 4 3" xfId="12051"/>
    <cellStyle name="RowTitles1-Detail 4 2 3 4 3 2" xfId="12052"/>
    <cellStyle name="RowTitles1-Detail 4 2 3 4 3 2 2" xfId="12053"/>
    <cellStyle name="RowTitles1-Detail 4 2 3 4 3 2_Tertiary Salaries Survey" xfId="12054"/>
    <cellStyle name="RowTitles1-Detail 4 2 3 4 3 3" xfId="12055"/>
    <cellStyle name="RowTitles1-Detail 4 2 3 4 3_Tertiary Salaries Survey" xfId="12056"/>
    <cellStyle name="RowTitles1-Detail 4 2 3 4 4" xfId="12057"/>
    <cellStyle name="RowTitles1-Detail 4 2 3 4 4 2" xfId="12058"/>
    <cellStyle name="RowTitles1-Detail 4 2 3 4 4_Tertiary Salaries Survey" xfId="12059"/>
    <cellStyle name="RowTitles1-Detail 4 2 3 4 5" xfId="12060"/>
    <cellStyle name="RowTitles1-Detail 4 2 3 4_Tertiary Salaries Survey" xfId="12061"/>
    <cellStyle name="RowTitles1-Detail 4 2 3 5" xfId="12062"/>
    <cellStyle name="RowTitles1-Detail 4 2 3 5 2" xfId="12063"/>
    <cellStyle name="RowTitles1-Detail 4 2 3 5 2 2" xfId="12064"/>
    <cellStyle name="RowTitles1-Detail 4 2 3 5 2 2 2" xfId="12065"/>
    <cellStyle name="RowTitles1-Detail 4 2 3 5 2 2_Tertiary Salaries Survey" xfId="12066"/>
    <cellStyle name="RowTitles1-Detail 4 2 3 5 2 3" xfId="12067"/>
    <cellStyle name="RowTitles1-Detail 4 2 3 5 2_Tertiary Salaries Survey" xfId="12068"/>
    <cellStyle name="RowTitles1-Detail 4 2 3 5 3" xfId="12069"/>
    <cellStyle name="RowTitles1-Detail 4 2 3 5 3 2" xfId="12070"/>
    <cellStyle name="RowTitles1-Detail 4 2 3 5 3 2 2" xfId="12071"/>
    <cellStyle name="RowTitles1-Detail 4 2 3 5 3 2_Tertiary Salaries Survey" xfId="12072"/>
    <cellStyle name="RowTitles1-Detail 4 2 3 5 3 3" xfId="12073"/>
    <cellStyle name="RowTitles1-Detail 4 2 3 5 3_Tertiary Salaries Survey" xfId="12074"/>
    <cellStyle name="RowTitles1-Detail 4 2 3 5 4" xfId="12075"/>
    <cellStyle name="RowTitles1-Detail 4 2 3 5 4 2" xfId="12076"/>
    <cellStyle name="RowTitles1-Detail 4 2 3 5 4_Tertiary Salaries Survey" xfId="12077"/>
    <cellStyle name="RowTitles1-Detail 4 2 3 5 5" xfId="12078"/>
    <cellStyle name="RowTitles1-Detail 4 2 3 5_Tertiary Salaries Survey" xfId="12079"/>
    <cellStyle name="RowTitles1-Detail 4 2 3 6" xfId="12080"/>
    <cellStyle name="RowTitles1-Detail 4 2 3 6 2" xfId="12081"/>
    <cellStyle name="RowTitles1-Detail 4 2 3 6 2 2" xfId="12082"/>
    <cellStyle name="RowTitles1-Detail 4 2 3 6 2 2 2" xfId="12083"/>
    <cellStyle name="RowTitles1-Detail 4 2 3 6 2 2_Tertiary Salaries Survey" xfId="12084"/>
    <cellStyle name="RowTitles1-Detail 4 2 3 6 2 3" xfId="12085"/>
    <cellStyle name="RowTitles1-Detail 4 2 3 6 2_Tertiary Salaries Survey" xfId="12086"/>
    <cellStyle name="RowTitles1-Detail 4 2 3 6 3" xfId="12087"/>
    <cellStyle name="RowTitles1-Detail 4 2 3 6 3 2" xfId="12088"/>
    <cellStyle name="RowTitles1-Detail 4 2 3 6 3 2 2" xfId="12089"/>
    <cellStyle name="RowTitles1-Detail 4 2 3 6 3 2_Tertiary Salaries Survey" xfId="12090"/>
    <cellStyle name="RowTitles1-Detail 4 2 3 6 3 3" xfId="12091"/>
    <cellStyle name="RowTitles1-Detail 4 2 3 6 3_Tertiary Salaries Survey" xfId="12092"/>
    <cellStyle name="RowTitles1-Detail 4 2 3 6 4" xfId="12093"/>
    <cellStyle name="RowTitles1-Detail 4 2 3 6 4 2" xfId="12094"/>
    <cellStyle name="RowTitles1-Detail 4 2 3 6 4_Tertiary Salaries Survey" xfId="12095"/>
    <cellStyle name="RowTitles1-Detail 4 2 3 6 5" xfId="12096"/>
    <cellStyle name="RowTitles1-Detail 4 2 3 6_Tertiary Salaries Survey" xfId="12097"/>
    <cellStyle name="RowTitles1-Detail 4 2 3 7" xfId="12098"/>
    <cellStyle name="RowTitles1-Detail 4 2 3 7 2" xfId="12099"/>
    <cellStyle name="RowTitles1-Detail 4 2 3 7 2 2" xfId="12100"/>
    <cellStyle name="RowTitles1-Detail 4 2 3 7 2_Tertiary Salaries Survey" xfId="12101"/>
    <cellStyle name="RowTitles1-Detail 4 2 3 7 3" xfId="12102"/>
    <cellStyle name="RowTitles1-Detail 4 2 3 7_Tertiary Salaries Survey" xfId="12103"/>
    <cellStyle name="RowTitles1-Detail 4 2 3 8" xfId="12104"/>
    <cellStyle name="RowTitles1-Detail 4 2 3 9" xfId="12105"/>
    <cellStyle name="RowTitles1-Detail 4 2 3_STUD aligned by INSTIT" xfId="12106"/>
    <cellStyle name="RowTitles1-Detail 4 2 4" xfId="12107"/>
    <cellStyle name="RowTitles1-Detail 4 2 4 2" xfId="12108"/>
    <cellStyle name="RowTitles1-Detail 4 2 4 2 2" xfId="12109"/>
    <cellStyle name="RowTitles1-Detail 4 2 4 2 2 2" xfId="12110"/>
    <cellStyle name="RowTitles1-Detail 4 2 4 2 2 2 2" xfId="12111"/>
    <cellStyle name="RowTitles1-Detail 4 2 4 2 2 2_Tertiary Salaries Survey" xfId="12112"/>
    <cellStyle name="RowTitles1-Detail 4 2 4 2 2 3" xfId="12113"/>
    <cellStyle name="RowTitles1-Detail 4 2 4 2 2_Tertiary Salaries Survey" xfId="12114"/>
    <cellStyle name="RowTitles1-Detail 4 2 4 2 3" xfId="12115"/>
    <cellStyle name="RowTitles1-Detail 4 2 4 2 3 2" xfId="12116"/>
    <cellStyle name="RowTitles1-Detail 4 2 4 2 3 2 2" xfId="12117"/>
    <cellStyle name="RowTitles1-Detail 4 2 4 2 3 2_Tertiary Salaries Survey" xfId="12118"/>
    <cellStyle name="RowTitles1-Detail 4 2 4 2 3 3" xfId="12119"/>
    <cellStyle name="RowTitles1-Detail 4 2 4 2 3_Tertiary Salaries Survey" xfId="12120"/>
    <cellStyle name="RowTitles1-Detail 4 2 4 2 4" xfId="12121"/>
    <cellStyle name="RowTitles1-Detail 4 2 4 2 5" xfId="12122"/>
    <cellStyle name="RowTitles1-Detail 4 2 4 2 5 2" xfId="12123"/>
    <cellStyle name="RowTitles1-Detail 4 2 4 2 5_Tertiary Salaries Survey" xfId="12124"/>
    <cellStyle name="RowTitles1-Detail 4 2 4 2 6" xfId="12125"/>
    <cellStyle name="RowTitles1-Detail 4 2 4 2_Tertiary Salaries Survey" xfId="12126"/>
    <cellStyle name="RowTitles1-Detail 4 2 4 3" xfId="12127"/>
    <cellStyle name="RowTitles1-Detail 4 2 4 3 2" xfId="12128"/>
    <cellStyle name="RowTitles1-Detail 4 2 4 3 2 2" xfId="12129"/>
    <cellStyle name="RowTitles1-Detail 4 2 4 3 2 2 2" xfId="12130"/>
    <cellStyle name="RowTitles1-Detail 4 2 4 3 2 2_Tertiary Salaries Survey" xfId="12131"/>
    <cellStyle name="RowTitles1-Detail 4 2 4 3 2 3" xfId="12132"/>
    <cellStyle name="RowTitles1-Detail 4 2 4 3 2_Tertiary Salaries Survey" xfId="12133"/>
    <cellStyle name="RowTitles1-Detail 4 2 4 3 3" xfId="12134"/>
    <cellStyle name="RowTitles1-Detail 4 2 4 3 3 2" xfId="12135"/>
    <cellStyle name="RowTitles1-Detail 4 2 4 3 3 2 2" xfId="12136"/>
    <cellStyle name="RowTitles1-Detail 4 2 4 3 3 2_Tertiary Salaries Survey" xfId="12137"/>
    <cellStyle name="RowTitles1-Detail 4 2 4 3 3 3" xfId="12138"/>
    <cellStyle name="RowTitles1-Detail 4 2 4 3 3_Tertiary Salaries Survey" xfId="12139"/>
    <cellStyle name="RowTitles1-Detail 4 2 4 3 4" xfId="12140"/>
    <cellStyle name="RowTitles1-Detail 4 2 4 3 5" xfId="12141"/>
    <cellStyle name="RowTitles1-Detail 4 2 4 3_Tertiary Salaries Survey" xfId="12142"/>
    <cellStyle name="RowTitles1-Detail 4 2 4 4" xfId="12143"/>
    <cellStyle name="RowTitles1-Detail 4 2 4 4 2" xfId="12144"/>
    <cellStyle name="RowTitles1-Detail 4 2 4 4 2 2" xfId="12145"/>
    <cellStyle name="RowTitles1-Detail 4 2 4 4 2 2 2" xfId="12146"/>
    <cellStyle name="RowTitles1-Detail 4 2 4 4 2 2_Tertiary Salaries Survey" xfId="12147"/>
    <cellStyle name="RowTitles1-Detail 4 2 4 4 2 3" xfId="12148"/>
    <cellStyle name="RowTitles1-Detail 4 2 4 4 2_Tertiary Salaries Survey" xfId="12149"/>
    <cellStyle name="RowTitles1-Detail 4 2 4 4 3" xfId="12150"/>
    <cellStyle name="RowTitles1-Detail 4 2 4 4 3 2" xfId="12151"/>
    <cellStyle name="RowTitles1-Detail 4 2 4 4 3 2 2" xfId="12152"/>
    <cellStyle name="RowTitles1-Detail 4 2 4 4 3 2_Tertiary Salaries Survey" xfId="12153"/>
    <cellStyle name="RowTitles1-Detail 4 2 4 4 3 3" xfId="12154"/>
    <cellStyle name="RowTitles1-Detail 4 2 4 4 3_Tertiary Salaries Survey" xfId="12155"/>
    <cellStyle name="RowTitles1-Detail 4 2 4 4 4" xfId="12156"/>
    <cellStyle name="RowTitles1-Detail 4 2 4 4 4 2" xfId="12157"/>
    <cellStyle name="RowTitles1-Detail 4 2 4 4 4_Tertiary Salaries Survey" xfId="12158"/>
    <cellStyle name="RowTitles1-Detail 4 2 4 4 5" xfId="12159"/>
    <cellStyle name="RowTitles1-Detail 4 2 4 4_Tertiary Salaries Survey" xfId="12160"/>
    <cellStyle name="RowTitles1-Detail 4 2 4 5" xfId="12161"/>
    <cellStyle name="RowTitles1-Detail 4 2 4 5 2" xfId="12162"/>
    <cellStyle name="RowTitles1-Detail 4 2 4 5 2 2" xfId="12163"/>
    <cellStyle name="RowTitles1-Detail 4 2 4 5 2 2 2" xfId="12164"/>
    <cellStyle name="RowTitles1-Detail 4 2 4 5 2 2_Tertiary Salaries Survey" xfId="12165"/>
    <cellStyle name="RowTitles1-Detail 4 2 4 5 2 3" xfId="12166"/>
    <cellStyle name="RowTitles1-Detail 4 2 4 5 2_Tertiary Salaries Survey" xfId="12167"/>
    <cellStyle name="RowTitles1-Detail 4 2 4 5 3" xfId="12168"/>
    <cellStyle name="RowTitles1-Detail 4 2 4 5 3 2" xfId="12169"/>
    <cellStyle name="RowTitles1-Detail 4 2 4 5 3 2 2" xfId="12170"/>
    <cellStyle name="RowTitles1-Detail 4 2 4 5 3 2_Tertiary Salaries Survey" xfId="12171"/>
    <cellStyle name="RowTitles1-Detail 4 2 4 5 3 3" xfId="12172"/>
    <cellStyle name="RowTitles1-Detail 4 2 4 5 3_Tertiary Salaries Survey" xfId="12173"/>
    <cellStyle name="RowTitles1-Detail 4 2 4 5 4" xfId="12174"/>
    <cellStyle name="RowTitles1-Detail 4 2 4 5 4 2" xfId="12175"/>
    <cellStyle name="RowTitles1-Detail 4 2 4 5 4_Tertiary Salaries Survey" xfId="12176"/>
    <cellStyle name="RowTitles1-Detail 4 2 4 5 5" xfId="12177"/>
    <cellStyle name="RowTitles1-Detail 4 2 4 5_Tertiary Salaries Survey" xfId="12178"/>
    <cellStyle name="RowTitles1-Detail 4 2 4 6" xfId="12179"/>
    <cellStyle name="RowTitles1-Detail 4 2 4 6 2" xfId="12180"/>
    <cellStyle name="RowTitles1-Detail 4 2 4 6 2 2" xfId="12181"/>
    <cellStyle name="RowTitles1-Detail 4 2 4 6 2 2 2" xfId="12182"/>
    <cellStyle name="RowTitles1-Detail 4 2 4 6 2 2_Tertiary Salaries Survey" xfId="12183"/>
    <cellStyle name="RowTitles1-Detail 4 2 4 6 2 3" xfId="12184"/>
    <cellStyle name="RowTitles1-Detail 4 2 4 6 2_Tertiary Salaries Survey" xfId="12185"/>
    <cellStyle name="RowTitles1-Detail 4 2 4 6 3" xfId="12186"/>
    <cellStyle name="RowTitles1-Detail 4 2 4 6 3 2" xfId="12187"/>
    <cellStyle name="RowTitles1-Detail 4 2 4 6 3 2 2" xfId="12188"/>
    <cellStyle name="RowTitles1-Detail 4 2 4 6 3 2_Tertiary Salaries Survey" xfId="12189"/>
    <cellStyle name="RowTitles1-Detail 4 2 4 6 3 3" xfId="12190"/>
    <cellStyle name="RowTitles1-Detail 4 2 4 6 3_Tertiary Salaries Survey" xfId="12191"/>
    <cellStyle name="RowTitles1-Detail 4 2 4 6 4" xfId="12192"/>
    <cellStyle name="RowTitles1-Detail 4 2 4 6 4 2" xfId="12193"/>
    <cellStyle name="RowTitles1-Detail 4 2 4 6 4_Tertiary Salaries Survey" xfId="12194"/>
    <cellStyle name="RowTitles1-Detail 4 2 4 6 5" xfId="12195"/>
    <cellStyle name="RowTitles1-Detail 4 2 4 6_Tertiary Salaries Survey" xfId="12196"/>
    <cellStyle name="RowTitles1-Detail 4 2 4 7" xfId="12197"/>
    <cellStyle name="RowTitles1-Detail 4 2 4 7 2" xfId="12198"/>
    <cellStyle name="RowTitles1-Detail 4 2 4 7 2 2" xfId="12199"/>
    <cellStyle name="RowTitles1-Detail 4 2 4 7 2_Tertiary Salaries Survey" xfId="12200"/>
    <cellStyle name="RowTitles1-Detail 4 2 4 7 3" xfId="12201"/>
    <cellStyle name="RowTitles1-Detail 4 2 4 7_Tertiary Salaries Survey" xfId="12202"/>
    <cellStyle name="RowTitles1-Detail 4 2 4 8" xfId="12203"/>
    <cellStyle name="RowTitles1-Detail 4 2 4 8 2" xfId="12204"/>
    <cellStyle name="RowTitles1-Detail 4 2 4 8 2 2" xfId="12205"/>
    <cellStyle name="RowTitles1-Detail 4 2 4 8 2_Tertiary Salaries Survey" xfId="12206"/>
    <cellStyle name="RowTitles1-Detail 4 2 4 8 3" xfId="12207"/>
    <cellStyle name="RowTitles1-Detail 4 2 4 8_Tertiary Salaries Survey" xfId="12208"/>
    <cellStyle name="RowTitles1-Detail 4 2 4 9" xfId="12209"/>
    <cellStyle name="RowTitles1-Detail 4 2 4_STUD aligned by INSTIT" xfId="12210"/>
    <cellStyle name="RowTitles1-Detail 4 2 5" xfId="12211"/>
    <cellStyle name="RowTitles1-Detail 4 2 5 2" xfId="12212"/>
    <cellStyle name="RowTitles1-Detail 4 2 5 2 2" xfId="12213"/>
    <cellStyle name="RowTitles1-Detail 4 2 5 2 2 2" xfId="12214"/>
    <cellStyle name="RowTitles1-Detail 4 2 5 2 2 2 2" xfId="12215"/>
    <cellStyle name="RowTitles1-Detail 4 2 5 2 2 2_Tertiary Salaries Survey" xfId="12216"/>
    <cellStyle name="RowTitles1-Detail 4 2 5 2 2 3" xfId="12217"/>
    <cellStyle name="RowTitles1-Detail 4 2 5 2 2_Tertiary Salaries Survey" xfId="12218"/>
    <cellStyle name="RowTitles1-Detail 4 2 5 2 3" xfId="12219"/>
    <cellStyle name="RowTitles1-Detail 4 2 5 2 3 2" xfId="12220"/>
    <cellStyle name="RowTitles1-Detail 4 2 5 2 3 2 2" xfId="12221"/>
    <cellStyle name="RowTitles1-Detail 4 2 5 2 3 2_Tertiary Salaries Survey" xfId="12222"/>
    <cellStyle name="RowTitles1-Detail 4 2 5 2 3 3" xfId="12223"/>
    <cellStyle name="RowTitles1-Detail 4 2 5 2 3_Tertiary Salaries Survey" xfId="12224"/>
    <cellStyle name="RowTitles1-Detail 4 2 5 2 4" xfId="12225"/>
    <cellStyle name="RowTitles1-Detail 4 2 5 2 5" xfId="12226"/>
    <cellStyle name="RowTitles1-Detail 4 2 5 2 5 2" xfId="12227"/>
    <cellStyle name="RowTitles1-Detail 4 2 5 2 5_Tertiary Salaries Survey" xfId="12228"/>
    <cellStyle name="RowTitles1-Detail 4 2 5 2 6" xfId="12229"/>
    <cellStyle name="RowTitles1-Detail 4 2 5 2_Tertiary Salaries Survey" xfId="12230"/>
    <cellStyle name="RowTitles1-Detail 4 2 5 3" xfId="12231"/>
    <cellStyle name="RowTitles1-Detail 4 2 5 3 2" xfId="12232"/>
    <cellStyle name="RowTitles1-Detail 4 2 5 3 2 2" xfId="12233"/>
    <cellStyle name="RowTitles1-Detail 4 2 5 3 2 2 2" xfId="12234"/>
    <cellStyle name="RowTitles1-Detail 4 2 5 3 2 2_Tertiary Salaries Survey" xfId="12235"/>
    <cellStyle name="RowTitles1-Detail 4 2 5 3 2 3" xfId="12236"/>
    <cellStyle name="RowTitles1-Detail 4 2 5 3 2_Tertiary Salaries Survey" xfId="12237"/>
    <cellStyle name="RowTitles1-Detail 4 2 5 3 3" xfId="12238"/>
    <cellStyle name="RowTitles1-Detail 4 2 5 3 3 2" xfId="12239"/>
    <cellStyle name="RowTitles1-Detail 4 2 5 3 3 2 2" xfId="12240"/>
    <cellStyle name="RowTitles1-Detail 4 2 5 3 3 2_Tertiary Salaries Survey" xfId="12241"/>
    <cellStyle name="RowTitles1-Detail 4 2 5 3 3 3" xfId="12242"/>
    <cellStyle name="RowTitles1-Detail 4 2 5 3 3_Tertiary Salaries Survey" xfId="12243"/>
    <cellStyle name="RowTitles1-Detail 4 2 5 3 4" xfId="12244"/>
    <cellStyle name="RowTitles1-Detail 4 2 5 3 5" xfId="12245"/>
    <cellStyle name="RowTitles1-Detail 4 2 5 3_Tertiary Salaries Survey" xfId="12246"/>
    <cellStyle name="RowTitles1-Detail 4 2 5 4" xfId="12247"/>
    <cellStyle name="RowTitles1-Detail 4 2 5 4 2" xfId="12248"/>
    <cellStyle name="RowTitles1-Detail 4 2 5 4 2 2" xfId="12249"/>
    <cellStyle name="RowTitles1-Detail 4 2 5 4 2 2 2" xfId="12250"/>
    <cellStyle name="RowTitles1-Detail 4 2 5 4 2 2_Tertiary Salaries Survey" xfId="12251"/>
    <cellStyle name="RowTitles1-Detail 4 2 5 4 2 3" xfId="12252"/>
    <cellStyle name="RowTitles1-Detail 4 2 5 4 2_Tertiary Salaries Survey" xfId="12253"/>
    <cellStyle name="RowTitles1-Detail 4 2 5 4 3" xfId="12254"/>
    <cellStyle name="RowTitles1-Detail 4 2 5 4 3 2" xfId="12255"/>
    <cellStyle name="RowTitles1-Detail 4 2 5 4 3 2 2" xfId="12256"/>
    <cellStyle name="RowTitles1-Detail 4 2 5 4 3 2_Tertiary Salaries Survey" xfId="12257"/>
    <cellStyle name="RowTitles1-Detail 4 2 5 4 3 3" xfId="12258"/>
    <cellStyle name="RowTitles1-Detail 4 2 5 4 3_Tertiary Salaries Survey" xfId="12259"/>
    <cellStyle name="RowTitles1-Detail 4 2 5 4 4" xfId="12260"/>
    <cellStyle name="RowTitles1-Detail 4 2 5 4 5" xfId="12261"/>
    <cellStyle name="RowTitles1-Detail 4 2 5 4 5 2" xfId="12262"/>
    <cellStyle name="RowTitles1-Detail 4 2 5 4 5_Tertiary Salaries Survey" xfId="12263"/>
    <cellStyle name="RowTitles1-Detail 4 2 5 4 6" xfId="12264"/>
    <cellStyle name="RowTitles1-Detail 4 2 5 4_Tertiary Salaries Survey" xfId="12265"/>
    <cellStyle name="RowTitles1-Detail 4 2 5 5" xfId="12266"/>
    <cellStyle name="RowTitles1-Detail 4 2 5 5 2" xfId="12267"/>
    <cellStyle name="RowTitles1-Detail 4 2 5 5 2 2" xfId="12268"/>
    <cellStyle name="RowTitles1-Detail 4 2 5 5 2 2 2" xfId="12269"/>
    <cellStyle name="RowTitles1-Detail 4 2 5 5 2 2_Tertiary Salaries Survey" xfId="12270"/>
    <cellStyle name="RowTitles1-Detail 4 2 5 5 2 3" xfId="12271"/>
    <cellStyle name="RowTitles1-Detail 4 2 5 5 2_Tertiary Salaries Survey" xfId="12272"/>
    <cellStyle name="RowTitles1-Detail 4 2 5 5 3" xfId="12273"/>
    <cellStyle name="RowTitles1-Detail 4 2 5 5 3 2" xfId="12274"/>
    <cellStyle name="RowTitles1-Detail 4 2 5 5 3 2 2" xfId="12275"/>
    <cellStyle name="RowTitles1-Detail 4 2 5 5 3 2_Tertiary Salaries Survey" xfId="12276"/>
    <cellStyle name="RowTitles1-Detail 4 2 5 5 3 3" xfId="12277"/>
    <cellStyle name="RowTitles1-Detail 4 2 5 5 3_Tertiary Salaries Survey" xfId="12278"/>
    <cellStyle name="RowTitles1-Detail 4 2 5 5 4" xfId="12279"/>
    <cellStyle name="RowTitles1-Detail 4 2 5 5 4 2" xfId="12280"/>
    <cellStyle name="RowTitles1-Detail 4 2 5 5 4_Tertiary Salaries Survey" xfId="12281"/>
    <cellStyle name="RowTitles1-Detail 4 2 5 5 5" xfId="12282"/>
    <cellStyle name="RowTitles1-Detail 4 2 5 5_Tertiary Salaries Survey" xfId="12283"/>
    <cellStyle name="RowTitles1-Detail 4 2 5 6" xfId="12284"/>
    <cellStyle name="RowTitles1-Detail 4 2 5 6 2" xfId="12285"/>
    <cellStyle name="RowTitles1-Detail 4 2 5 6 2 2" xfId="12286"/>
    <cellStyle name="RowTitles1-Detail 4 2 5 6 2 2 2" xfId="12287"/>
    <cellStyle name="RowTitles1-Detail 4 2 5 6 2 2_Tertiary Salaries Survey" xfId="12288"/>
    <cellStyle name="RowTitles1-Detail 4 2 5 6 2 3" xfId="12289"/>
    <cellStyle name="RowTitles1-Detail 4 2 5 6 2_Tertiary Salaries Survey" xfId="12290"/>
    <cellStyle name="RowTitles1-Detail 4 2 5 6 3" xfId="12291"/>
    <cellStyle name="RowTitles1-Detail 4 2 5 6 3 2" xfId="12292"/>
    <cellStyle name="RowTitles1-Detail 4 2 5 6 3 2 2" xfId="12293"/>
    <cellStyle name="RowTitles1-Detail 4 2 5 6 3 2_Tertiary Salaries Survey" xfId="12294"/>
    <cellStyle name="RowTitles1-Detail 4 2 5 6 3 3" xfId="12295"/>
    <cellStyle name="RowTitles1-Detail 4 2 5 6 3_Tertiary Salaries Survey" xfId="12296"/>
    <cellStyle name="RowTitles1-Detail 4 2 5 6 4" xfId="12297"/>
    <cellStyle name="RowTitles1-Detail 4 2 5 6 4 2" xfId="12298"/>
    <cellStyle name="RowTitles1-Detail 4 2 5 6 4_Tertiary Salaries Survey" xfId="12299"/>
    <cellStyle name="RowTitles1-Detail 4 2 5 6 5" xfId="12300"/>
    <cellStyle name="RowTitles1-Detail 4 2 5 6_Tertiary Salaries Survey" xfId="12301"/>
    <cellStyle name="RowTitles1-Detail 4 2 5 7" xfId="12302"/>
    <cellStyle name="RowTitles1-Detail 4 2 5 7 2" xfId="12303"/>
    <cellStyle name="RowTitles1-Detail 4 2 5 7 2 2" xfId="12304"/>
    <cellStyle name="RowTitles1-Detail 4 2 5 7 2_Tertiary Salaries Survey" xfId="12305"/>
    <cellStyle name="RowTitles1-Detail 4 2 5 7 3" xfId="12306"/>
    <cellStyle name="RowTitles1-Detail 4 2 5 7_Tertiary Salaries Survey" xfId="12307"/>
    <cellStyle name="RowTitles1-Detail 4 2 5 8" xfId="12308"/>
    <cellStyle name="RowTitles1-Detail 4 2 5 9" xfId="12309"/>
    <cellStyle name="RowTitles1-Detail 4 2 5_STUD aligned by INSTIT" xfId="12310"/>
    <cellStyle name="RowTitles1-Detail 4 2 6" xfId="12311"/>
    <cellStyle name="RowTitles1-Detail 4 2 6 2" xfId="12312"/>
    <cellStyle name="RowTitles1-Detail 4 2 6 2 2" xfId="12313"/>
    <cellStyle name="RowTitles1-Detail 4 2 6 2 2 2" xfId="12314"/>
    <cellStyle name="RowTitles1-Detail 4 2 6 2 2_Tertiary Salaries Survey" xfId="12315"/>
    <cellStyle name="RowTitles1-Detail 4 2 6 2 3" xfId="12316"/>
    <cellStyle name="RowTitles1-Detail 4 2 6 2_Tertiary Salaries Survey" xfId="12317"/>
    <cellStyle name="RowTitles1-Detail 4 2 6 3" xfId="12318"/>
    <cellStyle name="RowTitles1-Detail 4 2 6 3 2" xfId="12319"/>
    <cellStyle name="RowTitles1-Detail 4 2 6 3 2 2" xfId="12320"/>
    <cellStyle name="RowTitles1-Detail 4 2 6 3 2_Tertiary Salaries Survey" xfId="12321"/>
    <cellStyle name="RowTitles1-Detail 4 2 6 3 3" xfId="12322"/>
    <cellStyle name="RowTitles1-Detail 4 2 6 3_Tertiary Salaries Survey" xfId="12323"/>
    <cellStyle name="RowTitles1-Detail 4 2 6 4" xfId="12324"/>
    <cellStyle name="RowTitles1-Detail 4 2 6 5" xfId="12325"/>
    <cellStyle name="RowTitles1-Detail 4 2 6 5 2" xfId="12326"/>
    <cellStyle name="RowTitles1-Detail 4 2 6 5_Tertiary Salaries Survey" xfId="12327"/>
    <cellStyle name="RowTitles1-Detail 4 2 6 6" xfId="12328"/>
    <cellStyle name="RowTitles1-Detail 4 2 6_Tertiary Salaries Survey" xfId="12329"/>
    <cellStyle name="RowTitles1-Detail 4 2 7" xfId="12330"/>
    <cellStyle name="RowTitles1-Detail 4 2 7 2" xfId="12331"/>
    <cellStyle name="RowTitles1-Detail 4 2 7 2 2" xfId="12332"/>
    <cellStyle name="RowTitles1-Detail 4 2 7 2 2 2" xfId="12333"/>
    <cellStyle name="RowTitles1-Detail 4 2 7 2 2_Tertiary Salaries Survey" xfId="12334"/>
    <cellStyle name="RowTitles1-Detail 4 2 7 2 3" xfId="12335"/>
    <cellStyle name="RowTitles1-Detail 4 2 7 2_Tertiary Salaries Survey" xfId="12336"/>
    <cellStyle name="RowTitles1-Detail 4 2 7 3" xfId="12337"/>
    <cellStyle name="RowTitles1-Detail 4 2 7 3 2" xfId="12338"/>
    <cellStyle name="RowTitles1-Detail 4 2 7 3 2 2" xfId="12339"/>
    <cellStyle name="RowTitles1-Detail 4 2 7 3 2_Tertiary Salaries Survey" xfId="12340"/>
    <cellStyle name="RowTitles1-Detail 4 2 7 3 3" xfId="12341"/>
    <cellStyle name="RowTitles1-Detail 4 2 7 3_Tertiary Salaries Survey" xfId="12342"/>
    <cellStyle name="RowTitles1-Detail 4 2 7 4" xfId="12343"/>
    <cellStyle name="RowTitles1-Detail 4 2 7 5" xfId="12344"/>
    <cellStyle name="RowTitles1-Detail 4 2 7_Tertiary Salaries Survey" xfId="12345"/>
    <cellStyle name="RowTitles1-Detail 4 2 8" xfId="12346"/>
    <cellStyle name="RowTitles1-Detail 4 2 8 2" xfId="12347"/>
    <cellStyle name="RowTitles1-Detail 4 2 8 2 2" xfId="12348"/>
    <cellStyle name="RowTitles1-Detail 4 2 8 2 2 2" xfId="12349"/>
    <cellStyle name="RowTitles1-Detail 4 2 8 2 2_Tertiary Salaries Survey" xfId="12350"/>
    <cellStyle name="RowTitles1-Detail 4 2 8 2 3" xfId="12351"/>
    <cellStyle name="RowTitles1-Detail 4 2 8 2_Tertiary Salaries Survey" xfId="12352"/>
    <cellStyle name="RowTitles1-Detail 4 2 8 3" xfId="12353"/>
    <cellStyle name="RowTitles1-Detail 4 2 8 3 2" xfId="12354"/>
    <cellStyle name="RowTitles1-Detail 4 2 8 3 2 2" xfId="12355"/>
    <cellStyle name="RowTitles1-Detail 4 2 8 3 2_Tertiary Salaries Survey" xfId="12356"/>
    <cellStyle name="RowTitles1-Detail 4 2 8 3 3" xfId="12357"/>
    <cellStyle name="RowTitles1-Detail 4 2 8 3_Tertiary Salaries Survey" xfId="12358"/>
    <cellStyle name="RowTitles1-Detail 4 2 8 4" xfId="12359"/>
    <cellStyle name="RowTitles1-Detail 4 2 8 5" xfId="12360"/>
    <cellStyle name="RowTitles1-Detail 4 2 8 5 2" xfId="12361"/>
    <cellStyle name="RowTitles1-Detail 4 2 8 5_Tertiary Salaries Survey" xfId="12362"/>
    <cellStyle name="RowTitles1-Detail 4 2 8 6" xfId="12363"/>
    <cellStyle name="RowTitles1-Detail 4 2 8_Tertiary Salaries Survey" xfId="12364"/>
    <cellStyle name="RowTitles1-Detail 4 2 9" xfId="12365"/>
    <cellStyle name="RowTitles1-Detail 4 2 9 2" xfId="12366"/>
    <cellStyle name="RowTitles1-Detail 4 2 9 2 2" xfId="12367"/>
    <cellStyle name="RowTitles1-Detail 4 2 9 2 2 2" xfId="12368"/>
    <cellStyle name="RowTitles1-Detail 4 2 9 2 2_Tertiary Salaries Survey" xfId="12369"/>
    <cellStyle name="RowTitles1-Detail 4 2 9 2 3" xfId="12370"/>
    <cellStyle name="RowTitles1-Detail 4 2 9 2_Tertiary Salaries Survey" xfId="12371"/>
    <cellStyle name="RowTitles1-Detail 4 2 9 3" xfId="12372"/>
    <cellStyle name="RowTitles1-Detail 4 2 9 3 2" xfId="12373"/>
    <cellStyle name="RowTitles1-Detail 4 2 9 3 2 2" xfId="12374"/>
    <cellStyle name="RowTitles1-Detail 4 2 9 3 2_Tertiary Salaries Survey" xfId="12375"/>
    <cellStyle name="RowTitles1-Detail 4 2 9 3 3" xfId="12376"/>
    <cellStyle name="RowTitles1-Detail 4 2 9 3_Tertiary Salaries Survey" xfId="12377"/>
    <cellStyle name="RowTitles1-Detail 4 2 9 4" xfId="12378"/>
    <cellStyle name="RowTitles1-Detail 4 2 9 4 2" xfId="12379"/>
    <cellStyle name="RowTitles1-Detail 4 2 9 4_Tertiary Salaries Survey" xfId="12380"/>
    <cellStyle name="RowTitles1-Detail 4 2 9 5" xfId="12381"/>
    <cellStyle name="RowTitles1-Detail 4 2 9_Tertiary Salaries Survey" xfId="12382"/>
    <cellStyle name="RowTitles1-Detail 4 2_STUD aligned by INSTIT" xfId="12383"/>
    <cellStyle name="RowTitles1-Detail 4 3" xfId="12384"/>
    <cellStyle name="RowTitles1-Detail 4 3 10" xfId="12385"/>
    <cellStyle name="RowTitles1-Detail 4 3 10 2" xfId="12386"/>
    <cellStyle name="RowTitles1-Detail 4 3 10 2 2" xfId="12387"/>
    <cellStyle name="RowTitles1-Detail 4 3 10 2_Tertiary Salaries Survey" xfId="12388"/>
    <cellStyle name="RowTitles1-Detail 4 3 10 3" xfId="12389"/>
    <cellStyle name="RowTitles1-Detail 4 3 10_Tertiary Salaries Survey" xfId="12390"/>
    <cellStyle name="RowTitles1-Detail 4 3 11" xfId="12391"/>
    <cellStyle name="RowTitles1-Detail 4 3 12" xfId="12392"/>
    <cellStyle name="RowTitles1-Detail 4 3 2" xfId="12393"/>
    <cellStyle name="RowTitles1-Detail 4 3 2 2" xfId="12394"/>
    <cellStyle name="RowTitles1-Detail 4 3 2 2 2" xfId="12395"/>
    <cellStyle name="RowTitles1-Detail 4 3 2 2 2 2" xfId="12396"/>
    <cellStyle name="RowTitles1-Detail 4 3 2 2 2 2 2" xfId="12397"/>
    <cellStyle name="RowTitles1-Detail 4 3 2 2 2 2_Tertiary Salaries Survey" xfId="12398"/>
    <cellStyle name="RowTitles1-Detail 4 3 2 2 2 3" xfId="12399"/>
    <cellStyle name="RowTitles1-Detail 4 3 2 2 2_Tertiary Salaries Survey" xfId="12400"/>
    <cellStyle name="RowTitles1-Detail 4 3 2 2 3" xfId="12401"/>
    <cellStyle name="RowTitles1-Detail 4 3 2 2 3 2" xfId="12402"/>
    <cellStyle name="RowTitles1-Detail 4 3 2 2 3 2 2" xfId="12403"/>
    <cellStyle name="RowTitles1-Detail 4 3 2 2 3 2_Tertiary Salaries Survey" xfId="12404"/>
    <cellStyle name="RowTitles1-Detail 4 3 2 2 3 3" xfId="12405"/>
    <cellStyle name="RowTitles1-Detail 4 3 2 2 3_Tertiary Salaries Survey" xfId="12406"/>
    <cellStyle name="RowTitles1-Detail 4 3 2 2 4" xfId="12407"/>
    <cellStyle name="RowTitles1-Detail 4 3 2 2 5" xfId="12408"/>
    <cellStyle name="RowTitles1-Detail 4 3 2 2_Tertiary Salaries Survey" xfId="12409"/>
    <cellStyle name="RowTitles1-Detail 4 3 2 3" xfId="12410"/>
    <cellStyle name="RowTitles1-Detail 4 3 2 3 2" xfId="12411"/>
    <cellStyle name="RowTitles1-Detail 4 3 2 3 2 2" xfId="12412"/>
    <cellStyle name="RowTitles1-Detail 4 3 2 3 2 2 2" xfId="12413"/>
    <cellStyle name="RowTitles1-Detail 4 3 2 3 2 2_Tertiary Salaries Survey" xfId="12414"/>
    <cellStyle name="RowTitles1-Detail 4 3 2 3 2 3" xfId="12415"/>
    <cellStyle name="RowTitles1-Detail 4 3 2 3 2_Tertiary Salaries Survey" xfId="12416"/>
    <cellStyle name="RowTitles1-Detail 4 3 2 3 3" xfId="12417"/>
    <cellStyle name="RowTitles1-Detail 4 3 2 3 3 2" xfId="12418"/>
    <cellStyle name="RowTitles1-Detail 4 3 2 3 3 2 2" xfId="12419"/>
    <cellStyle name="RowTitles1-Detail 4 3 2 3 3 2_Tertiary Salaries Survey" xfId="12420"/>
    <cellStyle name="RowTitles1-Detail 4 3 2 3 3 3" xfId="12421"/>
    <cellStyle name="RowTitles1-Detail 4 3 2 3 3_Tertiary Salaries Survey" xfId="12422"/>
    <cellStyle name="RowTitles1-Detail 4 3 2 3 4" xfId="12423"/>
    <cellStyle name="RowTitles1-Detail 4 3 2 3 5" xfId="12424"/>
    <cellStyle name="RowTitles1-Detail 4 3 2 3 5 2" xfId="12425"/>
    <cellStyle name="RowTitles1-Detail 4 3 2 3 5_Tertiary Salaries Survey" xfId="12426"/>
    <cellStyle name="RowTitles1-Detail 4 3 2 3 6" xfId="12427"/>
    <cellStyle name="RowTitles1-Detail 4 3 2 3_Tertiary Salaries Survey" xfId="12428"/>
    <cellStyle name="RowTitles1-Detail 4 3 2 4" xfId="12429"/>
    <cellStyle name="RowTitles1-Detail 4 3 2 4 2" xfId="12430"/>
    <cellStyle name="RowTitles1-Detail 4 3 2 4 2 2" xfId="12431"/>
    <cellStyle name="RowTitles1-Detail 4 3 2 4 2 2 2" xfId="12432"/>
    <cellStyle name="RowTitles1-Detail 4 3 2 4 2 2_Tertiary Salaries Survey" xfId="12433"/>
    <cellStyle name="RowTitles1-Detail 4 3 2 4 2 3" xfId="12434"/>
    <cellStyle name="RowTitles1-Detail 4 3 2 4 2_Tertiary Salaries Survey" xfId="12435"/>
    <cellStyle name="RowTitles1-Detail 4 3 2 4 3" xfId="12436"/>
    <cellStyle name="RowTitles1-Detail 4 3 2 4 3 2" xfId="12437"/>
    <cellStyle name="RowTitles1-Detail 4 3 2 4 3 2 2" xfId="12438"/>
    <cellStyle name="RowTitles1-Detail 4 3 2 4 3 2_Tertiary Salaries Survey" xfId="12439"/>
    <cellStyle name="RowTitles1-Detail 4 3 2 4 3 3" xfId="12440"/>
    <cellStyle name="RowTitles1-Detail 4 3 2 4 3_Tertiary Salaries Survey" xfId="12441"/>
    <cellStyle name="RowTitles1-Detail 4 3 2 4 4" xfId="12442"/>
    <cellStyle name="RowTitles1-Detail 4 3 2 4 4 2" xfId="12443"/>
    <cellStyle name="RowTitles1-Detail 4 3 2 4 4_Tertiary Salaries Survey" xfId="12444"/>
    <cellStyle name="RowTitles1-Detail 4 3 2 4 5" xfId="12445"/>
    <cellStyle name="RowTitles1-Detail 4 3 2 4_Tertiary Salaries Survey" xfId="12446"/>
    <cellStyle name="RowTitles1-Detail 4 3 2 5" xfId="12447"/>
    <cellStyle name="RowTitles1-Detail 4 3 2 5 2" xfId="12448"/>
    <cellStyle name="RowTitles1-Detail 4 3 2 5 2 2" xfId="12449"/>
    <cellStyle name="RowTitles1-Detail 4 3 2 5 2 2 2" xfId="12450"/>
    <cellStyle name="RowTitles1-Detail 4 3 2 5 2 2_Tertiary Salaries Survey" xfId="12451"/>
    <cellStyle name="RowTitles1-Detail 4 3 2 5 2 3" xfId="12452"/>
    <cellStyle name="RowTitles1-Detail 4 3 2 5 2_Tertiary Salaries Survey" xfId="12453"/>
    <cellStyle name="RowTitles1-Detail 4 3 2 5 3" xfId="12454"/>
    <cellStyle name="RowTitles1-Detail 4 3 2 5 3 2" xfId="12455"/>
    <cellStyle name="RowTitles1-Detail 4 3 2 5 3 2 2" xfId="12456"/>
    <cellStyle name="RowTitles1-Detail 4 3 2 5 3 2_Tertiary Salaries Survey" xfId="12457"/>
    <cellStyle name="RowTitles1-Detail 4 3 2 5 3 3" xfId="12458"/>
    <cellStyle name="RowTitles1-Detail 4 3 2 5 3_Tertiary Salaries Survey" xfId="12459"/>
    <cellStyle name="RowTitles1-Detail 4 3 2 5 4" xfId="12460"/>
    <cellStyle name="RowTitles1-Detail 4 3 2 5 4 2" xfId="12461"/>
    <cellStyle name="RowTitles1-Detail 4 3 2 5 4_Tertiary Salaries Survey" xfId="12462"/>
    <cellStyle name="RowTitles1-Detail 4 3 2 5 5" xfId="12463"/>
    <cellStyle name="RowTitles1-Detail 4 3 2 5_Tertiary Salaries Survey" xfId="12464"/>
    <cellStyle name="RowTitles1-Detail 4 3 2 6" xfId="12465"/>
    <cellStyle name="RowTitles1-Detail 4 3 2 6 2" xfId="12466"/>
    <cellStyle name="RowTitles1-Detail 4 3 2 6 2 2" xfId="12467"/>
    <cellStyle name="RowTitles1-Detail 4 3 2 6 2 2 2" xfId="12468"/>
    <cellStyle name="RowTitles1-Detail 4 3 2 6 2 2_Tertiary Salaries Survey" xfId="12469"/>
    <cellStyle name="RowTitles1-Detail 4 3 2 6 2 3" xfId="12470"/>
    <cellStyle name="RowTitles1-Detail 4 3 2 6 2_Tertiary Salaries Survey" xfId="12471"/>
    <cellStyle name="RowTitles1-Detail 4 3 2 6 3" xfId="12472"/>
    <cellStyle name="RowTitles1-Detail 4 3 2 6 3 2" xfId="12473"/>
    <cellStyle name="RowTitles1-Detail 4 3 2 6 3 2 2" xfId="12474"/>
    <cellStyle name="RowTitles1-Detail 4 3 2 6 3 2_Tertiary Salaries Survey" xfId="12475"/>
    <cellStyle name="RowTitles1-Detail 4 3 2 6 3 3" xfId="12476"/>
    <cellStyle name="RowTitles1-Detail 4 3 2 6 3_Tertiary Salaries Survey" xfId="12477"/>
    <cellStyle name="RowTitles1-Detail 4 3 2 6 4" xfId="12478"/>
    <cellStyle name="RowTitles1-Detail 4 3 2 6 4 2" xfId="12479"/>
    <cellStyle name="RowTitles1-Detail 4 3 2 6 4_Tertiary Salaries Survey" xfId="12480"/>
    <cellStyle name="RowTitles1-Detail 4 3 2 6 5" xfId="12481"/>
    <cellStyle name="RowTitles1-Detail 4 3 2 6_Tertiary Salaries Survey" xfId="12482"/>
    <cellStyle name="RowTitles1-Detail 4 3 2 7" xfId="12483"/>
    <cellStyle name="RowTitles1-Detail 4 3 2 7 2" xfId="12484"/>
    <cellStyle name="RowTitles1-Detail 4 3 2 7 2 2" xfId="12485"/>
    <cellStyle name="RowTitles1-Detail 4 3 2 7 2_Tertiary Salaries Survey" xfId="12486"/>
    <cellStyle name="RowTitles1-Detail 4 3 2 7 3" xfId="12487"/>
    <cellStyle name="RowTitles1-Detail 4 3 2 7_Tertiary Salaries Survey" xfId="12488"/>
    <cellStyle name="RowTitles1-Detail 4 3 2 8" xfId="12489"/>
    <cellStyle name="RowTitles1-Detail 4 3 2 9" xfId="12490"/>
    <cellStyle name="RowTitles1-Detail 4 3 2_STUD aligned by INSTIT" xfId="12491"/>
    <cellStyle name="RowTitles1-Detail 4 3 3" xfId="12492"/>
    <cellStyle name="RowTitles1-Detail 4 3 3 2" xfId="12493"/>
    <cellStyle name="RowTitles1-Detail 4 3 3 2 2" xfId="12494"/>
    <cellStyle name="RowTitles1-Detail 4 3 3 2 2 2" xfId="12495"/>
    <cellStyle name="RowTitles1-Detail 4 3 3 2 2 2 2" xfId="12496"/>
    <cellStyle name="RowTitles1-Detail 4 3 3 2 2 2_Tertiary Salaries Survey" xfId="12497"/>
    <cellStyle name="RowTitles1-Detail 4 3 3 2 2 3" xfId="12498"/>
    <cellStyle name="RowTitles1-Detail 4 3 3 2 2_Tertiary Salaries Survey" xfId="12499"/>
    <cellStyle name="RowTitles1-Detail 4 3 3 2 3" xfId="12500"/>
    <cellStyle name="RowTitles1-Detail 4 3 3 2 3 2" xfId="12501"/>
    <cellStyle name="RowTitles1-Detail 4 3 3 2 3 2 2" xfId="12502"/>
    <cellStyle name="RowTitles1-Detail 4 3 3 2 3 2_Tertiary Salaries Survey" xfId="12503"/>
    <cellStyle name="RowTitles1-Detail 4 3 3 2 3 3" xfId="12504"/>
    <cellStyle name="RowTitles1-Detail 4 3 3 2 3_Tertiary Salaries Survey" xfId="12505"/>
    <cellStyle name="RowTitles1-Detail 4 3 3 2 4" xfId="12506"/>
    <cellStyle name="RowTitles1-Detail 4 3 3 2 5" xfId="12507"/>
    <cellStyle name="RowTitles1-Detail 4 3 3 2 5 2" xfId="12508"/>
    <cellStyle name="RowTitles1-Detail 4 3 3 2 5_Tertiary Salaries Survey" xfId="12509"/>
    <cellStyle name="RowTitles1-Detail 4 3 3 2 6" xfId="12510"/>
    <cellStyle name="RowTitles1-Detail 4 3 3 2_Tertiary Salaries Survey" xfId="12511"/>
    <cellStyle name="RowTitles1-Detail 4 3 3 3" xfId="12512"/>
    <cellStyle name="RowTitles1-Detail 4 3 3 3 2" xfId="12513"/>
    <cellStyle name="RowTitles1-Detail 4 3 3 3 2 2" xfId="12514"/>
    <cellStyle name="RowTitles1-Detail 4 3 3 3 2 2 2" xfId="12515"/>
    <cellStyle name="RowTitles1-Detail 4 3 3 3 2 2_Tertiary Salaries Survey" xfId="12516"/>
    <cellStyle name="RowTitles1-Detail 4 3 3 3 2 3" xfId="12517"/>
    <cellStyle name="RowTitles1-Detail 4 3 3 3 2_Tertiary Salaries Survey" xfId="12518"/>
    <cellStyle name="RowTitles1-Detail 4 3 3 3 3" xfId="12519"/>
    <cellStyle name="RowTitles1-Detail 4 3 3 3 3 2" xfId="12520"/>
    <cellStyle name="RowTitles1-Detail 4 3 3 3 3 2 2" xfId="12521"/>
    <cellStyle name="RowTitles1-Detail 4 3 3 3 3 2_Tertiary Salaries Survey" xfId="12522"/>
    <cellStyle name="RowTitles1-Detail 4 3 3 3 3 3" xfId="12523"/>
    <cellStyle name="RowTitles1-Detail 4 3 3 3 3_Tertiary Salaries Survey" xfId="12524"/>
    <cellStyle name="RowTitles1-Detail 4 3 3 3 4" xfId="12525"/>
    <cellStyle name="RowTitles1-Detail 4 3 3 3 5" xfId="12526"/>
    <cellStyle name="RowTitles1-Detail 4 3 3 3_Tertiary Salaries Survey" xfId="12527"/>
    <cellStyle name="RowTitles1-Detail 4 3 3 4" xfId="12528"/>
    <cellStyle name="RowTitles1-Detail 4 3 3 4 2" xfId="12529"/>
    <cellStyle name="RowTitles1-Detail 4 3 3 4 2 2" xfId="12530"/>
    <cellStyle name="RowTitles1-Detail 4 3 3 4 2 2 2" xfId="12531"/>
    <cellStyle name="RowTitles1-Detail 4 3 3 4 2 2_Tertiary Salaries Survey" xfId="12532"/>
    <cellStyle name="RowTitles1-Detail 4 3 3 4 2 3" xfId="12533"/>
    <cellStyle name="RowTitles1-Detail 4 3 3 4 2_Tertiary Salaries Survey" xfId="12534"/>
    <cellStyle name="RowTitles1-Detail 4 3 3 4 3" xfId="12535"/>
    <cellStyle name="RowTitles1-Detail 4 3 3 4 3 2" xfId="12536"/>
    <cellStyle name="RowTitles1-Detail 4 3 3 4 3 2 2" xfId="12537"/>
    <cellStyle name="RowTitles1-Detail 4 3 3 4 3 2_Tertiary Salaries Survey" xfId="12538"/>
    <cellStyle name="RowTitles1-Detail 4 3 3 4 3 3" xfId="12539"/>
    <cellStyle name="RowTitles1-Detail 4 3 3 4 3_Tertiary Salaries Survey" xfId="12540"/>
    <cellStyle name="RowTitles1-Detail 4 3 3 4 4" xfId="12541"/>
    <cellStyle name="RowTitles1-Detail 4 3 3 4 4 2" xfId="12542"/>
    <cellStyle name="RowTitles1-Detail 4 3 3 4 4_Tertiary Salaries Survey" xfId="12543"/>
    <cellStyle name="RowTitles1-Detail 4 3 3 4 5" xfId="12544"/>
    <cellStyle name="RowTitles1-Detail 4 3 3 4_Tertiary Salaries Survey" xfId="12545"/>
    <cellStyle name="RowTitles1-Detail 4 3 3 5" xfId="12546"/>
    <cellStyle name="RowTitles1-Detail 4 3 3 5 2" xfId="12547"/>
    <cellStyle name="RowTitles1-Detail 4 3 3 5 2 2" xfId="12548"/>
    <cellStyle name="RowTitles1-Detail 4 3 3 5 2 2 2" xfId="12549"/>
    <cellStyle name="RowTitles1-Detail 4 3 3 5 2 2_Tertiary Salaries Survey" xfId="12550"/>
    <cellStyle name="RowTitles1-Detail 4 3 3 5 2 3" xfId="12551"/>
    <cellStyle name="RowTitles1-Detail 4 3 3 5 2_Tertiary Salaries Survey" xfId="12552"/>
    <cellStyle name="RowTitles1-Detail 4 3 3 5 3" xfId="12553"/>
    <cellStyle name="RowTitles1-Detail 4 3 3 5 3 2" xfId="12554"/>
    <cellStyle name="RowTitles1-Detail 4 3 3 5 3 2 2" xfId="12555"/>
    <cellStyle name="RowTitles1-Detail 4 3 3 5 3 2_Tertiary Salaries Survey" xfId="12556"/>
    <cellStyle name="RowTitles1-Detail 4 3 3 5 3 3" xfId="12557"/>
    <cellStyle name="RowTitles1-Detail 4 3 3 5 3_Tertiary Salaries Survey" xfId="12558"/>
    <cellStyle name="RowTitles1-Detail 4 3 3 5 4" xfId="12559"/>
    <cellStyle name="RowTitles1-Detail 4 3 3 5 4 2" xfId="12560"/>
    <cellStyle name="RowTitles1-Detail 4 3 3 5 4_Tertiary Salaries Survey" xfId="12561"/>
    <cellStyle name="RowTitles1-Detail 4 3 3 5 5" xfId="12562"/>
    <cellStyle name="RowTitles1-Detail 4 3 3 5_Tertiary Salaries Survey" xfId="12563"/>
    <cellStyle name="RowTitles1-Detail 4 3 3 6" xfId="12564"/>
    <cellStyle name="RowTitles1-Detail 4 3 3 6 2" xfId="12565"/>
    <cellStyle name="RowTitles1-Detail 4 3 3 6 2 2" xfId="12566"/>
    <cellStyle name="RowTitles1-Detail 4 3 3 6 2 2 2" xfId="12567"/>
    <cellStyle name="RowTitles1-Detail 4 3 3 6 2 2_Tertiary Salaries Survey" xfId="12568"/>
    <cellStyle name="RowTitles1-Detail 4 3 3 6 2 3" xfId="12569"/>
    <cellStyle name="RowTitles1-Detail 4 3 3 6 2_Tertiary Salaries Survey" xfId="12570"/>
    <cellStyle name="RowTitles1-Detail 4 3 3 6 3" xfId="12571"/>
    <cellStyle name="RowTitles1-Detail 4 3 3 6 3 2" xfId="12572"/>
    <cellStyle name="RowTitles1-Detail 4 3 3 6 3 2 2" xfId="12573"/>
    <cellStyle name="RowTitles1-Detail 4 3 3 6 3 2_Tertiary Salaries Survey" xfId="12574"/>
    <cellStyle name="RowTitles1-Detail 4 3 3 6 3 3" xfId="12575"/>
    <cellStyle name="RowTitles1-Detail 4 3 3 6 3_Tertiary Salaries Survey" xfId="12576"/>
    <cellStyle name="RowTitles1-Detail 4 3 3 6 4" xfId="12577"/>
    <cellStyle name="RowTitles1-Detail 4 3 3 6 4 2" xfId="12578"/>
    <cellStyle name="RowTitles1-Detail 4 3 3 6 4_Tertiary Salaries Survey" xfId="12579"/>
    <cellStyle name="RowTitles1-Detail 4 3 3 6 5" xfId="12580"/>
    <cellStyle name="RowTitles1-Detail 4 3 3 6_Tertiary Salaries Survey" xfId="12581"/>
    <cellStyle name="RowTitles1-Detail 4 3 3 7" xfId="12582"/>
    <cellStyle name="RowTitles1-Detail 4 3 3 7 2" xfId="12583"/>
    <cellStyle name="RowTitles1-Detail 4 3 3 7 2 2" xfId="12584"/>
    <cellStyle name="RowTitles1-Detail 4 3 3 7 2_Tertiary Salaries Survey" xfId="12585"/>
    <cellStyle name="RowTitles1-Detail 4 3 3 7 3" xfId="12586"/>
    <cellStyle name="RowTitles1-Detail 4 3 3 7_Tertiary Salaries Survey" xfId="12587"/>
    <cellStyle name="RowTitles1-Detail 4 3 3 8" xfId="12588"/>
    <cellStyle name="RowTitles1-Detail 4 3 3 8 2" xfId="12589"/>
    <cellStyle name="RowTitles1-Detail 4 3 3 8 2 2" xfId="12590"/>
    <cellStyle name="RowTitles1-Detail 4 3 3 8 2_Tertiary Salaries Survey" xfId="12591"/>
    <cellStyle name="RowTitles1-Detail 4 3 3 8 3" xfId="12592"/>
    <cellStyle name="RowTitles1-Detail 4 3 3 8_Tertiary Salaries Survey" xfId="12593"/>
    <cellStyle name="RowTitles1-Detail 4 3 3 9" xfId="12594"/>
    <cellStyle name="RowTitles1-Detail 4 3 3_STUD aligned by INSTIT" xfId="12595"/>
    <cellStyle name="RowTitles1-Detail 4 3 4" xfId="12596"/>
    <cellStyle name="RowTitles1-Detail 4 3 4 2" xfId="12597"/>
    <cellStyle name="RowTitles1-Detail 4 3 4 2 2" xfId="12598"/>
    <cellStyle name="RowTitles1-Detail 4 3 4 2 2 2" xfId="12599"/>
    <cellStyle name="RowTitles1-Detail 4 3 4 2 2 2 2" xfId="12600"/>
    <cellStyle name="RowTitles1-Detail 4 3 4 2 2 2_Tertiary Salaries Survey" xfId="12601"/>
    <cellStyle name="RowTitles1-Detail 4 3 4 2 2 3" xfId="12602"/>
    <cellStyle name="RowTitles1-Detail 4 3 4 2 2_Tertiary Salaries Survey" xfId="12603"/>
    <cellStyle name="RowTitles1-Detail 4 3 4 2 3" xfId="12604"/>
    <cellStyle name="RowTitles1-Detail 4 3 4 2 3 2" xfId="12605"/>
    <cellStyle name="RowTitles1-Detail 4 3 4 2 3 2 2" xfId="12606"/>
    <cellStyle name="RowTitles1-Detail 4 3 4 2 3 2_Tertiary Salaries Survey" xfId="12607"/>
    <cellStyle name="RowTitles1-Detail 4 3 4 2 3 3" xfId="12608"/>
    <cellStyle name="RowTitles1-Detail 4 3 4 2 3_Tertiary Salaries Survey" xfId="12609"/>
    <cellStyle name="RowTitles1-Detail 4 3 4 2 4" xfId="12610"/>
    <cellStyle name="RowTitles1-Detail 4 3 4 2 5" xfId="12611"/>
    <cellStyle name="RowTitles1-Detail 4 3 4 2 5 2" xfId="12612"/>
    <cellStyle name="RowTitles1-Detail 4 3 4 2 5_Tertiary Salaries Survey" xfId="12613"/>
    <cellStyle name="RowTitles1-Detail 4 3 4 2 6" xfId="12614"/>
    <cellStyle name="RowTitles1-Detail 4 3 4 2_Tertiary Salaries Survey" xfId="12615"/>
    <cellStyle name="RowTitles1-Detail 4 3 4 3" xfId="12616"/>
    <cellStyle name="RowTitles1-Detail 4 3 4 3 2" xfId="12617"/>
    <cellStyle name="RowTitles1-Detail 4 3 4 3 2 2" xfId="12618"/>
    <cellStyle name="RowTitles1-Detail 4 3 4 3 2 2 2" xfId="12619"/>
    <cellStyle name="RowTitles1-Detail 4 3 4 3 2 2_Tertiary Salaries Survey" xfId="12620"/>
    <cellStyle name="RowTitles1-Detail 4 3 4 3 2 3" xfId="12621"/>
    <cellStyle name="RowTitles1-Detail 4 3 4 3 2_Tertiary Salaries Survey" xfId="12622"/>
    <cellStyle name="RowTitles1-Detail 4 3 4 3 3" xfId="12623"/>
    <cellStyle name="RowTitles1-Detail 4 3 4 3 3 2" xfId="12624"/>
    <cellStyle name="RowTitles1-Detail 4 3 4 3 3 2 2" xfId="12625"/>
    <cellStyle name="RowTitles1-Detail 4 3 4 3 3 2_Tertiary Salaries Survey" xfId="12626"/>
    <cellStyle name="RowTitles1-Detail 4 3 4 3 3 3" xfId="12627"/>
    <cellStyle name="RowTitles1-Detail 4 3 4 3 3_Tertiary Salaries Survey" xfId="12628"/>
    <cellStyle name="RowTitles1-Detail 4 3 4 3 4" xfId="12629"/>
    <cellStyle name="RowTitles1-Detail 4 3 4 3 5" xfId="12630"/>
    <cellStyle name="RowTitles1-Detail 4 3 4 3_Tertiary Salaries Survey" xfId="12631"/>
    <cellStyle name="RowTitles1-Detail 4 3 4 4" xfId="12632"/>
    <cellStyle name="RowTitles1-Detail 4 3 4 4 2" xfId="12633"/>
    <cellStyle name="RowTitles1-Detail 4 3 4 4 2 2" xfId="12634"/>
    <cellStyle name="RowTitles1-Detail 4 3 4 4 2 2 2" xfId="12635"/>
    <cellStyle name="RowTitles1-Detail 4 3 4 4 2 2_Tertiary Salaries Survey" xfId="12636"/>
    <cellStyle name="RowTitles1-Detail 4 3 4 4 2 3" xfId="12637"/>
    <cellStyle name="RowTitles1-Detail 4 3 4 4 2_Tertiary Salaries Survey" xfId="12638"/>
    <cellStyle name="RowTitles1-Detail 4 3 4 4 3" xfId="12639"/>
    <cellStyle name="RowTitles1-Detail 4 3 4 4 3 2" xfId="12640"/>
    <cellStyle name="RowTitles1-Detail 4 3 4 4 3 2 2" xfId="12641"/>
    <cellStyle name="RowTitles1-Detail 4 3 4 4 3 2_Tertiary Salaries Survey" xfId="12642"/>
    <cellStyle name="RowTitles1-Detail 4 3 4 4 3 3" xfId="12643"/>
    <cellStyle name="RowTitles1-Detail 4 3 4 4 3_Tertiary Salaries Survey" xfId="12644"/>
    <cellStyle name="RowTitles1-Detail 4 3 4 4 4" xfId="12645"/>
    <cellStyle name="RowTitles1-Detail 4 3 4 4 5" xfId="12646"/>
    <cellStyle name="RowTitles1-Detail 4 3 4 4 5 2" xfId="12647"/>
    <cellStyle name="RowTitles1-Detail 4 3 4 4 5_Tertiary Salaries Survey" xfId="12648"/>
    <cellStyle name="RowTitles1-Detail 4 3 4 4 6" xfId="12649"/>
    <cellStyle name="RowTitles1-Detail 4 3 4 4_Tertiary Salaries Survey" xfId="12650"/>
    <cellStyle name="RowTitles1-Detail 4 3 4 5" xfId="12651"/>
    <cellStyle name="RowTitles1-Detail 4 3 4 5 2" xfId="12652"/>
    <cellStyle name="RowTitles1-Detail 4 3 4 5 2 2" xfId="12653"/>
    <cellStyle name="RowTitles1-Detail 4 3 4 5 2 2 2" xfId="12654"/>
    <cellStyle name="RowTitles1-Detail 4 3 4 5 2 2_Tertiary Salaries Survey" xfId="12655"/>
    <cellStyle name="RowTitles1-Detail 4 3 4 5 2 3" xfId="12656"/>
    <cellStyle name="RowTitles1-Detail 4 3 4 5 2_Tertiary Salaries Survey" xfId="12657"/>
    <cellStyle name="RowTitles1-Detail 4 3 4 5 3" xfId="12658"/>
    <cellStyle name="RowTitles1-Detail 4 3 4 5 3 2" xfId="12659"/>
    <cellStyle name="RowTitles1-Detail 4 3 4 5 3 2 2" xfId="12660"/>
    <cellStyle name="RowTitles1-Detail 4 3 4 5 3 2_Tertiary Salaries Survey" xfId="12661"/>
    <cellStyle name="RowTitles1-Detail 4 3 4 5 3 3" xfId="12662"/>
    <cellStyle name="RowTitles1-Detail 4 3 4 5 3_Tertiary Salaries Survey" xfId="12663"/>
    <cellStyle name="RowTitles1-Detail 4 3 4 5 4" xfId="12664"/>
    <cellStyle name="RowTitles1-Detail 4 3 4 5 4 2" xfId="12665"/>
    <cellStyle name="RowTitles1-Detail 4 3 4 5 4_Tertiary Salaries Survey" xfId="12666"/>
    <cellStyle name="RowTitles1-Detail 4 3 4 5 5" xfId="12667"/>
    <cellStyle name="RowTitles1-Detail 4 3 4 5_Tertiary Salaries Survey" xfId="12668"/>
    <cellStyle name="RowTitles1-Detail 4 3 4 6" xfId="12669"/>
    <cellStyle name="RowTitles1-Detail 4 3 4 6 2" xfId="12670"/>
    <cellStyle name="RowTitles1-Detail 4 3 4 6 2 2" xfId="12671"/>
    <cellStyle name="RowTitles1-Detail 4 3 4 6 2 2 2" xfId="12672"/>
    <cellStyle name="RowTitles1-Detail 4 3 4 6 2 2_Tertiary Salaries Survey" xfId="12673"/>
    <cellStyle name="RowTitles1-Detail 4 3 4 6 2 3" xfId="12674"/>
    <cellStyle name="RowTitles1-Detail 4 3 4 6 2_Tertiary Salaries Survey" xfId="12675"/>
    <cellStyle name="RowTitles1-Detail 4 3 4 6 3" xfId="12676"/>
    <cellStyle name="RowTitles1-Detail 4 3 4 6 3 2" xfId="12677"/>
    <cellStyle name="RowTitles1-Detail 4 3 4 6 3 2 2" xfId="12678"/>
    <cellStyle name="RowTitles1-Detail 4 3 4 6 3 2_Tertiary Salaries Survey" xfId="12679"/>
    <cellStyle name="RowTitles1-Detail 4 3 4 6 3 3" xfId="12680"/>
    <cellStyle name="RowTitles1-Detail 4 3 4 6 3_Tertiary Salaries Survey" xfId="12681"/>
    <cellStyle name="RowTitles1-Detail 4 3 4 6 4" xfId="12682"/>
    <cellStyle name="RowTitles1-Detail 4 3 4 6 4 2" xfId="12683"/>
    <cellStyle name="RowTitles1-Detail 4 3 4 6 4_Tertiary Salaries Survey" xfId="12684"/>
    <cellStyle name="RowTitles1-Detail 4 3 4 6 5" xfId="12685"/>
    <cellStyle name="RowTitles1-Detail 4 3 4 6_Tertiary Salaries Survey" xfId="12686"/>
    <cellStyle name="RowTitles1-Detail 4 3 4 7" xfId="12687"/>
    <cellStyle name="RowTitles1-Detail 4 3 4 7 2" xfId="12688"/>
    <cellStyle name="RowTitles1-Detail 4 3 4 7 2 2" xfId="12689"/>
    <cellStyle name="RowTitles1-Detail 4 3 4 7 2_Tertiary Salaries Survey" xfId="12690"/>
    <cellStyle name="RowTitles1-Detail 4 3 4 7 3" xfId="12691"/>
    <cellStyle name="RowTitles1-Detail 4 3 4 7_Tertiary Salaries Survey" xfId="12692"/>
    <cellStyle name="RowTitles1-Detail 4 3 4 8" xfId="12693"/>
    <cellStyle name="RowTitles1-Detail 4 3 4 9" xfId="12694"/>
    <cellStyle name="RowTitles1-Detail 4 3 4_STUD aligned by INSTIT" xfId="12695"/>
    <cellStyle name="RowTitles1-Detail 4 3 5" xfId="12696"/>
    <cellStyle name="RowTitles1-Detail 4 3 5 2" xfId="12697"/>
    <cellStyle name="RowTitles1-Detail 4 3 5 2 2" xfId="12698"/>
    <cellStyle name="RowTitles1-Detail 4 3 5 2 2 2" xfId="12699"/>
    <cellStyle name="RowTitles1-Detail 4 3 5 2 2_Tertiary Salaries Survey" xfId="12700"/>
    <cellStyle name="RowTitles1-Detail 4 3 5 2 3" xfId="12701"/>
    <cellStyle name="RowTitles1-Detail 4 3 5 2_Tertiary Salaries Survey" xfId="12702"/>
    <cellStyle name="RowTitles1-Detail 4 3 5 3" xfId="12703"/>
    <cellStyle name="RowTitles1-Detail 4 3 5 3 2" xfId="12704"/>
    <cellStyle name="RowTitles1-Detail 4 3 5 3 2 2" xfId="12705"/>
    <cellStyle name="RowTitles1-Detail 4 3 5 3 2_Tertiary Salaries Survey" xfId="12706"/>
    <cellStyle name="RowTitles1-Detail 4 3 5 3 3" xfId="12707"/>
    <cellStyle name="RowTitles1-Detail 4 3 5 3_Tertiary Salaries Survey" xfId="12708"/>
    <cellStyle name="RowTitles1-Detail 4 3 5 4" xfId="12709"/>
    <cellStyle name="RowTitles1-Detail 4 3 5 5" xfId="12710"/>
    <cellStyle name="RowTitles1-Detail 4 3 5 5 2" xfId="12711"/>
    <cellStyle name="RowTitles1-Detail 4 3 5 5_Tertiary Salaries Survey" xfId="12712"/>
    <cellStyle name="RowTitles1-Detail 4 3 5 6" xfId="12713"/>
    <cellStyle name="RowTitles1-Detail 4 3 5_Tertiary Salaries Survey" xfId="12714"/>
    <cellStyle name="RowTitles1-Detail 4 3 6" xfId="12715"/>
    <cellStyle name="RowTitles1-Detail 4 3 6 2" xfId="12716"/>
    <cellStyle name="RowTitles1-Detail 4 3 6 2 2" xfId="12717"/>
    <cellStyle name="RowTitles1-Detail 4 3 6 2 2 2" xfId="12718"/>
    <cellStyle name="RowTitles1-Detail 4 3 6 2 2_Tertiary Salaries Survey" xfId="12719"/>
    <cellStyle name="RowTitles1-Detail 4 3 6 2 3" xfId="12720"/>
    <cellStyle name="RowTitles1-Detail 4 3 6 2_Tertiary Salaries Survey" xfId="12721"/>
    <cellStyle name="RowTitles1-Detail 4 3 6 3" xfId="12722"/>
    <cellStyle name="RowTitles1-Detail 4 3 6 3 2" xfId="12723"/>
    <cellStyle name="RowTitles1-Detail 4 3 6 3 2 2" xfId="12724"/>
    <cellStyle name="RowTitles1-Detail 4 3 6 3 2_Tertiary Salaries Survey" xfId="12725"/>
    <cellStyle name="RowTitles1-Detail 4 3 6 3 3" xfId="12726"/>
    <cellStyle name="RowTitles1-Detail 4 3 6 3_Tertiary Salaries Survey" xfId="12727"/>
    <cellStyle name="RowTitles1-Detail 4 3 6 4" xfId="12728"/>
    <cellStyle name="RowTitles1-Detail 4 3 6 5" xfId="12729"/>
    <cellStyle name="RowTitles1-Detail 4 3 6_Tertiary Salaries Survey" xfId="12730"/>
    <cellStyle name="RowTitles1-Detail 4 3 7" xfId="12731"/>
    <cellStyle name="RowTitles1-Detail 4 3 7 2" xfId="12732"/>
    <cellStyle name="RowTitles1-Detail 4 3 7 2 2" xfId="12733"/>
    <cellStyle name="RowTitles1-Detail 4 3 7 2 2 2" xfId="12734"/>
    <cellStyle name="RowTitles1-Detail 4 3 7 2 2_Tertiary Salaries Survey" xfId="12735"/>
    <cellStyle name="RowTitles1-Detail 4 3 7 2 3" xfId="12736"/>
    <cellStyle name="RowTitles1-Detail 4 3 7 2_Tertiary Salaries Survey" xfId="12737"/>
    <cellStyle name="RowTitles1-Detail 4 3 7 3" xfId="12738"/>
    <cellStyle name="RowTitles1-Detail 4 3 7 3 2" xfId="12739"/>
    <cellStyle name="RowTitles1-Detail 4 3 7 3 2 2" xfId="12740"/>
    <cellStyle name="RowTitles1-Detail 4 3 7 3 2_Tertiary Salaries Survey" xfId="12741"/>
    <cellStyle name="RowTitles1-Detail 4 3 7 3 3" xfId="12742"/>
    <cellStyle name="RowTitles1-Detail 4 3 7 3_Tertiary Salaries Survey" xfId="12743"/>
    <cellStyle name="RowTitles1-Detail 4 3 7 4" xfId="12744"/>
    <cellStyle name="RowTitles1-Detail 4 3 7 5" xfId="12745"/>
    <cellStyle name="RowTitles1-Detail 4 3 7 5 2" xfId="12746"/>
    <cellStyle name="RowTitles1-Detail 4 3 7 5_Tertiary Salaries Survey" xfId="12747"/>
    <cellStyle name="RowTitles1-Detail 4 3 7 6" xfId="12748"/>
    <cellStyle name="RowTitles1-Detail 4 3 7_Tertiary Salaries Survey" xfId="12749"/>
    <cellStyle name="RowTitles1-Detail 4 3 8" xfId="12750"/>
    <cellStyle name="RowTitles1-Detail 4 3 8 2" xfId="12751"/>
    <cellStyle name="RowTitles1-Detail 4 3 8 2 2" xfId="12752"/>
    <cellStyle name="RowTitles1-Detail 4 3 8 2 2 2" xfId="12753"/>
    <cellStyle name="RowTitles1-Detail 4 3 8 2 2_Tertiary Salaries Survey" xfId="12754"/>
    <cellStyle name="RowTitles1-Detail 4 3 8 2 3" xfId="12755"/>
    <cellStyle name="RowTitles1-Detail 4 3 8 2_Tertiary Salaries Survey" xfId="12756"/>
    <cellStyle name="RowTitles1-Detail 4 3 8 3" xfId="12757"/>
    <cellStyle name="RowTitles1-Detail 4 3 8 3 2" xfId="12758"/>
    <cellStyle name="RowTitles1-Detail 4 3 8 3 2 2" xfId="12759"/>
    <cellStyle name="RowTitles1-Detail 4 3 8 3 2_Tertiary Salaries Survey" xfId="12760"/>
    <cellStyle name="RowTitles1-Detail 4 3 8 3 3" xfId="12761"/>
    <cellStyle name="RowTitles1-Detail 4 3 8 3_Tertiary Salaries Survey" xfId="12762"/>
    <cellStyle name="RowTitles1-Detail 4 3 8 4" xfId="12763"/>
    <cellStyle name="RowTitles1-Detail 4 3 8 4 2" xfId="12764"/>
    <cellStyle name="RowTitles1-Detail 4 3 8 4_Tertiary Salaries Survey" xfId="12765"/>
    <cellStyle name="RowTitles1-Detail 4 3 8 5" xfId="12766"/>
    <cellStyle name="RowTitles1-Detail 4 3 8_Tertiary Salaries Survey" xfId="12767"/>
    <cellStyle name="RowTitles1-Detail 4 3 9" xfId="12768"/>
    <cellStyle name="RowTitles1-Detail 4 3 9 2" xfId="12769"/>
    <cellStyle name="RowTitles1-Detail 4 3 9 2 2" xfId="12770"/>
    <cellStyle name="RowTitles1-Detail 4 3 9 2 2 2" xfId="12771"/>
    <cellStyle name="RowTitles1-Detail 4 3 9 2 2_Tertiary Salaries Survey" xfId="12772"/>
    <cellStyle name="RowTitles1-Detail 4 3 9 2 3" xfId="12773"/>
    <cellStyle name="RowTitles1-Detail 4 3 9 2_Tertiary Salaries Survey" xfId="12774"/>
    <cellStyle name="RowTitles1-Detail 4 3 9 3" xfId="12775"/>
    <cellStyle name="RowTitles1-Detail 4 3 9 3 2" xfId="12776"/>
    <cellStyle name="RowTitles1-Detail 4 3 9 3 2 2" xfId="12777"/>
    <cellStyle name="RowTitles1-Detail 4 3 9 3 2_Tertiary Salaries Survey" xfId="12778"/>
    <cellStyle name="RowTitles1-Detail 4 3 9 3 3" xfId="12779"/>
    <cellStyle name="RowTitles1-Detail 4 3 9 3_Tertiary Salaries Survey" xfId="12780"/>
    <cellStyle name="RowTitles1-Detail 4 3 9 4" xfId="12781"/>
    <cellStyle name="RowTitles1-Detail 4 3 9 4 2" xfId="12782"/>
    <cellStyle name="RowTitles1-Detail 4 3 9 4_Tertiary Salaries Survey" xfId="12783"/>
    <cellStyle name="RowTitles1-Detail 4 3 9 5" xfId="12784"/>
    <cellStyle name="RowTitles1-Detail 4 3 9_Tertiary Salaries Survey" xfId="12785"/>
    <cellStyle name="RowTitles1-Detail 4 3_STUD aligned by INSTIT" xfId="12786"/>
    <cellStyle name="RowTitles1-Detail 4 4" xfId="12787"/>
    <cellStyle name="RowTitles1-Detail 4 4 2" xfId="12788"/>
    <cellStyle name="RowTitles1-Detail 4 4 2 2" xfId="12789"/>
    <cellStyle name="RowTitles1-Detail 4 4 2 2 2" xfId="12790"/>
    <cellStyle name="RowTitles1-Detail 4 4 2 2 2 2" xfId="12791"/>
    <cellStyle name="RowTitles1-Detail 4 4 2 2 2_Tertiary Salaries Survey" xfId="12792"/>
    <cellStyle name="RowTitles1-Detail 4 4 2 2 3" xfId="12793"/>
    <cellStyle name="RowTitles1-Detail 4 4 2 2_Tertiary Salaries Survey" xfId="12794"/>
    <cellStyle name="RowTitles1-Detail 4 4 2 3" xfId="12795"/>
    <cellStyle name="RowTitles1-Detail 4 4 2 3 2" xfId="12796"/>
    <cellStyle name="RowTitles1-Detail 4 4 2 3 2 2" xfId="12797"/>
    <cellStyle name="RowTitles1-Detail 4 4 2 3 2_Tertiary Salaries Survey" xfId="12798"/>
    <cellStyle name="RowTitles1-Detail 4 4 2 3 3" xfId="12799"/>
    <cellStyle name="RowTitles1-Detail 4 4 2 3_Tertiary Salaries Survey" xfId="12800"/>
    <cellStyle name="RowTitles1-Detail 4 4 2 4" xfId="12801"/>
    <cellStyle name="RowTitles1-Detail 4 4 2 5" xfId="12802"/>
    <cellStyle name="RowTitles1-Detail 4 4 2_Tertiary Salaries Survey" xfId="12803"/>
    <cellStyle name="RowTitles1-Detail 4 4 3" xfId="12804"/>
    <cellStyle name="RowTitles1-Detail 4 4 3 2" xfId="12805"/>
    <cellStyle name="RowTitles1-Detail 4 4 3 2 2" xfId="12806"/>
    <cellStyle name="RowTitles1-Detail 4 4 3 2 2 2" xfId="12807"/>
    <cellStyle name="RowTitles1-Detail 4 4 3 2 2_Tertiary Salaries Survey" xfId="12808"/>
    <cellStyle name="RowTitles1-Detail 4 4 3 2 3" xfId="12809"/>
    <cellStyle name="RowTitles1-Detail 4 4 3 2_Tertiary Salaries Survey" xfId="12810"/>
    <cellStyle name="RowTitles1-Detail 4 4 3 3" xfId="12811"/>
    <cellStyle name="RowTitles1-Detail 4 4 3 3 2" xfId="12812"/>
    <cellStyle name="RowTitles1-Detail 4 4 3 3 2 2" xfId="12813"/>
    <cellStyle name="RowTitles1-Detail 4 4 3 3 2_Tertiary Salaries Survey" xfId="12814"/>
    <cellStyle name="RowTitles1-Detail 4 4 3 3 3" xfId="12815"/>
    <cellStyle name="RowTitles1-Detail 4 4 3 3_Tertiary Salaries Survey" xfId="12816"/>
    <cellStyle name="RowTitles1-Detail 4 4 3 4" xfId="12817"/>
    <cellStyle name="RowTitles1-Detail 4 4 3 5" xfId="12818"/>
    <cellStyle name="RowTitles1-Detail 4 4 3 5 2" xfId="12819"/>
    <cellStyle name="RowTitles1-Detail 4 4 3 5_Tertiary Salaries Survey" xfId="12820"/>
    <cellStyle name="RowTitles1-Detail 4 4 3 6" xfId="12821"/>
    <cellStyle name="RowTitles1-Detail 4 4 3_Tertiary Salaries Survey" xfId="12822"/>
    <cellStyle name="RowTitles1-Detail 4 4 4" xfId="12823"/>
    <cellStyle name="RowTitles1-Detail 4 4 4 2" xfId="12824"/>
    <cellStyle name="RowTitles1-Detail 4 4 4 2 2" xfId="12825"/>
    <cellStyle name="RowTitles1-Detail 4 4 4 2 2 2" xfId="12826"/>
    <cellStyle name="RowTitles1-Detail 4 4 4 2 2_Tertiary Salaries Survey" xfId="12827"/>
    <cellStyle name="RowTitles1-Detail 4 4 4 2 3" xfId="12828"/>
    <cellStyle name="RowTitles1-Detail 4 4 4 2_Tertiary Salaries Survey" xfId="12829"/>
    <cellStyle name="RowTitles1-Detail 4 4 4 3" xfId="12830"/>
    <cellStyle name="RowTitles1-Detail 4 4 4 3 2" xfId="12831"/>
    <cellStyle name="RowTitles1-Detail 4 4 4 3 2 2" xfId="12832"/>
    <cellStyle name="RowTitles1-Detail 4 4 4 3 2_Tertiary Salaries Survey" xfId="12833"/>
    <cellStyle name="RowTitles1-Detail 4 4 4 3 3" xfId="12834"/>
    <cellStyle name="RowTitles1-Detail 4 4 4 3_Tertiary Salaries Survey" xfId="12835"/>
    <cellStyle name="RowTitles1-Detail 4 4 4 4" xfId="12836"/>
    <cellStyle name="RowTitles1-Detail 4 4 4 4 2" xfId="12837"/>
    <cellStyle name="RowTitles1-Detail 4 4 4 4_Tertiary Salaries Survey" xfId="12838"/>
    <cellStyle name="RowTitles1-Detail 4 4 4 5" xfId="12839"/>
    <cellStyle name="RowTitles1-Detail 4 4 4_Tertiary Salaries Survey" xfId="12840"/>
    <cellStyle name="RowTitles1-Detail 4 4 5" xfId="12841"/>
    <cellStyle name="RowTitles1-Detail 4 4 5 2" xfId="12842"/>
    <cellStyle name="RowTitles1-Detail 4 4 5 2 2" xfId="12843"/>
    <cellStyle name="RowTitles1-Detail 4 4 5 2 2 2" xfId="12844"/>
    <cellStyle name="RowTitles1-Detail 4 4 5 2 2_Tertiary Salaries Survey" xfId="12845"/>
    <cellStyle name="RowTitles1-Detail 4 4 5 2 3" xfId="12846"/>
    <cellStyle name="RowTitles1-Detail 4 4 5 2_Tertiary Salaries Survey" xfId="12847"/>
    <cellStyle name="RowTitles1-Detail 4 4 5 3" xfId="12848"/>
    <cellStyle name="RowTitles1-Detail 4 4 5 3 2" xfId="12849"/>
    <cellStyle name="RowTitles1-Detail 4 4 5 3 2 2" xfId="12850"/>
    <cellStyle name="RowTitles1-Detail 4 4 5 3 2_Tertiary Salaries Survey" xfId="12851"/>
    <cellStyle name="RowTitles1-Detail 4 4 5 3 3" xfId="12852"/>
    <cellStyle name="RowTitles1-Detail 4 4 5 3_Tertiary Salaries Survey" xfId="12853"/>
    <cellStyle name="RowTitles1-Detail 4 4 5 4" xfId="12854"/>
    <cellStyle name="RowTitles1-Detail 4 4 5 4 2" xfId="12855"/>
    <cellStyle name="RowTitles1-Detail 4 4 5 4_Tertiary Salaries Survey" xfId="12856"/>
    <cellStyle name="RowTitles1-Detail 4 4 5 5" xfId="12857"/>
    <cellStyle name="RowTitles1-Detail 4 4 5_Tertiary Salaries Survey" xfId="12858"/>
    <cellStyle name="RowTitles1-Detail 4 4 6" xfId="12859"/>
    <cellStyle name="RowTitles1-Detail 4 4 6 2" xfId="12860"/>
    <cellStyle name="RowTitles1-Detail 4 4 6 2 2" xfId="12861"/>
    <cellStyle name="RowTitles1-Detail 4 4 6 2 2 2" xfId="12862"/>
    <cellStyle name="RowTitles1-Detail 4 4 6 2 2_Tertiary Salaries Survey" xfId="12863"/>
    <cellStyle name="RowTitles1-Detail 4 4 6 2 3" xfId="12864"/>
    <cellStyle name="RowTitles1-Detail 4 4 6 2_Tertiary Salaries Survey" xfId="12865"/>
    <cellStyle name="RowTitles1-Detail 4 4 6 3" xfId="12866"/>
    <cellStyle name="RowTitles1-Detail 4 4 6 3 2" xfId="12867"/>
    <cellStyle name="RowTitles1-Detail 4 4 6 3 2 2" xfId="12868"/>
    <cellStyle name="RowTitles1-Detail 4 4 6 3 2_Tertiary Salaries Survey" xfId="12869"/>
    <cellStyle name="RowTitles1-Detail 4 4 6 3 3" xfId="12870"/>
    <cellStyle name="RowTitles1-Detail 4 4 6 3_Tertiary Salaries Survey" xfId="12871"/>
    <cellStyle name="RowTitles1-Detail 4 4 6 4" xfId="12872"/>
    <cellStyle name="RowTitles1-Detail 4 4 6 4 2" xfId="12873"/>
    <cellStyle name="RowTitles1-Detail 4 4 6 4_Tertiary Salaries Survey" xfId="12874"/>
    <cellStyle name="RowTitles1-Detail 4 4 6 5" xfId="12875"/>
    <cellStyle name="RowTitles1-Detail 4 4 6_Tertiary Salaries Survey" xfId="12876"/>
    <cellStyle name="RowTitles1-Detail 4 4 7" xfId="12877"/>
    <cellStyle name="RowTitles1-Detail 4 4 7 2" xfId="12878"/>
    <cellStyle name="RowTitles1-Detail 4 4 7 2 2" xfId="12879"/>
    <cellStyle name="RowTitles1-Detail 4 4 7 2_Tertiary Salaries Survey" xfId="12880"/>
    <cellStyle name="RowTitles1-Detail 4 4 7 3" xfId="12881"/>
    <cellStyle name="RowTitles1-Detail 4 4 7_Tertiary Salaries Survey" xfId="12882"/>
    <cellStyle name="RowTitles1-Detail 4 4 8" xfId="12883"/>
    <cellStyle name="RowTitles1-Detail 4 4 9" xfId="12884"/>
    <cellStyle name="RowTitles1-Detail 4 4_STUD aligned by INSTIT" xfId="12885"/>
    <cellStyle name="RowTitles1-Detail 4 5" xfId="12886"/>
    <cellStyle name="RowTitles1-Detail 4 5 2" xfId="12887"/>
    <cellStyle name="RowTitles1-Detail 4 5 2 2" xfId="12888"/>
    <cellStyle name="RowTitles1-Detail 4 5 2 2 2" xfId="12889"/>
    <cellStyle name="RowTitles1-Detail 4 5 2 2 2 2" xfId="12890"/>
    <cellStyle name="RowTitles1-Detail 4 5 2 2 2_Tertiary Salaries Survey" xfId="12891"/>
    <cellStyle name="RowTitles1-Detail 4 5 2 2 3" xfId="12892"/>
    <cellStyle name="RowTitles1-Detail 4 5 2 2_Tertiary Salaries Survey" xfId="12893"/>
    <cellStyle name="RowTitles1-Detail 4 5 2 3" xfId="12894"/>
    <cellStyle name="RowTitles1-Detail 4 5 2 3 2" xfId="12895"/>
    <cellStyle name="RowTitles1-Detail 4 5 2 3 2 2" xfId="12896"/>
    <cellStyle name="RowTitles1-Detail 4 5 2 3 2_Tertiary Salaries Survey" xfId="12897"/>
    <cellStyle name="RowTitles1-Detail 4 5 2 3 3" xfId="12898"/>
    <cellStyle name="RowTitles1-Detail 4 5 2 3_Tertiary Salaries Survey" xfId="12899"/>
    <cellStyle name="RowTitles1-Detail 4 5 2 4" xfId="12900"/>
    <cellStyle name="RowTitles1-Detail 4 5 2 5" xfId="12901"/>
    <cellStyle name="RowTitles1-Detail 4 5 2 5 2" xfId="12902"/>
    <cellStyle name="RowTitles1-Detail 4 5 2 5_Tertiary Salaries Survey" xfId="12903"/>
    <cellStyle name="RowTitles1-Detail 4 5 2 6" xfId="12904"/>
    <cellStyle name="RowTitles1-Detail 4 5 2_Tertiary Salaries Survey" xfId="12905"/>
    <cellStyle name="RowTitles1-Detail 4 5 3" xfId="12906"/>
    <cellStyle name="RowTitles1-Detail 4 5 3 2" xfId="12907"/>
    <cellStyle name="RowTitles1-Detail 4 5 3 2 2" xfId="12908"/>
    <cellStyle name="RowTitles1-Detail 4 5 3 2 2 2" xfId="12909"/>
    <cellStyle name="RowTitles1-Detail 4 5 3 2 2_Tertiary Salaries Survey" xfId="12910"/>
    <cellStyle name="RowTitles1-Detail 4 5 3 2 3" xfId="12911"/>
    <cellStyle name="RowTitles1-Detail 4 5 3 2_Tertiary Salaries Survey" xfId="12912"/>
    <cellStyle name="RowTitles1-Detail 4 5 3 3" xfId="12913"/>
    <cellStyle name="RowTitles1-Detail 4 5 3 3 2" xfId="12914"/>
    <cellStyle name="RowTitles1-Detail 4 5 3 3 2 2" xfId="12915"/>
    <cellStyle name="RowTitles1-Detail 4 5 3 3 2_Tertiary Salaries Survey" xfId="12916"/>
    <cellStyle name="RowTitles1-Detail 4 5 3 3 3" xfId="12917"/>
    <cellStyle name="RowTitles1-Detail 4 5 3 3_Tertiary Salaries Survey" xfId="12918"/>
    <cellStyle name="RowTitles1-Detail 4 5 3 4" xfId="12919"/>
    <cellStyle name="RowTitles1-Detail 4 5 3 5" xfId="12920"/>
    <cellStyle name="RowTitles1-Detail 4 5 3_Tertiary Salaries Survey" xfId="12921"/>
    <cellStyle name="RowTitles1-Detail 4 5 4" xfId="12922"/>
    <cellStyle name="RowTitles1-Detail 4 5 4 2" xfId="12923"/>
    <cellStyle name="RowTitles1-Detail 4 5 4 2 2" xfId="12924"/>
    <cellStyle name="RowTitles1-Detail 4 5 4 2 2 2" xfId="12925"/>
    <cellStyle name="RowTitles1-Detail 4 5 4 2 2_Tertiary Salaries Survey" xfId="12926"/>
    <cellStyle name="RowTitles1-Detail 4 5 4 2 3" xfId="12927"/>
    <cellStyle name="RowTitles1-Detail 4 5 4 2_Tertiary Salaries Survey" xfId="12928"/>
    <cellStyle name="RowTitles1-Detail 4 5 4 3" xfId="12929"/>
    <cellStyle name="RowTitles1-Detail 4 5 4 3 2" xfId="12930"/>
    <cellStyle name="RowTitles1-Detail 4 5 4 3 2 2" xfId="12931"/>
    <cellStyle name="RowTitles1-Detail 4 5 4 3 2_Tertiary Salaries Survey" xfId="12932"/>
    <cellStyle name="RowTitles1-Detail 4 5 4 3 3" xfId="12933"/>
    <cellStyle name="RowTitles1-Detail 4 5 4 3_Tertiary Salaries Survey" xfId="12934"/>
    <cellStyle name="RowTitles1-Detail 4 5 4 4" xfId="12935"/>
    <cellStyle name="RowTitles1-Detail 4 5 4 4 2" xfId="12936"/>
    <cellStyle name="RowTitles1-Detail 4 5 4 4_Tertiary Salaries Survey" xfId="12937"/>
    <cellStyle name="RowTitles1-Detail 4 5 4 5" xfId="12938"/>
    <cellStyle name="RowTitles1-Detail 4 5 4_Tertiary Salaries Survey" xfId="12939"/>
    <cellStyle name="RowTitles1-Detail 4 5 5" xfId="12940"/>
    <cellStyle name="RowTitles1-Detail 4 5 5 2" xfId="12941"/>
    <cellStyle name="RowTitles1-Detail 4 5 5 2 2" xfId="12942"/>
    <cellStyle name="RowTitles1-Detail 4 5 5 2 2 2" xfId="12943"/>
    <cellStyle name="RowTitles1-Detail 4 5 5 2 2_Tertiary Salaries Survey" xfId="12944"/>
    <cellStyle name="RowTitles1-Detail 4 5 5 2 3" xfId="12945"/>
    <cellStyle name="RowTitles1-Detail 4 5 5 2_Tertiary Salaries Survey" xfId="12946"/>
    <cellStyle name="RowTitles1-Detail 4 5 5 3" xfId="12947"/>
    <cellStyle name="RowTitles1-Detail 4 5 5 3 2" xfId="12948"/>
    <cellStyle name="RowTitles1-Detail 4 5 5 3 2 2" xfId="12949"/>
    <cellStyle name="RowTitles1-Detail 4 5 5 3 2_Tertiary Salaries Survey" xfId="12950"/>
    <cellStyle name="RowTitles1-Detail 4 5 5 3 3" xfId="12951"/>
    <cellStyle name="RowTitles1-Detail 4 5 5 3_Tertiary Salaries Survey" xfId="12952"/>
    <cellStyle name="RowTitles1-Detail 4 5 5 4" xfId="12953"/>
    <cellStyle name="RowTitles1-Detail 4 5 5 4 2" xfId="12954"/>
    <cellStyle name="RowTitles1-Detail 4 5 5 4_Tertiary Salaries Survey" xfId="12955"/>
    <cellStyle name="RowTitles1-Detail 4 5 5 5" xfId="12956"/>
    <cellStyle name="RowTitles1-Detail 4 5 5_Tertiary Salaries Survey" xfId="12957"/>
    <cellStyle name="RowTitles1-Detail 4 5 6" xfId="12958"/>
    <cellStyle name="RowTitles1-Detail 4 5 6 2" xfId="12959"/>
    <cellStyle name="RowTitles1-Detail 4 5 6 2 2" xfId="12960"/>
    <cellStyle name="RowTitles1-Detail 4 5 6 2 2 2" xfId="12961"/>
    <cellStyle name="RowTitles1-Detail 4 5 6 2 2_Tertiary Salaries Survey" xfId="12962"/>
    <cellStyle name="RowTitles1-Detail 4 5 6 2 3" xfId="12963"/>
    <cellStyle name="RowTitles1-Detail 4 5 6 2_Tertiary Salaries Survey" xfId="12964"/>
    <cellStyle name="RowTitles1-Detail 4 5 6 3" xfId="12965"/>
    <cellStyle name="RowTitles1-Detail 4 5 6 3 2" xfId="12966"/>
    <cellStyle name="RowTitles1-Detail 4 5 6 3 2 2" xfId="12967"/>
    <cellStyle name="RowTitles1-Detail 4 5 6 3 2_Tertiary Salaries Survey" xfId="12968"/>
    <cellStyle name="RowTitles1-Detail 4 5 6 3 3" xfId="12969"/>
    <cellStyle name="RowTitles1-Detail 4 5 6 3_Tertiary Salaries Survey" xfId="12970"/>
    <cellStyle name="RowTitles1-Detail 4 5 6 4" xfId="12971"/>
    <cellStyle name="RowTitles1-Detail 4 5 6 4 2" xfId="12972"/>
    <cellStyle name="RowTitles1-Detail 4 5 6 4_Tertiary Salaries Survey" xfId="12973"/>
    <cellStyle name="RowTitles1-Detail 4 5 6 5" xfId="12974"/>
    <cellStyle name="RowTitles1-Detail 4 5 6_Tertiary Salaries Survey" xfId="12975"/>
    <cellStyle name="RowTitles1-Detail 4 5 7" xfId="12976"/>
    <cellStyle name="RowTitles1-Detail 4 5 7 2" xfId="12977"/>
    <cellStyle name="RowTitles1-Detail 4 5 7 2 2" xfId="12978"/>
    <cellStyle name="RowTitles1-Detail 4 5 7 2_Tertiary Salaries Survey" xfId="12979"/>
    <cellStyle name="RowTitles1-Detail 4 5 7 3" xfId="12980"/>
    <cellStyle name="RowTitles1-Detail 4 5 7_Tertiary Salaries Survey" xfId="12981"/>
    <cellStyle name="RowTitles1-Detail 4 5 8" xfId="12982"/>
    <cellStyle name="RowTitles1-Detail 4 5 8 2" xfId="12983"/>
    <cellStyle name="RowTitles1-Detail 4 5 8 2 2" xfId="12984"/>
    <cellStyle name="RowTitles1-Detail 4 5 8 2_Tertiary Salaries Survey" xfId="12985"/>
    <cellStyle name="RowTitles1-Detail 4 5 8 3" xfId="12986"/>
    <cellStyle name="RowTitles1-Detail 4 5 8_Tertiary Salaries Survey" xfId="12987"/>
    <cellStyle name="RowTitles1-Detail 4 5 9" xfId="12988"/>
    <cellStyle name="RowTitles1-Detail 4 5_STUD aligned by INSTIT" xfId="12989"/>
    <cellStyle name="RowTitles1-Detail 4 6" xfId="12990"/>
    <cellStyle name="RowTitles1-Detail 4 6 2" xfId="12991"/>
    <cellStyle name="RowTitles1-Detail 4 6 2 2" xfId="12992"/>
    <cellStyle name="RowTitles1-Detail 4 6 2 2 2" xfId="12993"/>
    <cellStyle name="RowTitles1-Detail 4 6 2 2 2 2" xfId="12994"/>
    <cellStyle name="RowTitles1-Detail 4 6 2 2 2_Tertiary Salaries Survey" xfId="12995"/>
    <cellStyle name="RowTitles1-Detail 4 6 2 2 3" xfId="12996"/>
    <cellStyle name="RowTitles1-Detail 4 6 2 2_Tertiary Salaries Survey" xfId="12997"/>
    <cellStyle name="RowTitles1-Detail 4 6 2 3" xfId="12998"/>
    <cellStyle name="RowTitles1-Detail 4 6 2 3 2" xfId="12999"/>
    <cellStyle name="RowTitles1-Detail 4 6 2 3 2 2" xfId="13000"/>
    <cellStyle name="RowTitles1-Detail 4 6 2 3 2_Tertiary Salaries Survey" xfId="13001"/>
    <cellStyle name="RowTitles1-Detail 4 6 2 3 3" xfId="13002"/>
    <cellStyle name="RowTitles1-Detail 4 6 2 3_Tertiary Salaries Survey" xfId="13003"/>
    <cellStyle name="RowTitles1-Detail 4 6 2 4" xfId="13004"/>
    <cellStyle name="RowTitles1-Detail 4 6 2 5" xfId="13005"/>
    <cellStyle name="RowTitles1-Detail 4 6 2 5 2" xfId="13006"/>
    <cellStyle name="RowTitles1-Detail 4 6 2 5_Tertiary Salaries Survey" xfId="13007"/>
    <cellStyle name="RowTitles1-Detail 4 6 2 6" xfId="13008"/>
    <cellStyle name="RowTitles1-Detail 4 6 2_Tertiary Salaries Survey" xfId="13009"/>
    <cellStyle name="RowTitles1-Detail 4 6 3" xfId="13010"/>
    <cellStyle name="RowTitles1-Detail 4 6 3 2" xfId="13011"/>
    <cellStyle name="RowTitles1-Detail 4 6 3 2 2" xfId="13012"/>
    <cellStyle name="RowTitles1-Detail 4 6 3 2 2 2" xfId="13013"/>
    <cellStyle name="RowTitles1-Detail 4 6 3 2 2_Tertiary Salaries Survey" xfId="13014"/>
    <cellStyle name="RowTitles1-Detail 4 6 3 2 3" xfId="13015"/>
    <cellStyle name="RowTitles1-Detail 4 6 3 2_Tertiary Salaries Survey" xfId="13016"/>
    <cellStyle name="RowTitles1-Detail 4 6 3 3" xfId="13017"/>
    <cellStyle name="RowTitles1-Detail 4 6 3 3 2" xfId="13018"/>
    <cellStyle name="RowTitles1-Detail 4 6 3 3 2 2" xfId="13019"/>
    <cellStyle name="RowTitles1-Detail 4 6 3 3 2_Tertiary Salaries Survey" xfId="13020"/>
    <cellStyle name="RowTitles1-Detail 4 6 3 3 3" xfId="13021"/>
    <cellStyle name="RowTitles1-Detail 4 6 3 3_Tertiary Salaries Survey" xfId="13022"/>
    <cellStyle name="RowTitles1-Detail 4 6 3 4" xfId="13023"/>
    <cellStyle name="RowTitles1-Detail 4 6 3 5" xfId="13024"/>
    <cellStyle name="RowTitles1-Detail 4 6 3_Tertiary Salaries Survey" xfId="13025"/>
    <cellStyle name="RowTitles1-Detail 4 6 4" xfId="13026"/>
    <cellStyle name="RowTitles1-Detail 4 6 4 2" xfId="13027"/>
    <cellStyle name="RowTitles1-Detail 4 6 4 2 2" xfId="13028"/>
    <cellStyle name="RowTitles1-Detail 4 6 4 2 2 2" xfId="13029"/>
    <cellStyle name="RowTitles1-Detail 4 6 4 2 2_Tertiary Salaries Survey" xfId="13030"/>
    <cellStyle name="RowTitles1-Detail 4 6 4 2 3" xfId="13031"/>
    <cellStyle name="RowTitles1-Detail 4 6 4 2_Tertiary Salaries Survey" xfId="13032"/>
    <cellStyle name="RowTitles1-Detail 4 6 4 3" xfId="13033"/>
    <cellStyle name="RowTitles1-Detail 4 6 4 3 2" xfId="13034"/>
    <cellStyle name="RowTitles1-Detail 4 6 4 3 2 2" xfId="13035"/>
    <cellStyle name="RowTitles1-Detail 4 6 4 3 2_Tertiary Salaries Survey" xfId="13036"/>
    <cellStyle name="RowTitles1-Detail 4 6 4 3 3" xfId="13037"/>
    <cellStyle name="RowTitles1-Detail 4 6 4 3_Tertiary Salaries Survey" xfId="13038"/>
    <cellStyle name="RowTitles1-Detail 4 6 4 4" xfId="13039"/>
    <cellStyle name="RowTitles1-Detail 4 6 4 5" xfId="13040"/>
    <cellStyle name="RowTitles1-Detail 4 6 4 5 2" xfId="13041"/>
    <cellStyle name="RowTitles1-Detail 4 6 4 5_Tertiary Salaries Survey" xfId="13042"/>
    <cellStyle name="RowTitles1-Detail 4 6 4 6" xfId="13043"/>
    <cellStyle name="RowTitles1-Detail 4 6 4_Tertiary Salaries Survey" xfId="13044"/>
    <cellStyle name="RowTitles1-Detail 4 6 5" xfId="13045"/>
    <cellStyle name="RowTitles1-Detail 4 6 5 2" xfId="13046"/>
    <cellStyle name="RowTitles1-Detail 4 6 5 2 2" xfId="13047"/>
    <cellStyle name="RowTitles1-Detail 4 6 5 2 2 2" xfId="13048"/>
    <cellStyle name="RowTitles1-Detail 4 6 5 2 2_Tertiary Salaries Survey" xfId="13049"/>
    <cellStyle name="RowTitles1-Detail 4 6 5 2 3" xfId="13050"/>
    <cellStyle name="RowTitles1-Detail 4 6 5 2_Tertiary Salaries Survey" xfId="13051"/>
    <cellStyle name="RowTitles1-Detail 4 6 5 3" xfId="13052"/>
    <cellStyle name="RowTitles1-Detail 4 6 5 3 2" xfId="13053"/>
    <cellStyle name="RowTitles1-Detail 4 6 5 3 2 2" xfId="13054"/>
    <cellStyle name="RowTitles1-Detail 4 6 5 3 2_Tertiary Salaries Survey" xfId="13055"/>
    <cellStyle name="RowTitles1-Detail 4 6 5 3 3" xfId="13056"/>
    <cellStyle name="RowTitles1-Detail 4 6 5 3_Tertiary Salaries Survey" xfId="13057"/>
    <cellStyle name="RowTitles1-Detail 4 6 5 4" xfId="13058"/>
    <cellStyle name="RowTitles1-Detail 4 6 5 4 2" xfId="13059"/>
    <cellStyle name="RowTitles1-Detail 4 6 5 4_Tertiary Salaries Survey" xfId="13060"/>
    <cellStyle name="RowTitles1-Detail 4 6 5 5" xfId="13061"/>
    <cellStyle name="RowTitles1-Detail 4 6 5_Tertiary Salaries Survey" xfId="13062"/>
    <cellStyle name="RowTitles1-Detail 4 6 6" xfId="13063"/>
    <cellStyle name="RowTitles1-Detail 4 6 6 2" xfId="13064"/>
    <cellStyle name="RowTitles1-Detail 4 6 6 2 2" xfId="13065"/>
    <cellStyle name="RowTitles1-Detail 4 6 6 2 2 2" xfId="13066"/>
    <cellStyle name="RowTitles1-Detail 4 6 6 2 2_Tertiary Salaries Survey" xfId="13067"/>
    <cellStyle name="RowTitles1-Detail 4 6 6 2 3" xfId="13068"/>
    <cellStyle name="RowTitles1-Detail 4 6 6 2_Tertiary Salaries Survey" xfId="13069"/>
    <cellStyle name="RowTitles1-Detail 4 6 6 3" xfId="13070"/>
    <cellStyle name="RowTitles1-Detail 4 6 6 3 2" xfId="13071"/>
    <cellStyle name="RowTitles1-Detail 4 6 6 3 2 2" xfId="13072"/>
    <cellStyle name="RowTitles1-Detail 4 6 6 3 2_Tertiary Salaries Survey" xfId="13073"/>
    <cellStyle name="RowTitles1-Detail 4 6 6 3 3" xfId="13074"/>
    <cellStyle name="RowTitles1-Detail 4 6 6 3_Tertiary Salaries Survey" xfId="13075"/>
    <cellStyle name="RowTitles1-Detail 4 6 6 4" xfId="13076"/>
    <cellStyle name="RowTitles1-Detail 4 6 6 4 2" xfId="13077"/>
    <cellStyle name="RowTitles1-Detail 4 6 6 4_Tertiary Salaries Survey" xfId="13078"/>
    <cellStyle name="RowTitles1-Detail 4 6 6 5" xfId="13079"/>
    <cellStyle name="RowTitles1-Detail 4 6 6_Tertiary Salaries Survey" xfId="13080"/>
    <cellStyle name="RowTitles1-Detail 4 6 7" xfId="13081"/>
    <cellStyle name="RowTitles1-Detail 4 6 7 2" xfId="13082"/>
    <cellStyle name="RowTitles1-Detail 4 6 7 2 2" xfId="13083"/>
    <cellStyle name="RowTitles1-Detail 4 6 7 2_Tertiary Salaries Survey" xfId="13084"/>
    <cellStyle name="RowTitles1-Detail 4 6 7 3" xfId="13085"/>
    <cellStyle name="RowTitles1-Detail 4 6 7_Tertiary Salaries Survey" xfId="13086"/>
    <cellStyle name="RowTitles1-Detail 4 6 8" xfId="13087"/>
    <cellStyle name="RowTitles1-Detail 4 6 9" xfId="13088"/>
    <cellStyle name="RowTitles1-Detail 4 6_STUD aligned by INSTIT" xfId="13089"/>
    <cellStyle name="RowTitles1-Detail 4 7" xfId="13090"/>
    <cellStyle name="RowTitles1-Detail 4 7 2" xfId="13091"/>
    <cellStyle name="RowTitles1-Detail 4 7 2 2" xfId="13092"/>
    <cellStyle name="RowTitles1-Detail 4 7 2 2 2" xfId="13093"/>
    <cellStyle name="RowTitles1-Detail 4 7 2 2_Tertiary Salaries Survey" xfId="13094"/>
    <cellStyle name="RowTitles1-Detail 4 7 2 3" xfId="13095"/>
    <cellStyle name="RowTitles1-Detail 4 7 2_Tertiary Salaries Survey" xfId="13096"/>
    <cellStyle name="RowTitles1-Detail 4 7 3" xfId="13097"/>
    <cellStyle name="RowTitles1-Detail 4 7 3 2" xfId="13098"/>
    <cellStyle name="RowTitles1-Detail 4 7 3 2 2" xfId="13099"/>
    <cellStyle name="RowTitles1-Detail 4 7 3 2_Tertiary Salaries Survey" xfId="13100"/>
    <cellStyle name="RowTitles1-Detail 4 7 3 3" xfId="13101"/>
    <cellStyle name="RowTitles1-Detail 4 7 3_Tertiary Salaries Survey" xfId="13102"/>
    <cellStyle name="RowTitles1-Detail 4 7 4" xfId="13103"/>
    <cellStyle name="RowTitles1-Detail 4 7 5" xfId="13104"/>
    <cellStyle name="RowTitles1-Detail 4 7 5 2" xfId="13105"/>
    <cellStyle name="RowTitles1-Detail 4 7 5_Tertiary Salaries Survey" xfId="13106"/>
    <cellStyle name="RowTitles1-Detail 4 7 6" xfId="13107"/>
    <cellStyle name="RowTitles1-Detail 4 7_Tertiary Salaries Survey" xfId="13108"/>
    <cellStyle name="RowTitles1-Detail 4 8" xfId="13109"/>
    <cellStyle name="RowTitles1-Detail 4 8 2" xfId="13110"/>
    <cellStyle name="RowTitles1-Detail 4 8 2 2" xfId="13111"/>
    <cellStyle name="RowTitles1-Detail 4 8 2 2 2" xfId="13112"/>
    <cellStyle name="RowTitles1-Detail 4 8 2 2_Tertiary Salaries Survey" xfId="13113"/>
    <cellStyle name="RowTitles1-Detail 4 8 2 3" xfId="13114"/>
    <cellStyle name="RowTitles1-Detail 4 8 2_Tertiary Salaries Survey" xfId="13115"/>
    <cellStyle name="RowTitles1-Detail 4 8 3" xfId="13116"/>
    <cellStyle name="RowTitles1-Detail 4 8 3 2" xfId="13117"/>
    <cellStyle name="RowTitles1-Detail 4 8 3 2 2" xfId="13118"/>
    <cellStyle name="RowTitles1-Detail 4 8 3 2_Tertiary Salaries Survey" xfId="13119"/>
    <cellStyle name="RowTitles1-Detail 4 8 3 3" xfId="13120"/>
    <cellStyle name="RowTitles1-Detail 4 8 3_Tertiary Salaries Survey" xfId="13121"/>
    <cellStyle name="RowTitles1-Detail 4 8 4" xfId="13122"/>
    <cellStyle name="RowTitles1-Detail 4 8 5" xfId="13123"/>
    <cellStyle name="RowTitles1-Detail 4 8_Tertiary Salaries Survey" xfId="13124"/>
    <cellStyle name="RowTitles1-Detail 4 9" xfId="13125"/>
    <cellStyle name="RowTitles1-Detail 4 9 2" xfId="13126"/>
    <cellStyle name="RowTitles1-Detail 4 9 2 2" xfId="13127"/>
    <cellStyle name="RowTitles1-Detail 4 9 2 2 2" xfId="13128"/>
    <cellStyle name="RowTitles1-Detail 4 9 2 2_Tertiary Salaries Survey" xfId="13129"/>
    <cellStyle name="RowTitles1-Detail 4 9 2 3" xfId="13130"/>
    <cellStyle name="RowTitles1-Detail 4 9 2_Tertiary Salaries Survey" xfId="13131"/>
    <cellStyle name="RowTitles1-Detail 4 9 3" xfId="13132"/>
    <cellStyle name="RowTitles1-Detail 4 9 3 2" xfId="13133"/>
    <cellStyle name="RowTitles1-Detail 4 9 3 2 2" xfId="13134"/>
    <cellStyle name="RowTitles1-Detail 4 9 3 2_Tertiary Salaries Survey" xfId="13135"/>
    <cellStyle name="RowTitles1-Detail 4 9 3 3" xfId="13136"/>
    <cellStyle name="RowTitles1-Detail 4 9 3_Tertiary Salaries Survey" xfId="13137"/>
    <cellStyle name="RowTitles1-Detail 4 9 4" xfId="13138"/>
    <cellStyle name="RowTitles1-Detail 4 9 5" xfId="13139"/>
    <cellStyle name="RowTitles1-Detail 4 9 5 2" xfId="13140"/>
    <cellStyle name="RowTitles1-Detail 4 9 5_Tertiary Salaries Survey" xfId="13141"/>
    <cellStyle name="RowTitles1-Detail 4 9 6" xfId="13142"/>
    <cellStyle name="RowTitles1-Detail 4 9_Tertiary Salaries Survey" xfId="13143"/>
    <cellStyle name="RowTitles1-Detail 4_STUD aligned by INSTIT" xfId="13144"/>
    <cellStyle name="RowTitles1-Detail 5" xfId="13145"/>
    <cellStyle name="RowTitles1-Detail 5 2" xfId="13146"/>
    <cellStyle name="RowTitles1-Detail 5 2 2" xfId="13147"/>
    <cellStyle name="RowTitles1-Detail 5 2 2 2" xfId="13148"/>
    <cellStyle name="RowTitles1-Detail 5 2 2 2 2" xfId="13149"/>
    <cellStyle name="RowTitles1-Detail 5 2 2 2_Tertiary Salaries Survey" xfId="13150"/>
    <cellStyle name="RowTitles1-Detail 5 2 2 3" xfId="13151"/>
    <cellStyle name="RowTitles1-Detail 5 2 2_Tertiary Salaries Survey" xfId="13152"/>
    <cellStyle name="RowTitles1-Detail 5 2 3" xfId="13153"/>
    <cellStyle name="RowTitles1-Detail 5 2 3 2" xfId="13154"/>
    <cellStyle name="RowTitles1-Detail 5 2 3 2 2" xfId="13155"/>
    <cellStyle name="RowTitles1-Detail 5 2 3 2_Tertiary Salaries Survey" xfId="13156"/>
    <cellStyle name="RowTitles1-Detail 5 2 3 3" xfId="13157"/>
    <cellStyle name="RowTitles1-Detail 5 2 3_Tertiary Salaries Survey" xfId="13158"/>
    <cellStyle name="RowTitles1-Detail 5 2 4" xfId="13159"/>
    <cellStyle name="RowTitles1-Detail 5 2 5" xfId="13160"/>
    <cellStyle name="RowTitles1-Detail 5 2_Tertiary Salaries Survey" xfId="13161"/>
    <cellStyle name="RowTitles1-Detail 5 3" xfId="13162"/>
    <cellStyle name="RowTitles1-Detail 5 3 2" xfId="13163"/>
    <cellStyle name="RowTitles1-Detail 5 3 2 2" xfId="13164"/>
    <cellStyle name="RowTitles1-Detail 5 3 2 2 2" xfId="13165"/>
    <cellStyle name="RowTitles1-Detail 5 3 2 2_Tertiary Salaries Survey" xfId="13166"/>
    <cellStyle name="RowTitles1-Detail 5 3 2 3" xfId="13167"/>
    <cellStyle name="RowTitles1-Detail 5 3 2_Tertiary Salaries Survey" xfId="13168"/>
    <cellStyle name="RowTitles1-Detail 5 3 3" xfId="13169"/>
    <cellStyle name="RowTitles1-Detail 5 3 3 2" xfId="13170"/>
    <cellStyle name="RowTitles1-Detail 5 3 3 2 2" xfId="13171"/>
    <cellStyle name="RowTitles1-Detail 5 3 3 2_Tertiary Salaries Survey" xfId="13172"/>
    <cellStyle name="RowTitles1-Detail 5 3 3 3" xfId="13173"/>
    <cellStyle name="RowTitles1-Detail 5 3 3_Tertiary Salaries Survey" xfId="13174"/>
    <cellStyle name="RowTitles1-Detail 5 3 4" xfId="13175"/>
    <cellStyle name="RowTitles1-Detail 5 3 5" xfId="13176"/>
    <cellStyle name="RowTitles1-Detail 5 3 5 2" xfId="13177"/>
    <cellStyle name="RowTitles1-Detail 5 3 5_Tertiary Salaries Survey" xfId="13178"/>
    <cellStyle name="RowTitles1-Detail 5 3 6" xfId="13179"/>
    <cellStyle name="RowTitles1-Detail 5 3_Tertiary Salaries Survey" xfId="13180"/>
    <cellStyle name="RowTitles1-Detail 5 4" xfId="13181"/>
    <cellStyle name="RowTitles1-Detail 5 4 2" xfId="13182"/>
    <cellStyle name="RowTitles1-Detail 5 4 2 2" xfId="13183"/>
    <cellStyle name="RowTitles1-Detail 5 4 2 2 2" xfId="13184"/>
    <cellStyle name="RowTitles1-Detail 5 4 2 2_Tertiary Salaries Survey" xfId="13185"/>
    <cellStyle name="RowTitles1-Detail 5 4 2 3" xfId="13186"/>
    <cellStyle name="RowTitles1-Detail 5 4 2_Tertiary Salaries Survey" xfId="13187"/>
    <cellStyle name="RowTitles1-Detail 5 4 3" xfId="13188"/>
    <cellStyle name="RowTitles1-Detail 5 4 3 2" xfId="13189"/>
    <cellStyle name="RowTitles1-Detail 5 4 3 2 2" xfId="13190"/>
    <cellStyle name="RowTitles1-Detail 5 4 3 2_Tertiary Salaries Survey" xfId="13191"/>
    <cellStyle name="RowTitles1-Detail 5 4 3 3" xfId="13192"/>
    <cellStyle name="RowTitles1-Detail 5 4 3_Tertiary Salaries Survey" xfId="13193"/>
    <cellStyle name="RowTitles1-Detail 5 4 4" xfId="13194"/>
    <cellStyle name="RowTitles1-Detail 5 4 4 2" xfId="13195"/>
    <cellStyle name="RowTitles1-Detail 5 4 4_Tertiary Salaries Survey" xfId="13196"/>
    <cellStyle name="RowTitles1-Detail 5 4 5" xfId="13197"/>
    <cellStyle name="RowTitles1-Detail 5 4_Tertiary Salaries Survey" xfId="13198"/>
    <cellStyle name="RowTitles1-Detail 5 5" xfId="13199"/>
    <cellStyle name="RowTitles1-Detail 5 5 2" xfId="13200"/>
    <cellStyle name="RowTitles1-Detail 5 5 2 2" xfId="13201"/>
    <cellStyle name="RowTitles1-Detail 5 5 2 2 2" xfId="13202"/>
    <cellStyle name="RowTitles1-Detail 5 5 2 2_Tertiary Salaries Survey" xfId="13203"/>
    <cellStyle name="RowTitles1-Detail 5 5 2 3" xfId="13204"/>
    <cellStyle name="RowTitles1-Detail 5 5 2_Tertiary Salaries Survey" xfId="13205"/>
    <cellStyle name="RowTitles1-Detail 5 5 3" xfId="13206"/>
    <cellStyle name="RowTitles1-Detail 5 5 3 2" xfId="13207"/>
    <cellStyle name="RowTitles1-Detail 5 5 3 2 2" xfId="13208"/>
    <cellStyle name="RowTitles1-Detail 5 5 3 2_Tertiary Salaries Survey" xfId="13209"/>
    <cellStyle name="RowTitles1-Detail 5 5 3 3" xfId="13210"/>
    <cellStyle name="RowTitles1-Detail 5 5 3_Tertiary Salaries Survey" xfId="13211"/>
    <cellStyle name="RowTitles1-Detail 5 5 4" xfId="13212"/>
    <cellStyle name="RowTitles1-Detail 5 5 4 2" xfId="13213"/>
    <cellStyle name="RowTitles1-Detail 5 5 4_Tertiary Salaries Survey" xfId="13214"/>
    <cellStyle name="RowTitles1-Detail 5 5 5" xfId="13215"/>
    <cellStyle name="RowTitles1-Detail 5 5_Tertiary Salaries Survey" xfId="13216"/>
    <cellStyle name="RowTitles1-Detail 5 6" xfId="13217"/>
    <cellStyle name="RowTitles1-Detail 5 6 2" xfId="13218"/>
    <cellStyle name="RowTitles1-Detail 5 6 2 2" xfId="13219"/>
    <cellStyle name="RowTitles1-Detail 5 6 2 2 2" xfId="13220"/>
    <cellStyle name="RowTitles1-Detail 5 6 2 2_Tertiary Salaries Survey" xfId="13221"/>
    <cellStyle name="RowTitles1-Detail 5 6 2 3" xfId="13222"/>
    <cellStyle name="RowTitles1-Detail 5 6 2_Tertiary Salaries Survey" xfId="13223"/>
    <cellStyle name="RowTitles1-Detail 5 6 3" xfId="13224"/>
    <cellStyle name="RowTitles1-Detail 5 6 3 2" xfId="13225"/>
    <cellStyle name="RowTitles1-Detail 5 6 3 2 2" xfId="13226"/>
    <cellStyle name="RowTitles1-Detail 5 6 3 2_Tertiary Salaries Survey" xfId="13227"/>
    <cellStyle name="RowTitles1-Detail 5 6 3 3" xfId="13228"/>
    <cellStyle name="RowTitles1-Detail 5 6 3_Tertiary Salaries Survey" xfId="13229"/>
    <cellStyle name="RowTitles1-Detail 5 6 4" xfId="13230"/>
    <cellStyle name="RowTitles1-Detail 5 6 4 2" xfId="13231"/>
    <cellStyle name="RowTitles1-Detail 5 6 4_Tertiary Salaries Survey" xfId="13232"/>
    <cellStyle name="RowTitles1-Detail 5 6 5" xfId="13233"/>
    <cellStyle name="RowTitles1-Detail 5 6_Tertiary Salaries Survey" xfId="13234"/>
    <cellStyle name="RowTitles1-Detail 5 7" xfId="13235"/>
    <cellStyle name="RowTitles1-Detail 5 7 2" xfId="13236"/>
    <cellStyle name="RowTitles1-Detail 5 7 2 2" xfId="13237"/>
    <cellStyle name="RowTitles1-Detail 5 7 2_Tertiary Salaries Survey" xfId="13238"/>
    <cellStyle name="RowTitles1-Detail 5 7 3" xfId="13239"/>
    <cellStyle name="RowTitles1-Detail 5 7_Tertiary Salaries Survey" xfId="13240"/>
    <cellStyle name="RowTitles1-Detail 5 8" xfId="13241"/>
    <cellStyle name="RowTitles1-Detail 5 9" xfId="13242"/>
    <cellStyle name="RowTitles1-Detail 5_STUD aligned by INSTIT" xfId="13243"/>
    <cellStyle name="RowTitles1-Detail 6" xfId="13244"/>
    <cellStyle name="RowTitles1-Detail 6 2" xfId="13245"/>
    <cellStyle name="RowTitles1-Detail 6 2 2" xfId="13246"/>
    <cellStyle name="RowTitles1-Detail 6 2 2 2" xfId="13247"/>
    <cellStyle name="RowTitles1-Detail 6 2 2 2 2" xfId="13248"/>
    <cellStyle name="RowTitles1-Detail 6 2 2 2_Tertiary Salaries Survey" xfId="13249"/>
    <cellStyle name="RowTitles1-Detail 6 2 2 3" xfId="13250"/>
    <cellStyle name="RowTitles1-Detail 6 2 2_Tertiary Salaries Survey" xfId="13251"/>
    <cellStyle name="RowTitles1-Detail 6 2 3" xfId="13252"/>
    <cellStyle name="RowTitles1-Detail 6 2 3 2" xfId="13253"/>
    <cellStyle name="RowTitles1-Detail 6 2 3 2 2" xfId="13254"/>
    <cellStyle name="RowTitles1-Detail 6 2 3 2_Tertiary Salaries Survey" xfId="13255"/>
    <cellStyle name="RowTitles1-Detail 6 2 3 3" xfId="13256"/>
    <cellStyle name="RowTitles1-Detail 6 2 3_Tertiary Salaries Survey" xfId="13257"/>
    <cellStyle name="RowTitles1-Detail 6 2 4" xfId="13258"/>
    <cellStyle name="RowTitles1-Detail 6 2 5" xfId="13259"/>
    <cellStyle name="RowTitles1-Detail 6 2 5 2" xfId="13260"/>
    <cellStyle name="RowTitles1-Detail 6 2 5_Tertiary Salaries Survey" xfId="13261"/>
    <cellStyle name="RowTitles1-Detail 6 2 6" xfId="13262"/>
    <cellStyle name="RowTitles1-Detail 6 2_Tertiary Salaries Survey" xfId="13263"/>
    <cellStyle name="RowTitles1-Detail 6 3" xfId="13264"/>
    <cellStyle name="RowTitles1-Detail 6 3 2" xfId="13265"/>
    <cellStyle name="RowTitles1-Detail 6 3 2 2" xfId="13266"/>
    <cellStyle name="RowTitles1-Detail 6 3 2 2 2" xfId="13267"/>
    <cellStyle name="RowTitles1-Detail 6 3 2 2_Tertiary Salaries Survey" xfId="13268"/>
    <cellStyle name="RowTitles1-Detail 6 3 2 3" xfId="13269"/>
    <cellStyle name="RowTitles1-Detail 6 3 2_Tertiary Salaries Survey" xfId="13270"/>
    <cellStyle name="RowTitles1-Detail 6 3 3" xfId="13271"/>
    <cellStyle name="RowTitles1-Detail 6 3 3 2" xfId="13272"/>
    <cellStyle name="RowTitles1-Detail 6 3 3 2 2" xfId="13273"/>
    <cellStyle name="RowTitles1-Detail 6 3 3 2_Tertiary Salaries Survey" xfId="13274"/>
    <cellStyle name="RowTitles1-Detail 6 3 3 3" xfId="13275"/>
    <cellStyle name="RowTitles1-Detail 6 3 3_Tertiary Salaries Survey" xfId="13276"/>
    <cellStyle name="RowTitles1-Detail 6 3 4" xfId="13277"/>
    <cellStyle name="RowTitles1-Detail 6 3 5" xfId="13278"/>
    <cellStyle name="RowTitles1-Detail 6 3_Tertiary Salaries Survey" xfId="13279"/>
    <cellStyle name="RowTitles1-Detail 6 4" xfId="13280"/>
    <cellStyle name="RowTitles1-Detail 6 4 2" xfId="13281"/>
    <cellStyle name="RowTitles1-Detail 6 4 2 2" xfId="13282"/>
    <cellStyle name="RowTitles1-Detail 6 4 2 2 2" xfId="13283"/>
    <cellStyle name="RowTitles1-Detail 6 4 2 2_Tertiary Salaries Survey" xfId="13284"/>
    <cellStyle name="RowTitles1-Detail 6 4 2 3" xfId="13285"/>
    <cellStyle name="RowTitles1-Detail 6 4 2_Tertiary Salaries Survey" xfId="13286"/>
    <cellStyle name="RowTitles1-Detail 6 4 3" xfId="13287"/>
    <cellStyle name="RowTitles1-Detail 6 4 3 2" xfId="13288"/>
    <cellStyle name="RowTitles1-Detail 6 4 3 2 2" xfId="13289"/>
    <cellStyle name="RowTitles1-Detail 6 4 3 2_Tertiary Salaries Survey" xfId="13290"/>
    <cellStyle name="RowTitles1-Detail 6 4 3 3" xfId="13291"/>
    <cellStyle name="RowTitles1-Detail 6 4 3_Tertiary Salaries Survey" xfId="13292"/>
    <cellStyle name="RowTitles1-Detail 6 4 4" xfId="13293"/>
    <cellStyle name="RowTitles1-Detail 6 4 4 2" xfId="13294"/>
    <cellStyle name="RowTitles1-Detail 6 4 4_Tertiary Salaries Survey" xfId="13295"/>
    <cellStyle name="RowTitles1-Detail 6 4 5" xfId="13296"/>
    <cellStyle name="RowTitles1-Detail 6 4_Tertiary Salaries Survey" xfId="13297"/>
    <cellStyle name="RowTitles1-Detail 6 5" xfId="13298"/>
    <cellStyle name="RowTitles1-Detail 6 5 2" xfId="13299"/>
    <cellStyle name="RowTitles1-Detail 6 5 2 2" xfId="13300"/>
    <cellStyle name="RowTitles1-Detail 6 5 2 2 2" xfId="13301"/>
    <cellStyle name="RowTitles1-Detail 6 5 2 2_Tertiary Salaries Survey" xfId="13302"/>
    <cellStyle name="RowTitles1-Detail 6 5 2 3" xfId="13303"/>
    <cellStyle name="RowTitles1-Detail 6 5 2_Tertiary Salaries Survey" xfId="13304"/>
    <cellStyle name="RowTitles1-Detail 6 5 3" xfId="13305"/>
    <cellStyle name="RowTitles1-Detail 6 5 3 2" xfId="13306"/>
    <cellStyle name="RowTitles1-Detail 6 5 3 2 2" xfId="13307"/>
    <cellStyle name="RowTitles1-Detail 6 5 3 2_Tertiary Salaries Survey" xfId="13308"/>
    <cellStyle name="RowTitles1-Detail 6 5 3 3" xfId="13309"/>
    <cellStyle name="RowTitles1-Detail 6 5 3_Tertiary Salaries Survey" xfId="13310"/>
    <cellStyle name="RowTitles1-Detail 6 5 4" xfId="13311"/>
    <cellStyle name="RowTitles1-Detail 6 5 4 2" xfId="13312"/>
    <cellStyle name="RowTitles1-Detail 6 5 4_Tertiary Salaries Survey" xfId="13313"/>
    <cellStyle name="RowTitles1-Detail 6 5 5" xfId="13314"/>
    <cellStyle name="RowTitles1-Detail 6 5_Tertiary Salaries Survey" xfId="13315"/>
    <cellStyle name="RowTitles1-Detail 6 6" xfId="13316"/>
    <cellStyle name="RowTitles1-Detail 6 6 2" xfId="13317"/>
    <cellStyle name="RowTitles1-Detail 6 6 2 2" xfId="13318"/>
    <cellStyle name="RowTitles1-Detail 6 6 2 2 2" xfId="13319"/>
    <cellStyle name="RowTitles1-Detail 6 6 2 2_Tertiary Salaries Survey" xfId="13320"/>
    <cellStyle name="RowTitles1-Detail 6 6 2 3" xfId="13321"/>
    <cellStyle name="RowTitles1-Detail 6 6 2_Tertiary Salaries Survey" xfId="13322"/>
    <cellStyle name="RowTitles1-Detail 6 6 3" xfId="13323"/>
    <cellStyle name="RowTitles1-Detail 6 6 3 2" xfId="13324"/>
    <cellStyle name="RowTitles1-Detail 6 6 3 2 2" xfId="13325"/>
    <cellStyle name="RowTitles1-Detail 6 6 3 2_Tertiary Salaries Survey" xfId="13326"/>
    <cellStyle name="RowTitles1-Detail 6 6 3 3" xfId="13327"/>
    <cellStyle name="RowTitles1-Detail 6 6 3_Tertiary Salaries Survey" xfId="13328"/>
    <cellStyle name="RowTitles1-Detail 6 6 4" xfId="13329"/>
    <cellStyle name="RowTitles1-Detail 6 6 4 2" xfId="13330"/>
    <cellStyle name="RowTitles1-Detail 6 6 4_Tertiary Salaries Survey" xfId="13331"/>
    <cellStyle name="RowTitles1-Detail 6 6 5" xfId="13332"/>
    <cellStyle name="RowTitles1-Detail 6 6_Tertiary Salaries Survey" xfId="13333"/>
    <cellStyle name="RowTitles1-Detail 6 7" xfId="13334"/>
    <cellStyle name="RowTitles1-Detail 6 7 2" xfId="13335"/>
    <cellStyle name="RowTitles1-Detail 6 7 2 2" xfId="13336"/>
    <cellStyle name="RowTitles1-Detail 6 7 2_Tertiary Salaries Survey" xfId="13337"/>
    <cellStyle name="RowTitles1-Detail 6 7 3" xfId="13338"/>
    <cellStyle name="RowTitles1-Detail 6 7_Tertiary Salaries Survey" xfId="13339"/>
    <cellStyle name="RowTitles1-Detail 6 8" xfId="13340"/>
    <cellStyle name="RowTitles1-Detail 6 8 2" xfId="13341"/>
    <cellStyle name="RowTitles1-Detail 6 8 2 2" xfId="13342"/>
    <cellStyle name="RowTitles1-Detail 6 8 2_Tertiary Salaries Survey" xfId="13343"/>
    <cellStyle name="RowTitles1-Detail 6 8 3" xfId="13344"/>
    <cellStyle name="RowTitles1-Detail 6 8_Tertiary Salaries Survey" xfId="13345"/>
    <cellStyle name="RowTitles1-Detail 6 9" xfId="13346"/>
    <cellStyle name="RowTitles1-Detail 6_STUD aligned by INSTIT" xfId="13347"/>
    <cellStyle name="RowTitles1-Detail 7" xfId="13348"/>
    <cellStyle name="RowTitles1-Detail 7 2" xfId="13349"/>
    <cellStyle name="RowTitles1-Detail 7 2 2" xfId="13350"/>
    <cellStyle name="RowTitles1-Detail 7 2 2 2" xfId="13351"/>
    <cellStyle name="RowTitles1-Detail 7 2 2 2 2" xfId="13352"/>
    <cellStyle name="RowTitles1-Detail 7 2 2 2_Tertiary Salaries Survey" xfId="13353"/>
    <cellStyle name="RowTitles1-Detail 7 2 2 3" xfId="13354"/>
    <cellStyle name="RowTitles1-Detail 7 2 2_Tertiary Salaries Survey" xfId="13355"/>
    <cellStyle name="RowTitles1-Detail 7 2 3" xfId="13356"/>
    <cellStyle name="RowTitles1-Detail 7 2 3 2" xfId="13357"/>
    <cellStyle name="RowTitles1-Detail 7 2 3 2 2" xfId="13358"/>
    <cellStyle name="RowTitles1-Detail 7 2 3 2_Tertiary Salaries Survey" xfId="13359"/>
    <cellStyle name="RowTitles1-Detail 7 2 3 3" xfId="13360"/>
    <cellStyle name="RowTitles1-Detail 7 2 3_Tertiary Salaries Survey" xfId="13361"/>
    <cellStyle name="RowTitles1-Detail 7 2 4" xfId="13362"/>
    <cellStyle name="RowTitles1-Detail 7 2 5" xfId="13363"/>
    <cellStyle name="RowTitles1-Detail 7 2_Tertiary Salaries Survey" xfId="13364"/>
    <cellStyle name="RowTitles1-Detail 7 3" xfId="13365"/>
    <cellStyle name="RowTitles1-Detail 7 3 2" xfId="13366"/>
    <cellStyle name="RowTitles1-Detail 7 3 2 2" xfId="13367"/>
    <cellStyle name="RowTitles1-Detail 7 3 2 2 2" xfId="13368"/>
    <cellStyle name="RowTitles1-Detail 7 3 2 2_Tertiary Salaries Survey" xfId="13369"/>
    <cellStyle name="RowTitles1-Detail 7 3 2 3" xfId="13370"/>
    <cellStyle name="RowTitles1-Detail 7 3 2_Tertiary Salaries Survey" xfId="13371"/>
    <cellStyle name="RowTitles1-Detail 7 3 3" xfId="13372"/>
    <cellStyle name="RowTitles1-Detail 7 3 3 2" xfId="13373"/>
    <cellStyle name="RowTitles1-Detail 7 3 3 2 2" xfId="13374"/>
    <cellStyle name="RowTitles1-Detail 7 3 3 2_Tertiary Salaries Survey" xfId="13375"/>
    <cellStyle name="RowTitles1-Detail 7 3 3 3" xfId="13376"/>
    <cellStyle name="RowTitles1-Detail 7 3 3_Tertiary Salaries Survey" xfId="13377"/>
    <cellStyle name="RowTitles1-Detail 7 3 4" xfId="13378"/>
    <cellStyle name="RowTitles1-Detail 7 3 4 2" xfId="13379"/>
    <cellStyle name="RowTitles1-Detail 7 3 4_Tertiary Salaries Survey" xfId="13380"/>
    <cellStyle name="RowTitles1-Detail 7 3 5" xfId="13381"/>
    <cellStyle name="RowTitles1-Detail 7 3_Tertiary Salaries Survey" xfId="13382"/>
    <cellStyle name="RowTitles1-Detail 7 4" xfId="13383"/>
    <cellStyle name="RowTitles1-Detail 7 4 2" xfId="13384"/>
    <cellStyle name="RowTitles1-Detail 7 4 2 2" xfId="13385"/>
    <cellStyle name="RowTitles1-Detail 7 4 2 2 2" xfId="13386"/>
    <cellStyle name="RowTitles1-Detail 7 4 2 2_Tertiary Salaries Survey" xfId="13387"/>
    <cellStyle name="RowTitles1-Detail 7 4 2 3" xfId="13388"/>
    <cellStyle name="RowTitles1-Detail 7 4 2_Tertiary Salaries Survey" xfId="13389"/>
    <cellStyle name="RowTitles1-Detail 7 4 3" xfId="13390"/>
    <cellStyle name="RowTitles1-Detail 7 4 3 2" xfId="13391"/>
    <cellStyle name="RowTitles1-Detail 7 4 3 2 2" xfId="13392"/>
    <cellStyle name="RowTitles1-Detail 7 4 3 2_Tertiary Salaries Survey" xfId="13393"/>
    <cellStyle name="RowTitles1-Detail 7 4 3 3" xfId="13394"/>
    <cellStyle name="RowTitles1-Detail 7 4 3_Tertiary Salaries Survey" xfId="13395"/>
    <cellStyle name="RowTitles1-Detail 7 4 4" xfId="13396"/>
    <cellStyle name="RowTitles1-Detail 7 4 4 2" xfId="13397"/>
    <cellStyle name="RowTitles1-Detail 7 4 4_Tertiary Salaries Survey" xfId="13398"/>
    <cellStyle name="RowTitles1-Detail 7 4 5" xfId="13399"/>
    <cellStyle name="RowTitles1-Detail 7 4_Tertiary Salaries Survey" xfId="13400"/>
    <cellStyle name="RowTitles1-Detail 7 5" xfId="13401"/>
    <cellStyle name="RowTitles1-Detail 7 5 2" xfId="13402"/>
    <cellStyle name="RowTitles1-Detail 7 5 2 2" xfId="13403"/>
    <cellStyle name="RowTitles1-Detail 7 5 2 2 2" xfId="13404"/>
    <cellStyle name="RowTitles1-Detail 7 5 2 2_Tertiary Salaries Survey" xfId="13405"/>
    <cellStyle name="RowTitles1-Detail 7 5 2 3" xfId="13406"/>
    <cellStyle name="RowTitles1-Detail 7 5 2_Tertiary Salaries Survey" xfId="13407"/>
    <cellStyle name="RowTitles1-Detail 7 5 3" xfId="13408"/>
    <cellStyle name="RowTitles1-Detail 7 5 3 2" xfId="13409"/>
    <cellStyle name="RowTitles1-Detail 7 5 3 2 2" xfId="13410"/>
    <cellStyle name="RowTitles1-Detail 7 5 3 2_Tertiary Salaries Survey" xfId="13411"/>
    <cellStyle name="RowTitles1-Detail 7 5 3 3" xfId="13412"/>
    <cellStyle name="RowTitles1-Detail 7 5 3_Tertiary Salaries Survey" xfId="13413"/>
    <cellStyle name="RowTitles1-Detail 7 5 4" xfId="13414"/>
    <cellStyle name="RowTitles1-Detail 7 5 4 2" xfId="13415"/>
    <cellStyle name="RowTitles1-Detail 7 5 4_Tertiary Salaries Survey" xfId="13416"/>
    <cellStyle name="RowTitles1-Detail 7 5 5" xfId="13417"/>
    <cellStyle name="RowTitles1-Detail 7 5_Tertiary Salaries Survey" xfId="13418"/>
    <cellStyle name="RowTitles1-Detail 7 6" xfId="13419"/>
    <cellStyle name="RowTitles1-Detail 7 6 2" xfId="13420"/>
    <cellStyle name="RowTitles1-Detail 7 6 2 2" xfId="13421"/>
    <cellStyle name="RowTitles1-Detail 7 6 2 2 2" xfId="13422"/>
    <cellStyle name="RowTitles1-Detail 7 6 2 2_Tertiary Salaries Survey" xfId="13423"/>
    <cellStyle name="RowTitles1-Detail 7 6 2 3" xfId="13424"/>
    <cellStyle name="RowTitles1-Detail 7 6 2_Tertiary Salaries Survey" xfId="13425"/>
    <cellStyle name="RowTitles1-Detail 7 6 3" xfId="13426"/>
    <cellStyle name="RowTitles1-Detail 7 6 3 2" xfId="13427"/>
    <cellStyle name="RowTitles1-Detail 7 6 3 2 2" xfId="13428"/>
    <cellStyle name="RowTitles1-Detail 7 6 3 2_Tertiary Salaries Survey" xfId="13429"/>
    <cellStyle name="RowTitles1-Detail 7 6 3 3" xfId="13430"/>
    <cellStyle name="RowTitles1-Detail 7 6 3_Tertiary Salaries Survey" xfId="13431"/>
    <cellStyle name="RowTitles1-Detail 7 6 4" xfId="13432"/>
    <cellStyle name="RowTitles1-Detail 7 6 4 2" xfId="13433"/>
    <cellStyle name="RowTitles1-Detail 7 6 4_Tertiary Salaries Survey" xfId="13434"/>
    <cellStyle name="RowTitles1-Detail 7 6 5" xfId="13435"/>
    <cellStyle name="RowTitles1-Detail 7 6_Tertiary Salaries Survey" xfId="13436"/>
    <cellStyle name="RowTitles1-Detail 7 7" xfId="13437"/>
    <cellStyle name="RowTitles1-Detail 7 7 2" xfId="13438"/>
    <cellStyle name="RowTitles1-Detail 7 7 2 2" xfId="13439"/>
    <cellStyle name="RowTitles1-Detail 7 7 2_Tertiary Salaries Survey" xfId="13440"/>
    <cellStyle name="RowTitles1-Detail 7 7 3" xfId="13441"/>
    <cellStyle name="RowTitles1-Detail 7 7_Tertiary Salaries Survey" xfId="13442"/>
    <cellStyle name="RowTitles1-Detail 7 8" xfId="13443"/>
    <cellStyle name="RowTitles1-Detail 7 8 2" xfId="13444"/>
    <cellStyle name="RowTitles1-Detail 7 8 2 2" xfId="13445"/>
    <cellStyle name="RowTitles1-Detail 7 8 2_Tertiary Salaries Survey" xfId="13446"/>
    <cellStyle name="RowTitles1-Detail 7 8 3" xfId="13447"/>
    <cellStyle name="RowTitles1-Detail 7 8_Tertiary Salaries Survey" xfId="13448"/>
    <cellStyle name="RowTitles1-Detail 7 9" xfId="13449"/>
    <cellStyle name="RowTitles1-Detail 7_STUD aligned by INSTIT" xfId="13450"/>
    <cellStyle name="RowTitles1-Detail 8" xfId="13451"/>
    <cellStyle name="RowTitles1-Detail 8 2" xfId="13452"/>
    <cellStyle name="RowTitles1-Detail 8 2 2" xfId="13453"/>
    <cellStyle name="RowTitles1-Detail 8 2 2 2" xfId="13454"/>
    <cellStyle name="RowTitles1-Detail 8 2 2_Tertiary Salaries Survey" xfId="13455"/>
    <cellStyle name="RowTitles1-Detail 8 2 3" xfId="13456"/>
    <cellStyle name="RowTitles1-Detail 8 2_Tertiary Salaries Survey" xfId="13457"/>
    <cellStyle name="RowTitles1-Detail 8 3" xfId="13458"/>
    <cellStyle name="RowTitles1-Detail 8 3 2" xfId="13459"/>
    <cellStyle name="RowTitles1-Detail 8 3 2 2" xfId="13460"/>
    <cellStyle name="RowTitles1-Detail 8 3 2_Tertiary Salaries Survey" xfId="13461"/>
    <cellStyle name="RowTitles1-Detail 8 3 3" xfId="13462"/>
    <cellStyle name="RowTitles1-Detail 8 3_Tertiary Salaries Survey" xfId="13463"/>
    <cellStyle name="RowTitles1-Detail 8 4" xfId="13464"/>
    <cellStyle name="RowTitles1-Detail 8 5" xfId="13465"/>
    <cellStyle name="RowTitles1-Detail 8_Tertiary Salaries Survey" xfId="13466"/>
    <cellStyle name="RowTitles1-Detail 9" xfId="13467"/>
    <cellStyle name="RowTitles1-Detail 9 2" xfId="13468"/>
    <cellStyle name="RowTitles1-Detail 9 2 2" xfId="13469"/>
    <cellStyle name="RowTitles1-Detail 9 2 2 2" xfId="13470"/>
    <cellStyle name="RowTitles1-Detail 9 2 2_Tertiary Salaries Survey" xfId="13471"/>
    <cellStyle name="RowTitles1-Detail 9 2 3" xfId="13472"/>
    <cellStyle name="RowTitles1-Detail 9 2_Tertiary Salaries Survey" xfId="13473"/>
    <cellStyle name="RowTitles1-Detail 9 3" xfId="13474"/>
    <cellStyle name="RowTitles1-Detail 9 3 2" xfId="13475"/>
    <cellStyle name="RowTitles1-Detail 9 3 2 2" xfId="13476"/>
    <cellStyle name="RowTitles1-Detail 9 3 2_Tertiary Salaries Survey" xfId="13477"/>
    <cellStyle name="RowTitles1-Detail 9 3 3" xfId="13478"/>
    <cellStyle name="RowTitles1-Detail 9 3_Tertiary Salaries Survey" xfId="13479"/>
    <cellStyle name="RowTitles1-Detail 9 4" xfId="13480"/>
    <cellStyle name="RowTitles1-Detail 9 5" xfId="13481"/>
    <cellStyle name="RowTitles1-Detail 9 5 2" xfId="13482"/>
    <cellStyle name="RowTitles1-Detail 9 5_Tertiary Salaries Survey" xfId="13483"/>
    <cellStyle name="RowTitles1-Detail 9 6" xfId="13484"/>
    <cellStyle name="RowTitles1-Detail 9_Tertiary Salaries Survey" xfId="13485"/>
    <cellStyle name="RowTitles1-Detail_STUD aligned by INSTIT" xfId="13486"/>
    <cellStyle name="RowTitles-Col2" xfId="13487"/>
    <cellStyle name="RowTitles-Col2 10" xfId="13488"/>
    <cellStyle name="RowTitles-Col2 10 2" xfId="13489"/>
    <cellStyle name="RowTitles-Col2 10 2 2" xfId="13490"/>
    <cellStyle name="RowTitles-Col2 10 2 2 2" xfId="13491"/>
    <cellStyle name="RowTitles-Col2 10 2 2_Tertiary Salaries Survey" xfId="13492"/>
    <cellStyle name="RowTitles-Col2 10 2 3" xfId="13493"/>
    <cellStyle name="RowTitles-Col2 10 2_Tertiary Salaries Survey" xfId="13494"/>
    <cellStyle name="RowTitles-Col2 10 3" xfId="13495"/>
    <cellStyle name="RowTitles-Col2 10 3 2" xfId="13496"/>
    <cellStyle name="RowTitles-Col2 10 3 2 2" xfId="13497"/>
    <cellStyle name="RowTitles-Col2 10 3 2_Tertiary Salaries Survey" xfId="13498"/>
    <cellStyle name="RowTitles-Col2 10 3 3" xfId="13499"/>
    <cellStyle name="RowTitles-Col2 10 3_Tertiary Salaries Survey" xfId="13500"/>
    <cellStyle name="RowTitles-Col2 10 4" xfId="13501"/>
    <cellStyle name="RowTitles-Col2 10 4 2" xfId="13502"/>
    <cellStyle name="RowTitles-Col2 10 4_Tertiary Salaries Survey" xfId="13503"/>
    <cellStyle name="RowTitles-Col2 10 5" xfId="13504"/>
    <cellStyle name="RowTitles-Col2 10_Tertiary Salaries Survey" xfId="13505"/>
    <cellStyle name="RowTitles-Col2 11" xfId="13506"/>
    <cellStyle name="RowTitles-Col2 11 2" xfId="13507"/>
    <cellStyle name="RowTitles-Col2 11 2 2" xfId="13508"/>
    <cellStyle name="RowTitles-Col2 11 2 2 2" xfId="13509"/>
    <cellStyle name="RowTitles-Col2 11 2 2_Tertiary Salaries Survey" xfId="13510"/>
    <cellStyle name="RowTitles-Col2 11 2 3" xfId="13511"/>
    <cellStyle name="RowTitles-Col2 11 2_Tertiary Salaries Survey" xfId="13512"/>
    <cellStyle name="RowTitles-Col2 11 3" xfId="13513"/>
    <cellStyle name="RowTitles-Col2 11 3 2" xfId="13514"/>
    <cellStyle name="RowTitles-Col2 11 3 2 2" xfId="13515"/>
    <cellStyle name="RowTitles-Col2 11 3 2_Tertiary Salaries Survey" xfId="13516"/>
    <cellStyle name="RowTitles-Col2 11 3 3" xfId="13517"/>
    <cellStyle name="RowTitles-Col2 11 3_Tertiary Salaries Survey" xfId="13518"/>
    <cellStyle name="RowTitles-Col2 11 4" xfId="13519"/>
    <cellStyle name="RowTitles-Col2 11 4 2" xfId="13520"/>
    <cellStyle name="RowTitles-Col2 11 4_Tertiary Salaries Survey" xfId="13521"/>
    <cellStyle name="RowTitles-Col2 11 5" xfId="13522"/>
    <cellStyle name="RowTitles-Col2 11_Tertiary Salaries Survey" xfId="13523"/>
    <cellStyle name="RowTitles-Col2 12" xfId="13524"/>
    <cellStyle name="RowTitles-Col2 12 2" xfId="13525"/>
    <cellStyle name="RowTitles-Col2 12 2 2" xfId="13526"/>
    <cellStyle name="RowTitles-Col2 12 2_Tertiary Salaries Survey" xfId="13527"/>
    <cellStyle name="RowTitles-Col2 12 3" xfId="13528"/>
    <cellStyle name="RowTitles-Col2 12_Tertiary Salaries Survey" xfId="13529"/>
    <cellStyle name="RowTitles-Col2 13" xfId="13530"/>
    <cellStyle name="RowTitles-Col2 14" xfId="13531"/>
    <cellStyle name="RowTitles-Col2 15" xfId="13532"/>
    <cellStyle name="RowTitles-Col2 16" xfId="13533"/>
    <cellStyle name="RowTitles-Col2 2" xfId="13534"/>
    <cellStyle name="RowTitles-Col2 2 10" xfId="13535"/>
    <cellStyle name="RowTitles-Col2 2 10 2" xfId="13536"/>
    <cellStyle name="RowTitles-Col2 2 10 2 2" xfId="13537"/>
    <cellStyle name="RowTitles-Col2 2 10 2 2 2" xfId="13538"/>
    <cellStyle name="RowTitles-Col2 2 10 2 2_Tertiary Salaries Survey" xfId="13539"/>
    <cellStyle name="RowTitles-Col2 2 10 2 3" xfId="13540"/>
    <cellStyle name="RowTitles-Col2 2 10 2_Tertiary Salaries Survey" xfId="13541"/>
    <cellStyle name="RowTitles-Col2 2 10 3" xfId="13542"/>
    <cellStyle name="RowTitles-Col2 2 10 3 2" xfId="13543"/>
    <cellStyle name="RowTitles-Col2 2 10 3 2 2" xfId="13544"/>
    <cellStyle name="RowTitles-Col2 2 10 3 2_Tertiary Salaries Survey" xfId="13545"/>
    <cellStyle name="RowTitles-Col2 2 10 3 3" xfId="13546"/>
    <cellStyle name="RowTitles-Col2 2 10 3_Tertiary Salaries Survey" xfId="13547"/>
    <cellStyle name="RowTitles-Col2 2 10 4" xfId="13548"/>
    <cellStyle name="RowTitles-Col2 2 10 4 2" xfId="13549"/>
    <cellStyle name="RowTitles-Col2 2 10 4_Tertiary Salaries Survey" xfId="13550"/>
    <cellStyle name="RowTitles-Col2 2 10 5" xfId="13551"/>
    <cellStyle name="RowTitles-Col2 2 10_Tertiary Salaries Survey" xfId="13552"/>
    <cellStyle name="RowTitles-Col2 2 11" xfId="13553"/>
    <cellStyle name="RowTitles-Col2 2 11 2" xfId="13554"/>
    <cellStyle name="RowTitles-Col2 2 11 2 2" xfId="13555"/>
    <cellStyle name="RowTitles-Col2 2 11 2 2 2" xfId="13556"/>
    <cellStyle name="RowTitles-Col2 2 11 2 2_Tertiary Salaries Survey" xfId="13557"/>
    <cellStyle name="RowTitles-Col2 2 11 2 3" xfId="13558"/>
    <cellStyle name="RowTitles-Col2 2 11 2_Tertiary Salaries Survey" xfId="13559"/>
    <cellStyle name="RowTitles-Col2 2 11 3" xfId="13560"/>
    <cellStyle name="RowTitles-Col2 2 11 3 2" xfId="13561"/>
    <cellStyle name="RowTitles-Col2 2 11 3 2 2" xfId="13562"/>
    <cellStyle name="RowTitles-Col2 2 11 3 2_Tertiary Salaries Survey" xfId="13563"/>
    <cellStyle name="RowTitles-Col2 2 11 3 3" xfId="13564"/>
    <cellStyle name="RowTitles-Col2 2 11 3_Tertiary Salaries Survey" xfId="13565"/>
    <cellStyle name="RowTitles-Col2 2 11 4" xfId="13566"/>
    <cellStyle name="RowTitles-Col2 2 11 4 2" xfId="13567"/>
    <cellStyle name="RowTitles-Col2 2 11 4_Tertiary Salaries Survey" xfId="13568"/>
    <cellStyle name="RowTitles-Col2 2 11 5" xfId="13569"/>
    <cellStyle name="RowTitles-Col2 2 11_Tertiary Salaries Survey" xfId="13570"/>
    <cellStyle name="RowTitles-Col2 2 12" xfId="13571"/>
    <cellStyle name="RowTitles-Col2 2 12 2" xfId="13572"/>
    <cellStyle name="RowTitles-Col2 2 12 2 2" xfId="13573"/>
    <cellStyle name="RowTitles-Col2 2 12 2_Tertiary Salaries Survey" xfId="13574"/>
    <cellStyle name="RowTitles-Col2 2 12 3" xfId="13575"/>
    <cellStyle name="RowTitles-Col2 2 12_Tertiary Salaries Survey" xfId="13576"/>
    <cellStyle name="RowTitles-Col2 2 13" xfId="13577"/>
    <cellStyle name="RowTitles-Col2 2 14" xfId="13578"/>
    <cellStyle name="RowTitles-Col2 2 2" xfId="13579"/>
    <cellStyle name="RowTitles-Col2 2 2 10" xfId="13580"/>
    <cellStyle name="RowTitles-Col2 2 2 10 2" xfId="13581"/>
    <cellStyle name="RowTitles-Col2 2 2 10 2 2" xfId="13582"/>
    <cellStyle name="RowTitles-Col2 2 2 10 2 2 2" xfId="13583"/>
    <cellStyle name="RowTitles-Col2 2 2 10 2 2_Tertiary Salaries Survey" xfId="13584"/>
    <cellStyle name="RowTitles-Col2 2 2 10 2 3" xfId="13585"/>
    <cellStyle name="RowTitles-Col2 2 2 10 2_Tertiary Salaries Survey" xfId="13586"/>
    <cellStyle name="RowTitles-Col2 2 2 10 3" xfId="13587"/>
    <cellStyle name="RowTitles-Col2 2 2 10 3 2" xfId="13588"/>
    <cellStyle name="RowTitles-Col2 2 2 10 3 2 2" xfId="13589"/>
    <cellStyle name="RowTitles-Col2 2 2 10 3 2_Tertiary Salaries Survey" xfId="13590"/>
    <cellStyle name="RowTitles-Col2 2 2 10 3 3" xfId="13591"/>
    <cellStyle name="RowTitles-Col2 2 2 10 3_Tertiary Salaries Survey" xfId="13592"/>
    <cellStyle name="RowTitles-Col2 2 2 10 4" xfId="13593"/>
    <cellStyle name="RowTitles-Col2 2 2 10 4 2" xfId="13594"/>
    <cellStyle name="RowTitles-Col2 2 2 10 4_Tertiary Salaries Survey" xfId="13595"/>
    <cellStyle name="RowTitles-Col2 2 2 10 5" xfId="13596"/>
    <cellStyle name="RowTitles-Col2 2 2 10_Tertiary Salaries Survey" xfId="13597"/>
    <cellStyle name="RowTitles-Col2 2 2 11" xfId="13598"/>
    <cellStyle name="RowTitles-Col2 2 2 11 2" xfId="13599"/>
    <cellStyle name="RowTitles-Col2 2 2 11 2 2" xfId="13600"/>
    <cellStyle name="RowTitles-Col2 2 2 11 2_Tertiary Salaries Survey" xfId="13601"/>
    <cellStyle name="RowTitles-Col2 2 2 11 3" xfId="13602"/>
    <cellStyle name="RowTitles-Col2 2 2 11_Tertiary Salaries Survey" xfId="13603"/>
    <cellStyle name="RowTitles-Col2 2 2 12" xfId="13604"/>
    <cellStyle name="RowTitles-Col2 2 2 2" xfId="13605"/>
    <cellStyle name="RowTitles-Col2 2 2 2 10" xfId="13606"/>
    <cellStyle name="RowTitles-Col2 2 2 2 10 2" xfId="13607"/>
    <cellStyle name="RowTitles-Col2 2 2 2 10 2 2" xfId="13608"/>
    <cellStyle name="RowTitles-Col2 2 2 2 10 2_Tertiary Salaries Survey" xfId="13609"/>
    <cellStyle name="RowTitles-Col2 2 2 2 10 3" xfId="13610"/>
    <cellStyle name="RowTitles-Col2 2 2 2 10_Tertiary Salaries Survey" xfId="13611"/>
    <cellStyle name="RowTitles-Col2 2 2 2 11" xfId="13612"/>
    <cellStyle name="RowTitles-Col2 2 2 2 2" xfId="13613"/>
    <cellStyle name="RowTitles-Col2 2 2 2 2 2" xfId="13614"/>
    <cellStyle name="RowTitles-Col2 2 2 2 2 2 2" xfId="13615"/>
    <cellStyle name="RowTitles-Col2 2 2 2 2 2 2 2" xfId="13616"/>
    <cellStyle name="RowTitles-Col2 2 2 2 2 2 2 2 2" xfId="13617"/>
    <cellStyle name="RowTitles-Col2 2 2 2 2 2 2 2_Tertiary Salaries Survey" xfId="13618"/>
    <cellStyle name="RowTitles-Col2 2 2 2 2 2 2 3" xfId="13619"/>
    <cellStyle name="RowTitles-Col2 2 2 2 2 2 2_Tertiary Salaries Survey" xfId="13620"/>
    <cellStyle name="RowTitles-Col2 2 2 2 2 2 3" xfId="13621"/>
    <cellStyle name="RowTitles-Col2 2 2 2 2 2 3 2" xfId="13622"/>
    <cellStyle name="RowTitles-Col2 2 2 2 2 2 3 2 2" xfId="13623"/>
    <cellStyle name="RowTitles-Col2 2 2 2 2 2 3 2_Tertiary Salaries Survey" xfId="13624"/>
    <cellStyle name="RowTitles-Col2 2 2 2 2 2 3 3" xfId="13625"/>
    <cellStyle name="RowTitles-Col2 2 2 2 2 2 3_Tertiary Salaries Survey" xfId="13626"/>
    <cellStyle name="RowTitles-Col2 2 2 2 2 2 4" xfId="13627"/>
    <cellStyle name="RowTitles-Col2 2 2 2 2 2_Tertiary Salaries Survey" xfId="13628"/>
    <cellStyle name="RowTitles-Col2 2 2 2 2 3" xfId="13629"/>
    <cellStyle name="RowTitles-Col2 2 2 2 2 3 2" xfId="13630"/>
    <cellStyle name="RowTitles-Col2 2 2 2 2 3 2 2" xfId="13631"/>
    <cellStyle name="RowTitles-Col2 2 2 2 2 3 2 2 2" xfId="13632"/>
    <cellStyle name="RowTitles-Col2 2 2 2 2 3 2 2_Tertiary Salaries Survey" xfId="13633"/>
    <cellStyle name="RowTitles-Col2 2 2 2 2 3 2 3" xfId="13634"/>
    <cellStyle name="RowTitles-Col2 2 2 2 2 3 2_Tertiary Salaries Survey" xfId="13635"/>
    <cellStyle name="RowTitles-Col2 2 2 2 2 3 3" xfId="13636"/>
    <cellStyle name="RowTitles-Col2 2 2 2 2 3 3 2" xfId="13637"/>
    <cellStyle name="RowTitles-Col2 2 2 2 2 3 3 2 2" xfId="13638"/>
    <cellStyle name="RowTitles-Col2 2 2 2 2 3 3 2_Tertiary Salaries Survey" xfId="13639"/>
    <cellStyle name="RowTitles-Col2 2 2 2 2 3 3 3" xfId="13640"/>
    <cellStyle name="RowTitles-Col2 2 2 2 2 3 3_Tertiary Salaries Survey" xfId="13641"/>
    <cellStyle name="RowTitles-Col2 2 2 2 2 3 4" xfId="13642"/>
    <cellStyle name="RowTitles-Col2 2 2 2 2 3 5" xfId="13643"/>
    <cellStyle name="RowTitles-Col2 2 2 2 2 3 5 2" xfId="13644"/>
    <cellStyle name="RowTitles-Col2 2 2 2 2 3 5_Tertiary Salaries Survey" xfId="13645"/>
    <cellStyle name="RowTitles-Col2 2 2 2 2 3 6" xfId="13646"/>
    <cellStyle name="RowTitles-Col2 2 2 2 2 3_Tertiary Salaries Survey" xfId="13647"/>
    <cellStyle name="RowTitles-Col2 2 2 2 2 4" xfId="13648"/>
    <cellStyle name="RowTitles-Col2 2 2 2 2 4 2" xfId="13649"/>
    <cellStyle name="RowTitles-Col2 2 2 2 2 4 2 2" xfId="13650"/>
    <cellStyle name="RowTitles-Col2 2 2 2 2 4 2 2 2" xfId="13651"/>
    <cellStyle name="RowTitles-Col2 2 2 2 2 4 2 2_Tertiary Salaries Survey" xfId="13652"/>
    <cellStyle name="RowTitles-Col2 2 2 2 2 4 2 3" xfId="13653"/>
    <cellStyle name="RowTitles-Col2 2 2 2 2 4 2_Tertiary Salaries Survey" xfId="13654"/>
    <cellStyle name="RowTitles-Col2 2 2 2 2 4 3" xfId="13655"/>
    <cellStyle name="RowTitles-Col2 2 2 2 2 4 3 2" xfId="13656"/>
    <cellStyle name="RowTitles-Col2 2 2 2 2 4 3 2 2" xfId="13657"/>
    <cellStyle name="RowTitles-Col2 2 2 2 2 4 3 2_Tertiary Salaries Survey" xfId="13658"/>
    <cellStyle name="RowTitles-Col2 2 2 2 2 4 3 3" xfId="13659"/>
    <cellStyle name="RowTitles-Col2 2 2 2 2 4 3_Tertiary Salaries Survey" xfId="13660"/>
    <cellStyle name="RowTitles-Col2 2 2 2 2 4 4" xfId="13661"/>
    <cellStyle name="RowTitles-Col2 2 2 2 2 4 4 2" xfId="13662"/>
    <cellStyle name="RowTitles-Col2 2 2 2 2 4 4_Tertiary Salaries Survey" xfId="13663"/>
    <cellStyle name="RowTitles-Col2 2 2 2 2 4 5" xfId="13664"/>
    <cellStyle name="RowTitles-Col2 2 2 2 2 4_Tertiary Salaries Survey" xfId="13665"/>
    <cellStyle name="RowTitles-Col2 2 2 2 2 5" xfId="13666"/>
    <cellStyle name="RowTitles-Col2 2 2 2 2 5 2" xfId="13667"/>
    <cellStyle name="RowTitles-Col2 2 2 2 2 5 2 2" xfId="13668"/>
    <cellStyle name="RowTitles-Col2 2 2 2 2 5 2 2 2" xfId="13669"/>
    <cellStyle name="RowTitles-Col2 2 2 2 2 5 2 2_Tertiary Salaries Survey" xfId="13670"/>
    <cellStyle name="RowTitles-Col2 2 2 2 2 5 2 3" xfId="13671"/>
    <cellStyle name="RowTitles-Col2 2 2 2 2 5 2_Tertiary Salaries Survey" xfId="13672"/>
    <cellStyle name="RowTitles-Col2 2 2 2 2 5 3" xfId="13673"/>
    <cellStyle name="RowTitles-Col2 2 2 2 2 5 3 2" xfId="13674"/>
    <cellStyle name="RowTitles-Col2 2 2 2 2 5 3 2 2" xfId="13675"/>
    <cellStyle name="RowTitles-Col2 2 2 2 2 5 3 2_Tertiary Salaries Survey" xfId="13676"/>
    <cellStyle name="RowTitles-Col2 2 2 2 2 5 3 3" xfId="13677"/>
    <cellStyle name="RowTitles-Col2 2 2 2 2 5 3_Tertiary Salaries Survey" xfId="13678"/>
    <cellStyle name="RowTitles-Col2 2 2 2 2 5 4" xfId="13679"/>
    <cellStyle name="RowTitles-Col2 2 2 2 2 5 4 2" xfId="13680"/>
    <cellStyle name="RowTitles-Col2 2 2 2 2 5 4_Tertiary Salaries Survey" xfId="13681"/>
    <cellStyle name="RowTitles-Col2 2 2 2 2 5 5" xfId="13682"/>
    <cellStyle name="RowTitles-Col2 2 2 2 2 5_Tertiary Salaries Survey" xfId="13683"/>
    <cellStyle name="RowTitles-Col2 2 2 2 2 6" xfId="13684"/>
    <cellStyle name="RowTitles-Col2 2 2 2 2 6 2" xfId="13685"/>
    <cellStyle name="RowTitles-Col2 2 2 2 2 6 2 2" xfId="13686"/>
    <cellStyle name="RowTitles-Col2 2 2 2 2 6 2 2 2" xfId="13687"/>
    <cellStyle name="RowTitles-Col2 2 2 2 2 6 2 2_Tertiary Salaries Survey" xfId="13688"/>
    <cellStyle name="RowTitles-Col2 2 2 2 2 6 2 3" xfId="13689"/>
    <cellStyle name="RowTitles-Col2 2 2 2 2 6 2_Tertiary Salaries Survey" xfId="13690"/>
    <cellStyle name="RowTitles-Col2 2 2 2 2 6 3" xfId="13691"/>
    <cellStyle name="RowTitles-Col2 2 2 2 2 6 3 2" xfId="13692"/>
    <cellStyle name="RowTitles-Col2 2 2 2 2 6 3 2 2" xfId="13693"/>
    <cellStyle name="RowTitles-Col2 2 2 2 2 6 3 2_Tertiary Salaries Survey" xfId="13694"/>
    <cellStyle name="RowTitles-Col2 2 2 2 2 6 3 3" xfId="13695"/>
    <cellStyle name="RowTitles-Col2 2 2 2 2 6 3_Tertiary Salaries Survey" xfId="13696"/>
    <cellStyle name="RowTitles-Col2 2 2 2 2 6 4" xfId="13697"/>
    <cellStyle name="RowTitles-Col2 2 2 2 2 6 4 2" xfId="13698"/>
    <cellStyle name="RowTitles-Col2 2 2 2 2 6 4_Tertiary Salaries Survey" xfId="13699"/>
    <cellStyle name="RowTitles-Col2 2 2 2 2 6 5" xfId="13700"/>
    <cellStyle name="RowTitles-Col2 2 2 2 2 6_Tertiary Salaries Survey" xfId="13701"/>
    <cellStyle name="RowTitles-Col2 2 2 2 2 7" xfId="13702"/>
    <cellStyle name="RowTitles-Col2 2 2 2 2 7 2" xfId="13703"/>
    <cellStyle name="RowTitles-Col2 2 2 2 2 7 2 2" xfId="13704"/>
    <cellStyle name="RowTitles-Col2 2 2 2 2 7 2_Tertiary Salaries Survey" xfId="13705"/>
    <cellStyle name="RowTitles-Col2 2 2 2 2 7 3" xfId="13706"/>
    <cellStyle name="RowTitles-Col2 2 2 2 2 7_Tertiary Salaries Survey" xfId="13707"/>
    <cellStyle name="RowTitles-Col2 2 2 2 2 8" xfId="13708"/>
    <cellStyle name="RowTitles-Col2 2 2 2 2_STUD aligned by INSTIT" xfId="13709"/>
    <cellStyle name="RowTitles-Col2 2 2 2 3" xfId="13710"/>
    <cellStyle name="RowTitles-Col2 2 2 2 3 2" xfId="13711"/>
    <cellStyle name="RowTitles-Col2 2 2 2 3 2 2" xfId="13712"/>
    <cellStyle name="RowTitles-Col2 2 2 2 3 2 2 2" xfId="13713"/>
    <cellStyle name="RowTitles-Col2 2 2 2 3 2 2 2 2" xfId="13714"/>
    <cellStyle name="RowTitles-Col2 2 2 2 3 2 2 2_Tertiary Salaries Survey" xfId="13715"/>
    <cellStyle name="RowTitles-Col2 2 2 2 3 2 2 3" xfId="13716"/>
    <cellStyle name="RowTitles-Col2 2 2 2 3 2 2_Tertiary Salaries Survey" xfId="13717"/>
    <cellStyle name="RowTitles-Col2 2 2 2 3 2 3" xfId="13718"/>
    <cellStyle name="RowTitles-Col2 2 2 2 3 2 3 2" xfId="13719"/>
    <cellStyle name="RowTitles-Col2 2 2 2 3 2 3 2 2" xfId="13720"/>
    <cellStyle name="RowTitles-Col2 2 2 2 3 2 3 2_Tertiary Salaries Survey" xfId="13721"/>
    <cellStyle name="RowTitles-Col2 2 2 2 3 2 3 3" xfId="13722"/>
    <cellStyle name="RowTitles-Col2 2 2 2 3 2 3_Tertiary Salaries Survey" xfId="13723"/>
    <cellStyle name="RowTitles-Col2 2 2 2 3 2 4" xfId="13724"/>
    <cellStyle name="RowTitles-Col2 2 2 2 3 2 5" xfId="13725"/>
    <cellStyle name="RowTitles-Col2 2 2 2 3 2 5 2" xfId="13726"/>
    <cellStyle name="RowTitles-Col2 2 2 2 3 2 5_Tertiary Salaries Survey" xfId="13727"/>
    <cellStyle name="RowTitles-Col2 2 2 2 3 2 6" xfId="13728"/>
    <cellStyle name="RowTitles-Col2 2 2 2 3 2_Tertiary Salaries Survey" xfId="13729"/>
    <cellStyle name="RowTitles-Col2 2 2 2 3 3" xfId="13730"/>
    <cellStyle name="RowTitles-Col2 2 2 2 3 3 2" xfId="13731"/>
    <cellStyle name="RowTitles-Col2 2 2 2 3 3 2 2" xfId="13732"/>
    <cellStyle name="RowTitles-Col2 2 2 2 3 3 2 2 2" xfId="13733"/>
    <cellStyle name="RowTitles-Col2 2 2 2 3 3 2 2_Tertiary Salaries Survey" xfId="13734"/>
    <cellStyle name="RowTitles-Col2 2 2 2 3 3 2 3" xfId="13735"/>
    <cellStyle name="RowTitles-Col2 2 2 2 3 3 2_Tertiary Salaries Survey" xfId="13736"/>
    <cellStyle name="RowTitles-Col2 2 2 2 3 3 3" xfId="13737"/>
    <cellStyle name="RowTitles-Col2 2 2 2 3 3 3 2" xfId="13738"/>
    <cellStyle name="RowTitles-Col2 2 2 2 3 3 3 2 2" xfId="13739"/>
    <cellStyle name="RowTitles-Col2 2 2 2 3 3 3 2_Tertiary Salaries Survey" xfId="13740"/>
    <cellStyle name="RowTitles-Col2 2 2 2 3 3 3 3" xfId="13741"/>
    <cellStyle name="RowTitles-Col2 2 2 2 3 3 3_Tertiary Salaries Survey" xfId="13742"/>
    <cellStyle name="RowTitles-Col2 2 2 2 3 3 4" xfId="13743"/>
    <cellStyle name="RowTitles-Col2 2 2 2 3 3_Tertiary Salaries Survey" xfId="13744"/>
    <cellStyle name="RowTitles-Col2 2 2 2 3 4" xfId="13745"/>
    <cellStyle name="RowTitles-Col2 2 2 2 3 4 2" xfId="13746"/>
    <cellStyle name="RowTitles-Col2 2 2 2 3 4 2 2" xfId="13747"/>
    <cellStyle name="RowTitles-Col2 2 2 2 3 4 2 2 2" xfId="13748"/>
    <cellStyle name="RowTitles-Col2 2 2 2 3 4 2 2_Tertiary Salaries Survey" xfId="13749"/>
    <cellStyle name="RowTitles-Col2 2 2 2 3 4 2 3" xfId="13750"/>
    <cellStyle name="RowTitles-Col2 2 2 2 3 4 2_Tertiary Salaries Survey" xfId="13751"/>
    <cellStyle name="RowTitles-Col2 2 2 2 3 4 3" xfId="13752"/>
    <cellStyle name="RowTitles-Col2 2 2 2 3 4 3 2" xfId="13753"/>
    <cellStyle name="RowTitles-Col2 2 2 2 3 4 3 2 2" xfId="13754"/>
    <cellStyle name="RowTitles-Col2 2 2 2 3 4 3 2_Tertiary Salaries Survey" xfId="13755"/>
    <cellStyle name="RowTitles-Col2 2 2 2 3 4 3 3" xfId="13756"/>
    <cellStyle name="RowTitles-Col2 2 2 2 3 4 3_Tertiary Salaries Survey" xfId="13757"/>
    <cellStyle name="RowTitles-Col2 2 2 2 3 4 4" xfId="13758"/>
    <cellStyle name="RowTitles-Col2 2 2 2 3 4 4 2" xfId="13759"/>
    <cellStyle name="RowTitles-Col2 2 2 2 3 4 4_Tertiary Salaries Survey" xfId="13760"/>
    <cellStyle name="RowTitles-Col2 2 2 2 3 4 5" xfId="13761"/>
    <cellStyle name="RowTitles-Col2 2 2 2 3 4_Tertiary Salaries Survey" xfId="13762"/>
    <cellStyle name="RowTitles-Col2 2 2 2 3 5" xfId="13763"/>
    <cellStyle name="RowTitles-Col2 2 2 2 3 5 2" xfId="13764"/>
    <cellStyle name="RowTitles-Col2 2 2 2 3 5 2 2" xfId="13765"/>
    <cellStyle name="RowTitles-Col2 2 2 2 3 5 2 2 2" xfId="13766"/>
    <cellStyle name="RowTitles-Col2 2 2 2 3 5 2 2_Tertiary Salaries Survey" xfId="13767"/>
    <cellStyle name="RowTitles-Col2 2 2 2 3 5 2 3" xfId="13768"/>
    <cellStyle name="RowTitles-Col2 2 2 2 3 5 2_Tertiary Salaries Survey" xfId="13769"/>
    <cellStyle name="RowTitles-Col2 2 2 2 3 5 3" xfId="13770"/>
    <cellStyle name="RowTitles-Col2 2 2 2 3 5 3 2" xfId="13771"/>
    <cellStyle name="RowTitles-Col2 2 2 2 3 5 3 2 2" xfId="13772"/>
    <cellStyle name="RowTitles-Col2 2 2 2 3 5 3 2_Tertiary Salaries Survey" xfId="13773"/>
    <cellStyle name="RowTitles-Col2 2 2 2 3 5 3 3" xfId="13774"/>
    <cellStyle name="RowTitles-Col2 2 2 2 3 5 3_Tertiary Salaries Survey" xfId="13775"/>
    <cellStyle name="RowTitles-Col2 2 2 2 3 5 4" xfId="13776"/>
    <cellStyle name="RowTitles-Col2 2 2 2 3 5 4 2" xfId="13777"/>
    <cellStyle name="RowTitles-Col2 2 2 2 3 5 4_Tertiary Salaries Survey" xfId="13778"/>
    <cellStyle name="RowTitles-Col2 2 2 2 3 5 5" xfId="13779"/>
    <cellStyle name="RowTitles-Col2 2 2 2 3 5_Tertiary Salaries Survey" xfId="13780"/>
    <cellStyle name="RowTitles-Col2 2 2 2 3 6" xfId="13781"/>
    <cellStyle name="RowTitles-Col2 2 2 2 3 6 2" xfId="13782"/>
    <cellStyle name="RowTitles-Col2 2 2 2 3 6 2 2" xfId="13783"/>
    <cellStyle name="RowTitles-Col2 2 2 2 3 6 2 2 2" xfId="13784"/>
    <cellStyle name="RowTitles-Col2 2 2 2 3 6 2 2_Tertiary Salaries Survey" xfId="13785"/>
    <cellStyle name="RowTitles-Col2 2 2 2 3 6 2 3" xfId="13786"/>
    <cellStyle name="RowTitles-Col2 2 2 2 3 6 2_Tertiary Salaries Survey" xfId="13787"/>
    <cellStyle name="RowTitles-Col2 2 2 2 3 6 3" xfId="13788"/>
    <cellStyle name="RowTitles-Col2 2 2 2 3 6 3 2" xfId="13789"/>
    <cellStyle name="RowTitles-Col2 2 2 2 3 6 3 2 2" xfId="13790"/>
    <cellStyle name="RowTitles-Col2 2 2 2 3 6 3 2_Tertiary Salaries Survey" xfId="13791"/>
    <cellStyle name="RowTitles-Col2 2 2 2 3 6 3 3" xfId="13792"/>
    <cellStyle name="RowTitles-Col2 2 2 2 3 6 3_Tertiary Salaries Survey" xfId="13793"/>
    <cellStyle name="RowTitles-Col2 2 2 2 3 6 4" xfId="13794"/>
    <cellStyle name="RowTitles-Col2 2 2 2 3 6 4 2" xfId="13795"/>
    <cellStyle name="RowTitles-Col2 2 2 2 3 6 4_Tertiary Salaries Survey" xfId="13796"/>
    <cellStyle name="RowTitles-Col2 2 2 2 3 6 5" xfId="13797"/>
    <cellStyle name="RowTitles-Col2 2 2 2 3 6_Tertiary Salaries Survey" xfId="13798"/>
    <cellStyle name="RowTitles-Col2 2 2 2 3 7" xfId="13799"/>
    <cellStyle name="RowTitles-Col2 2 2 2 3 7 2" xfId="13800"/>
    <cellStyle name="RowTitles-Col2 2 2 2 3 7 2 2" xfId="13801"/>
    <cellStyle name="RowTitles-Col2 2 2 2 3 7 2_Tertiary Salaries Survey" xfId="13802"/>
    <cellStyle name="RowTitles-Col2 2 2 2 3 7 3" xfId="13803"/>
    <cellStyle name="RowTitles-Col2 2 2 2 3 7_Tertiary Salaries Survey" xfId="13804"/>
    <cellStyle name="RowTitles-Col2 2 2 2 3 8" xfId="13805"/>
    <cellStyle name="RowTitles-Col2 2 2 2 3 8 2" xfId="13806"/>
    <cellStyle name="RowTitles-Col2 2 2 2 3 8 2 2" xfId="13807"/>
    <cellStyle name="RowTitles-Col2 2 2 2 3 8 2_Tertiary Salaries Survey" xfId="13808"/>
    <cellStyle name="RowTitles-Col2 2 2 2 3 8 3" xfId="13809"/>
    <cellStyle name="RowTitles-Col2 2 2 2 3 8_Tertiary Salaries Survey" xfId="13810"/>
    <cellStyle name="RowTitles-Col2 2 2 2 3_STUD aligned by INSTIT" xfId="13811"/>
    <cellStyle name="RowTitles-Col2 2 2 2 4" xfId="13812"/>
    <cellStyle name="RowTitles-Col2 2 2 2 4 2" xfId="13813"/>
    <cellStyle name="RowTitles-Col2 2 2 2 4 2 2" xfId="13814"/>
    <cellStyle name="RowTitles-Col2 2 2 2 4 2 2 2" xfId="13815"/>
    <cellStyle name="RowTitles-Col2 2 2 2 4 2 2 2 2" xfId="13816"/>
    <cellStyle name="RowTitles-Col2 2 2 2 4 2 2 2_Tertiary Salaries Survey" xfId="13817"/>
    <cellStyle name="RowTitles-Col2 2 2 2 4 2 2 3" xfId="13818"/>
    <cellStyle name="RowTitles-Col2 2 2 2 4 2 2_Tertiary Salaries Survey" xfId="13819"/>
    <cellStyle name="RowTitles-Col2 2 2 2 4 2 3" xfId="13820"/>
    <cellStyle name="RowTitles-Col2 2 2 2 4 2 3 2" xfId="13821"/>
    <cellStyle name="RowTitles-Col2 2 2 2 4 2 3 2 2" xfId="13822"/>
    <cellStyle name="RowTitles-Col2 2 2 2 4 2 3 2_Tertiary Salaries Survey" xfId="13823"/>
    <cellStyle name="RowTitles-Col2 2 2 2 4 2 3 3" xfId="13824"/>
    <cellStyle name="RowTitles-Col2 2 2 2 4 2 3_Tertiary Salaries Survey" xfId="13825"/>
    <cellStyle name="RowTitles-Col2 2 2 2 4 2 4" xfId="13826"/>
    <cellStyle name="RowTitles-Col2 2 2 2 4 2 5" xfId="13827"/>
    <cellStyle name="RowTitles-Col2 2 2 2 4 2 5 2" xfId="13828"/>
    <cellStyle name="RowTitles-Col2 2 2 2 4 2 5_Tertiary Salaries Survey" xfId="13829"/>
    <cellStyle name="RowTitles-Col2 2 2 2 4 2_Tertiary Salaries Survey" xfId="13830"/>
    <cellStyle name="RowTitles-Col2 2 2 2 4 3" xfId="13831"/>
    <cellStyle name="RowTitles-Col2 2 2 2 4 3 2" xfId="13832"/>
    <cellStyle name="RowTitles-Col2 2 2 2 4 3 2 2" xfId="13833"/>
    <cellStyle name="RowTitles-Col2 2 2 2 4 3 2 2 2" xfId="13834"/>
    <cellStyle name="RowTitles-Col2 2 2 2 4 3 2 2_Tertiary Salaries Survey" xfId="13835"/>
    <cellStyle name="RowTitles-Col2 2 2 2 4 3 2 3" xfId="13836"/>
    <cellStyle name="RowTitles-Col2 2 2 2 4 3 2_Tertiary Salaries Survey" xfId="13837"/>
    <cellStyle name="RowTitles-Col2 2 2 2 4 3 3" xfId="13838"/>
    <cellStyle name="RowTitles-Col2 2 2 2 4 3 3 2" xfId="13839"/>
    <cellStyle name="RowTitles-Col2 2 2 2 4 3 3 2 2" xfId="13840"/>
    <cellStyle name="RowTitles-Col2 2 2 2 4 3 3 2_Tertiary Salaries Survey" xfId="13841"/>
    <cellStyle name="RowTitles-Col2 2 2 2 4 3 3 3" xfId="13842"/>
    <cellStyle name="RowTitles-Col2 2 2 2 4 3 3_Tertiary Salaries Survey" xfId="13843"/>
    <cellStyle name="RowTitles-Col2 2 2 2 4 3 4" xfId="13844"/>
    <cellStyle name="RowTitles-Col2 2 2 2 4 3 5" xfId="13845"/>
    <cellStyle name="RowTitles-Col2 2 2 2 4 3_Tertiary Salaries Survey" xfId="13846"/>
    <cellStyle name="RowTitles-Col2 2 2 2 4 4" xfId="13847"/>
    <cellStyle name="RowTitles-Col2 2 2 2 4 4 2" xfId="13848"/>
    <cellStyle name="RowTitles-Col2 2 2 2 4 4 2 2" xfId="13849"/>
    <cellStyle name="RowTitles-Col2 2 2 2 4 4 2 2 2" xfId="13850"/>
    <cellStyle name="RowTitles-Col2 2 2 2 4 4 2 2_Tertiary Salaries Survey" xfId="13851"/>
    <cellStyle name="RowTitles-Col2 2 2 2 4 4 2 3" xfId="13852"/>
    <cellStyle name="RowTitles-Col2 2 2 2 4 4 2_Tertiary Salaries Survey" xfId="13853"/>
    <cellStyle name="RowTitles-Col2 2 2 2 4 4 3" xfId="13854"/>
    <cellStyle name="RowTitles-Col2 2 2 2 4 4 3 2" xfId="13855"/>
    <cellStyle name="RowTitles-Col2 2 2 2 4 4 3 2 2" xfId="13856"/>
    <cellStyle name="RowTitles-Col2 2 2 2 4 4 3 2_Tertiary Salaries Survey" xfId="13857"/>
    <cellStyle name="RowTitles-Col2 2 2 2 4 4 3 3" xfId="13858"/>
    <cellStyle name="RowTitles-Col2 2 2 2 4 4 3_Tertiary Salaries Survey" xfId="13859"/>
    <cellStyle name="RowTitles-Col2 2 2 2 4 4 4" xfId="13860"/>
    <cellStyle name="RowTitles-Col2 2 2 2 4 4 5" xfId="13861"/>
    <cellStyle name="RowTitles-Col2 2 2 2 4 4 5 2" xfId="13862"/>
    <cellStyle name="RowTitles-Col2 2 2 2 4 4 5_Tertiary Salaries Survey" xfId="13863"/>
    <cellStyle name="RowTitles-Col2 2 2 2 4 4 6" xfId="13864"/>
    <cellStyle name="RowTitles-Col2 2 2 2 4 4_Tertiary Salaries Survey" xfId="13865"/>
    <cellStyle name="RowTitles-Col2 2 2 2 4 5" xfId="13866"/>
    <cellStyle name="RowTitles-Col2 2 2 2 4 5 2" xfId="13867"/>
    <cellStyle name="RowTitles-Col2 2 2 2 4 5 2 2" xfId="13868"/>
    <cellStyle name="RowTitles-Col2 2 2 2 4 5 2 2 2" xfId="13869"/>
    <cellStyle name="RowTitles-Col2 2 2 2 4 5 2 2_Tertiary Salaries Survey" xfId="13870"/>
    <cellStyle name="RowTitles-Col2 2 2 2 4 5 2 3" xfId="13871"/>
    <cellStyle name="RowTitles-Col2 2 2 2 4 5 2_Tertiary Salaries Survey" xfId="13872"/>
    <cellStyle name="RowTitles-Col2 2 2 2 4 5 3" xfId="13873"/>
    <cellStyle name="RowTitles-Col2 2 2 2 4 5 3 2" xfId="13874"/>
    <cellStyle name="RowTitles-Col2 2 2 2 4 5 3 2 2" xfId="13875"/>
    <cellStyle name="RowTitles-Col2 2 2 2 4 5 3 2_Tertiary Salaries Survey" xfId="13876"/>
    <cellStyle name="RowTitles-Col2 2 2 2 4 5 3 3" xfId="13877"/>
    <cellStyle name="RowTitles-Col2 2 2 2 4 5 3_Tertiary Salaries Survey" xfId="13878"/>
    <cellStyle name="RowTitles-Col2 2 2 2 4 5 4" xfId="13879"/>
    <cellStyle name="RowTitles-Col2 2 2 2 4 5 4 2" xfId="13880"/>
    <cellStyle name="RowTitles-Col2 2 2 2 4 5 4_Tertiary Salaries Survey" xfId="13881"/>
    <cellStyle name="RowTitles-Col2 2 2 2 4 5 5" xfId="13882"/>
    <cellStyle name="RowTitles-Col2 2 2 2 4 5_Tertiary Salaries Survey" xfId="13883"/>
    <cellStyle name="RowTitles-Col2 2 2 2 4 6" xfId="13884"/>
    <cellStyle name="RowTitles-Col2 2 2 2 4 6 2" xfId="13885"/>
    <cellStyle name="RowTitles-Col2 2 2 2 4 6 2 2" xfId="13886"/>
    <cellStyle name="RowTitles-Col2 2 2 2 4 6 2 2 2" xfId="13887"/>
    <cellStyle name="RowTitles-Col2 2 2 2 4 6 2 2_Tertiary Salaries Survey" xfId="13888"/>
    <cellStyle name="RowTitles-Col2 2 2 2 4 6 2 3" xfId="13889"/>
    <cellStyle name="RowTitles-Col2 2 2 2 4 6 2_Tertiary Salaries Survey" xfId="13890"/>
    <cellStyle name="RowTitles-Col2 2 2 2 4 6 3" xfId="13891"/>
    <cellStyle name="RowTitles-Col2 2 2 2 4 6 3 2" xfId="13892"/>
    <cellStyle name="RowTitles-Col2 2 2 2 4 6 3 2 2" xfId="13893"/>
    <cellStyle name="RowTitles-Col2 2 2 2 4 6 3 2_Tertiary Salaries Survey" xfId="13894"/>
    <cellStyle name="RowTitles-Col2 2 2 2 4 6 3 3" xfId="13895"/>
    <cellStyle name="RowTitles-Col2 2 2 2 4 6 3_Tertiary Salaries Survey" xfId="13896"/>
    <cellStyle name="RowTitles-Col2 2 2 2 4 6 4" xfId="13897"/>
    <cellStyle name="RowTitles-Col2 2 2 2 4 6 4 2" xfId="13898"/>
    <cellStyle name="RowTitles-Col2 2 2 2 4 6 4_Tertiary Salaries Survey" xfId="13899"/>
    <cellStyle name="RowTitles-Col2 2 2 2 4 6 5" xfId="13900"/>
    <cellStyle name="RowTitles-Col2 2 2 2 4 6_Tertiary Salaries Survey" xfId="13901"/>
    <cellStyle name="RowTitles-Col2 2 2 2 4 7" xfId="13902"/>
    <cellStyle name="RowTitles-Col2 2 2 2 4 7 2" xfId="13903"/>
    <cellStyle name="RowTitles-Col2 2 2 2 4 7 2 2" xfId="13904"/>
    <cellStyle name="RowTitles-Col2 2 2 2 4 7 2_Tertiary Salaries Survey" xfId="13905"/>
    <cellStyle name="RowTitles-Col2 2 2 2 4 7 3" xfId="13906"/>
    <cellStyle name="RowTitles-Col2 2 2 2 4 7_Tertiary Salaries Survey" xfId="13907"/>
    <cellStyle name="RowTitles-Col2 2 2 2 4 8" xfId="13908"/>
    <cellStyle name="RowTitles-Col2 2 2 2 4_STUD aligned by INSTIT" xfId="13909"/>
    <cellStyle name="RowTitles-Col2 2 2 2 5" xfId="13910"/>
    <cellStyle name="RowTitles-Col2 2 2 2 5 2" xfId="13911"/>
    <cellStyle name="RowTitles-Col2 2 2 2 5 2 2" xfId="13912"/>
    <cellStyle name="RowTitles-Col2 2 2 2 5 2 2 2" xfId="13913"/>
    <cellStyle name="RowTitles-Col2 2 2 2 5 2 2_Tertiary Salaries Survey" xfId="13914"/>
    <cellStyle name="RowTitles-Col2 2 2 2 5 2 3" xfId="13915"/>
    <cellStyle name="RowTitles-Col2 2 2 2 5 2_Tertiary Salaries Survey" xfId="13916"/>
    <cellStyle name="RowTitles-Col2 2 2 2 5 3" xfId="13917"/>
    <cellStyle name="RowTitles-Col2 2 2 2 5 3 2" xfId="13918"/>
    <cellStyle name="RowTitles-Col2 2 2 2 5 3 2 2" xfId="13919"/>
    <cellStyle name="RowTitles-Col2 2 2 2 5 3 2_Tertiary Salaries Survey" xfId="13920"/>
    <cellStyle name="RowTitles-Col2 2 2 2 5 3 3" xfId="13921"/>
    <cellStyle name="RowTitles-Col2 2 2 2 5 3_Tertiary Salaries Survey" xfId="13922"/>
    <cellStyle name="RowTitles-Col2 2 2 2 5 4" xfId="13923"/>
    <cellStyle name="RowTitles-Col2 2 2 2 5 5" xfId="13924"/>
    <cellStyle name="RowTitles-Col2 2 2 2 5 5 2" xfId="13925"/>
    <cellStyle name="RowTitles-Col2 2 2 2 5 5_Tertiary Salaries Survey" xfId="13926"/>
    <cellStyle name="RowTitles-Col2 2 2 2 5_Tertiary Salaries Survey" xfId="13927"/>
    <cellStyle name="RowTitles-Col2 2 2 2 6" xfId="13928"/>
    <cellStyle name="RowTitles-Col2 2 2 2 6 2" xfId="13929"/>
    <cellStyle name="RowTitles-Col2 2 2 2 6 2 2" xfId="13930"/>
    <cellStyle name="RowTitles-Col2 2 2 2 6 2 2 2" xfId="13931"/>
    <cellStyle name="RowTitles-Col2 2 2 2 6 2 2_Tertiary Salaries Survey" xfId="13932"/>
    <cellStyle name="RowTitles-Col2 2 2 2 6 2 3" xfId="13933"/>
    <cellStyle name="RowTitles-Col2 2 2 2 6 2_Tertiary Salaries Survey" xfId="13934"/>
    <cellStyle name="RowTitles-Col2 2 2 2 6 3" xfId="13935"/>
    <cellStyle name="RowTitles-Col2 2 2 2 6 3 2" xfId="13936"/>
    <cellStyle name="RowTitles-Col2 2 2 2 6 3 2 2" xfId="13937"/>
    <cellStyle name="RowTitles-Col2 2 2 2 6 3 2_Tertiary Salaries Survey" xfId="13938"/>
    <cellStyle name="RowTitles-Col2 2 2 2 6 3 3" xfId="13939"/>
    <cellStyle name="RowTitles-Col2 2 2 2 6 3_Tertiary Salaries Survey" xfId="13940"/>
    <cellStyle name="RowTitles-Col2 2 2 2 6 4" xfId="13941"/>
    <cellStyle name="RowTitles-Col2 2 2 2 6 5" xfId="13942"/>
    <cellStyle name="RowTitles-Col2 2 2 2 6_Tertiary Salaries Survey" xfId="13943"/>
    <cellStyle name="RowTitles-Col2 2 2 2 7" xfId="13944"/>
    <cellStyle name="RowTitles-Col2 2 2 2 7 2" xfId="13945"/>
    <cellStyle name="RowTitles-Col2 2 2 2 7 2 2" xfId="13946"/>
    <cellStyle name="RowTitles-Col2 2 2 2 7 2 2 2" xfId="13947"/>
    <cellStyle name="RowTitles-Col2 2 2 2 7 2 2_Tertiary Salaries Survey" xfId="13948"/>
    <cellStyle name="RowTitles-Col2 2 2 2 7 2 3" xfId="13949"/>
    <cellStyle name="RowTitles-Col2 2 2 2 7 2_Tertiary Salaries Survey" xfId="13950"/>
    <cellStyle name="RowTitles-Col2 2 2 2 7 3" xfId="13951"/>
    <cellStyle name="RowTitles-Col2 2 2 2 7 3 2" xfId="13952"/>
    <cellStyle name="RowTitles-Col2 2 2 2 7 3 2 2" xfId="13953"/>
    <cellStyle name="RowTitles-Col2 2 2 2 7 3 2_Tertiary Salaries Survey" xfId="13954"/>
    <cellStyle name="RowTitles-Col2 2 2 2 7 3 3" xfId="13955"/>
    <cellStyle name="RowTitles-Col2 2 2 2 7 3_Tertiary Salaries Survey" xfId="13956"/>
    <cellStyle name="RowTitles-Col2 2 2 2 7 4" xfId="13957"/>
    <cellStyle name="RowTitles-Col2 2 2 2 7 5" xfId="13958"/>
    <cellStyle name="RowTitles-Col2 2 2 2 7 5 2" xfId="13959"/>
    <cellStyle name="RowTitles-Col2 2 2 2 7 5_Tertiary Salaries Survey" xfId="13960"/>
    <cellStyle name="RowTitles-Col2 2 2 2 7 6" xfId="13961"/>
    <cellStyle name="RowTitles-Col2 2 2 2 7_Tertiary Salaries Survey" xfId="13962"/>
    <cellStyle name="RowTitles-Col2 2 2 2 8" xfId="13963"/>
    <cellStyle name="RowTitles-Col2 2 2 2 8 2" xfId="13964"/>
    <cellStyle name="RowTitles-Col2 2 2 2 8 2 2" xfId="13965"/>
    <cellStyle name="RowTitles-Col2 2 2 2 8 2 2 2" xfId="13966"/>
    <cellStyle name="RowTitles-Col2 2 2 2 8 2 2_Tertiary Salaries Survey" xfId="13967"/>
    <cellStyle name="RowTitles-Col2 2 2 2 8 2 3" xfId="13968"/>
    <cellStyle name="RowTitles-Col2 2 2 2 8 2_Tertiary Salaries Survey" xfId="13969"/>
    <cellStyle name="RowTitles-Col2 2 2 2 8 3" xfId="13970"/>
    <cellStyle name="RowTitles-Col2 2 2 2 8 3 2" xfId="13971"/>
    <cellStyle name="RowTitles-Col2 2 2 2 8 3 2 2" xfId="13972"/>
    <cellStyle name="RowTitles-Col2 2 2 2 8 3 2_Tertiary Salaries Survey" xfId="13973"/>
    <cellStyle name="RowTitles-Col2 2 2 2 8 3 3" xfId="13974"/>
    <cellStyle name="RowTitles-Col2 2 2 2 8 3_Tertiary Salaries Survey" xfId="13975"/>
    <cellStyle name="RowTitles-Col2 2 2 2 8 4" xfId="13976"/>
    <cellStyle name="RowTitles-Col2 2 2 2 8 4 2" xfId="13977"/>
    <cellStyle name="RowTitles-Col2 2 2 2 8 4_Tertiary Salaries Survey" xfId="13978"/>
    <cellStyle name="RowTitles-Col2 2 2 2 8 5" xfId="13979"/>
    <cellStyle name="RowTitles-Col2 2 2 2 8_Tertiary Salaries Survey" xfId="13980"/>
    <cellStyle name="RowTitles-Col2 2 2 2 9" xfId="13981"/>
    <cellStyle name="RowTitles-Col2 2 2 2 9 2" xfId="13982"/>
    <cellStyle name="RowTitles-Col2 2 2 2 9 2 2" xfId="13983"/>
    <cellStyle name="RowTitles-Col2 2 2 2 9 2 2 2" xfId="13984"/>
    <cellStyle name="RowTitles-Col2 2 2 2 9 2 2_Tertiary Salaries Survey" xfId="13985"/>
    <cellStyle name="RowTitles-Col2 2 2 2 9 2 3" xfId="13986"/>
    <cellStyle name="RowTitles-Col2 2 2 2 9 2_Tertiary Salaries Survey" xfId="13987"/>
    <cellStyle name="RowTitles-Col2 2 2 2 9 3" xfId="13988"/>
    <cellStyle name="RowTitles-Col2 2 2 2 9 3 2" xfId="13989"/>
    <cellStyle name="RowTitles-Col2 2 2 2 9 3 2 2" xfId="13990"/>
    <cellStyle name="RowTitles-Col2 2 2 2 9 3 2_Tertiary Salaries Survey" xfId="13991"/>
    <cellStyle name="RowTitles-Col2 2 2 2 9 3 3" xfId="13992"/>
    <cellStyle name="RowTitles-Col2 2 2 2 9 3_Tertiary Salaries Survey" xfId="13993"/>
    <cellStyle name="RowTitles-Col2 2 2 2 9 4" xfId="13994"/>
    <cellStyle name="RowTitles-Col2 2 2 2 9 4 2" xfId="13995"/>
    <cellStyle name="RowTitles-Col2 2 2 2 9 4_Tertiary Salaries Survey" xfId="13996"/>
    <cellStyle name="RowTitles-Col2 2 2 2 9 5" xfId="13997"/>
    <cellStyle name="RowTitles-Col2 2 2 2 9_Tertiary Salaries Survey" xfId="13998"/>
    <cellStyle name="RowTitles-Col2 2 2 2_STUD aligned by INSTIT" xfId="13999"/>
    <cellStyle name="RowTitles-Col2 2 2 3" xfId="14000"/>
    <cellStyle name="RowTitles-Col2 2 2 3 2" xfId="14001"/>
    <cellStyle name="RowTitles-Col2 2 2 3 2 2" xfId="14002"/>
    <cellStyle name="RowTitles-Col2 2 2 3 2 2 2" xfId="14003"/>
    <cellStyle name="RowTitles-Col2 2 2 3 2 2 2 2" xfId="14004"/>
    <cellStyle name="RowTitles-Col2 2 2 3 2 2 2_Tertiary Salaries Survey" xfId="14005"/>
    <cellStyle name="RowTitles-Col2 2 2 3 2 2 3" xfId="14006"/>
    <cellStyle name="RowTitles-Col2 2 2 3 2 2_Tertiary Salaries Survey" xfId="14007"/>
    <cellStyle name="RowTitles-Col2 2 2 3 2 3" xfId="14008"/>
    <cellStyle name="RowTitles-Col2 2 2 3 2 3 2" xfId="14009"/>
    <cellStyle name="RowTitles-Col2 2 2 3 2 3 2 2" xfId="14010"/>
    <cellStyle name="RowTitles-Col2 2 2 3 2 3 2_Tertiary Salaries Survey" xfId="14011"/>
    <cellStyle name="RowTitles-Col2 2 2 3 2 3 3" xfId="14012"/>
    <cellStyle name="RowTitles-Col2 2 2 3 2 3_Tertiary Salaries Survey" xfId="14013"/>
    <cellStyle name="RowTitles-Col2 2 2 3 2 4" xfId="14014"/>
    <cellStyle name="RowTitles-Col2 2 2 3 2_Tertiary Salaries Survey" xfId="14015"/>
    <cellStyle name="RowTitles-Col2 2 2 3 3" xfId="14016"/>
    <cellStyle name="RowTitles-Col2 2 2 3 3 2" xfId="14017"/>
    <cellStyle name="RowTitles-Col2 2 2 3 3 2 2" xfId="14018"/>
    <cellStyle name="RowTitles-Col2 2 2 3 3 2 2 2" xfId="14019"/>
    <cellStyle name="RowTitles-Col2 2 2 3 3 2 2_Tertiary Salaries Survey" xfId="14020"/>
    <cellStyle name="RowTitles-Col2 2 2 3 3 2 3" xfId="14021"/>
    <cellStyle name="RowTitles-Col2 2 2 3 3 2_Tertiary Salaries Survey" xfId="14022"/>
    <cellStyle name="RowTitles-Col2 2 2 3 3 3" xfId="14023"/>
    <cellStyle name="RowTitles-Col2 2 2 3 3 3 2" xfId="14024"/>
    <cellStyle name="RowTitles-Col2 2 2 3 3 3 2 2" xfId="14025"/>
    <cellStyle name="RowTitles-Col2 2 2 3 3 3 2_Tertiary Salaries Survey" xfId="14026"/>
    <cellStyle name="RowTitles-Col2 2 2 3 3 3 3" xfId="14027"/>
    <cellStyle name="RowTitles-Col2 2 2 3 3 3_Tertiary Salaries Survey" xfId="14028"/>
    <cellStyle name="RowTitles-Col2 2 2 3 3 4" xfId="14029"/>
    <cellStyle name="RowTitles-Col2 2 2 3 3 5" xfId="14030"/>
    <cellStyle name="RowTitles-Col2 2 2 3 3 5 2" xfId="14031"/>
    <cellStyle name="RowTitles-Col2 2 2 3 3 5_Tertiary Salaries Survey" xfId="14032"/>
    <cellStyle name="RowTitles-Col2 2 2 3 3 6" xfId="14033"/>
    <cellStyle name="RowTitles-Col2 2 2 3 3_Tertiary Salaries Survey" xfId="14034"/>
    <cellStyle name="RowTitles-Col2 2 2 3 4" xfId="14035"/>
    <cellStyle name="RowTitles-Col2 2 2 3 4 2" xfId="14036"/>
    <cellStyle name="RowTitles-Col2 2 2 3 4 2 2" xfId="14037"/>
    <cellStyle name="RowTitles-Col2 2 2 3 4 2 2 2" xfId="14038"/>
    <cellStyle name="RowTitles-Col2 2 2 3 4 2 2_Tertiary Salaries Survey" xfId="14039"/>
    <cellStyle name="RowTitles-Col2 2 2 3 4 2 3" xfId="14040"/>
    <cellStyle name="RowTitles-Col2 2 2 3 4 2_Tertiary Salaries Survey" xfId="14041"/>
    <cellStyle name="RowTitles-Col2 2 2 3 4 3" xfId="14042"/>
    <cellStyle name="RowTitles-Col2 2 2 3 4 3 2" xfId="14043"/>
    <cellStyle name="RowTitles-Col2 2 2 3 4 3 2 2" xfId="14044"/>
    <cellStyle name="RowTitles-Col2 2 2 3 4 3 2_Tertiary Salaries Survey" xfId="14045"/>
    <cellStyle name="RowTitles-Col2 2 2 3 4 3 3" xfId="14046"/>
    <cellStyle name="RowTitles-Col2 2 2 3 4 3_Tertiary Salaries Survey" xfId="14047"/>
    <cellStyle name="RowTitles-Col2 2 2 3 4 4" xfId="14048"/>
    <cellStyle name="RowTitles-Col2 2 2 3 4 4 2" xfId="14049"/>
    <cellStyle name="RowTitles-Col2 2 2 3 4 4_Tertiary Salaries Survey" xfId="14050"/>
    <cellStyle name="RowTitles-Col2 2 2 3 4 5" xfId="14051"/>
    <cellStyle name="RowTitles-Col2 2 2 3 4_Tertiary Salaries Survey" xfId="14052"/>
    <cellStyle name="RowTitles-Col2 2 2 3 5" xfId="14053"/>
    <cellStyle name="RowTitles-Col2 2 2 3 5 2" xfId="14054"/>
    <cellStyle name="RowTitles-Col2 2 2 3 5 2 2" xfId="14055"/>
    <cellStyle name="RowTitles-Col2 2 2 3 5 2 2 2" xfId="14056"/>
    <cellStyle name="RowTitles-Col2 2 2 3 5 2 2_Tertiary Salaries Survey" xfId="14057"/>
    <cellStyle name="RowTitles-Col2 2 2 3 5 2 3" xfId="14058"/>
    <cellStyle name="RowTitles-Col2 2 2 3 5 2_Tertiary Salaries Survey" xfId="14059"/>
    <cellStyle name="RowTitles-Col2 2 2 3 5 3" xfId="14060"/>
    <cellStyle name="RowTitles-Col2 2 2 3 5 3 2" xfId="14061"/>
    <cellStyle name="RowTitles-Col2 2 2 3 5 3 2 2" xfId="14062"/>
    <cellStyle name="RowTitles-Col2 2 2 3 5 3 2_Tertiary Salaries Survey" xfId="14063"/>
    <cellStyle name="RowTitles-Col2 2 2 3 5 3 3" xfId="14064"/>
    <cellStyle name="RowTitles-Col2 2 2 3 5 3_Tertiary Salaries Survey" xfId="14065"/>
    <cellStyle name="RowTitles-Col2 2 2 3 5 4" xfId="14066"/>
    <cellStyle name="RowTitles-Col2 2 2 3 5 4 2" xfId="14067"/>
    <cellStyle name="RowTitles-Col2 2 2 3 5 4_Tertiary Salaries Survey" xfId="14068"/>
    <cellStyle name="RowTitles-Col2 2 2 3 5 5" xfId="14069"/>
    <cellStyle name="RowTitles-Col2 2 2 3 5_Tertiary Salaries Survey" xfId="14070"/>
    <cellStyle name="RowTitles-Col2 2 2 3 6" xfId="14071"/>
    <cellStyle name="RowTitles-Col2 2 2 3 6 2" xfId="14072"/>
    <cellStyle name="RowTitles-Col2 2 2 3 6 2 2" xfId="14073"/>
    <cellStyle name="RowTitles-Col2 2 2 3 6 2 2 2" xfId="14074"/>
    <cellStyle name="RowTitles-Col2 2 2 3 6 2 2_Tertiary Salaries Survey" xfId="14075"/>
    <cellStyle name="RowTitles-Col2 2 2 3 6 2 3" xfId="14076"/>
    <cellStyle name="RowTitles-Col2 2 2 3 6 2_Tertiary Salaries Survey" xfId="14077"/>
    <cellStyle name="RowTitles-Col2 2 2 3 6 3" xfId="14078"/>
    <cellStyle name="RowTitles-Col2 2 2 3 6 3 2" xfId="14079"/>
    <cellStyle name="RowTitles-Col2 2 2 3 6 3 2 2" xfId="14080"/>
    <cellStyle name="RowTitles-Col2 2 2 3 6 3 2_Tertiary Salaries Survey" xfId="14081"/>
    <cellStyle name="RowTitles-Col2 2 2 3 6 3 3" xfId="14082"/>
    <cellStyle name="RowTitles-Col2 2 2 3 6 3_Tertiary Salaries Survey" xfId="14083"/>
    <cellStyle name="RowTitles-Col2 2 2 3 6 4" xfId="14084"/>
    <cellStyle name="RowTitles-Col2 2 2 3 6 4 2" xfId="14085"/>
    <cellStyle name="RowTitles-Col2 2 2 3 6 4_Tertiary Salaries Survey" xfId="14086"/>
    <cellStyle name="RowTitles-Col2 2 2 3 6 5" xfId="14087"/>
    <cellStyle name="RowTitles-Col2 2 2 3 6_Tertiary Salaries Survey" xfId="14088"/>
    <cellStyle name="RowTitles-Col2 2 2 3 7" xfId="14089"/>
    <cellStyle name="RowTitles-Col2 2 2 3 7 2" xfId="14090"/>
    <cellStyle name="RowTitles-Col2 2 2 3 7 2 2" xfId="14091"/>
    <cellStyle name="RowTitles-Col2 2 2 3 7 2_Tertiary Salaries Survey" xfId="14092"/>
    <cellStyle name="RowTitles-Col2 2 2 3 7 3" xfId="14093"/>
    <cellStyle name="RowTitles-Col2 2 2 3 7_Tertiary Salaries Survey" xfId="14094"/>
    <cellStyle name="RowTitles-Col2 2 2 3 8" xfId="14095"/>
    <cellStyle name="RowTitles-Col2 2 2 3_STUD aligned by INSTIT" xfId="14096"/>
    <cellStyle name="RowTitles-Col2 2 2 4" xfId="14097"/>
    <cellStyle name="RowTitles-Col2 2 2 4 2" xfId="14098"/>
    <cellStyle name="RowTitles-Col2 2 2 4 2 2" xfId="14099"/>
    <cellStyle name="RowTitles-Col2 2 2 4 2 2 2" xfId="14100"/>
    <cellStyle name="RowTitles-Col2 2 2 4 2 2 2 2" xfId="14101"/>
    <cellStyle name="RowTitles-Col2 2 2 4 2 2 2_Tertiary Salaries Survey" xfId="14102"/>
    <cellStyle name="RowTitles-Col2 2 2 4 2 2 3" xfId="14103"/>
    <cellStyle name="RowTitles-Col2 2 2 4 2 2_Tertiary Salaries Survey" xfId="14104"/>
    <cellStyle name="RowTitles-Col2 2 2 4 2 3" xfId="14105"/>
    <cellStyle name="RowTitles-Col2 2 2 4 2 3 2" xfId="14106"/>
    <cellStyle name="RowTitles-Col2 2 2 4 2 3 2 2" xfId="14107"/>
    <cellStyle name="RowTitles-Col2 2 2 4 2 3 2_Tertiary Salaries Survey" xfId="14108"/>
    <cellStyle name="RowTitles-Col2 2 2 4 2 3 3" xfId="14109"/>
    <cellStyle name="RowTitles-Col2 2 2 4 2 3_Tertiary Salaries Survey" xfId="14110"/>
    <cellStyle name="RowTitles-Col2 2 2 4 2 4" xfId="14111"/>
    <cellStyle name="RowTitles-Col2 2 2 4 2 5" xfId="14112"/>
    <cellStyle name="RowTitles-Col2 2 2 4 2 5 2" xfId="14113"/>
    <cellStyle name="RowTitles-Col2 2 2 4 2 5_Tertiary Salaries Survey" xfId="14114"/>
    <cellStyle name="RowTitles-Col2 2 2 4 2 6" xfId="14115"/>
    <cellStyle name="RowTitles-Col2 2 2 4 2_Tertiary Salaries Survey" xfId="14116"/>
    <cellStyle name="RowTitles-Col2 2 2 4 3" xfId="14117"/>
    <cellStyle name="RowTitles-Col2 2 2 4 3 2" xfId="14118"/>
    <cellStyle name="RowTitles-Col2 2 2 4 3 2 2" xfId="14119"/>
    <cellStyle name="RowTitles-Col2 2 2 4 3 2 2 2" xfId="14120"/>
    <cellStyle name="RowTitles-Col2 2 2 4 3 2 2_Tertiary Salaries Survey" xfId="14121"/>
    <cellStyle name="RowTitles-Col2 2 2 4 3 2 3" xfId="14122"/>
    <cellStyle name="RowTitles-Col2 2 2 4 3 2_Tertiary Salaries Survey" xfId="14123"/>
    <cellStyle name="RowTitles-Col2 2 2 4 3 3" xfId="14124"/>
    <cellStyle name="RowTitles-Col2 2 2 4 3 3 2" xfId="14125"/>
    <cellStyle name="RowTitles-Col2 2 2 4 3 3 2 2" xfId="14126"/>
    <cellStyle name="RowTitles-Col2 2 2 4 3 3 2_Tertiary Salaries Survey" xfId="14127"/>
    <cellStyle name="RowTitles-Col2 2 2 4 3 3 3" xfId="14128"/>
    <cellStyle name="RowTitles-Col2 2 2 4 3 3_Tertiary Salaries Survey" xfId="14129"/>
    <cellStyle name="RowTitles-Col2 2 2 4 3 4" xfId="14130"/>
    <cellStyle name="RowTitles-Col2 2 2 4 3_Tertiary Salaries Survey" xfId="14131"/>
    <cellStyle name="RowTitles-Col2 2 2 4 4" xfId="14132"/>
    <cellStyle name="RowTitles-Col2 2 2 4 4 2" xfId="14133"/>
    <cellStyle name="RowTitles-Col2 2 2 4 4 2 2" xfId="14134"/>
    <cellStyle name="RowTitles-Col2 2 2 4 4 2 2 2" xfId="14135"/>
    <cellStyle name="RowTitles-Col2 2 2 4 4 2 2_Tertiary Salaries Survey" xfId="14136"/>
    <cellStyle name="RowTitles-Col2 2 2 4 4 2 3" xfId="14137"/>
    <cellStyle name="RowTitles-Col2 2 2 4 4 2_Tertiary Salaries Survey" xfId="14138"/>
    <cellStyle name="RowTitles-Col2 2 2 4 4 3" xfId="14139"/>
    <cellStyle name="RowTitles-Col2 2 2 4 4 3 2" xfId="14140"/>
    <cellStyle name="RowTitles-Col2 2 2 4 4 3 2 2" xfId="14141"/>
    <cellStyle name="RowTitles-Col2 2 2 4 4 3 2_Tertiary Salaries Survey" xfId="14142"/>
    <cellStyle name="RowTitles-Col2 2 2 4 4 3 3" xfId="14143"/>
    <cellStyle name="RowTitles-Col2 2 2 4 4 3_Tertiary Salaries Survey" xfId="14144"/>
    <cellStyle name="RowTitles-Col2 2 2 4 4 4" xfId="14145"/>
    <cellStyle name="RowTitles-Col2 2 2 4 4 4 2" xfId="14146"/>
    <cellStyle name="RowTitles-Col2 2 2 4 4 4_Tertiary Salaries Survey" xfId="14147"/>
    <cellStyle name="RowTitles-Col2 2 2 4 4 5" xfId="14148"/>
    <cellStyle name="RowTitles-Col2 2 2 4 4_Tertiary Salaries Survey" xfId="14149"/>
    <cellStyle name="RowTitles-Col2 2 2 4 5" xfId="14150"/>
    <cellStyle name="RowTitles-Col2 2 2 4 5 2" xfId="14151"/>
    <cellStyle name="RowTitles-Col2 2 2 4 5 2 2" xfId="14152"/>
    <cellStyle name="RowTitles-Col2 2 2 4 5 2 2 2" xfId="14153"/>
    <cellStyle name="RowTitles-Col2 2 2 4 5 2 2_Tertiary Salaries Survey" xfId="14154"/>
    <cellStyle name="RowTitles-Col2 2 2 4 5 2 3" xfId="14155"/>
    <cellStyle name="RowTitles-Col2 2 2 4 5 2_Tertiary Salaries Survey" xfId="14156"/>
    <cellStyle name="RowTitles-Col2 2 2 4 5 3" xfId="14157"/>
    <cellStyle name="RowTitles-Col2 2 2 4 5 3 2" xfId="14158"/>
    <cellStyle name="RowTitles-Col2 2 2 4 5 3 2 2" xfId="14159"/>
    <cellStyle name="RowTitles-Col2 2 2 4 5 3 2_Tertiary Salaries Survey" xfId="14160"/>
    <cellStyle name="RowTitles-Col2 2 2 4 5 3 3" xfId="14161"/>
    <cellStyle name="RowTitles-Col2 2 2 4 5 3_Tertiary Salaries Survey" xfId="14162"/>
    <cellStyle name="RowTitles-Col2 2 2 4 5 4" xfId="14163"/>
    <cellStyle name="RowTitles-Col2 2 2 4 5 4 2" xfId="14164"/>
    <cellStyle name="RowTitles-Col2 2 2 4 5 4_Tertiary Salaries Survey" xfId="14165"/>
    <cellStyle name="RowTitles-Col2 2 2 4 5 5" xfId="14166"/>
    <cellStyle name="RowTitles-Col2 2 2 4 5_Tertiary Salaries Survey" xfId="14167"/>
    <cellStyle name="RowTitles-Col2 2 2 4 6" xfId="14168"/>
    <cellStyle name="RowTitles-Col2 2 2 4 6 2" xfId="14169"/>
    <cellStyle name="RowTitles-Col2 2 2 4 6 2 2" xfId="14170"/>
    <cellStyle name="RowTitles-Col2 2 2 4 6 2 2 2" xfId="14171"/>
    <cellStyle name="RowTitles-Col2 2 2 4 6 2 2_Tertiary Salaries Survey" xfId="14172"/>
    <cellStyle name="RowTitles-Col2 2 2 4 6 2 3" xfId="14173"/>
    <cellStyle name="RowTitles-Col2 2 2 4 6 2_Tertiary Salaries Survey" xfId="14174"/>
    <cellStyle name="RowTitles-Col2 2 2 4 6 3" xfId="14175"/>
    <cellStyle name="RowTitles-Col2 2 2 4 6 3 2" xfId="14176"/>
    <cellStyle name="RowTitles-Col2 2 2 4 6 3 2 2" xfId="14177"/>
    <cellStyle name="RowTitles-Col2 2 2 4 6 3 2_Tertiary Salaries Survey" xfId="14178"/>
    <cellStyle name="RowTitles-Col2 2 2 4 6 3 3" xfId="14179"/>
    <cellStyle name="RowTitles-Col2 2 2 4 6 3_Tertiary Salaries Survey" xfId="14180"/>
    <cellStyle name="RowTitles-Col2 2 2 4 6 4" xfId="14181"/>
    <cellStyle name="RowTitles-Col2 2 2 4 6 4 2" xfId="14182"/>
    <cellStyle name="RowTitles-Col2 2 2 4 6 4_Tertiary Salaries Survey" xfId="14183"/>
    <cellStyle name="RowTitles-Col2 2 2 4 6 5" xfId="14184"/>
    <cellStyle name="RowTitles-Col2 2 2 4 6_Tertiary Salaries Survey" xfId="14185"/>
    <cellStyle name="RowTitles-Col2 2 2 4 7" xfId="14186"/>
    <cellStyle name="RowTitles-Col2 2 2 4 7 2" xfId="14187"/>
    <cellStyle name="RowTitles-Col2 2 2 4 7 2 2" xfId="14188"/>
    <cellStyle name="RowTitles-Col2 2 2 4 7 2_Tertiary Salaries Survey" xfId="14189"/>
    <cellStyle name="RowTitles-Col2 2 2 4 7 3" xfId="14190"/>
    <cellStyle name="RowTitles-Col2 2 2 4 7_Tertiary Salaries Survey" xfId="14191"/>
    <cellStyle name="RowTitles-Col2 2 2 4 8" xfId="14192"/>
    <cellStyle name="RowTitles-Col2 2 2 4 8 2" xfId="14193"/>
    <cellStyle name="RowTitles-Col2 2 2 4 8 2 2" xfId="14194"/>
    <cellStyle name="RowTitles-Col2 2 2 4 8 2_Tertiary Salaries Survey" xfId="14195"/>
    <cellStyle name="RowTitles-Col2 2 2 4 8 3" xfId="14196"/>
    <cellStyle name="RowTitles-Col2 2 2 4 8_Tertiary Salaries Survey" xfId="14197"/>
    <cellStyle name="RowTitles-Col2 2 2 4_STUD aligned by INSTIT" xfId="14198"/>
    <cellStyle name="RowTitles-Col2 2 2 5" xfId="14199"/>
    <cellStyle name="RowTitles-Col2 2 2 5 2" xfId="14200"/>
    <cellStyle name="RowTitles-Col2 2 2 5 2 2" xfId="14201"/>
    <cellStyle name="RowTitles-Col2 2 2 5 2 2 2" xfId="14202"/>
    <cellStyle name="RowTitles-Col2 2 2 5 2 2 2 2" xfId="14203"/>
    <cellStyle name="RowTitles-Col2 2 2 5 2 2 2_Tertiary Salaries Survey" xfId="14204"/>
    <cellStyle name="RowTitles-Col2 2 2 5 2 2 3" xfId="14205"/>
    <cellStyle name="RowTitles-Col2 2 2 5 2 2_Tertiary Salaries Survey" xfId="14206"/>
    <cellStyle name="RowTitles-Col2 2 2 5 2 3" xfId="14207"/>
    <cellStyle name="RowTitles-Col2 2 2 5 2 3 2" xfId="14208"/>
    <cellStyle name="RowTitles-Col2 2 2 5 2 3 2 2" xfId="14209"/>
    <cellStyle name="RowTitles-Col2 2 2 5 2 3 2_Tertiary Salaries Survey" xfId="14210"/>
    <cellStyle name="RowTitles-Col2 2 2 5 2 3 3" xfId="14211"/>
    <cellStyle name="RowTitles-Col2 2 2 5 2 3_Tertiary Salaries Survey" xfId="14212"/>
    <cellStyle name="RowTitles-Col2 2 2 5 2 4" xfId="14213"/>
    <cellStyle name="RowTitles-Col2 2 2 5 2 5" xfId="14214"/>
    <cellStyle name="RowTitles-Col2 2 2 5 2 5 2" xfId="14215"/>
    <cellStyle name="RowTitles-Col2 2 2 5 2 5_Tertiary Salaries Survey" xfId="14216"/>
    <cellStyle name="RowTitles-Col2 2 2 5 2_Tertiary Salaries Survey" xfId="14217"/>
    <cellStyle name="RowTitles-Col2 2 2 5 3" xfId="14218"/>
    <cellStyle name="RowTitles-Col2 2 2 5 3 2" xfId="14219"/>
    <cellStyle name="RowTitles-Col2 2 2 5 3 2 2" xfId="14220"/>
    <cellStyle name="RowTitles-Col2 2 2 5 3 2 2 2" xfId="14221"/>
    <cellStyle name="RowTitles-Col2 2 2 5 3 2 2_Tertiary Salaries Survey" xfId="14222"/>
    <cellStyle name="RowTitles-Col2 2 2 5 3 2 3" xfId="14223"/>
    <cellStyle name="RowTitles-Col2 2 2 5 3 2_Tertiary Salaries Survey" xfId="14224"/>
    <cellStyle name="RowTitles-Col2 2 2 5 3 3" xfId="14225"/>
    <cellStyle name="RowTitles-Col2 2 2 5 3 3 2" xfId="14226"/>
    <cellStyle name="RowTitles-Col2 2 2 5 3 3 2 2" xfId="14227"/>
    <cellStyle name="RowTitles-Col2 2 2 5 3 3 2_Tertiary Salaries Survey" xfId="14228"/>
    <cellStyle name="RowTitles-Col2 2 2 5 3 3 3" xfId="14229"/>
    <cellStyle name="RowTitles-Col2 2 2 5 3 3_Tertiary Salaries Survey" xfId="14230"/>
    <cellStyle name="RowTitles-Col2 2 2 5 3 4" xfId="14231"/>
    <cellStyle name="RowTitles-Col2 2 2 5 3 5" xfId="14232"/>
    <cellStyle name="RowTitles-Col2 2 2 5 3_Tertiary Salaries Survey" xfId="14233"/>
    <cellStyle name="RowTitles-Col2 2 2 5 4" xfId="14234"/>
    <cellStyle name="RowTitles-Col2 2 2 5 4 2" xfId="14235"/>
    <cellStyle name="RowTitles-Col2 2 2 5 4 2 2" xfId="14236"/>
    <cellStyle name="RowTitles-Col2 2 2 5 4 2 2 2" xfId="14237"/>
    <cellStyle name="RowTitles-Col2 2 2 5 4 2 2_Tertiary Salaries Survey" xfId="14238"/>
    <cellStyle name="RowTitles-Col2 2 2 5 4 2 3" xfId="14239"/>
    <cellStyle name="RowTitles-Col2 2 2 5 4 2_Tertiary Salaries Survey" xfId="14240"/>
    <cellStyle name="RowTitles-Col2 2 2 5 4 3" xfId="14241"/>
    <cellStyle name="RowTitles-Col2 2 2 5 4 3 2" xfId="14242"/>
    <cellStyle name="RowTitles-Col2 2 2 5 4 3 2 2" xfId="14243"/>
    <cellStyle name="RowTitles-Col2 2 2 5 4 3 2_Tertiary Salaries Survey" xfId="14244"/>
    <cellStyle name="RowTitles-Col2 2 2 5 4 3 3" xfId="14245"/>
    <cellStyle name="RowTitles-Col2 2 2 5 4 3_Tertiary Salaries Survey" xfId="14246"/>
    <cellStyle name="RowTitles-Col2 2 2 5 4 4" xfId="14247"/>
    <cellStyle name="RowTitles-Col2 2 2 5 4 5" xfId="14248"/>
    <cellStyle name="RowTitles-Col2 2 2 5 4 5 2" xfId="14249"/>
    <cellStyle name="RowTitles-Col2 2 2 5 4 5_Tertiary Salaries Survey" xfId="14250"/>
    <cellStyle name="RowTitles-Col2 2 2 5 4 6" xfId="14251"/>
    <cellStyle name="RowTitles-Col2 2 2 5 4_Tertiary Salaries Survey" xfId="14252"/>
    <cellStyle name="RowTitles-Col2 2 2 5 5" xfId="14253"/>
    <cellStyle name="RowTitles-Col2 2 2 5 5 2" xfId="14254"/>
    <cellStyle name="RowTitles-Col2 2 2 5 5 2 2" xfId="14255"/>
    <cellStyle name="RowTitles-Col2 2 2 5 5 2 2 2" xfId="14256"/>
    <cellStyle name="RowTitles-Col2 2 2 5 5 2 2_Tertiary Salaries Survey" xfId="14257"/>
    <cellStyle name="RowTitles-Col2 2 2 5 5 2 3" xfId="14258"/>
    <cellStyle name="RowTitles-Col2 2 2 5 5 2_Tertiary Salaries Survey" xfId="14259"/>
    <cellStyle name="RowTitles-Col2 2 2 5 5 3" xfId="14260"/>
    <cellStyle name="RowTitles-Col2 2 2 5 5 3 2" xfId="14261"/>
    <cellStyle name="RowTitles-Col2 2 2 5 5 3 2 2" xfId="14262"/>
    <cellStyle name="RowTitles-Col2 2 2 5 5 3 2_Tertiary Salaries Survey" xfId="14263"/>
    <cellStyle name="RowTitles-Col2 2 2 5 5 3 3" xfId="14264"/>
    <cellStyle name="RowTitles-Col2 2 2 5 5 3_Tertiary Salaries Survey" xfId="14265"/>
    <cellStyle name="RowTitles-Col2 2 2 5 5 4" xfId="14266"/>
    <cellStyle name="RowTitles-Col2 2 2 5 5 4 2" xfId="14267"/>
    <cellStyle name="RowTitles-Col2 2 2 5 5 4_Tertiary Salaries Survey" xfId="14268"/>
    <cellStyle name="RowTitles-Col2 2 2 5 5 5" xfId="14269"/>
    <cellStyle name="RowTitles-Col2 2 2 5 5_Tertiary Salaries Survey" xfId="14270"/>
    <cellStyle name="RowTitles-Col2 2 2 5 6" xfId="14271"/>
    <cellStyle name="RowTitles-Col2 2 2 5 6 2" xfId="14272"/>
    <cellStyle name="RowTitles-Col2 2 2 5 6 2 2" xfId="14273"/>
    <cellStyle name="RowTitles-Col2 2 2 5 6 2 2 2" xfId="14274"/>
    <cellStyle name="RowTitles-Col2 2 2 5 6 2 2_Tertiary Salaries Survey" xfId="14275"/>
    <cellStyle name="RowTitles-Col2 2 2 5 6 2 3" xfId="14276"/>
    <cellStyle name="RowTitles-Col2 2 2 5 6 2_Tertiary Salaries Survey" xfId="14277"/>
    <cellStyle name="RowTitles-Col2 2 2 5 6 3" xfId="14278"/>
    <cellStyle name="RowTitles-Col2 2 2 5 6 3 2" xfId="14279"/>
    <cellStyle name="RowTitles-Col2 2 2 5 6 3 2 2" xfId="14280"/>
    <cellStyle name="RowTitles-Col2 2 2 5 6 3 2_Tertiary Salaries Survey" xfId="14281"/>
    <cellStyle name="RowTitles-Col2 2 2 5 6 3 3" xfId="14282"/>
    <cellStyle name="RowTitles-Col2 2 2 5 6 3_Tertiary Salaries Survey" xfId="14283"/>
    <cellStyle name="RowTitles-Col2 2 2 5 6 4" xfId="14284"/>
    <cellStyle name="RowTitles-Col2 2 2 5 6 4 2" xfId="14285"/>
    <cellStyle name="RowTitles-Col2 2 2 5 6 4_Tertiary Salaries Survey" xfId="14286"/>
    <cellStyle name="RowTitles-Col2 2 2 5 6 5" xfId="14287"/>
    <cellStyle name="RowTitles-Col2 2 2 5 6_Tertiary Salaries Survey" xfId="14288"/>
    <cellStyle name="RowTitles-Col2 2 2 5 7" xfId="14289"/>
    <cellStyle name="RowTitles-Col2 2 2 5 7 2" xfId="14290"/>
    <cellStyle name="RowTitles-Col2 2 2 5 7 2 2" xfId="14291"/>
    <cellStyle name="RowTitles-Col2 2 2 5 7 2_Tertiary Salaries Survey" xfId="14292"/>
    <cellStyle name="RowTitles-Col2 2 2 5 7 3" xfId="14293"/>
    <cellStyle name="RowTitles-Col2 2 2 5 7_Tertiary Salaries Survey" xfId="14294"/>
    <cellStyle name="RowTitles-Col2 2 2 5 8" xfId="14295"/>
    <cellStyle name="RowTitles-Col2 2 2 5_STUD aligned by INSTIT" xfId="14296"/>
    <cellStyle name="RowTitles-Col2 2 2 6" xfId="14297"/>
    <cellStyle name="RowTitles-Col2 2 2 6 2" xfId="14298"/>
    <cellStyle name="RowTitles-Col2 2 2 6 2 2" xfId="14299"/>
    <cellStyle name="RowTitles-Col2 2 2 6 2 2 2" xfId="14300"/>
    <cellStyle name="RowTitles-Col2 2 2 6 2 2_Tertiary Salaries Survey" xfId="14301"/>
    <cellStyle name="RowTitles-Col2 2 2 6 2 3" xfId="14302"/>
    <cellStyle name="RowTitles-Col2 2 2 6 2_Tertiary Salaries Survey" xfId="14303"/>
    <cellStyle name="RowTitles-Col2 2 2 6 3" xfId="14304"/>
    <cellStyle name="RowTitles-Col2 2 2 6 3 2" xfId="14305"/>
    <cellStyle name="RowTitles-Col2 2 2 6 3 2 2" xfId="14306"/>
    <cellStyle name="RowTitles-Col2 2 2 6 3 2_Tertiary Salaries Survey" xfId="14307"/>
    <cellStyle name="RowTitles-Col2 2 2 6 3 3" xfId="14308"/>
    <cellStyle name="RowTitles-Col2 2 2 6 3_Tertiary Salaries Survey" xfId="14309"/>
    <cellStyle name="RowTitles-Col2 2 2 6 4" xfId="14310"/>
    <cellStyle name="RowTitles-Col2 2 2 6 5" xfId="14311"/>
    <cellStyle name="RowTitles-Col2 2 2 6 5 2" xfId="14312"/>
    <cellStyle name="RowTitles-Col2 2 2 6 5_Tertiary Salaries Survey" xfId="14313"/>
    <cellStyle name="RowTitles-Col2 2 2 6_Tertiary Salaries Survey" xfId="14314"/>
    <cellStyle name="RowTitles-Col2 2 2 7" xfId="14315"/>
    <cellStyle name="RowTitles-Col2 2 2 7 2" xfId="14316"/>
    <cellStyle name="RowTitles-Col2 2 2 7 2 2" xfId="14317"/>
    <cellStyle name="RowTitles-Col2 2 2 7 2 2 2" xfId="14318"/>
    <cellStyle name="RowTitles-Col2 2 2 7 2 2_Tertiary Salaries Survey" xfId="14319"/>
    <cellStyle name="RowTitles-Col2 2 2 7 2 3" xfId="14320"/>
    <cellStyle name="RowTitles-Col2 2 2 7 2_Tertiary Salaries Survey" xfId="14321"/>
    <cellStyle name="RowTitles-Col2 2 2 7 3" xfId="14322"/>
    <cellStyle name="RowTitles-Col2 2 2 7 3 2" xfId="14323"/>
    <cellStyle name="RowTitles-Col2 2 2 7 3 2 2" xfId="14324"/>
    <cellStyle name="RowTitles-Col2 2 2 7 3 2_Tertiary Salaries Survey" xfId="14325"/>
    <cellStyle name="RowTitles-Col2 2 2 7 3 3" xfId="14326"/>
    <cellStyle name="RowTitles-Col2 2 2 7 3_Tertiary Salaries Survey" xfId="14327"/>
    <cellStyle name="RowTitles-Col2 2 2 7 4" xfId="14328"/>
    <cellStyle name="RowTitles-Col2 2 2 7 5" xfId="14329"/>
    <cellStyle name="RowTitles-Col2 2 2 7_Tertiary Salaries Survey" xfId="14330"/>
    <cellStyle name="RowTitles-Col2 2 2 8" xfId="14331"/>
    <cellStyle name="RowTitles-Col2 2 2 8 2" xfId="14332"/>
    <cellStyle name="RowTitles-Col2 2 2 8 2 2" xfId="14333"/>
    <cellStyle name="RowTitles-Col2 2 2 8 2 2 2" xfId="14334"/>
    <cellStyle name="RowTitles-Col2 2 2 8 2 2_Tertiary Salaries Survey" xfId="14335"/>
    <cellStyle name="RowTitles-Col2 2 2 8 2 3" xfId="14336"/>
    <cellStyle name="RowTitles-Col2 2 2 8 2_Tertiary Salaries Survey" xfId="14337"/>
    <cellStyle name="RowTitles-Col2 2 2 8 3" xfId="14338"/>
    <cellStyle name="RowTitles-Col2 2 2 8 3 2" xfId="14339"/>
    <cellStyle name="RowTitles-Col2 2 2 8 3 2 2" xfId="14340"/>
    <cellStyle name="RowTitles-Col2 2 2 8 3 2_Tertiary Salaries Survey" xfId="14341"/>
    <cellStyle name="RowTitles-Col2 2 2 8 3 3" xfId="14342"/>
    <cellStyle name="RowTitles-Col2 2 2 8 3_Tertiary Salaries Survey" xfId="14343"/>
    <cellStyle name="RowTitles-Col2 2 2 8 4" xfId="14344"/>
    <cellStyle name="RowTitles-Col2 2 2 8 5" xfId="14345"/>
    <cellStyle name="RowTitles-Col2 2 2 8 5 2" xfId="14346"/>
    <cellStyle name="RowTitles-Col2 2 2 8 5_Tertiary Salaries Survey" xfId="14347"/>
    <cellStyle name="RowTitles-Col2 2 2 8 6" xfId="14348"/>
    <cellStyle name="RowTitles-Col2 2 2 8_Tertiary Salaries Survey" xfId="14349"/>
    <cellStyle name="RowTitles-Col2 2 2 9" xfId="14350"/>
    <cellStyle name="RowTitles-Col2 2 2 9 2" xfId="14351"/>
    <cellStyle name="RowTitles-Col2 2 2 9 2 2" xfId="14352"/>
    <cellStyle name="RowTitles-Col2 2 2 9 2 2 2" xfId="14353"/>
    <cellStyle name="RowTitles-Col2 2 2 9 2 2_Tertiary Salaries Survey" xfId="14354"/>
    <cellStyle name="RowTitles-Col2 2 2 9 2 3" xfId="14355"/>
    <cellStyle name="RowTitles-Col2 2 2 9 2_Tertiary Salaries Survey" xfId="14356"/>
    <cellStyle name="RowTitles-Col2 2 2 9 3" xfId="14357"/>
    <cellStyle name="RowTitles-Col2 2 2 9 3 2" xfId="14358"/>
    <cellStyle name="RowTitles-Col2 2 2 9 3 2 2" xfId="14359"/>
    <cellStyle name="RowTitles-Col2 2 2 9 3 2_Tertiary Salaries Survey" xfId="14360"/>
    <cellStyle name="RowTitles-Col2 2 2 9 3 3" xfId="14361"/>
    <cellStyle name="RowTitles-Col2 2 2 9 3_Tertiary Salaries Survey" xfId="14362"/>
    <cellStyle name="RowTitles-Col2 2 2 9 4" xfId="14363"/>
    <cellStyle name="RowTitles-Col2 2 2 9 4 2" xfId="14364"/>
    <cellStyle name="RowTitles-Col2 2 2 9 4_Tertiary Salaries Survey" xfId="14365"/>
    <cellStyle name="RowTitles-Col2 2 2 9 5" xfId="14366"/>
    <cellStyle name="RowTitles-Col2 2 2 9_Tertiary Salaries Survey" xfId="14367"/>
    <cellStyle name="RowTitles-Col2 2 2_STUD aligned by INSTIT" xfId="14368"/>
    <cellStyle name="RowTitles-Col2 2 3" xfId="14369"/>
    <cellStyle name="RowTitles-Col2 2 3 10" xfId="14370"/>
    <cellStyle name="RowTitles-Col2 2 3 10 2" xfId="14371"/>
    <cellStyle name="RowTitles-Col2 2 3 10 2 2" xfId="14372"/>
    <cellStyle name="RowTitles-Col2 2 3 10 2_Tertiary Salaries Survey" xfId="14373"/>
    <cellStyle name="RowTitles-Col2 2 3 10 3" xfId="14374"/>
    <cellStyle name="RowTitles-Col2 2 3 10_Tertiary Salaries Survey" xfId="14375"/>
    <cellStyle name="RowTitles-Col2 2 3 11" xfId="14376"/>
    <cellStyle name="RowTitles-Col2 2 3 2" xfId="14377"/>
    <cellStyle name="RowTitles-Col2 2 3 2 2" xfId="14378"/>
    <cellStyle name="RowTitles-Col2 2 3 2 2 2" xfId="14379"/>
    <cellStyle name="RowTitles-Col2 2 3 2 2 2 2" xfId="14380"/>
    <cellStyle name="RowTitles-Col2 2 3 2 2 2 2 2" xfId="14381"/>
    <cellStyle name="RowTitles-Col2 2 3 2 2 2 2_Tertiary Salaries Survey" xfId="14382"/>
    <cellStyle name="RowTitles-Col2 2 3 2 2 2 3" xfId="14383"/>
    <cellStyle name="RowTitles-Col2 2 3 2 2 2_Tertiary Salaries Survey" xfId="14384"/>
    <cellStyle name="RowTitles-Col2 2 3 2 2 3" xfId="14385"/>
    <cellStyle name="RowTitles-Col2 2 3 2 2 3 2" xfId="14386"/>
    <cellStyle name="RowTitles-Col2 2 3 2 2 3 2 2" xfId="14387"/>
    <cellStyle name="RowTitles-Col2 2 3 2 2 3 2_Tertiary Salaries Survey" xfId="14388"/>
    <cellStyle name="RowTitles-Col2 2 3 2 2 3 3" xfId="14389"/>
    <cellStyle name="RowTitles-Col2 2 3 2 2 3_Tertiary Salaries Survey" xfId="14390"/>
    <cellStyle name="RowTitles-Col2 2 3 2 2 4" xfId="14391"/>
    <cellStyle name="RowTitles-Col2 2 3 2 2_Tertiary Salaries Survey" xfId="14392"/>
    <cellStyle name="RowTitles-Col2 2 3 2 3" xfId="14393"/>
    <cellStyle name="RowTitles-Col2 2 3 2 3 2" xfId="14394"/>
    <cellStyle name="RowTitles-Col2 2 3 2 3 2 2" xfId="14395"/>
    <cellStyle name="RowTitles-Col2 2 3 2 3 2 2 2" xfId="14396"/>
    <cellStyle name="RowTitles-Col2 2 3 2 3 2 2_Tertiary Salaries Survey" xfId="14397"/>
    <cellStyle name="RowTitles-Col2 2 3 2 3 2 3" xfId="14398"/>
    <cellStyle name="RowTitles-Col2 2 3 2 3 2_Tertiary Salaries Survey" xfId="14399"/>
    <cellStyle name="RowTitles-Col2 2 3 2 3 3" xfId="14400"/>
    <cellStyle name="RowTitles-Col2 2 3 2 3 3 2" xfId="14401"/>
    <cellStyle name="RowTitles-Col2 2 3 2 3 3 2 2" xfId="14402"/>
    <cellStyle name="RowTitles-Col2 2 3 2 3 3 2_Tertiary Salaries Survey" xfId="14403"/>
    <cellStyle name="RowTitles-Col2 2 3 2 3 3 3" xfId="14404"/>
    <cellStyle name="RowTitles-Col2 2 3 2 3 3_Tertiary Salaries Survey" xfId="14405"/>
    <cellStyle name="RowTitles-Col2 2 3 2 3 4" xfId="14406"/>
    <cellStyle name="RowTitles-Col2 2 3 2 3 5" xfId="14407"/>
    <cellStyle name="RowTitles-Col2 2 3 2 3 5 2" xfId="14408"/>
    <cellStyle name="RowTitles-Col2 2 3 2 3 5_Tertiary Salaries Survey" xfId="14409"/>
    <cellStyle name="RowTitles-Col2 2 3 2 3 6" xfId="14410"/>
    <cellStyle name="RowTitles-Col2 2 3 2 3_Tertiary Salaries Survey" xfId="14411"/>
    <cellStyle name="RowTitles-Col2 2 3 2 4" xfId="14412"/>
    <cellStyle name="RowTitles-Col2 2 3 2 4 2" xfId="14413"/>
    <cellStyle name="RowTitles-Col2 2 3 2 4 2 2" xfId="14414"/>
    <cellStyle name="RowTitles-Col2 2 3 2 4 2 2 2" xfId="14415"/>
    <cellStyle name="RowTitles-Col2 2 3 2 4 2 2_Tertiary Salaries Survey" xfId="14416"/>
    <cellStyle name="RowTitles-Col2 2 3 2 4 2 3" xfId="14417"/>
    <cellStyle name="RowTitles-Col2 2 3 2 4 2_Tertiary Salaries Survey" xfId="14418"/>
    <cellStyle name="RowTitles-Col2 2 3 2 4 3" xfId="14419"/>
    <cellStyle name="RowTitles-Col2 2 3 2 4 3 2" xfId="14420"/>
    <cellStyle name="RowTitles-Col2 2 3 2 4 3 2 2" xfId="14421"/>
    <cellStyle name="RowTitles-Col2 2 3 2 4 3 2_Tertiary Salaries Survey" xfId="14422"/>
    <cellStyle name="RowTitles-Col2 2 3 2 4 3 3" xfId="14423"/>
    <cellStyle name="RowTitles-Col2 2 3 2 4 3_Tertiary Salaries Survey" xfId="14424"/>
    <cellStyle name="RowTitles-Col2 2 3 2 4 4" xfId="14425"/>
    <cellStyle name="RowTitles-Col2 2 3 2 4 4 2" xfId="14426"/>
    <cellStyle name="RowTitles-Col2 2 3 2 4 4_Tertiary Salaries Survey" xfId="14427"/>
    <cellStyle name="RowTitles-Col2 2 3 2 4 5" xfId="14428"/>
    <cellStyle name="RowTitles-Col2 2 3 2 4_Tertiary Salaries Survey" xfId="14429"/>
    <cellStyle name="RowTitles-Col2 2 3 2 5" xfId="14430"/>
    <cellStyle name="RowTitles-Col2 2 3 2 5 2" xfId="14431"/>
    <cellStyle name="RowTitles-Col2 2 3 2 5 2 2" xfId="14432"/>
    <cellStyle name="RowTitles-Col2 2 3 2 5 2 2 2" xfId="14433"/>
    <cellStyle name="RowTitles-Col2 2 3 2 5 2 2_Tertiary Salaries Survey" xfId="14434"/>
    <cellStyle name="RowTitles-Col2 2 3 2 5 2 3" xfId="14435"/>
    <cellStyle name="RowTitles-Col2 2 3 2 5 2_Tertiary Salaries Survey" xfId="14436"/>
    <cellStyle name="RowTitles-Col2 2 3 2 5 3" xfId="14437"/>
    <cellStyle name="RowTitles-Col2 2 3 2 5 3 2" xfId="14438"/>
    <cellStyle name="RowTitles-Col2 2 3 2 5 3 2 2" xfId="14439"/>
    <cellStyle name="RowTitles-Col2 2 3 2 5 3 2_Tertiary Salaries Survey" xfId="14440"/>
    <cellStyle name="RowTitles-Col2 2 3 2 5 3 3" xfId="14441"/>
    <cellStyle name="RowTitles-Col2 2 3 2 5 3_Tertiary Salaries Survey" xfId="14442"/>
    <cellStyle name="RowTitles-Col2 2 3 2 5 4" xfId="14443"/>
    <cellStyle name="RowTitles-Col2 2 3 2 5 4 2" xfId="14444"/>
    <cellStyle name="RowTitles-Col2 2 3 2 5 4_Tertiary Salaries Survey" xfId="14445"/>
    <cellStyle name="RowTitles-Col2 2 3 2 5 5" xfId="14446"/>
    <cellStyle name="RowTitles-Col2 2 3 2 5_Tertiary Salaries Survey" xfId="14447"/>
    <cellStyle name="RowTitles-Col2 2 3 2 6" xfId="14448"/>
    <cellStyle name="RowTitles-Col2 2 3 2 6 2" xfId="14449"/>
    <cellStyle name="RowTitles-Col2 2 3 2 6 2 2" xfId="14450"/>
    <cellStyle name="RowTitles-Col2 2 3 2 6 2 2 2" xfId="14451"/>
    <cellStyle name="RowTitles-Col2 2 3 2 6 2 2_Tertiary Salaries Survey" xfId="14452"/>
    <cellStyle name="RowTitles-Col2 2 3 2 6 2 3" xfId="14453"/>
    <cellStyle name="RowTitles-Col2 2 3 2 6 2_Tertiary Salaries Survey" xfId="14454"/>
    <cellStyle name="RowTitles-Col2 2 3 2 6 3" xfId="14455"/>
    <cellStyle name="RowTitles-Col2 2 3 2 6 3 2" xfId="14456"/>
    <cellStyle name="RowTitles-Col2 2 3 2 6 3 2 2" xfId="14457"/>
    <cellStyle name="RowTitles-Col2 2 3 2 6 3 2_Tertiary Salaries Survey" xfId="14458"/>
    <cellStyle name="RowTitles-Col2 2 3 2 6 3 3" xfId="14459"/>
    <cellStyle name="RowTitles-Col2 2 3 2 6 3_Tertiary Salaries Survey" xfId="14460"/>
    <cellStyle name="RowTitles-Col2 2 3 2 6 4" xfId="14461"/>
    <cellStyle name="RowTitles-Col2 2 3 2 6 4 2" xfId="14462"/>
    <cellStyle name="RowTitles-Col2 2 3 2 6 4_Tertiary Salaries Survey" xfId="14463"/>
    <cellStyle name="RowTitles-Col2 2 3 2 6 5" xfId="14464"/>
    <cellStyle name="RowTitles-Col2 2 3 2 6_Tertiary Salaries Survey" xfId="14465"/>
    <cellStyle name="RowTitles-Col2 2 3 2 7" xfId="14466"/>
    <cellStyle name="RowTitles-Col2 2 3 2 7 2" xfId="14467"/>
    <cellStyle name="RowTitles-Col2 2 3 2 7 2 2" xfId="14468"/>
    <cellStyle name="RowTitles-Col2 2 3 2 7 2_Tertiary Salaries Survey" xfId="14469"/>
    <cellStyle name="RowTitles-Col2 2 3 2 7 3" xfId="14470"/>
    <cellStyle name="RowTitles-Col2 2 3 2 7_Tertiary Salaries Survey" xfId="14471"/>
    <cellStyle name="RowTitles-Col2 2 3 2 8" xfId="14472"/>
    <cellStyle name="RowTitles-Col2 2 3 2_STUD aligned by INSTIT" xfId="14473"/>
    <cellStyle name="RowTitles-Col2 2 3 3" xfId="14474"/>
    <cellStyle name="RowTitles-Col2 2 3 3 2" xfId="14475"/>
    <cellStyle name="RowTitles-Col2 2 3 3 2 2" xfId="14476"/>
    <cellStyle name="RowTitles-Col2 2 3 3 2 2 2" xfId="14477"/>
    <cellStyle name="RowTitles-Col2 2 3 3 2 2 2 2" xfId="14478"/>
    <cellStyle name="RowTitles-Col2 2 3 3 2 2 2_Tertiary Salaries Survey" xfId="14479"/>
    <cellStyle name="RowTitles-Col2 2 3 3 2 2 3" xfId="14480"/>
    <cellStyle name="RowTitles-Col2 2 3 3 2 2_Tertiary Salaries Survey" xfId="14481"/>
    <cellStyle name="RowTitles-Col2 2 3 3 2 3" xfId="14482"/>
    <cellStyle name="RowTitles-Col2 2 3 3 2 3 2" xfId="14483"/>
    <cellStyle name="RowTitles-Col2 2 3 3 2 3 2 2" xfId="14484"/>
    <cellStyle name="RowTitles-Col2 2 3 3 2 3 2_Tertiary Salaries Survey" xfId="14485"/>
    <cellStyle name="RowTitles-Col2 2 3 3 2 3 3" xfId="14486"/>
    <cellStyle name="RowTitles-Col2 2 3 3 2 3_Tertiary Salaries Survey" xfId="14487"/>
    <cellStyle name="RowTitles-Col2 2 3 3 2 4" xfId="14488"/>
    <cellStyle name="RowTitles-Col2 2 3 3 2 5" xfId="14489"/>
    <cellStyle name="RowTitles-Col2 2 3 3 2 5 2" xfId="14490"/>
    <cellStyle name="RowTitles-Col2 2 3 3 2 5_Tertiary Salaries Survey" xfId="14491"/>
    <cellStyle name="RowTitles-Col2 2 3 3 2 6" xfId="14492"/>
    <cellStyle name="RowTitles-Col2 2 3 3 2_Tertiary Salaries Survey" xfId="14493"/>
    <cellStyle name="RowTitles-Col2 2 3 3 3" xfId="14494"/>
    <cellStyle name="RowTitles-Col2 2 3 3 3 2" xfId="14495"/>
    <cellStyle name="RowTitles-Col2 2 3 3 3 2 2" xfId="14496"/>
    <cellStyle name="RowTitles-Col2 2 3 3 3 2 2 2" xfId="14497"/>
    <cellStyle name="RowTitles-Col2 2 3 3 3 2 2_Tertiary Salaries Survey" xfId="14498"/>
    <cellStyle name="RowTitles-Col2 2 3 3 3 2 3" xfId="14499"/>
    <cellStyle name="RowTitles-Col2 2 3 3 3 2_Tertiary Salaries Survey" xfId="14500"/>
    <cellStyle name="RowTitles-Col2 2 3 3 3 3" xfId="14501"/>
    <cellStyle name="RowTitles-Col2 2 3 3 3 3 2" xfId="14502"/>
    <cellStyle name="RowTitles-Col2 2 3 3 3 3 2 2" xfId="14503"/>
    <cellStyle name="RowTitles-Col2 2 3 3 3 3 2_Tertiary Salaries Survey" xfId="14504"/>
    <cellStyle name="RowTitles-Col2 2 3 3 3 3 3" xfId="14505"/>
    <cellStyle name="RowTitles-Col2 2 3 3 3 3_Tertiary Salaries Survey" xfId="14506"/>
    <cellStyle name="RowTitles-Col2 2 3 3 3 4" xfId="14507"/>
    <cellStyle name="RowTitles-Col2 2 3 3 3_Tertiary Salaries Survey" xfId="14508"/>
    <cellStyle name="RowTitles-Col2 2 3 3 4" xfId="14509"/>
    <cellStyle name="RowTitles-Col2 2 3 3 4 2" xfId="14510"/>
    <cellStyle name="RowTitles-Col2 2 3 3 4 2 2" xfId="14511"/>
    <cellStyle name="RowTitles-Col2 2 3 3 4 2 2 2" xfId="14512"/>
    <cellStyle name="RowTitles-Col2 2 3 3 4 2 2_Tertiary Salaries Survey" xfId="14513"/>
    <cellStyle name="RowTitles-Col2 2 3 3 4 2 3" xfId="14514"/>
    <cellStyle name="RowTitles-Col2 2 3 3 4 2_Tertiary Salaries Survey" xfId="14515"/>
    <cellStyle name="RowTitles-Col2 2 3 3 4 3" xfId="14516"/>
    <cellStyle name="RowTitles-Col2 2 3 3 4 3 2" xfId="14517"/>
    <cellStyle name="RowTitles-Col2 2 3 3 4 3 2 2" xfId="14518"/>
    <cellStyle name="RowTitles-Col2 2 3 3 4 3 2_Tertiary Salaries Survey" xfId="14519"/>
    <cellStyle name="RowTitles-Col2 2 3 3 4 3 3" xfId="14520"/>
    <cellStyle name="RowTitles-Col2 2 3 3 4 3_Tertiary Salaries Survey" xfId="14521"/>
    <cellStyle name="RowTitles-Col2 2 3 3 4 4" xfId="14522"/>
    <cellStyle name="RowTitles-Col2 2 3 3 4 4 2" xfId="14523"/>
    <cellStyle name="RowTitles-Col2 2 3 3 4 4_Tertiary Salaries Survey" xfId="14524"/>
    <cellStyle name="RowTitles-Col2 2 3 3 4 5" xfId="14525"/>
    <cellStyle name="RowTitles-Col2 2 3 3 4_Tertiary Salaries Survey" xfId="14526"/>
    <cellStyle name="RowTitles-Col2 2 3 3 5" xfId="14527"/>
    <cellStyle name="RowTitles-Col2 2 3 3 5 2" xfId="14528"/>
    <cellStyle name="RowTitles-Col2 2 3 3 5 2 2" xfId="14529"/>
    <cellStyle name="RowTitles-Col2 2 3 3 5 2 2 2" xfId="14530"/>
    <cellStyle name="RowTitles-Col2 2 3 3 5 2 2_Tertiary Salaries Survey" xfId="14531"/>
    <cellStyle name="RowTitles-Col2 2 3 3 5 2 3" xfId="14532"/>
    <cellStyle name="RowTitles-Col2 2 3 3 5 2_Tertiary Salaries Survey" xfId="14533"/>
    <cellStyle name="RowTitles-Col2 2 3 3 5 3" xfId="14534"/>
    <cellStyle name="RowTitles-Col2 2 3 3 5 3 2" xfId="14535"/>
    <cellStyle name="RowTitles-Col2 2 3 3 5 3 2 2" xfId="14536"/>
    <cellStyle name="RowTitles-Col2 2 3 3 5 3 2_Tertiary Salaries Survey" xfId="14537"/>
    <cellStyle name="RowTitles-Col2 2 3 3 5 3 3" xfId="14538"/>
    <cellStyle name="RowTitles-Col2 2 3 3 5 3_Tertiary Salaries Survey" xfId="14539"/>
    <cellStyle name="RowTitles-Col2 2 3 3 5 4" xfId="14540"/>
    <cellStyle name="RowTitles-Col2 2 3 3 5 4 2" xfId="14541"/>
    <cellStyle name="RowTitles-Col2 2 3 3 5 4_Tertiary Salaries Survey" xfId="14542"/>
    <cellStyle name="RowTitles-Col2 2 3 3 5 5" xfId="14543"/>
    <cellStyle name="RowTitles-Col2 2 3 3 5_Tertiary Salaries Survey" xfId="14544"/>
    <cellStyle name="RowTitles-Col2 2 3 3 6" xfId="14545"/>
    <cellStyle name="RowTitles-Col2 2 3 3 6 2" xfId="14546"/>
    <cellStyle name="RowTitles-Col2 2 3 3 6 2 2" xfId="14547"/>
    <cellStyle name="RowTitles-Col2 2 3 3 6 2 2 2" xfId="14548"/>
    <cellStyle name="RowTitles-Col2 2 3 3 6 2 2_Tertiary Salaries Survey" xfId="14549"/>
    <cellStyle name="RowTitles-Col2 2 3 3 6 2 3" xfId="14550"/>
    <cellStyle name="RowTitles-Col2 2 3 3 6 2_Tertiary Salaries Survey" xfId="14551"/>
    <cellStyle name="RowTitles-Col2 2 3 3 6 3" xfId="14552"/>
    <cellStyle name="RowTitles-Col2 2 3 3 6 3 2" xfId="14553"/>
    <cellStyle name="RowTitles-Col2 2 3 3 6 3 2 2" xfId="14554"/>
    <cellStyle name="RowTitles-Col2 2 3 3 6 3 2_Tertiary Salaries Survey" xfId="14555"/>
    <cellStyle name="RowTitles-Col2 2 3 3 6 3 3" xfId="14556"/>
    <cellStyle name="RowTitles-Col2 2 3 3 6 3_Tertiary Salaries Survey" xfId="14557"/>
    <cellStyle name="RowTitles-Col2 2 3 3 6 4" xfId="14558"/>
    <cellStyle name="RowTitles-Col2 2 3 3 6 4 2" xfId="14559"/>
    <cellStyle name="RowTitles-Col2 2 3 3 6 4_Tertiary Salaries Survey" xfId="14560"/>
    <cellStyle name="RowTitles-Col2 2 3 3 6 5" xfId="14561"/>
    <cellStyle name="RowTitles-Col2 2 3 3 6_Tertiary Salaries Survey" xfId="14562"/>
    <cellStyle name="RowTitles-Col2 2 3 3 7" xfId="14563"/>
    <cellStyle name="RowTitles-Col2 2 3 3 7 2" xfId="14564"/>
    <cellStyle name="RowTitles-Col2 2 3 3 7 2 2" xfId="14565"/>
    <cellStyle name="RowTitles-Col2 2 3 3 7 2_Tertiary Salaries Survey" xfId="14566"/>
    <cellStyle name="RowTitles-Col2 2 3 3 7 3" xfId="14567"/>
    <cellStyle name="RowTitles-Col2 2 3 3 7_Tertiary Salaries Survey" xfId="14568"/>
    <cellStyle name="RowTitles-Col2 2 3 3 8" xfId="14569"/>
    <cellStyle name="RowTitles-Col2 2 3 3 8 2" xfId="14570"/>
    <cellStyle name="RowTitles-Col2 2 3 3 8 2 2" xfId="14571"/>
    <cellStyle name="RowTitles-Col2 2 3 3 8 2_Tertiary Salaries Survey" xfId="14572"/>
    <cellStyle name="RowTitles-Col2 2 3 3 8 3" xfId="14573"/>
    <cellStyle name="RowTitles-Col2 2 3 3 8_Tertiary Salaries Survey" xfId="14574"/>
    <cellStyle name="RowTitles-Col2 2 3 3_STUD aligned by INSTIT" xfId="14575"/>
    <cellStyle name="RowTitles-Col2 2 3 4" xfId="14576"/>
    <cellStyle name="RowTitles-Col2 2 3 4 2" xfId="14577"/>
    <cellStyle name="RowTitles-Col2 2 3 4 2 2" xfId="14578"/>
    <cellStyle name="RowTitles-Col2 2 3 4 2 2 2" xfId="14579"/>
    <cellStyle name="RowTitles-Col2 2 3 4 2 2 2 2" xfId="14580"/>
    <cellStyle name="RowTitles-Col2 2 3 4 2 2 2_Tertiary Salaries Survey" xfId="14581"/>
    <cellStyle name="RowTitles-Col2 2 3 4 2 2 3" xfId="14582"/>
    <cellStyle name="RowTitles-Col2 2 3 4 2 2_Tertiary Salaries Survey" xfId="14583"/>
    <cellStyle name="RowTitles-Col2 2 3 4 2 3" xfId="14584"/>
    <cellStyle name="RowTitles-Col2 2 3 4 2 3 2" xfId="14585"/>
    <cellStyle name="RowTitles-Col2 2 3 4 2 3 2 2" xfId="14586"/>
    <cellStyle name="RowTitles-Col2 2 3 4 2 3 2_Tertiary Salaries Survey" xfId="14587"/>
    <cellStyle name="RowTitles-Col2 2 3 4 2 3 3" xfId="14588"/>
    <cellStyle name="RowTitles-Col2 2 3 4 2 3_Tertiary Salaries Survey" xfId="14589"/>
    <cellStyle name="RowTitles-Col2 2 3 4 2 4" xfId="14590"/>
    <cellStyle name="RowTitles-Col2 2 3 4 2 5" xfId="14591"/>
    <cellStyle name="RowTitles-Col2 2 3 4 2 5 2" xfId="14592"/>
    <cellStyle name="RowTitles-Col2 2 3 4 2 5_Tertiary Salaries Survey" xfId="14593"/>
    <cellStyle name="RowTitles-Col2 2 3 4 2_Tertiary Salaries Survey" xfId="14594"/>
    <cellStyle name="RowTitles-Col2 2 3 4 3" xfId="14595"/>
    <cellStyle name="RowTitles-Col2 2 3 4 3 2" xfId="14596"/>
    <cellStyle name="RowTitles-Col2 2 3 4 3 2 2" xfId="14597"/>
    <cellStyle name="RowTitles-Col2 2 3 4 3 2 2 2" xfId="14598"/>
    <cellStyle name="RowTitles-Col2 2 3 4 3 2 2_Tertiary Salaries Survey" xfId="14599"/>
    <cellStyle name="RowTitles-Col2 2 3 4 3 2 3" xfId="14600"/>
    <cellStyle name="RowTitles-Col2 2 3 4 3 2_Tertiary Salaries Survey" xfId="14601"/>
    <cellStyle name="RowTitles-Col2 2 3 4 3 3" xfId="14602"/>
    <cellStyle name="RowTitles-Col2 2 3 4 3 3 2" xfId="14603"/>
    <cellStyle name="RowTitles-Col2 2 3 4 3 3 2 2" xfId="14604"/>
    <cellStyle name="RowTitles-Col2 2 3 4 3 3 2_Tertiary Salaries Survey" xfId="14605"/>
    <cellStyle name="RowTitles-Col2 2 3 4 3 3 3" xfId="14606"/>
    <cellStyle name="RowTitles-Col2 2 3 4 3 3_Tertiary Salaries Survey" xfId="14607"/>
    <cellStyle name="RowTitles-Col2 2 3 4 3 4" xfId="14608"/>
    <cellStyle name="RowTitles-Col2 2 3 4 3 5" xfId="14609"/>
    <cellStyle name="RowTitles-Col2 2 3 4 3_Tertiary Salaries Survey" xfId="14610"/>
    <cellStyle name="RowTitles-Col2 2 3 4 4" xfId="14611"/>
    <cellStyle name="RowTitles-Col2 2 3 4 4 2" xfId="14612"/>
    <cellStyle name="RowTitles-Col2 2 3 4 4 2 2" xfId="14613"/>
    <cellStyle name="RowTitles-Col2 2 3 4 4 2 2 2" xfId="14614"/>
    <cellStyle name="RowTitles-Col2 2 3 4 4 2 2_Tertiary Salaries Survey" xfId="14615"/>
    <cellStyle name="RowTitles-Col2 2 3 4 4 2 3" xfId="14616"/>
    <cellStyle name="RowTitles-Col2 2 3 4 4 2_Tertiary Salaries Survey" xfId="14617"/>
    <cellStyle name="RowTitles-Col2 2 3 4 4 3" xfId="14618"/>
    <cellStyle name="RowTitles-Col2 2 3 4 4 3 2" xfId="14619"/>
    <cellStyle name="RowTitles-Col2 2 3 4 4 3 2 2" xfId="14620"/>
    <cellStyle name="RowTitles-Col2 2 3 4 4 3 2_Tertiary Salaries Survey" xfId="14621"/>
    <cellStyle name="RowTitles-Col2 2 3 4 4 3 3" xfId="14622"/>
    <cellStyle name="RowTitles-Col2 2 3 4 4 3_Tertiary Salaries Survey" xfId="14623"/>
    <cellStyle name="RowTitles-Col2 2 3 4 4 4" xfId="14624"/>
    <cellStyle name="RowTitles-Col2 2 3 4 4 5" xfId="14625"/>
    <cellStyle name="RowTitles-Col2 2 3 4 4 5 2" xfId="14626"/>
    <cellStyle name="RowTitles-Col2 2 3 4 4 5_Tertiary Salaries Survey" xfId="14627"/>
    <cellStyle name="RowTitles-Col2 2 3 4 4 6" xfId="14628"/>
    <cellStyle name="RowTitles-Col2 2 3 4 4_Tertiary Salaries Survey" xfId="14629"/>
    <cellStyle name="RowTitles-Col2 2 3 4 5" xfId="14630"/>
    <cellStyle name="RowTitles-Col2 2 3 4 5 2" xfId="14631"/>
    <cellStyle name="RowTitles-Col2 2 3 4 5 2 2" xfId="14632"/>
    <cellStyle name="RowTitles-Col2 2 3 4 5 2 2 2" xfId="14633"/>
    <cellStyle name="RowTitles-Col2 2 3 4 5 2 2_Tertiary Salaries Survey" xfId="14634"/>
    <cellStyle name="RowTitles-Col2 2 3 4 5 2 3" xfId="14635"/>
    <cellStyle name="RowTitles-Col2 2 3 4 5 2_Tertiary Salaries Survey" xfId="14636"/>
    <cellStyle name="RowTitles-Col2 2 3 4 5 3" xfId="14637"/>
    <cellStyle name="RowTitles-Col2 2 3 4 5 3 2" xfId="14638"/>
    <cellStyle name="RowTitles-Col2 2 3 4 5 3 2 2" xfId="14639"/>
    <cellStyle name="RowTitles-Col2 2 3 4 5 3 2_Tertiary Salaries Survey" xfId="14640"/>
    <cellStyle name="RowTitles-Col2 2 3 4 5 3 3" xfId="14641"/>
    <cellStyle name="RowTitles-Col2 2 3 4 5 3_Tertiary Salaries Survey" xfId="14642"/>
    <cellStyle name="RowTitles-Col2 2 3 4 5 4" xfId="14643"/>
    <cellStyle name="RowTitles-Col2 2 3 4 5 4 2" xfId="14644"/>
    <cellStyle name="RowTitles-Col2 2 3 4 5 4_Tertiary Salaries Survey" xfId="14645"/>
    <cellStyle name="RowTitles-Col2 2 3 4 5 5" xfId="14646"/>
    <cellStyle name="RowTitles-Col2 2 3 4 5_Tertiary Salaries Survey" xfId="14647"/>
    <cellStyle name="RowTitles-Col2 2 3 4 6" xfId="14648"/>
    <cellStyle name="RowTitles-Col2 2 3 4 6 2" xfId="14649"/>
    <cellStyle name="RowTitles-Col2 2 3 4 6 2 2" xfId="14650"/>
    <cellStyle name="RowTitles-Col2 2 3 4 6 2 2 2" xfId="14651"/>
    <cellStyle name="RowTitles-Col2 2 3 4 6 2 2_Tertiary Salaries Survey" xfId="14652"/>
    <cellStyle name="RowTitles-Col2 2 3 4 6 2 3" xfId="14653"/>
    <cellStyle name="RowTitles-Col2 2 3 4 6 2_Tertiary Salaries Survey" xfId="14654"/>
    <cellStyle name="RowTitles-Col2 2 3 4 6 3" xfId="14655"/>
    <cellStyle name="RowTitles-Col2 2 3 4 6 3 2" xfId="14656"/>
    <cellStyle name="RowTitles-Col2 2 3 4 6 3 2 2" xfId="14657"/>
    <cellStyle name="RowTitles-Col2 2 3 4 6 3 2_Tertiary Salaries Survey" xfId="14658"/>
    <cellStyle name="RowTitles-Col2 2 3 4 6 3 3" xfId="14659"/>
    <cellStyle name="RowTitles-Col2 2 3 4 6 3_Tertiary Salaries Survey" xfId="14660"/>
    <cellStyle name="RowTitles-Col2 2 3 4 6 4" xfId="14661"/>
    <cellStyle name="RowTitles-Col2 2 3 4 6 4 2" xfId="14662"/>
    <cellStyle name="RowTitles-Col2 2 3 4 6 4_Tertiary Salaries Survey" xfId="14663"/>
    <cellStyle name="RowTitles-Col2 2 3 4 6 5" xfId="14664"/>
    <cellStyle name="RowTitles-Col2 2 3 4 6_Tertiary Salaries Survey" xfId="14665"/>
    <cellStyle name="RowTitles-Col2 2 3 4 7" xfId="14666"/>
    <cellStyle name="RowTitles-Col2 2 3 4 7 2" xfId="14667"/>
    <cellStyle name="RowTitles-Col2 2 3 4 7 2 2" xfId="14668"/>
    <cellStyle name="RowTitles-Col2 2 3 4 7 2_Tertiary Salaries Survey" xfId="14669"/>
    <cellStyle name="RowTitles-Col2 2 3 4 7 3" xfId="14670"/>
    <cellStyle name="RowTitles-Col2 2 3 4 7_Tertiary Salaries Survey" xfId="14671"/>
    <cellStyle name="RowTitles-Col2 2 3 4 8" xfId="14672"/>
    <cellStyle name="RowTitles-Col2 2 3 4_STUD aligned by INSTIT" xfId="14673"/>
    <cellStyle name="RowTitles-Col2 2 3 5" xfId="14674"/>
    <cellStyle name="RowTitles-Col2 2 3 5 2" xfId="14675"/>
    <cellStyle name="RowTitles-Col2 2 3 5 2 2" xfId="14676"/>
    <cellStyle name="RowTitles-Col2 2 3 5 2 2 2" xfId="14677"/>
    <cellStyle name="RowTitles-Col2 2 3 5 2 2_Tertiary Salaries Survey" xfId="14678"/>
    <cellStyle name="RowTitles-Col2 2 3 5 2 3" xfId="14679"/>
    <cellStyle name="RowTitles-Col2 2 3 5 2_Tertiary Salaries Survey" xfId="14680"/>
    <cellStyle name="RowTitles-Col2 2 3 5 3" xfId="14681"/>
    <cellStyle name="RowTitles-Col2 2 3 5 3 2" xfId="14682"/>
    <cellStyle name="RowTitles-Col2 2 3 5 3 2 2" xfId="14683"/>
    <cellStyle name="RowTitles-Col2 2 3 5 3 2_Tertiary Salaries Survey" xfId="14684"/>
    <cellStyle name="RowTitles-Col2 2 3 5 3 3" xfId="14685"/>
    <cellStyle name="RowTitles-Col2 2 3 5 3_Tertiary Salaries Survey" xfId="14686"/>
    <cellStyle name="RowTitles-Col2 2 3 5 4" xfId="14687"/>
    <cellStyle name="RowTitles-Col2 2 3 5 5" xfId="14688"/>
    <cellStyle name="RowTitles-Col2 2 3 5 5 2" xfId="14689"/>
    <cellStyle name="RowTitles-Col2 2 3 5 5_Tertiary Salaries Survey" xfId="14690"/>
    <cellStyle name="RowTitles-Col2 2 3 5_Tertiary Salaries Survey" xfId="14691"/>
    <cellStyle name="RowTitles-Col2 2 3 6" xfId="14692"/>
    <cellStyle name="RowTitles-Col2 2 3 6 2" xfId="14693"/>
    <cellStyle name="RowTitles-Col2 2 3 6 2 2" xfId="14694"/>
    <cellStyle name="RowTitles-Col2 2 3 6 2 2 2" xfId="14695"/>
    <cellStyle name="RowTitles-Col2 2 3 6 2 2_Tertiary Salaries Survey" xfId="14696"/>
    <cellStyle name="RowTitles-Col2 2 3 6 2 3" xfId="14697"/>
    <cellStyle name="RowTitles-Col2 2 3 6 2_Tertiary Salaries Survey" xfId="14698"/>
    <cellStyle name="RowTitles-Col2 2 3 6 3" xfId="14699"/>
    <cellStyle name="RowTitles-Col2 2 3 6 3 2" xfId="14700"/>
    <cellStyle name="RowTitles-Col2 2 3 6 3 2 2" xfId="14701"/>
    <cellStyle name="RowTitles-Col2 2 3 6 3 2_Tertiary Salaries Survey" xfId="14702"/>
    <cellStyle name="RowTitles-Col2 2 3 6 3 3" xfId="14703"/>
    <cellStyle name="RowTitles-Col2 2 3 6 3_Tertiary Salaries Survey" xfId="14704"/>
    <cellStyle name="RowTitles-Col2 2 3 6 4" xfId="14705"/>
    <cellStyle name="RowTitles-Col2 2 3 6 5" xfId="14706"/>
    <cellStyle name="RowTitles-Col2 2 3 6_Tertiary Salaries Survey" xfId="14707"/>
    <cellStyle name="RowTitles-Col2 2 3 7" xfId="14708"/>
    <cellStyle name="RowTitles-Col2 2 3 7 2" xfId="14709"/>
    <cellStyle name="RowTitles-Col2 2 3 7 2 2" xfId="14710"/>
    <cellStyle name="RowTitles-Col2 2 3 7 2 2 2" xfId="14711"/>
    <cellStyle name="RowTitles-Col2 2 3 7 2 2_Tertiary Salaries Survey" xfId="14712"/>
    <cellStyle name="RowTitles-Col2 2 3 7 2 3" xfId="14713"/>
    <cellStyle name="RowTitles-Col2 2 3 7 2_Tertiary Salaries Survey" xfId="14714"/>
    <cellStyle name="RowTitles-Col2 2 3 7 3" xfId="14715"/>
    <cellStyle name="RowTitles-Col2 2 3 7 3 2" xfId="14716"/>
    <cellStyle name="RowTitles-Col2 2 3 7 3 2 2" xfId="14717"/>
    <cellStyle name="RowTitles-Col2 2 3 7 3 2_Tertiary Salaries Survey" xfId="14718"/>
    <cellStyle name="RowTitles-Col2 2 3 7 3 3" xfId="14719"/>
    <cellStyle name="RowTitles-Col2 2 3 7 3_Tertiary Salaries Survey" xfId="14720"/>
    <cellStyle name="RowTitles-Col2 2 3 7 4" xfId="14721"/>
    <cellStyle name="RowTitles-Col2 2 3 7 5" xfId="14722"/>
    <cellStyle name="RowTitles-Col2 2 3 7 5 2" xfId="14723"/>
    <cellStyle name="RowTitles-Col2 2 3 7 5_Tertiary Salaries Survey" xfId="14724"/>
    <cellStyle name="RowTitles-Col2 2 3 7 6" xfId="14725"/>
    <cellStyle name="RowTitles-Col2 2 3 7_Tertiary Salaries Survey" xfId="14726"/>
    <cellStyle name="RowTitles-Col2 2 3 8" xfId="14727"/>
    <cellStyle name="RowTitles-Col2 2 3 8 2" xfId="14728"/>
    <cellStyle name="RowTitles-Col2 2 3 8 2 2" xfId="14729"/>
    <cellStyle name="RowTitles-Col2 2 3 8 2 2 2" xfId="14730"/>
    <cellStyle name="RowTitles-Col2 2 3 8 2 2_Tertiary Salaries Survey" xfId="14731"/>
    <cellStyle name="RowTitles-Col2 2 3 8 2 3" xfId="14732"/>
    <cellStyle name="RowTitles-Col2 2 3 8 2_Tertiary Salaries Survey" xfId="14733"/>
    <cellStyle name="RowTitles-Col2 2 3 8 3" xfId="14734"/>
    <cellStyle name="RowTitles-Col2 2 3 8 3 2" xfId="14735"/>
    <cellStyle name="RowTitles-Col2 2 3 8 3 2 2" xfId="14736"/>
    <cellStyle name="RowTitles-Col2 2 3 8 3 2_Tertiary Salaries Survey" xfId="14737"/>
    <cellStyle name="RowTitles-Col2 2 3 8 3 3" xfId="14738"/>
    <cellStyle name="RowTitles-Col2 2 3 8 3_Tertiary Salaries Survey" xfId="14739"/>
    <cellStyle name="RowTitles-Col2 2 3 8 4" xfId="14740"/>
    <cellStyle name="RowTitles-Col2 2 3 8 4 2" xfId="14741"/>
    <cellStyle name="RowTitles-Col2 2 3 8 4_Tertiary Salaries Survey" xfId="14742"/>
    <cellStyle name="RowTitles-Col2 2 3 8 5" xfId="14743"/>
    <cellStyle name="RowTitles-Col2 2 3 8_Tertiary Salaries Survey" xfId="14744"/>
    <cellStyle name="RowTitles-Col2 2 3 9" xfId="14745"/>
    <cellStyle name="RowTitles-Col2 2 3 9 2" xfId="14746"/>
    <cellStyle name="RowTitles-Col2 2 3 9 2 2" xfId="14747"/>
    <cellStyle name="RowTitles-Col2 2 3 9 2 2 2" xfId="14748"/>
    <cellStyle name="RowTitles-Col2 2 3 9 2 2_Tertiary Salaries Survey" xfId="14749"/>
    <cellStyle name="RowTitles-Col2 2 3 9 2 3" xfId="14750"/>
    <cellStyle name="RowTitles-Col2 2 3 9 2_Tertiary Salaries Survey" xfId="14751"/>
    <cellStyle name="RowTitles-Col2 2 3 9 3" xfId="14752"/>
    <cellStyle name="RowTitles-Col2 2 3 9 3 2" xfId="14753"/>
    <cellStyle name="RowTitles-Col2 2 3 9 3 2 2" xfId="14754"/>
    <cellStyle name="RowTitles-Col2 2 3 9 3 2_Tertiary Salaries Survey" xfId="14755"/>
    <cellStyle name="RowTitles-Col2 2 3 9 3 3" xfId="14756"/>
    <cellStyle name="RowTitles-Col2 2 3 9 3_Tertiary Salaries Survey" xfId="14757"/>
    <cellStyle name="RowTitles-Col2 2 3 9 4" xfId="14758"/>
    <cellStyle name="RowTitles-Col2 2 3 9 4 2" xfId="14759"/>
    <cellStyle name="RowTitles-Col2 2 3 9 4_Tertiary Salaries Survey" xfId="14760"/>
    <cellStyle name="RowTitles-Col2 2 3 9 5" xfId="14761"/>
    <cellStyle name="RowTitles-Col2 2 3 9_Tertiary Salaries Survey" xfId="14762"/>
    <cellStyle name="RowTitles-Col2 2 3_STUD aligned by INSTIT" xfId="14763"/>
    <cellStyle name="RowTitles-Col2 2 4" xfId="14764"/>
    <cellStyle name="RowTitles-Col2 2 4 2" xfId="14765"/>
    <cellStyle name="RowTitles-Col2 2 4 2 2" xfId="14766"/>
    <cellStyle name="RowTitles-Col2 2 4 2 2 2" xfId="14767"/>
    <cellStyle name="RowTitles-Col2 2 4 2 2 2 2" xfId="14768"/>
    <cellStyle name="RowTitles-Col2 2 4 2 2 2_Tertiary Salaries Survey" xfId="14769"/>
    <cellStyle name="RowTitles-Col2 2 4 2 2 3" xfId="14770"/>
    <cellStyle name="RowTitles-Col2 2 4 2 2_Tertiary Salaries Survey" xfId="14771"/>
    <cellStyle name="RowTitles-Col2 2 4 2 3" xfId="14772"/>
    <cellStyle name="RowTitles-Col2 2 4 2 3 2" xfId="14773"/>
    <cellStyle name="RowTitles-Col2 2 4 2 3 2 2" xfId="14774"/>
    <cellStyle name="RowTitles-Col2 2 4 2 3 2_Tertiary Salaries Survey" xfId="14775"/>
    <cellStyle name="RowTitles-Col2 2 4 2 3 3" xfId="14776"/>
    <cellStyle name="RowTitles-Col2 2 4 2 3_Tertiary Salaries Survey" xfId="14777"/>
    <cellStyle name="RowTitles-Col2 2 4 2 4" xfId="14778"/>
    <cellStyle name="RowTitles-Col2 2 4 2_Tertiary Salaries Survey" xfId="14779"/>
    <cellStyle name="RowTitles-Col2 2 4 3" xfId="14780"/>
    <cellStyle name="RowTitles-Col2 2 4 3 2" xfId="14781"/>
    <cellStyle name="RowTitles-Col2 2 4 3 2 2" xfId="14782"/>
    <cellStyle name="RowTitles-Col2 2 4 3 2 2 2" xfId="14783"/>
    <cellStyle name="RowTitles-Col2 2 4 3 2 2_Tertiary Salaries Survey" xfId="14784"/>
    <cellStyle name="RowTitles-Col2 2 4 3 2 3" xfId="14785"/>
    <cellStyle name="RowTitles-Col2 2 4 3 2_Tertiary Salaries Survey" xfId="14786"/>
    <cellStyle name="RowTitles-Col2 2 4 3 3" xfId="14787"/>
    <cellStyle name="RowTitles-Col2 2 4 3 3 2" xfId="14788"/>
    <cellStyle name="RowTitles-Col2 2 4 3 3 2 2" xfId="14789"/>
    <cellStyle name="RowTitles-Col2 2 4 3 3 2_Tertiary Salaries Survey" xfId="14790"/>
    <cellStyle name="RowTitles-Col2 2 4 3 3 3" xfId="14791"/>
    <cellStyle name="RowTitles-Col2 2 4 3 3_Tertiary Salaries Survey" xfId="14792"/>
    <cellStyle name="RowTitles-Col2 2 4 3 4" xfId="14793"/>
    <cellStyle name="RowTitles-Col2 2 4 3 5" xfId="14794"/>
    <cellStyle name="RowTitles-Col2 2 4 3 5 2" xfId="14795"/>
    <cellStyle name="RowTitles-Col2 2 4 3 5_Tertiary Salaries Survey" xfId="14796"/>
    <cellStyle name="RowTitles-Col2 2 4 3 6" xfId="14797"/>
    <cellStyle name="RowTitles-Col2 2 4 3_Tertiary Salaries Survey" xfId="14798"/>
    <cellStyle name="RowTitles-Col2 2 4 4" xfId="14799"/>
    <cellStyle name="RowTitles-Col2 2 4 4 2" xfId="14800"/>
    <cellStyle name="RowTitles-Col2 2 4 4 2 2" xfId="14801"/>
    <cellStyle name="RowTitles-Col2 2 4 4 2 2 2" xfId="14802"/>
    <cellStyle name="RowTitles-Col2 2 4 4 2 2_Tertiary Salaries Survey" xfId="14803"/>
    <cellStyle name="RowTitles-Col2 2 4 4 2 3" xfId="14804"/>
    <cellStyle name="RowTitles-Col2 2 4 4 2_Tertiary Salaries Survey" xfId="14805"/>
    <cellStyle name="RowTitles-Col2 2 4 4 3" xfId="14806"/>
    <cellStyle name="RowTitles-Col2 2 4 4 3 2" xfId="14807"/>
    <cellStyle name="RowTitles-Col2 2 4 4 3 2 2" xfId="14808"/>
    <cellStyle name="RowTitles-Col2 2 4 4 3 2_Tertiary Salaries Survey" xfId="14809"/>
    <cellStyle name="RowTitles-Col2 2 4 4 3 3" xfId="14810"/>
    <cellStyle name="RowTitles-Col2 2 4 4 3_Tertiary Salaries Survey" xfId="14811"/>
    <cellStyle name="RowTitles-Col2 2 4 4 4" xfId="14812"/>
    <cellStyle name="RowTitles-Col2 2 4 4 4 2" xfId="14813"/>
    <cellStyle name="RowTitles-Col2 2 4 4 4_Tertiary Salaries Survey" xfId="14814"/>
    <cellStyle name="RowTitles-Col2 2 4 4 5" xfId="14815"/>
    <cellStyle name="RowTitles-Col2 2 4 4_Tertiary Salaries Survey" xfId="14816"/>
    <cellStyle name="RowTitles-Col2 2 4 5" xfId="14817"/>
    <cellStyle name="RowTitles-Col2 2 4 5 2" xfId="14818"/>
    <cellStyle name="RowTitles-Col2 2 4 5 2 2" xfId="14819"/>
    <cellStyle name="RowTitles-Col2 2 4 5 2 2 2" xfId="14820"/>
    <cellStyle name="RowTitles-Col2 2 4 5 2 2_Tertiary Salaries Survey" xfId="14821"/>
    <cellStyle name="RowTitles-Col2 2 4 5 2 3" xfId="14822"/>
    <cellStyle name="RowTitles-Col2 2 4 5 2_Tertiary Salaries Survey" xfId="14823"/>
    <cellStyle name="RowTitles-Col2 2 4 5 3" xfId="14824"/>
    <cellStyle name="RowTitles-Col2 2 4 5 3 2" xfId="14825"/>
    <cellStyle name="RowTitles-Col2 2 4 5 3 2 2" xfId="14826"/>
    <cellStyle name="RowTitles-Col2 2 4 5 3 2_Tertiary Salaries Survey" xfId="14827"/>
    <cellStyle name="RowTitles-Col2 2 4 5 3 3" xfId="14828"/>
    <cellStyle name="RowTitles-Col2 2 4 5 3_Tertiary Salaries Survey" xfId="14829"/>
    <cellStyle name="RowTitles-Col2 2 4 5 4" xfId="14830"/>
    <cellStyle name="RowTitles-Col2 2 4 5 4 2" xfId="14831"/>
    <cellStyle name="RowTitles-Col2 2 4 5 4_Tertiary Salaries Survey" xfId="14832"/>
    <cellStyle name="RowTitles-Col2 2 4 5 5" xfId="14833"/>
    <cellStyle name="RowTitles-Col2 2 4 5_Tertiary Salaries Survey" xfId="14834"/>
    <cellStyle name="RowTitles-Col2 2 4 6" xfId="14835"/>
    <cellStyle name="RowTitles-Col2 2 4 6 2" xfId="14836"/>
    <cellStyle name="RowTitles-Col2 2 4 6 2 2" xfId="14837"/>
    <cellStyle name="RowTitles-Col2 2 4 6 2 2 2" xfId="14838"/>
    <cellStyle name="RowTitles-Col2 2 4 6 2 2_Tertiary Salaries Survey" xfId="14839"/>
    <cellStyle name="RowTitles-Col2 2 4 6 2 3" xfId="14840"/>
    <cellStyle name="RowTitles-Col2 2 4 6 2_Tertiary Salaries Survey" xfId="14841"/>
    <cellStyle name="RowTitles-Col2 2 4 6 3" xfId="14842"/>
    <cellStyle name="RowTitles-Col2 2 4 6 3 2" xfId="14843"/>
    <cellStyle name="RowTitles-Col2 2 4 6 3 2 2" xfId="14844"/>
    <cellStyle name="RowTitles-Col2 2 4 6 3 2_Tertiary Salaries Survey" xfId="14845"/>
    <cellStyle name="RowTitles-Col2 2 4 6 3 3" xfId="14846"/>
    <cellStyle name="RowTitles-Col2 2 4 6 3_Tertiary Salaries Survey" xfId="14847"/>
    <cellStyle name="RowTitles-Col2 2 4 6 4" xfId="14848"/>
    <cellStyle name="RowTitles-Col2 2 4 6 4 2" xfId="14849"/>
    <cellStyle name="RowTitles-Col2 2 4 6 4_Tertiary Salaries Survey" xfId="14850"/>
    <cellStyle name="RowTitles-Col2 2 4 6 5" xfId="14851"/>
    <cellStyle name="RowTitles-Col2 2 4 6_Tertiary Salaries Survey" xfId="14852"/>
    <cellStyle name="RowTitles-Col2 2 4 7" xfId="14853"/>
    <cellStyle name="RowTitles-Col2 2 4 7 2" xfId="14854"/>
    <cellStyle name="RowTitles-Col2 2 4 7 2 2" xfId="14855"/>
    <cellStyle name="RowTitles-Col2 2 4 7 2_Tertiary Salaries Survey" xfId="14856"/>
    <cellStyle name="RowTitles-Col2 2 4 7 3" xfId="14857"/>
    <cellStyle name="RowTitles-Col2 2 4 7_Tertiary Salaries Survey" xfId="14858"/>
    <cellStyle name="RowTitles-Col2 2 4 8" xfId="14859"/>
    <cellStyle name="RowTitles-Col2 2 4_STUD aligned by INSTIT" xfId="14860"/>
    <cellStyle name="RowTitles-Col2 2 5" xfId="14861"/>
    <cellStyle name="RowTitles-Col2 2 5 2" xfId="14862"/>
    <cellStyle name="RowTitles-Col2 2 5 2 2" xfId="14863"/>
    <cellStyle name="RowTitles-Col2 2 5 2 2 2" xfId="14864"/>
    <cellStyle name="RowTitles-Col2 2 5 2 2 2 2" xfId="14865"/>
    <cellStyle name="RowTitles-Col2 2 5 2 2 2_Tertiary Salaries Survey" xfId="14866"/>
    <cellStyle name="RowTitles-Col2 2 5 2 2 3" xfId="14867"/>
    <cellStyle name="RowTitles-Col2 2 5 2 2_Tertiary Salaries Survey" xfId="14868"/>
    <cellStyle name="RowTitles-Col2 2 5 2 3" xfId="14869"/>
    <cellStyle name="RowTitles-Col2 2 5 2 3 2" xfId="14870"/>
    <cellStyle name="RowTitles-Col2 2 5 2 3 2 2" xfId="14871"/>
    <cellStyle name="RowTitles-Col2 2 5 2 3 2_Tertiary Salaries Survey" xfId="14872"/>
    <cellStyle name="RowTitles-Col2 2 5 2 3 3" xfId="14873"/>
    <cellStyle name="RowTitles-Col2 2 5 2 3_Tertiary Salaries Survey" xfId="14874"/>
    <cellStyle name="RowTitles-Col2 2 5 2 4" xfId="14875"/>
    <cellStyle name="RowTitles-Col2 2 5 2 5" xfId="14876"/>
    <cellStyle name="RowTitles-Col2 2 5 2 5 2" xfId="14877"/>
    <cellStyle name="RowTitles-Col2 2 5 2 5_Tertiary Salaries Survey" xfId="14878"/>
    <cellStyle name="RowTitles-Col2 2 5 2 6" xfId="14879"/>
    <cellStyle name="RowTitles-Col2 2 5 2_Tertiary Salaries Survey" xfId="14880"/>
    <cellStyle name="RowTitles-Col2 2 5 3" xfId="14881"/>
    <cellStyle name="RowTitles-Col2 2 5 3 2" xfId="14882"/>
    <cellStyle name="RowTitles-Col2 2 5 3 2 2" xfId="14883"/>
    <cellStyle name="RowTitles-Col2 2 5 3 2 2 2" xfId="14884"/>
    <cellStyle name="RowTitles-Col2 2 5 3 2 2_Tertiary Salaries Survey" xfId="14885"/>
    <cellStyle name="RowTitles-Col2 2 5 3 2 3" xfId="14886"/>
    <cellStyle name="RowTitles-Col2 2 5 3 2_Tertiary Salaries Survey" xfId="14887"/>
    <cellStyle name="RowTitles-Col2 2 5 3 3" xfId="14888"/>
    <cellStyle name="RowTitles-Col2 2 5 3 3 2" xfId="14889"/>
    <cellStyle name="RowTitles-Col2 2 5 3 3 2 2" xfId="14890"/>
    <cellStyle name="RowTitles-Col2 2 5 3 3 2_Tertiary Salaries Survey" xfId="14891"/>
    <cellStyle name="RowTitles-Col2 2 5 3 3 3" xfId="14892"/>
    <cellStyle name="RowTitles-Col2 2 5 3 3_Tertiary Salaries Survey" xfId="14893"/>
    <cellStyle name="RowTitles-Col2 2 5 3 4" xfId="14894"/>
    <cellStyle name="RowTitles-Col2 2 5 3_Tertiary Salaries Survey" xfId="14895"/>
    <cellStyle name="RowTitles-Col2 2 5 4" xfId="14896"/>
    <cellStyle name="RowTitles-Col2 2 5 4 2" xfId="14897"/>
    <cellStyle name="RowTitles-Col2 2 5 4 2 2" xfId="14898"/>
    <cellStyle name="RowTitles-Col2 2 5 4 2 2 2" xfId="14899"/>
    <cellStyle name="RowTitles-Col2 2 5 4 2 2_Tertiary Salaries Survey" xfId="14900"/>
    <cellStyle name="RowTitles-Col2 2 5 4 2 3" xfId="14901"/>
    <cellStyle name="RowTitles-Col2 2 5 4 2_Tertiary Salaries Survey" xfId="14902"/>
    <cellStyle name="RowTitles-Col2 2 5 4 3" xfId="14903"/>
    <cellStyle name="RowTitles-Col2 2 5 4 3 2" xfId="14904"/>
    <cellStyle name="RowTitles-Col2 2 5 4 3 2 2" xfId="14905"/>
    <cellStyle name="RowTitles-Col2 2 5 4 3 2_Tertiary Salaries Survey" xfId="14906"/>
    <cellStyle name="RowTitles-Col2 2 5 4 3 3" xfId="14907"/>
    <cellStyle name="RowTitles-Col2 2 5 4 3_Tertiary Salaries Survey" xfId="14908"/>
    <cellStyle name="RowTitles-Col2 2 5 4 4" xfId="14909"/>
    <cellStyle name="RowTitles-Col2 2 5 4 4 2" xfId="14910"/>
    <cellStyle name="RowTitles-Col2 2 5 4 4_Tertiary Salaries Survey" xfId="14911"/>
    <cellStyle name="RowTitles-Col2 2 5 4 5" xfId="14912"/>
    <cellStyle name="RowTitles-Col2 2 5 4_Tertiary Salaries Survey" xfId="14913"/>
    <cellStyle name="RowTitles-Col2 2 5 5" xfId="14914"/>
    <cellStyle name="RowTitles-Col2 2 5 5 2" xfId="14915"/>
    <cellStyle name="RowTitles-Col2 2 5 5 2 2" xfId="14916"/>
    <cellStyle name="RowTitles-Col2 2 5 5 2 2 2" xfId="14917"/>
    <cellStyle name="RowTitles-Col2 2 5 5 2 2_Tertiary Salaries Survey" xfId="14918"/>
    <cellStyle name="RowTitles-Col2 2 5 5 2 3" xfId="14919"/>
    <cellStyle name="RowTitles-Col2 2 5 5 2_Tertiary Salaries Survey" xfId="14920"/>
    <cellStyle name="RowTitles-Col2 2 5 5 3" xfId="14921"/>
    <cellStyle name="RowTitles-Col2 2 5 5 3 2" xfId="14922"/>
    <cellStyle name="RowTitles-Col2 2 5 5 3 2 2" xfId="14923"/>
    <cellStyle name="RowTitles-Col2 2 5 5 3 2_Tertiary Salaries Survey" xfId="14924"/>
    <cellStyle name="RowTitles-Col2 2 5 5 3 3" xfId="14925"/>
    <cellStyle name="RowTitles-Col2 2 5 5 3_Tertiary Salaries Survey" xfId="14926"/>
    <cellStyle name="RowTitles-Col2 2 5 5 4" xfId="14927"/>
    <cellStyle name="RowTitles-Col2 2 5 5 4 2" xfId="14928"/>
    <cellStyle name="RowTitles-Col2 2 5 5 4_Tertiary Salaries Survey" xfId="14929"/>
    <cellStyle name="RowTitles-Col2 2 5 5 5" xfId="14930"/>
    <cellStyle name="RowTitles-Col2 2 5 5_Tertiary Salaries Survey" xfId="14931"/>
    <cellStyle name="RowTitles-Col2 2 5 6" xfId="14932"/>
    <cellStyle name="RowTitles-Col2 2 5 6 2" xfId="14933"/>
    <cellStyle name="RowTitles-Col2 2 5 6 2 2" xfId="14934"/>
    <cellStyle name="RowTitles-Col2 2 5 6 2 2 2" xfId="14935"/>
    <cellStyle name="RowTitles-Col2 2 5 6 2 2_Tertiary Salaries Survey" xfId="14936"/>
    <cellStyle name="RowTitles-Col2 2 5 6 2 3" xfId="14937"/>
    <cellStyle name="RowTitles-Col2 2 5 6 2_Tertiary Salaries Survey" xfId="14938"/>
    <cellStyle name="RowTitles-Col2 2 5 6 3" xfId="14939"/>
    <cellStyle name="RowTitles-Col2 2 5 6 3 2" xfId="14940"/>
    <cellStyle name="RowTitles-Col2 2 5 6 3 2 2" xfId="14941"/>
    <cellStyle name="RowTitles-Col2 2 5 6 3 2_Tertiary Salaries Survey" xfId="14942"/>
    <cellStyle name="RowTitles-Col2 2 5 6 3 3" xfId="14943"/>
    <cellStyle name="RowTitles-Col2 2 5 6 3_Tertiary Salaries Survey" xfId="14944"/>
    <cellStyle name="RowTitles-Col2 2 5 6 4" xfId="14945"/>
    <cellStyle name="RowTitles-Col2 2 5 6 4 2" xfId="14946"/>
    <cellStyle name="RowTitles-Col2 2 5 6 4_Tertiary Salaries Survey" xfId="14947"/>
    <cellStyle name="RowTitles-Col2 2 5 6 5" xfId="14948"/>
    <cellStyle name="RowTitles-Col2 2 5 6_Tertiary Salaries Survey" xfId="14949"/>
    <cellStyle name="RowTitles-Col2 2 5 7" xfId="14950"/>
    <cellStyle name="RowTitles-Col2 2 5 7 2" xfId="14951"/>
    <cellStyle name="RowTitles-Col2 2 5 7 2 2" xfId="14952"/>
    <cellStyle name="RowTitles-Col2 2 5 7 2_Tertiary Salaries Survey" xfId="14953"/>
    <cellStyle name="RowTitles-Col2 2 5 7 3" xfId="14954"/>
    <cellStyle name="RowTitles-Col2 2 5 7_Tertiary Salaries Survey" xfId="14955"/>
    <cellStyle name="RowTitles-Col2 2 5 8" xfId="14956"/>
    <cellStyle name="RowTitles-Col2 2 5 8 2" xfId="14957"/>
    <cellStyle name="RowTitles-Col2 2 5 8 2 2" xfId="14958"/>
    <cellStyle name="RowTitles-Col2 2 5 8 2_Tertiary Salaries Survey" xfId="14959"/>
    <cellStyle name="RowTitles-Col2 2 5 8 3" xfId="14960"/>
    <cellStyle name="RowTitles-Col2 2 5 8_Tertiary Salaries Survey" xfId="14961"/>
    <cellStyle name="RowTitles-Col2 2 5_STUD aligned by INSTIT" xfId="14962"/>
    <cellStyle name="RowTitles-Col2 2 6" xfId="14963"/>
    <cellStyle name="RowTitles-Col2 2 6 2" xfId="14964"/>
    <cellStyle name="RowTitles-Col2 2 6 2 2" xfId="14965"/>
    <cellStyle name="RowTitles-Col2 2 6 2 2 2" xfId="14966"/>
    <cellStyle name="RowTitles-Col2 2 6 2 2 2 2" xfId="14967"/>
    <cellStyle name="RowTitles-Col2 2 6 2 2 2_Tertiary Salaries Survey" xfId="14968"/>
    <cellStyle name="RowTitles-Col2 2 6 2 2 3" xfId="14969"/>
    <cellStyle name="RowTitles-Col2 2 6 2 2_Tertiary Salaries Survey" xfId="14970"/>
    <cellStyle name="RowTitles-Col2 2 6 2 3" xfId="14971"/>
    <cellStyle name="RowTitles-Col2 2 6 2 3 2" xfId="14972"/>
    <cellStyle name="RowTitles-Col2 2 6 2 3 2 2" xfId="14973"/>
    <cellStyle name="RowTitles-Col2 2 6 2 3 2_Tertiary Salaries Survey" xfId="14974"/>
    <cellStyle name="RowTitles-Col2 2 6 2 3 3" xfId="14975"/>
    <cellStyle name="RowTitles-Col2 2 6 2 3_Tertiary Salaries Survey" xfId="14976"/>
    <cellStyle name="RowTitles-Col2 2 6 2 4" xfId="14977"/>
    <cellStyle name="RowTitles-Col2 2 6 2 5" xfId="14978"/>
    <cellStyle name="RowTitles-Col2 2 6 2 5 2" xfId="14979"/>
    <cellStyle name="RowTitles-Col2 2 6 2 5_Tertiary Salaries Survey" xfId="14980"/>
    <cellStyle name="RowTitles-Col2 2 6 2_Tertiary Salaries Survey" xfId="14981"/>
    <cellStyle name="RowTitles-Col2 2 6 3" xfId="14982"/>
    <cellStyle name="RowTitles-Col2 2 6 3 2" xfId="14983"/>
    <cellStyle name="RowTitles-Col2 2 6 3 2 2" xfId="14984"/>
    <cellStyle name="RowTitles-Col2 2 6 3 2 2 2" xfId="14985"/>
    <cellStyle name="RowTitles-Col2 2 6 3 2 2_Tertiary Salaries Survey" xfId="14986"/>
    <cellStyle name="RowTitles-Col2 2 6 3 2 3" xfId="14987"/>
    <cellStyle name="RowTitles-Col2 2 6 3 2_Tertiary Salaries Survey" xfId="14988"/>
    <cellStyle name="RowTitles-Col2 2 6 3 3" xfId="14989"/>
    <cellStyle name="RowTitles-Col2 2 6 3 3 2" xfId="14990"/>
    <cellStyle name="RowTitles-Col2 2 6 3 3 2 2" xfId="14991"/>
    <cellStyle name="RowTitles-Col2 2 6 3 3 2_Tertiary Salaries Survey" xfId="14992"/>
    <cellStyle name="RowTitles-Col2 2 6 3 3 3" xfId="14993"/>
    <cellStyle name="RowTitles-Col2 2 6 3 3_Tertiary Salaries Survey" xfId="14994"/>
    <cellStyle name="RowTitles-Col2 2 6 3 4" xfId="14995"/>
    <cellStyle name="RowTitles-Col2 2 6 3 5" xfId="14996"/>
    <cellStyle name="RowTitles-Col2 2 6 3_Tertiary Salaries Survey" xfId="14997"/>
    <cellStyle name="RowTitles-Col2 2 6 4" xfId="14998"/>
    <cellStyle name="RowTitles-Col2 2 6 4 2" xfId="14999"/>
    <cellStyle name="RowTitles-Col2 2 6 4 2 2" xfId="15000"/>
    <cellStyle name="RowTitles-Col2 2 6 4 2 2 2" xfId="15001"/>
    <cellStyle name="RowTitles-Col2 2 6 4 2 2_Tertiary Salaries Survey" xfId="15002"/>
    <cellStyle name="RowTitles-Col2 2 6 4 2 3" xfId="15003"/>
    <cellStyle name="RowTitles-Col2 2 6 4 2_Tertiary Salaries Survey" xfId="15004"/>
    <cellStyle name="RowTitles-Col2 2 6 4 3" xfId="15005"/>
    <cellStyle name="RowTitles-Col2 2 6 4 3 2" xfId="15006"/>
    <cellStyle name="RowTitles-Col2 2 6 4 3 2 2" xfId="15007"/>
    <cellStyle name="RowTitles-Col2 2 6 4 3 2_Tertiary Salaries Survey" xfId="15008"/>
    <cellStyle name="RowTitles-Col2 2 6 4 3 3" xfId="15009"/>
    <cellStyle name="RowTitles-Col2 2 6 4 3_Tertiary Salaries Survey" xfId="15010"/>
    <cellStyle name="RowTitles-Col2 2 6 4 4" xfId="15011"/>
    <cellStyle name="RowTitles-Col2 2 6 4 5" xfId="15012"/>
    <cellStyle name="RowTitles-Col2 2 6 4 5 2" xfId="15013"/>
    <cellStyle name="RowTitles-Col2 2 6 4 5_Tertiary Salaries Survey" xfId="15014"/>
    <cellStyle name="RowTitles-Col2 2 6 4 6" xfId="15015"/>
    <cellStyle name="RowTitles-Col2 2 6 4_Tertiary Salaries Survey" xfId="15016"/>
    <cellStyle name="RowTitles-Col2 2 6 5" xfId="15017"/>
    <cellStyle name="RowTitles-Col2 2 6 5 2" xfId="15018"/>
    <cellStyle name="RowTitles-Col2 2 6 5 2 2" xfId="15019"/>
    <cellStyle name="RowTitles-Col2 2 6 5 2 2 2" xfId="15020"/>
    <cellStyle name="RowTitles-Col2 2 6 5 2 2_Tertiary Salaries Survey" xfId="15021"/>
    <cellStyle name="RowTitles-Col2 2 6 5 2 3" xfId="15022"/>
    <cellStyle name="RowTitles-Col2 2 6 5 2_Tertiary Salaries Survey" xfId="15023"/>
    <cellStyle name="RowTitles-Col2 2 6 5 3" xfId="15024"/>
    <cellStyle name="RowTitles-Col2 2 6 5 3 2" xfId="15025"/>
    <cellStyle name="RowTitles-Col2 2 6 5 3 2 2" xfId="15026"/>
    <cellStyle name="RowTitles-Col2 2 6 5 3 2_Tertiary Salaries Survey" xfId="15027"/>
    <cellStyle name="RowTitles-Col2 2 6 5 3 3" xfId="15028"/>
    <cellStyle name="RowTitles-Col2 2 6 5 3_Tertiary Salaries Survey" xfId="15029"/>
    <cellStyle name="RowTitles-Col2 2 6 5 4" xfId="15030"/>
    <cellStyle name="RowTitles-Col2 2 6 5 4 2" xfId="15031"/>
    <cellStyle name="RowTitles-Col2 2 6 5 4_Tertiary Salaries Survey" xfId="15032"/>
    <cellStyle name="RowTitles-Col2 2 6 5 5" xfId="15033"/>
    <cellStyle name="RowTitles-Col2 2 6 5_Tertiary Salaries Survey" xfId="15034"/>
    <cellStyle name="RowTitles-Col2 2 6 6" xfId="15035"/>
    <cellStyle name="RowTitles-Col2 2 6 6 2" xfId="15036"/>
    <cellStyle name="RowTitles-Col2 2 6 6 2 2" xfId="15037"/>
    <cellStyle name="RowTitles-Col2 2 6 6 2 2 2" xfId="15038"/>
    <cellStyle name="RowTitles-Col2 2 6 6 2 2_Tertiary Salaries Survey" xfId="15039"/>
    <cellStyle name="RowTitles-Col2 2 6 6 2 3" xfId="15040"/>
    <cellStyle name="RowTitles-Col2 2 6 6 2_Tertiary Salaries Survey" xfId="15041"/>
    <cellStyle name="RowTitles-Col2 2 6 6 3" xfId="15042"/>
    <cellStyle name="RowTitles-Col2 2 6 6 3 2" xfId="15043"/>
    <cellStyle name="RowTitles-Col2 2 6 6 3 2 2" xfId="15044"/>
    <cellStyle name="RowTitles-Col2 2 6 6 3 2_Tertiary Salaries Survey" xfId="15045"/>
    <cellStyle name="RowTitles-Col2 2 6 6 3 3" xfId="15046"/>
    <cellStyle name="RowTitles-Col2 2 6 6 3_Tertiary Salaries Survey" xfId="15047"/>
    <cellStyle name="RowTitles-Col2 2 6 6 4" xfId="15048"/>
    <cellStyle name="RowTitles-Col2 2 6 6 4 2" xfId="15049"/>
    <cellStyle name="RowTitles-Col2 2 6 6 4_Tertiary Salaries Survey" xfId="15050"/>
    <cellStyle name="RowTitles-Col2 2 6 6 5" xfId="15051"/>
    <cellStyle name="RowTitles-Col2 2 6 6_Tertiary Salaries Survey" xfId="15052"/>
    <cellStyle name="RowTitles-Col2 2 6 7" xfId="15053"/>
    <cellStyle name="RowTitles-Col2 2 6 7 2" xfId="15054"/>
    <cellStyle name="RowTitles-Col2 2 6 7 2 2" xfId="15055"/>
    <cellStyle name="RowTitles-Col2 2 6 7 2_Tertiary Salaries Survey" xfId="15056"/>
    <cellStyle name="RowTitles-Col2 2 6 7 3" xfId="15057"/>
    <cellStyle name="RowTitles-Col2 2 6 7_Tertiary Salaries Survey" xfId="15058"/>
    <cellStyle name="RowTitles-Col2 2 6 8" xfId="15059"/>
    <cellStyle name="RowTitles-Col2 2 6_STUD aligned by INSTIT" xfId="15060"/>
    <cellStyle name="RowTitles-Col2 2 7" xfId="15061"/>
    <cellStyle name="RowTitles-Col2 2 7 2" xfId="15062"/>
    <cellStyle name="RowTitles-Col2 2 7 2 2" xfId="15063"/>
    <cellStyle name="RowTitles-Col2 2 7 2 2 2" xfId="15064"/>
    <cellStyle name="RowTitles-Col2 2 7 2 2_Tertiary Salaries Survey" xfId="15065"/>
    <cellStyle name="RowTitles-Col2 2 7 2 3" xfId="15066"/>
    <cellStyle name="RowTitles-Col2 2 7 2_Tertiary Salaries Survey" xfId="15067"/>
    <cellStyle name="RowTitles-Col2 2 7 3" xfId="15068"/>
    <cellStyle name="RowTitles-Col2 2 7 3 2" xfId="15069"/>
    <cellStyle name="RowTitles-Col2 2 7 3 2 2" xfId="15070"/>
    <cellStyle name="RowTitles-Col2 2 7 3 2_Tertiary Salaries Survey" xfId="15071"/>
    <cellStyle name="RowTitles-Col2 2 7 3 3" xfId="15072"/>
    <cellStyle name="RowTitles-Col2 2 7 3_Tertiary Salaries Survey" xfId="15073"/>
    <cellStyle name="RowTitles-Col2 2 7 4" xfId="15074"/>
    <cellStyle name="RowTitles-Col2 2 7 5" xfId="15075"/>
    <cellStyle name="RowTitles-Col2 2 7 5 2" xfId="15076"/>
    <cellStyle name="RowTitles-Col2 2 7 5_Tertiary Salaries Survey" xfId="15077"/>
    <cellStyle name="RowTitles-Col2 2 7_Tertiary Salaries Survey" xfId="15078"/>
    <cellStyle name="RowTitles-Col2 2 8" xfId="15079"/>
    <cellStyle name="RowTitles-Col2 2 8 2" xfId="15080"/>
    <cellStyle name="RowTitles-Col2 2 8 2 2" xfId="15081"/>
    <cellStyle name="RowTitles-Col2 2 8 2 2 2" xfId="15082"/>
    <cellStyle name="RowTitles-Col2 2 8 2 2_Tertiary Salaries Survey" xfId="15083"/>
    <cellStyle name="RowTitles-Col2 2 8 2 3" xfId="15084"/>
    <cellStyle name="RowTitles-Col2 2 8 2_Tertiary Salaries Survey" xfId="15085"/>
    <cellStyle name="RowTitles-Col2 2 8 3" xfId="15086"/>
    <cellStyle name="RowTitles-Col2 2 8 3 2" xfId="15087"/>
    <cellStyle name="RowTitles-Col2 2 8 3 2 2" xfId="15088"/>
    <cellStyle name="RowTitles-Col2 2 8 3 2_Tertiary Salaries Survey" xfId="15089"/>
    <cellStyle name="RowTitles-Col2 2 8 3 3" xfId="15090"/>
    <cellStyle name="RowTitles-Col2 2 8 3_Tertiary Salaries Survey" xfId="15091"/>
    <cellStyle name="RowTitles-Col2 2 8 4" xfId="15092"/>
    <cellStyle name="RowTitles-Col2 2 8 5" xfId="15093"/>
    <cellStyle name="RowTitles-Col2 2 8_Tertiary Salaries Survey" xfId="15094"/>
    <cellStyle name="RowTitles-Col2 2 9" xfId="15095"/>
    <cellStyle name="RowTitles-Col2 2 9 2" xfId="15096"/>
    <cellStyle name="RowTitles-Col2 2 9 2 2" xfId="15097"/>
    <cellStyle name="RowTitles-Col2 2 9 2 2 2" xfId="15098"/>
    <cellStyle name="RowTitles-Col2 2 9 2 2_Tertiary Salaries Survey" xfId="15099"/>
    <cellStyle name="RowTitles-Col2 2 9 2 3" xfId="15100"/>
    <cellStyle name="RowTitles-Col2 2 9 2_Tertiary Salaries Survey" xfId="15101"/>
    <cellStyle name="RowTitles-Col2 2 9 3" xfId="15102"/>
    <cellStyle name="RowTitles-Col2 2 9 3 2" xfId="15103"/>
    <cellStyle name="RowTitles-Col2 2 9 3 2 2" xfId="15104"/>
    <cellStyle name="RowTitles-Col2 2 9 3 2_Tertiary Salaries Survey" xfId="15105"/>
    <cellStyle name="RowTitles-Col2 2 9 3 3" xfId="15106"/>
    <cellStyle name="RowTitles-Col2 2 9 3_Tertiary Salaries Survey" xfId="15107"/>
    <cellStyle name="RowTitles-Col2 2 9 4" xfId="15108"/>
    <cellStyle name="RowTitles-Col2 2 9 5" xfId="15109"/>
    <cellStyle name="RowTitles-Col2 2 9 5 2" xfId="15110"/>
    <cellStyle name="RowTitles-Col2 2 9 5_Tertiary Salaries Survey" xfId="15111"/>
    <cellStyle name="RowTitles-Col2 2 9 6" xfId="15112"/>
    <cellStyle name="RowTitles-Col2 2 9_Tertiary Salaries Survey" xfId="15113"/>
    <cellStyle name="RowTitles-Col2 2_STUD aligned by INSTIT" xfId="15114"/>
    <cellStyle name="RowTitles-Col2 3" xfId="15115"/>
    <cellStyle name="RowTitles-Col2 3 10" xfId="15116"/>
    <cellStyle name="RowTitles-Col2 3 10 2" xfId="15117"/>
    <cellStyle name="RowTitles-Col2 3 10 2 2" xfId="15118"/>
    <cellStyle name="RowTitles-Col2 3 10 2_Tertiary Salaries Survey" xfId="15119"/>
    <cellStyle name="RowTitles-Col2 3 10 3" xfId="15120"/>
    <cellStyle name="RowTitles-Col2 3 10_Tertiary Salaries Survey" xfId="15121"/>
    <cellStyle name="RowTitles-Col2 3 11" xfId="15122"/>
    <cellStyle name="RowTitles-Col2 3 2" xfId="15123"/>
    <cellStyle name="RowTitles-Col2 3 2 2" xfId="15124"/>
    <cellStyle name="RowTitles-Col2 3 2 2 2" xfId="15125"/>
    <cellStyle name="RowTitles-Col2 3 2 2 2 2" xfId="15126"/>
    <cellStyle name="RowTitles-Col2 3 2 2 2 2 2" xfId="15127"/>
    <cellStyle name="RowTitles-Col2 3 2 2 2 2_Tertiary Salaries Survey" xfId="15128"/>
    <cellStyle name="RowTitles-Col2 3 2 2 2 3" xfId="15129"/>
    <cellStyle name="RowTitles-Col2 3 2 2 2_Tertiary Salaries Survey" xfId="15130"/>
    <cellStyle name="RowTitles-Col2 3 2 2 3" xfId="15131"/>
    <cellStyle name="RowTitles-Col2 3 2 2 3 2" xfId="15132"/>
    <cellStyle name="RowTitles-Col2 3 2 2 3 2 2" xfId="15133"/>
    <cellStyle name="RowTitles-Col2 3 2 2 3 2_Tertiary Salaries Survey" xfId="15134"/>
    <cellStyle name="RowTitles-Col2 3 2 2 3 3" xfId="15135"/>
    <cellStyle name="RowTitles-Col2 3 2 2 3_Tertiary Salaries Survey" xfId="15136"/>
    <cellStyle name="RowTitles-Col2 3 2 2 4" xfId="15137"/>
    <cellStyle name="RowTitles-Col2 3 2 2_Tertiary Salaries Survey" xfId="15138"/>
    <cellStyle name="RowTitles-Col2 3 2 3" xfId="15139"/>
    <cellStyle name="RowTitles-Col2 3 2 3 2" xfId="15140"/>
    <cellStyle name="RowTitles-Col2 3 2 3 2 2" xfId="15141"/>
    <cellStyle name="RowTitles-Col2 3 2 3 2 2 2" xfId="15142"/>
    <cellStyle name="RowTitles-Col2 3 2 3 2 2_Tertiary Salaries Survey" xfId="15143"/>
    <cellStyle name="RowTitles-Col2 3 2 3 2 3" xfId="15144"/>
    <cellStyle name="RowTitles-Col2 3 2 3 2_Tertiary Salaries Survey" xfId="15145"/>
    <cellStyle name="RowTitles-Col2 3 2 3 3" xfId="15146"/>
    <cellStyle name="RowTitles-Col2 3 2 3 3 2" xfId="15147"/>
    <cellStyle name="RowTitles-Col2 3 2 3 3 2 2" xfId="15148"/>
    <cellStyle name="RowTitles-Col2 3 2 3 3 2_Tertiary Salaries Survey" xfId="15149"/>
    <cellStyle name="RowTitles-Col2 3 2 3 3 3" xfId="15150"/>
    <cellStyle name="RowTitles-Col2 3 2 3 3_Tertiary Salaries Survey" xfId="15151"/>
    <cellStyle name="RowTitles-Col2 3 2 3 4" xfId="15152"/>
    <cellStyle name="RowTitles-Col2 3 2 3 5" xfId="15153"/>
    <cellStyle name="RowTitles-Col2 3 2 3 5 2" xfId="15154"/>
    <cellStyle name="RowTitles-Col2 3 2 3 5_Tertiary Salaries Survey" xfId="15155"/>
    <cellStyle name="RowTitles-Col2 3 2 3 6" xfId="15156"/>
    <cellStyle name="RowTitles-Col2 3 2 3_Tertiary Salaries Survey" xfId="15157"/>
    <cellStyle name="RowTitles-Col2 3 2 4" xfId="15158"/>
    <cellStyle name="RowTitles-Col2 3 2 4 2" xfId="15159"/>
    <cellStyle name="RowTitles-Col2 3 2 4 2 2" xfId="15160"/>
    <cellStyle name="RowTitles-Col2 3 2 4 2 2 2" xfId="15161"/>
    <cellStyle name="RowTitles-Col2 3 2 4 2 2_Tertiary Salaries Survey" xfId="15162"/>
    <cellStyle name="RowTitles-Col2 3 2 4 2 3" xfId="15163"/>
    <cellStyle name="RowTitles-Col2 3 2 4 2_Tertiary Salaries Survey" xfId="15164"/>
    <cellStyle name="RowTitles-Col2 3 2 4 3" xfId="15165"/>
    <cellStyle name="RowTitles-Col2 3 2 4 3 2" xfId="15166"/>
    <cellStyle name="RowTitles-Col2 3 2 4 3 2 2" xfId="15167"/>
    <cellStyle name="RowTitles-Col2 3 2 4 3 2_Tertiary Salaries Survey" xfId="15168"/>
    <cellStyle name="RowTitles-Col2 3 2 4 3 3" xfId="15169"/>
    <cellStyle name="RowTitles-Col2 3 2 4 3_Tertiary Salaries Survey" xfId="15170"/>
    <cellStyle name="RowTitles-Col2 3 2 4 4" xfId="15171"/>
    <cellStyle name="RowTitles-Col2 3 2 4 4 2" xfId="15172"/>
    <cellStyle name="RowTitles-Col2 3 2 4 4_Tertiary Salaries Survey" xfId="15173"/>
    <cellStyle name="RowTitles-Col2 3 2 4 5" xfId="15174"/>
    <cellStyle name="RowTitles-Col2 3 2 4_Tertiary Salaries Survey" xfId="15175"/>
    <cellStyle name="RowTitles-Col2 3 2 5" xfId="15176"/>
    <cellStyle name="RowTitles-Col2 3 2 5 2" xfId="15177"/>
    <cellStyle name="RowTitles-Col2 3 2 5 2 2" xfId="15178"/>
    <cellStyle name="RowTitles-Col2 3 2 5 2 2 2" xfId="15179"/>
    <cellStyle name="RowTitles-Col2 3 2 5 2 2_Tertiary Salaries Survey" xfId="15180"/>
    <cellStyle name="RowTitles-Col2 3 2 5 2 3" xfId="15181"/>
    <cellStyle name="RowTitles-Col2 3 2 5 2_Tertiary Salaries Survey" xfId="15182"/>
    <cellStyle name="RowTitles-Col2 3 2 5 3" xfId="15183"/>
    <cellStyle name="RowTitles-Col2 3 2 5 3 2" xfId="15184"/>
    <cellStyle name="RowTitles-Col2 3 2 5 3 2 2" xfId="15185"/>
    <cellStyle name="RowTitles-Col2 3 2 5 3 2_Tertiary Salaries Survey" xfId="15186"/>
    <cellStyle name="RowTitles-Col2 3 2 5 3 3" xfId="15187"/>
    <cellStyle name="RowTitles-Col2 3 2 5 3_Tertiary Salaries Survey" xfId="15188"/>
    <cellStyle name="RowTitles-Col2 3 2 5 4" xfId="15189"/>
    <cellStyle name="RowTitles-Col2 3 2 5 4 2" xfId="15190"/>
    <cellStyle name="RowTitles-Col2 3 2 5 4_Tertiary Salaries Survey" xfId="15191"/>
    <cellStyle name="RowTitles-Col2 3 2 5 5" xfId="15192"/>
    <cellStyle name="RowTitles-Col2 3 2 5_Tertiary Salaries Survey" xfId="15193"/>
    <cellStyle name="RowTitles-Col2 3 2 6" xfId="15194"/>
    <cellStyle name="RowTitles-Col2 3 2 6 2" xfId="15195"/>
    <cellStyle name="RowTitles-Col2 3 2 6 2 2" xfId="15196"/>
    <cellStyle name="RowTitles-Col2 3 2 6 2 2 2" xfId="15197"/>
    <cellStyle name="RowTitles-Col2 3 2 6 2 2_Tertiary Salaries Survey" xfId="15198"/>
    <cellStyle name="RowTitles-Col2 3 2 6 2 3" xfId="15199"/>
    <cellStyle name="RowTitles-Col2 3 2 6 2_Tertiary Salaries Survey" xfId="15200"/>
    <cellStyle name="RowTitles-Col2 3 2 6 3" xfId="15201"/>
    <cellStyle name="RowTitles-Col2 3 2 6 3 2" xfId="15202"/>
    <cellStyle name="RowTitles-Col2 3 2 6 3 2 2" xfId="15203"/>
    <cellStyle name="RowTitles-Col2 3 2 6 3 2_Tertiary Salaries Survey" xfId="15204"/>
    <cellStyle name="RowTitles-Col2 3 2 6 3 3" xfId="15205"/>
    <cellStyle name="RowTitles-Col2 3 2 6 3_Tertiary Salaries Survey" xfId="15206"/>
    <cellStyle name="RowTitles-Col2 3 2 6 4" xfId="15207"/>
    <cellStyle name="RowTitles-Col2 3 2 6 4 2" xfId="15208"/>
    <cellStyle name="RowTitles-Col2 3 2 6 4_Tertiary Salaries Survey" xfId="15209"/>
    <cellStyle name="RowTitles-Col2 3 2 6 5" xfId="15210"/>
    <cellStyle name="RowTitles-Col2 3 2 6_Tertiary Salaries Survey" xfId="15211"/>
    <cellStyle name="RowTitles-Col2 3 2 7" xfId="15212"/>
    <cellStyle name="RowTitles-Col2 3 2 7 2" xfId="15213"/>
    <cellStyle name="RowTitles-Col2 3 2 7 2 2" xfId="15214"/>
    <cellStyle name="RowTitles-Col2 3 2 7 2_Tertiary Salaries Survey" xfId="15215"/>
    <cellStyle name="RowTitles-Col2 3 2 7 3" xfId="15216"/>
    <cellStyle name="RowTitles-Col2 3 2 7_Tertiary Salaries Survey" xfId="15217"/>
    <cellStyle name="RowTitles-Col2 3 2 8" xfId="15218"/>
    <cellStyle name="RowTitles-Col2 3 2_STUD aligned by INSTIT" xfId="15219"/>
    <cellStyle name="RowTitles-Col2 3 3" xfId="15220"/>
    <cellStyle name="RowTitles-Col2 3 3 2" xfId="15221"/>
    <cellStyle name="RowTitles-Col2 3 3 2 2" xfId="15222"/>
    <cellStyle name="RowTitles-Col2 3 3 2 2 2" xfId="15223"/>
    <cellStyle name="RowTitles-Col2 3 3 2 2 2 2" xfId="15224"/>
    <cellStyle name="RowTitles-Col2 3 3 2 2 2_Tertiary Salaries Survey" xfId="15225"/>
    <cellStyle name="RowTitles-Col2 3 3 2 2 3" xfId="15226"/>
    <cellStyle name="RowTitles-Col2 3 3 2 2_Tertiary Salaries Survey" xfId="15227"/>
    <cellStyle name="RowTitles-Col2 3 3 2 3" xfId="15228"/>
    <cellStyle name="RowTitles-Col2 3 3 2 3 2" xfId="15229"/>
    <cellStyle name="RowTitles-Col2 3 3 2 3 2 2" xfId="15230"/>
    <cellStyle name="RowTitles-Col2 3 3 2 3 2_Tertiary Salaries Survey" xfId="15231"/>
    <cellStyle name="RowTitles-Col2 3 3 2 3 3" xfId="15232"/>
    <cellStyle name="RowTitles-Col2 3 3 2 3_Tertiary Salaries Survey" xfId="15233"/>
    <cellStyle name="RowTitles-Col2 3 3 2 4" xfId="15234"/>
    <cellStyle name="RowTitles-Col2 3 3 2 5" xfId="15235"/>
    <cellStyle name="RowTitles-Col2 3 3 2 5 2" xfId="15236"/>
    <cellStyle name="RowTitles-Col2 3 3 2 5_Tertiary Salaries Survey" xfId="15237"/>
    <cellStyle name="RowTitles-Col2 3 3 2 6" xfId="15238"/>
    <cellStyle name="RowTitles-Col2 3 3 2_Tertiary Salaries Survey" xfId="15239"/>
    <cellStyle name="RowTitles-Col2 3 3 3" xfId="15240"/>
    <cellStyle name="RowTitles-Col2 3 3 3 2" xfId="15241"/>
    <cellStyle name="RowTitles-Col2 3 3 3 2 2" xfId="15242"/>
    <cellStyle name="RowTitles-Col2 3 3 3 2 2 2" xfId="15243"/>
    <cellStyle name="RowTitles-Col2 3 3 3 2 2_Tertiary Salaries Survey" xfId="15244"/>
    <cellStyle name="RowTitles-Col2 3 3 3 2 3" xfId="15245"/>
    <cellStyle name="RowTitles-Col2 3 3 3 2_Tertiary Salaries Survey" xfId="15246"/>
    <cellStyle name="RowTitles-Col2 3 3 3 3" xfId="15247"/>
    <cellStyle name="RowTitles-Col2 3 3 3 3 2" xfId="15248"/>
    <cellStyle name="RowTitles-Col2 3 3 3 3 2 2" xfId="15249"/>
    <cellStyle name="RowTitles-Col2 3 3 3 3 2_Tertiary Salaries Survey" xfId="15250"/>
    <cellStyle name="RowTitles-Col2 3 3 3 3 3" xfId="15251"/>
    <cellStyle name="RowTitles-Col2 3 3 3 3_Tertiary Salaries Survey" xfId="15252"/>
    <cellStyle name="RowTitles-Col2 3 3 3 4" xfId="15253"/>
    <cellStyle name="RowTitles-Col2 3 3 3_Tertiary Salaries Survey" xfId="15254"/>
    <cellStyle name="RowTitles-Col2 3 3 4" xfId="15255"/>
    <cellStyle name="RowTitles-Col2 3 3 4 2" xfId="15256"/>
    <cellStyle name="RowTitles-Col2 3 3 4 2 2" xfId="15257"/>
    <cellStyle name="RowTitles-Col2 3 3 4 2 2 2" xfId="15258"/>
    <cellStyle name="RowTitles-Col2 3 3 4 2 2_Tertiary Salaries Survey" xfId="15259"/>
    <cellStyle name="RowTitles-Col2 3 3 4 2 3" xfId="15260"/>
    <cellStyle name="RowTitles-Col2 3 3 4 2_Tertiary Salaries Survey" xfId="15261"/>
    <cellStyle name="RowTitles-Col2 3 3 4 3" xfId="15262"/>
    <cellStyle name="RowTitles-Col2 3 3 4 3 2" xfId="15263"/>
    <cellStyle name="RowTitles-Col2 3 3 4 3 2 2" xfId="15264"/>
    <cellStyle name="RowTitles-Col2 3 3 4 3 2_Tertiary Salaries Survey" xfId="15265"/>
    <cellStyle name="RowTitles-Col2 3 3 4 3 3" xfId="15266"/>
    <cellStyle name="RowTitles-Col2 3 3 4 3_Tertiary Salaries Survey" xfId="15267"/>
    <cellStyle name="RowTitles-Col2 3 3 4 4" xfId="15268"/>
    <cellStyle name="RowTitles-Col2 3 3 4 4 2" xfId="15269"/>
    <cellStyle name="RowTitles-Col2 3 3 4 4_Tertiary Salaries Survey" xfId="15270"/>
    <cellStyle name="RowTitles-Col2 3 3 4 5" xfId="15271"/>
    <cellStyle name="RowTitles-Col2 3 3 4_Tertiary Salaries Survey" xfId="15272"/>
    <cellStyle name="RowTitles-Col2 3 3 5" xfId="15273"/>
    <cellStyle name="RowTitles-Col2 3 3 5 2" xfId="15274"/>
    <cellStyle name="RowTitles-Col2 3 3 5 2 2" xfId="15275"/>
    <cellStyle name="RowTitles-Col2 3 3 5 2 2 2" xfId="15276"/>
    <cellStyle name="RowTitles-Col2 3 3 5 2 2_Tertiary Salaries Survey" xfId="15277"/>
    <cellStyle name="RowTitles-Col2 3 3 5 2 3" xfId="15278"/>
    <cellStyle name="RowTitles-Col2 3 3 5 2_Tertiary Salaries Survey" xfId="15279"/>
    <cellStyle name="RowTitles-Col2 3 3 5 3" xfId="15280"/>
    <cellStyle name="RowTitles-Col2 3 3 5 3 2" xfId="15281"/>
    <cellStyle name="RowTitles-Col2 3 3 5 3 2 2" xfId="15282"/>
    <cellStyle name="RowTitles-Col2 3 3 5 3 2_Tertiary Salaries Survey" xfId="15283"/>
    <cellStyle name="RowTitles-Col2 3 3 5 3 3" xfId="15284"/>
    <cellStyle name="RowTitles-Col2 3 3 5 3_Tertiary Salaries Survey" xfId="15285"/>
    <cellStyle name="RowTitles-Col2 3 3 5 4" xfId="15286"/>
    <cellStyle name="RowTitles-Col2 3 3 5 4 2" xfId="15287"/>
    <cellStyle name="RowTitles-Col2 3 3 5 4_Tertiary Salaries Survey" xfId="15288"/>
    <cellStyle name="RowTitles-Col2 3 3 5 5" xfId="15289"/>
    <cellStyle name="RowTitles-Col2 3 3 5_Tertiary Salaries Survey" xfId="15290"/>
    <cellStyle name="RowTitles-Col2 3 3 6" xfId="15291"/>
    <cellStyle name="RowTitles-Col2 3 3 6 2" xfId="15292"/>
    <cellStyle name="RowTitles-Col2 3 3 6 2 2" xfId="15293"/>
    <cellStyle name="RowTitles-Col2 3 3 6 2 2 2" xfId="15294"/>
    <cellStyle name="RowTitles-Col2 3 3 6 2 2_Tertiary Salaries Survey" xfId="15295"/>
    <cellStyle name="RowTitles-Col2 3 3 6 2 3" xfId="15296"/>
    <cellStyle name="RowTitles-Col2 3 3 6 2_Tertiary Salaries Survey" xfId="15297"/>
    <cellStyle name="RowTitles-Col2 3 3 6 3" xfId="15298"/>
    <cellStyle name="RowTitles-Col2 3 3 6 3 2" xfId="15299"/>
    <cellStyle name="RowTitles-Col2 3 3 6 3 2 2" xfId="15300"/>
    <cellStyle name="RowTitles-Col2 3 3 6 3 2_Tertiary Salaries Survey" xfId="15301"/>
    <cellStyle name="RowTitles-Col2 3 3 6 3 3" xfId="15302"/>
    <cellStyle name="RowTitles-Col2 3 3 6 3_Tertiary Salaries Survey" xfId="15303"/>
    <cellStyle name="RowTitles-Col2 3 3 6 4" xfId="15304"/>
    <cellStyle name="RowTitles-Col2 3 3 6 4 2" xfId="15305"/>
    <cellStyle name="RowTitles-Col2 3 3 6 4_Tertiary Salaries Survey" xfId="15306"/>
    <cellStyle name="RowTitles-Col2 3 3 6 5" xfId="15307"/>
    <cellStyle name="RowTitles-Col2 3 3 6_Tertiary Salaries Survey" xfId="15308"/>
    <cellStyle name="RowTitles-Col2 3 3 7" xfId="15309"/>
    <cellStyle name="RowTitles-Col2 3 3 7 2" xfId="15310"/>
    <cellStyle name="RowTitles-Col2 3 3 7 2 2" xfId="15311"/>
    <cellStyle name="RowTitles-Col2 3 3 7 2_Tertiary Salaries Survey" xfId="15312"/>
    <cellStyle name="RowTitles-Col2 3 3 7 3" xfId="15313"/>
    <cellStyle name="RowTitles-Col2 3 3 7_Tertiary Salaries Survey" xfId="15314"/>
    <cellStyle name="RowTitles-Col2 3 3 8" xfId="15315"/>
    <cellStyle name="RowTitles-Col2 3 3 8 2" xfId="15316"/>
    <cellStyle name="RowTitles-Col2 3 3 8 2 2" xfId="15317"/>
    <cellStyle name="RowTitles-Col2 3 3 8 2_Tertiary Salaries Survey" xfId="15318"/>
    <cellStyle name="RowTitles-Col2 3 3 8 3" xfId="15319"/>
    <cellStyle name="RowTitles-Col2 3 3 8_Tertiary Salaries Survey" xfId="15320"/>
    <cellStyle name="RowTitles-Col2 3 3_STUD aligned by INSTIT" xfId="15321"/>
    <cellStyle name="RowTitles-Col2 3 4" xfId="15322"/>
    <cellStyle name="RowTitles-Col2 3 4 2" xfId="15323"/>
    <cellStyle name="RowTitles-Col2 3 4 2 2" xfId="15324"/>
    <cellStyle name="RowTitles-Col2 3 4 2 2 2" xfId="15325"/>
    <cellStyle name="RowTitles-Col2 3 4 2 2 2 2" xfId="15326"/>
    <cellStyle name="RowTitles-Col2 3 4 2 2 2_Tertiary Salaries Survey" xfId="15327"/>
    <cellStyle name="RowTitles-Col2 3 4 2 2 3" xfId="15328"/>
    <cellStyle name="RowTitles-Col2 3 4 2 2_Tertiary Salaries Survey" xfId="15329"/>
    <cellStyle name="RowTitles-Col2 3 4 2 3" xfId="15330"/>
    <cellStyle name="RowTitles-Col2 3 4 2 3 2" xfId="15331"/>
    <cellStyle name="RowTitles-Col2 3 4 2 3 2 2" xfId="15332"/>
    <cellStyle name="RowTitles-Col2 3 4 2 3 2_Tertiary Salaries Survey" xfId="15333"/>
    <cellStyle name="RowTitles-Col2 3 4 2 3 3" xfId="15334"/>
    <cellStyle name="RowTitles-Col2 3 4 2 3_Tertiary Salaries Survey" xfId="15335"/>
    <cellStyle name="RowTitles-Col2 3 4 2 4" xfId="15336"/>
    <cellStyle name="RowTitles-Col2 3 4 2 5" xfId="15337"/>
    <cellStyle name="RowTitles-Col2 3 4 2 5 2" xfId="15338"/>
    <cellStyle name="RowTitles-Col2 3 4 2 5_Tertiary Salaries Survey" xfId="15339"/>
    <cellStyle name="RowTitles-Col2 3 4 2_Tertiary Salaries Survey" xfId="15340"/>
    <cellStyle name="RowTitles-Col2 3 4 3" xfId="15341"/>
    <cellStyle name="RowTitles-Col2 3 4 3 2" xfId="15342"/>
    <cellStyle name="RowTitles-Col2 3 4 3 2 2" xfId="15343"/>
    <cellStyle name="RowTitles-Col2 3 4 3 2 2 2" xfId="15344"/>
    <cellStyle name="RowTitles-Col2 3 4 3 2 2_Tertiary Salaries Survey" xfId="15345"/>
    <cellStyle name="RowTitles-Col2 3 4 3 2 3" xfId="15346"/>
    <cellStyle name="RowTitles-Col2 3 4 3 2_Tertiary Salaries Survey" xfId="15347"/>
    <cellStyle name="RowTitles-Col2 3 4 3 3" xfId="15348"/>
    <cellStyle name="RowTitles-Col2 3 4 3 3 2" xfId="15349"/>
    <cellStyle name="RowTitles-Col2 3 4 3 3 2 2" xfId="15350"/>
    <cellStyle name="RowTitles-Col2 3 4 3 3 2_Tertiary Salaries Survey" xfId="15351"/>
    <cellStyle name="RowTitles-Col2 3 4 3 3 3" xfId="15352"/>
    <cellStyle name="RowTitles-Col2 3 4 3 3_Tertiary Salaries Survey" xfId="15353"/>
    <cellStyle name="RowTitles-Col2 3 4 3 4" xfId="15354"/>
    <cellStyle name="RowTitles-Col2 3 4 3 5" xfId="15355"/>
    <cellStyle name="RowTitles-Col2 3 4 3_Tertiary Salaries Survey" xfId="15356"/>
    <cellStyle name="RowTitles-Col2 3 4 4" xfId="15357"/>
    <cellStyle name="RowTitles-Col2 3 4 4 2" xfId="15358"/>
    <cellStyle name="RowTitles-Col2 3 4 4 2 2" xfId="15359"/>
    <cellStyle name="RowTitles-Col2 3 4 4 2 2 2" xfId="15360"/>
    <cellStyle name="RowTitles-Col2 3 4 4 2 2_Tertiary Salaries Survey" xfId="15361"/>
    <cellStyle name="RowTitles-Col2 3 4 4 2 3" xfId="15362"/>
    <cellStyle name="RowTitles-Col2 3 4 4 2_Tertiary Salaries Survey" xfId="15363"/>
    <cellStyle name="RowTitles-Col2 3 4 4 3" xfId="15364"/>
    <cellStyle name="RowTitles-Col2 3 4 4 3 2" xfId="15365"/>
    <cellStyle name="RowTitles-Col2 3 4 4 3 2 2" xfId="15366"/>
    <cellStyle name="RowTitles-Col2 3 4 4 3 2_Tertiary Salaries Survey" xfId="15367"/>
    <cellStyle name="RowTitles-Col2 3 4 4 3 3" xfId="15368"/>
    <cellStyle name="RowTitles-Col2 3 4 4 3_Tertiary Salaries Survey" xfId="15369"/>
    <cellStyle name="RowTitles-Col2 3 4 4 4" xfId="15370"/>
    <cellStyle name="RowTitles-Col2 3 4 4 5" xfId="15371"/>
    <cellStyle name="RowTitles-Col2 3 4 4 5 2" xfId="15372"/>
    <cellStyle name="RowTitles-Col2 3 4 4 5_Tertiary Salaries Survey" xfId="15373"/>
    <cellStyle name="RowTitles-Col2 3 4 4 6" xfId="15374"/>
    <cellStyle name="RowTitles-Col2 3 4 4_Tertiary Salaries Survey" xfId="15375"/>
    <cellStyle name="RowTitles-Col2 3 4 5" xfId="15376"/>
    <cellStyle name="RowTitles-Col2 3 4 5 2" xfId="15377"/>
    <cellStyle name="RowTitles-Col2 3 4 5 2 2" xfId="15378"/>
    <cellStyle name="RowTitles-Col2 3 4 5 2 2 2" xfId="15379"/>
    <cellStyle name="RowTitles-Col2 3 4 5 2 2_Tertiary Salaries Survey" xfId="15380"/>
    <cellStyle name="RowTitles-Col2 3 4 5 2 3" xfId="15381"/>
    <cellStyle name="RowTitles-Col2 3 4 5 2_Tertiary Salaries Survey" xfId="15382"/>
    <cellStyle name="RowTitles-Col2 3 4 5 3" xfId="15383"/>
    <cellStyle name="RowTitles-Col2 3 4 5 3 2" xfId="15384"/>
    <cellStyle name="RowTitles-Col2 3 4 5 3 2 2" xfId="15385"/>
    <cellStyle name="RowTitles-Col2 3 4 5 3 2_Tertiary Salaries Survey" xfId="15386"/>
    <cellStyle name="RowTitles-Col2 3 4 5 3 3" xfId="15387"/>
    <cellStyle name="RowTitles-Col2 3 4 5 3_Tertiary Salaries Survey" xfId="15388"/>
    <cellStyle name="RowTitles-Col2 3 4 5 4" xfId="15389"/>
    <cellStyle name="RowTitles-Col2 3 4 5 4 2" xfId="15390"/>
    <cellStyle name="RowTitles-Col2 3 4 5 4_Tertiary Salaries Survey" xfId="15391"/>
    <cellStyle name="RowTitles-Col2 3 4 5 5" xfId="15392"/>
    <cellStyle name="RowTitles-Col2 3 4 5_Tertiary Salaries Survey" xfId="15393"/>
    <cellStyle name="RowTitles-Col2 3 4 6" xfId="15394"/>
    <cellStyle name="RowTitles-Col2 3 4 6 2" xfId="15395"/>
    <cellStyle name="RowTitles-Col2 3 4 6 2 2" xfId="15396"/>
    <cellStyle name="RowTitles-Col2 3 4 6 2 2 2" xfId="15397"/>
    <cellStyle name="RowTitles-Col2 3 4 6 2 2_Tertiary Salaries Survey" xfId="15398"/>
    <cellStyle name="RowTitles-Col2 3 4 6 2 3" xfId="15399"/>
    <cellStyle name="RowTitles-Col2 3 4 6 2_Tertiary Salaries Survey" xfId="15400"/>
    <cellStyle name="RowTitles-Col2 3 4 6 3" xfId="15401"/>
    <cellStyle name="RowTitles-Col2 3 4 6 3 2" xfId="15402"/>
    <cellStyle name="RowTitles-Col2 3 4 6 3 2 2" xfId="15403"/>
    <cellStyle name="RowTitles-Col2 3 4 6 3 2_Tertiary Salaries Survey" xfId="15404"/>
    <cellStyle name="RowTitles-Col2 3 4 6 3 3" xfId="15405"/>
    <cellStyle name="RowTitles-Col2 3 4 6 3_Tertiary Salaries Survey" xfId="15406"/>
    <cellStyle name="RowTitles-Col2 3 4 6 4" xfId="15407"/>
    <cellStyle name="RowTitles-Col2 3 4 6 4 2" xfId="15408"/>
    <cellStyle name="RowTitles-Col2 3 4 6 4_Tertiary Salaries Survey" xfId="15409"/>
    <cellStyle name="RowTitles-Col2 3 4 6 5" xfId="15410"/>
    <cellStyle name="RowTitles-Col2 3 4 6_Tertiary Salaries Survey" xfId="15411"/>
    <cellStyle name="RowTitles-Col2 3 4 7" xfId="15412"/>
    <cellStyle name="RowTitles-Col2 3 4 7 2" xfId="15413"/>
    <cellStyle name="RowTitles-Col2 3 4 7 2 2" xfId="15414"/>
    <cellStyle name="RowTitles-Col2 3 4 7 2_Tertiary Salaries Survey" xfId="15415"/>
    <cellStyle name="RowTitles-Col2 3 4 7 3" xfId="15416"/>
    <cellStyle name="RowTitles-Col2 3 4 7_Tertiary Salaries Survey" xfId="15417"/>
    <cellStyle name="RowTitles-Col2 3 4 8" xfId="15418"/>
    <cellStyle name="RowTitles-Col2 3 4_STUD aligned by INSTIT" xfId="15419"/>
    <cellStyle name="RowTitles-Col2 3 5" xfId="15420"/>
    <cellStyle name="RowTitles-Col2 3 5 2" xfId="15421"/>
    <cellStyle name="RowTitles-Col2 3 5 2 2" xfId="15422"/>
    <cellStyle name="RowTitles-Col2 3 5 2 2 2" xfId="15423"/>
    <cellStyle name="RowTitles-Col2 3 5 2 2_Tertiary Salaries Survey" xfId="15424"/>
    <cellStyle name="RowTitles-Col2 3 5 2 3" xfId="15425"/>
    <cellStyle name="RowTitles-Col2 3 5 2_Tertiary Salaries Survey" xfId="15426"/>
    <cellStyle name="RowTitles-Col2 3 5 3" xfId="15427"/>
    <cellStyle name="RowTitles-Col2 3 5 3 2" xfId="15428"/>
    <cellStyle name="RowTitles-Col2 3 5 3 2 2" xfId="15429"/>
    <cellStyle name="RowTitles-Col2 3 5 3 2_Tertiary Salaries Survey" xfId="15430"/>
    <cellStyle name="RowTitles-Col2 3 5 3 3" xfId="15431"/>
    <cellStyle name="RowTitles-Col2 3 5 3_Tertiary Salaries Survey" xfId="15432"/>
    <cellStyle name="RowTitles-Col2 3 5 4" xfId="15433"/>
    <cellStyle name="RowTitles-Col2 3 5 5" xfId="15434"/>
    <cellStyle name="RowTitles-Col2 3 5 5 2" xfId="15435"/>
    <cellStyle name="RowTitles-Col2 3 5 5_Tertiary Salaries Survey" xfId="15436"/>
    <cellStyle name="RowTitles-Col2 3 5_Tertiary Salaries Survey" xfId="15437"/>
    <cellStyle name="RowTitles-Col2 3 6" xfId="15438"/>
    <cellStyle name="RowTitles-Col2 3 6 2" xfId="15439"/>
    <cellStyle name="RowTitles-Col2 3 6 2 2" xfId="15440"/>
    <cellStyle name="RowTitles-Col2 3 6 2 2 2" xfId="15441"/>
    <cellStyle name="RowTitles-Col2 3 6 2 2_Tertiary Salaries Survey" xfId="15442"/>
    <cellStyle name="RowTitles-Col2 3 6 2 3" xfId="15443"/>
    <cellStyle name="RowTitles-Col2 3 6 2_Tertiary Salaries Survey" xfId="15444"/>
    <cellStyle name="RowTitles-Col2 3 6 3" xfId="15445"/>
    <cellStyle name="RowTitles-Col2 3 6 3 2" xfId="15446"/>
    <cellStyle name="RowTitles-Col2 3 6 3 2 2" xfId="15447"/>
    <cellStyle name="RowTitles-Col2 3 6 3 2_Tertiary Salaries Survey" xfId="15448"/>
    <cellStyle name="RowTitles-Col2 3 6 3 3" xfId="15449"/>
    <cellStyle name="RowTitles-Col2 3 6 3_Tertiary Salaries Survey" xfId="15450"/>
    <cellStyle name="RowTitles-Col2 3 6 4" xfId="15451"/>
    <cellStyle name="RowTitles-Col2 3 6 5" xfId="15452"/>
    <cellStyle name="RowTitles-Col2 3 6_Tertiary Salaries Survey" xfId="15453"/>
    <cellStyle name="RowTitles-Col2 3 7" xfId="15454"/>
    <cellStyle name="RowTitles-Col2 3 7 2" xfId="15455"/>
    <cellStyle name="RowTitles-Col2 3 7 2 2" xfId="15456"/>
    <cellStyle name="RowTitles-Col2 3 7 2 2 2" xfId="15457"/>
    <cellStyle name="RowTitles-Col2 3 7 2 2_Tertiary Salaries Survey" xfId="15458"/>
    <cellStyle name="RowTitles-Col2 3 7 2 3" xfId="15459"/>
    <cellStyle name="RowTitles-Col2 3 7 2_Tertiary Salaries Survey" xfId="15460"/>
    <cellStyle name="RowTitles-Col2 3 7 3" xfId="15461"/>
    <cellStyle name="RowTitles-Col2 3 7 3 2" xfId="15462"/>
    <cellStyle name="RowTitles-Col2 3 7 3 2 2" xfId="15463"/>
    <cellStyle name="RowTitles-Col2 3 7 3 2_Tertiary Salaries Survey" xfId="15464"/>
    <cellStyle name="RowTitles-Col2 3 7 3 3" xfId="15465"/>
    <cellStyle name="RowTitles-Col2 3 7 3_Tertiary Salaries Survey" xfId="15466"/>
    <cellStyle name="RowTitles-Col2 3 7 4" xfId="15467"/>
    <cellStyle name="RowTitles-Col2 3 7 5" xfId="15468"/>
    <cellStyle name="RowTitles-Col2 3 7 5 2" xfId="15469"/>
    <cellStyle name="RowTitles-Col2 3 7 5_Tertiary Salaries Survey" xfId="15470"/>
    <cellStyle name="RowTitles-Col2 3 7 6" xfId="15471"/>
    <cellStyle name="RowTitles-Col2 3 7_Tertiary Salaries Survey" xfId="15472"/>
    <cellStyle name="RowTitles-Col2 3 8" xfId="15473"/>
    <cellStyle name="RowTitles-Col2 3 8 2" xfId="15474"/>
    <cellStyle name="RowTitles-Col2 3 8 2 2" xfId="15475"/>
    <cellStyle name="RowTitles-Col2 3 8 2 2 2" xfId="15476"/>
    <cellStyle name="RowTitles-Col2 3 8 2 2_Tertiary Salaries Survey" xfId="15477"/>
    <cellStyle name="RowTitles-Col2 3 8 2 3" xfId="15478"/>
    <cellStyle name="RowTitles-Col2 3 8 2_Tertiary Salaries Survey" xfId="15479"/>
    <cellStyle name="RowTitles-Col2 3 8 3" xfId="15480"/>
    <cellStyle name="RowTitles-Col2 3 8 3 2" xfId="15481"/>
    <cellStyle name="RowTitles-Col2 3 8 3 2 2" xfId="15482"/>
    <cellStyle name="RowTitles-Col2 3 8 3 2_Tertiary Salaries Survey" xfId="15483"/>
    <cellStyle name="RowTitles-Col2 3 8 3 3" xfId="15484"/>
    <cellStyle name="RowTitles-Col2 3 8 3_Tertiary Salaries Survey" xfId="15485"/>
    <cellStyle name="RowTitles-Col2 3 8 4" xfId="15486"/>
    <cellStyle name="RowTitles-Col2 3 8 4 2" xfId="15487"/>
    <cellStyle name="RowTitles-Col2 3 8 4_Tertiary Salaries Survey" xfId="15488"/>
    <cellStyle name="RowTitles-Col2 3 8 5" xfId="15489"/>
    <cellStyle name="RowTitles-Col2 3 8_Tertiary Salaries Survey" xfId="15490"/>
    <cellStyle name="RowTitles-Col2 3 9" xfId="15491"/>
    <cellStyle name="RowTitles-Col2 3 9 2" xfId="15492"/>
    <cellStyle name="RowTitles-Col2 3 9 2 2" xfId="15493"/>
    <cellStyle name="RowTitles-Col2 3 9 2 2 2" xfId="15494"/>
    <cellStyle name="RowTitles-Col2 3 9 2 2_Tertiary Salaries Survey" xfId="15495"/>
    <cellStyle name="RowTitles-Col2 3 9 2 3" xfId="15496"/>
    <cellStyle name="RowTitles-Col2 3 9 2_Tertiary Salaries Survey" xfId="15497"/>
    <cellStyle name="RowTitles-Col2 3 9 3" xfId="15498"/>
    <cellStyle name="RowTitles-Col2 3 9 3 2" xfId="15499"/>
    <cellStyle name="RowTitles-Col2 3 9 3 2 2" xfId="15500"/>
    <cellStyle name="RowTitles-Col2 3 9 3 2_Tertiary Salaries Survey" xfId="15501"/>
    <cellStyle name="RowTitles-Col2 3 9 3 3" xfId="15502"/>
    <cellStyle name="RowTitles-Col2 3 9 3_Tertiary Salaries Survey" xfId="15503"/>
    <cellStyle name="RowTitles-Col2 3 9 4" xfId="15504"/>
    <cellStyle name="RowTitles-Col2 3 9 4 2" xfId="15505"/>
    <cellStyle name="RowTitles-Col2 3 9 4_Tertiary Salaries Survey" xfId="15506"/>
    <cellStyle name="RowTitles-Col2 3 9 5" xfId="15507"/>
    <cellStyle name="RowTitles-Col2 3 9_Tertiary Salaries Survey" xfId="15508"/>
    <cellStyle name="RowTitles-Col2 3_STUD aligned by INSTIT" xfId="15509"/>
    <cellStyle name="RowTitles-Col2 4" xfId="15510"/>
    <cellStyle name="RowTitles-Col2 4 2" xfId="15511"/>
    <cellStyle name="RowTitles-Col2 4 2 2" xfId="15512"/>
    <cellStyle name="RowTitles-Col2 4 2 2 2" xfId="15513"/>
    <cellStyle name="RowTitles-Col2 4 2 2 2 2" xfId="15514"/>
    <cellStyle name="RowTitles-Col2 4 2 2 2_Tertiary Salaries Survey" xfId="15515"/>
    <cellStyle name="RowTitles-Col2 4 2 2 3" xfId="15516"/>
    <cellStyle name="RowTitles-Col2 4 2 2_Tertiary Salaries Survey" xfId="15517"/>
    <cellStyle name="RowTitles-Col2 4 2 3" xfId="15518"/>
    <cellStyle name="RowTitles-Col2 4 2 3 2" xfId="15519"/>
    <cellStyle name="RowTitles-Col2 4 2 3 2 2" xfId="15520"/>
    <cellStyle name="RowTitles-Col2 4 2 3 2_Tertiary Salaries Survey" xfId="15521"/>
    <cellStyle name="RowTitles-Col2 4 2 3 3" xfId="15522"/>
    <cellStyle name="RowTitles-Col2 4 2 3_Tertiary Salaries Survey" xfId="15523"/>
    <cellStyle name="RowTitles-Col2 4 2 4" xfId="15524"/>
    <cellStyle name="RowTitles-Col2 4 2_Tertiary Salaries Survey" xfId="15525"/>
    <cellStyle name="RowTitles-Col2 4 3" xfId="15526"/>
    <cellStyle name="RowTitles-Col2 4 3 2" xfId="15527"/>
    <cellStyle name="RowTitles-Col2 4 3 2 2" xfId="15528"/>
    <cellStyle name="RowTitles-Col2 4 3 2 2 2" xfId="15529"/>
    <cellStyle name="RowTitles-Col2 4 3 2 2_Tertiary Salaries Survey" xfId="15530"/>
    <cellStyle name="RowTitles-Col2 4 3 2 3" xfId="15531"/>
    <cellStyle name="RowTitles-Col2 4 3 2_Tertiary Salaries Survey" xfId="15532"/>
    <cellStyle name="RowTitles-Col2 4 3 3" xfId="15533"/>
    <cellStyle name="RowTitles-Col2 4 3 3 2" xfId="15534"/>
    <cellStyle name="RowTitles-Col2 4 3 3 2 2" xfId="15535"/>
    <cellStyle name="RowTitles-Col2 4 3 3 2_Tertiary Salaries Survey" xfId="15536"/>
    <cellStyle name="RowTitles-Col2 4 3 3 3" xfId="15537"/>
    <cellStyle name="RowTitles-Col2 4 3 3_Tertiary Salaries Survey" xfId="15538"/>
    <cellStyle name="RowTitles-Col2 4 3 4" xfId="15539"/>
    <cellStyle name="RowTitles-Col2 4 3 5" xfId="15540"/>
    <cellStyle name="RowTitles-Col2 4 3 5 2" xfId="15541"/>
    <cellStyle name="RowTitles-Col2 4 3 5_Tertiary Salaries Survey" xfId="15542"/>
    <cellStyle name="RowTitles-Col2 4 3 6" xfId="15543"/>
    <cellStyle name="RowTitles-Col2 4 3_Tertiary Salaries Survey" xfId="15544"/>
    <cellStyle name="RowTitles-Col2 4 4" xfId="15545"/>
    <cellStyle name="RowTitles-Col2 4 4 2" xfId="15546"/>
    <cellStyle name="RowTitles-Col2 4 4 2 2" xfId="15547"/>
    <cellStyle name="RowTitles-Col2 4 4 2 2 2" xfId="15548"/>
    <cellStyle name="RowTitles-Col2 4 4 2 2_Tertiary Salaries Survey" xfId="15549"/>
    <cellStyle name="RowTitles-Col2 4 4 2 3" xfId="15550"/>
    <cellStyle name="RowTitles-Col2 4 4 2_Tertiary Salaries Survey" xfId="15551"/>
    <cellStyle name="RowTitles-Col2 4 4 3" xfId="15552"/>
    <cellStyle name="RowTitles-Col2 4 4 3 2" xfId="15553"/>
    <cellStyle name="RowTitles-Col2 4 4 3 2 2" xfId="15554"/>
    <cellStyle name="RowTitles-Col2 4 4 3 2_Tertiary Salaries Survey" xfId="15555"/>
    <cellStyle name="RowTitles-Col2 4 4 3 3" xfId="15556"/>
    <cellStyle name="RowTitles-Col2 4 4 3_Tertiary Salaries Survey" xfId="15557"/>
    <cellStyle name="RowTitles-Col2 4 4 4" xfId="15558"/>
    <cellStyle name="RowTitles-Col2 4 4 4 2" xfId="15559"/>
    <cellStyle name="RowTitles-Col2 4 4 4_Tertiary Salaries Survey" xfId="15560"/>
    <cellStyle name="RowTitles-Col2 4 4 5" xfId="15561"/>
    <cellStyle name="RowTitles-Col2 4 4_Tertiary Salaries Survey" xfId="15562"/>
    <cellStyle name="RowTitles-Col2 4 5" xfId="15563"/>
    <cellStyle name="RowTitles-Col2 4 5 2" xfId="15564"/>
    <cellStyle name="RowTitles-Col2 4 5 2 2" xfId="15565"/>
    <cellStyle name="RowTitles-Col2 4 5 2 2 2" xfId="15566"/>
    <cellStyle name="RowTitles-Col2 4 5 2 2_Tertiary Salaries Survey" xfId="15567"/>
    <cellStyle name="RowTitles-Col2 4 5 2 3" xfId="15568"/>
    <cellStyle name="RowTitles-Col2 4 5 2_Tertiary Salaries Survey" xfId="15569"/>
    <cellStyle name="RowTitles-Col2 4 5 3" xfId="15570"/>
    <cellStyle name="RowTitles-Col2 4 5 3 2" xfId="15571"/>
    <cellStyle name="RowTitles-Col2 4 5 3 2 2" xfId="15572"/>
    <cellStyle name="RowTitles-Col2 4 5 3 2_Tertiary Salaries Survey" xfId="15573"/>
    <cellStyle name="RowTitles-Col2 4 5 3 3" xfId="15574"/>
    <cellStyle name="RowTitles-Col2 4 5 3_Tertiary Salaries Survey" xfId="15575"/>
    <cellStyle name="RowTitles-Col2 4 5 4" xfId="15576"/>
    <cellStyle name="RowTitles-Col2 4 5 4 2" xfId="15577"/>
    <cellStyle name="RowTitles-Col2 4 5 4_Tertiary Salaries Survey" xfId="15578"/>
    <cellStyle name="RowTitles-Col2 4 5 5" xfId="15579"/>
    <cellStyle name="RowTitles-Col2 4 5_Tertiary Salaries Survey" xfId="15580"/>
    <cellStyle name="RowTitles-Col2 4 6" xfId="15581"/>
    <cellStyle name="RowTitles-Col2 4 6 2" xfId="15582"/>
    <cellStyle name="RowTitles-Col2 4 6 2 2" xfId="15583"/>
    <cellStyle name="RowTitles-Col2 4 6 2 2 2" xfId="15584"/>
    <cellStyle name="RowTitles-Col2 4 6 2 2_Tertiary Salaries Survey" xfId="15585"/>
    <cellStyle name="RowTitles-Col2 4 6 2 3" xfId="15586"/>
    <cellStyle name="RowTitles-Col2 4 6 2_Tertiary Salaries Survey" xfId="15587"/>
    <cellStyle name="RowTitles-Col2 4 6 3" xfId="15588"/>
    <cellStyle name="RowTitles-Col2 4 6 3 2" xfId="15589"/>
    <cellStyle name="RowTitles-Col2 4 6 3 2 2" xfId="15590"/>
    <cellStyle name="RowTitles-Col2 4 6 3 2_Tertiary Salaries Survey" xfId="15591"/>
    <cellStyle name="RowTitles-Col2 4 6 3 3" xfId="15592"/>
    <cellStyle name="RowTitles-Col2 4 6 3_Tertiary Salaries Survey" xfId="15593"/>
    <cellStyle name="RowTitles-Col2 4 6 4" xfId="15594"/>
    <cellStyle name="RowTitles-Col2 4 6 4 2" xfId="15595"/>
    <cellStyle name="RowTitles-Col2 4 6 4_Tertiary Salaries Survey" xfId="15596"/>
    <cellStyle name="RowTitles-Col2 4 6 5" xfId="15597"/>
    <cellStyle name="RowTitles-Col2 4 6_Tertiary Salaries Survey" xfId="15598"/>
    <cellStyle name="RowTitles-Col2 4 7" xfId="15599"/>
    <cellStyle name="RowTitles-Col2 4 7 2" xfId="15600"/>
    <cellStyle name="RowTitles-Col2 4 7 2 2" xfId="15601"/>
    <cellStyle name="RowTitles-Col2 4 7 2_Tertiary Salaries Survey" xfId="15602"/>
    <cellStyle name="RowTitles-Col2 4 7 3" xfId="15603"/>
    <cellStyle name="RowTitles-Col2 4 7_Tertiary Salaries Survey" xfId="15604"/>
    <cellStyle name="RowTitles-Col2 4 8" xfId="15605"/>
    <cellStyle name="RowTitles-Col2 4_STUD aligned by INSTIT" xfId="15606"/>
    <cellStyle name="RowTitles-Col2 5" xfId="15607"/>
    <cellStyle name="RowTitles-Col2 5 2" xfId="15608"/>
    <cellStyle name="RowTitles-Col2 5 2 2" xfId="15609"/>
    <cellStyle name="RowTitles-Col2 5 2 2 2" xfId="15610"/>
    <cellStyle name="RowTitles-Col2 5 2 2 2 2" xfId="15611"/>
    <cellStyle name="RowTitles-Col2 5 2 2 2_Tertiary Salaries Survey" xfId="15612"/>
    <cellStyle name="RowTitles-Col2 5 2 2 3" xfId="15613"/>
    <cellStyle name="RowTitles-Col2 5 2 2_Tertiary Salaries Survey" xfId="15614"/>
    <cellStyle name="RowTitles-Col2 5 2 3" xfId="15615"/>
    <cellStyle name="RowTitles-Col2 5 2 3 2" xfId="15616"/>
    <cellStyle name="RowTitles-Col2 5 2 3 2 2" xfId="15617"/>
    <cellStyle name="RowTitles-Col2 5 2 3 2_Tertiary Salaries Survey" xfId="15618"/>
    <cellStyle name="RowTitles-Col2 5 2 3 3" xfId="15619"/>
    <cellStyle name="RowTitles-Col2 5 2 3_Tertiary Salaries Survey" xfId="15620"/>
    <cellStyle name="RowTitles-Col2 5 2 4" xfId="15621"/>
    <cellStyle name="RowTitles-Col2 5 2 5" xfId="15622"/>
    <cellStyle name="RowTitles-Col2 5 2 5 2" xfId="15623"/>
    <cellStyle name="RowTitles-Col2 5 2 5_Tertiary Salaries Survey" xfId="15624"/>
    <cellStyle name="RowTitles-Col2 5 2 6" xfId="15625"/>
    <cellStyle name="RowTitles-Col2 5 2_Tertiary Salaries Survey" xfId="15626"/>
    <cellStyle name="RowTitles-Col2 5 3" xfId="15627"/>
    <cellStyle name="RowTitles-Col2 5 3 2" xfId="15628"/>
    <cellStyle name="RowTitles-Col2 5 3 2 2" xfId="15629"/>
    <cellStyle name="RowTitles-Col2 5 3 2 2 2" xfId="15630"/>
    <cellStyle name="RowTitles-Col2 5 3 2 2_Tertiary Salaries Survey" xfId="15631"/>
    <cellStyle name="RowTitles-Col2 5 3 2 3" xfId="15632"/>
    <cellStyle name="RowTitles-Col2 5 3 2_Tertiary Salaries Survey" xfId="15633"/>
    <cellStyle name="RowTitles-Col2 5 3 3" xfId="15634"/>
    <cellStyle name="RowTitles-Col2 5 3 3 2" xfId="15635"/>
    <cellStyle name="RowTitles-Col2 5 3 3 2 2" xfId="15636"/>
    <cellStyle name="RowTitles-Col2 5 3 3 2_Tertiary Salaries Survey" xfId="15637"/>
    <cellStyle name="RowTitles-Col2 5 3 3 3" xfId="15638"/>
    <cellStyle name="RowTitles-Col2 5 3 3_Tertiary Salaries Survey" xfId="15639"/>
    <cellStyle name="RowTitles-Col2 5 3 4" xfId="15640"/>
    <cellStyle name="RowTitles-Col2 5 3_Tertiary Salaries Survey" xfId="15641"/>
    <cellStyle name="RowTitles-Col2 5 4" xfId="15642"/>
    <cellStyle name="RowTitles-Col2 5 4 2" xfId="15643"/>
    <cellStyle name="RowTitles-Col2 5 4 2 2" xfId="15644"/>
    <cellStyle name="RowTitles-Col2 5 4 2 2 2" xfId="15645"/>
    <cellStyle name="RowTitles-Col2 5 4 2 2_Tertiary Salaries Survey" xfId="15646"/>
    <cellStyle name="RowTitles-Col2 5 4 2 3" xfId="15647"/>
    <cellStyle name="RowTitles-Col2 5 4 2_Tertiary Salaries Survey" xfId="15648"/>
    <cellStyle name="RowTitles-Col2 5 4 3" xfId="15649"/>
    <cellStyle name="RowTitles-Col2 5 4 3 2" xfId="15650"/>
    <cellStyle name="RowTitles-Col2 5 4 3 2 2" xfId="15651"/>
    <cellStyle name="RowTitles-Col2 5 4 3 2_Tertiary Salaries Survey" xfId="15652"/>
    <cellStyle name="RowTitles-Col2 5 4 3 3" xfId="15653"/>
    <cellStyle name="RowTitles-Col2 5 4 3_Tertiary Salaries Survey" xfId="15654"/>
    <cellStyle name="RowTitles-Col2 5 4 4" xfId="15655"/>
    <cellStyle name="RowTitles-Col2 5 4 4 2" xfId="15656"/>
    <cellStyle name="RowTitles-Col2 5 4 4_Tertiary Salaries Survey" xfId="15657"/>
    <cellStyle name="RowTitles-Col2 5 4 5" xfId="15658"/>
    <cellStyle name="RowTitles-Col2 5 4_Tertiary Salaries Survey" xfId="15659"/>
    <cellStyle name="RowTitles-Col2 5 5" xfId="15660"/>
    <cellStyle name="RowTitles-Col2 5 5 2" xfId="15661"/>
    <cellStyle name="RowTitles-Col2 5 5 2 2" xfId="15662"/>
    <cellStyle name="RowTitles-Col2 5 5 2 2 2" xfId="15663"/>
    <cellStyle name="RowTitles-Col2 5 5 2 2_Tertiary Salaries Survey" xfId="15664"/>
    <cellStyle name="RowTitles-Col2 5 5 2 3" xfId="15665"/>
    <cellStyle name="RowTitles-Col2 5 5 2_Tertiary Salaries Survey" xfId="15666"/>
    <cellStyle name="RowTitles-Col2 5 5 3" xfId="15667"/>
    <cellStyle name="RowTitles-Col2 5 5 3 2" xfId="15668"/>
    <cellStyle name="RowTitles-Col2 5 5 3 2 2" xfId="15669"/>
    <cellStyle name="RowTitles-Col2 5 5 3 2_Tertiary Salaries Survey" xfId="15670"/>
    <cellStyle name="RowTitles-Col2 5 5 3 3" xfId="15671"/>
    <cellStyle name="RowTitles-Col2 5 5 3_Tertiary Salaries Survey" xfId="15672"/>
    <cellStyle name="RowTitles-Col2 5 5 4" xfId="15673"/>
    <cellStyle name="RowTitles-Col2 5 5 4 2" xfId="15674"/>
    <cellStyle name="RowTitles-Col2 5 5 4_Tertiary Salaries Survey" xfId="15675"/>
    <cellStyle name="RowTitles-Col2 5 5 5" xfId="15676"/>
    <cellStyle name="RowTitles-Col2 5 5_Tertiary Salaries Survey" xfId="15677"/>
    <cellStyle name="RowTitles-Col2 5 6" xfId="15678"/>
    <cellStyle name="RowTitles-Col2 5 6 2" xfId="15679"/>
    <cellStyle name="RowTitles-Col2 5 6 2 2" xfId="15680"/>
    <cellStyle name="RowTitles-Col2 5 6 2 2 2" xfId="15681"/>
    <cellStyle name="RowTitles-Col2 5 6 2 2_Tertiary Salaries Survey" xfId="15682"/>
    <cellStyle name="RowTitles-Col2 5 6 2 3" xfId="15683"/>
    <cellStyle name="RowTitles-Col2 5 6 2_Tertiary Salaries Survey" xfId="15684"/>
    <cellStyle name="RowTitles-Col2 5 6 3" xfId="15685"/>
    <cellStyle name="RowTitles-Col2 5 6 3 2" xfId="15686"/>
    <cellStyle name="RowTitles-Col2 5 6 3 2 2" xfId="15687"/>
    <cellStyle name="RowTitles-Col2 5 6 3 2_Tertiary Salaries Survey" xfId="15688"/>
    <cellStyle name="RowTitles-Col2 5 6 3 3" xfId="15689"/>
    <cellStyle name="RowTitles-Col2 5 6 3_Tertiary Salaries Survey" xfId="15690"/>
    <cellStyle name="RowTitles-Col2 5 6 4" xfId="15691"/>
    <cellStyle name="RowTitles-Col2 5 6 4 2" xfId="15692"/>
    <cellStyle name="RowTitles-Col2 5 6 4_Tertiary Salaries Survey" xfId="15693"/>
    <cellStyle name="RowTitles-Col2 5 6 5" xfId="15694"/>
    <cellStyle name="RowTitles-Col2 5 6_Tertiary Salaries Survey" xfId="15695"/>
    <cellStyle name="RowTitles-Col2 5 7" xfId="15696"/>
    <cellStyle name="RowTitles-Col2 5 7 2" xfId="15697"/>
    <cellStyle name="RowTitles-Col2 5 7 2 2" xfId="15698"/>
    <cellStyle name="RowTitles-Col2 5 7 2_Tertiary Salaries Survey" xfId="15699"/>
    <cellStyle name="RowTitles-Col2 5 7 3" xfId="15700"/>
    <cellStyle name="RowTitles-Col2 5 7_Tertiary Salaries Survey" xfId="15701"/>
    <cellStyle name="RowTitles-Col2 5 8" xfId="15702"/>
    <cellStyle name="RowTitles-Col2 5 8 2" xfId="15703"/>
    <cellStyle name="RowTitles-Col2 5 8 2 2" xfId="15704"/>
    <cellStyle name="RowTitles-Col2 5 8 2_Tertiary Salaries Survey" xfId="15705"/>
    <cellStyle name="RowTitles-Col2 5 8 3" xfId="15706"/>
    <cellStyle name="RowTitles-Col2 5 8_Tertiary Salaries Survey" xfId="15707"/>
    <cellStyle name="RowTitles-Col2 5_STUD aligned by INSTIT" xfId="15708"/>
    <cellStyle name="RowTitles-Col2 6" xfId="15709"/>
    <cellStyle name="RowTitles-Col2 6 2" xfId="15710"/>
    <cellStyle name="RowTitles-Col2 6 2 2" xfId="15711"/>
    <cellStyle name="RowTitles-Col2 6 2 2 2" xfId="15712"/>
    <cellStyle name="RowTitles-Col2 6 2 2 2 2" xfId="15713"/>
    <cellStyle name="RowTitles-Col2 6 2 2 2_Tertiary Salaries Survey" xfId="15714"/>
    <cellStyle name="RowTitles-Col2 6 2 2 3" xfId="15715"/>
    <cellStyle name="RowTitles-Col2 6 2 2_Tertiary Salaries Survey" xfId="15716"/>
    <cellStyle name="RowTitles-Col2 6 2 3" xfId="15717"/>
    <cellStyle name="RowTitles-Col2 6 2 3 2" xfId="15718"/>
    <cellStyle name="RowTitles-Col2 6 2 3 2 2" xfId="15719"/>
    <cellStyle name="RowTitles-Col2 6 2 3 2_Tertiary Salaries Survey" xfId="15720"/>
    <cellStyle name="RowTitles-Col2 6 2 3 3" xfId="15721"/>
    <cellStyle name="RowTitles-Col2 6 2 3_Tertiary Salaries Survey" xfId="15722"/>
    <cellStyle name="RowTitles-Col2 6 2 4" xfId="15723"/>
    <cellStyle name="RowTitles-Col2 6 2 5" xfId="15724"/>
    <cellStyle name="RowTitles-Col2 6 2_Tertiary Salaries Survey" xfId="15725"/>
    <cellStyle name="RowTitles-Col2 6 3" xfId="15726"/>
    <cellStyle name="RowTitles-Col2 6 3 2" xfId="15727"/>
    <cellStyle name="RowTitles-Col2 6 3 2 2" xfId="15728"/>
    <cellStyle name="RowTitles-Col2 6 3 2 2 2" xfId="15729"/>
    <cellStyle name="RowTitles-Col2 6 3 2 2_Tertiary Salaries Survey" xfId="15730"/>
    <cellStyle name="RowTitles-Col2 6 3 2 3" xfId="15731"/>
    <cellStyle name="RowTitles-Col2 6 3 2_Tertiary Salaries Survey" xfId="15732"/>
    <cellStyle name="RowTitles-Col2 6 3 3" xfId="15733"/>
    <cellStyle name="RowTitles-Col2 6 3 3 2" xfId="15734"/>
    <cellStyle name="RowTitles-Col2 6 3 3 2 2" xfId="15735"/>
    <cellStyle name="RowTitles-Col2 6 3 3 2_Tertiary Salaries Survey" xfId="15736"/>
    <cellStyle name="RowTitles-Col2 6 3 3 3" xfId="15737"/>
    <cellStyle name="RowTitles-Col2 6 3 3_Tertiary Salaries Survey" xfId="15738"/>
    <cellStyle name="RowTitles-Col2 6 3 4" xfId="15739"/>
    <cellStyle name="RowTitles-Col2 6 3 4 2" xfId="15740"/>
    <cellStyle name="RowTitles-Col2 6 3 4_Tertiary Salaries Survey" xfId="15741"/>
    <cellStyle name="RowTitles-Col2 6 3_Tertiary Salaries Survey" xfId="15742"/>
    <cellStyle name="RowTitles-Col2 6 4" xfId="15743"/>
    <cellStyle name="RowTitles-Col2 6 4 2" xfId="15744"/>
    <cellStyle name="RowTitles-Col2 6 4 2 2" xfId="15745"/>
    <cellStyle name="RowTitles-Col2 6 4 2 2 2" xfId="15746"/>
    <cellStyle name="RowTitles-Col2 6 4 2 2_Tertiary Salaries Survey" xfId="15747"/>
    <cellStyle name="RowTitles-Col2 6 4 2 3" xfId="15748"/>
    <cellStyle name="RowTitles-Col2 6 4 2_Tertiary Salaries Survey" xfId="15749"/>
    <cellStyle name="RowTitles-Col2 6 4 3" xfId="15750"/>
    <cellStyle name="RowTitles-Col2 6 4 3 2" xfId="15751"/>
    <cellStyle name="RowTitles-Col2 6 4 3 2 2" xfId="15752"/>
    <cellStyle name="RowTitles-Col2 6 4 3 2_Tertiary Salaries Survey" xfId="15753"/>
    <cellStyle name="RowTitles-Col2 6 4 3 3" xfId="15754"/>
    <cellStyle name="RowTitles-Col2 6 4 3_Tertiary Salaries Survey" xfId="15755"/>
    <cellStyle name="RowTitles-Col2 6 4 4" xfId="15756"/>
    <cellStyle name="RowTitles-Col2 6 4 4 2" xfId="15757"/>
    <cellStyle name="RowTitles-Col2 6 4 4_Tertiary Salaries Survey" xfId="15758"/>
    <cellStyle name="RowTitles-Col2 6 4 5" xfId="15759"/>
    <cellStyle name="RowTitles-Col2 6 4_Tertiary Salaries Survey" xfId="15760"/>
    <cellStyle name="RowTitles-Col2 6 5" xfId="15761"/>
    <cellStyle name="RowTitles-Col2 6 5 2" xfId="15762"/>
    <cellStyle name="RowTitles-Col2 6 5 2 2" xfId="15763"/>
    <cellStyle name="RowTitles-Col2 6 5 2 2 2" xfId="15764"/>
    <cellStyle name="RowTitles-Col2 6 5 2 2_Tertiary Salaries Survey" xfId="15765"/>
    <cellStyle name="RowTitles-Col2 6 5 2 3" xfId="15766"/>
    <cellStyle name="RowTitles-Col2 6 5 2_Tertiary Salaries Survey" xfId="15767"/>
    <cellStyle name="RowTitles-Col2 6 5 3" xfId="15768"/>
    <cellStyle name="RowTitles-Col2 6 5 3 2" xfId="15769"/>
    <cellStyle name="RowTitles-Col2 6 5 3 2 2" xfId="15770"/>
    <cellStyle name="RowTitles-Col2 6 5 3 2_Tertiary Salaries Survey" xfId="15771"/>
    <cellStyle name="RowTitles-Col2 6 5 3 3" xfId="15772"/>
    <cellStyle name="RowTitles-Col2 6 5 3_Tertiary Salaries Survey" xfId="15773"/>
    <cellStyle name="RowTitles-Col2 6 5 4" xfId="15774"/>
    <cellStyle name="RowTitles-Col2 6 5 4 2" xfId="15775"/>
    <cellStyle name="RowTitles-Col2 6 5 4_Tertiary Salaries Survey" xfId="15776"/>
    <cellStyle name="RowTitles-Col2 6 5 5" xfId="15777"/>
    <cellStyle name="RowTitles-Col2 6 5_Tertiary Salaries Survey" xfId="15778"/>
    <cellStyle name="RowTitles-Col2 6 6" xfId="15779"/>
    <cellStyle name="RowTitles-Col2 6 6 2" xfId="15780"/>
    <cellStyle name="RowTitles-Col2 6 6 2 2" xfId="15781"/>
    <cellStyle name="RowTitles-Col2 6 6 2 2 2" xfId="15782"/>
    <cellStyle name="RowTitles-Col2 6 6 2 2_Tertiary Salaries Survey" xfId="15783"/>
    <cellStyle name="RowTitles-Col2 6 6 2 3" xfId="15784"/>
    <cellStyle name="RowTitles-Col2 6 6 2_Tertiary Salaries Survey" xfId="15785"/>
    <cellStyle name="RowTitles-Col2 6 6 3" xfId="15786"/>
    <cellStyle name="RowTitles-Col2 6 6 3 2" xfId="15787"/>
    <cellStyle name="RowTitles-Col2 6 6 3 2 2" xfId="15788"/>
    <cellStyle name="RowTitles-Col2 6 6 3 2_Tertiary Salaries Survey" xfId="15789"/>
    <cellStyle name="RowTitles-Col2 6 6 3 3" xfId="15790"/>
    <cellStyle name="RowTitles-Col2 6 6 3_Tertiary Salaries Survey" xfId="15791"/>
    <cellStyle name="RowTitles-Col2 6 6 4" xfId="15792"/>
    <cellStyle name="RowTitles-Col2 6 6 4 2" xfId="15793"/>
    <cellStyle name="RowTitles-Col2 6 6 4_Tertiary Salaries Survey" xfId="15794"/>
    <cellStyle name="RowTitles-Col2 6 6 5" xfId="15795"/>
    <cellStyle name="RowTitles-Col2 6 6_Tertiary Salaries Survey" xfId="15796"/>
    <cellStyle name="RowTitles-Col2 6 7" xfId="15797"/>
    <cellStyle name="RowTitles-Col2 6 7 2" xfId="15798"/>
    <cellStyle name="RowTitles-Col2 6 7 2 2" xfId="15799"/>
    <cellStyle name="RowTitles-Col2 6 7 2_Tertiary Salaries Survey" xfId="15800"/>
    <cellStyle name="RowTitles-Col2 6 7 3" xfId="15801"/>
    <cellStyle name="RowTitles-Col2 6 7_Tertiary Salaries Survey" xfId="15802"/>
    <cellStyle name="RowTitles-Col2 6 8" xfId="15803"/>
    <cellStyle name="RowTitles-Col2 6 8 2" xfId="15804"/>
    <cellStyle name="RowTitles-Col2 6 8 2 2" xfId="15805"/>
    <cellStyle name="RowTitles-Col2 6 8 2_Tertiary Salaries Survey" xfId="15806"/>
    <cellStyle name="RowTitles-Col2 6 8 3" xfId="15807"/>
    <cellStyle name="RowTitles-Col2 6 8_Tertiary Salaries Survey" xfId="15808"/>
    <cellStyle name="RowTitles-Col2 6_STUD aligned by INSTIT" xfId="15809"/>
    <cellStyle name="RowTitles-Col2 7" xfId="15810"/>
    <cellStyle name="RowTitles-Col2 7 2" xfId="15811"/>
    <cellStyle name="RowTitles-Col2 7 2 2" xfId="15812"/>
    <cellStyle name="RowTitles-Col2 7 2 2 2" xfId="15813"/>
    <cellStyle name="RowTitles-Col2 7 2 2_Tertiary Salaries Survey" xfId="15814"/>
    <cellStyle name="RowTitles-Col2 7 2 3" xfId="15815"/>
    <cellStyle name="RowTitles-Col2 7 2_Tertiary Salaries Survey" xfId="15816"/>
    <cellStyle name="RowTitles-Col2 7 3" xfId="15817"/>
    <cellStyle name="RowTitles-Col2 7 3 2" xfId="15818"/>
    <cellStyle name="RowTitles-Col2 7 3 2 2" xfId="15819"/>
    <cellStyle name="RowTitles-Col2 7 3 2_Tertiary Salaries Survey" xfId="15820"/>
    <cellStyle name="RowTitles-Col2 7 3 3" xfId="15821"/>
    <cellStyle name="RowTitles-Col2 7 3_Tertiary Salaries Survey" xfId="15822"/>
    <cellStyle name="RowTitles-Col2 7 4" xfId="15823"/>
    <cellStyle name="RowTitles-Col2 7 5" xfId="15824"/>
    <cellStyle name="RowTitles-Col2 7 5 2" xfId="15825"/>
    <cellStyle name="RowTitles-Col2 7 5_Tertiary Salaries Survey" xfId="15826"/>
    <cellStyle name="RowTitles-Col2 7_Tertiary Salaries Survey" xfId="15827"/>
    <cellStyle name="RowTitles-Col2 8" xfId="15828"/>
    <cellStyle name="RowTitles-Col2 8 2" xfId="15829"/>
    <cellStyle name="RowTitles-Col2 8 2 2" xfId="15830"/>
    <cellStyle name="RowTitles-Col2 8 2 2 2" xfId="15831"/>
    <cellStyle name="RowTitles-Col2 8 2 2_Tertiary Salaries Survey" xfId="15832"/>
    <cellStyle name="RowTitles-Col2 8 2 3" xfId="15833"/>
    <cellStyle name="RowTitles-Col2 8 2_Tertiary Salaries Survey" xfId="15834"/>
    <cellStyle name="RowTitles-Col2 8 3" xfId="15835"/>
    <cellStyle name="RowTitles-Col2 8 3 2" xfId="15836"/>
    <cellStyle name="RowTitles-Col2 8 3 2 2" xfId="15837"/>
    <cellStyle name="RowTitles-Col2 8 3 2_Tertiary Salaries Survey" xfId="15838"/>
    <cellStyle name="RowTitles-Col2 8 3 3" xfId="15839"/>
    <cellStyle name="RowTitles-Col2 8 3_Tertiary Salaries Survey" xfId="15840"/>
    <cellStyle name="RowTitles-Col2 8 4" xfId="15841"/>
    <cellStyle name="RowTitles-Col2 8 5" xfId="15842"/>
    <cellStyle name="RowTitles-Col2 8_Tertiary Salaries Survey" xfId="15843"/>
    <cellStyle name="RowTitles-Col2 9" xfId="15844"/>
    <cellStyle name="RowTitles-Col2 9 2" xfId="15845"/>
    <cellStyle name="RowTitles-Col2 9 2 2" xfId="15846"/>
    <cellStyle name="RowTitles-Col2 9 2 2 2" xfId="15847"/>
    <cellStyle name="RowTitles-Col2 9 2 2_Tertiary Salaries Survey" xfId="15848"/>
    <cellStyle name="RowTitles-Col2 9 2 3" xfId="15849"/>
    <cellStyle name="RowTitles-Col2 9 2_Tertiary Salaries Survey" xfId="15850"/>
    <cellStyle name="RowTitles-Col2 9 3" xfId="15851"/>
    <cellStyle name="RowTitles-Col2 9 3 2" xfId="15852"/>
    <cellStyle name="RowTitles-Col2 9 3 2 2" xfId="15853"/>
    <cellStyle name="RowTitles-Col2 9 3 2_Tertiary Salaries Survey" xfId="15854"/>
    <cellStyle name="RowTitles-Col2 9 3 3" xfId="15855"/>
    <cellStyle name="RowTitles-Col2 9 3_Tertiary Salaries Survey" xfId="15856"/>
    <cellStyle name="RowTitles-Col2 9 4" xfId="15857"/>
    <cellStyle name="RowTitles-Col2 9 5" xfId="15858"/>
    <cellStyle name="RowTitles-Col2 9 5 2" xfId="15859"/>
    <cellStyle name="RowTitles-Col2 9 5_Tertiary Salaries Survey" xfId="15860"/>
    <cellStyle name="RowTitles-Col2 9 6" xfId="15861"/>
    <cellStyle name="RowTitles-Col2 9_Tertiary Salaries Survey" xfId="15862"/>
    <cellStyle name="RowTitles-Col2_STUD aligned by INSTIT" xfId="15863"/>
    <cellStyle name="RowTitles-Detail" xfId="15864"/>
    <cellStyle name="RowTitles-Detail 10" xfId="15865"/>
    <cellStyle name="RowTitles-Detail 10 2" xfId="15866"/>
    <cellStyle name="RowTitles-Detail 10 2 2" xfId="15867"/>
    <cellStyle name="RowTitles-Detail 10 2 2 2" xfId="15868"/>
    <cellStyle name="RowTitles-Detail 10 2 2_Tertiary Salaries Survey" xfId="15869"/>
    <cellStyle name="RowTitles-Detail 10 2 3" xfId="15870"/>
    <cellStyle name="RowTitles-Detail 10 2_Tertiary Salaries Survey" xfId="15871"/>
    <cellStyle name="RowTitles-Detail 10 3" xfId="15872"/>
    <cellStyle name="RowTitles-Detail 10 3 2" xfId="15873"/>
    <cellStyle name="RowTitles-Detail 10 3 2 2" xfId="15874"/>
    <cellStyle name="RowTitles-Detail 10 3 2_Tertiary Salaries Survey" xfId="15875"/>
    <cellStyle name="RowTitles-Detail 10 3 3" xfId="15876"/>
    <cellStyle name="RowTitles-Detail 10 3_Tertiary Salaries Survey" xfId="15877"/>
    <cellStyle name="RowTitles-Detail 10 4" xfId="15878"/>
    <cellStyle name="RowTitles-Detail 10 4 2" xfId="15879"/>
    <cellStyle name="RowTitles-Detail 10 4_Tertiary Salaries Survey" xfId="15880"/>
    <cellStyle name="RowTitles-Detail 10 5" xfId="15881"/>
    <cellStyle name="RowTitles-Detail 10_Tertiary Salaries Survey" xfId="15882"/>
    <cellStyle name="RowTitles-Detail 11" xfId="15883"/>
    <cellStyle name="RowTitles-Detail 11 2" xfId="15884"/>
    <cellStyle name="RowTitles-Detail 11 2 2" xfId="15885"/>
    <cellStyle name="RowTitles-Detail 11 2 2 2" xfId="15886"/>
    <cellStyle name="RowTitles-Detail 11 2 2_Tertiary Salaries Survey" xfId="15887"/>
    <cellStyle name="RowTitles-Detail 11 2 3" xfId="15888"/>
    <cellStyle name="RowTitles-Detail 11 2_Tertiary Salaries Survey" xfId="15889"/>
    <cellStyle name="RowTitles-Detail 11 3" xfId="15890"/>
    <cellStyle name="RowTitles-Detail 11 3 2" xfId="15891"/>
    <cellStyle name="RowTitles-Detail 11 3 2 2" xfId="15892"/>
    <cellStyle name="RowTitles-Detail 11 3 2_Tertiary Salaries Survey" xfId="15893"/>
    <cellStyle name="RowTitles-Detail 11 3 3" xfId="15894"/>
    <cellStyle name="RowTitles-Detail 11 3_Tertiary Salaries Survey" xfId="15895"/>
    <cellStyle name="RowTitles-Detail 11 4" xfId="15896"/>
    <cellStyle name="RowTitles-Detail 11 4 2" xfId="15897"/>
    <cellStyle name="RowTitles-Detail 11 4_Tertiary Salaries Survey" xfId="15898"/>
    <cellStyle name="RowTitles-Detail 11 5" xfId="15899"/>
    <cellStyle name="RowTitles-Detail 11_Tertiary Salaries Survey" xfId="15900"/>
    <cellStyle name="RowTitles-Detail 12" xfId="15901"/>
    <cellStyle name="RowTitles-Detail 12 2" xfId="15902"/>
    <cellStyle name="RowTitles-Detail 12 2 2" xfId="15903"/>
    <cellStyle name="RowTitles-Detail 12 2 2 2" xfId="15904"/>
    <cellStyle name="RowTitles-Detail 12 2 2_Tertiary Salaries Survey" xfId="15905"/>
    <cellStyle name="RowTitles-Detail 12 2 3" xfId="15906"/>
    <cellStyle name="RowTitles-Detail 12 2_Tertiary Salaries Survey" xfId="15907"/>
    <cellStyle name="RowTitles-Detail 12 3" xfId="15908"/>
    <cellStyle name="RowTitles-Detail 12 3 2" xfId="15909"/>
    <cellStyle name="RowTitles-Detail 12 3 2 2" xfId="15910"/>
    <cellStyle name="RowTitles-Detail 12 3 2_Tertiary Salaries Survey" xfId="15911"/>
    <cellStyle name="RowTitles-Detail 12 3 3" xfId="15912"/>
    <cellStyle name="RowTitles-Detail 12 3_Tertiary Salaries Survey" xfId="15913"/>
    <cellStyle name="RowTitles-Detail 12 4" xfId="15914"/>
    <cellStyle name="RowTitles-Detail 12 4 2" xfId="15915"/>
    <cellStyle name="RowTitles-Detail 12 4_Tertiary Salaries Survey" xfId="15916"/>
    <cellStyle name="RowTitles-Detail 12 5" xfId="15917"/>
    <cellStyle name="RowTitles-Detail 12_Tertiary Salaries Survey" xfId="15918"/>
    <cellStyle name="RowTitles-Detail 13" xfId="15919"/>
    <cellStyle name="RowTitles-Detail 13 2" xfId="15920"/>
    <cellStyle name="RowTitles-Detail 13 2 2" xfId="15921"/>
    <cellStyle name="RowTitles-Detail 13 2_Tertiary Salaries Survey" xfId="15922"/>
    <cellStyle name="RowTitles-Detail 13 3" xfId="15923"/>
    <cellStyle name="RowTitles-Detail 13_Tertiary Salaries Survey" xfId="15924"/>
    <cellStyle name="RowTitles-Detail 14" xfId="15925"/>
    <cellStyle name="RowTitles-Detail 15" xfId="15926"/>
    <cellStyle name="RowTitles-Detail 16" xfId="15927"/>
    <cellStyle name="RowTitles-Detail 17" xfId="15928"/>
    <cellStyle name="RowTitles-Detail 2" xfId="15929"/>
    <cellStyle name="RowTitles-Detail 2 10" xfId="15930"/>
    <cellStyle name="RowTitles-Detail 2 10 2" xfId="15931"/>
    <cellStyle name="RowTitles-Detail 2 10 2 2" xfId="15932"/>
    <cellStyle name="RowTitles-Detail 2 10 2 2 2" xfId="15933"/>
    <cellStyle name="RowTitles-Detail 2 10 2 2_Tertiary Salaries Survey" xfId="15934"/>
    <cellStyle name="RowTitles-Detail 2 10 2 3" xfId="15935"/>
    <cellStyle name="RowTitles-Detail 2 10 2_Tertiary Salaries Survey" xfId="15936"/>
    <cellStyle name="RowTitles-Detail 2 10 3" xfId="15937"/>
    <cellStyle name="RowTitles-Detail 2 10 3 2" xfId="15938"/>
    <cellStyle name="RowTitles-Detail 2 10 3 2 2" xfId="15939"/>
    <cellStyle name="RowTitles-Detail 2 10 3 2_Tertiary Salaries Survey" xfId="15940"/>
    <cellStyle name="RowTitles-Detail 2 10 3 3" xfId="15941"/>
    <cellStyle name="RowTitles-Detail 2 10 3_Tertiary Salaries Survey" xfId="15942"/>
    <cellStyle name="RowTitles-Detail 2 10 4" xfId="15943"/>
    <cellStyle name="RowTitles-Detail 2 10 5" xfId="15944"/>
    <cellStyle name="RowTitles-Detail 2 10 5 2" xfId="15945"/>
    <cellStyle name="RowTitles-Detail 2 10 5_Tertiary Salaries Survey" xfId="15946"/>
    <cellStyle name="RowTitles-Detail 2 10 6" xfId="15947"/>
    <cellStyle name="RowTitles-Detail 2 10_Tertiary Salaries Survey" xfId="15948"/>
    <cellStyle name="RowTitles-Detail 2 11" xfId="15949"/>
    <cellStyle name="RowTitles-Detail 2 11 2" xfId="15950"/>
    <cellStyle name="RowTitles-Detail 2 11 2 2" xfId="15951"/>
    <cellStyle name="RowTitles-Detail 2 11 2 2 2" xfId="15952"/>
    <cellStyle name="RowTitles-Detail 2 11 2 2_Tertiary Salaries Survey" xfId="15953"/>
    <cellStyle name="RowTitles-Detail 2 11 2 3" xfId="15954"/>
    <cellStyle name="RowTitles-Detail 2 11 2_Tertiary Salaries Survey" xfId="15955"/>
    <cellStyle name="RowTitles-Detail 2 11 3" xfId="15956"/>
    <cellStyle name="RowTitles-Detail 2 11 3 2" xfId="15957"/>
    <cellStyle name="RowTitles-Detail 2 11 3 2 2" xfId="15958"/>
    <cellStyle name="RowTitles-Detail 2 11 3 2_Tertiary Salaries Survey" xfId="15959"/>
    <cellStyle name="RowTitles-Detail 2 11 3 3" xfId="15960"/>
    <cellStyle name="RowTitles-Detail 2 11 3_Tertiary Salaries Survey" xfId="15961"/>
    <cellStyle name="RowTitles-Detail 2 11 4" xfId="15962"/>
    <cellStyle name="RowTitles-Detail 2 11 4 2" xfId="15963"/>
    <cellStyle name="RowTitles-Detail 2 11 4_Tertiary Salaries Survey" xfId="15964"/>
    <cellStyle name="RowTitles-Detail 2 11 5" xfId="15965"/>
    <cellStyle name="RowTitles-Detail 2 11_Tertiary Salaries Survey" xfId="15966"/>
    <cellStyle name="RowTitles-Detail 2 12" xfId="15967"/>
    <cellStyle name="RowTitles-Detail 2 12 2" xfId="15968"/>
    <cellStyle name="RowTitles-Detail 2 12 2 2" xfId="15969"/>
    <cellStyle name="RowTitles-Detail 2 12 2 2 2" xfId="15970"/>
    <cellStyle name="RowTitles-Detail 2 12 2 2_Tertiary Salaries Survey" xfId="15971"/>
    <cellStyle name="RowTitles-Detail 2 12 2 3" xfId="15972"/>
    <cellStyle name="RowTitles-Detail 2 12 2_Tertiary Salaries Survey" xfId="15973"/>
    <cellStyle name="RowTitles-Detail 2 12 3" xfId="15974"/>
    <cellStyle name="RowTitles-Detail 2 12 3 2" xfId="15975"/>
    <cellStyle name="RowTitles-Detail 2 12 3 2 2" xfId="15976"/>
    <cellStyle name="RowTitles-Detail 2 12 3 2_Tertiary Salaries Survey" xfId="15977"/>
    <cellStyle name="RowTitles-Detail 2 12 3 3" xfId="15978"/>
    <cellStyle name="RowTitles-Detail 2 12 3_Tertiary Salaries Survey" xfId="15979"/>
    <cellStyle name="RowTitles-Detail 2 12 4" xfId="15980"/>
    <cellStyle name="RowTitles-Detail 2 12 4 2" xfId="15981"/>
    <cellStyle name="RowTitles-Detail 2 12 4_Tertiary Salaries Survey" xfId="15982"/>
    <cellStyle name="RowTitles-Detail 2 12 5" xfId="15983"/>
    <cellStyle name="RowTitles-Detail 2 12_Tertiary Salaries Survey" xfId="15984"/>
    <cellStyle name="RowTitles-Detail 2 13" xfId="15985"/>
    <cellStyle name="RowTitles-Detail 2 13 2" xfId="15986"/>
    <cellStyle name="RowTitles-Detail 2 13 2 2" xfId="15987"/>
    <cellStyle name="RowTitles-Detail 2 13 2_Tertiary Salaries Survey" xfId="15988"/>
    <cellStyle name="RowTitles-Detail 2 13 3" xfId="15989"/>
    <cellStyle name="RowTitles-Detail 2 13_Tertiary Salaries Survey" xfId="15990"/>
    <cellStyle name="RowTitles-Detail 2 14" xfId="15991"/>
    <cellStyle name="RowTitles-Detail 2 15" xfId="15992"/>
    <cellStyle name="RowTitles-Detail 2 16" xfId="15993"/>
    <cellStyle name="RowTitles-Detail 2 2" xfId="15994"/>
    <cellStyle name="RowTitles-Detail 2 2 10" xfId="15995"/>
    <cellStyle name="RowTitles-Detail 2 2 10 2" xfId="15996"/>
    <cellStyle name="RowTitles-Detail 2 2 10 2 2" xfId="15997"/>
    <cellStyle name="RowTitles-Detail 2 2 10 2 2 2" xfId="15998"/>
    <cellStyle name="RowTitles-Detail 2 2 10 2 2_Tertiary Salaries Survey" xfId="15999"/>
    <cellStyle name="RowTitles-Detail 2 2 10 2 3" xfId="16000"/>
    <cellStyle name="RowTitles-Detail 2 2 10 2_Tertiary Salaries Survey" xfId="16001"/>
    <cellStyle name="RowTitles-Detail 2 2 10 3" xfId="16002"/>
    <cellStyle name="RowTitles-Detail 2 2 10 3 2" xfId="16003"/>
    <cellStyle name="RowTitles-Detail 2 2 10 3 2 2" xfId="16004"/>
    <cellStyle name="RowTitles-Detail 2 2 10 3 2_Tertiary Salaries Survey" xfId="16005"/>
    <cellStyle name="RowTitles-Detail 2 2 10 3 3" xfId="16006"/>
    <cellStyle name="RowTitles-Detail 2 2 10 3_Tertiary Salaries Survey" xfId="16007"/>
    <cellStyle name="RowTitles-Detail 2 2 10 4" xfId="16008"/>
    <cellStyle name="RowTitles-Detail 2 2 10 4 2" xfId="16009"/>
    <cellStyle name="RowTitles-Detail 2 2 10 4_Tertiary Salaries Survey" xfId="16010"/>
    <cellStyle name="RowTitles-Detail 2 2 10 5" xfId="16011"/>
    <cellStyle name="RowTitles-Detail 2 2 10_Tertiary Salaries Survey" xfId="16012"/>
    <cellStyle name="RowTitles-Detail 2 2 11" xfId="16013"/>
    <cellStyle name="RowTitles-Detail 2 2 11 2" xfId="16014"/>
    <cellStyle name="RowTitles-Detail 2 2 11 2 2" xfId="16015"/>
    <cellStyle name="RowTitles-Detail 2 2 11 2 2 2" xfId="16016"/>
    <cellStyle name="RowTitles-Detail 2 2 11 2 2_Tertiary Salaries Survey" xfId="16017"/>
    <cellStyle name="RowTitles-Detail 2 2 11 2 3" xfId="16018"/>
    <cellStyle name="RowTitles-Detail 2 2 11 2_Tertiary Salaries Survey" xfId="16019"/>
    <cellStyle name="RowTitles-Detail 2 2 11 3" xfId="16020"/>
    <cellStyle name="RowTitles-Detail 2 2 11 3 2" xfId="16021"/>
    <cellStyle name="RowTitles-Detail 2 2 11 3 2 2" xfId="16022"/>
    <cellStyle name="RowTitles-Detail 2 2 11 3 2_Tertiary Salaries Survey" xfId="16023"/>
    <cellStyle name="RowTitles-Detail 2 2 11 3 3" xfId="16024"/>
    <cellStyle name="RowTitles-Detail 2 2 11 3_Tertiary Salaries Survey" xfId="16025"/>
    <cellStyle name="RowTitles-Detail 2 2 11 4" xfId="16026"/>
    <cellStyle name="RowTitles-Detail 2 2 11 4 2" xfId="16027"/>
    <cellStyle name="RowTitles-Detail 2 2 11 4_Tertiary Salaries Survey" xfId="16028"/>
    <cellStyle name="RowTitles-Detail 2 2 11 5" xfId="16029"/>
    <cellStyle name="RowTitles-Detail 2 2 11_Tertiary Salaries Survey" xfId="16030"/>
    <cellStyle name="RowTitles-Detail 2 2 12" xfId="16031"/>
    <cellStyle name="RowTitles-Detail 2 2 12 2" xfId="16032"/>
    <cellStyle name="RowTitles-Detail 2 2 12 2 2" xfId="16033"/>
    <cellStyle name="RowTitles-Detail 2 2 12 2_Tertiary Salaries Survey" xfId="16034"/>
    <cellStyle name="RowTitles-Detail 2 2 12 3" xfId="16035"/>
    <cellStyle name="RowTitles-Detail 2 2 12_Tertiary Salaries Survey" xfId="16036"/>
    <cellStyle name="RowTitles-Detail 2 2 13" xfId="16037"/>
    <cellStyle name="RowTitles-Detail 2 2 14" xfId="16038"/>
    <cellStyle name="RowTitles-Detail 2 2 15" xfId="16039"/>
    <cellStyle name="RowTitles-Detail 2 2 2" xfId="16040"/>
    <cellStyle name="RowTitles-Detail 2 2 2 10" xfId="16041"/>
    <cellStyle name="RowTitles-Detail 2 2 2 10 2" xfId="16042"/>
    <cellStyle name="RowTitles-Detail 2 2 2 10 2 2" xfId="16043"/>
    <cellStyle name="RowTitles-Detail 2 2 2 10 2 2 2" xfId="16044"/>
    <cellStyle name="RowTitles-Detail 2 2 2 10 2 2_Tertiary Salaries Survey" xfId="16045"/>
    <cellStyle name="RowTitles-Detail 2 2 2 10 2 3" xfId="16046"/>
    <cellStyle name="RowTitles-Detail 2 2 2 10 2_Tertiary Salaries Survey" xfId="16047"/>
    <cellStyle name="RowTitles-Detail 2 2 2 10 3" xfId="16048"/>
    <cellStyle name="RowTitles-Detail 2 2 2 10 3 2" xfId="16049"/>
    <cellStyle name="RowTitles-Detail 2 2 2 10 3 2 2" xfId="16050"/>
    <cellStyle name="RowTitles-Detail 2 2 2 10 3 2_Tertiary Salaries Survey" xfId="16051"/>
    <cellStyle name="RowTitles-Detail 2 2 2 10 3 3" xfId="16052"/>
    <cellStyle name="RowTitles-Detail 2 2 2 10 3_Tertiary Salaries Survey" xfId="16053"/>
    <cellStyle name="RowTitles-Detail 2 2 2 10 4" xfId="16054"/>
    <cellStyle name="RowTitles-Detail 2 2 2 10 4 2" xfId="16055"/>
    <cellStyle name="RowTitles-Detail 2 2 2 10 4_Tertiary Salaries Survey" xfId="16056"/>
    <cellStyle name="RowTitles-Detail 2 2 2 10 5" xfId="16057"/>
    <cellStyle name="RowTitles-Detail 2 2 2 10_Tertiary Salaries Survey" xfId="16058"/>
    <cellStyle name="RowTitles-Detail 2 2 2 11" xfId="16059"/>
    <cellStyle name="RowTitles-Detail 2 2 2 11 2" xfId="16060"/>
    <cellStyle name="RowTitles-Detail 2 2 2 11 2 2" xfId="16061"/>
    <cellStyle name="RowTitles-Detail 2 2 2 11 2_Tertiary Salaries Survey" xfId="16062"/>
    <cellStyle name="RowTitles-Detail 2 2 2 11 3" xfId="16063"/>
    <cellStyle name="RowTitles-Detail 2 2 2 11_Tertiary Salaries Survey" xfId="16064"/>
    <cellStyle name="RowTitles-Detail 2 2 2 12" xfId="16065"/>
    <cellStyle name="RowTitles-Detail 2 2 2 13" xfId="16066"/>
    <cellStyle name="RowTitles-Detail 2 2 2 2" xfId="16067"/>
    <cellStyle name="RowTitles-Detail 2 2 2 2 10" xfId="16068"/>
    <cellStyle name="RowTitles-Detail 2 2 2 2 10 2" xfId="16069"/>
    <cellStyle name="RowTitles-Detail 2 2 2 2 10 2 2" xfId="16070"/>
    <cellStyle name="RowTitles-Detail 2 2 2 2 10 2_Tertiary Salaries Survey" xfId="16071"/>
    <cellStyle name="RowTitles-Detail 2 2 2 2 10 3" xfId="16072"/>
    <cellStyle name="RowTitles-Detail 2 2 2 2 10_Tertiary Salaries Survey" xfId="16073"/>
    <cellStyle name="RowTitles-Detail 2 2 2 2 11" xfId="16074"/>
    <cellStyle name="RowTitles-Detail 2 2 2 2 12" xfId="16075"/>
    <cellStyle name="RowTitles-Detail 2 2 2 2 2" xfId="16076"/>
    <cellStyle name="RowTitles-Detail 2 2 2 2 2 2" xfId="16077"/>
    <cellStyle name="RowTitles-Detail 2 2 2 2 2 2 2" xfId="16078"/>
    <cellStyle name="RowTitles-Detail 2 2 2 2 2 2 2 2" xfId="16079"/>
    <cellStyle name="RowTitles-Detail 2 2 2 2 2 2 2 2 2" xfId="16080"/>
    <cellStyle name="RowTitles-Detail 2 2 2 2 2 2 2 2_Tertiary Salaries Survey" xfId="16081"/>
    <cellStyle name="RowTitles-Detail 2 2 2 2 2 2 2 3" xfId="16082"/>
    <cellStyle name="RowTitles-Detail 2 2 2 2 2 2 2_Tertiary Salaries Survey" xfId="16083"/>
    <cellStyle name="RowTitles-Detail 2 2 2 2 2 2 3" xfId="16084"/>
    <cellStyle name="RowTitles-Detail 2 2 2 2 2 2 3 2" xfId="16085"/>
    <cellStyle name="RowTitles-Detail 2 2 2 2 2 2 3 2 2" xfId="16086"/>
    <cellStyle name="RowTitles-Detail 2 2 2 2 2 2 3 2_Tertiary Salaries Survey" xfId="16087"/>
    <cellStyle name="RowTitles-Detail 2 2 2 2 2 2 3 3" xfId="16088"/>
    <cellStyle name="RowTitles-Detail 2 2 2 2 2 2 3_Tertiary Salaries Survey" xfId="16089"/>
    <cellStyle name="RowTitles-Detail 2 2 2 2 2 2 4" xfId="16090"/>
    <cellStyle name="RowTitles-Detail 2 2 2 2 2 2 5" xfId="16091"/>
    <cellStyle name="RowTitles-Detail 2 2 2 2 2 2_Tertiary Salaries Survey" xfId="16092"/>
    <cellStyle name="RowTitles-Detail 2 2 2 2 2 3" xfId="16093"/>
    <cellStyle name="RowTitles-Detail 2 2 2 2 2 3 2" xfId="16094"/>
    <cellStyle name="RowTitles-Detail 2 2 2 2 2 3 2 2" xfId="16095"/>
    <cellStyle name="RowTitles-Detail 2 2 2 2 2 3 2 2 2" xfId="16096"/>
    <cellStyle name="RowTitles-Detail 2 2 2 2 2 3 2 2_Tertiary Salaries Survey" xfId="16097"/>
    <cellStyle name="RowTitles-Detail 2 2 2 2 2 3 2 3" xfId="16098"/>
    <cellStyle name="RowTitles-Detail 2 2 2 2 2 3 2_Tertiary Salaries Survey" xfId="16099"/>
    <cellStyle name="RowTitles-Detail 2 2 2 2 2 3 3" xfId="16100"/>
    <cellStyle name="RowTitles-Detail 2 2 2 2 2 3 3 2" xfId="16101"/>
    <cellStyle name="RowTitles-Detail 2 2 2 2 2 3 3 2 2" xfId="16102"/>
    <cellStyle name="RowTitles-Detail 2 2 2 2 2 3 3 2_Tertiary Salaries Survey" xfId="16103"/>
    <cellStyle name="RowTitles-Detail 2 2 2 2 2 3 3 3" xfId="16104"/>
    <cellStyle name="RowTitles-Detail 2 2 2 2 2 3 3_Tertiary Salaries Survey" xfId="16105"/>
    <cellStyle name="RowTitles-Detail 2 2 2 2 2 3 4" xfId="16106"/>
    <cellStyle name="RowTitles-Detail 2 2 2 2 2 3 5" xfId="16107"/>
    <cellStyle name="RowTitles-Detail 2 2 2 2 2 3 5 2" xfId="16108"/>
    <cellStyle name="RowTitles-Detail 2 2 2 2 2 3 5_Tertiary Salaries Survey" xfId="16109"/>
    <cellStyle name="RowTitles-Detail 2 2 2 2 2 3 6" xfId="16110"/>
    <cellStyle name="RowTitles-Detail 2 2 2 2 2 3_Tertiary Salaries Survey" xfId="16111"/>
    <cellStyle name="RowTitles-Detail 2 2 2 2 2 4" xfId="16112"/>
    <cellStyle name="RowTitles-Detail 2 2 2 2 2 4 2" xfId="16113"/>
    <cellStyle name="RowTitles-Detail 2 2 2 2 2 4 2 2" xfId="16114"/>
    <cellStyle name="RowTitles-Detail 2 2 2 2 2 4 2 2 2" xfId="16115"/>
    <cellStyle name="RowTitles-Detail 2 2 2 2 2 4 2 2_Tertiary Salaries Survey" xfId="16116"/>
    <cellStyle name="RowTitles-Detail 2 2 2 2 2 4 2 3" xfId="16117"/>
    <cellStyle name="RowTitles-Detail 2 2 2 2 2 4 2_Tertiary Salaries Survey" xfId="16118"/>
    <cellStyle name="RowTitles-Detail 2 2 2 2 2 4 3" xfId="16119"/>
    <cellStyle name="RowTitles-Detail 2 2 2 2 2 4 3 2" xfId="16120"/>
    <cellStyle name="RowTitles-Detail 2 2 2 2 2 4 3 2 2" xfId="16121"/>
    <cellStyle name="RowTitles-Detail 2 2 2 2 2 4 3 2_Tertiary Salaries Survey" xfId="16122"/>
    <cellStyle name="RowTitles-Detail 2 2 2 2 2 4 3 3" xfId="16123"/>
    <cellStyle name="RowTitles-Detail 2 2 2 2 2 4 3_Tertiary Salaries Survey" xfId="16124"/>
    <cellStyle name="RowTitles-Detail 2 2 2 2 2 4 4" xfId="16125"/>
    <cellStyle name="RowTitles-Detail 2 2 2 2 2 4 4 2" xfId="16126"/>
    <cellStyle name="RowTitles-Detail 2 2 2 2 2 4 4_Tertiary Salaries Survey" xfId="16127"/>
    <cellStyle name="RowTitles-Detail 2 2 2 2 2 4 5" xfId="16128"/>
    <cellStyle name="RowTitles-Detail 2 2 2 2 2 4_Tertiary Salaries Survey" xfId="16129"/>
    <cellStyle name="RowTitles-Detail 2 2 2 2 2 5" xfId="16130"/>
    <cellStyle name="RowTitles-Detail 2 2 2 2 2 5 2" xfId="16131"/>
    <cellStyle name="RowTitles-Detail 2 2 2 2 2 5 2 2" xfId="16132"/>
    <cellStyle name="RowTitles-Detail 2 2 2 2 2 5 2 2 2" xfId="16133"/>
    <cellStyle name="RowTitles-Detail 2 2 2 2 2 5 2 2_Tertiary Salaries Survey" xfId="16134"/>
    <cellStyle name="RowTitles-Detail 2 2 2 2 2 5 2 3" xfId="16135"/>
    <cellStyle name="RowTitles-Detail 2 2 2 2 2 5 2_Tertiary Salaries Survey" xfId="16136"/>
    <cellStyle name="RowTitles-Detail 2 2 2 2 2 5 3" xfId="16137"/>
    <cellStyle name="RowTitles-Detail 2 2 2 2 2 5 3 2" xfId="16138"/>
    <cellStyle name="RowTitles-Detail 2 2 2 2 2 5 3 2 2" xfId="16139"/>
    <cellStyle name="RowTitles-Detail 2 2 2 2 2 5 3 2_Tertiary Salaries Survey" xfId="16140"/>
    <cellStyle name="RowTitles-Detail 2 2 2 2 2 5 3 3" xfId="16141"/>
    <cellStyle name="RowTitles-Detail 2 2 2 2 2 5 3_Tertiary Salaries Survey" xfId="16142"/>
    <cellStyle name="RowTitles-Detail 2 2 2 2 2 5 4" xfId="16143"/>
    <cellStyle name="RowTitles-Detail 2 2 2 2 2 5 4 2" xfId="16144"/>
    <cellStyle name="RowTitles-Detail 2 2 2 2 2 5 4_Tertiary Salaries Survey" xfId="16145"/>
    <cellStyle name="RowTitles-Detail 2 2 2 2 2 5 5" xfId="16146"/>
    <cellStyle name="RowTitles-Detail 2 2 2 2 2 5_Tertiary Salaries Survey" xfId="16147"/>
    <cellStyle name="RowTitles-Detail 2 2 2 2 2 6" xfId="16148"/>
    <cellStyle name="RowTitles-Detail 2 2 2 2 2 6 2" xfId="16149"/>
    <cellStyle name="RowTitles-Detail 2 2 2 2 2 6 2 2" xfId="16150"/>
    <cellStyle name="RowTitles-Detail 2 2 2 2 2 6 2 2 2" xfId="16151"/>
    <cellStyle name="RowTitles-Detail 2 2 2 2 2 6 2 2_Tertiary Salaries Survey" xfId="16152"/>
    <cellStyle name="RowTitles-Detail 2 2 2 2 2 6 2 3" xfId="16153"/>
    <cellStyle name="RowTitles-Detail 2 2 2 2 2 6 2_Tertiary Salaries Survey" xfId="16154"/>
    <cellStyle name="RowTitles-Detail 2 2 2 2 2 6 3" xfId="16155"/>
    <cellStyle name="RowTitles-Detail 2 2 2 2 2 6 3 2" xfId="16156"/>
    <cellStyle name="RowTitles-Detail 2 2 2 2 2 6 3 2 2" xfId="16157"/>
    <cellStyle name="RowTitles-Detail 2 2 2 2 2 6 3 2_Tertiary Salaries Survey" xfId="16158"/>
    <cellStyle name="RowTitles-Detail 2 2 2 2 2 6 3 3" xfId="16159"/>
    <cellStyle name="RowTitles-Detail 2 2 2 2 2 6 3_Tertiary Salaries Survey" xfId="16160"/>
    <cellStyle name="RowTitles-Detail 2 2 2 2 2 6 4" xfId="16161"/>
    <cellStyle name="RowTitles-Detail 2 2 2 2 2 6 4 2" xfId="16162"/>
    <cellStyle name="RowTitles-Detail 2 2 2 2 2 6 4_Tertiary Salaries Survey" xfId="16163"/>
    <cellStyle name="RowTitles-Detail 2 2 2 2 2 6 5" xfId="16164"/>
    <cellStyle name="RowTitles-Detail 2 2 2 2 2 6_Tertiary Salaries Survey" xfId="16165"/>
    <cellStyle name="RowTitles-Detail 2 2 2 2 2 7" xfId="16166"/>
    <cellStyle name="RowTitles-Detail 2 2 2 2 2 7 2" xfId="16167"/>
    <cellStyle name="RowTitles-Detail 2 2 2 2 2 7 2 2" xfId="16168"/>
    <cellStyle name="RowTitles-Detail 2 2 2 2 2 7 2_Tertiary Salaries Survey" xfId="16169"/>
    <cellStyle name="RowTitles-Detail 2 2 2 2 2 7 3" xfId="16170"/>
    <cellStyle name="RowTitles-Detail 2 2 2 2 2 7_Tertiary Salaries Survey" xfId="16171"/>
    <cellStyle name="RowTitles-Detail 2 2 2 2 2 8" xfId="16172"/>
    <cellStyle name="RowTitles-Detail 2 2 2 2 2 9" xfId="16173"/>
    <cellStyle name="RowTitles-Detail 2 2 2 2 2_STUD aligned by INSTIT" xfId="16174"/>
    <cellStyle name="RowTitles-Detail 2 2 2 2 3" xfId="16175"/>
    <cellStyle name="RowTitles-Detail 2 2 2 2 3 2" xfId="16176"/>
    <cellStyle name="RowTitles-Detail 2 2 2 2 3 2 2" xfId="16177"/>
    <cellStyle name="RowTitles-Detail 2 2 2 2 3 2 2 2" xfId="16178"/>
    <cellStyle name="RowTitles-Detail 2 2 2 2 3 2 2 2 2" xfId="16179"/>
    <cellStyle name="RowTitles-Detail 2 2 2 2 3 2 2 2_Tertiary Salaries Survey" xfId="16180"/>
    <cellStyle name="RowTitles-Detail 2 2 2 2 3 2 2 3" xfId="16181"/>
    <cellStyle name="RowTitles-Detail 2 2 2 2 3 2 2_Tertiary Salaries Survey" xfId="16182"/>
    <cellStyle name="RowTitles-Detail 2 2 2 2 3 2 3" xfId="16183"/>
    <cellStyle name="RowTitles-Detail 2 2 2 2 3 2 3 2" xfId="16184"/>
    <cellStyle name="RowTitles-Detail 2 2 2 2 3 2 3 2 2" xfId="16185"/>
    <cellStyle name="RowTitles-Detail 2 2 2 2 3 2 3 2_Tertiary Salaries Survey" xfId="16186"/>
    <cellStyle name="RowTitles-Detail 2 2 2 2 3 2 3 3" xfId="16187"/>
    <cellStyle name="RowTitles-Detail 2 2 2 2 3 2 3_Tertiary Salaries Survey" xfId="16188"/>
    <cellStyle name="RowTitles-Detail 2 2 2 2 3 2 4" xfId="16189"/>
    <cellStyle name="RowTitles-Detail 2 2 2 2 3 2 5" xfId="16190"/>
    <cellStyle name="RowTitles-Detail 2 2 2 2 3 2 5 2" xfId="16191"/>
    <cellStyle name="RowTitles-Detail 2 2 2 2 3 2 5_Tertiary Salaries Survey" xfId="16192"/>
    <cellStyle name="RowTitles-Detail 2 2 2 2 3 2 6" xfId="16193"/>
    <cellStyle name="RowTitles-Detail 2 2 2 2 3 2_Tertiary Salaries Survey" xfId="16194"/>
    <cellStyle name="RowTitles-Detail 2 2 2 2 3 3" xfId="16195"/>
    <cellStyle name="RowTitles-Detail 2 2 2 2 3 3 2" xfId="16196"/>
    <cellStyle name="RowTitles-Detail 2 2 2 2 3 3 2 2" xfId="16197"/>
    <cellStyle name="RowTitles-Detail 2 2 2 2 3 3 2 2 2" xfId="16198"/>
    <cellStyle name="RowTitles-Detail 2 2 2 2 3 3 2 2_Tertiary Salaries Survey" xfId="16199"/>
    <cellStyle name="RowTitles-Detail 2 2 2 2 3 3 2 3" xfId="16200"/>
    <cellStyle name="RowTitles-Detail 2 2 2 2 3 3 2_Tertiary Salaries Survey" xfId="16201"/>
    <cellStyle name="RowTitles-Detail 2 2 2 2 3 3 3" xfId="16202"/>
    <cellStyle name="RowTitles-Detail 2 2 2 2 3 3 3 2" xfId="16203"/>
    <cellStyle name="RowTitles-Detail 2 2 2 2 3 3 3 2 2" xfId="16204"/>
    <cellStyle name="RowTitles-Detail 2 2 2 2 3 3 3 2_Tertiary Salaries Survey" xfId="16205"/>
    <cellStyle name="RowTitles-Detail 2 2 2 2 3 3 3 3" xfId="16206"/>
    <cellStyle name="RowTitles-Detail 2 2 2 2 3 3 3_Tertiary Salaries Survey" xfId="16207"/>
    <cellStyle name="RowTitles-Detail 2 2 2 2 3 3 4" xfId="16208"/>
    <cellStyle name="RowTitles-Detail 2 2 2 2 3 3 5" xfId="16209"/>
    <cellStyle name="RowTitles-Detail 2 2 2 2 3 3_Tertiary Salaries Survey" xfId="16210"/>
    <cellStyle name="RowTitles-Detail 2 2 2 2 3 4" xfId="16211"/>
    <cellStyle name="RowTitles-Detail 2 2 2 2 3 4 2" xfId="16212"/>
    <cellStyle name="RowTitles-Detail 2 2 2 2 3 4 2 2" xfId="16213"/>
    <cellStyle name="RowTitles-Detail 2 2 2 2 3 4 2 2 2" xfId="16214"/>
    <cellStyle name="RowTitles-Detail 2 2 2 2 3 4 2 2_Tertiary Salaries Survey" xfId="16215"/>
    <cellStyle name="RowTitles-Detail 2 2 2 2 3 4 2 3" xfId="16216"/>
    <cellStyle name="RowTitles-Detail 2 2 2 2 3 4 2_Tertiary Salaries Survey" xfId="16217"/>
    <cellStyle name="RowTitles-Detail 2 2 2 2 3 4 3" xfId="16218"/>
    <cellStyle name="RowTitles-Detail 2 2 2 2 3 4 3 2" xfId="16219"/>
    <cellStyle name="RowTitles-Detail 2 2 2 2 3 4 3 2 2" xfId="16220"/>
    <cellStyle name="RowTitles-Detail 2 2 2 2 3 4 3 2_Tertiary Salaries Survey" xfId="16221"/>
    <cellStyle name="RowTitles-Detail 2 2 2 2 3 4 3 3" xfId="16222"/>
    <cellStyle name="RowTitles-Detail 2 2 2 2 3 4 3_Tertiary Salaries Survey" xfId="16223"/>
    <cellStyle name="RowTitles-Detail 2 2 2 2 3 4 4" xfId="16224"/>
    <cellStyle name="RowTitles-Detail 2 2 2 2 3 4 4 2" xfId="16225"/>
    <cellStyle name="RowTitles-Detail 2 2 2 2 3 4 4_Tertiary Salaries Survey" xfId="16226"/>
    <cellStyle name="RowTitles-Detail 2 2 2 2 3 4 5" xfId="16227"/>
    <cellStyle name="RowTitles-Detail 2 2 2 2 3 4_Tertiary Salaries Survey" xfId="16228"/>
    <cellStyle name="RowTitles-Detail 2 2 2 2 3 5" xfId="16229"/>
    <cellStyle name="RowTitles-Detail 2 2 2 2 3 5 2" xfId="16230"/>
    <cellStyle name="RowTitles-Detail 2 2 2 2 3 5 2 2" xfId="16231"/>
    <cellStyle name="RowTitles-Detail 2 2 2 2 3 5 2 2 2" xfId="16232"/>
    <cellStyle name="RowTitles-Detail 2 2 2 2 3 5 2 2_Tertiary Salaries Survey" xfId="16233"/>
    <cellStyle name="RowTitles-Detail 2 2 2 2 3 5 2 3" xfId="16234"/>
    <cellStyle name="RowTitles-Detail 2 2 2 2 3 5 2_Tertiary Salaries Survey" xfId="16235"/>
    <cellStyle name="RowTitles-Detail 2 2 2 2 3 5 3" xfId="16236"/>
    <cellStyle name="RowTitles-Detail 2 2 2 2 3 5 3 2" xfId="16237"/>
    <cellStyle name="RowTitles-Detail 2 2 2 2 3 5 3 2 2" xfId="16238"/>
    <cellStyle name="RowTitles-Detail 2 2 2 2 3 5 3 2_Tertiary Salaries Survey" xfId="16239"/>
    <cellStyle name="RowTitles-Detail 2 2 2 2 3 5 3 3" xfId="16240"/>
    <cellStyle name="RowTitles-Detail 2 2 2 2 3 5 3_Tertiary Salaries Survey" xfId="16241"/>
    <cellStyle name="RowTitles-Detail 2 2 2 2 3 5 4" xfId="16242"/>
    <cellStyle name="RowTitles-Detail 2 2 2 2 3 5 4 2" xfId="16243"/>
    <cellStyle name="RowTitles-Detail 2 2 2 2 3 5 4_Tertiary Salaries Survey" xfId="16244"/>
    <cellStyle name="RowTitles-Detail 2 2 2 2 3 5 5" xfId="16245"/>
    <cellStyle name="RowTitles-Detail 2 2 2 2 3 5_Tertiary Salaries Survey" xfId="16246"/>
    <cellStyle name="RowTitles-Detail 2 2 2 2 3 6" xfId="16247"/>
    <cellStyle name="RowTitles-Detail 2 2 2 2 3 6 2" xfId="16248"/>
    <cellStyle name="RowTitles-Detail 2 2 2 2 3 6 2 2" xfId="16249"/>
    <cellStyle name="RowTitles-Detail 2 2 2 2 3 6 2 2 2" xfId="16250"/>
    <cellStyle name="RowTitles-Detail 2 2 2 2 3 6 2 2_Tertiary Salaries Survey" xfId="16251"/>
    <cellStyle name="RowTitles-Detail 2 2 2 2 3 6 2 3" xfId="16252"/>
    <cellStyle name="RowTitles-Detail 2 2 2 2 3 6 2_Tertiary Salaries Survey" xfId="16253"/>
    <cellStyle name="RowTitles-Detail 2 2 2 2 3 6 3" xfId="16254"/>
    <cellStyle name="RowTitles-Detail 2 2 2 2 3 6 3 2" xfId="16255"/>
    <cellStyle name="RowTitles-Detail 2 2 2 2 3 6 3 2 2" xfId="16256"/>
    <cellStyle name="RowTitles-Detail 2 2 2 2 3 6 3 2_Tertiary Salaries Survey" xfId="16257"/>
    <cellStyle name="RowTitles-Detail 2 2 2 2 3 6 3 3" xfId="16258"/>
    <cellStyle name="RowTitles-Detail 2 2 2 2 3 6 3_Tertiary Salaries Survey" xfId="16259"/>
    <cellStyle name="RowTitles-Detail 2 2 2 2 3 6 4" xfId="16260"/>
    <cellStyle name="RowTitles-Detail 2 2 2 2 3 6 4 2" xfId="16261"/>
    <cellStyle name="RowTitles-Detail 2 2 2 2 3 6 4_Tertiary Salaries Survey" xfId="16262"/>
    <cellStyle name="RowTitles-Detail 2 2 2 2 3 6 5" xfId="16263"/>
    <cellStyle name="RowTitles-Detail 2 2 2 2 3 6_Tertiary Salaries Survey" xfId="16264"/>
    <cellStyle name="RowTitles-Detail 2 2 2 2 3 7" xfId="16265"/>
    <cellStyle name="RowTitles-Detail 2 2 2 2 3 7 2" xfId="16266"/>
    <cellStyle name="RowTitles-Detail 2 2 2 2 3 7 2 2" xfId="16267"/>
    <cellStyle name="RowTitles-Detail 2 2 2 2 3 7 2_Tertiary Salaries Survey" xfId="16268"/>
    <cellStyle name="RowTitles-Detail 2 2 2 2 3 7 3" xfId="16269"/>
    <cellStyle name="RowTitles-Detail 2 2 2 2 3 7_Tertiary Salaries Survey" xfId="16270"/>
    <cellStyle name="RowTitles-Detail 2 2 2 2 3 8" xfId="16271"/>
    <cellStyle name="RowTitles-Detail 2 2 2 2 3 8 2" xfId="16272"/>
    <cellStyle name="RowTitles-Detail 2 2 2 2 3 8 2 2" xfId="16273"/>
    <cellStyle name="RowTitles-Detail 2 2 2 2 3 8 2_Tertiary Salaries Survey" xfId="16274"/>
    <cellStyle name="RowTitles-Detail 2 2 2 2 3 8 3" xfId="16275"/>
    <cellStyle name="RowTitles-Detail 2 2 2 2 3 8_Tertiary Salaries Survey" xfId="16276"/>
    <cellStyle name="RowTitles-Detail 2 2 2 2 3 9" xfId="16277"/>
    <cellStyle name="RowTitles-Detail 2 2 2 2 3_STUD aligned by INSTIT" xfId="16278"/>
    <cellStyle name="RowTitles-Detail 2 2 2 2 4" xfId="16279"/>
    <cellStyle name="RowTitles-Detail 2 2 2 2 4 2" xfId="16280"/>
    <cellStyle name="RowTitles-Detail 2 2 2 2 4 2 2" xfId="16281"/>
    <cellStyle name="RowTitles-Detail 2 2 2 2 4 2 2 2" xfId="16282"/>
    <cellStyle name="RowTitles-Detail 2 2 2 2 4 2 2 2 2" xfId="16283"/>
    <cellStyle name="RowTitles-Detail 2 2 2 2 4 2 2 2_Tertiary Salaries Survey" xfId="16284"/>
    <cellStyle name="RowTitles-Detail 2 2 2 2 4 2 2 3" xfId="16285"/>
    <cellStyle name="RowTitles-Detail 2 2 2 2 4 2 2_Tertiary Salaries Survey" xfId="16286"/>
    <cellStyle name="RowTitles-Detail 2 2 2 2 4 2 3" xfId="16287"/>
    <cellStyle name="RowTitles-Detail 2 2 2 2 4 2 3 2" xfId="16288"/>
    <cellStyle name="RowTitles-Detail 2 2 2 2 4 2 3 2 2" xfId="16289"/>
    <cellStyle name="RowTitles-Detail 2 2 2 2 4 2 3 2_Tertiary Salaries Survey" xfId="16290"/>
    <cellStyle name="RowTitles-Detail 2 2 2 2 4 2 3 3" xfId="16291"/>
    <cellStyle name="RowTitles-Detail 2 2 2 2 4 2 3_Tertiary Salaries Survey" xfId="16292"/>
    <cellStyle name="RowTitles-Detail 2 2 2 2 4 2 4" xfId="16293"/>
    <cellStyle name="RowTitles-Detail 2 2 2 2 4 2 5" xfId="16294"/>
    <cellStyle name="RowTitles-Detail 2 2 2 2 4 2 5 2" xfId="16295"/>
    <cellStyle name="RowTitles-Detail 2 2 2 2 4 2 5_Tertiary Salaries Survey" xfId="16296"/>
    <cellStyle name="RowTitles-Detail 2 2 2 2 4 2 6" xfId="16297"/>
    <cellStyle name="RowTitles-Detail 2 2 2 2 4 2_Tertiary Salaries Survey" xfId="16298"/>
    <cellStyle name="RowTitles-Detail 2 2 2 2 4 3" xfId="16299"/>
    <cellStyle name="RowTitles-Detail 2 2 2 2 4 3 2" xfId="16300"/>
    <cellStyle name="RowTitles-Detail 2 2 2 2 4 3 2 2" xfId="16301"/>
    <cellStyle name="RowTitles-Detail 2 2 2 2 4 3 2 2 2" xfId="16302"/>
    <cellStyle name="RowTitles-Detail 2 2 2 2 4 3 2 2_Tertiary Salaries Survey" xfId="16303"/>
    <cellStyle name="RowTitles-Detail 2 2 2 2 4 3 2 3" xfId="16304"/>
    <cellStyle name="RowTitles-Detail 2 2 2 2 4 3 2_Tertiary Salaries Survey" xfId="16305"/>
    <cellStyle name="RowTitles-Detail 2 2 2 2 4 3 3" xfId="16306"/>
    <cellStyle name="RowTitles-Detail 2 2 2 2 4 3 3 2" xfId="16307"/>
    <cellStyle name="RowTitles-Detail 2 2 2 2 4 3 3 2 2" xfId="16308"/>
    <cellStyle name="RowTitles-Detail 2 2 2 2 4 3 3 2_Tertiary Salaries Survey" xfId="16309"/>
    <cellStyle name="RowTitles-Detail 2 2 2 2 4 3 3 3" xfId="16310"/>
    <cellStyle name="RowTitles-Detail 2 2 2 2 4 3 3_Tertiary Salaries Survey" xfId="16311"/>
    <cellStyle name="RowTitles-Detail 2 2 2 2 4 3 4" xfId="16312"/>
    <cellStyle name="RowTitles-Detail 2 2 2 2 4 3 5" xfId="16313"/>
    <cellStyle name="RowTitles-Detail 2 2 2 2 4 3_Tertiary Salaries Survey" xfId="16314"/>
    <cellStyle name="RowTitles-Detail 2 2 2 2 4 4" xfId="16315"/>
    <cellStyle name="RowTitles-Detail 2 2 2 2 4 4 2" xfId="16316"/>
    <cellStyle name="RowTitles-Detail 2 2 2 2 4 4 2 2" xfId="16317"/>
    <cellStyle name="RowTitles-Detail 2 2 2 2 4 4 2 2 2" xfId="16318"/>
    <cellStyle name="RowTitles-Detail 2 2 2 2 4 4 2 2_Tertiary Salaries Survey" xfId="16319"/>
    <cellStyle name="RowTitles-Detail 2 2 2 2 4 4 2 3" xfId="16320"/>
    <cellStyle name="RowTitles-Detail 2 2 2 2 4 4 2_Tertiary Salaries Survey" xfId="16321"/>
    <cellStyle name="RowTitles-Detail 2 2 2 2 4 4 3" xfId="16322"/>
    <cellStyle name="RowTitles-Detail 2 2 2 2 4 4 3 2" xfId="16323"/>
    <cellStyle name="RowTitles-Detail 2 2 2 2 4 4 3 2 2" xfId="16324"/>
    <cellStyle name="RowTitles-Detail 2 2 2 2 4 4 3 2_Tertiary Salaries Survey" xfId="16325"/>
    <cellStyle name="RowTitles-Detail 2 2 2 2 4 4 3 3" xfId="16326"/>
    <cellStyle name="RowTitles-Detail 2 2 2 2 4 4 3_Tertiary Salaries Survey" xfId="16327"/>
    <cellStyle name="RowTitles-Detail 2 2 2 2 4 4 4" xfId="16328"/>
    <cellStyle name="RowTitles-Detail 2 2 2 2 4 4 5" xfId="16329"/>
    <cellStyle name="RowTitles-Detail 2 2 2 2 4 4 5 2" xfId="16330"/>
    <cellStyle name="RowTitles-Detail 2 2 2 2 4 4 5_Tertiary Salaries Survey" xfId="16331"/>
    <cellStyle name="RowTitles-Detail 2 2 2 2 4 4 6" xfId="16332"/>
    <cellStyle name="RowTitles-Detail 2 2 2 2 4 4_Tertiary Salaries Survey" xfId="16333"/>
    <cellStyle name="RowTitles-Detail 2 2 2 2 4 5" xfId="16334"/>
    <cellStyle name="RowTitles-Detail 2 2 2 2 4 5 2" xfId="16335"/>
    <cellStyle name="RowTitles-Detail 2 2 2 2 4 5 2 2" xfId="16336"/>
    <cellStyle name="RowTitles-Detail 2 2 2 2 4 5 2 2 2" xfId="16337"/>
    <cellStyle name="RowTitles-Detail 2 2 2 2 4 5 2 2_Tertiary Salaries Survey" xfId="16338"/>
    <cellStyle name="RowTitles-Detail 2 2 2 2 4 5 2 3" xfId="16339"/>
    <cellStyle name="RowTitles-Detail 2 2 2 2 4 5 2_Tertiary Salaries Survey" xfId="16340"/>
    <cellStyle name="RowTitles-Detail 2 2 2 2 4 5 3" xfId="16341"/>
    <cellStyle name="RowTitles-Detail 2 2 2 2 4 5 3 2" xfId="16342"/>
    <cellStyle name="RowTitles-Detail 2 2 2 2 4 5 3 2 2" xfId="16343"/>
    <cellStyle name="RowTitles-Detail 2 2 2 2 4 5 3 2_Tertiary Salaries Survey" xfId="16344"/>
    <cellStyle name="RowTitles-Detail 2 2 2 2 4 5 3 3" xfId="16345"/>
    <cellStyle name="RowTitles-Detail 2 2 2 2 4 5 3_Tertiary Salaries Survey" xfId="16346"/>
    <cellStyle name="RowTitles-Detail 2 2 2 2 4 5 4" xfId="16347"/>
    <cellStyle name="RowTitles-Detail 2 2 2 2 4 5 4 2" xfId="16348"/>
    <cellStyle name="RowTitles-Detail 2 2 2 2 4 5 4_Tertiary Salaries Survey" xfId="16349"/>
    <cellStyle name="RowTitles-Detail 2 2 2 2 4 5 5" xfId="16350"/>
    <cellStyle name="RowTitles-Detail 2 2 2 2 4 5_Tertiary Salaries Survey" xfId="16351"/>
    <cellStyle name="RowTitles-Detail 2 2 2 2 4 6" xfId="16352"/>
    <cellStyle name="RowTitles-Detail 2 2 2 2 4 6 2" xfId="16353"/>
    <cellStyle name="RowTitles-Detail 2 2 2 2 4 6 2 2" xfId="16354"/>
    <cellStyle name="RowTitles-Detail 2 2 2 2 4 6 2 2 2" xfId="16355"/>
    <cellStyle name="RowTitles-Detail 2 2 2 2 4 6 2 2_Tertiary Salaries Survey" xfId="16356"/>
    <cellStyle name="RowTitles-Detail 2 2 2 2 4 6 2 3" xfId="16357"/>
    <cellStyle name="RowTitles-Detail 2 2 2 2 4 6 2_Tertiary Salaries Survey" xfId="16358"/>
    <cellStyle name="RowTitles-Detail 2 2 2 2 4 6 3" xfId="16359"/>
    <cellStyle name="RowTitles-Detail 2 2 2 2 4 6 3 2" xfId="16360"/>
    <cellStyle name="RowTitles-Detail 2 2 2 2 4 6 3 2 2" xfId="16361"/>
    <cellStyle name="RowTitles-Detail 2 2 2 2 4 6 3 2_Tertiary Salaries Survey" xfId="16362"/>
    <cellStyle name="RowTitles-Detail 2 2 2 2 4 6 3 3" xfId="16363"/>
    <cellStyle name="RowTitles-Detail 2 2 2 2 4 6 3_Tertiary Salaries Survey" xfId="16364"/>
    <cellStyle name="RowTitles-Detail 2 2 2 2 4 6 4" xfId="16365"/>
    <cellStyle name="RowTitles-Detail 2 2 2 2 4 6 4 2" xfId="16366"/>
    <cellStyle name="RowTitles-Detail 2 2 2 2 4 6 4_Tertiary Salaries Survey" xfId="16367"/>
    <cellStyle name="RowTitles-Detail 2 2 2 2 4 6 5" xfId="16368"/>
    <cellStyle name="RowTitles-Detail 2 2 2 2 4 6_Tertiary Salaries Survey" xfId="16369"/>
    <cellStyle name="RowTitles-Detail 2 2 2 2 4 7" xfId="16370"/>
    <cellStyle name="RowTitles-Detail 2 2 2 2 4 7 2" xfId="16371"/>
    <cellStyle name="RowTitles-Detail 2 2 2 2 4 7 2 2" xfId="16372"/>
    <cellStyle name="RowTitles-Detail 2 2 2 2 4 7 2_Tertiary Salaries Survey" xfId="16373"/>
    <cellStyle name="RowTitles-Detail 2 2 2 2 4 7 3" xfId="16374"/>
    <cellStyle name="RowTitles-Detail 2 2 2 2 4 7_Tertiary Salaries Survey" xfId="16375"/>
    <cellStyle name="RowTitles-Detail 2 2 2 2 4 8" xfId="16376"/>
    <cellStyle name="RowTitles-Detail 2 2 2 2 4 9" xfId="16377"/>
    <cellStyle name="RowTitles-Detail 2 2 2 2 4_STUD aligned by INSTIT" xfId="16378"/>
    <cellStyle name="RowTitles-Detail 2 2 2 2 5" xfId="16379"/>
    <cellStyle name="RowTitles-Detail 2 2 2 2 5 2" xfId="16380"/>
    <cellStyle name="RowTitles-Detail 2 2 2 2 5 2 2" xfId="16381"/>
    <cellStyle name="RowTitles-Detail 2 2 2 2 5 2 2 2" xfId="16382"/>
    <cellStyle name="RowTitles-Detail 2 2 2 2 5 2 2_Tertiary Salaries Survey" xfId="16383"/>
    <cellStyle name="RowTitles-Detail 2 2 2 2 5 2 3" xfId="16384"/>
    <cellStyle name="RowTitles-Detail 2 2 2 2 5 2_Tertiary Salaries Survey" xfId="16385"/>
    <cellStyle name="RowTitles-Detail 2 2 2 2 5 3" xfId="16386"/>
    <cellStyle name="RowTitles-Detail 2 2 2 2 5 3 2" xfId="16387"/>
    <cellStyle name="RowTitles-Detail 2 2 2 2 5 3 2 2" xfId="16388"/>
    <cellStyle name="RowTitles-Detail 2 2 2 2 5 3 2_Tertiary Salaries Survey" xfId="16389"/>
    <cellStyle name="RowTitles-Detail 2 2 2 2 5 3 3" xfId="16390"/>
    <cellStyle name="RowTitles-Detail 2 2 2 2 5 3_Tertiary Salaries Survey" xfId="16391"/>
    <cellStyle name="RowTitles-Detail 2 2 2 2 5 4" xfId="16392"/>
    <cellStyle name="RowTitles-Detail 2 2 2 2 5 5" xfId="16393"/>
    <cellStyle name="RowTitles-Detail 2 2 2 2 5 5 2" xfId="16394"/>
    <cellStyle name="RowTitles-Detail 2 2 2 2 5 5_Tertiary Salaries Survey" xfId="16395"/>
    <cellStyle name="RowTitles-Detail 2 2 2 2 5 6" xfId="16396"/>
    <cellStyle name="RowTitles-Detail 2 2 2 2 5_Tertiary Salaries Survey" xfId="16397"/>
    <cellStyle name="RowTitles-Detail 2 2 2 2 6" xfId="16398"/>
    <cellStyle name="RowTitles-Detail 2 2 2 2 6 2" xfId="16399"/>
    <cellStyle name="RowTitles-Detail 2 2 2 2 6 2 2" xfId="16400"/>
    <cellStyle name="RowTitles-Detail 2 2 2 2 6 2 2 2" xfId="16401"/>
    <cellStyle name="RowTitles-Detail 2 2 2 2 6 2 2_Tertiary Salaries Survey" xfId="16402"/>
    <cellStyle name="RowTitles-Detail 2 2 2 2 6 2 3" xfId="16403"/>
    <cellStyle name="RowTitles-Detail 2 2 2 2 6 2_Tertiary Salaries Survey" xfId="16404"/>
    <cellStyle name="RowTitles-Detail 2 2 2 2 6 3" xfId="16405"/>
    <cellStyle name="RowTitles-Detail 2 2 2 2 6 3 2" xfId="16406"/>
    <cellStyle name="RowTitles-Detail 2 2 2 2 6 3 2 2" xfId="16407"/>
    <cellStyle name="RowTitles-Detail 2 2 2 2 6 3 2_Tertiary Salaries Survey" xfId="16408"/>
    <cellStyle name="RowTitles-Detail 2 2 2 2 6 3 3" xfId="16409"/>
    <cellStyle name="RowTitles-Detail 2 2 2 2 6 3_Tertiary Salaries Survey" xfId="16410"/>
    <cellStyle name="RowTitles-Detail 2 2 2 2 6 4" xfId="16411"/>
    <cellStyle name="RowTitles-Detail 2 2 2 2 6 5" xfId="16412"/>
    <cellStyle name="RowTitles-Detail 2 2 2 2 6_Tertiary Salaries Survey" xfId="16413"/>
    <cellStyle name="RowTitles-Detail 2 2 2 2 7" xfId="16414"/>
    <cellStyle name="RowTitles-Detail 2 2 2 2 7 2" xfId="16415"/>
    <cellStyle name="RowTitles-Detail 2 2 2 2 7 2 2" xfId="16416"/>
    <cellStyle name="RowTitles-Detail 2 2 2 2 7 2 2 2" xfId="16417"/>
    <cellStyle name="RowTitles-Detail 2 2 2 2 7 2 2_Tertiary Salaries Survey" xfId="16418"/>
    <cellStyle name="RowTitles-Detail 2 2 2 2 7 2 3" xfId="16419"/>
    <cellStyle name="RowTitles-Detail 2 2 2 2 7 2_Tertiary Salaries Survey" xfId="16420"/>
    <cellStyle name="RowTitles-Detail 2 2 2 2 7 3" xfId="16421"/>
    <cellStyle name="RowTitles-Detail 2 2 2 2 7 3 2" xfId="16422"/>
    <cellStyle name="RowTitles-Detail 2 2 2 2 7 3 2 2" xfId="16423"/>
    <cellStyle name="RowTitles-Detail 2 2 2 2 7 3 2_Tertiary Salaries Survey" xfId="16424"/>
    <cellStyle name="RowTitles-Detail 2 2 2 2 7 3 3" xfId="16425"/>
    <cellStyle name="RowTitles-Detail 2 2 2 2 7 3_Tertiary Salaries Survey" xfId="16426"/>
    <cellStyle name="RowTitles-Detail 2 2 2 2 7 4" xfId="16427"/>
    <cellStyle name="RowTitles-Detail 2 2 2 2 7 5" xfId="16428"/>
    <cellStyle name="RowTitles-Detail 2 2 2 2 7 5 2" xfId="16429"/>
    <cellStyle name="RowTitles-Detail 2 2 2 2 7 5_Tertiary Salaries Survey" xfId="16430"/>
    <cellStyle name="RowTitles-Detail 2 2 2 2 7 6" xfId="16431"/>
    <cellStyle name="RowTitles-Detail 2 2 2 2 7_Tertiary Salaries Survey" xfId="16432"/>
    <cellStyle name="RowTitles-Detail 2 2 2 2 8" xfId="16433"/>
    <cellStyle name="RowTitles-Detail 2 2 2 2 8 2" xfId="16434"/>
    <cellStyle name="RowTitles-Detail 2 2 2 2 8 2 2" xfId="16435"/>
    <cellStyle name="RowTitles-Detail 2 2 2 2 8 2 2 2" xfId="16436"/>
    <cellStyle name="RowTitles-Detail 2 2 2 2 8 2 2_Tertiary Salaries Survey" xfId="16437"/>
    <cellStyle name="RowTitles-Detail 2 2 2 2 8 2 3" xfId="16438"/>
    <cellStyle name="RowTitles-Detail 2 2 2 2 8 2_Tertiary Salaries Survey" xfId="16439"/>
    <cellStyle name="RowTitles-Detail 2 2 2 2 8 3" xfId="16440"/>
    <cellStyle name="RowTitles-Detail 2 2 2 2 8 3 2" xfId="16441"/>
    <cellStyle name="RowTitles-Detail 2 2 2 2 8 3 2 2" xfId="16442"/>
    <cellStyle name="RowTitles-Detail 2 2 2 2 8 3 2_Tertiary Salaries Survey" xfId="16443"/>
    <cellStyle name="RowTitles-Detail 2 2 2 2 8 3 3" xfId="16444"/>
    <cellStyle name="RowTitles-Detail 2 2 2 2 8 3_Tertiary Salaries Survey" xfId="16445"/>
    <cellStyle name="RowTitles-Detail 2 2 2 2 8 4" xfId="16446"/>
    <cellStyle name="RowTitles-Detail 2 2 2 2 8 4 2" xfId="16447"/>
    <cellStyle name="RowTitles-Detail 2 2 2 2 8 4_Tertiary Salaries Survey" xfId="16448"/>
    <cellStyle name="RowTitles-Detail 2 2 2 2 8 5" xfId="16449"/>
    <cellStyle name="RowTitles-Detail 2 2 2 2 8_Tertiary Salaries Survey" xfId="16450"/>
    <cellStyle name="RowTitles-Detail 2 2 2 2 9" xfId="16451"/>
    <cellStyle name="RowTitles-Detail 2 2 2 2 9 2" xfId="16452"/>
    <cellStyle name="RowTitles-Detail 2 2 2 2 9 2 2" xfId="16453"/>
    <cellStyle name="RowTitles-Detail 2 2 2 2 9 2 2 2" xfId="16454"/>
    <cellStyle name="RowTitles-Detail 2 2 2 2 9 2 2_Tertiary Salaries Survey" xfId="16455"/>
    <cellStyle name="RowTitles-Detail 2 2 2 2 9 2 3" xfId="16456"/>
    <cellStyle name="RowTitles-Detail 2 2 2 2 9 2_Tertiary Salaries Survey" xfId="16457"/>
    <cellStyle name="RowTitles-Detail 2 2 2 2 9 3" xfId="16458"/>
    <cellStyle name="RowTitles-Detail 2 2 2 2 9 3 2" xfId="16459"/>
    <cellStyle name="RowTitles-Detail 2 2 2 2 9 3 2 2" xfId="16460"/>
    <cellStyle name="RowTitles-Detail 2 2 2 2 9 3 2_Tertiary Salaries Survey" xfId="16461"/>
    <cellStyle name="RowTitles-Detail 2 2 2 2 9 3 3" xfId="16462"/>
    <cellStyle name="RowTitles-Detail 2 2 2 2 9 3_Tertiary Salaries Survey" xfId="16463"/>
    <cellStyle name="RowTitles-Detail 2 2 2 2 9 4" xfId="16464"/>
    <cellStyle name="RowTitles-Detail 2 2 2 2 9 4 2" xfId="16465"/>
    <cellStyle name="RowTitles-Detail 2 2 2 2 9 4_Tertiary Salaries Survey" xfId="16466"/>
    <cellStyle name="RowTitles-Detail 2 2 2 2 9 5" xfId="16467"/>
    <cellStyle name="RowTitles-Detail 2 2 2 2 9_Tertiary Salaries Survey" xfId="16468"/>
    <cellStyle name="RowTitles-Detail 2 2 2 2_STUD aligned by INSTIT" xfId="16469"/>
    <cellStyle name="RowTitles-Detail 2 2 2 3" xfId="16470"/>
    <cellStyle name="RowTitles-Detail 2 2 2 3 2" xfId="16471"/>
    <cellStyle name="RowTitles-Detail 2 2 2 3 2 2" xfId="16472"/>
    <cellStyle name="RowTitles-Detail 2 2 2 3 2 2 2" xfId="16473"/>
    <cellStyle name="RowTitles-Detail 2 2 2 3 2 2 2 2" xfId="16474"/>
    <cellStyle name="RowTitles-Detail 2 2 2 3 2 2 2_Tertiary Salaries Survey" xfId="16475"/>
    <cellStyle name="RowTitles-Detail 2 2 2 3 2 2 3" xfId="16476"/>
    <cellStyle name="RowTitles-Detail 2 2 2 3 2 2_Tertiary Salaries Survey" xfId="16477"/>
    <cellStyle name="RowTitles-Detail 2 2 2 3 2 3" xfId="16478"/>
    <cellStyle name="RowTitles-Detail 2 2 2 3 2 3 2" xfId="16479"/>
    <cellStyle name="RowTitles-Detail 2 2 2 3 2 3 2 2" xfId="16480"/>
    <cellStyle name="RowTitles-Detail 2 2 2 3 2 3 2_Tertiary Salaries Survey" xfId="16481"/>
    <cellStyle name="RowTitles-Detail 2 2 2 3 2 3 3" xfId="16482"/>
    <cellStyle name="RowTitles-Detail 2 2 2 3 2 3_Tertiary Salaries Survey" xfId="16483"/>
    <cellStyle name="RowTitles-Detail 2 2 2 3 2 4" xfId="16484"/>
    <cellStyle name="RowTitles-Detail 2 2 2 3 2 5" xfId="16485"/>
    <cellStyle name="RowTitles-Detail 2 2 2 3 2_Tertiary Salaries Survey" xfId="16486"/>
    <cellStyle name="RowTitles-Detail 2 2 2 3 3" xfId="16487"/>
    <cellStyle name="RowTitles-Detail 2 2 2 3 3 2" xfId="16488"/>
    <cellStyle name="RowTitles-Detail 2 2 2 3 3 2 2" xfId="16489"/>
    <cellStyle name="RowTitles-Detail 2 2 2 3 3 2 2 2" xfId="16490"/>
    <cellStyle name="RowTitles-Detail 2 2 2 3 3 2 2_Tertiary Salaries Survey" xfId="16491"/>
    <cellStyle name="RowTitles-Detail 2 2 2 3 3 2 3" xfId="16492"/>
    <cellStyle name="RowTitles-Detail 2 2 2 3 3 2_Tertiary Salaries Survey" xfId="16493"/>
    <cellStyle name="RowTitles-Detail 2 2 2 3 3 3" xfId="16494"/>
    <cellStyle name="RowTitles-Detail 2 2 2 3 3 3 2" xfId="16495"/>
    <cellStyle name="RowTitles-Detail 2 2 2 3 3 3 2 2" xfId="16496"/>
    <cellStyle name="RowTitles-Detail 2 2 2 3 3 3 2_Tertiary Salaries Survey" xfId="16497"/>
    <cellStyle name="RowTitles-Detail 2 2 2 3 3 3 3" xfId="16498"/>
    <cellStyle name="RowTitles-Detail 2 2 2 3 3 3_Tertiary Salaries Survey" xfId="16499"/>
    <cellStyle name="RowTitles-Detail 2 2 2 3 3 4" xfId="16500"/>
    <cellStyle name="RowTitles-Detail 2 2 2 3 3 5" xfId="16501"/>
    <cellStyle name="RowTitles-Detail 2 2 2 3 3 5 2" xfId="16502"/>
    <cellStyle name="RowTitles-Detail 2 2 2 3 3 5_Tertiary Salaries Survey" xfId="16503"/>
    <cellStyle name="RowTitles-Detail 2 2 2 3 3 6" xfId="16504"/>
    <cellStyle name="RowTitles-Detail 2 2 2 3 3_Tertiary Salaries Survey" xfId="16505"/>
    <cellStyle name="RowTitles-Detail 2 2 2 3 4" xfId="16506"/>
    <cellStyle name="RowTitles-Detail 2 2 2 3 4 2" xfId="16507"/>
    <cellStyle name="RowTitles-Detail 2 2 2 3 4 2 2" xfId="16508"/>
    <cellStyle name="RowTitles-Detail 2 2 2 3 4 2 2 2" xfId="16509"/>
    <cellStyle name="RowTitles-Detail 2 2 2 3 4 2 2_Tertiary Salaries Survey" xfId="16510"/>
    <cellStyle name="RowTitles-Detail 2 2 2 3 4 2 3" xfId="16511"/>
    <cellStyle name="RowTitles-Detail 2 2 2 3 4 2_Tertiary Salaries Survey" xfId="16512"/>
    <cellStyle name="RowTitles-Detail 2 2 2 3 4 3" xfId="16513"/>
    <cellStyle name="RowTitles-Detail 2 2 2 3 4 3 2" xfId="16514"/>
    <cellStyle name="RowTitles-Detail 2 2 2 3 4 3 2 2" xfId="16515"/>
    <cellStyle name="RowTitles-Detail 2 2 2 3 4 3 2_Tertiary Salaries Survey" xfId="16516"/>
    <cellStyle name="RowTitles-Detail 2 2 2 3 4 3 3" xfId="16517"/>
    <cellStyle name="RowTitles-Detail 2 2 2 3 4 3_Tertiary Salaries Survey" xfId="16518"/>
    <cellStyle name="RowTitles-Detail 2 2 2 3 4 4" xfId="16519"/>
    <cellStyle name="RowTitles-Detail 2 2 2 3 4 4 2" xfId="16520"/>
    <cellStyle name="RowTitles-Detail 2 2 2 3 4 4_Tertiary Salaries Survey" xfId="16521"/>
    <cellStyle name="RowTitles-Detail 2 2 2 3 4 5" xfId="16522"/>
    <cellStyle name="RowTitles-Detail 2 2 2 3 4_Tertiary Salaries Survey" xfId="16523"/>
    <cellStyle name="RowTitles-Detail 2 2 2 3 5" xfId="16524"/>
    <cellStyle name="RowTitles-Detail 2 2 2 3 5 2" xfId="16525"/>
    <cellStyle name="RowTitles-Detail 2 2 2 3 5 2 2" xfId="16526"/>
    <cellStyle name="RowTitles-Detail 2 2 2 3 5 2 2 2" xfId="16527"/>
    <cellStyle name="RowTitles-Detail 2 2 2 3 5 2 2_Tertiary Salaries Survey" xfId="16528"/>
    <cellStyle name="RowTitles-Detail 2 2 2 3 5 2 3" xfId="16529"/>
    <cellStyle name="RowTitles-Detail 2 2 2 3 5 2_Tertiary Salaries Survey" xfId="16530"/>
    <cellStyle name="RowTitles-Detail 2 2 2 3 5 3" xfId="16531"/>
    <cellStyle name="RowTitles-Detail 2 2 2 3 5 3 2" xfId="16532"/>
    <cellStyle name="RowTitles-Detail 2 2 2 3 5 3 2 2" xfId="16533"/>
    <cellStyle name="RowTitles-Detail 2 2 2 3 5 3 2_Tertiary Salaries Survey" xfId="16534"/>
    <cellStyle name="RowTitles-Detail 2 2 2 3 5 3 3" xfId="16535"/>
    <cellStyle name="RowTitles-Detail 2 2 2 3 5 3_Tertiary Salaries Survey" xfId="16536"/>
    <cellStyle name="RowTitles-Detail 2 2 2 3 5 4" xfId="16537"/>
    <cellStyle name="RowTitles-Detail 2 2 2 3 5 4 2" xfId="16538"/>
    <cellStyle name="RowTitles-Detail 2 2 2 3 5 4_Tertiary Salaries Survey" xfId="16539"/>
    <cellStyle name="RowTitles-Detail 2 2 2 3 5 5" xfId="16540"/>
    <cellStyle name="RowTitles-Detail 2 2 2 3 5_Tertiary Salaries Survey" xfId="16541"/>
    <cellStyle name="RowTitles-Detail 2 2 2 3 6" xfId="16542"/>
    <cellStyle name="RowTitles-Detail 2 2 2 3 6 2" xfId="16543"/>
    <cellStyle name="RowTitles-Detail 2 2 2 3 6 2 2" xfId="16544"/>
    <cellStyle name="RowTitles-Detail 2 2 2 3 6 2 2 2" xfId="16545"/>
    <cellStyle name="RowTitles-Detail 2 2 2 3 6 2 2_Tertiary Salaries Survey" xfId="16546"/>
    <cellStyle name="RowTitles-Detail 2 2 2 3 6 2 3" xfId="16547"/>
    <cellStyle name="RowTitles-Detail 2 2 2 3 6 2_Tertiary Salaries Survey" xfId="16548"/>
    <cellStyle name="RowTitles-Detail 2 2 2 3 6 3" xfId="16549"/>
    <cellStyle name="RowTitles-Detail 2 2 2 3 6 3 2" xfId="16550"/>
    <cellStyle name="RowTitles-Detail 2 2 2 3 6 3 2 2" xfId="16551"/>
    <cellStyle name="RowTitles-Detail 2 2 2 3 6 3 2_Tertiary Salaries Survey" xfId="16552"/>
    <cellStyle name="RowTitles-Detail 2 2 2 3 6 3 3" xfId="16553"/>
    <cellStyle name="RowTitles-Detail 2 2 2 3 6 3_Tertiary Salaries Survey" xfId="16554"/>
    <cellStyle name="RowTitles-Detail 2 2 2 3 6 4" xfId="16555"/>
    <cellStyle name="RowTitles-Detail 2 2 2 3 6 4 2" xfId="16556"/>
    <cellStyle name="RowTitles-Detail 2 2 2 3 6 4_Tertiary Salaries Survey" xfId="16557"/>
    <cellStyle name="RowTitles-Detail 2 2 2 3 6 5" xfId="16558"/>
    <cellStyle name="RowTitles-Detail 2 2 2 3 6_Tertiary Salaries Survey" xfId="16559"/>
    <cellStyle name="RowTitles-Detail 2 2 2 3 7" xfId="16560"/>
    <cellStyle name="RowTitles-Detail 2 2 2 3 7 2" xfId="16561"/>
    <cellStyle name="RowTitles-Detail 2 2 2 3 7 2 2" xfId="16562"/>
    <cellStyle name="RowTitles-Detail 2 2 2 3 7 2_Tertiary Salaries Survey" xfId="16563"/>
    <cellStyle name="RowTitles-Detail 2 2 2 3 7 3" xfId="16564"/>
    <cellStyle name="RowTitles-Detail 2 2 2 3 7_Tertiary Salaries Survey" xfId="16565"/>
    <cellStyle name="RowTitles-Detail 2 2 2 3 8" xfId="16566"/>
    <cellStyle name="RowTitles-Detail 2 2 2 3 9" xfId="16567"/>
    <cellStyle name="RowTitles-Detail 2 2 2 3_STUD aligned by INSTIT" xfId="16568"/>
    <cellStyle name="RowTitles-Detail 2 2 2 4" xfId="16569"/>
    <cellStyle name="RowTitles-Detail 2 2 2 4 2" xfId="16570"/>
    <cellStyle name="RowTitles-Detail 2 2 2 4 2 2" xfId="16571"/>
    <cellStyle name="RowTitles-Detail 2 2 2 4 2 2 2" xfId="16572"/>
    <cellStyle name="RowTitles-Detail 2 2 2 4 2 2 2 2" xfId="16573"/>
    <cellStyle name="RowTitles-Detail 2 2 2 4 2 2 2_Tertiary Salaries Survey" xfId="16574"/>
    <cellStyle name="RowTitles-Detail 2 2 2 4 2 2 3" xfId="16575"/>
    <cellStyle name="RowTitles-Detail 2 2 2 4 2 2_Tertiary Salaries Survey" xfId="16576"/>
    <cellStyle name="RowTitles-Detail 2 2 2 4 2 3" xfId="16577"/>
    <cellStyle name="RowTitles-Detail 2 2 2 4 2 3 2" xfId="16578"/>
    <cellStyle name="RowTitles-Detail 2 2 2 4 2 3 2 2" xfId="16579"/>
    <cellStyle name="RowTitles-Detail 2 2 2 4 2 3 2_Tertiary Salaries Survey" xfId="16580"/>
    <cellStyle name="RowTitles-Detail 2 2 2 4 2 3 3" xfId="16581"/>
    <cellStyle name="RowTitles-Detail 2 2 2 4 2 3_Tertiary Salaries Survey" xfId="16582"/>
    <cellStyle name="RowTitles-Detail 2 2 2 4 2 4" xfId="16583"/>
    <cellStyle name="RowTitles-Detail 2 2 2 4 2 5" xfId="16584"/>
    <cellStyle name="RowTitles-Detail 2 2 2 4 2 5 2" xfId="16585"/>
    <cellStyle name="RowTitles-Detail 2 2 2 4 2 5_Tertiary Salaries Survey" xfId="16586"/>
    <cellStyle name="RowTitles-Detail 2 2 2 4 2 6" xfId="16587"/>
    <cellStyle name="RowTitles-Detail 2 2 2 4 2_Tertiary Salaries Survey" xfId="16588"/>
    <cellStyle name="RowTitles-Detail 2 2 2 4 3" xfId="16589"/>
    <cellStyle name="RowTitles-Detail 2 2 2 4 3 2" xfId="16590"/>
    <cellStyle name="RowTitles-Detail 2 2 2 4 3 2 2" xfId="16591"/>
    <cellStyle name="RowTitles-Detail 2 2 2 4 3 2 2 2" xfId="16592"/>
    <cellStyle name="RowTitles-Detail 2 2 2 4 3 2 2_Tertiary Salaries Survey" xfId="16593"/>
    <cellStyle name="RowTitles-Detail 2 2 2 4 3 2 3" xfId="16594"/>
    <cellStyle name="RowTitles-Detail 2 2 2 4 3 2_Tertiary Salaries Survey" xfId="16595"/>
    <cellStyle name="RowTitles-Detail 2 2 2 4 3 3" xfId="16596"/>
    <cellStyle name="RowTitles-Detail 2 2 2 4 3 3 2" xfId="16597"/>
    <cellStyle name="RowTitles-Detail 2 2 2 4 3 3 2 2" xfId="16598"/>
    <cellStyle name="RowTitles-Detail 2 2 2 4 3 3 2_Tertiary Salaries Survey" xfId="16599"/>
    <cellStyle name="RowTitles-Detail 2 2 2 4 3 3 3" xfId="16600"/>
    <cellStyle name="RowTitles-Detail 2 2 2 4 3 3_Tertiary Salaries Survey" xfId="16601"/>
    <cellStyle name="RowTitles-Detail 2 2 2 4 3 4" xfId="16602"/>
    <cellStyle name="RowTitles-Detail 2 2 2 4 3 5" xfId="16603"/>
    <cellStyle name="RowTitles-Detail 2 2 2 4 3_Tertiary Salaries Survey" xfId="16604"/>
    <cellStyle name="RowTitles-Detail 2 2 2 4 4" xfId="16605"/>
    <cellStyle name="RowTitles-Detail 2 2 2 4 4 2" xfId="16606"/>
    <cellStyle name="RowTitles-Detail 2 2 2 4 4 2 2" xfId="16607"/>
    <cellStyle name="RowTitles-Detail 2 2 2 4 4 2 2 2" xfId="16608"/>
    <cellStyle name="RowTitles-Detail 2 2 2 4 4 2 2_Tertiary Salaries Survey" xfId="16609"/>
    <cellStyle name="RowTitles-Detail 2 2 2 4 4 2 3" xfId="16610"/>
    <cellStyle name="RowTitles-Detail 2 2 2 4 4 2_Tertiary Salaries Survey" xfId="16611"/>
    <cellStyle name="RowTitles-Detail 2 2 2 4 4 3" xfId="16612"/>
    <cellStyle name="RowTitles-Detail 2 2 2 4 4 3 2" xfId="16613"/>
    <cellStyle name="RowTitles-Detail 2 2 2 4 4 3 2 2" xfId="16614"/>
    <cellStyle name="RowTitles-Detail 2 2 2 4 4 3 2_Tertiary Salaries Survey" xfId="16615"/>
    <cellStyle name="RowTitles-Detail 2 2 2 4 4 3 3" xfId="16616"/>
    <cellStyle name="RowTitles-Detail 2 2 2 4 4 3_Tertiary Salaries Survey" xfId="16617"/>
    <cellStyle name="RowTitles-Detail 2 2 2 4 4 4" xfId="16618"/>
    <cellStyle name="RowTitles-Detail 2 2 2 4 4 4 2" xfId="16619"/>
    <cellStyle name="RowTitles-Detail 2 2 2 4 4 4_Tertiary Salaries Survey" xfId="16620"/>
    <cellStyle name="RowTitles-Detail 2 2 2 4 4 5" xfId="16621"/>
    <cellStyle name="RowTitles-Detail 2 2 2 4 4_Tertiary Salaries Survey" xfId="16622"/>
    <cellStyle name="RowTitles-Detail 2 2 2 4 5" xfId="16623"/>
    <cellStyle name="RowTitles-Detail 2 2 2 4 5 2" xfId="16624"/>
    <cellStyle name="RowTitles-Detail 2 2 2 4 5 2 2" xfId="16625"/>
    <cellStyle name="RowTitles-Detail 2 2 2 4 5 2 2 2" xfId="16626"/>
    <cellStyle name="RowTitles-Detail 2 2 2 4 5 2 2_Tertiary Salaries Survey" xfId="16627"/>
    <cellStyle name="RowTitles-Detail 2 2 2 4 5 2 3" xfId="16628"/>
    <cellStyle name="RowTitles-Detail 2 2 2 4 5 2_Tertiary Salaries Survey" xfId="16629"/>
    <cellStyle name="RowTitles-Detail 2 2 2 4 5 3" xfId="16630"/>
    <cellStyle name="RowTitles-Detail 2 2 2 4 5 3 2" xfId="16631"/>
    <cellStyle name="RowTitles-Detail 2 2 2 4 5 3 2 2" xfId="16632"/>
    <cellStyle name="RowTitles-Detail 2 2 2 4 5 3 2_Tertiary Salaries Survey" xfId="16633"/>
    <cellStyle name="RowTitles-Detail 2 2 2 4 5 3 3" xfId="16634"/>
    <cellStyle name="RowTitles-Detail 2 2 2 4 5 3_Tertiary Salaries Survey" xfId="16635"/>
    <cellStyle name="RowTitles-Detail 2 2 2 4 5 4" xfId="16636"/>
    <cellStyle name="RowTitles-Detail 2 2 2 4 5 4 2" xfId="16637"/>
    <cellStyle name="RowTitles-Detail 2 2 2 4 5 4_Tertiary Salaries Survey" xfId="16638"/>
    <cellStyle name="RowTitles-Detail 2 2 2 4 5 5" xfId="16639"/>
    <cellStyle name="RowTitles-Detail 2 2 2 4 5_Tertiary Salaries Survey" xfId="16640"/>
    <cellStyle name="RowTitles-Detail 2 2 2 4 6" xfId="16641"/>
    <cellStyle name="RowTitles-Detail 2 2 2 4 6 2" xfId="16642"/>
    <cellStyle name="RowTitles-Detail 2 2 2 4 6 2 2" xfId="16643"/>
    <cellStyle name="RowTitles-Detail 2 2 2 4 6 2 2 2" xfId="16644"/>
    <cellStyle name="RowTitles-Detail 2 2 2 4 6 2 2_Tertiary Salaries Survey" xfId="16645"/>
    <cellStyle name="RowTitles-Detail 2 2 2 4 6 2 3" xfId="16646"/>
    <cellStyle name="RowTitles-Detail 2 2 2 4 6 2_Tertiary Salaries Survey" xfId="16647"/>
    <cellStyle name="RowTitles-Detail 2 2 2 4 6 3" xfId="16648"/>
    <cellStyle name="RowTitles-Detail 2 2 2 4 6 3 2" xfId="16649"/>
    <cellStyle name="RowTitles-Detail 2 2 2 4 6 3 2 2" xfId="16650"/>
    <cellStyle name="RowTitles-Detail 2 2 2 4 6 3 2_Tertiary Salaries Survey" xfId="16651"/>
    <cellStyle name="RowTitles-Detail 2 2 2 4 6 3 3" xfId="16652"/>
    <cellStyle name="RowTitles-Detail 2 2 2 4 6 3_Tertiary Salaries Survey" xfId="16653"/>
    <cellStyle name="RowTitles-Detail 2 2 2 4 6 4" xfId="16654"/>
    <cellStyle name="RowTitles-Detail 2 2 2 4 6 4 2" xfId="16655"/>
    <cellStyle name="RowTitles-Detail 2 2 2 4 6 4_Tertiary Salaries Survey" xfId="16656"/>
    <cellStyle name="RowTitles-Detail 2 2 2 4 6 5" xfId="16657"/>
    <cellStyle name="RowTitles-Detail 2 2 2 4 6_Tertiary Salaries Survey" xfId="16658"/>
    <cellStyle name="RowTitles-Detail 2 2 2 4 7" xfId="16659"/>
    <cellStyle name="RowTitles-Detail 2 2 2 4 7 2" xfId="16660"/>
    <cellStyle name="RowTitles-Detail 2 2 2 4 7 2 2" xfId="16661"/>
    <cellStyle name="RowTitles-Detail 2 2 2 4 7 2_Tertiary Salaries Survey" xfId="16662"/>
    <cellStyle name="RowTitles-Detail 2 2 2 4 7 3" xfId="16663"/>
    <cellStyle name="RowTitles-Detail 2 2 2 4 7_Tertiary Salaries Survey" xfId="16664"/>
    <cellStyle name="RowTitles-Detail 2 2 2 4 8" xfId="16665"/>
    <cellStyle name="RowTitles-Detail 2 2 2 4 8 2" xfId="16666"/>
    <cellStyle name="RowTitles-Detail 2 2 2 4 8 2 2" xfId="16667"/>
    <cellStyle name="RowTitles-Detail 2 2 2 4 8 2_Tertiary Salaries Survey" xfId="16668"/>
    <cellStyle name="RowTitles-Detail 2 2 2 4 8 3" xfId="16669"/>
    <cellStyle name="RowTitles-Detail 2 2 2 4 8_Tertiary Salaries Survey" xfId="16670"/>
    <cellStyle name="RowTitles-Detail 2 2 2 4 9" xfId="16671"/>
    <cellStyle name="RowTitles-Detail 2 2 2 4_STUD aligned by INSTIT" xfId="16672"/>
    <cellStyle name="RowTitles-Detail 2 2 2 5" xfId="16673"/>
    <cellStyle name="RowTitles-Detail 2 2 2 5 2" xfId="16674"/>
    <cellStyle name="RowTitles-Detail 2 2 2 5 2 2" xfId="16675"/>
    <cellStyle name="RowTitles-Detail 2 2 2 5 2 2 2" xfId="16676"/>
    <cellStyle name="RowTitles-Detail 2 2 2 5 2 2 2 2" xfId="16677"/>
    <cellStyle name="RowTitles-Detail 2 2 2 5 2 2 2_Tertiary Salaries Survey" xfId="16678"/>
    <cellStyle name="RowTitles-Detail 2 2 2 5 2 2 3" xfId="16679"/>
    <cellStyle name="RowTitles-Detail 2 2 2 5 2 2_Tertiary Salaries Survey" xfId="16680"/>
    <cellStyle name="RowTitles-Detail 2 2 2 5 2 3" xfId="16681"/>
    <cellStyle name="RowTitles-Detail 2 2 2 5 2 3 2" xfId="16682"/>
    <cellStyle name="RowTitles-Detail 2 2 2 5 2 3 2 2" xfId="16683"/>
    <cellStyle name="RowTitles-Detail 2 2 2 5 2 3 2_Tertiary Salaries Survey" xfId="16684"/>
    <cellStyle name="RowTitles-Detail 2 2 2 5 2 3 3" xfId="16685"/>
    <cellStyle name="RowTitles-Detail 2 2 2 5 2 3_Tertiary Salaries Survey" xfId="16686"/>
    <cellStyle name="RowTitles-Detail 2 2 2 5 2 4" xfId="16687"/>
    <cellStyle name="RowTitles-Detail 2 2 2 5 2 5" xfId="16688"/>
    <cellStyle name="RowTitles-Detail 2 2 2 5 2 5 2" xfId="16689"/>
    <cellStyle name="RowTitles-Detail 2 2 2 5 2 5_Tertiary Salaries Survey" xfId="16690"/>
    <cellStyle name="RowTitles-Detail 2 2 2 5 2 6" xfId="16691"/>
    <cellStyle name="RowTitles-Detail 2 2 2 5 2_Tertiary Salaries Survey" xfId="16692"/>
    <cellStyle name="RowTitles-Detail 2 2 2 5 3" xfId="16693"/>
    <cellStyle name="RowTitles-Detail 2 2 2 5 3 2" xfId="16694"/>
    <cellStyle name="RowTitles-Detail 2 2 2 5 3 2 2" xfId="16695"/>
    <cellStyle name="RowTitles-Detail 2 2 2 5 3 2 2 2" xfId="16696"/>
    <cellStyle name="RowTitles-Detail 2 2 2 5 3 2 2_Tertiary Salaries Survey" xfId="16697"/>
    <cellStyle name="RowTitles-Detail 2 2 2 5 3 2 3" xfId="16698"/>
    <cellStyle name="RowTitles-Detail 2 2 2 5 3 2_Tertiary Salaries Survey" xfId="16699"/>
    <cellStyle name="RowTitles-Detail 2 2 2 5 3 3" xfId="16700"/>
    <cellStyle name="RowTitles-Detail 2 2 2 5 3 3 2" xfId="16701"/>
    <cellStyle name="RowTitles-Detail 2 2 2 5 3 3 2 2" xfId="16702"/>
    <cellStyle name="RowTitles-Detail 2 2 2 5 3 3 2_Tertiary Salaries Survey" xfId="16703"/>
    <cellStyle name="RowTitles-Detail 2 2 2 5 3 3 3" xfId="16704"/>
    <cellStyle name="RowTitles-Detail 2 2 2 5 3 3_Tertiary Salaries Survey" xfId="16705"/>
    <cellStyle name="RowTitles-Detail 2 2 2 5 3 4" xfId="16706"/>
    <cellStyle name="RowTitles-Detail 2 2 2 5 3 5" xfId="16707"/>
    <cellStyle name="RowTitles-Detail 2 2 2 5 3_Tertiary Salaries Survey" xfId="16708"/>
    <cellStyle name="RowTitles-Detail 2 2 2 5 4" xfId="16709"/>
    <cellStyle name="RowTitles-Detail 2 2 2 5 4 2" xfId="16710"/>
    <cellStyle name="RowTitles-Detail 2 2 2 5 4 2 2" xfId="16711"/>
    <cellStyle name="RowTitles-Detail 2 2 2 5 4 2 2 2" xfId="16712"/>
    <cellStyle name="RowTitles-Detail 2 2 2 5 4 2 2_Tertiary Salaries Survey" xfId="16713"/>
    <cellStyle name="RowTitles-Detail 2 2 2 5 4 2 3" xfId="16714"/>
    <cellStyle name="RowTitles-Detail 2 2 2 5 4 2_Tertiary Salaries Survey" xfId="16715"/>
    <cellStyle name="RowTitles-Detail 2 2 2 5 4 3" xfId="16716"/>
    <cellStyle name="RowTitles-Detail 2 2 2 5 4 3 2" xfId="16717"/>
    <cellStyle name="RowTitles-Detail 2 2 2 5 4 3 2 2" xfId="16718"/>
    <cellStyle name="RowTitles-Detail 2 2 2 5 4 3 2_Tertiary Salaries Survey" xfId="16719"/>
    <cellStyle name="RowTitles-Detail 2 2 2 5 4 3 3" xfId="16720"/>
    <cellStyle name="RowTitles-Detail 2 2 2 5 4 3_Tertiary Salaries Survey" xfId="16721"/>
    <cellStyle name="RowTitles-Detail 2 2 2 5 4 4" xfId="16722"/>
    <cellStyle name="RowTitles-Detail 2 2 2 5 4 5" xfId="16723"/>
    <cellStyle name="RowTitles-Detail 2 2 2 5 4 5 2" xfId="16724"/>
    <cellStyle name="RowTitles-Detail 2 2 2 5 4 5_Tertiary Salaries Survey" xfId="16725"/>
    <cellStyle name="RowTitles-Detail 2 2 2 5 4 6" xfId="16726"/>
    <cellStyle name="RowTitles-Detail 2 2 2 5 4_Tertiary Salaries Survey" xfId="16727"/>
    <cellStyle name="RowTitles-Detail 2 2 2 5 5" xfId="16728"/>
    <cellStyle name="RowTitles-Detail 2 2 2 5 5 2" xfId="16729"/>
    <cellStyle name="RowTitles-Detail 2 2 2 5 5 2 2" xfId="16730"/>
    <cellStyle name="RowTitles-Detail 2 2 2 5 5 2 2 2" xfId="16731"/>
    <cellStyle name="RowTitles-Detail 2 2 2 5 5 2 2_Tertiary Salaries Survey" xfId="16732"/>
    <cellStyle name="RowTitles-Detail 2 2 2 5 5 2 3" xfId="16733"/>
    <cellStyle name="RowTitles-Detail 2 2 2 5 5 2_Tertiary Salaries Survey" xfId="16734"/>
    <cellStyle name="RowTitles-Detail 2 2 2 5 5 3" xfId="16735"/>
    <cellStyle name="RowTitles-Detail 2 2 2 5 5 3 2" xfId="16736"/>
    <cellStyle name="RowTitles-Detail 2 2 2 5 5 3 2 2" xfId="16737"/>
    <cellStyle name="RowTitles-Detail 2 2 2 5 5 3 2_Tertiary Salaries Survey" xfId="16738"/>
    <cellStyle name="RowTitles-Detail 2 2 2 5 5 3 3" xfId="16739"/>
    <cellStyle name="RowTitles-Detail 2 2 2 5 5 3_Tertiary Salaries Survey" xfId="16740"/>
    <cellStyle name="RowTitles-Detail 2 2 2 5 5 4" xfId="16741"/>
    <cellStyle name="RowTitles-Detail 2 2 2 5 5 4 2" xfId="16742"/>
    <cellStyle name="RowTitles-Detail 2 2 2 5 5 4_Tertiary Salaries Survey" xfId="16743"/>
    <cellStyle name="RowTitles-Detail 2 2 2 5 5 5" xfId="16744"/>
    <cellStyle name="RowTitles-Detail 2 2 2 5 5_Tertiary Salaries Survey" xfId="16745"/>
    <cellStyle name="RowTitles-Detail 2 2 2 5 6" xfId="16746"/>
    <cellStyle name="RowTitles-Detail 2 2 2 5 6 2" xfId="16747"/>
    <cellStyle name="RowTitles-Detail 2 2 2 5 6 2 2" xfId="16748"/>
    <cellStyle name="RowTitles-Detail 2 2 2 5 6 2 2 2" xfId="16749"/>
    <cellStyle name="RowTitles-Detail 2 2 2 5 6 2 2_Tertiary Salaries Survey" xfId="16750"/>
    <cellStyle name="RowTitles-Detail 2 2 2 5 6 2 3" xfId="16751"/>
    <cellStyle name="RowTitles-Detail 2 2 2 5 6 2_Tertiary Salaries Survey" xfId="16752"/>
    <cellStyle name="RowTitles-Detail 2 2 2 5 6 3" xfId="16753"/>
    <cellStyle name="RowTitles-Detail 2 2 2 5 6 3 2" xfId="16754"/>
    <cellStyle name="RowTitles-Detail 2 2 2 5 6 3 2 2" xfId="16755"/>
    <cellStyle name="RowTitles-Detail 2 2 2 5 6 3 2_Tertiary Salaries Survey" xfId="16756"/>
    <cellStyle name="RowTitles-Detail 2 2 2 5 6 3 3" xfId="16757"/>
    <cellStyle name="RowTitles-Detail 2 2 2 5 6 3_Tertiary Salaries Survey" xfId="16758"/>
    <cellStyle name="RowTitles-Detail 2 2 2 5 6 4" xfId="16759"/>
    <cellStyle name="RowTitles-Detail 2 2 2 5 6 4 2" xfId="16760"/>
    <cellStyle name="RowTitles-Detail 2 2 2 5 6 4_Tertiary Salaries Survey" xfId="16761"/>
    <cellStyle name="RowTitles-Detail 2 2 2 5 6 5" xfId="16762"/>
    <cellStyle name="RowTitles-Detail 2 2 2 5 6_Tertiary Salaries Survey" xfId="16763"/>
    <cellStyle name="RowTitles-Detail 2 2 2 5 7" xfId="16764"/>
    <cellStyle name="RowTitles-Detail 2 2 2 5 7 2" xfId="16765"/>
    <cellStyle name="RowTitles-Detail 2 2 2 5 7 2 2" xfId="16766"/>
    <cellStyle name="RowTitles-Detail 2 2 2 5 7 2_Tertiary Salaries Survey" xfId="16767"/>
    <cellStyle name="RowTitles-Detail 2 2 2 5 7 3" xfId="16768"/>
    <cellStyle name="RowTitles-Detail 2 2 2 5 7_Tertiary Salaries Survey" xfId="16769"/>
    <cellStyle name="RowTitles-Detail 2 2 2 5 8" xfId="16770"/>
    <cellStyle name="RowTitles-Detail 2 2 2 5 9" xfId="16771"/>
    <cellStyle name="RowTitles-Detail 2 2 2 5_STUD aligned by INSTIT" xfId="16772"/>
    <cellStyle name="RowTitles-Detail 2 2 2 6" xfId="16773"/>
    <cellStyle name="RowTitles-Detail 2 2 2 6 2" xfId="16774"/>
    <cellStyle name="RowTitles-Detail 2 2 2 6 2 2" xfId="16775"/>
    <cellStyle name="RowTitles-Detail 2 2 2 6 2 2 2" xfId="16776"/>
    <cellStyle name="RowTitles-Detail 2 2 2 6 2 2_Tertiary Salaries Survey" xfId="16777"/>
    <cellStyle name="RowTitles-Detail 2 2 2 6 2 3" xfId="16778"/>
    <cellStyle name="RowTitles-Detail 2 2 2 6 2_Tertiary Salaries Survey" xfId="16779"/>
    <cellStyle name="RowTitles-Detail 2 2 2 6 3" xfId="16780"/>
    <cellStyle name="RowTitles-Detail 2 2 2 6 3 2" xfId="16781"/>
    <cellStyle name="RowTitles-Detail 2 2 2 6 3 2 2" xfId="16782"/>
    <cellStyle name="RowTitles-Detail 2 2 2 6 3 2_Tertiary Salaries Survey" xfId="16783"/>
    <cellStyle name="RowTitles-Detail 2 2 2 6 3 3" xfId="16784"/>
    <cellStyle name="RowTitles-Detail 2 2 2 6 3_Tertiary Salaries Survey" xfId="16785"/>
    <cellStyle name="RowTitles-Detail 2 2 2 6 4" xfId="16786"/>
    <cellStyle name="RowTitles-Detail 2 2 2 6 5" xfId="16787"/>
    <cellStyle name="RowTitles-Detail 2 2 2 6 5 2" xfId="16788"/>
    <cellStyle name="RowTitles-Detail 2 2 2 6 5_Tertiary Salaries Survey" xfId="16789"/>
    <cellStyle name="RowTitles-Detail 2 2 2 6 6" xfId="16790"/>
    <cellStyle name="RowTitles-Detail 2 2 2 6_Tertiary Salaries Survey" xfId="16791"/>
    <cellStyle name="RowTitles-Detail 2 2 2 7" xfId="16792"/>
    <cellStyle name="RowTitles-Detail 2 2 2 7 2" xfId="16793"/>
    <cellStyle name="RowTitles-Detail 2 2 2 7 2 2" xfId="16794"/>
    <cellStyle name="RowTitles-Detail 2 2 2 7 2 2 2" xfId="16795"/>
    <cellStyle name="RowTitles-Detail 2 2 2 7 2 2_Tertiary Salaries Survey" xfId="16796"/>
    <cellStyle name="RowTitles-Detail 2 2 2 7 2 3" xfId="16797"/>
    <cellStyle name="RowTitles-Detail 2 2 2 7 2_Tertiary Salaries Survey" xfId="16798"/>
    <cellStyle name="RowTitles-Detail 2 2 2 7 3" xfId="16799"/>
    <cellStyle name="RowTitles-Detail 2 2 2 7 3 2" xfId="16800"/>
    <cellStyle name="RowTitles-Detail 2 2 2 7 3 2 2" xfId="16801"/>
    <cellStyle name="RowTitles-Detail 2 2 2 7 3 2_Tertiary Salaries Survey" xfId="16802"/>
    <cellStyle name="RowTitles-Detail 2 2 2 7 3 3" xfId="16803"/>
    <cellStyle name="RowTitles-Detail 2 2 2 7 3_Tertiary Salaries Survey" xfId="16804"/>
    <cellStyle name="RowTitles-Detail 2 2 2 7 4" xfId="16805"/>
    <cellStyle name="RowTitles-Detail 2 2 2 7 5" xfId="16806"/>
    <cellStyle name="RowTitles-Detail 2 2 2 7_Tertiary Salaries Survey" xfId="16807"/>
    <cellStyle name="RowTitles-Detail 2 2 2 8" xfId="16808"/>
    <cellStyle name="RowTitles-Detail 2 2 2 8 2" xfId="16809"/>
    <cellStyle name="RowTitles-Detail 2 2 2 8 2 2" xfId="16810"/>
    <cellStyle name="RowTitles-Detail 2 2 2 8 2 2 2" xfId="16811"/>
    <cellStyle name="RowTitles-Detail 2 2 2 8 2 2_Tertiary Salaries Survey" xfId="16812"/>
    <cellStyle name="RowTitles-Detail 2 2 2 8 2 3" xfId="16813"/>
    <cellStyle name="RowTitles-Detail 2 2 2 8 2_Tertiary Salaries Survey" xfId="16814"/>
    <cellStyle name="RowTitles-Detail 2 2 2 8 3" xfId="16815"/>
    <cellStyle name="RowTitles-Detail 2 2 2 8 3 2" xfId="16816"/>
    <cellStyle name="RowTitles-Detail 2 2 2 8 3 2 2" xfId="16817"/>
    <cellStyle name="RowTitles-Detail 2 2 2 8 3 2_Tertiary Salaries Survey" xfId="16818"/>
    <cellStyle name="RowTitles-Detail 2 2 2 8 3 3" xfId="16819"/>
    <cellStyle name="RowTitles-Detail 2 2 2 8 3_Tertiary Salaries Survey" xfId="16820"/>
    <cellStyle name="RowTitles-Detail 2 2 2 8 4" xfId="16821"/>
    <cellStyle name="RowTitles-Detail 2 2 2 8 5" xfId="16822"/>
    <cellStyle name="RowTitles-Detail 2 2 2 8 5 2" xfId="16823"/>
    <cellStyle name="RowTitles-Detail 2 2 2 8 5_Tertiary Salaries Survey" xfId="16824"/>
    <cellStyle name="RowTitles-Detail 2 2 2 8 6" xfId="16825"/>
    <cellStyle name="RowTitles-Detail 2 2 2 8_Tertiary Salaries Survey" xfId="16826"/>
    <cellStyle name="RowTitles-Detail 2 2 2 9" xfId="16827"/>
    <cellStyle name="RowTitles-Detail 2 2 2 9 2" xfId="16828"/>
    <cellStyle name="RowTitles-Detail 2 2 2 9 2 2" xfId="16829"/>
    <cellStyle name="RowTitles-Detail 2 2 2 9 2 2 2" xfId="16830"/>
    <cellStyle name="RowTitles-Detail 2 2 2 9 2 2_Tertiary Salaries Survey" xfId="16831"/>
    <cellStyle name="RowTitles-Detail 2 2 2 9 2 3" xfId="16832"/>
    <cellStyle name="RowTitles-Detail 2 2 2 9 2_Tertiary Salaries Survey" xfId="16833"/>
    <cellStyle name="RowTitles-Detail 2 2 2 9 3" xfId="16834"/>
    <cellStyle name="RowTitles-Detail 2 2 2 9 3 2" xfId="16835"/>
    <cellStyle name="RowTitles-Detail 2 2 2 9 3 2 2" xfId="16836"/>
    <cellStyle name="RowTitles-Detail 2 2 2 9 3 2_Tertiary Salaries Survey" xfId="16837"/>
    <cellStyle name="RowTitles-Detail 2 2 2 9 3 3" xfId="16838"/>
    <cellStyle name="RowTitles-Detail 2 2 2 9 3_Tertiary Salaries Survey" xfId="16839"/>
    <cellStyle name="RowTitles-Detail 2 2 2 9 4" xfId="16840"/>
    <cellStyle name="RowTitles-Detail 2 2 2 9 4 2" xfId="16841"/>
    <cellStyle name="RowTitles-Detail 2 2 2 9 4_Tertiary Salaries Survey" xfId="16842"/>
    <cellStyle name="RowTitles-Detail 2 2 2 9 5" xfId="16843"/>
    <cellStyle name="RowTitles-Detail 2 2 2 9_Tertiary Salaries Survey" xfId="16844"/>
    <cellStyle name="RowTitles-Detail 2 2 2_STUD aligned by INSTIT" xfId="16845"/>
    <cellStyle name="RowTitles-Detail 2 2 3" xfId="16846"/>
    <cellStyle name="RowTitles-Detail 2 2 3 10" xfId="16847"/>
    <cellStyle name="RowTitles-Detail 2 2 3 10 2" xfId="16848"/>
    <cellStyle name="RowTitles-Detail 2 2 3 10 2 2" xfId="16849"/>
    <cellStyle name="RowTitles-Detail 2 2 3 10 2_Tertiary Salaries Survey" xfId="16850"/>
    <cellStyle name="RowTitles-Detail 2 2 3 10 3" xfId="16851"/>
    <cellStyle name="RowTitles-Detail 2 2 3 10_Tertiary Salaries Survey" xfId="16852"/>
    <cellStyle name="RowTitles-Detail 2 2 3 11" xfId="16853"/>
    <cellStyle name="RowTitles-Detail 2 2 3 12" xfId="16854"/>
    <cellStyle name="RowTitles-Detail 2 2 3 2" xfId="16855"/>
    <cellStyle name="RowTitles-Detail 2 2 3 2 2" xfId="16856"/>
    <cellStyle name="RowTitles-Detail 2 2 3 2 2 2" xfId="16857"/>
    <cellStyle name="RowTitles-Detail 2 2 3 2 2 2 2" xfId="16858"/>
    <cellStyle name="RowTitles-Detail 2 2 3 2 2 2 2 2" xfId="16859"/>
    <cellStyle name="RowTitles-Detail 2 2 3 2 2 2 2_Tertiary Salaries Survey" xfId="16860"/>
    <cellStyle name="RowTitles-Detail 2 2 3 2 2 2 3" xfId="16861"/>
    <cellStyle name="RowTitles-Detail 2 2 3 2 2 2_Tertiary Salaries Survey" xfId="16862"/>
    <cellStyle name="RowTitles-Detail 2 2 3 2 2 3" xfId="16863"/>
    <cellStyle name="RowTitles-Detail 2 2 3 2 2 3 2" xfId="16864"/>
    <cellStyle name="RowTitles-Detail 2 2 3 2 2 3 2 2" xfId="16865"/>
    <cellStyle name="RowTitles-Detail 2 2 3 2 2 3 2_Tertiary Salaries Survey" xfId="16866"/>
    <cellStyle name="RowTitles-Detail 2 2 3 2 2 3 3" xfId="16867"/>
    <cellStyle name="RowTitles-Detail 2 2 3 2 2 3_Tertiary Salaries Survey" xfId="16868"/>
    <cellStyle name="RowTitles-Detail 2 2 3 2 2 4" xfId="16869"/>
    <cellStyle name="RowTitles-Detail 2 2 3 2 2 5" xfId="16870"/>
    <cellStyle name="RowTitles-Detail 2 2 3 2 2_Tertiary Salaries Survey" xfId="16871"/>
    <cellStyle name="RowTitles-Detail 2 2 3 2 3" xfId="16872"/>
    <cellStyle name="RowTitles-Detail 2 2 3 2 3 2" xfId="16873"/>
    <cellStyle name="RowTitles-Detail 2 2 3 2 3 2 2" xfId="16874"/>
    <cellStyle name="RowTitles-Detail 2 2 3 2 3 2 2 2" xfId="16875"/>
    <cellStyle name="RowTitles-Detail 2 2 3 2 3 2 2_Tertiary Salaries Survey" xfId="16876"/>
    <cellStyle name="RowTitles-Detail 2 2 3 2 3 2 3" xfId="16877"/>
    <cellStyle name="RowTitles-Detail 2 2 3 2 3 2_Tertiary Salaries Survey" xfId="16878"/>
    <cellStyle name="RowTitles-Detail 2 2 3 2 3 3" xfId="16879"/>
    <cellStyle name="RowTitles-Detail 2 2 3 2 3 3 2" xfId="16880"/>
    <cellStyle name="RowTitles-Detail 2 2 3 2 3 3 2 2" xfId="16881"/>
    <cellStyle name="RowTitles-Detail 2 2 3 2 3 3 2_Tertiary Salaries Survey" xfId="16882"/>
    <cellStyle name="RowTitles-Detail 2 2 3 2 3 3 3" xfId="16883"/>
    <cellStyle name="RowTitles-Detail 2 2 3 2 3 3_Tertiary Salaries Survey" xfId="16884"/>
    <cellStyle name="RowTitles-Detail 2 2 3 2 3 4" xfId="16885"/>
    <cellStyle name="RowTitles-Detail 2 2 3 2 3 5" xfId="16886"/>
    <cellStyle name="RowTitles-Detail 2 2 3 2 3 5 2" xfId="16887"/>
    <cellStyle name="RowTitles-Detail 2 2 3 2 3 5_Tertiary Salaries Survey" xfId="16888"/>
    <cellStyle name="RowTitles-Detail 2 2 3 2 3 6" xfId="16889"/>
    <cellStyle name="RowTitles-Detail 2 2 3 2 3_Tertiary Salaries Survey" xfId="16890"/>
    <cellStyle name="RowTitles-Detail 2 2 3 2 4" xfId="16891"/>
    <cellStyle name="RowTitles-Detail 2 2 3 2 4 2" xfId="16892"/>
    <cellStyle name="RowTitles-Detail 2 2 3 2 4 2 2" xfId="16893"/>
    <cellStyle name="RowTitles-Detail 2 2 3 2 4 2 2 2" xfId="16894"/>
    <cellStyle name="RowTitles-Detail 2 2 3 2 4 2 2_Tertiary Salaries Survey" xfId="16895"/>
    <cellStyle name="RowTitles-Detail 2 2 3 2 4 2 3" xfId="16896"/>
    <cellStyle name="RowTitles-Detail 2 2 3 2 4 2_Tertiary Salaries Survey" xfId="16897"/>
    <cellStyle name="RowTitles-Detail 2 2 3 2 4 3" xfId="16898"/>
    <cellStyle name="RowTitles-Detail 2 2 3 2 4 3 2" xfId="16899"/>
    <cellStyle name="RowTitles-Detail 2 2 3 2 4 3 2 2" xfId="16900"/>
    <cellStyle name="RowTitles-Detail 2 2 3 2 4 3 2_Tertiary Salaries Survey" xfId="16901"/>
    <cellStyle name="RowTitles-Detail 2 2 3 2 4 3 3" xfId="16902"/>
    <cellStyle name="RowTitles-Detail 2 2 3 2 4 3_Tertiary Salaries Survey" xfId="16903"/>
    <cellStyle name="RowTitles-Detail 2 2 3 2 4 4" xfId="16904"/>
    <cellStyle name="RowTitles-Detail 2 2 3 2 4 4 2" xfId="16905"/>
    <cellStyle name="RowTitles-Detail 2 2 3 2 4 4_Tertiary Salaries Survey" xfId="16906"/>
    <cellStyle name="RowTitles-Detail 2 2 3 2 4 5" xfId="16907"/>
    <cellStyle name="RowTitles-Detail 2 2 3 2 4_Tertiary Salaries Survey" xfId="16908"/>
    <cellStyle name="RowTitles-Detail 2 2 3 2 5" xfId="16909"/>
    <cellStyle name="RowTitles-Detail 2 2 3 2 5 2" xfId="16910"/>
    <cellStyle name="RowTitles-Detail 2 2 3 2 5 2 2" xfId="16911"/>
    <cellStyle name="RowTitles-Detail 2 2 3 2 5 2 2 2" xfId="16912"/>
    <cellStyle name="RowTitles-Detail 2 2 3 2 5 2 2_Tertiary Salaries Survey" xfId="16913"/>
    <cellStyle name="RowTitles-Detail 2 2 3 2 5 2 3" xfId="16914"/>
    <cellStyle name="RowTitles-Detail 2 2 3 2 5 2_Tertiary Salaries Survey" xfId="16915"/>
    <cellStyle name="RowTitles-Detail 2 2 3 2 5 3" xfId="16916"/>
    <cellStyle name="RowTitles-Detail 2 2 3 2 5 3 2" xfId="16917"/>
    <cellStyle name="RowTitles-Detail 2 2 3 2 5 3 2 2" xfId="16918"/>
    <cellStyle name="RowTitles-Detail 2 2 3 2 5 3 2_Tertiary Salaries Survey" xfId="16919"/>
    <cellStyle name="RowTitles-Detail 2 2 3 2 5 3 3" xfId="16920"/>
    <cellStyle name="RowTitles-Detail 2 2 3 2 5 3_Tertiary Salaries Survey" xfId="16921"/>
    <cellStyle name="RowTitles-Detail 2 2 3 2 5 4" xfId="16922"/>
    <cellStyle name="RowTitles-Detail 2 2 3 2 5 4 2" xfId="16923"/>
    <cellStyle name="RowTitles-Detail 2 2 3 2 5 4_Tertiary Salaries Survey" xfId="16924"/>
    <cellStyle name="RowTitles-Detail 2 2 3 2 5 5" xfId="16925"/>
    <cellStyle name="RowTitles-Detail 2 2 3 2 5_Tertiary Salaries Survey" xfId="16926"/>
    <cellStyle name="RowTitles-Detail 2 2 3 2 6" xfId="16927"/>
    <cellStyle name="RowTitles-Detail 2 2 3 2 6 2" xfId="16928"/>
    <cellStyle name="RowTitles-Detail 2 2 3 2 6 2 2" xfId="16929"/>
    <cellStyle name="RowTitles-Detail 2 2 3 2 6 2 2 2" xfId="16930"/>
    <cellStyle name="RowTitles-Detail 2 2 3 2 6 2 2_Tertiary Salaries Survey" xfId="16931"/>
    <cellStyle name="RowTitles-Detail 2 2 3 2 6 2 3" xfId="16932"/>
    <cellStyle name="RowTitles-Detail 2 2 3 2 6 2_Tertiary Salaries Survey" xfId="16933"/>
    <cellStyle name="RowTitles-Detail 2 2 3 2 6 3" xfId="16934"/>
    <cellStyle name="RowTitles-Detail 2 2 3 2 6 3 2" xfId="16935"/>
    <cellStyle name="RowTitles-Detail 2 2 3 2 6 3 2 2" xfId="16936"/>
    <cellStyle name="RowTitles-Detail 2 2 3 2 6 3 2_Tertiary Salaries Survey" xfId="16937"/>
    <cellStyle name="RowTitles-Detail 2 2 3 2 6 3 3" xfId="16938"/>
    <cellStyle name="RowTitles-Detail 2 2 3 2 6 3_Tertiary Salaries Survey" xfId="16939"/>
    <cellStyle name="RowTitles-Detail 2 2 3 2 6 4" xfId="16940"/>
    <cellStyle name="RowTitles-Detail 2 2 3 2 6 4 2" xfId="16941"/>
    <cellStyle name="RowTitles-Detail 2 2 3 2 6 4_Tertiary Salaries Survey" xfId="16942"/>
    <cellStyle name="RowTitles-Detail 2 2 3 2 6 5" xfId="16943"/>
    <cellStyle name="RowTitles-Detail 2 2 3 2 6_Tertiary Salaries Survey" xfId="16944"/>
    <cellStyle name="RowTitles-Detail 2 2 3 2 7" xfId="16945"/>
    <cellStyle name="RowTitles-Detail 2 2 3 2 7 2" xfId="16946"/>
    <cellStyle name="RowTitles-Detail 2 2 3 2 7 2 2" xfId="16947"/>
    <cellStyle name="RowTitles-Detail 2 2 3 2 7 2_Tertiary Salaries Survey" xfId="16948"/>
    <cellStyle name="RowTitles-Detail 2 2 3 2 7 3" xfId="16949"/>
    <cellStyle name="RowTitles-Detail 2 2 3 2 7_Tertiary Salaries Survey" xfId="16950"/>
    <cellStyle name="RowTitles-Detail 2 2 3 2 8" xfId="16951"/>
    <cellStyle name="RowTitles-Detail 2 2 3 2 9" xfId="16952"/>
    <cellStyle name="RowTitles-Detail 2 2 3 2_STUD aligned by INSTIT" xfId="16953"/>
    <cellStyle name="RowTitles-Detail 2 2 3 3" xfId="16954"/>
    <cellStyle name="RowTitles-Detail 2 2 3 3 2" xfId="16955"/>
    <cellStyle name="RowTitles-Detail 2 2 3 3 2 2" xfId="16956"/>
    <cellStyle name="RowTitles-Detail 2 2 3 3 2 2 2" xfId="16957"/>
    <cellStyle name="RowTitles-Detail 2 2 3 3 2 2 2 2" xfId="16958"/>
    <cellStyle name="RowTitles-Detail 2 2 3 3 2 2 2_Tertiary Salaries Survey" xfId="16959"/>
    <cellStyle name="RowTitles-Detail 2 2 3 3 2 2 3" xfId="16960"/>
    <cellStyle name="RowTitles-Detail 2 2 3 3 2 2_Tertiary Salaries Survey" xfId="16961"/>
    <cellStyle name="RowTitles-Detail 2 2 3 3 2 3" xfId="16962"/>
    <cellStyle name="RowTitles-Detail 2 2 3 3 2 3 2" xfId="16963"/>
    <cellStyle name="RowTitles-Detail 2 2 3 3 2 3 2 2" xfId="16964"/>
    <cellStyle name="RowTitles-Detail 2 2 3 3 2 3 2_Tertiary Salaries Survey" xfId="16965"/>
    <cellStyle name="RowTitles-Detail 2 2 3 3 2 3 3" xfId="16966"/>
    <cellStyle name="RowTitles-Detail 2 2 3 3 2 3_Tertiary Salaries Survey" xfId="16967"/>
    <cellStyle name="RowTitles-Detail 2 2 3 3 2 4" xfId="16968"/>
    <cellStyle name="RowTitles-Detail 2 2 3 3 2 5" xfId="16969"/>
    <cellStyle name="RowTitles-Detail 2 2 3 3 2 5 2" xfId="16970"/>
    <cellStyle name="RowTitles-Detail 2 2 3 3 2 5_Tertiary Salaries Survey" xfId="16971"/>
    <cellStyle name="RowTitles-Detail 2 2 3 3 2 6" xfId="16972"/>
    <cellStyle name="RowTitles-Detail 2 2 3 3 2_Tertiary Salaries Survey" xfId="16973"/>
    <cellStyle name="RowTitles-Detail 2 2 3 3 3" xfId="16974"/>
    <cellStyle name="RowTitles-Detail 2 2 3 3 3 2" xfId="16975"/>
    <cellStyle name="RowTitles-Detail 2 2 3 3 3 2 2" xfId="16976"/>
    <cellStyle name="RowTitles-Detail 2 2 3 3 3 2 2 2" xfId="16977"/>
    <cellStyle name="RowTitles-Detail 2 2 3 3 3 2 2_Tertiary Salaries Survey" xfId="16978"/>
    <cellStyle name="RowTitles-Detail 2 2 3 3 3 2 3" xfId="16979"/>
    <cellStyle name="RowTitles-Detail 2 2 3 3 3 2_Tertiary Salaries Survey" xfId="16980"/>
    <cellStyle name="RowTitles-Detail 2 2 3 3 3 3" xfId="16981"/>
    <cellStyle name="RowTitles-Detail 2 2 3 3 3 3 2" xfId="16982"/>
    <cellStyle name="RowTitles-Detail 2 2 3 3 3 3 2 2" xfId="16983"/>
    <cellStyle name="RowTitles-Detail 2 2 3 3 3 3 2_Tertiary Salaries Survey" xfId="16984"/>
    <cellStyle name="RowTitles-Detail 2 2 3 3 3 3 3" xfId="16985"/>
    <cellStyle name="RowTitles-Detail 2 2 3 3 3 3_Tertiary Salaries Survey" xfId="16986"/>
    <cellStyle name="RowTitles-Detail 2 2 3 3 3 4" xfId="16987"/>
    <cellStyle name="RowTitles-Detail 2 2 3 3 3 5" xfId="16988"/>
    <cellStyle name="RowTitles-Detail 2 2 3 3 3_Tertiary Salaries Survey" xfId="16989"/>
    <cellStyle name="RowTitles-Detail 2 2 3 3 4" xfId="16990"/>
    <cellStyle name="RowTitles-Detail 2 2 3 3 4 2" xfId="16991"/>
    <cellStyle name="RowTitles-Detail 2 2 3 3 4 2 2" xfId="16992"/>
    <cellStyle name="RowTitles-Detail 2 2 3 3 4 2 2 2" xfId="16993"/>
    <cellStyle name="RowTitles-Detail 2 2 3 3 4 2 2_Tertiary Salaries Survey" xfId="16994"/>
    <cellStyle name="RowTitles-Detail 2 2 3 3 4 2 3" xfId="16995"/>
    <cellStyle name="RowTitles-Detail 2 2 3 3 4 2_Tertiary Salaries Survey" xfId="16996"/>
    <cellStyle name="RowTitles-Detail 2 2 3 3 4 3" xfId="16997"/>
    <cellStyle name="RowTitles-Detail 2 2 3 3 4 3 2" xfId="16998"/>
    <cellStyle name="RowTitles-Detail 2 2 3 3 4 3 2 2" xfId="16999"/>
    <cellStyle name="RowTitles-Detail 2 2 3 3 4 3 2_Tertiary Salaries Survey" xfId="17000"/>
    <cellStyle name="RowTitles-Detail 2 2 3 3 4 3 3" xfId="17001"/>
    <cellStyle name="RowTitles-Detail 2 2 3 3 4 3_Tertiary Salaries Survey" xfId="17002"/>
    <cellStyle name="RowTitles-Detail 2 2 3 3 4 4" xfId="17003"/>
    <cellStyle name="RowTitles-Detail 2 2 3 3 4 4 2" xfId="17004"/>
    <cellStyle name="RowTitles-Detail 2 2 3 3 4 4_Tertiary Salaries Survey" xfId="17005"/>
    <cellStyle name="RowTitles-Detail 2 2 3 3 4 5" xfId="17006"/>
    <cellStyle name="RowTitles-Detail 2 2 3 3 4_Tertiary Salaries Survey" xfId="17007"/>
    <cellStyle name="RowTitles-Detail 2 2 3 3 5" xfId="17008"/>
    <cellStyle name="RowTitles-Detail 2 2 3 3 5 2" xfId="17009"/>
    <cellStyle name="RowTitles-Detail 2 2 3 3 5 2 2" xfId="17010"/>
    <cellStyle name="RowTitles-Detail 2 2 3 3 5 2 2 2" xfId="17011"/>
    <cellStyle name="RowTitles-Detail 2 2 3 3 5 2 2_Tertiary Salaries Survey" xfId="17012"/>
    <cellStyle name="RowTitles-Detail 2 2 3 3 5 2 3" xfId="17013"/>
    <cellStyle name="RowTitles-Detail 2 2 3 3 5 2_Tertiary Salaries Survey" xfId="17014"/>
    <cellStyle name="RowTitles-Detail 2 2 3 3 5 3" xfId="17015"/>
    <cellStyle name="RowTitles-Detail 2 2 3 3 5 3 2" xfId="17016"/>
    <cellStyle name="RowTitles-Detail 2 2 3 3 5 3 2 2" xfId="17017"/>
    <cellStyle name="RowTitles-Detail 2 2 3 3 5 3 2_Tertiary Salaries Survey" xfId="17018"/>
    <cellStyle name="RowTitles-Detail 2 2 3 3 5 3 3" xfId="17019"/>
    <cellStyle name="RowTitles-Detail 2 2 3 3 5 3_Tertiary Salaries Survey" xfId="17020"/>
    <cellStyle name="RowTitles-Detail 2 2 3 3 5 4" xfId="17021"/>
    <cellStyle name="RowTitles-Detail 2 2 3 3 5 4 2" xfId="17022"/>
    <cellStyle name="RowTitles-Detail 2 2 3 3 5 4_Tertiary Salaries Survey" xfId="17023"/>
    <cellStyle name="RowTitles-Detail 2 2 3 3 5 5" xfId="17024"/>
    <cellStyle name="RowTitles-Detail 2 2 3 3 5_Tertiary Salaries Survey" xfId="17025"/>
    <cellStyle name="RowTitles-Detail 2 2 3 3 6" xfId="17026"/>
    <cellStyle name="RowTitles-Detail 2 2 3 3 6 2" xfId="17027"/>
    <cellStyle name="RowTitles-Detail 2 2 3 3 6 2 2" xfId="17028"/>
    <cellStyle name="RowTitles-Detail 2 2 3 3 6 2 2 2" xfId="17029"/>
    <cellStyle name="RowTitles-Detail 2 2 3 3 6 2 2_Tertiary Salaries Survey" xfId="17030"/>
    <cellStyle name="RowTitles-Detail 2 2 3 3 6 2 3" xfId="17031"/>
    <cellStyle name="RowTitles-Detail 2 2 3 3 6 2_Tertiary Salaries Survey" xfId="17032"/>
    <cellStyle name="RowTitles-Detail 2 2 3 3 6 3" xfId="17033"/>
    <cellStyle name="RowTitles-Detail 2 2 3 3 6 3 2" xfId="17034"/>
    <cellStyle name="RowTitles-Detail 2 2 3 3 6 3 2 2" xfId="17035"/>
    <cellStyle name="RowTitles-Detail 2 2 3 3 6 3 2_Tertiary Salaries Survey" xfId="17036"/>
    <cellStyle name="RowTitles-Detail 2 2 3 3 6 3 3" xfId="17037"/>
    <cellStyle name="RowTitles-Detail 2 2 3 3 6 3_Tertiary Salaries Survey" xfId="17038"/>
    <cellStyle name="RowTitles-Detail 2 2 3 3 6 4" xfId="17039"/>
    <cellStyle name="RowTitles-Detail 2 2 3 3 6 4 2" xfId="17040"/>
    <cellStyle name="RowTitles-Detail 2 2 3 3 6 4_Tertiary Salaries Survey" xfId="17041"/>
    <cellStyle name="RowTitles-Detail 2 2 3 3 6 5" xfId="17042"/>
    <cellStyle name="RowTitles-Detail 2 2 3 3 6_Tertiary Salaries Survey" xfId="17043"/>
    <cellStyle name="RowTitles-Detail 2 2 3 3 7" xfId="17044"/>
    <cellStyle name="RowTitles-Detail 2 2 3 3 7 2" xfId="17045"/>
    <cellStyle name="RowTitles-Detail 2 2 3 3 7 2 2" xfId="17046"/>
    <cellStyle name="RowTitles-Detail 2 2 3 3 7 2_Tertiary Salaries Survey" xfId="17047"/>
    <cellStyle name="RowTitles-Detail 2 2 3 3 7 3" xfId="17048"/>
    <cellStyle name="RowTitles-Detail 2 2 3 3 7_Tertiary Salaries Survey" xfId="17049"/>
    <cellStyle name="RowTitles-Detail 2 2 3 3 8" xfId="17050"/>
    <cellStyle name="RowTitles-Detail 2 2 3 3 8 2" xfId="17051"/>
    <cellStyle name="RowTitles-Detail 2 2 3 3 8 2 2" xfId="17052"/>
    <cellStyle name="RowTitles-Detail 2 2 3 3 8 2_Tertiary Salaries Survey" xfId="17053"/>
    <cellStyle name="RowTitles-Detail 2 2 3 3 8 3" xfId="17054"/>
    <cellStyle name="RowTitles-Detail 2 2 3 3 8_Tertiary Salaries Survey" xfId="17055"/>
    <cellStyle name="RowTitles-Detail 2 2 3 3 9" xfId="17056"/>
    <cellStyle name="RowTitles-Detail 2 2 3 3_STUD aligned by INSTIT" xfId="17057"/>
    <cellStyle name="RowTitles-Detail 2 2 3 4" xfId="17058"/>
    <cellStyle name="RowTitles-Detail 2 2 3 4 2" xfId="17059"/>
    <cellStyle name="RowTitles-Detail 2 2 3 4 2 2" xfId="17060"/>
    <cellStyle name="RowTitles-Detail 2 2 3 4 2 2 2" xfId="17061"/>
    <cellStyle name="RowTitles-Detail 2 2 3 4 2 2 2 2" xfId="17062"/>
    <cellStyle name="RowTitles-Detail 2 2 3 4 2 2 2_Tertiary Salaries Survey" xfId="17063"/>
    <cellStyle name="RowTitles-Detail 2 2 3 4 2 2 3" xfId="17064"/>
    <cellStyle name="RowTitles-Detail 2 2 3 4 2 2_Tertiary Salaries Survey" xfId="17065"/>
    <cellStyle name="RowTitles-Detail 2 2 3 4 2 3" xfId="17066"/>
    <cellStyle name="RowTitles-Detail 2 2 3 4 2 3 2" xfId="17067"/>
    <cellStyle name="RowTitles-Detail 2 2 3 4 2 3 2 2" xfId="17068"/>
    <cellStyle name="RowTitles-Detail 2 2 3 4 2 3 2_Tertiary Salaries Survey" xfId="17069"/>
    <cellStyle name="RowTitles-Detail 2 2 3 4 2 3 3" xfId="17070"/>
    <cellStyle name="RowTitles-Detail 2 2 3 4 2 3_Tertiary Salaries Survey" xfId="17071"/>
    <cellStyle name="RowTitles-Detail 2 2 3 4 2 4" xfId="17072"/>
    <cellStyle name="RowTitles-Detail 2 2 3 4 2 5" xfId="17073"/>
    <cellStyle name="RowTitles-Detail 2 2 3 4 2 5 2" xfId="17074"/>
    <cellStyle name="RowTitles-Detail 2 2 3 4 2 5_Tertiary Salaries Survey" xfId="17075"/>
    <cellStyle name="RowTitles-Detail 2 2 3 4 2 6" xfId="17076"/>
    <cellStyle name="RowTitles-Detail 2 2 3 4 2_Tertiary Salaries Survey" xfId="17077"/>
    <cellStyle name="RowTitles-Detail 2 2 3 4 3" xfId="17078"/>
    <cellStyle name="RowTitles-Detail 2 2 3 4 3 2" xfId="17079"/>
    <cellStyle name="RowTitles-Detail 2 2 3 4 3 2 2" xfId="17080"/>
    <cellStyle name="RowTitles-Detail 2 2 3 4 3 2 2 2" xfId="17081"/>
    <cellStyle name="RowTitles-Detail 2 2 3 4 3 2 2_Tertiary Salaries Survey" xfId="17082"/>
    <cellStyle name="RowTitles-Detail 2 2 3 4 3 2 3" xfId="17083"/>
    <cellStyle name="RowTitles-Detail 2 2 3 4 3 2_Tertiary Salaries Survey" xfId="17084"/>
    <cellStyle name="RowTitles-Detail 2 2 3 4 3 3" xfId="17085"/>
    <cellStyle name="RowTitles-Detail 2 2 3 4 3 3 2" xfId="17086"/>
    <cellStyle name="RowTitles-Detail 2 2 3 4 3 3 2 2" xfId="17087"/>
    <cellStyle name="RowTitles-Detail 2 2 3 4 3 3 2_Tertiary Salaries Survey" xfId="17088"/>
    <cellStyle name="RowTitles-Detail 2 2 3 4 3 3 3" xfId="17089"/>
    <cellStyle name="RowTitles-Detail 2 2 3 4 3 3_Tertiary Salaries Survey" xfId="17090"/>
    <cellStyle name="RowTitles-Detail 2 2 3 4 3 4" xfId="17091"/>
    <cellStyle name="RowTitles-Detail 2 2 3 4 3 5" xfId="17092"/>
    <cellStyle name="RowTitles-Detail 2 2 3 4 3_Tertiary Salaries Survey" xfId="17093"/>
    <cellStyle name="RowTitles-Detail 2 2 3 4 4" xfId="17094"/>
    <cellStyle name="RowTitles-Detail 2 2 3 4 4 2" xfId="17095"/>
    <cellStyle name="RowTitles-Detail 2 2 3 4 4 2 2" xfId="17096"/>
    <cellStyle name="RowTitles-Detail 2 2 3 4 4 2 2 2" xfId="17097"/>
    <cellStyle name="RowTitles-Detail 2 2 3 4 4 2 2_Tertiary Salaries Survey" xfId="17098"/>
    <cellStyle name="RowTitles-Detail 2 2 3 4 4 2 3" xfId="17099"/>
    <cellStyle name="RowTitles-Detail 2 2 3 4 4 2_Tertiary Salaries Survey" xfId="17100"/>
    <cellStyle name="RowTitles-Detail 2 2 3 4 4 3" xfId="17101"/>
    <cellStyle name="RowTitles-Detail 2 2 3 4 4 3 2" xfId="17102"/>
    <cellStyle name="RowTitles-Detail 2 2 3 4 4 3 2 2" xfId="17103"/>
    <cellStyle name="RowTitles-Detail 2 2 3 4 4 3 2_Tertiary Salaries Survey" xfId="17104"/>
    <cellStyle name="RowTitles-Detail 2 2 3 4 4 3 3" xfId="17105"/>
    <cellStyle name="RowTitles-Detail 2 2 3 4 4 3_Tertiary Salaries Survey" xfId="17106"/>
    <cellStyle name="RowTitles-Detail 2 2 3 4 4 4" xfId="17107"/>
    <cellStyle name="RowTitles-Detail 2 2 3 4 4 5" xfId="17108"/>
    <cellStyle name="RowTitles-Detail 2 2 3 4 4 5 2" xfId="17109"/>
    <cellStyle name="RowTitles-Detail 2 2 3 4 4 5_Tertiary Salaries Survey" xfId="17110"/>
    <cellStyle name="RowTitles-Detail 2 2 3 4 4 6" xfId="17111"/>
    <cellStyle name="RowTitles-Detail 2 2 3 4 4_Tertiary Salaries Survey" xfId="17112"/>
    <cellStyle name="RowTitles-Detail 2 2 3 4 5" xfId="17113"/>
    <cellStyle name="RowTitles-Detail 2 2 3 4 5 2" xfId="17114"/>
    <cellStyle name="RowTitles-Detail 2 2 3 4 5 2 2" xfId="17115"/>
    <cellStyle name="RowTitles-Detail 2 2 3 4 5 2 2 2" xfId="17116"/>
    <cellStyle name="RowTitles-Detail 2 2 3 4 5 2 2_Tertiary Salaries Survey" xfId="17117"/>
    <cellStyle name="RowTitles-Detail 2 2 3 4 5 2 3" xfId="17118"/>
    <cellStyle name="RowTitles-Detail 2 2 3 4 5 2_Tertiary Salaries Survey" xfId="17119"/>
    <cellStyle name="RowTitles-Detail 2 2 3 4 5 3" xfId="17120"/>
    <cellStyle name="RowTitles-Detail 2 2 3 4 5 3 2" xfId="17121"/>
    <cellStyle name="RowTitles-Detail 2 2 3 4 5 3 2 2" xfId="17122"/>
    <cellStyle name="RowTitles-Detail 2 2 3 4 5 3 2_Tertiary Salaries Survey" xfId="17123"/>
    <cellStyle name="RowTitles-Detail 2 2 3 4 5 3 3" xfId="17124"/>
    <cellStyle name="RowTitles-Detail 2 2 3 4 5 3_Tertiary Salaries Survey" xfId="17125"/>
    <cellStyle name="RowTitles-Detail 2 2 3 4 5 4" xfId="17126"/>
    <cellStyle name="RowTitles-Detail 2 2 3 4 5 4 2" xfId="17127"/>
    <cellStyle name="RowTitles-Detail 2 2 3 4 5 4_Tertiary Salaries Survey" xfId="17128"/>
    <cellStyle name="RowTitles-Detail 2 2 3 4 5 5" xfId="17129"/>
    <cellStyle name="RowTitles-Detail 2 2 3 4 5_Tertiary Salaries Survey" xfId="17130"/>
    <cellStyle name="RowTitles-Detail 2 2 3 4 6" xfId="17131"/>
    <cellStyle name="RowTitles-Detail 2 2 3 4 6 2" xfId="17132"/>
    <cellStyle name="RowTitles-Detail 2 2 3 4 6 2 2" xfId="17133"/>
    <cellStyle name="RowTitles-Detail 2 2 3 4 6 2 2 2" xfId="17134"/>
    <cellStyle name="RowTitles-Detail 2 2 3 4 6 2 2_Tertiary Salaries Survey" xfId="17135"/>
    <cellStyle name="RowTitles-Detail 2 2 3 4 6 2 3" xfId="17136"/>
    <cellStyle name="RowTitles-Detail 2 2 3 4 6 2_Tertiary Salaries Survey" xfId="17137"/>
    <cellStyle name="RowTitles-Detail 2 2 3 4 6 3" xfId="17138"/>
    <cellStyle name="RowTitles-Detail 2 2 3 4 6 3 2" xfId="17139"/>
    <cellStyle name="RowTitles-Detail 2 2 3 4 6 3 2 2" xfId="17140"/>
    <cellStyle name="RowTitles-Detail 2 2 3 4 6 3 2_Tertiary Salaries Survey" xfId="17141"/>
    <cellStyle name="RowTitles-Detail 2 2 3 4 6 3 3" xfId="17142"/>
    <cellStyle name="RowTitles-Detail 2 2 3 4 6 3_Tertiary Salaries Survey" xfId="17143"/>
    <cellStyle name="RowTitles-Detail 2 2 3 4 6 4" xfId="17144"/>
    <cellStyle name="RowTitles-Detail 2 2 3 4 6 4 2" xfId="17145"/>
    <cellStyle name="RowTitles-Detail 2 2 3 4 6 4_Tertiary Salaries Survey" xfId="17146"/>
    <cellStyle name="RowTitles-Detail 2 2 3 4 6 5" xfId="17147"/>
    <cellStyle name="RowTitles-Detail 2 2 3 4 6_Tertiary Salaries Survey" xfId="17148"/>
    <cellStyle name="RowTitles-Detail 2 2 3 4 7" xfId="17149"/>
    <cellStyle name="RowTitles-Detail 2 2 3 4 7 2" xfId="17150"/>
    <cellStyle name="RowTitles-Detail 2 2 3 4 7 2 2" xfId="17151"/>
    <cellStyle name="RowTitles-Detail 2 2 3 4 7 2_Tertiary Salaries Survey" xfId="17152"/>
    <cellStyle name="RowTitles-Detail 2 2 3 4 7 3" xfId="17153"/>
    <cellStyle name="RowTitles-Detail 2 2 3 4 7_Tertiary Salaries Survey" xfId="17154"/>
    <cellStyle name="RowTitles-Detail 2 2 3 4 8" xfId="17155"/>
    <cellStyle name="RowTitles-Detail 2 2 3 4 9" xfId="17156"/>
    <cellStyle name="RowTitles-Detail 2 2 3 4_STUD aligned by INSTIT" xfId="17157"/>
    <cellStyle name="RowTitles-Detail 2 2 3 5" xfId="17158"/>
    <cellStyle name="RowTitles-Detail 2 2 3 5 2" xfId="17159"/>
    <cellStyle name="RowTitles-Detail 2 2 3 5 2 2" xfId="17160"/>
    <cellStyle name="RowTitles-Detail 2 2 3 5 2 2 2" xfId="17161"/>
    <cellStyle name="RowTitles-Detail 2 2 3 5 2 2_Tertiary Salaries Survey" xfId="17162"/>
    <cellStyle name="RowTitles-Detail 2 2 3 5 2 3" xfId="17163"/>
    <cellStyle name="RowTitles-Detail 2 2 3 5 2_Tertiary Salaries Survey" xfId="17164"/>
    <cellStyle name="RowTitles-Detail 2 2 3 5 3" xfId="17165"/>
    <cellStyle name="RowTitles-Detail 2 2 3 5 3 2" xfId="17166"/>
    <cellStyle name="RowTitles-Detail 2 2 3 5 3 2 2" xfId="17167"/>
    <cellStyle name="RowTitles-Detail 2 2 3 5 3 2_Tertiary Salaries Survey" xfId="17168"/>
    <cellStyle name="RowTitles-Detail 2 2 3 5 3 3" xfId="17169"/>
    <cellStyle name="RowTitles-Detail 2 2 3 5 3_Tertiary Salaries Survey" xfId="17170"/>
    <cellStyle name="RowTitles-Detail 2 2 3 5 4" xfId="17171"/>
    <cellStyle name="RowTitles-Detail 2 2 3 5 5" xfId="17172"/>
    <cellStyle name="RowTitles-Detail 2 2 3 5 5 2" xfId="17173"/>
    <cellStyle name="RowTitles-Detail 2 2 3 5 5_Tertiary Salaries Survey" xfId="17174"/>
    <cellStyle name="RowTitles-Detail 2 2 3 5 6" xfId="17175"/>
    <cellStyle name="RowTitles-Detail 2 2 3 5_Tertiary Salaries Survey" xfId="17176"/>
    <cellStyle name="RowTitles-Detail 2 2 3 6" xfId="17177"/>
    <cellStyle name="RowTitles-Detail 2 2 3 6 2" xfId="17178"/>
    <cellStyle name="RowTitles-Detail 2 2 3 6 2 2" xfId="17179"/>
    <cellStyle name="RowTitles-Detail 2 2 3 6 2 2 2" xfId="17180"/>
    <cellStyle name="RowTitles-Detail 2 2 3 6 2 2_Tertiary Salaries Survey" xfId="17181"/>
    <cellStyle name="RowTitles-Detail 2 2 3 6 2 3" xfId="17182"/>
    <cellStyle name="RowTitles-Detail 2 2 3 6 2_Tertiary Salaries Survey" xfId="17183"/>
    <cellStyle name="RowTitles-Detail 2 2 3 6 3" xfId="17184"/>
    <cellStyle name="RowTitles-Detail 2 2 3 6 3 2" xfId="17185"/>
    <cellStyle name="RowTitles-Detail 2 2 3 6 3 2 2" xfId="17186"/>
    <cellStyle name="RowTitles-Detail 2 2 3 6 3 2_Tertiary Salaries Survey" xfId="17187"/>
    <cellStyle name="RowTitles-Detail 2 2 3 6 3 3" xfId="17188"/>
    <cellStyle name="RowTitles-Detail 2 2 3 6 3_Tertiary Salaries Survey" xfId="17189"/>
    <cellStyle name="RowTitles-Detail 2 2 3 6 4" xfId="17190"/>
    <cellStyle name="RowTitles-Detail 2 2 3 6 5" xfId="17191"/>
    <cellStyle name="RowTitles-Detail 2 2 3 6_Tertiary Salaries Survey" xfId="17192"/>
    <cellStyle name="RowTitles-Detail 2 2 3 7" xfId="17193"/>
    <cellStyle name="RowTitles-Detail 2 2 3 7 2" xfId="17194"/>
    <cellStyle name="RowTitles-Detail 2 2 3 7 2 2" xfId="17195"/>
    <cellStyle name="RowTitles-Detail 2 2 3 7 2 2 2" xfId="17196"/>
    <cellStyle name="RowTitles-Detail 2 2 3 7 2 2_Tertiary Salaries Survey" xfId="17197"/>
    <cellStyle name="RowTitles-Detail 2 2 3 7 2 3" xfId="17198"/>
    <cellStyle name="RowTitles-Detail 2 2 3 7 2_Tertiary Salaries Survey" xfId="17199"/>
    <cellStyle name="RowTitles-Detail 2 2 3 7 3" xfId="17200"/>
    <cellStyle name="RowTitles-Detail 2 2 3 7 3 2" xfId="17201"/>
    <cellStyle name="RowTitles-Detail 2 2 3 7 3 2 2" xfId="17202"/>
    <cellStyle name="RowTitles-Detail 2 2 3 7 3 2_Tertiary Salaries Survey" xfId="17203"/>
    <cellStyle name="RowTitles-Detail 2 2 3 7 3 3" xfId="17204"/>
    <cellStyle name="RowTitles-Detail 2 2 3 7 3_Tertiary Salaries Survey" xfId="17205"/>
    <cellStyle name="RowTitles-Detail 2 2 3 7 4" xfId="17206"/>
    <cellStyle name="RowTitles-Detail 2 2 3 7 5" xfId="17207"/>
    <cellStyle name="RowTitles-Detail 2 2 3 7 5 2" xfId="17208"/>
    <cellStyle name="RowTitles-Detail 2 2 3 7 5_Tertiary Salaries Survey" xfId="17209"/>
    <cellStyle name="RowTitles-Detail 2 2 3 7 6" xfId="17210"/>
    <cellStyle name="RowTitles-Detail 2 2 3 7_Tertiary Salaries Survey" xfId="17211"/>
    <cellStyle name="RowTitles-Detail 2 2 3 8" xfId="17212"/>
    <cellStyle name="RowTitles-Detail 2 2 3 8 2" xfId="17213"/>
    <cellStyle name="RowTitles-Detail 2 2 3 8 2 2" xfId="17214"/>
    <cellStyle name="RowTitles-Detail 2 2 3 8 2 2 2" xfId="17215"/>
    <cellStyle name="RowTitles-Detail 2 2 3 8 2 2_Tertiary Salaries Survey" xfId="17216"/>
    <cellStyle name="RowTitles-Detail 2 2 3 8 2 3" xfId="17217"/>
    <cellStyle name="RowTitles-Detail 2 2 3 8 2_Tertiary Salaries Survey" xfId="17218"/>
    <cellStyle name="RowTitles-Detail 2 2 3 8 3" xfId="17219"/>
    <cellStyle name="RowTitles-Detail 2 2 3 8 3 2" xfId="17220"/>
    <cellStyle name="RowTitles-Detail 2 2 3 8 3 2 2" xfId="17221"/>
    <cellStyle name="RowTitles-Detail 2 2 3 8 3 2_Tertiary Salaries Survey" xfId="17222"/>
    <cellStyle name="RowTitles-Detail 2 2 3 8 3 3" xfId="17223"/>
    <cellStyle name="RowTitles-Detail 2 2 3 8 3_Tertiary Salaries Survey" xfId="17224"/>
    <cellStyle name="RowTitles-Detail 2 2 3 8 4" xfId="17225"/>
    <cellStyle name="RowTitles-Detail 2 2 3 8 4 2" xfId="17226"/>
    <cellStyle name="RowTitles-Detail 2 2 3 8 4_Tertiary Salaries Survey" xfId="17227"/>
    <cellStyle name="RowTitles-Detail 2 2 3 8 5" xfId="17228"/>
    <cellStyle name="RowTitles-Detail 2 2 3 8_Tertiary Salaries Survey" xfId="17229"/>
    <cellStyle name="RowTitles-Detail 2 2 3 9" xfId="17230"/>
    <cellStyle name="RowTitles-Detail 2 2 3 9 2" xfId="17231"/>
    <cellStyle name="RowTitles-Detail 2 2 3 9 2 2" xfId="17232"/>
    <cellStyle name="RowTitles-Detail 2 2 3 9 2 2 2" xfId="17233"/>
    <cellStyle name="RowTitles-Detail 2 2 3 9 2 2_Tertiary Salaries Survey" xfId="17234"/>
    <cellStyle name="RowTitles-Detail 2 2 3 9 2 3" xfId="17235"/>
    <cellStyle name="RowTitles-Detail 2 2 3 9 2_Tertiary Salaries Survey" xfId="17236"/>
    <cellStyle name="RowTitles-Detail 2 2 3 9 3" xfId="17237"/>
    <cellStyle name="RowTitles-Detail 2 2 3 9 3 2" xfId="17238"/>
    <cellStyle name="RowTitles-Detail 2 2 3 9 3 2 2" xfId="17239"/>
    <cellStyle name="RowTitles-Detail 2 2 3 9 3 2_Tertiary Salaries Survey" xfId="17240"/>
    <cellStyle name="RowTitles-Detail 2 2 3 9 3 3" xfId="17241"/>
    <cellStyle name="RowTitles-Detail 2 2 3 9 3_Tertiary Salaries Survey" xfId="17242"/>
    <cellStyle name="RowTitles-Detail 2 2 3 9 4" xfId="17243"/>
    <cellStyle name="RowTitles-Detail 2 2 3 9 4 2" xfId="17244"/>
    <cellStyle name="RowTitles-Detail 2 2 3 9 4_Tertiary Salaries Survey" xfId="17245"/>
    <cellStyle name="RowTitles-Detail 2 2 3 9 5" xfId="17246"/>
    <cellStyle name="RowTitles-Detail 2 2 3 9_Tertiary Salaries Survey" xfId="17247"/>
    <cellStyle name="RowTitles-Detail 2 2 3_STUD aligned by INSTIT" xfId="17248"/>
    <cellStyle name="RowTitles-Detail 2 2 4" xfId="17249"/>
    <cellStyle name="RowTitles-Detail 2 2 4 2" xfId="17250"/>
    <cellStyle name="RowTitles-Detail 2 2 4 2 2" xfId="17251"/>
    <cellStyle name="RowTitles-Detail 2 2 4 2 2 2" xfId="17252"/>
    <cellStyle name="RowTitles-Detail 2 2 4 2 2 2 2" xfId="17253"/>
    <cellStyle name="RowTitles-Detail 2 2 4 2 2 2_Tertiary Salaries Survey" xfId="17254"/>
    <cellStyle name="RowTitles-Detail 2 2 4 2 2 3" xfId="17255"/>
    <cellStyle name="RowTitles-Detail 2 2 4 2 2_Tertiary Salaries Survey" xfId="17256"/>
    <cellStyle name="RowTitles-Detail 2 2 4 2 3" xfId="17257"/>
    <cellStyle name="RowTitles-Detail 2 2 4 2 3 2" xfId="17258"/>
    <cellStyle name="RowTitles-Detail 2 2 4 2 3 2 2" xfId="17259"/>
    <cellStyle name="RowTitles-Detail 2 2 4 2 3 2_Tertiary Salaries Survey" xfId="17260"/>
    <cellStyle name="RowTitles-Detail 2 2 4 2 3 3" xfId="17261"/>
    <cellStyle name="RowTitles-Detail 2 2 4 2 3_Tertiary Salaries Survey" xfId="17262"/>
    <cellStyle name="RowTitles-Detail 2 2 4 2 4" xfId="17263"/>
    <cellStyle name="RowTitles-Detail 2 2 4 2 5" xfId="17264"/>
    <cellStyle name="RowTitles-Detail 2 2 4 2_Tertiary Salaries Survey" xfId="17265"/>
    <cellStyle name="RowTitles-Detail 2 2 4 3" xfId="17266"/>
    <cellStyle name="RowTitles-Detail 2 2 4 3 2" xfId="17267"/>
    <cellStyle name="RowTitles-Detail 2 2 4 3 2 2" xfId="17268"/>
    <cellStyle name="RowTitles-Detail 2 2 4 3 2 2 2" xfId="17269"/>
    <cellStyle name="RowTitles-Detail 2 2 4 3 2 2_Tertiary Salaries Survey" xfId="17270"/>
    <cellStyle name="RowTitles-Detail 2 2 4 3 2 3" xfId="17271"/>
    <cellStyle name="RowTitles-Detail 2 2 4 3 2_Tertiary Salaries Survey" xfId="17272"/>
    <cellStyle name="RowTitles-Detail 2 2 4 3 3" xfId="17273"/>
    <cellStyle name="RowTitles-Detail 2 2 4 3 3 2" xfId="17274"/>
    <cellStyle name="RowTitles-Detail 2 2 4 3 3 2 2" xfId="17275"/>
    <cellStyle name="RowTitles-Detail 2 2 4 3 3 2_Tertiary Salaries Survey" xfId="17276"/>
    <cellStyle name="RowTitles-Detail 2 2 4 3 3 3" xfId="17277"/>
    <cellStyle name="RowTitles-Detail 2 2 4 3 3_Tertiary Salaries Survey" xfId="17278"/>
    <cellStyle name="RowTitles-Detail 2 2 4 3 4" xfId="17279"/>
    <cellStyle name="RowTitles-Detail 2 2 4 3 5" xfId="17280"/>
    <cellStyle name="RowTitles-Detail 2 2 4 3 5 2" xfId="17281"/>
    <cellStyle name="RowTitles-Detail 2 2 4 3 5_Tertiary Salaries Survey" xfId="17282"/>
    <cellStyle name="RowTitles-Detail 2 2 4 3 6" xfId="17283"/>
    <cellStyle name="RowTitles-Detail 2 2 4 3_Tertiary Salaries Survey" xfId="17284"/>
    <cellStyle name="RowTitles-Detail 2 2 4 4" xfId="17285"/>
    <cellStyle name="RowTitles-Detail 2 2 4 4 2" xfId="17286"/>
    <cellStyle name="RowTitles-Detail 2 2 4 4 2 2" xfId="17287"/>
    <cellStyle name="RowTitles-Detail 2 2 4 4 2 2 2" xfId="17288"/>
    <cellStyle name="RowTitles-Detail 2 2 4 4 2 2_Tertiary Salaries Survey" xfId="17289"/>
    <cellStyle name="RowTitles-Detail 2 2 4 4 2 3" xfId="17290"/>
    <cellStyle name="RowTitles-Detail 2 2 4 4 2_Tertiary Salaries Survey" xfId="17291"/>
    <cellStyle name="RowTitles-Detail 2 2 4 4 3" xfId="17292"/>
    <cellStyle name="RowTitles-Detail 2 2 4 4 3 2" xfId="17293"/>
    <cellStyle name="RowTitles-Detail 2 2 4 4 3 2 2" xfId="17294"/>
    <cellStyle name="RowTitles-Detail 2 2 4 4 3 2_Tertiary Salaries Survey" xfId="17295"/>
    <cellStyle name="RowTitles-Detail 2 2 4 4 3 3" xfId="17296"/>
    <cellStyle name="RowTitles-Detail 2 2 4 4 3_Tertiary Salaries Survey" xfId="17297"/>
    <cellStyle name="RowTitles-Detail 2 2 4 4 4" xfId="17298"/>
    <cellStyle name="RowTitles-Detail 2 2 4 4 4 2" xfId="17299"/>
    <cellStyle name="RowTitles-Detail 2 2 4 4 4_Tertiary Salaries Survey" xfId="17300"/>
    <cellStyle name="RowTitles-Detail 2 2 4 4 5" xfId="17301"/>
    <cellStyle name="RowTitles-Detail 2 2 4 4_Tertiary Salaries Survey" xfId="17302"/>
    <cellStyle name="RowTitles-Detail 2 2 4 5" xfId="17303"/>
    <cellStyle name="RowTitles-Detail 2 2 4 5 2" xfId="17304"/>
    <cellStyle name="RowTitles-Detail 2 2 4 5 2 2" xfId="17305"/>
    <cellStyle name="RowTitles-Detail 2 2 4 5 2 2 2" xfId="17306"/>
    <cellStyle name="RowTitles-Detail 2 2 4 5 2 2_Tertiary Salaries Survey" xfId="17307"/>
    <cellStyle name="RowTitles-Detail 2 2 4 5 2 3" xfId="17308"/>
    <cellStyle name="RowTitles-Detail 2 2 4 5 2_Tertiary Salaries Survey" xfId="17309"/>
    <cellStyle name="RowTitles-Detail 2 2 4 5 3" xfId="17310"/>
    <cellStyle name="RowTitles-Detail 2 2 4 5 3 2" xfId="17311"/>
    <cellStyle name="RowTitles-Detail 2 2 4 5 3 2 2" xfId="17312"/>
    <cellStyle name="RowTitles-Detail 2 2 4 5 3 2_Tertiary Salaries Survey" xfId="17313"/>
    <cellStyle name="RowTitles-Detail 2 2 4 5 3 3" xfId="17314"/>
    <cellStyle name="RowTitles-Detail 2 2 4 5 3_Tertiary Salaries Survey" xfId="17315"/>
    <cellStyle name="RowTitles-Detail 2 2 4 5 4" xfId="17316"/>
    <cellStyle name="RowTitles-Detail 2 2 4 5 4 2" xfId="17317"/>
    <cellStyle name="RowTitles-Detail 2 2 4 5 4_Tertiary Salaries Survey" xfId="17318"/>
    <cellStyle name="RowTitles-Detail 2 2 4 5 5" xfId="17319"/>
    <cellStyle name="RowTitles-Detail 2 2 4 5_Tertiary Salaries Survey" xfId="17320"/>
    <cellStyle name="RowTitles-Detail 2 2 4 6" xfId="17321"/>
    <cellStyle name="RowTitles-Detail 2 2 4 6 2" xfId="17322"/>
    <cellStyle name="RowTitles-Detail 2 2 4 6 2 2" xfId="17323"/>
    <cellStyle name="RowTitles-Detail 2 2 4 6 2 2 2" xfId="17324"/>
    <cellStyle name="RowTitles-Detail 2 2 4 6 2 2_Tertiary Salaries Survey" xfId="17325"/>
    <cellStyle name="RowTitles-Detail 2 2 4 6 2 3" xfId="17326"/>
    <cellStyle name="RowTitles-Detail 2 2 4 6 2_Tertiary Salaries Survey" xfId="17327"/>
    <cellStyle name="RowTitles-Detail 2 2 4 6 3" xfId="17328"/>
    <cellStyle name="RowTitles-Detail 2 2 4 6 3 2" xfId="17329"/>
    <cellStyle name="RowTitles-Detail 2 2 4 6 3 2 2" xfId="17330"/>
    <cellStyle name="RowTitles-Detail 2 2 4 6 3 2_Tertiary Salaries Survey" xfId="17331"/>
    <cellStyle name="RowTitles-Detail 2 2 4 6 3 3" xfId="17332"/>
    <cellStyle name="RowTitles-Detail 2 2 4 6 3_Tertiary Salaries Survey" xfId="17333"/>
    <cellStyle name="RowTitles-Detail 2 2 4 6 4" xfId="17334"/>
    <cellStyle name="RowTitles-Detail 2 2 4 6 4 2" xfId="17335"/>
    <cellStyle name="RowTitles-Detail 2 2 4 6 4_Tertiary Salaries Survey" xfId="17336"/>
    <cellStyle name="RowTitles-Detail 2 2 4 6 5" xfId="17337"/>
    <cellStyle name="RowTitles-Detail 2 2 4 6_Tertiary Salaries Survey" xfId="17338"/>
    <cellStyle name="RowTitles-Detail 2 2 4 7" xfId="17339"/>
    <cellStyle name="RowTitles-Detail 2 2 4 7 2" xfId="17340"/>
    <cellStyle name="RowTitles-Detail 2 2 4 7 2 2" xfId="17341"/>
    <cellStyle name="RowTitles-Detail 2 2 4 7 2_Tertiary Salaries Survey" xfId="17342"/>
    <cellStyle name="RowTitles-Detail 2 2 4 7 3" xfId="17343"/>
    <cellStyle name="RowTitles-Detail 2 2 4 7_Tertiary Salaries Survey" xfId="17344"/>
    <cellStyle name="RowTitles-Detail 2 2 4 8" xfId="17345"/>
    <cellStyle name="RowTitles-Detail 2 2 4 9" xfId="17346"/>
    <cellStyle name="RowTitles-Detail 2 2 4_STUD aligned by INSTIT" xfId="17347"/>
    <cellStyle name="RowTitles-Detail 2 2 5" xfId="17348"/>
    <cellStyle name="RowTitles-Detail 2 2 5 2" xfId="17349"/>
    <cellStyle name="RowTitles-Detail 2 2 5 2 2" xfId="17350"/>
    <cellStyle name="RowTitles-Detail 2 2 5 2 2 2" xfId="17351"/>
    <cellStyle name="RowTitles-Detail 2 2 5 2 2 2 2" xfId="17352"/>
    <cellStyle name="RowTitles-Detail 2 2 5 2 2 2_Tertiary Salaries Survey" xfId="17353"/>
    <cellStyle name="RowTitles-Detail 2 2 5 2 2 3" xfId="17354"/>
    <cellStyle name="RowTitles-Detail 2 2 5 2 2_Tertiary Salaries Survey" xfId="17355"/>
    <cellStyle name="RowTitles-Detail 2 2 5 2 3" xfId="17356"/>
    <cellStyle name="RowTitles-Detail 2 2 5 2 3 2" xfId="17357"/>
    <cellStyle name="RowTitles-Detail 2 2 5 2 3 2 2" xfId="17358"/>
    <cellStyle name="RowTitles-Detail 2 2 5 2 3 2_Tertiary Salaries Survey" xfId="17359"/>
    <cellStyle name="RowTitles-Detail 2 2 5 2 3 3" xfId="17360"/>
    <cellStyle name="RowTitles-Detail 2 2 5 2 3_Tertiary Salaries Survey" xfId="17361"/>
    <cellStyle name="RowTitles-Detail 2 2 5 2 4" xfId="17362"/>
    <cellStyle name="RowTitles-Detail 2 2 5 2 5" xfId="17363"/>
    <cellStyle name="RowTitles-Detail 2 2 5 2 5 2" xfId="17364"/>
    <cellStyle name="RowTitles-Detail 2 2 5 2 5_Tertiary Salaries Survey" xfId="17365"/>
    <cellStyle name="RowTitles-Detail 2 2 5 2 6" xfId="17366"/>
    <cellStyle name="RowTitles-Detail 2 2 5 2_Tertiary Salaries Survey" xfId="17367"/>
    <cellStyle name="RowTitles-Detail 2 2 5 3" xfId="17368"/>
    <cellStyle name="RowTitles-Detail 2 2 5 3 2" xfId="17369"/>
    <cellStyle name="RowTitles-Detail 2 2 5 3 2 2" xfId="17370"/>
    <cellStyle name="RowTitles-Detail 2 2 5 3 2 2 2" xfId="17371"/>
    <cellStyle name="RowTitles-Detail 2 2 5 3 2 2_Tertiary Salaries Survey" xfId="17372"/>
    <cellStyle name="RowTitles-Detail 2 2 5 3 2 3" xfId="17373"/>
    <cellStyle name="RowTitles-Detail 2 2 5 3 2_Tertiary Salaries Survey" xfId="17374"/>
    <cellStyle name="RowTitles-Detail 2 2 5 3 3" xfId="17375"/>
    <cellStyle name="RowTitles-Detail 2 2 5 3 3 2" xfId="17376"/>
    <cellStyle name="RowTitles-Detail 2 2 5 3 3 2 2" xfId="17377"/>
    <cellStyle name="RowTitles-Detail 2 2 5 3 3 2_Tertiary Salaries Survey" xfId="17378"/>
    <cellStyle name="RowTitles-Detail 2 2 5 3 3 3" xfId="17379"/>
    <cellStyle name="RowTitles-Detail 2 2 5 3 3_Tertiary Salaries Survey" xfId="17380"/>
    <cellStyle name="RowTitles-Detail 2 2 5 3 4" xfId="17381"/>
    <cellStyle name="RowTitles-Detail 2 2 5 3 5" xfId="17382"/>
    <cellStyle name="RowTitles-Detail 2 2 5 3_Tertiary Salaries Survey" xfId="17383"/>
    <cellStyle name="RowTitles-Detail 2 2 5 4" xfId="17384"/>
    <cellStyle name="RowTitles-Detail 2 2 5 4 2" xfId="17385"/>
    <cellStyle name="RowTitles-Detail 2 2 5 4 2 2" xfId="17386"/>
    <cellStyle name="RowTitles-Detail 2 2 5 4 2 2 2" xfId="17387"/>
    <cellStyle name="RowTitles-Detail 2 2 5 4 2 2_Tertiary Salaries Survey" xfId="17388"/>
    <cellStyle name="RowTitles-Detail 2 2 5 4 2 3" xfId="17389"/>
    <cellStyle name="RowTitles-Detail 2 2 5 4 2_Tertiary Salaries Survey" xfId="17390"/>
    <cellStyle name="RowTitles-Detail 2 2 5 4 3" xfId="17391"/>
    <cellStyle name="RowTitles-Detail 2 2 5 4 3 2" xfId="17392"/>
    <cellStyle name="RowTitles-Detail 2 2 5 4 3 2 2" xfId="17393"/>
    <cellStyle name="RowTitles-Detail 2 2 5 4 3 2_Tertiary Salaries Survey" xfId="17394"/>
    <cellStyle name="RowTitles-Detail 2 2 5 4 3 3" xfId="17395"/>
    <cellStyle name="RowTitles-Detail 2 2 5 4 3_Tertiary Salaries Survey" xfId="17396"/>
    <cellStyle name="RowTitles-Detail 2 2 5 4 4" xfId="17397"/>
    <cellStyle name="RowTitles-Detail 2 2 5 4 4 2" xfId="17398"/>
    <cellStyle name="RowTitles-Detail 2 2 5 4 4_Tertiary Salaries Survey" xfId="17399"/>
    <cellStyle name="RowTitles-Detail 2 2 5 4 5" xfId="17400"/>
    <cellStyle name="RowTitles-Detail 2 2 5 4_Tertiary Salaries Survey" xfId="17401"/>
    <cellStyle name="RowTitles-Detail 2 2 5 5" xfId="17402"/>
    <cellStyle name="RowTitles-Detail 2 2 5 5 2" xfId="17403"/>
    <cellStyle name="RowTitles-Detail 2 2 5 5 2 2" xfId="17404"/>
    <cellStyle name="RowTitles-Detail 2 2 5 5 2 2 2" xfId="17405"/>
    <cellStyle name="RowTitles-Detail 2 2 5 5 2 2_Tertiary Salaries Survey" xfId="17406"/>
    <cellStyle name="RowTitles-Detail 2 2 5 5 2 3" xfId="17407"/>
    <cellStyle name="RowTitles-Detail 2 2 5 5 2_Tertiary Salaries Survey" xfId="17408"/>
    <cellStyle name="RowTitles-Detail 2 2 5 5 3" xfId="17409"/>
    <cellStyle name="RowTitles-Detail 2 2 5 5 3 2" xfId="17410"/>
    <cellStyle name="RowTitles-Detail 2 2 5 5 3 2 2" xfId="17411"/>
    <cellStyle name="RowTitles-Detail 2 2 5 5 3 2_Tertiary Salaries Survey" xfId="17412"/>
    <cellStyle name="RowTitles-Detail 2 2 5 5 3 3" xfId="17413"/>
    <cellStyle name="RowTitles-Detail 2 2 5 5 3_Tertiary Salaries Survey" xfId="17414"/>
    <cellStyle name="RowTitles-Detail 2 2 5 5 4" xfId="17415"/>
    <cellStyle name="RowTitles-Detail 2 2 5 5 4 2" xfId="17416"/>
    <cellStyle name="RowTitles-Detail 2 2 5 5 4_Tertiary Salaries Survey" xfId="17417"/>
    <cellStyle name="RowTitles-Detail 2 2 5 5 5" xfId="17418"/>
    <cellStyle name="RowTitles-Detail 2 2 5 5_Tertiary Salaries Survey" xfId="17419"/>
    <cellStyle name="RowTitles-Detail 2 2 5 6" xfId="17420"/>
    <cellStyle name="RowTitles-Detail 2 2 5 6 2" xfId="17421"/>
    <cellStyle name="RowTitles-Detail 2 2 5 6 2 2" xfId="17422"/>
    <cellStyle name="RowTitles-Detail 2 2 5 6 2 2 2" xfId="17423"/>
    <cellStyle name="RowTitles-Detail 2 2 5 6 2 2_Tertiary Salaries Survey" xfId="17424"/>
    <cellStyle name="RowTitles-Detail 2 2 5 6 2 3" xfId="17425"/>
    <cellStyle name="RowTitles-Detail 2 2 5 6 2_Tertiary Salaries Survey" xfId="17426"/>
    <cellStyle name="RowTitles-Detail 2 2 5 6 3" xfId="17427"/>
    <cellStyle name="RowTitles-Detail 2 2 5 6 3 2" xfId="17428"/>
    <cellStyle name="RowTitles-Detail 2 2 5 6 3 2 2" xfId="17429"/>
    <cellStyle name="RowTitles-Detail 2 2 5 6 3 2_Tertiary Salaries Survey" xfId="17430"/>
    <cellStyle name="RowTitles-Detail 2 2 5 6 3 3" xfId="17431"/>
    <cellStyle name="RowTitles-Detail 2 2 5 6 3_Tertiary Salaries Survey" xfId="17432"/>
    <cellStyle name="RowTitles-Detail 2 2 5 6 4" xfId="17433"/>
    <cellStyle name="RowTitles-Detail 2 2 5 6 4 2" xfId="17434"/>
    <cellStyle name="RowTitles-Detail 2 2 5 6 4_Tertiary Salaries Survey" xfId="17435"/>
    <cellStyle name="RowTitles-Detail 2 2 5 6 5" xfId="17436"/>
    <cellStyle name="RowTitles-Detail 2 2 5 6_Tertiary Salaries Survey" xfId="17437"/>
    <cellStyle name="RowTitles-Detail 2 2 5 7" xfId="17438"/>
    <cellStyle name="RowTitles-Detail 2 2 5 7 2" xfId="17439"/>
    <cellStyle name="RowTitles-Detail 2 2 5 7 2 2" xfId="17440"/>
    <cellStyle name="RowTitles-Detail 2 2 5 7 2_Tertiary Salaries Survey" xfId="17441"/>
    <cellStyle name="RowTitles-Detail 2 2 5 7 3" xfId="17442"/>
    <cellStyle name="RowTitles-Detail 2 2 5 7_Tertiary Salaries Survey" xfId="17443"/>
    <cellStyle name="RowTitles-Detail 2 2 5 8" xfId="17444"/>
    <cellStyle name="RowTitles-Detail 2 2 5 8 2" xfId="17445"/>
    <cellStyle name="RowTitles-Detail 2 2 5 8 2 2" xfId="17446"/>
    <cellStyle name="RowTitles-Detail 2 2 5 8 2_Tertiary Salaries Survey" xfId="17447"/>
    <cellStyle name="RowTitles-Detail 2 2 5 8 3" xfId="17448"/>
    <cellStyle name="RowTitles-Detail 2 2 5 8_Tertiary Salaries Survey" xfId="17449"/>
    <cellStyle name="RowTitles-Detail 2 2 5 9" xfId="17450"/>
    <cellStyle name="RowTitles-Detail 2 2 5_STUD aligned by INSTIT" xfId="17451"/>
    <cellStyle name="RowTitles-Detail 2 2 6" xfId="17452"/>
    <cellStyle name="RowTitles-Detail 2 2 6 2" xfId="17453"/>
    <cellStyle name="RowTitles-Detail 2 2 6 2 2" xfId="17454"/>
    <cellStyle name="RowTitles-Detail 2 2 6 2 2 2" xfId="17455"/>
    <cellStyle name="RowTitles-Detail 2 2 6 2 2 2 2" xfId="17456"/>
    <cellStyle name="RowTitles-Detail 2 2 6 2 2 2_Tertiary Salaries Survey" xfId="17457"/>
    <cellStyle name="RowTitles-Detail 2 2 6 2 2 3" xfId="17458"/>
    <cellStyle name="RowTitles-Detail 2 2 6 2 2_Tertiary Salaries Survey" xfId="17459"/>
    <cellStyle name="RowTitles-Detail 2 2 6 2 3" xfId="17460"/>
    <cellStyle name="RowTitles-Detail 2 2 6 2 3 2" xfId="17461"/>
    <cellStyle name="RowTitles-Detail 2 2 6 2 3 2 2" xfId="17462"/>
    <cellStyle name="RowTitles-Detail 2 2 6 2 3 2_Tertiary Salaries Survey" xfId="17463"/>
    <cellStyle name="RowTitles-Detail 2 2 6 2 3 3" xfId="17464"/>
    <cellStyle name="RowTitles-Detail 2 2 6 2 3_Tertiary Salaries Survey" xfId="17465"/>
    <cellStyle name="RowTitles-Detail 2 2 6 2 4" xfId="17466"/>
    <cellStyle name="RowTitles-Detail 2 2 6 2 5" xfId="17467"/>
    <cellStyle name="RowTitles-Detail 2 2 6 2 5 2" xfId="17468"/>
    <cellStyle name="RowTitles-Detail 2 2 6 2 5_Tertiary Salaries Survey" xfId="17469"/>
    <cellStyle name="RowTitles-Detail 2 2 6 2 6" xfId="17470"/>
    <cellStyle name="RowTitles-Detail 2 2 6 2_Tertiary Salaries Survey" xfId="17471"/>
    <cellStyle name="RowTitles-Detail 2 2 6 3" xfId="17472"/>
    <cellStyle name="RowTitles-Detail 2 2 6 3 2" xfId="17473"/>
    <cellStyle name="RowTitles-Detail 2 2 6 3 2 2" xfId="17474"/>
    <cellStyle name="RowTitles-Detail 2 2 6 3 2 2 2" xfId="17475"/>
    <cellStyle name="RowTitles-Detail 2 2 6 3 2 2_Tertiary Salaries Survey" xfId="17476"/>
    <cellStyle name="RowTitles-Detail 2 2 6 3 2 3" xfId="17477"/>
    <cellStyle name="RowTitles-Detail 2 2 6 3 2_Tertiary Salaries Survey" xfId="17478"/>
    <cellStyle name="RowTitles-Detail 2 2 6 3 3" xfId="17479"/>
    <cellStyle name="RowTitles-Detail 2 2 6 3 3 2" xfId="17480"/>
    <cellStyle name="RowTitles-Detail 2 2 6 3 3 2 2" xfId="17481"/>
    <cellStyle name="RowTitles-Detail 2 2 6 3 3 2_Tertiary Salaries Survey" xfId="17482"/>
    <cellStyle name="RowTitles-Detail 2 2 6 3 3 3" xfId="17483"/>
    <cellStyle name="RowTitles-Detail 2 2 6 3 3_Tertiary Salaries Survey" xfId="17484"/>
    <cellStyle name="RowTitles-Detail 2 2 6 3 4" xfId="17485"/>
    <cellStyle name="RowTitles-Detail 2 2 6 3 5" xfId="17486"/>
    <cellStyle name="RowTitles-Detail 2 2 6 3_Tertiary Salaries Survey" xfId="17487"/>
    <cellStyle name="RowTitles-Detail 2 2 6 4" xfId="17488"/>
    <cellStyle name="RowTitles-Detail 2 2 6 4 2" xfId="17489"/>
    <cellStyle name="RowTitles-Detail 2 2 6 4 2 2" xfId="17490"/>
    <cellStyle name="RowTitles-Detail 2 2 6 4 2 2 2" xfId="17491"/>
    <cellStyle name="RowTitles-Detail 2 2 6 4 2 2_Tertiary Salaries Survey" xfId="17492"/>
    <cellStyle name="RowTitles-Detail 2 2 6 4 2 3" xfId="17493"/>
    <cellStyle name="RowTitles-Detail 2 2 6 4 2_Tertiary Salaries Survey" xfId="17494"/>
    <cellStyle name="RowTitles-Detail 2 2 6 4 3" xfId="17495"/>
    <cellStyle name="RowTitles-Detail 2 2 6 4 3 2" xfId="17496"/>
    <cellStyle name="RowTitles-Detail 2 2 6 4 3 2 2" xfId="17497"/>
    <cellStyle name="RowTitles-Detail 2 2 6 4 3 2_Tertiary Salaries Survey" xfId="17498"/>
    <cellStyle name="RowTitles-Detail 2 2 6 4 3 3" xfId="17499"/>
    <cellStyle name="RowTitles-Detail 2 2 6 4 3_Tertiary Salaries Survey" xfId="17500"/>
    <cellStyle name="RowTitles-Detail 2 2 6 4 4" xfId="17501"/>
    <cellStyle name="RowTitles-Detail 2 2 6 4 5" xfId="17502"/>
    <cellStyle name="RowTitles-Detail 2 2 6 4 5 2" xfId="17503"/>
    <cellStyle name="RowTitles-Detail 2 2 6 4 5_Tertiary Salaries Survey" xfId="17504"/>
    <cellStyle name="RowTitles-Detail 2 2 6 4 6" xfId="17505"/>
    <cellStyle name="RowTitles-Detail 2 2 6 4_Tertiary Salaries Survey" xfId="17506"/>
    <cellStyle name="RowTitles-Detail 2 2 6 5" xfId="17507"/>
    <cellStyle name="RowTitles-Detail 2 2 6 5 2" xfId="17508"/>
    <cellStyle name="RowTitles-Detail 2 2 6 5 2 2" xfId="17509"/>
    <cellStyle name="RowTitles-Detail 2 2 6 5 2 2 2" xfId="17510"/>
    <cellStyle name="RowTitles-Detail 2 2 6 5 2 2_Tertiary Salaries Survey" xfId="17511"/>
    <cellStyle name="RowTitles-Detail 2 2 6 5 2 3" xfId="17512"/>
    <cellStyle name="RowTitles-Detail 2 2 6 5 2_Tertiary Salaries Survey" xfId="17513"/>
    <cellStyle name="RowTitles-Detail 2 2 6 5 3" xfId="17514"/>
    <cellStyle name="RowTitles-Detail 2 2 6 5 3 2" xfId="17515"/>
    <cellStyle name="RowTitles-Detail 2 2 6 5 3 2 2" xfId="17516"/>
    <cellStyle name="RowTitles-Detail 2 2 6 5 3 2_Tertiary Salaries Survey" xfId="17517"/>
    <cellStyle name="RowTitles-Detail 2 2 6 5 3 3" xfId="17518"/>
    <cellStyle name="RowTitles-Detail 2 2 6 5 3_Tertiary Salaries Survey" xfId="17519"/>
    <cellStyle name="RowTitles-Detail 2 2 6 5 4" xfId="17520"/>
    <cellStyle name="RowTitles-Detail 2 2 6 5 4 2" xfId="17521"/>
    <cellStyle name="RowTitles-Detail 2 2 6 5 4_Tertiary Salaries Survey" xfId="17522"/>
    <cellStyle name="RowTitles-Detail 2 2 6 5 5" xfId="17523"/>
    <cellStyle name="RowTitles-Detail 2 2 6 5_Tertiary Salaries Survey" xfId="17524"/>
    <cellStyle name="RowTitles-Detail 2 2 6 6" xfId="17525"/>
    <cellStyle name="RowTitles-Detail 2 2 6 6 2" xfId="17526"/>
    <cellStyle name="RowTitles-Detail 2 2 6 6 2 2" xfId="17527"/>
    <cellStyle name="RowTitles-Detail 2 2 6 6 2 2 2" xfId="17528"/>
    <cellStyle name="RowTitles-Detail 2 2 6 6 2 2_Tertiary Salaries Survey" xfId="17529"/>
    <cellStyle name="RowTitles-Detail 2 2 6 6 2 3" xfId="17530"/>
    <cellStyle name="RowTitles-Detail 2 2 6 6 2_Tertiary Salaries Survey" xfId="17531"/>
    <cellStyle name="RowTitles-Detail 2 2 6 6 3" xfId="17532"/>
    <cellStyle name="RowTitles-Detail 2 2 6 6 3 2" xfId="17533"/>
    <cellStyle name="RowTitles-Detail 2 2 6 6 3 2 2" xfId="17534"/>
    <cellStyle name="RowTitles-Detail 2 2 6 6 3 2_Tertiary Salaries Survey" xfId="17535"/>
    <cellStyle name="RowTitles-Detail 2 2 6 6 3 3" xfId="17536"/>
    <cellStyle name="RowTitles-Detail 2 2 6 6 3_Tertiary Salaries Survey" xfId="17537"/>
    <cellStyle name="RowTitles-Detail 2 2 6 6 4" xfId="17538"/>
    <cellStyle name="RowTitles-Detail 2 2 6 6 4 2" xfId="17539"/>
    <cellStyle name="RowTitles-Detail 2 2 6 6 4_Tertiary Salaries Survey" xfId="17540"/>
    <cellStyle name="RowTitles-Detail 2 2 6 6 5" xfId="17541"/>
    <cellStyle name="RowTitles-Detail 2 2 6 6_Tertiary Salaries Survey" xfId="17542"/>
    <cellStyle name="RowTitles-Detail 2 2 6 7" xfId="17543"/>
    <cellStyle name="RowTitles-Detail 2 2 6 7 2" xfId="17544"/>
    <cellStyle name="RowTitles-Detail 2 2 6 7 2 2" xfId="17545"/>
    <cellStyle name="RowTitles-Detail 2 2 6 7 2_Tertiary Salaries Survey" xfId="17546"/>
    <cellStyle name="RowTitles-Detail 2 2 6 7 3" xfId="17547"/>
    <cellStyle name="RowTitles-Detail 2 2 6 7_Tertiary Salaries Survey" xfId="17548"/>
    <cellStyle name="RowTitles-Detail 2 2 6 8" xfId="17549"/>
    <cellStyle name="RowTitles-Detail 2 2 6 9" xfId="17550"/>
    <cellStyle name="RowTitles-Detail 2 2 6_STUD aligned by INSTIT" xfId="17551"/>
    <cellStyle name="RowTitles-Detail 2 2 7" xfId="17552"/>
    <cellStyle name="RowTitles-Detail 2 2 7 2" xfId="17553"/>
    <cellStyle name="RowTitles-Detail 2 2 7 2 2" xfId="17554"/>
    <cellStyle name="RowTitles-Detail 2 2 7 2 2 2" xfId="17555"/>
    <cellStyle name="RowTitles-Detail 2 2 7 2 2_Tertiary Salaries Survey" xfId="17556"/>
    <cellStyle name="RowTitles-Detail 2 2 7 2 3" xfId="17557"/>
    <cellStyle name="RowTitles-Detail 2 2 7 2_Tertiary Salaries Survey" xfId="17558"/>
    <cellStyle name="RowTitles-Detail 2 2 7 3" xfId="17559"/>
    <cellStyle name="RowTitles-Detail 2 2 7 3 2" xfId="17560"/>
    <cellStyle name="RowTitles-Detail 2 2 7 3 2 2" xfId="17561"/>
    <cellStyle name="RowTitles-Detail 2 2 7 3 2_Tertiary Salaries Survey" xfId="17562"/>
    <cellStyle name="RowTitles-Detail 2 2 7 3 3" xfId="17563"/>
    <cellStyle name="RowTitles-Detail 2 2 7 3_Tertiary Salaries Survey" xfId="17564"/>
    <cellStyle name="RowTitles-Detail 2 2 7 4" xfId="17565"/>
    <cellStyle name="RowTitles-Detail 2 2 7 5" xfId="17566"/>
    <cellStyle name="RowTitles-Detail 2 2 7 5 2" xfId="17567"/>
    <cellStyle name="RowTitles-Detail 2 2 7 5_Tertiary Salaries Survey" xfId="17568"/>
    <cellStyle name="RowTitles-Detail 2 2 7 6" xfId="17569"/>
    <cellStyle name="RowTitles-Detail 2 2 7_Tertiary Salaries Survey" xfId="17570"/>
    <cellStyle name="RowTitles-Detail 2 2 8" xfId="17571"/>
    <cellStyle name="RowTitles-Detail 2 2 8 2" xfId="17572"/>
    <cellStyle name="RowTitles-Detail 2 2 8 2 2" xfId="17573"/>
    <cellStyle name="RowTitles-Detail 2 2 8 2 2 2" xfId="17574"/>
    <cellStyle name="RowTitles-Detail 2 2 8 2 2_Tertiary Salaries Survey" xfId="17575"/>
    <cellStyle name="RowTitles-Detail 2 2 8 2 3" xfId="17576"/>
    <cellStyle name="RowTitles-Detail 2 2 8 2_Tertiary Salaries Survey" xfId="17577"/>
    <cellStyle name="RowTitles-Detail 2 2 8 3" xfId="17578"/>
    <cellStyle name="RowTitles-Detail 2 2 8 3 2" xfId="17579"/>
    <cellStyle name="RowTitles-Detail 2 2 8 3 2 2" xfId="17580"/>
    <cellStyle name="RowTitles-Detail 2 2 8 3 2_Tertiary Salaries Survey" xfId="17581"/>
    <cellStyle name="RowTitles-Detail 2 2 8 3 3" xfId="17582"/>
    <cellStyle name="RowTitles-Detail 2 2 8 3_Tertiary Salaries Survey" xfId="17583"/>
    <cellStyle name="RowTitles-Detail 2 2 8 4" xfId="17584"/>
    <cellStyle name="RowTitles-Detail 2 2 8 5" xfId="17585"/>
    <cellStyle name="RowTitles-Detail 2 2 8_Tertiary Salaries Survey" xfId="17586"/>
    <cellStyle name="RowTitles-Detail 2 2 9" xfId="17587"/>
    <cellStyle name="RowTitles-Detail 2 2 9 2" xfId="17588"/>
    <cellStyle name="RowTitles-Detail 2 2 9 2 2" xfId="17589"/>
    <cellStyle name="RowTitles-Detail 2 2 9 2 2 2" xfId="17590"/>
    <cellStyle name="RowTitles-Detail 2 2 9 2 2_Tertiary Salaries Survey" xfId="17591"/>
    <cellStyle name="RowTitles-Detail 2 2 9 2 3" xfId="17592"/>
    <cellStyle name="RowTitles-Detail 2 2 9 2_Tertiary Salaries Survey" xfId="17593"/>
    <cellStyle name="RowTitles-Detail 2 2 9 3" xfId="17594"/>
    <cellStyle name="RowTitles-Detail 2 2 9 3 2" xfId="17595"/>
    <cellStyle name="RowTitles-Detail 2 2 9 3 2 2" xfId="17596"/>
    <cellStyle name="RowTitles-Detail 2 2 9 3 2_Tertiary Salaries Survey" xfId="17597"/>
    <cellStyle name="RowTitles-Detail 2 2 9 3 3" xfId="17598"/>
    <cellStyle name="RowTitles-Detail 2 2 9 3_Tertiary Salaries Survey" xfId="17599"/>
    <cellStyle name="RowTitles-Detail 2 2 9 4" xfId="17600"/>
    <cellStyle name="RowTitles-Detail 2 2 9 5" xfId="17601"/>
    <cellStyle name="RowTitles-Detail 2 2 9 5 2" xfId="17602"/>
    <cellStyle name="RowTitles-Detail 2 2 9 5_Tertiary Salaries Survey" xfId="17603"/>
    <cellStyle name="RowTitles-Detail 2 2 9 6" xfId="17604"/>
    <cellStyle name="RowTitles-Detail 2 2 9_Tertiary Salaries Survey" xfId="17605"/>
    <cellStyle name="RowTitles-Detail 2 2_STUD aligned by INSTIT" xfId="17606"/>
    <cellStyle name="RowTitles-Detail 2 3" xfId="17607"/>
    <cellStyle name="RowTitles-Detail 2 3 10" xfId="17608"/>
    <cellStyle name="RowTitles-Detail 2 3 10 2" xfId="17609"/>
    <cellStyle name="RowTitles-Detail 2 3 10 2 2" xfId="17610"/>
    <cellStyle name="RowTitles-Detail 2 3 10 2 2 2" xfId="17611"/>
    <cellStyle name="RowTitles-Detail 2 3 10 2 2_Tertiary Salaries Survey" xfId="17612"/>
    <cellStyle name="RowTitles-Detail 2 3 10 2 3" xfId="17613"/>
    <cellStyle name="RowTitles-Detail 2 3 10 2_Tertiary Salaries Survey" xfId="17614"/>
    <cellStyle name="RowTitles-Detail 2 3 10 3" xfId="17615"/>
    <cellStyle name="RowTitles-Detail 2 3 10 3 2" xfId="17616"/>
    <cellStyle name="RowTitles-Detail 2 3 10 3 2 2" xfId="17617"/>
    <cellStyle name="RowTitles-Detail 2 3 10 3 2_Tertiary Salaries Survey" xfId="17618"/>
    <cellStyle name="RowTitles-Detail 2 3 10 3 3" xfId="17619"/>
    <cellStyle name="RowTitles-Detail 2 3 10 3_Tertiary Salaries Survey" xfId="17620"/>
    <cellStyle name="RowTitles-Detail 2 3 10 4" xfId="17621"/>
    <cellStyle name="RowTitles-Detail 2 3 10 4 2" xfId="17622"/>
    <cellStyle name="RowTitles-Detail 2 3 10 4_Tertiary Salaries Survey" xfId="17623"/>
    <cellStyle name="RowTitles-Detail 2 3 10 5" xfId="17624"/>
    <cellStyle name="RowTitles-Detail 2 3 10_Tertiary Salaries Survey" xfId="17625"/>
    <cellStyle name="RowTitles-Detail 2 3 11" xfId="17626"/>
    <cellStyle name="RowTitles-Detail 2 3 11 2" xfId="17627"/>
    <cellStyle name="RowTitles-Detail 2 3 11 2 2" xfId="17628"/>
    <cellStyle name="RowTitles-Detail 2 3 11 2 2 2" xfId="17629"/>
    <cellStyle name="RowTitles-Detail 2 3 11 2 2_Tertiary Salaries Survey" xfId="17630"/>
    <cellStyle name="RowTitles-Detail 2 3 11 2 3" xfId="17631"/>
    <cellStyle name="RowTitles-Detail 2 3 11 2_Tertiary Salaries Survey" xfId="17632"/>
    <cellStyle name="RowTitles-Detail 2 3 11 3" xfId="17633"/>
    <cellStyle name="RowTitles-Detail 2 3 11 3 2" xfId="17634"/>
    <cellStyle name="RowTitles-Detail 2 3 11 3 2 2" xfId="17635"/>
    <cellStyle name="RowTitles-Detail 2 3 11 3 2_Tertiary Salaries Survey" xfId="17636"/>
    <cellStyle name="RowTitles-Detail 2 3 11 3 3" xfId="17637"/>
    <cellStyle name="RowTitles-Detail 2 3 11 3_Tertiary Salaries Survey" xfId="17638"/>
    <cellStyle name="RowTitles-Detail 2 3 11 4" xfId="17639"/>
    <cellStyle name="RowTitles-Detail 2 3 11 4 2" xfId="17640"/>
    <cellStyle name="RowTitles-Detail 2 3 11 4_Tertiary Salaries Survey" xfId="17641"/>
    <cellStyle name="RowTitles-Detail 2 3 11 5" xfId="17642"/>
    <cellStyle name="RowTitles-Detail 2 3 11_Tertiary Salaries Survey" xfId="17643"/>
    <cellStyle name="RowTitles-Detail 2 3 12" xfId="17644"/>
    <cellStyle name="RowTitles-Detail 2 3 12 2" xfId="17645"/>
    <cellStyle name="RowTitles-Detail 2 3 12 2 2" xfId="17646"/>
    <cellStyle name="RowTitles-Detail 2 3 12 2_Tertiary Salaries Survey" xfId="17647"/>
    <cellStyle name="RowTitles-Detail 2 3 12 3" xfId="17648"/>
    <cellStyle name="RowTitles-Detail 2 3 12_Tertiary Salaries Survey" xfId="17649"/>
    <cellStyle name="RowTitles-Detail 2 3 13" xfId="17650"/>
    <cellStyle name="RowTitles-Detail 2 3 14" xfId="17651"/>
    <cellStyle name="RowTitles-Detail 2 3 15" xfId="17652"/>
    <cellStyle name="RowTitles-Detail 2 3 2" xfId="17653"/>
    <cellStyle name="RowTitles-Detail 2 3 2 10" xfId="17654"/>
    <cellStyle name="RowTitles-Detail 2 3 2 10 2" xfId="17655"/>
    <cellStyle name="RowTitles-Detail 2 3 2 10 2 2" xfId="17656"/>
    <cellStyle name="RowTitles-Detail 2 3 2 10 2 2 2" xfId="17657"/>
    <cellStyle name="RowTitles-Detail 2 3 2 10 2 2_Tertiary Salaries Survey" xfId="17658"/>
    <cellStyle name="RowTitles-Detail 2 3 2 10 2 3" xfId="17659"/>
    <cellStyle name="RowTitles-Detail 2 3 2 10 2_Tertiary Salaries Survey" xfId="17660"/>
    <cellStyle name="RowTitles-Detail 2 3 2 10 3" xfId="17661"/>
    <cellStyle name="RowTitles-Detail 2 3 2 10 3 2" xfId="17662"/>
    <cellStyle name="RowTitles-Detail 2 3 2 10 3 2 2" xfId="17663"/>
    <cellStyle name="RowTitles-Detail 2 3 2 10 3 2_Tertiary Salaries Survey" xfId="17664"/>
    <cellStyle name="RowTitles-Detail 2 3 2 10 3 3" xfId="17665"/>
    <cellStyle name="RowTitles-Detail 2 3 2 10 3_Tertiary Salaries Survey" xfId="17666"/>
    <cellStyle name="RowTitles-Detail 2 3 2 10 4" xfId="17667"/>
    <cellStyle name="RowTitles-Detail 2 3 2 10 4 2" xfId="17668"/>
    <cellStyle name="RowTitles-Detail 2 3 2 10 4_Tertiary Salaries Survey" xfId="17669"/>
    <cellStyle name="RowTitles-Detail 2 3 2 10 5" xfId="17670"/>
    <cellStyle name="RowTitles-Detail 2 3 2 10_Tertiary Salaries Survey" xfId="17671"/>
    <cellStyle name="RowTitles-Detail 2 3 2 11" xfId="17672"/>
    <cellStyle name="RowTitles-Detail 2 3 2 11 2" xfId="17673"/>
    <cellStyle name="RowTitles-Detail 2 3 2 11 2 2" xfId="17674"/>
    <cellStyle name="RowTitles-Detail 2 3 2 11 2_Tertiary Salaries Survey" xfId="17675"/>
    <cellStyle name="RowTitles-Detail 2 3 2 11 3" xfId="17676"/>
    <cellStyle name="RowTitles-Detail 2 3 2 11_Tertiary Salaries Survey" xfId="17677"/>
    <cellStyle name="RowTitles-Detail 2 3 2 12" xfId="17678"/>
    <cellStyle name="RowTitles-Detail 2 3 2 13" xfId="17679"/>
    <cellStyle name="RowTitles-Detail 2 3 2 2" xfId="17680"/>
    <cellStyle name="RowTitles-Detail 2 3 2 2 10" xfId="17681"/>
    <cellStyle name="RowTitles-Detail 2 3 2 2 10 2" xfId="17682"/>
    <cellStyle name="RowTitles-Detail 2 3 2 2 10 2 2" xfId="17683"/>
    <cellStyle name="RowTitles-Detail 2 3 2 2 10 2_Tertiary Salaries Survey" xfId="17684"/>
    <cellStyle name="RowTitles-Detail 2 3 2 2 10 3" xfId="17685"/>
    <cellStyle name="RowTitles-Detail 2 3 2 2 10_Tertiary Salaries Survey" xfId="17686"/>
    <cellStyle name="RowTitles-Detail 2 3 2 2 11" xfId="17687"/>
    <cellStyle name="RowTitles-Detail 2 3 2 2 12" xfId="17688"/>
    <cellStyle name="RowTitles-Detail 2 3 2 2 2" xfId="17689"/>
    <cellStyle name="RowTitles-Detail 2 3 2 2 2 2" xfId="17690"/>
    <cellStyle name="RowTitles-Detail 2 3 2 2 2 2 2" xfId="17691"/>
    <cellStyle name="RowTitles-Detail 2 3 2 2 2 2 2 2" xfId="17692"/>
    <cellStyle name="RowTitles-Detail 2 3 2 2 2 2 2 2 2" xfId="17693"/>
    <cellStyle name="RowTitles-Detail 2 3 2 2 2 2 2 2_Tertiary Salaries Survey" xfId="17694"/>
    <cellStyle name="RowTitles-Detail 2 3 2 2 2 2 2 3" xfId="17695"/>
    <cellStyle name="RowTitles-Detail 2 3 2 2 2 2 2_Tertiary Salaries Survey" xfId="17696"/>
    <cellStyle name="RowTitles-Detail 2 3 2 2 2 2 3" xfId="17697"/>
    <cellStyle name="RowTitles-Detail 2 3 2 2 2 2 3 2" xfId="17698"/>
    <cellStyle name="RowTitles-Detail 2 3 2 2 2 2 3 2 2" xfId="17699"/>
    <cellStyle name="RowTitles-Detail 2 3 2 2 2 2 3 2_Tertiary Salaries Survey" xfId="17700"/>
    <cellStyle name="RowTitles-Detail 2 3 2 2 2 2 3 3" xfId="17701"/>
    <cellStyle name="RowTitles-Detail 2 3 2 2 2 2 3_Tertiary Salaries Survey" xfId="17702"/>
    <cellStyle name="RowTitles-Detail 2 3 2 2 2 2 4" xfId="17703"/>
    <cellStyle name="RowTitles-Detail 2 3 2 2 2 2 5" xfId="17704"/>
    <cellStyle name="RowTitles-Detail 2 3 2 2 2 2_Tertiary Salaries Survey" xfId="17705"/>
    <cellStyle name="RowTitles-Detail 2 3 2 2 2 3" xfId="17706"/>
    <cellStyle name="RowTitles-Detail 2 3 2 2 2 3 2" xfId="17707"/>
    <cellStyle name="RowTitles-Detail 2 3 2 2 2 3 2 2" xfId="17708"/>
    <cellStyle name="RowTitles-Detail 2 3 2 2 2 3 2 2 2" xfId="17709"/>
    <cellStyle name="RowTitles-Detail 2 3 2 2 2 3 2 2_Tertiary Salaries Survey" xfId="17710"/>
    <cellStyle name="RowTitles-Detail 2 3 2 2 2 3 2 3" xfId="17711"/>
    <cellStyle name="RowTitles-Detail 2 3 2 2 2 3 2_Tertiary Salaries Survey" xfId="17712"/>
    <cellStyle name="RowTitles-Detail 2 3 2 2 2 3 3" xfId="17713"/>
    <cellStyle name="RowTitles-Detail 2 3 2 2 2 3 3 2" xfId="17714"/>
    <cellStyle name="RowTitles-Detail 2 3 2 2 2 3 3 2 2" xfId="17715"/>
    <cellStyle name="RowTitles-Detail 2 3 2 2 2 3 3 2_Tertiary Salaries Survey" xfId="17716"/>
    <cellStyle name="RowTitles-Detail 2 3 2 2 2 3 3 3" xfId="17717"/>
    <cellStyle name="RowTitles-Detail 2 3 2 2 2 3 3_Tertiary Salaries Survey" xfId="17718"/>
    <cellStyle name="RowTitles-Detail 2 3 2 2 2 3 4" xfId="17719"/>
    <cellStyle name="RowTitles-Detail 2 3 2 2 2 3 5" xfId="17720"/>
    <cellStyle name="RowTitles-Detail 2 3 2 2 2 3 5 2" xfId="17721"/>
    <cellStyle name="RowTitles-Detail 2 3 2 2 2 3 5_Tertiary Salaries Survey" xfId="17722"/>
    <cellStyle name="RowTitles-Detail 2 3 2 2 2 3 6" xfId="17723"/>
    <cellStyle name="RowTitles-Detail 2 3 2 2 2 3_Tertiary Salaries Survey" xfId="17724"/>
    <cellStyle name="RowTitles-Detail 2 3 2 2 2 4" xfId="17725"/>
    <cellStyle name="RowTitles-Detail 2 3 2 2 2 4 2" xfId="17726"/>
    <cellStyle name="RowTitles-Detail 2 3 2 2 2 4 2 2" xfId="17727"/>
    <cellStyle name="RowTitles-Detail 2 3 2 2 2 4 2 2 2" xfId="17728"/>
    <cellStyle name="RowTitles-Detail 2 3 2 2 2 4 2 2_Tertiary Salaries Survey" xfId="17729"/>
    <cellStyle name="RowTitles-Detail 2 3 2 2 2 4 2 3" xfId="17730"/>
    <cellStyle name="RowTitles-Detail 2 3 2 2 2 4 2_Tertiary Salaries Survey" xfId="17731"/>
    <cellStyle name="RowTitles-Detail 2 3 2 2 2 4 3" xfId="17732"/>
    <cellStyle name="RowTitles-Detail 2 3 2 2 2 4 3 2" xfId="17733"/>
    <cellStyle name="RowTitles-Detail 2 3 2 2 2 4 3 2 2" xfId="17734"/>
    <cellStyle name="RowTitles-Detail 2 3 2 2 2 4 3 2_Tertiary Salaries Survey" xfId="17735"/>
    <cellStyle name="RowTitles-Detail 2 3 2 2 2 4 3 3" xfId="17736"/>
    <cellStyle name="RowTitles-Detail 2 3 2 2 2 4 3_Tertiary Salaries Survey" xfId="17737"/>
    <cellStyle name="RowTitles-Detail 2 3 2 2 2 4 4" xfId="17738"/>
    <cellStyle name="RowTitles-Detail 2 3 2 2 2 4 4 2" xfId="17739"/>
    <cellStyle name="RowTitles-Detail 2 3 2 2 2 4 4_Tertiary Salaries Survey" xfId="17740"/>
    <cellStyle name="RowTitles-Detail 2 3 2 2 2 4 5" xfId="17741"/>
    <cellStyle name="RowTitles-Detail 2 3 2 2 2 4_Tertiary Salaries Survey" xfId="17742"/>
    <cellStyle name="RowTitles-Detail 2 3 2 2 2 5" xfId="17743"/>
    <cellStyle name="RowTitles-Detail 2 3 2 2 2 5 2" xfId="17744"/>
    <cellStyle name="RowTitles-Detail 2 3 2 2 2 5 2 2" xfId="17745"/>
    <cellStyle name="RowTitles-Detail 2 3 2 2 2 5 2 2 2" xfId="17746"/>
    <cellStyle name="RowTitles-Detail 2 3 2 2 2 5 2 2_Tertiary Salaries Survey" xfId="17747"/>
    <cellStyle name="RowTitles-Detail 2 3 2 2 2 5 2 3" xfId="17748"/>
    <cellStyle name="RowTitles-Detail 2 3 2 2 2 5 2_Tertiary Salaries Survey" xfId="17749"/>
    <cellStyle name="RowTitles-Detail 2 3 2 2 2 5 3" xfId="17750"/>
    <cellStyle name="RowTitles-Detail 2 3 2 2 2 5 3 2" xfId="17751"/>
    <cellStyle name="RowTitles-Detail 2 3 2 2 2 5 3 2 2" xfId="17752"/>
    <cellStyle name="RowTitles-Detail 2 3 2 2 2 5 3 2_Tertiary Salaries Survey" xfId="17753"/>
    <cellStyle name="RowTitles-Detail 2 3 2 2 2 5 3 3" xfId="17754"/>
    <cellStyle name="RowTitles-Detail 2 3 2 2 2 5 3_Tertiary Salaries Survey" xfId="17755"/>
    <cellStyle name="RowTitles-Detail 2 3 2 2 2 5 4" xfId="17756"/>
    <cellStyle name="RowTitles-Detail 2 3 2 2 2 5 4 2" xfId="17757"/>
    <cellStyle name="RowTitles-Detail 2 3 2 2 2 5 4_Tertiary Salaries Survey" xfId="17758"/>
    <cellStyle name="RowTitles-Detail 2 3 2 2 2 5 5" xfId="17759"/>
    <cellStyle name="RowTitles-Detail 2 3 2 2 2 5_Tertiary Salaries Survey" xfId="17760"/>
    <cellStyle name="RowTitles-Detail 2 3 2 2 2 6" xfId="17761"/>
    <cellStyle name="RowTitles-Detail 2 3 2 2 2 6 2" xfId="17762"/>
    <cellStyle name="RowTitles-Detail 2 3 2 2 2 6 2 2" xfId="17763"/>
    <cellStyle name="RowTitles-Detail 2 3 2 2 2 6 2 2 2" xfId="17764"/>
    <cellStyle name="RowTitles-Detail 2 3 2 2 2 6 2 2_Tertiary Salaries Survey" xfId="17765"/>
    <cellStyle name="RowTitles-Detail 2 3 2 2 2 6 2 3" xfId="17766"/>
    <cellStyle name="RowTitles-Detail 2 3 2 2 2 6 2_Tertiary Salaries Survey" xfId="17767"/>
    <cellStyle name="RowTitles-Detail 2 3 2 2 2 6 3" xfId="17768"/>
    <cellStyle name="RowTitles-Detail 2 3 2 2 2 6 3 2" xfId="17769"/>
    <cellStyle name="RowTitles-Detail 2 3 2 2 2 6 3 2 2" xfId="17770"/>
    <cellStyle name="RowTitles-Detail 2 3 2 2 2 6 3 2_Tertiary Salaries Survey" xfId="17771"/>
    <cellStyle name="RowTitles-Detail 2 3 2 2 2 6 3 3" xfId="17772"/>
    <cellStyle name="RowTitles-Detail 2 3 2 2 2 6 3_Tertiary Salaries Survey" xfId="17773"/>
    <cellStyle name="RowTitles-Detail 2 3 2 2 2 6 4" xfId="17774"/>
    <cellStyle name="RowTitles-Detail 2 3 2 2 2 6 4 2" xfId="17775"/>
    <cellStyle name="RowTitles-Detail 2 3 2 2 2 6 4_Tertiary Salaries Survey" xfId="17776"/>
    <cellStyle name="RowTitles-Detail 2 3 2 2 2 6 5" xfId="17777"/>
    <cellStyle name="RowTitles-Detail 2 3 2 2 2 6_Tertiary Salaries Survey" xfId="17778"/>
    <cellStyle name="RowTitles-Detail 2 3 2 2 2 7" xfId="17779"/>
    <cellStyle name="RowTitles-Detail 2 3 2 2 2 7 2" xfId="17780"/>
    <cellStyle name="RowTitles-Detail 2 3 2 2 2 7 2 2" xfId="17781"/>
    <cellStyle name="RowTitles-Detail 2 3 2 2 2 7 2_Tertiary Salaries Survey" xfId="17782"/>
    <cellStyle name="RowTitles-Detail 2 3 2 2 2 7 3" xfId="17783"/>
    <cellStyle name="RowTitles-Detail 2 3 2 2 2 7_Tertiary Salaries Survey" xfId="17784"/>
    <cellStyle name="RowTitles-Detail 2 3 2 2 2 8" xfId="17785"/>
    <cellStyle name="RowTitles-Detail 2 3 2 2 2 9" xfId="17786"/>
    <cellStyle name="RowTitles-Detail 2 3 2 2 2_STUD aligned by INSTIT" xfId="17787"/>
    <cellStyle name="RowTitles-Detail 2 3 2 2 3" xfId="17788"/>
    <cellStyle name="RowTitles-Detail 2 3 2 2 3 2" xfId="17789"/>
    <cellStyle name="RowTitles-Detail 2 3 2 2 3 2 2" xfId="17790"/>
    <cellStyle name="RowTitles-Detail 2 3 2 2 3 2 2 2" xfId="17791"/>
    <cellStyle name="RowTitles-Detail 2 3 2 2 3 2 2 2 2" xfId="17792"/>
    <cellStyle name="RowTitles-Detail 2 3 2 2 3 2 2 2_Tertiary Salaries Survey" xfId="17793"/>
    <cellStyle name="RowTitles-Detail 2 3 2 2 3 2 2 3" xfId="17794"/>
    <cellStyle name="RowTitles-Detail 2 3 2 2 3 2 2_Tertiary Salaries Survey" xfId="17795"/>
    <cellStyle name="RowTitles-Detail 2 3 2 2 3 2 3" xfId="17796"/>
    <cellStyle name="RowTitles-Detail 2 3 2 2 3 2 3 2" xfId="17797"/>
    <cellStyle name="RowTitles-Detail 2 3 2 2 3 2 3 2 2" xfId="17798"/>
    <cellStyle name="RowTitles-Detail 2 3 2 2 3 2 3 2_Tertiary Salaries Survey" xfId="17799"/>
    <cellStyle name="RowTitles-Detail 2 3 2 2 3 2 3 3" xfId="17800"/>
    <cellStyle name="RowTitles-Detail 2 3 2 2 3 2 3_Tertiary Salaries Survey" xfId="17801"/>
    <cellStyle name="RowTitles-Detail 2 3 2 2 3 2 4" xfId="17802"/>
    <cellStyle name="RowTitles-Detail 2 3 2 2 3 2 5" xfId="17803"/>
    <cellStyle name="RowTitles-Detail 2 3 2 2 3 2 5 2" xfId="17804"/>
    <cellStyle name="RowTitles-Detail 2 3 2 2 3 2 5_Tertiary Salaries Survey" xfId="17805"/>
    <cellStyle name="RowTitles-Detail 2 3 2 2 3 2 6" xfId="17806"/>
    <cellStyle name="RowTitles-Detail 2 3 2 2 3 2_Tertiary Salaries Survey" xfId="17807"/>
    <cellStyle name="RowTitles-Detail 2 3 2 2 3 3" xfId="17808"/>
    <cellStyle name="RowTitles-Detail 2 3 2 2 3 3 2" xfId="17809"/>
    <cellStyle name="RowTitles-Detail 2 3 2 2 3 3 2 2" xfId="17810"/>
    <cellStyle name="RowTitles-Detail 2 3 2 2 3 3 2 2 2" xfId="17811"/>
    <cellStyle name="RowTitles-Detail 2 3 2 2 3 3 2 2_Tertiary Salaries Survey" xfId="17812"/>
    <cellStyle name="RowTitles-Detail 2 3 2 2 3 3 2 3" xfId="17813"/>
    <cellStyle name="RowTitles-Detail 2 3 2 2 3 3 2_Tertiary Salaries Survey" xfId="17814"/>
    <cellStyle name="RowTitles-Detail 2 3 2 2 3 3 3" xfId="17815"/>
    <cellStyle name="RowTitles-Detail 2 3 2 2 3 3 3 2" xfId="17816"/>
    <cellStyle name="RowTitles-Detail 2 3 2 2 3 3 3 2 2" xfId="17817"/>
    <cellStyle name="RowTitles-Detail 2 3 2 2 3 3 3 2_Tertiary Salaries Survey" xfId="17818"/>
    <cellStyle name="RowTitles-Detail 2 3 2 2 3 3 3 3" xfId="17819"/>
    <cellStyle name="RowTitles-Detail 2 3 2 2 3 3 3_Tertiary Salaries Survey" xfId="17820"/>
    <cellStyle name="RowTitles-Detail 2 3 2 2 3 3 4" xfId="17821"/>
    <cellStyle name="RowTitles-Detail 2 3 2 2 3 3 5" xfId="17822"/>
    <cellStyle name="RowTitles-Detail 2 3 2 2 3 3_Tertiary Salaries Survey" xfId="17823"/>
    <cellStyle name="RowTitles-Detail 2 3 2 2 3 4" xfId="17824"/>
    <cellStyle name="RowTitles-Detail 2 3 2 2 3 4 2" xfId="17825"/>
    <cellStyle name="RowTitles-Detail 2 3 2 2 3 4 2 2" xfId="17826"/>
    <cellStyle name="RowTitles-Detail 2 3 2 2 3 4 2 2 2" xfId="17827"/>
    <cellStyle name="RowTitles-Detail 2 3 2 2 3 4 2 2_Tertiary Salaries Survey" xfId="17828"/>
    <cellStyle name="RowTitles-Detail 2 3 2 2 3 4 2 3" xfId="17829"/>
    <cellStyle name="RowTitles-Detail 2 3 2 2 3 4 2_Tertiary Salaries Survey" xfId="17830"/>
    <cellStyle name="RowTitles-Detail 2 3 2 2 3 4 3" xfId="17831"/>
    <cellStyle name="RowTitles-Detail 2 3 2 2 3 4 3 2" xfId="17832"/>
    <cellStyle name="RowTitles-Detail 2 3 2 2 3 4 3 2 2" xfId="17833"/>
    <cellStyle name="RowTitles-Detail 2 3 2 2 3 4 3 2_Tertiary Salaries Survey" xfId="17834"/>
    <cellStyle name="RowTitles-Detail 2 3 2 2 3 4 3 3" xfId="17835"/>
    <cellStyle name="RowTitles-Detail 2 3 2 2 3 4 3_Tertiary Salaries Survey" xfId="17836"/>
    <cellStyle name="RowTitles-Detail 2 3 2 2 3 4 4" xfId="17837"/>
    <cellStyle name="RowTitles-Detail 2 3 2 2 3 4 4 2" xfId="17838"/>
    <cellStyle name="RowTitles-Detail 2 3 2 2 3 4 4_Tertiary Salaries Survey" xfId="17839"/>
    <cellStyle name="RowTitles-Detail 2 3 2 2 3 4 5" xfId="17840"/>
    <cellStyle name="RowTitles-Detail 2 3 2 2 3 4_Tertiary Salaries Survey" xfId="17841"/>
    <cellStyle name="RowTitles-Detail 2 3 2 2 3 5" xfId="17842"/>
    <cellStyle name="RowTitles-Detail 2 3 2 2 3 5 2" xfId="17843"/>
    <cellStyle name="RowTitles-Detail 2 3 2 2 3 5 2 2" xfId="17844"/>
    <cellStyle name="RowTitles-Detail 2 3 2 2 3 5 2 2 2" xfId="17845"/>
    <cellStyle name="RowTitles-Detail 2 3 2 2 3 5 2 2_Tertiary Salaries Survey" xfId="17846"/>
    <cellStyle name="RowTitles-Detail 2 3 2 2 3 5 2 3" xfId="17847"/>
    <cellStyle name="RowTitles-Detail 2 3 2 2 3 5 2_Tertiary Salaries Survey" xfId="17848"/>
    <cellStyle name="RowTitles-Detail 2 3 2 2 3 5 3" xfId="17849"/>
    <cellStyle name="RowTitles-Detail 2 3 2 2 3 5 3 2" xfId="17850"/>
    <cellStyle name="RowTitles-Detail 2 3 2 2 3 5 3 2 2" xfId="17851"/>
    <cellStyle name="RowTitles-Detail 2 3 2 2 3 5 3 2_Tertiary Salaries Survey" xfId="17852"/>
    <cellStyle name="RowTitles-Detail 2 3 2 2 3 5 3 3" xfId="17853"/>
    <cellStyle name="RowTitles-Detail 2 3 2 2 3 5 3_Tertiary Salaries Survey" xfId="17854"/>
    <cellStyle name="RowTitles-Detail 2 3 2 2 3 5 4" xfId="17855"/>
    <cellStyle name="RowTitles-Detail 2 3 2 2 3 5 4 2" xfId="17856"/>
    <cellStyle name="RowTitles-Detail 2 3 2 2 3 5 4_Tertiary Salaries Survey" xfId="17857"/>
    <cellStyle name="RowTitles-Detail 2 3 2 2 3 5 5" xfId="17858"/>
    <cellStyle name="RowTitles-Detail 2 3 2 2 3 5_Tertiary Salaries Survey" xfId="17859"/>
    <cellStyle name="RowTitles-Detail 2 3 2 2 3 6" xfId="17860"/>
    <cellStyle name="RowTitles-Detail 2 3 2 2 3 6 2" xfId="17861"/>
    <cellStyle name="RowTitles-Detail 2 3 2 2 3 6 2 2" xfId="17862"/>
    <cellStyle name="RowTitles-Detail 2 3 2 2 3 6 2 2 2" xfId="17863"/>
    <cellStyle name="RowTitles-Detail 2 3 2 2 3 6 2 2_Tertiary Salaries Survey" xfId="17864"/>
    <cellStyle name="RowTitles-Detail 2 3 2 2 3 6 2 3" xfId="17865"/>
    <cellStyle name="RowTitles-Detail 2 3 2 2 3 6 2_Tertiary Salaries Survey" xfId="17866"/>
    <cellStyle name="RowTitles-Detail 2 3 2 2 3 6 3" xfId="17867"/>
    <cellStyle name="RowTitles-Detail 2 3 2 2 3 6 3 2" xfId="17868"/>
    <cellStyle name="RowTitles-Detail 2 3 2 2 3 6 3 2 2" xfId="17869"/>
    <cellStyle name="RowTitles-Detail 2 3 2 2 3 6 3 2_Tertiary Salaries Survey" xfId="17870"/>
    <cellStyle name="RowTitles-Detail 2 3 2 2 3 6 3 3" xfId="17871"/>
    <cellStyle name="RowTitles-Detail 2 3 2 2 3 6 3_Tertiary Salaries Survey" xfId="17872"/>
    <cellStyle name="RowTitles-Detail 2 3 2 2 3 6 4" xfId="17873"/>
    <cellStyle name="RowTitles-Detail 2 3 2 2 3 6 4 2" xfId="17874"/>
    <cellStyle name="RowTitles-Detail 2 3 2 2 3 6 4_Tertiary Salaries Survey" xfId="17875"/>
    <cellStyle name="RowTitles-Detail 2 3 2 2 3 6 5" xfId="17876"/>
    <cellStyle name="RowTitles-Detail 2 3 2 2 3 6_Tertiary Salaries Survey" xfId="17877"/>
    <cellStyle name="RowTitles-Detail 2 3 2 2 3 7" xfId="17878"/>
    <cellStyle name="RowTitles-Detail 2 3 2 2 3 7 2" xfId="17879"/>
    <cellStyle name="RowTitles-Detail 2 3 2 2 3 7 2 2" xfId="17880"/>
    <cellStyle name="RowTitles-Detail 2 3 2 2 3 7 2_Tertiary Salaries Survey" xfId="17881"/>
    <cellStyle name="RowTitles-Detail 2 3 2 2 3 7 3" xfId="17882"/>
    <cellStyle name="RowTitles-Detail 2 3 2 2 3 7_Tertiary Salaries Survey" xfId="17883"/>
    <cellStyle name="RowTitles-Detail 2 3 2 2 3 8" xfId="17884"/>
    <cellStyle name="RowTitles-Detail 2 3 2 2 3 8 2" xfId="17885"/>
    <cellStyle name="RowTitles-Detail 2 3 2 2 3 8 2 2" xfId="17886"/>
    <cellStyle name="RowTitles-Detail 2 3 2 2 3 8 2_Tertiary Salaries Survey" xfId="17887"/>
    <cellStyle name="RowTitles-Detail 2 3 2 2 3 8 3" xfId="17888"/>
    <cellStyle name="RowTitles-Detail 2 3 2 2 3 8_Tertiary Salaries Survey" xfId="17889"/>
    <cellStyle name="RowTitles-Detail 2 3 2 2 3 9" xfId="17890"/>
    <cellStyle name="RowTitles-Detail 2 3 2 2 3_STUD aligned by INSTIT" xfId="17891"/>
    <cellStyle name="RowTitles-Detail 2 3 2 2 4" xfId="17892"/>
    <cellStyle name="RowTitles-Detail 2 3 2 2 4 2" xfId="17893"/>
    <cellStyle name="RowTitles-Detail 2 3 2 2 4 2 2" xfId="17894"/>
    <cellStyle name="RowTitles-Detail 2 3 2 2 4 2 2 2" xfId="17895"/>
    <cellStyle name="RowTitles-Detail 2 3 2 2 4 2 2 2 2" xfId="17896"/>
    <cellStyle name="RowTitles-Detail 2 3 2 2 4 2 2 2_Tertiary Salaries Survey" xfId="17897"/>
    <cellStyle name="RowTitles-Detail 2 3 2 2 4 2 2 3" xfId="17898"/>
    <cellStyle name="RowTitles-Detail 2 3 2 2 4 2 2_Tertiary Salaries Survey" xfId="17899"/>
    <cellStyle name="RowTitles-Detail 2 3 2 2 4 2 3" xfId="17900"/>
    <cellStyle name="RowTitles-Detail 2 3 2 2 4 2 3 2" xfId="17901"/>
    <cellStyle name="RowTitles-Detail 2 3 2 2 4 2 3 2 2" xfId="17902"/>
    <cellStyle name="RowTitles-Detail 2 3 2 2 4 2 3 2_Tertiary Salaries Survey" xfId="17903"/>
    <cellStyle name="RowTitles-Detail 2 3 2 2 4 2 3 3" xfId="17904"/>
    <cellStyle name="RowTitles-Detail 2 3 2 2 4 2 3_Tertiary Salaries Survey" xfId="17905"/>
    <cellStyle name="RowTitles-Detail 2 3 2 2 4 2 4" xfId="17906"/>
    <cellStyle name="RowTitles-Detail 2 3 2 2 4 2 5" xfId="17907"/>
    <cellStyle name="RowTitles-Detail 2 3 2 2 4 2 5 2" xfId="17908"/>
    <cellStyle name="RowTitles-Detail 2 3 2 2 4 2 5_Tertiary Salaries Survey" xfId="17909"/>
    <cellStyle name="RowTitles-Detail 2 3 2 2 4 2 6" xfId="17910"/>
    <cellStyle name="RowTitles-Detail 2 3 2 2 4 2_Tertiary Salaries Survey" xfId="17911"/>
    <cellStyle name="RowTitles-Detail 2 3 2 2 4 3" xfId="17912"/>
    <cellStyle name="RowTitles-Detail 2 3 2 2 4 3 2" xfId="17913"/>
    <cellStyle name="RowTitles-Detail 2 3 2 2 4 3 2 2" xfId="17914"/>
    <cellStyle name="RowTitles-Detail 2 3 2 2 4 3 2 2 2" xfId="17915"/>
    <cellStyle name="RowTitles-Detail 2 3 2 2 4 3 2 2_Tertiary Salaries Survey" xfId="17916"/>
    <cellStyle name="RowTitles-Detail 2 3 2 2 4 3 2 3" xfId="17917"/>
    <cellStyle name="RowTitles-Detail 2 3 2 2 4 3 2_Tertiary Salaries Survey" xfId="17918"/>
    <cellStyle name="RowTitles-Detail 2 3 2 2 4 3 3" xfId="17919"/>
    <cellStyle name="RowTitles-Detail 2 3 2 2 4 3 3 2" xfId="17920"/>
    <cellStyle name="RowTitles-Detail 2 3 2 2 4 3 3 2 2" xfId="17921"/>
    <cellStyle name="RowTitles-Detail 2 3 2 2 4 3 3 2_Tertiary Salaries Survey" xfId="17922"/>
    <cellStyle name="RowTitles-Detail 2 3 2 2 4 3 3 3" xfId="17923"/>
    <cellStyle name="RowTitles-Detail 2 3 2 2 4 3 3_Tertiary Salaries Survey" xfId="17924"/>
    <cellStyle name="RowTitles-Detail 2 3 2 2 4 3 4" xfId="17925"/>
    <cellStyle name="RowTitles-Detail 2 3 2 2 4 3 5" xfId="17926"/>
    <cellStyle name="RowTitles-Detail 2 3 2 2 4 3_Tertiary Salaries Survey" xfId="17927"/>
    <cellStyle name="RowTitles-Detail 2 3 2 2 4 4" xfId="17928"/>
    <cellStyle name="RowTitles-Detail 2 3 2 2 4 4 2" xfId="17929"/>
    <cellStyle name="RowTitles-Detail 2 3 2 2 4 4 2 2" xfId="17930"/>
    <cellStyle name="RowTitles-Detail 2 3 2 2 4 4 2 2 2" xfId="17931"/>
    <cellStyle name="RowTitles-Detail 2 3 2 2 4 4 2 2_Tertiary Salaries Survey" xfId="17932"/>
    <cellStyle name="RowTitles-Detail 2 3 2 2 4 4 2 3" xfId="17933"/>
    <cellStyle name="RowTitles-Detail 2 3 2 2 4 4 2_Tertiary Salaries Survey" xfId="17934"/>
    <cellStyle name="RowTitles-Detail 2 3 2 2 4 4 3" xfId="17935"/>
    <cellStyle name="RowTitles-Detail 2 3 2 2 4 4 3 2" xfId="17936"/>
    <cellStyle name="RowTitles-Detail 2 3 2 2 4 4 3 2 2" xfId="17937"/>
    <cellStyle name="RowTitles-Detail 2 3 2 2 4 4 3 2_Tertiary Salaries Survey" xfId="17938"/>
    <cellStyle name="RowTitles-Detail 2 3 2 2 4 4 3 3" xfId="17939"/>
    <cellStyle name="RowTitles-Detail 2 3 2 2 4 4 3_Tertiary Salaries Survey" xfId="17940"/>
    <cellStyle name="RowTitles-Detail 2 3 2 2 4 4 4" xfId="17941"/>
    <cellStyle name="RowTitles-Detail 2 3 2 2 4 4 5" xfId="17942"/>
    <cellStyle name="RowTitles-Detail 2 3 2 2 4 4 5 2" xfId="17943"/>
    <cellStyle name="RowTitles-Detail 2 3 2 2 4 4 5_Tertiary Salaries Survey" xfId="17944"/>
    <cellStyle name="RowTitles-Detail 2 3 2 2 4 4 6" xfId="17945"/>
    <cellStyle name="RowTitles-Detail 2 3 2 2 4 4_Tertiary Salaries Survey" xfId="17946"/>
    <cellStyle name="RowTitles-Detail 2 3 2 2 4 5" xfId="17947"/>
    <cellStyle name="RowTitles-Detail 2 3 2 2 4 5 2" xfId="17948"/>
    <cellStyle name="RowTitles-Detail 2 3 2 2 4 5 2 2" xfId="17949"/>
    <cellStyle name="RowTitles-Detail 2 3 2 2 4 5 2 2 2" xfId="17950"/>
    <cellStyle name="RowTitles-Detail 2 3 2 2 4 5 2 2_Tertiary Salaries Survey" xfId="17951"/>
    <cellStyle name="RowTitles-Detail 2 3 2 2 4 5 2 3" xfId="17952"/>
    <cellStyle name="RowTitles-Detail 2 3 2 2 4 5 2_Tertiary Salaries Survey" xfId="17953"/>
    <cellStyle name="RowTitles-Detail 2 3 2 2 4 5 3" xfId="17954"/>
    <cellStyle name="RowTitles-Detail 2 3 2 2 4 5 3 2" xfId="17955"/>
    <cellStyle name="RowTitles-Detail 2 3 2 2 4 5 3 2 2" xfId="17956"/>
    <cellStyle name="RowTitles-Detail 2 3 2 2 4 5 3 2_Tertiary Salaries Survey" xfId="17957"/>
    <cellStyle name="RowTitles-Detail 2 3 2 2 4 5 3 3" xfId="17958"/>
    <cellStyle name="RowTitles-Detail 2 3 2 2 4 5 3_Tertiary Salaries Survey" xfId="17959"/>
    <cellStyle name="RowTitles-Detail 2 3 2 2 4 5 4" xfId="17960"/>
    <cellStyle name="RowTitles-Detail 2 3 2 2 4 5 4 2" xfId="17961"/>
    <cellStyle name="RowTitles-Detail 2 3 2 2 4 5 4_Tertiary Salaries Survey" xfId="17962"/>
    <cellStyle name="RowTitles-Detail 2 3 2 2 4 5 5" xfId="17963"/>
    <cellStyle name="RowTitles-Detail 2 3 2 2 4 5_Tertiary Salaries Survey" xfId="17964"/>
    <cellStyle name="RowTitles-Detail 2 3 2 2 4 6" xfId="17965"/>
    <cellStyle name="RowTitles-Detail 2 3 2 2 4 6 2" xfId="17966"/>
    <cellStyle name="RowTitles-Detail 2 3 2 2 4 6 2 2" xfId="17967"/>
    <cellStyle name="RowTitles-Detail 2 3 2 2 4 6 2 2 2" xfId="17968"/>
    <cellStyle name="RowTitles-Detail 2 3 2 2 4 6 2 2_Tertiary Salaries Survey" xfId="17969"/>
    <cellStyle name="RowTitles-Detail 2 3 2 2 4 6 2 3" xfId="17970"/>
    <cellStyle name="RowTitles-Detail 2 3 2 2 4 6 2_Tertiary Salaries Survey" xfId="17971"/>
    <cellStyle name="RowTitles-Detail 2 3 2 2 4 6 3" xfId="17972"/>
    <cellStyle name="RowTitles-Detail 2 3 2 2 4 6 3 2" xfId="17973"/>
    <cellStyle name="RowTitles-Detail 2 3 2 2 4 6 3 2 2" xfId="17974"/>
    <cellStyle name="RowTitles-Detail 2 3 2 2 4 6 3 2_Tertiary Salaries Survey" xfId="17975"/>
    <cellStyle name="RowTitles-Detail 2 3 2 2 4 6 3 3" xfId="17976"/>
    <cellStyle name="RowTitles-Detail 2 3 2 2 4 6 3_Tertiary Salaries Survey" xfId="17977"/>
    <cellStyle name="RowTitles-Detail 2 3 2 2 4 6 4" xfId="17978"/>
    <cellStyle name="RowTitles-Detail 2 3 2 2 4 6 4 2" xfId="17979"/>
    <cellStyle name="RowTitles-Detail 2 3 2 2 4 6 4_Tertiary Salaries Survey" xfId="17980"/>
    <cellStyle name="RowTitles-Detail 2 3 2 2 4 6 5" xfId="17981"/>
    <cellStyle name="RowTitles-Detail 2 3 2 2 4 6_Tertiary Salaries Survey" xfId="17982"/>
    <cellStyle name="RowTitles-Detail 2 3 2 2 4 7" xfId="17983"/>
    <cellStyle name="RowTitles-Detail 2 3 2 2 4 7 2" xfId="17984"/>
    <cellStyle name="RowTitles-Detail 2 3 2 2 4 7 2 2" xfId="17985"/>
    <cellStyle name="RowTitles-Detail 2 3 2 2 4 7 2_Tertiary Salaries Survey" xfId="17986"/>
    <cellStyle name="RowTitles-Detail 2 3 2 2 4 7 3" xfId="17987"/>
    <cellStyle name="RowTitles-Detail 2 3 2 2 4 7_Tertiary Salaries Survey" xfId="17988"/>
    <cellStyle name="RowTitles-Detail 2 3 2 2 4 8" xfId="17989"/>
    <cellStyle name="RowTitles-Detail 2 3 2 2 4 9" xfId="17990"/>
    <cellStyle name="RowTitles-Detail 2 3 2 2 4_STUD aligned by INSTIT" xfId="17991"/>
    <cellStyle name="RowTitles-Detail 2 3 2 2 5" xfId="17992"/>
    <cellStyle name="RowTitles-Detail 2 3 2 2 5 2" xfId="17993"/>
    <cellStyle name="RowTitles-Detail 2 3 2 2 5 2 2" xfId="17994"/>
    <cellStyle name="RowTitles-Detail 2 3 2 2 5 2 2 2" xfId="17995"/>
    <cellStyle name="RowTitles-Detail 2 3 2 2 5 2 2_Tertiary Salaries Survey" xfId="17996"/>
    <cellStyle name="RowTitles-Detail 2 3 2 2 5 2 3" xfId="17997"/>
    <cellStyle name="RowTitles-Detail 2 3 2 2 5 2_Tertiary Salaries Survey" xfId="17998"/>
    <cellStyle name="RowTitles-Detail 2 3 2 2 5 3" xfId="17999"/>
    <cellStyle name="RowTitles-Detail 2 3 2 2 5 3 2" xfId="18000"/>
    <cellStyle name="RowTitles-Detail 2 3 2 2 5 3 2 2" xfId="18001"/>
    <cellStyle name="RowTitles-Detail 2 3 2 2 5 3 2_Tertiary Salaries Survey" xfId="18002"/>
    <cellStyle name="RowTitles-Detail 2 3 2 2 5 3 3" xfId="18003"/>
    <cellStyle name="RowTitles-Detail 2 3 2 2 5 3_Tertiary Salaries Survey" xfId="18004"/>
    <cellStyle name="RowTitles-Detail 2 3 2 2 5 4" xfId="18005"/>
    <cellStyle name="RowTitles-Detail 2 3 2 2 5 5" xfId="18006"/>
    <cellStyle name="RowTitles-Detail 2 3 2 2 5 5 2" xfId="18007"/>
    <cellStyle name="RowTitles-Detail 2 3 2 2 5 5_Tertiary Salaries Survey" xfId="18008"/>
    <cellStyle name="RowTitles-Detail 2 3 2 2 5 6" xfId="18009"/>
    <cellStyle name="RowTitles-Detail 2 3 2 2 5_Tertiary Salaries Survey" xfId="18010"/>
    <cellStyle name="RowTitles-Detail 2 3 2 2 6" xfId="18011"/>
    <cellStyle name="RowTitles-Detail 2 3 2 2 6 2" xfId="18012"/>
    <cellStyle name="RowTitles-Detail 2 3 2 2 6 2 2" xfId="18013"/>
    <cellStyle name="RowTitles-Detail 2 3 2 2 6 2 2 2" xfId="18014"/>
    <cellStyle name="RowTitles-Detail 2 3 2 2 6 2 2_Tertiary Salaries Survey" xfId="18015"/>
    <cellStyle name="RowTitles-Detail 2 3 2 2 6 2 3" xfId="18016"/>
    <cellStyle name="RowTitles-Detail 2 3 2 2 6 2_Tertiary Salaries Survey" xfId="18017"/>
    <cellStyle name="RowTitles-Detail 2 3 2 2 6 3" xfId="18018"/>
    <cellStyle name="RowTitles-Detail 2 3 2 2 6 3 2" xfId="18019"/>
    <cellStyle name="RowTitles-Detail 2 3 2 2 6 3 2 2" xfId="18020"/>
    <cellStyle name="RowTitles-Detail 2 3 2 2 6 3 2_Tertiary Salaries Survey" xfId="18021"/>
    <cellStyle name="RowTitles-Detail 2 3 2 2 6 3 3" xfId="18022"/>
    <cellStyle name="RowTitles-Detail 2 3 2 2 6 3_Tertiary Salaries Survey" xfId="18023"/>
    <cellStyle name="RowTitles-Detail 2 3 2 2 6 4" xfId="18024"/>
    <cellStyle name="RowTitles-Detail 2 3 2 2 6 5" xfId="18025"/>
    <cellStyle name="RowTitles-Detail 2 3 2 2 6_Tertiary Salaries Survey" xfId="18026"/>
    <cellStyle name="RowTitles-Detail 2 3 2 2 7" xfId="18027"/>
    <cellStyle name="RowTitles-Detail 2 3 2 2 7 2" xfId="18028"/>
    <cellStyle name="RowTitles-Detail 2 3 2 2 7 2 2" xfId="18029"/>
    <cellStyle name="RowTitles-Detail 2 3 2 2 7 2 2 2" xfId="18030"/>
    <cellStyle name="RowTitles-Detail 2 3 2 2 7 2 2_Tertiary Salaries Survey" xfId="18031"/>
    <cellStyle name="RowTitles-Detail 2 3 2 2 7 2 3" xfId="18032"/>
    <cellStyle name="RowTitles-Detail 2 3 2 2 7 2_Tertiary Salaries Survey" xfId="18033"/>
    <cellStyle name="RowTitles-Detail 2 3 2 2 7 3" xfId="18034"/>
    <cellStyle name="RowTitles-Detail 2 3 2 2 7 3 2" xfId="18035"/>
    <cellStyle name="RowTitles-Detail 2 3 2 2 7 3 2 2" xfId="18036"/>
    <cellStyle name="RowTitles-Detail 2 3 2 2 7 3 2_Tertiary Salaries Survey" xfId="18037"/>
    <cellStyle name="RowTitles-Detail 2 3 2 2 7 3 3" xfId="18038"/>
    <cellStyle name="RowTitles-Detail 2 3 2 2 7 3_Tertiary Salaries Survey" xfId="18039"/>
    <cellStyle name="RowTitles-Detail 2 3 2 2 7 4" xfId="18040"/>
    <cellStyle name="RowTitles-Detail 2 3 2 2 7 5" xfId="18041"/>
    <cellStyle name="RowTitles-Detail 2 3 2 2 7 5 2" xfId="18042"/>
    <cellStyle name="RowTitles-Detail 2 3 2 2 7 5_Tertiary Salaries Survey" xfId="18043"/>
    <cellStyle name="RowTitles-Detail 2 3 2 2 7 6" xfId="18044"/>
    <cellStyle name="RowTitles-Detail 2 3 2 2 7_Tertiary Salaries Survey" xfId="18045"/>
    <cellStyle name="RowTitles-Detail 2 3 2 2 8" xfId="18046"/>
    <cellStyle name="RowTitles-Detail 2 3 2 2 8 2" xfId="18047"/>
    <cellStyle name="RowTitles-Detail 2 3 2 2 8 2 2" xfId="18048"/>
    <cellStyle name="RowTitles-Detail 2 3 2 2 8 2 2 2" xfId="18049"/>
    <cellStyle name="RowTitles-Detail 2 3 2 2 8 2 2_Tertiary Salaries Survey" xfId="18050"/>
    <cellStyle name="RowTitles-Detail 2 3 2 2 8 2 3" xfId="18051"/>
    <cellStyle name="RowTitles-Detail 2 3 2 2 8 2_Tertiary Salaries Survey" xfId="18052"/>
    <cellStyle name="RowTitles-Detail 2 3 2 2 8 3" xfId="18053"/>
    <cellStyle name="RowTitles-Detail 2 3 2 2 8 3 2" xfId="18054"/>
    <cellStyle name="RowTitles-Detail 2 3 2 2 8 3 2 2" xfId="18055"/>
    <cellStyle name="RowTitles-Detail 2 3 2 2 8 3 2_Tertiary Salaries Survey" xfId="18056"/>
    <cellStyle name="RowTitles-Detail 2 3 2 2 8 3 3" xfId="18057"/>
    <cellStyle name="RowTitles-Detail 2 3 2 2 8 3_Tertiary Salaries Survey" xfId="18058"/>
    <cellStyle name="RowTitles-Detail 2 3 2 2 8 4" xfId="18059"/>
    <cellStyle name="RowTitles-Detail 2 3 2 2 8 4 2" xfId="18060"/>
    <cellStyle name="RowTitles-Detail 2 3 2 2 8 4_Tertiary Salaries Survey" xfId="18061"/>
    <cellStyle name="RowTitles-Detail 2 3 2 2 8 5" xfId="18062"/>
    <cellStyle name="RowTitles-Detail 2 3 2 2 8_Tertiary Salaries Survey" xfId="18063"/>
    <cellStyle name="RowTitles-Detail 2 3 2 2 9" xfId="18064"/>
    <cellStyle name="RowTitles-Detail 2 3 2 2 9 2" xfId="18065"/>
    <cellStyle name="RowTitles-Detail 2 3 2 2 9 2 2" xfId="18066"/>
    <cellStyle name="RowTitles-Detail 2 3 2 2 9 2 2 2" xfId="18067"/>
    <cellStyle name="RowTitles-Detail 2 3 2 2 9 2 2_Tertiary Salaries Survey" xfId="18068"/>
    <cellStyle name="RowTitles-Detail 2 3 2 2 9 2 3" xfId="18069"/>
    <cellStyle name="RowTitles-Detail 2 3 2 2 9 2_Tertiary Salaries Survey" xfId="18070"/>
    <cellStyle name="RowTitles-Detail 2 3 2 2 9 3" xfId="18071"/>
    <cellStyle name="RowTitles-Detail 2 3 2 2 9 3 2" xfId="18072"/>
    <cellStyle name="RowTitles-Detail 2 3 2 2 9 3 2 2" xfId="18073"/>
    <cellStyle name="RowTitles-Detail 2 3 2 2 9 3 2_Tertiary Salaries Survey" xfId="18074"/>
    <cellStyle name="RowTitles-Detail 2 3 2 2 9 3 3" xfId="18075"/>
    <cellStyle name="RowTitles-Detail 2 3 2 2 9 3_Tertiary Salaries Survey" xfId="18076"/>
    <cellStyle name="RowTitles-Detail 2 3 2 2 9 4" xfId="18077"/>
    <cellStyle name="RowTitles-Detail 2 3 2 2 9 4 2" xfId="18078"/>
    <cellStyle name="RowTitles-Detail 2 3 2 2 9 4_Tertiary Salaries Survey" xfId="18079"/>
    <cellStyle name="RowTitles-Detail 2 3 2 2 9 5" xfId="18080"/>
    <cellStyle name="RowTitles-Detail 2 3 2 2 9_Tertiary Salaries Survey" xfId="18081"/>
    <cellStyle name="RowTitles-Detail 2 3 2 2_STUD aligned by INSTIT" xfId="18082"/>
    <cellStyle name="RowTitles-Detail 2 3 2 3" xfId="18083"/>
    <cellStyle name="RowTitles-Detail 2 3 2 3 2" xfId="18084"/>
    <cellStyle name="RowTitles-Detail 2 3 2 3 2 2" xfId="18085"/>
    <cellStyle name="RowTitles-Detail 2 3 2 3 2 2 2" xfId="18086"/>
    <cellStyle name="RowTitles-Detail 2 3 2 3 2 2 2 2" xfId="18087"/>
    <cellStyle name="RowTitles-Detail 2 3 2 3 2 2 2_Tertiary Salaries Survey" xfId="18088"/>
    <cellStyle name="RowTitles-Detail 2 3 2 3 2 2 3" xfId="18089"/>
    <cellStyle name="RowTitles-Detail 2 3 2 3 2 2_Tertiary Salaries Survey" xfId="18090"/>
    <cellStyle name="RowTitles-Detail 2 3 2 3 2 3" xfId="18091"/>
    <cellStyle name="RowTitles-Detail 2 3 2 3 2 3 2" xfId="18092"/>
    <cellStyle name="RowTitles-Detail 2 3 2 3 2 3 2 2" xfId="18093"/>
    <cellStyle name="RowTitles-Detail 2 3 2 3 2 3 2_Tertiary Salaries Survey" xfId="18094"/>
    <cellStyle name="RowTitles-Detail 2 3 2 3 2 3 3" xfId="18095"/>
    <cellStyle name="RowTitles-Detail 2 3 2 3 2 3_Tertiary Salaries Survey" xfId="18096"/>
    <cellStyle name="RowTitles-Detail 2 3 2 3 2 4" xfId="18097"/>
    <cellStyle name="RowTitles-Detail 2 3 2 3 2 5" xfId="18098"/>
    <cellStyle name="RowTitles-Detail 2 3 2 3 2_Tertiary Salaries Survey" xfId="18099"/>
    <cellStyle name="RowTitles-Detail 2 3 2 3 3" xfId="18100"/>
    <cellStyle name="RowTitles-Detail 2 3 2 3 3 2" xfId="18101"/>
    <cellStyle name="RowTitles-Detail 2 3 2 3 3 2 2" xfId="18102"/>
    <cellStyle name="RowTitles-Detail 2 3 2 3 3 2 2 2" xfId="18103"/>
    <cellStyle name="RowTitles-Detail 2 3 2 3 3 2 2_Tertiary Salaries Survey" xfId="18104"/>
    <cellStyle name="RowTitles-Detail 2 3 2 3 3 2 3" xfId="18105"/>
    <cellStyle name="RowTitles-Detail 2 3 2 3 3 2_Tertiary Salaries Survey" xfId="18106"/>
    <cellStyle name="RowTitles-Detail 2 3 2 3 3 3" xfId="18107"/>
    <cellStyle name="RowTitles-Detail 2 3 2 3 3 3 2" xfId="18108"/>
    <cellStyle name="RowTitles-Detail 2 3 2 3 3 3 2 2" xfId="18109"/>
    <cellStyle name="RowTitles-Detail 2 3 2 3 3 3 2_Tertiary Salaries Survey" xfId="18110"/>
    <cellStyle name="RowTitles-Detail 2 3 2 3 3 3 3" xfId="18111"/>
    <cellStyle name="RowTitles-Detail 2 3 2 3 3 3_Tertiary Salaries Survey" xfId="18112"/>
    <cellStyle name="RowTitles-Detail 2 3 2 3 3 4" xfId="18113"/>
    <cellStyle name="RowTitles-Detail 2 3 2 3 3 5" xfId="18114"/>
    <cellStyle name="RowTitles-Detail 2 3 2 3 3 5 2" xfId="18115"/>
    <cellStyle name="RowTitles-Detail 2 3 2 3 3 5_Tertiary Salaries Survey" xfId="18116"/>
    <cellStyle name="RowTitles-Detail 2 3 2 3 3 6" xfId="18117"/>
    <cellStyle name="RowTitles-Detail 2 3 2 3 3_Tertiary Salaries Survey" xfId="18118"/>
    <cellStyle name="RowTitles-Detail 2 3 2 3 4" xfId="18119"/>
    <cellStyle name="RowTitles-Detail 2 3 2 3 4 2" xfId="18120"/>
    <cellStyle name="RowTitles-Detail 2 3 2 3 4 2 2" xfId="18121"/>
    <cellStyle name="RowTitles-Detail 2 3 2 3 4 2 2 2" xfId="18122"/>
    <cellStyle name="RowTitles-Detail 2 3 2 3 4 2 2_Tertiary Salaries Survey" xfId="18123"/>
    <cellStyle name="RowTitles-Detail 2 3 2 3 4 2 3" xfId="18124"/>
    <cellStyle name="RowTitles-Detail 2 3 2 3 4 2_Tertiary Salaries Survey" xfId="18125"/>
    <cellStyle name="RowTitles-Detail 2 3 2 3 4 3" xfId="18126"/>
    <cellStyle name="RowTitles-Detail 2 3 2 3 4 3 2" xfId="18127"/>
    <cellStyle name="RowTitles-Detail 2 3 2 3 4 3 2 2" xfId="18128"/>
    <cellStyle name="RowTitles-Detail 2 3 2 3 4 3 2_Tertiary Salaries Survey" xfId="18129"/>
    <cellStyle name="RowTitles-Detail 2 3 2 3 4 3 3" xfId="18130"/>
    <cellStyle name="RowTitles-Detail 2 3 2 3 4 3_Tertiary Salaries Survey" xfId="18131"/>
    <cellStyle name="RowTitles-Detail 2 3 2 3 4 4" xfId="18132"/>
    <cellStyle name="RowTitles-Detail 2 3 2 3 4 4 2" xfId="18133"/>
    <cellStyle name="RowTitles-Detail 2 3 2 3 4 4_Tertiary Salaries Survey" xfId="18134"/>
    <cellStyle name="RowTitles-Detail 2 3 2 3 4 5" xfId="18135"/>
    <cellStyle name="RowTitles-Detail 2 3 2 3 4_Tertiary Salaries Survey" xfId="18136"/>
    <cellStyle name="RowTitles-Detail 2 3 2 3 5" xfId="18137"/>
    <cellStyle name="RowTitles-Detail 2 3 2 3 5 2" xfId="18138"/>
    <cellStyle name="RowTitles-Detail 2 3 2 3 5 2 2" xfId="18139"/>
    <cellStyle name="RowTitles-Detail 2 3 2 3 5 2 2 2" xfId="18140"/>
    <cellStyle name="RowTitles-Detail 2 3 2 3 5 2 2_Tertiary Salaries Survey" xfId="18141"/>
    <cellStyle name="RowTitles-Detail 2 3 2 3 5 2 3" xfId="18142"/>
    <cellStyle name="RowTitles-Detail 2 3 2 3 5 2_Tertiary Salaries Survey" xfId="18143"/>
    <cellStyle name="RowTitles-Detail 2 3 2 3 5 3" xfId="18144"/>
    <cellStyle name="RowTitles-Detail 2 3 2 3 5 3 2" xfId="18145"/>
    <cellStyle name="RowTitles-Detail 2 3 2 3 5 3 2 2" xfId="18146"/>
    <cellStyle name="RowTitles-Detail 2 3 2 3 5 3 2_Tertiary Salaries Survey" xfId="18147"/>
    <cellStyle name="RowTitles-Detail 2 3 2 3 5 3 3" xfId="18148"/>
    <cellStyle name="RowTitles-Detail 2 3 2 3 5 3_Tertiary Salaries Survey" xfId="18149"/>
    <cellStyle name="RowTitles-Detail 2 3 2 3 5 4" xfId="18150"/>
    <cellStyle name="RowTitles-Detail 2 3 2 3 5 4 2" xfId="18151"/>
    <cellStyle name="RowTitles-Detail 2 3 2 3 5 4_Tertiary Salaries Survey" xfId="18152"/>
    <cellStyle name="RowTitles-Detail 2 3 2 3 5 5" xfId="18153"/>
    <cellStyle name="RowTitles-Detail 2 3 2 3 5_Tertiary Salaries Survey" xfId="18154"/>
    <cellStyle name="RowTitles-Detail 2 3 2 3 6" xfId="18155"/>
    <cellStyle name="RowTitles-Detail 2 3 2 3 6 2" xfId="18156"/>
    <cellStyle name="RowTitles-Detail 2 3 2 3 6 2 2" xfId="18157"/>
    <cellStyle name="RowTitles-Detail 2 3 2 3 6 2 2 2" xfId="18158"/>
    <cellStyle name="RowTitles-Detail 2 3 2 3 6 2 2_Tertiary Salaries Survey" xfId="18159"/>
    <cellStyle name="RowTitles-Detail 2 3 2 3 6 2 3" xfId="18160"/>
    <cellStyle name="RowTitles-Detail 2 3 2 3 6 2_Tertiary Salaries Survey" xfId="18161"/>
    <cellStyle name="RowTitles-Detail 2 3 2 3 6 3" xfId="18162"/>
    <cellStyle name="RowTitles-Detail 2 3 2 3 6 3 2" xfId="18163"/>
    <cellStyle name="RowTitles-Detail 2 3 2 3 6 3 2 2" xfId="18164"/>
    <cellStyle name="RowTitles-Detail 2 3 2 3 6 3 2_Tertiary Salaries Survey" xfId="18165"/>
    <cellStyle name="RowTitles-Detail 2 3 2 3 6 3 3" xfId="18166"/>
    <cellStyle name="RowTitles-Detail 2 3 2 3 6 3_Tertiary Salaries Survey" xfId="18167"/>
    <cellStyle name="RowTitles-Detail 2 3 2 3 6 4" xfId="18168"/>
    <cellStyle name="RowTitles-Detail 2 3 2 3 6 4 2" xfId="18169"/>
    <cellStyle name="RowTitles-Detail 2 3 2 3 6 4_Tertiary Salaries Survey" xfId="18170"/>
    <cellStyle name="RowTitles-Detail 2 3 2 3 6 5" xfId="18171"/>
    <cellStyle name="RowTitles-Detail 2 3 2 3 6_Tertiary Salaries Survey" xfId="18172"/>
    <cellStyle name="RowTitles-Detail 2 3 2 3 7" xfId="18173"/>
    <cellStyle name="RowTitles-Detail 2 3 2 3 7 2" xfId="18174"/>
    <cellStyle name="RowTitles-Detail 2 3 2 3 7 2 2" xfId="18175"/>
    <cellStyle name="RowTitles-Detail 2 3 2 3 7 2_Tertiary Salaries Survey" xfId="18176"/>
    <cellStyle name="RowTitles-Detail 2 3 2 3 7 3" xfId="18177"/>
    <cellStyle name="RowTitles-Detail 2 3 2 3 7_Tertiary Salaries Survey" xfId="18178"/>
    <cellStyle name="RowTitles-Detail 2 3 2 3 8" xfId="18179"/>
    <cellStyle name="RowTitles-Detail 2 3 2 3 9" xfId="18180"/>
    <cellStyle name="RowTitles-Detail 2 3 2 3_STUD aligned by INSTIT" xfId="18181"/>
    <cellStyle name="RowTitles-Detail 2 3 2 4" xfId="18182"/>
    <cellStyle name="RowTitles-Detail 2 3 2 4 2" xfId="18183"/>
    <cellStyle name="RowTitles-Detail 2 3 2 4 2 2" xfId="18184"/>
    <cellStyle name="RowTitles-Detail 2 3 2 4 2 2 2" xfId="18185"/>
    <cellStyle name="RowTitles-Detail 2 3 2 4 2 2 2 2" xfId="18186"/>
    <cellStyle name="RowTitles-Detail 2 3 2 4 2 2 2_Tertiary Salaries Survey" xfId="18187"/>
    <cellStyle name="RowTitles-Detail 2 3 2 4 2 2 3" xfId="18188"/>
    <cellStyle name="RowTitles-Detail 2 3 2 4 2 2_Tertiary Salaries Survey" xfId="18189"/>
    <cellStyle name="RowTitles-Detail 2 3 2 4 2 3" xfId="18190"/>
    <cellStyle name="RowTitles-Detail 2 3 2 4 2 3 2" xfId="18191"/>
    <cellStyle name="RowTitles-Detail 2 3 2 4 2 3 2 2" xfId="18192"/>
    <cellStyle name="RowTitles-Detail 2 3 2 4 2 3 2_Tertiary Salaries Survey" xfId="18193"/>
    <cellStyle name="RowTitles-Detail 2 3 2 4 2 3 3" xfId="18194"/>
    <cellStyle name="RowTitles-Detail 2 3 2 4 2 3_Tertiary Salaries Survey" xfId="18195"/>
    <cellStyle name="RowTitles-Detail 2 3 2 4 2 4" xfId="18196"/>
    <cellStyle name="RowTitles-Detail 2 3 2 4 2 5" xfId="18197"/>
    <cellStyle name="RowTitles-Detail 2 3 2 4 2 5 2" xfId="18198"/>
    <cellStyle name="RowTitles-Detail 2 3 2 4 2 5_Tertiary Salaries Survey" xfId="18199"/>
    <cellStyle name="RowTitles-Detail 2 3 2 4 2 6" xfId="18200"/>
    <cellStyle name="RowTitles-Detail 2 3 2 4 2_Tertiary Salaries Survey" xfId="18201"/>
    <cellStyle name="RowTitles-Detail 2 3 2 4 3" xfId="18202"/>
    <cellStyle name="RowTitles-Detail 2 3 2 4 3 2" xfId="18203"/>
    <cellStyle name="RowTitles-Detail 2 3 2 4 3 2 2" xfId="18204"/>
    <cellStyle name="RowTitles-Detail 2 3 2 4 3 2 2 2" xfId="18205"/>
    <cellStyle name="RowTitles-Detail 2 3 2 4 3 2 2_Tertiary Salaries Survey" xfId="18206"/>
    <cellStyle name="RowTitles-Detail 2 3 2 4 3 2 3" xfId="18207"/>
    <cellStyle name="RowTitles-Detail 2 3 2 4 3 2_Tertiary Salaries Survey" xfId="18208"/>
    <cellStyle name="RowTitles-Detail 2 3 2 4 3 3" xfId="18209"/>
    <cellStyle name="RowTitles-Detail 2 3 2 4 3 3 2" xfId="18210"/>
    <cellStyle name="RowTitles-Detail 2 3 2 4 3 3 2 2" xfId="18211"/>
    <cellStyle name="RowTitles-Detail 2 3 2 4 3 3 2_Tertiary Salaries Survey" xfId="18212"/>
    <cellStyle name="RowTitles-Detail 2 3 2 4 3 3 3" xfId="18213"/>
    <cellStyle name="RowTitles-Detail 2 3 2 4 3 3_Tertiary Salaries Survey" xfId="18214"/>
    <cellStyle name="RowTitles-Detail 2 3 2 4 3 4" xfId="18215"/>
    <cellStyle name="RowTitles-Detail 2 3 2 4 3 5" xfId="18216"/>
    <cellStyle name="RowTitles-Detail 2 3 2 4 3_Tertiary Salaries Survey" xfId="18217"/>
    <cellStyle name="RowTitles-Detail 2 3 2 4 4" xfId="18218"/>
    <cellStyle name="RowTitles-Detail 2 3 2 4 4 2" xfId="18219"/>
    <cellStyle name="RowTitles-Detail 2 3 2 4 4 2 2" xfId="18220"/>
    <cellStyle name="RowTitles-Detail 2 3 2 4 4 2 2 2" xfId="18221"/>
    <cellStyle name="RowTitles-Detail 2 3 2 4 4 2 2_Tertiary Salaries Survey" xfId="18222"/>
    <cellStyle name="RowTitles-Detail 2 3 2 4 4 2 3" xfId="18223"/>
    <cellStyle name="RowTitles-Detail 2 3 2 4 4 2_Tertiary Salaries Survey" xfId="18224"/>
    <cellStyle name="RowTitles-Detail 2 3 2 4 4 3" xfId="18225"/>
    <cellStyle name="RowTitles-Detail 2 3 2 4 4 3 2" xfId="18226"/>
    <cellStyle name="RowTitles-Detail 2 3 2 4 4 3 2 2" xfId="18227"/>
    <cellStyle name="RowTitles-Detail 2 3 2 4 4 3 2_Tertiary Salaries Survey" xfId="18228"/>
    <cellStyle name="RowTitles-Detail 2 3 2 4 4 3 3" xfId="18229"/>
    <cellStyle name="RowTitles-Detail 2 3 2 4 4 3_Tertiary Salaries Survey" xfId="18230"/>
    <cellStyle name="RowTitles-Detail 2 3 2 4 4 4" xfId="18231"/>
    <cellStyle name="RowTitles-Detail 2 3 2 4 4 4 2" xfId="18232"/>
    <cellStyle name="RowTitles-Detail 2 3 2 4 4 4_Tertiary Salaries Survey" xfId="18233"/>
    <cellStyle name="RowTitles-Detail 2 3 2 4 4 5" xfId="18234"/>
    <cellStyle name="RowTitles-Detail 2 3 2 4 4_Tertiary Salaries Survey" xfId="18235"/>
    <cellStyle name="RowTitles-Detail 2 3 2 4 5" xfId="18236"/>
    <cellStyle name="RowTitles-Detail 2 3 2 4 5 2" xfId="18237"/>
    <cellStyle name="RowTitles-Detail 2 3 2 4 5 2 2" xfId="18238"/>
    <cellStyle name="RowTitles-Detail 2 3 2 4 5 2 2 2" xfId="18239"/>
    <cellStyle name="RowTitles-Detail 2 3 2 4 5 2 2_Tertiary Salaries Survey" xfId="18240"/>
    <cellStyle name="RowTitles-Detail 2 3 2 4 5 2 3" xfId="18241"/>
    <cellStyle name="RowTitles-Detail 2 3 2 4 5 2_Tertiary Salaries Survey" xfId="18242"/>
    <cellStyle name="RowTitles-Detail 2 3 2 4 5 3" xfId="18243"/>
    <cellStyle name="RowTitles-Detail 2 3 2 4 5 3 2" xfId="18244"/>
    <cellStyle name="RowTitles-Detail 2 3 2 4 5 3 2 2" xfId="18245"/>
    <cellStyle name="RowTitles-Detail 2 3 2 4 5 3 2_Tertiary Salaries Survey" xfId="18246"/>
    <cellStyle name="RowTitles-Detail 2 3 2 4 5 3 3" xfId="18247"/>
    <cellStyle name="RowTitles-Detail 2 3 2 4 5 3_Tertiary Salaries Survey" xfId="18248"/>
    <cellStyle name="RowTitles-Detail 2 3 2 4 5 4" xfId="18249"/>
    <cellStyle name="RowTitles-Detail 2 3 2 4 5 4 2" xfId="18250"/>
    <cellStyle name="RowTitles-Detail 2 3 2 4 5 4_Tertiary Salaries Survey" xfId="18251"/>
    <cellStyle name="RowTitles-Detail 2 3 2 4 5 5" xfId="18252"/>
    <cellStyle name="RowTitles-Detail 2 3 2 4 5_Tertiary Salaries Survey" xfId="18253"/>
    <cellStyle name="RowTitles-Detail 2 3 2 4 6" xfId="18254"/>
    <cellStyle name="RowTitles-Detail 2 3 2 4 6 2" xfId="18255"/>
    <cellStyle name="RowTitles-Detail 2 3 2 4 6 2 2" xfId="18256"/>
    <cellStyle name="RowTitles-Detail 2 3 2 4 6 2 2 2" xfId="18257"/>
    <cellStyle name="RowTitles-Detail 2 3 2 4 6 2 2_Tertiary Salaries Survey" xfId="18258"/>
    <cellStyle name="RowTitles-Detail 2 3 2 4 6 2 3" xfId="18259"/>
    <cellStyle name="RowTitles-Detail 2 3 2 4 6 2_Tertiary Salaries Survey" xfId="18260"/>
    <cellStyle name="RowTitles-Detail 2 3 2 4 6 3" xfId="18261"/>
    <cellStyle name="RowTitles-Detail 2 3 2 4 6 3 2" xfId="18262"/>
    <cellStyle name="RowTitles-Detail 2 3 2 4 6 3 2 2" xfId="18263"/>
    <cellStyle name="RowTitles-Detail 2 3 2 4 6 3 2_Tertiary Salaries Survey" xfId="18264"/>
    <cellStyle name="RowTitles-Detail 2 3 2 4 6 3 3" xfId="18265"/>
    <cellStyle name="RowTitles-Detail 2 3 2 4 6 3_Tertiary Salaries Survey" xfId="18266"/>
    <cellStyle name="RowTitles-Detail 2 3 2 4 6 4" xfId="18267"/>
    <cellStyle name="RowTitles-Detail 2 3 2 4 6 4 2" xfId="18268"/>
    <cellStyle name="RowTitles-Detail 2 3 2 4 6 4_Tertiary Salaries Survey" xfId="18269"/>
    <cellStyle name="RowTitles-Detail 2 3 2 4 6 5" xfId="18270"/>
    <cellStyle name="RowTitles-Detail 2 3 2 4 6_Tertiary Salaries Survey" xfId="18271"/>
    <cellStyle name="RowTitles-Detail 2 3 2 4 7" xfId="18272"/>
    <cellStyle name="RowTitles-Detail 2 3 2 4 7 2" xfId="18273"/>
    <cellStyle name="RowTitles-Detail 2 3 2 4 7 2 2" xfId="18274"/>
    <cellStyle name="RowTitles-Detail 2 3 2 4 7 2_Tertiary Salaries Survey" xfId="18275"/>
    <cellStyle name="RowTitles-Detail 2 3 2 4 7 3" xfId="18276"/>
    <cellStyle name="RowTitles-Detail 2 3 2 4 7_Tertiary Salaries Survey" xfId="18277"/>
    <cellStyle name="RowTitles-Detail 2 3 2 4 8" xfId="18278"/>
    <cellStyle name="RowTitles-Detail 2 3 2 4 8 2" xfId="18279"/>
    <cellStyle name="RowTitles-Detail 2 3 2 4 8 2 2" xfId="18280"/>
    <cellStyle name="RowTitles-Detail 2 3 2 4 8 2_Tertiary Salaries Survey" xfId="18281"/>
    <cellStyle name="RowTitles-Detail 2 3 2 4 8 3" xfId="18282"/>
    <cellStyle name="RowTitles-Detail 2 3 2 4 8_Tertiary Salaries Survey" xfId="18283"/>
    <cellStyle name="RowTitles-Detail 2 3 2 4 9" xfId="18284"/>
    <cellStyle name="RowTitles-Detail 2 3 2 4_STUD aligned by INSTIT" xfId="18285"/>
    <cellStyle name="RowTitles-Detail 2 3 2 5" xfId="18286"/>
    <cellStyle name="RowTitles-Detail 2 3 2 5 2" xfId="18287"/>
    <cellStyle name="RowTitles-Detail 2 3 2 5 2 2" xfId="18288"/>
    <cellStyle name="RowTitles-Detail 2 3 2 5 2 2 2" xfId="18289"/>
    <cellStyle name="RowTitles-Detail 2 3 2 5 2 2 2 2" xfId="18290"/>
    <cellStyle name="RowTitles-Detail 2 3 2 5 2 2 2_Tertiary Salaries Survey" xfId="18291"/>
    <cellStyle name="RowTitles-Detail 2 3 2 5 2 2 3" xfId="18292"/>
    <cellStyle name="RowTitles-Detail 2 3 2 5 2 2_Tertiary Salaries Survey" xfId="18293"/>
    <cellStyle name="RowTitles-Detail 2 3 2 5 2 3" xfId="18294"/>
    <cellStyle name="RowTitles-Detail 2 3 2 5 2 3 2" xfId="18295"/>
    <cellStyle name="RowTitles-Detail 2 3 2 5 2 3 2 2" xfId="18296"/>
    <cellStyle name="RowTitles-Detail 2 3 2 5 2 3 2_Tertiary Salaries Survey" xfId="18297"/>
    <cellStyle name="RowTitles-Detail 2 3 2 5 2 3 3" xfId="18298"/>
    <cellStyle name="RowTitles-Detail 2 3 2 5 2 3_Tertiary Salaries Survey" xfId="18299"/>
    <cellStyle name="RowTitles-Detail 2 3 2 5 2 4" xfId="18300"/>
    <cellStyle name="RowTitles-Detail 2 3 2 5 2 5" xfId="18301"/>
    <cellStyle name="RowTitles-Detail 2 3 2 5 2 5 2" xfId="18302"/>
    <cellStyle name="RowTitles-Detail 2 3 2 5 2 5_Tertiary Salaries Survey" xfId="18303"/>
    <cellStyle name="RowTitles-Detail 2 3 2 5 2 6" xfId="18304"/>
    <cellStyle name="RowTitles-Detail 2 3 2 5 2_Tertiary Salaries Survey" xfId="18305"/>
    <cellStyle name="RowTitles-Detail 2 3 2 5 3" xfId="18306"/>
    <cellStyle name="RowTitles-Detail 2 3 2 5 3 2" xfId="18307"/>
    <cellStyle name="RowTitles-Detail 2 3 2 5 3 2 2" xfId="18308"/>
    <cellStyle name="RowTitles-Detail 2 3 2 5 3 2 2 2" xfId="18309"/>
    <cellStyle name="RowTitles-Detail 2 3 2 5 3 2 2_Tertiary Salaries Survey" xfId="18310"/>
    <cellStyle name="RowTitles-Detail 2 3 2 5 3 2 3" xfId="18311"/>
    <cellStyle name="RowTitles-Detail 2 3 2 5 3 2_Tertiary Salaries Survey" xfId="18312"/>
    <cellStyle name="RowTitles-Detail 2 3 2 5 3 3" xfId="18313"/>
    <cellStyle name="RowTitles-Detail 2 3 2 5 3 3 2" xfId="18314"/>
    <cellStyle name="RowTitles-Detail 2 3 2 5 3 3 2 2" xfId="18315"/>
    <cellStyle name="RowTitles-Detail 2 3 2 5 3 3 2_Tertiary Salaries Survey" xfId="18316"/>
    <cellStyle name="RowTitles-Detail 2 3 2 5 3 3 3" xfId="18317"/>
    <cellStyle name="RowTitles-Detail 2 3 2 5 3 3_Tertiary Salaries Survey" xfId="18318"/>
    <cellStyle name="RowTitles-Detail 2 3 2 5 3 4" xfId="18319"/>
    <cellStyle name="RowTitles-Detail 2 3 2 5 3 5" xfId="18320"/>
    <cellStyle name="RowTitles-Detail 2 3 2 5 3_Tertiary Salaries Survey" xfId="18321"/>
    <cellStyle name="RowTitles-Detail 2 3 2 5 4" xfId="18322"/>
    <cellStyle name="RowTitles-Detail 2 3 2 5 4 2" xfId="18323"/>
    <cellStyle name="RowTitles-Detail 2 3 2 5 4 2 2" xfId="18324"/>
    <cellStyle name="RowTitles-Detail 2 3 2 5 4 2 2 2" xfId="18325"/>
    <cellStyle name="RowTitles-Detail 2 3 2 5 4 2 2_Tertiary Salaries Survey" xfId="18326"/>
    <cellStyle name="RowTitles-Detail 2 3 2 5 4 2 3" xfId="18327"/>
    <cellStyle name="RowTitles-Detail 2 3 2 5 4 2_Tertiary Salaries Survey" xfId="18328"/>
    <cellStyle name="RowTitles-Detail 2 3 2 5 4 3" xfId="18329"/>
    <cellStyle name="RowTitles-Detail 2 3 2 5 4 3 2" xfId="18330"/>
    <cellStyle name="RowTitles-Detail 2 3 2 5 4 3 2 2" xfId="18331"/>
    <cellStyle name="RowTitles-Detail 2 3 2 5 4 3 2_Tertiary Salaries Survey" xfId="18332"/>
    <cellStyle name="RowTitles-Detail 2 3 2 5 4 3 3" xfId="18333"/>
    <cellStyle name="RowTitles-Detail 2 3 2 5 4 3_Tertiary Salaries Survey" xfId="18334"/>
    <cellStyle name="RowTitles-Detail 2 3 2 5 4 4" xfId="18335"/>
    <cellStyle name="RowTitles-Detail 2 3 2 5 4 5" xfId="18336"/>
    <cellStyle name="RowTitles-Detail 2 3 2 5 4 5 2" xfId="18337"/>
    <cellStyle name="RowTitles-Detail 2 3 2 5 4 5_Tertiary Salaries Survey" xfId="18338"/>
    <cellStyle name="RowTitles-Detail 2 3 2 5 4 6" xfId="18339"/>
    <cellStyle name="RowTitles-Detail 2 3 2 5 4_Tertiary Salaries Survey" xfId="18340"/>
    <cellStyle name="RowTitles-Detail 2 3 2 5 5" xfId="18341"/>
    <cellStyle name="RowTitles-Detail 2 3 2 5 5 2" xfId="18342"/>
    <cellStyle name="RowTitles-Detail 2 3 2 5 5 2 2" xfId="18343"/>
    <cellStyle name="RowTitles-Detail 2 3 2 5 5 2 2 2" xfId="18344"/>
    <cellStyle name="RowTitles-Detail 2 3 2 5 5 2 2_Tertiary Salaries Survey" xfId="18345"/>
    <cellStyle name="RowTitles-Detail 2 3 2 5 5 2 3" xfId="18346"/>
    <cellStyle name="RowTitles-Detail 2 3 2 5 5 2_Tertiary Salaries Survey" xfId="18347"/>
    <cellStyle name="RowTitles-Detail 2 3 2 5 5 3" xfId="18348"/>
    <cellStyle name="RowTitles-Detail 2 3 2 5 5 3 2" xfId="18349"/>
    <cellStyle name="RowTitles-Detail 2 3 2 5 5 3 2 2" xfId="18350"/>
    <cellStyle name="RowTitles-Detail 2 3 2 5 5 3 2_Tertiary Salaries Survey" xfId="18351"/>
    <cellStyle name="RowTitles-Detail 2 3 2 5 5 3 3" xfId="18352"/>
    <cellStyle name="RowTitles-Detail 2 3 2 5 5 3_Tertiary Salaries Survey" xfId="18353"/>
    <cellStyle name="RowTitles-Detail 2 3 2 5 5 4" xfId="18354"/>
    <cellStyle name="RowTitles-Detail 2 3 2 5 5 4 2" xfId="18355"/>
    <cellStyle name="RowTitles-Detail 2 3 2 5 5 4_Tertiary Salaries Survey" xfId="18356"/>
    <cellStyle name="RowTitles-Detail 2 3 2 5 5 5" xfId="18357"/>
    <cellStyle name="RowTitles-Detail 2 3 2 5 5_Tertiary Salaries Survey" xfId="18358"/>
    <cellStyle name="RowTitles-Detail 2 3 2 5 6" xfId="18359"/>
    <cellStyle name="RowTitles-Detail 2 3 2 5 6 2" xfId="18360"/>
    <cellStyle name="RowTitles-Detail 2 3 2 5 6 2 2" xfId="18361"/>
    <cellStyle name="RowTitles-Detail 2 3 2 5 6 2 2 2" xfId="18362"/>
    <cellStyle name="RowTitles-Detail 2 3 2 5 6 2 2_Tertiary Salaries Survey" xfId="18363"/>
    <cellStyle name="RowTitles-Detail 2 3 2 5 6 2 3" xfId="18364"/>
    <cellStyle name="RowTitles-Detail 2 3 2 5 6 2_Tertiary Salaries Survey" xfId="18365"/>
    <cellStyle name="RowTitles-Detail 2 3 2 5 6 3" xfId="18366"/>
    <cellStyle name="RowTitles-Detail 2 3 2 5 6 3 2" xfId="18367"/>
    <cellStyle name="RowTitles-Detail 2 3 2 5 6 3 2 2" xfId="18368"/>
    <cellStyle name="RowTitles-Detail 2 3 2 5 6 3 2_Tertiary Salaries Survey" xfId="18369"/>
    <cellStyle name="RowTitles-Detail 2 3 2 5 6 3 3" xfId="18370"/>
    <cellStyle name="RowTitles-Detail 2 3 2 5 6 3_Tertiary Salaries Survey" xfId="18371"/>
    <cellStyle name="RowTitles-Detail 2 3 2 5 6 4" xfId="18372"/>
    <cellStyle name="RowTitles-Detail 2 3 2 5 6 4 2" xfId="18373"/>
    <cellStyle name="RowTitles-Detail 2 3 2 5 6 4_Tertiary Salaries Survey" xfId="18374"/>
    <cellStyle name="RowTitles-Detail 2 3 2 5 6 5" xfId="18375"/>
    <cellStyle name="RowTitles-Detail 2 3 2 5 6_Tertiary Salaries Survey" xfId="18376"/>
    <cellStyle name="RowTitles-Detail 2 3 2 5 7" xfId="18377"/>
    <cellStyle name="RowTitles-Detail 2 3 2 5 7 2" xfId="18378"/>
    <cellStyle name="RowTitles-Detail 2 3 2 5 7 2 2" xfId="18379"/>
    <cellStyle name="RowTitles-Detail 2 3 2 5 7 2_Tertiary Salaries Survey" xfId="18380"/>
    <cellStyle name="RowTitles-Detail 2 3 2 5 7 3" xfId="18381"/>
    <cellStyle name="RowTitles-Detail 2 3 2 5 7_Tertiary Salaries Survey" xfId="18382"/>
    <cellStyle name="RowTitles-Detail 2 3 2 5 8" xfId="18383"/>
    <cellStyle name="RowTitles-Detail 2 3 2 5 9" xfId="18384"/>
    <cellStyle name="RowTitles-Detail 2 3 2 5_STUD aligned by INSTIT" xfId="18385"/>
    <cellStyle name="RowTitles-Detail 2 3 2 6" xfId="18386"/>
    <cellStyle name="RowTitles-Detail 2 3 2 6 2" xfId="18387"/>
    <cellStyle name="RowTitles-Detail 2 3 2 6 2 2" xfId="18388"/>
    <cellStyle name="RowTitles-Detail 2 3 2 6 2 2 2" xfId="18389"/>
    <cellStyle name="RowTitles-Detail 2 3 2 6 2 2_Tertiary Salaries Survey" xfId="18390"/>
    <cellStyle name="RowTitles-Detail 2 3 2 6 2 3" xfId="18391"/>
    <cellStyle name="RowTitles-Detail 2 3 2 6 2_Tertiary Salaries Survey" xfId="18392"/>
    <cellStyle name="RowTitles-Detail 2 3 2 6 3" xfId="18393"/>
    <cellStyle name="RowTitles-Detail 2 3 2 6 3 2" xfId="18394"/>
    <cellStyle name="RowTitles-Detail 2 3 2 6 3 2 2" xfId="18395"/>
    <cellStyle name="RowTitles-Detail 2 3 2 6 3 2_Tertiary Salaries Survey" xfId="18396"/>
    <cellStyle name="RowTitles-Detail 2 3 2 6 3 3" xfId="18397"/>
    <cellStyle name="RowTitles-Detail 2 3 2 6 3_Tertiary Salaries Survey" xfId="18398"/>
    <cellStyle name="RowTitles-Detail 2 3 2 6 4" xfId="18399"/>
    <cellStyle name="RowTitles-Detail 2 3 2 6 5" xfId="18400"/>
    <cellStyle name="RowTitles-Detail 2 3 2 6 5 2" xfId="18401"/>
    <cellStyle name="RowTitles-Detail 2 3 2 6 5_Tertiary Salaries Survey" xfId="18402"/>
    <cellStyle name="RowTitles-Detail 2 3 2 6 6" xfId="18403"/>
    <cellStyle name="RowTitles-Detail 2 3 2 6_Tertiary Salaries Survey" xfId="18404"/>
    <cellStyle name="RowTitles-Detail 2 3 2 7" xfId="18405"/>
    <cellStyle name="RowTitles-Detail 2 3 2 7 2" xfId="18406"/>
    <cellStyle name="RowTitles-Detail 2 3 2 7 2 2" xfId="18407"/>
    <cellStyle name="RowTitles-Detail 2 3 2 7 2 2 2" xfId="18408"/>
    <cellStyle name="RowTitles-Detail 2 3 2 7 2 2_Tertiary Salaries Survey" xfId="18409"/>
    <cellStyle name="RowTitles-Detail 2 3 2 7 2 3" xfId="18410"/>
    <cellStyle name="RowTitles-Detail 2 3 2 7 2_Tertiary Salaries Survey" xfId="18411"/>
    <cellStyle name="RowTitles-Detail 2 3 2 7 3" xfId="18412"/>
    <cellStyle name="RowTitles-Detail 2 3 2 7 3 2" xfId="18413"/>
    <cellStyle name="RowTitles-Detail 2 3 2 7 3 2 2" xfId="18414"/>
    <cellStyle name="RowTitles-Detail 2 3 2 7 3 2_Tertiary Salaries Survey" xfId="18415"/>
    <cellStyle name="RowTitles-Detail 2 3 2 7 3 3" xfId="18416"/>
    <cellStyle name="RowTitles-Detail 2 3 2 7 3_Tertiary Salaries Survey" xfId="18417"/>
    <cellStyle name="RowTitles-Detail 2 3 2 7 4" xfId="18418"/>
    <cellStyle name="RowTitles-Detail 2 3 2 7 5" xfId="18419"/>
    <cellStyle name="RowTitles-Detail 2 3 2 7_Tertiary Salaries Survey" xfId="18420"/>
    <cellStyle name="RowTitles-Detail 2 3 2 8" xfId="18421"/>
    <cellStyle name="RowTitles-Detail 2 3 2 8 2" xfId="18422"/>
    <cellStyle name="RowTitles-Detail 2 3 2 8 2 2" xfId="18423"/>
    <cellStyle name="RowTitles-Detail 2 3 2 8 2 2 2" xfId="18424"/>
    <cellStyle name="RowTitles-Detail 2 3 2 8 2 2_Tertiary Salaries Survey" xfId="18425"/>
    <cellStyle name="RowTitles-Detail 2 3 2 8 2 3" xfId="18426"/>
    <cellStyle name="RowTitles-Detail 2 3 2 8 2_Tertiary Salaries Survey" xfId="18427"/>
    <cellStyle name="RowTitles-Detail 2 3 2 8 3" xfId="18428"/>
    <cellStyle name="RowTitles-Detail 2 3 2 8 3 2" xfId="18429"/>
    <cellStyle name="RowTitles-Detail 2 3 2 8 3 2 2" xfId="18430"/>
    <cellStyle name="RowTitles-Detail 2 3 2 8 3 2_Tertiary Salaries Survey" xfId="18431"/>
    <cellStyle name="RowTitles-Detail 2 3 2 8 3 3" xfId="18432"/>
    <cellStyle name="RowTitles-Detail 2 3 2 8 3_Tertiary Salaries Survey" xfId="18433"/>
    <cellStyle name="RowTitles-Detail 2 3 2 8 4" xfId="18434"/>
    <cellStyle name="RowTitles-Detail 2 3 2 8 5" xfId="18435"/>
    <cellStyle name="RowTitles-Detail 2 3 2 8 5 2" xfId="18436"/>
    <cellStyle name="RowTitles-Detail 2 3 2 8 5_Tertiary Salaries Survey" xfId="18437"/>
    <cellStyle name="RowTitles-Detail 2 3 2 8 6" xfId="18438"/>
    <cellStyle name="RowTitles-Detail 2 3 2 8_Tertiary Salaries Survey" xfId="18439"/>
    <cellStyle name="RowTitles-Detail 2 3 2 9" xfId="18440"/>
    <cellStyle name="RowTitles-Detail 2 3 2 9 2" xfId="18441"/>
    <cellStyle name="RowTitles-Detail 2 3 2 9 2 2" xfId="18442"/>
    <cellStyle name="RowTitles-Detail 2 3 2 9 2 2 2" xfId="18443"/>
    <cellStyle name="RowTitles-Detail 2 3 2 9 2 2_Tertiary Salaries Survey" xfId="18444"/>
    <cellStyle name="RowTitles-Detail 2 3 2 9 2 3" xfId="18445"/>
    <cellStyle name="RowTitles-Detail 2 3 2 9 2_Tertiary Salaries Survey" xfId="18446"/>
    <cellStyle name="RowTitles-Detail 2 3 2 9 3" xfId="18447"/>
    <cellStyle name="RowTitles-Detail 2 3 2 9 3 2" xfId="18448"/>
    <cellStyle name="RowTitles-Detail 2 3 2 9 3 2 2" xfId="18449"/>
    <cellStyle name="RowTitles-Detail 2 3 2 9 3 2_Tertiary Salaries Survey" xfId="18450"/>
    <cellStyle name="RowTitles-Detail 2 3 2 9 3 3" xfId="18451"/>
    <cellStyle name="RowTitles-Detail 2 3 2 9 3_Tertiary Salaries Survey" xfId="18452"/>
    <cellStyle name="RowTitles-Detail 2 3 2 9 4" xfId="18453"/>
    <cellStyle name="RowTitles-Detail 2 3 2 9 4 2" xfId="18454"/>
    <cellStyle name="RowTitles-Detail 2 3 2 9 4_Tertiary Salaries Survey" xfId="18455"/>
    <cellStyle name="RowTitles-Detail 2 3 2 9 5" xfId="18456"/>
    <cellStyle name="RowTitles-Detail 2 3 2 9_Tertiary Salaries Survey" xfId="18457"/>
    <cellStyle name="RowTitles-Detail 2 3 2_STUD aligned by INSTIT" xfId="18458"/>
    <cellStyle name="RowTitles-Detail 2 3 3" xfId="18459"/>
    <cellStyle name="RowTitles-Detail 2 3 3 10" xfId="18460"/>
    <cellStyle name="RowTitles-Detail 2 3 3 10 2" xfId="18461"/>
    <cellStyle name="RowTitles-Detail 2 3 3 10 2 2" xfId="18462"/>
    <cellStyle name="RowTitles-Detail 2 3 3 10 2_Tertiary Salaries Survey" xfId="18463"/>
    <cellStyle name="RowTitles-Detail 2 3 3 10 3" xfId="18464"/>
    <cellStyle name="RowTitles-Detail 2 3 3 10_Tertiary Salaries Survey" xfId="18465"/>
    <cellStyle name="RowTitles-Detail 2 3 3 11" xfId="18466"/>
    <cellStyle name="RowTitles-Detail 2 3 3 12" xfId="18467"/>
    <cellStyle name="RowTitles-Detail 2 3 3 2" xfId="18468"/>
    <cellStyle name="RowTitles-Detail 2 3 3 2 2" xfId="18469"/>
    <cellStyle name="RowTitles-Detail 2 3 3 2 2 2" xfId="18470"/>
    <cellStyle name="RowTitles-Detail 2 3 3 2 2 2 2" xfId="18471"/>
    <cellStyle name="RowTitles-Detail 2 3 3 2 2 2 2 2" xfId="18472"/>
    <cellStyle name="RowTitles-Detail 2 3 3 2 2 2 2_Tertiary Salaries Survey" xfId="18473"/>
    <cellStyle name="RowTitles-Detail 2 3 3 2 2 2 3" xfId="18474"/>
    <cellStyle name="RowTitles-Detail 2 3 3 2 2 2_Tertiary Salaries Survey" xfId="18475"/>
    <cellStyle name="RowTitles-Detail 2 3 3 2 2 3" xfId="18476"/>
    <cellStyle name="RowTitles-Detail 2 3 3 2 2 3 2" xfId="18477"/>
    <cellStyle name="RowTitles-Detail 2 3 3 2 2 3 2 2" xfId="18478"/>
    <cellStyle name="RowTitles-Detail 2 3 3 2 2 3 2_Tertiary Salaries Survey" xfId="18479"/>
    <cellStyle name="RowTitles-Detail 2 3 3 2 2 3 3" xfId="18480"/>
    <cellStyle name="RowTitles-Detail 2 3 3 2 2 3_Tertiary Salaries Survey" xfId="18481"/>
    <cellStyle name="RowTitles-Detail 2 3 3 2 2 4" xfId="18482"/>
    <cellStyle name="RowTitles-Detail 2 3 3 2 2 5" xfId="18483"/>
    <cellStyle name="RowTitles-Detail 2 3 3 2 2_Tertiary Salaries Survey" xfId="18484"/>
    <cellStyle name="RowTitles-Detail 2 3 3 2 3" xfId="18485"/>
    <cellStyle name="RowTitles-Detail 2 3 3 2 3 2" xfId="18486"/>
    <cellStyle name="RowTitles-Detail 2 3 3 2 3 2 2" xfId="18487"/>
    <cellStyle name="RowTitles-Detail 2 3 3 2 3 2 2 2" xfId="18488"/>
    <cellStyle name="RowTitles-Detail 2 3 3 2 3 2 2_Tertiary Salaries Survey" xfId="18489"/>
    <cellStyle name="RowTitles-Detail 2 3 3 2 3 2 3" xfId="18490"/>
    <cellStyle name="RowTitles-Detail 2 3 3 2 3 2_Tertiary Salaries Survey" xfId="18491"/>
    <cellStyle name="RowTitles-Detail 2 3 3 2 3 3" xfId="18492"/>
    <cellStyle name="RowTitles-Detail 2 3 3 2 3 3 2" xfId="18493"/>
    <cellStyle name="RowTitles-Detail 2 3 3 2 3 3 2 2" xfId="18494"/>
    <cellStyle name="RowTitles-Detail 2 3 3 2 3 3 2_Tertiary Salaries Survey" xfId="18495"/>
    <cellStyle name="RowTitles-Detail 2 3 3 2 3 3 3" xfId="18496"/>
    <cellStyle name="RowTitles-Detail 2 3 3 2 3 3_Tertiary Salaries Survey" xfId="18497"/>
    <cellStyle name="RowTitles-Detail 2 3 3 2 3 4" xfId="18498"/>
    <cellStyle name="RowTitles-Detail 2 3 3 2 3 5" xfId="18499"/>
    <cellStyle name="RowTitles-Detail 2 3 3 2 3 5 2" xfId="18500"/>
    <cellStyle name="RowTitles-Detail 2 3 3 2 3 5_Tertiary Salaries Survey" xfId="18501"/>
    <cellStyle name="RowTitles-Detail 2 3 3 2 3 6" xfId="18502"/>
    <cellStyle name="RowTitles-Detail 2 3 3 2 3_Tertiary Salaries Survey" xfId="18503"/>
    <cellStyle name="RowTitles-Detail 2 3 3 2 4" xfId="18504"/>
    <cellStyle name="RowTitles-Detail 2 3 3 2 4 2" xfId="18505"/>
    <cellStyle name="RowTitles-Detail 2 3 3 2 4 2 2" xfId="18506"/>
    <cellStyle name="RowTitles-Detail 2 3 3 2 4 2 2 2" xfId="18507"/>
    <cellStyle name="RowTitles-Detail 2 3 3 2 4 2 2_Tertiary Salaries Survey" xfId="18508"/>
    <cellStyle name="RowTitles-Detail 2 3 3 2 4 2 3" xfId="18509"/>
    <cellStyle name="RowTitles-Detail 2 3 3 2 4 2_Tertiary Salaries Survey" xfId="18510"/>
    <cellStyle name="RowTitles-Detail 2 3 3 2 4 3" xfId="18511"/>
    <cellStyle name="RowTitles-Detail 2 3 3 2 4 3 2" xfId="18512"/>
    <cellStyle name="RowTitles-Detail 2 3 3 2 4 3 2 2" xfId="18513"/>
    <cellStyle name="RowTitles-Detail 2 3 3 2 4 3 2_Tertiary Salaries Survey" xfId="18514"/>
    <cellStyle name="RowTitles-Detail 2 3 3 2 4 3 3" xfId="18515"/>
    <cellStyle name="RowTitles-Detail 2 3 3 2 4 3_Tertiary Salaries Survey" xfId="18516"/>
    <cellStyle name="RowTitles-Detail 2 3 3 2 4 4" xfId="18517"/>
    <cellStyle name="RowTitles-Detail 2 3 3 2 4 4 2" xfId="18518"/>
    <cellStyle name="RowTitles-Detail 2 3 3 2 4 4_Tertiary Salaries Survey" xfId="18519"/>
    <cellStyle name="RowTitles-Detail 2 3 3 2 4 5" xfId="18520"/>
    <cellStyle name="RowTitles-Detail 2 3 3 2 4_Tertiary Salaries Survey" xfId="18521"/>
    <cellStyle name="RowTitles-Detail 2 3 3 2 5" xfId="18522"/>
    <cellStyle name="RowTitles-Detail 2 3 3 2 5 2" xfId="18523"/>
    <cellStyle name="RowTitles-Detail 2 3 3 2 5 2 2" xfId="18524"/>
    <cellStyle name="RowTitles-Detail 2 3 3 2 5 2 2 2" xfId="18525"/>
    <cellStyle name="RowTitles-Detail 2 3 3 2 5 2 2_Tertiary Salaries Survey" xfId="18526"/>
    <cellStyle name="RowTitles-Detail 2 3 3 2 5 2 3" xfId="18527"/>
    <cellStyle name="RowTitles-Detail 2 3 3 2 5 2_Tertiary Salaries Survey" xfId="18528"/>
    <cellStyle name="RowTitles-Detail 2 3 3 2 5 3" xfId="18529"/>
    <cellStyle name="RowTitles-Detail 2 3 3 2 5 3 2" xfId="18530"/>
    <cellStyle name="RowTitles-Detail 2 3 3 2 5 3 2 2" xfId="18531"/>
    <cellStyle name="RowTitles-Detail 2 3 3 2 5 3 2_Tertiary Salaries Survey" xfId="18532"/>
    <cellStyle name="RowTitles-Detail 2 3 3 2 5 3 3" xfId="18533"/>
    <cellStyle name="RowTitles-Detail 2 3 3 2 5 3_Tertiary Salaries Survey" xfId="18534"/>
    <cellStyle name="RowTitles-Detail 2 3 3 2 5 4" xfId="18535"/>
    <cellStyle name="RowTitles-Detail 2 3 3 2 5 4 2" xfId="18536"/>
    <cellStyle name="RowTitles-Detail 2 3 3 2 5 4_Tertiary Salaries Survey" xfId="18537"/>
    <cellStyle name="RowTitles-Detail 2 3 3 2 5 5" xfId="18538"/>
    <cellStyle name="RowTitles-Detail 2 3 3 2 5_Tertiary Salaries Survey" xfId="18539"/>
    <cellStyle name="RowTitles-Detail 2 3 3 2 6" xfId="18540"/>
    <cellStyle name="RowTitles-Detail 2 3 3 2 6 2" xfId="18541"/>
    <cellStyle name="RowTitles-Detail 2 3 3 2 6 2 2" xfId="18542"/>
    <cellStyle name="RowTitles-Detail 2 3 3 2 6 2 2 2" xfId="18543"/>
    <cellStyle name="RowTitles-Detail 2 3 3 2 6 2 2_Tertiary Salaries Survey" xfId="18544"/>
    <cellStyle name="RowTitles-Detail 2 3 3 2 6 2 3" xfId="18545"/>
    <cellStyle name="RowTitles-Detail 2 3 3 2 6 2_Tertiary Salaries Survey" xfId="18546"/>
    <cellStyle name="RowTitles-Detail 2 3 3 2 6 3" xfId="18547"/>
    <cellStyle name="RowTitles-Detail 2 3 3 2 6 3 2" xfId="18548"/>
    <cellStyle name="RowTitles-Detail 2 3 3 2 6 3 2 2" xfId="18549"/>
    <cellStyle name="RowTitles-Detail 2 3 3 2 6 3 2_Tertiary Salaries Survey" xfId="18550"/>
    <cellStyle name="RowTitles-Detail 2 3 3 2 6 3 3" xfId="18551"/>
    <cellStyle name="RowTitles-Detail 2 3 3 2 6 3_Tertiary Salaries Survey" xfId="18552"/>
    <cellStyle name="RowTitles-Detail 2 3 3 2 6 4" xfId="18553"/>
    <cellStyle name="RowTitles-Detail 2 3 3 2 6 4 2" xfId="18554"/>
    <cellStyle name="RowTitles-Detail 2 3 3 2 6 4_Tertiary Salaries Survey" xfId="18555"/>
    <cellStyle name="RowTitles-Detail 2 3 3 2 6 5" xfId="18556"/>
    <cellStyle name="RowTitles-Detail 2 3 3 2 6_Tertiary Salaries Survey" xfId="18557"/>
    <cellStyle name="RowTitles-Detail 2 3 3 2 7" xfId="18558"/>
    <cellStyle name="RowTitles-Detail 2 3 3 2 7 2" xfId="18559"/>
    <cellStyle name="RowTitles-Detail 2 3 3 2 7 2 2" xfId="18560"/>
    <cellStyle name="RowTitles-Detail 2 3 3 2 7 2_Tertiary Salaries Survey" xfId="18561"/>
    <cellStyle name="RowTitles-Detail 2 3 3 2 7 3" xfId="18562"/>
    <cellStyle name="RowTitles-Detail 2 3 3 2 7_Tertiary Salaries Survey" xfId="18563"/>
    <cellStyle name="RowTitles-Detail 2 3 3 2 8" xfId="18564"/>
    <cellStyle name="RowTitles-Detail 2 3 3 2 9" xfId="18565"/>
    <cellStyle name="RowTitles-Detail 2 3 3 2_STUD aligned by INSTIT" xfId="18566"/>
    <cellStyle name="RowTitles-Detail 2 3 3 3" xfId="18567"/>
    <cellStyle name="RowTitles-Detail 2 3 3 3 2" xfId="18568"/>
    <cellStyle name="RowTitles-Detail 2 3 3 3 2 2" xfId="18569"/>
    <cellStyle name="RowTitles-Detail 2 3 3 3 2 2 2" xfId="18570"/>
    <cellStyle name="RowTitles-Detail 2 3 3 3 2 2 2 2" xfId="18571"/>
    <cellStyle name="RowTitles-Detail 2 3 3 3 2 2 2_Tertiary Salaries Survey" xfId="18572"/>
    <cellStyle name="RowTitles-Detail 2 3 3 3 2 2 3" xfId="18573"/>
    <cellStyle name="RowTitles-Detail 2 3 3 3 2 2_Tertiary Salaries Survey" xfId="18574"/>
    <cellStyle name="RowTitles-Detail 2 3 3 3 2 3" xfId="18575"/>
    <cellStyle name="RowTitles-Detail 2 3 3 3 2 3 2" xfId="18576"/>
    <cellStyle name="RowTitles-Detail 2 3 3 3 2 3 2 2" xfId="18577"/>
    <cellStyle name="RowTitles-Detail 2 3 3 3 2 3 2_Tertiary Salaries Survey" xfId="18578"/>
    <cellStyle name="RowTitles-Detail 2 3 3 3 2 3 3" xfId="18579"/>
    <cellStyle name="RowTitles-Detail 2 3 3 3 2 3_Tertiary Salaries Survey" xfId="18580"/>
    <cellStyle name="RowTitles-Detail 2 3 3 3 2 4" xfId="18581"/>
    <cellStyle name="RowTitles-Detail 2 3 3 3 2 5" xfId="18582"/>
    <cellStyle name="RowTitles-Detail 2 3 3 3 2 5 2" xfId="18583"/>
    <cellStyle name="RowTitles-Detail 2 3 3 3 2 5_Tertiary Salaries Survey" xfId="18584"/>
    <cellStyle name="RowTitles-Detail 2 3 3 3 2 6" xfId="18585"/>
    <cellStyle name="RowTitles-Detail 2 3 3 3 2_Tertiary Salaries Survey" xfId="18586"/>
    <cellStyle name="RowTitles-Detail 2 3 3 3 3" xfId="18587"/>
    <cellStyle name="RowTitles-Detail 2 3 3 3 3 2" xfId="18588"/>
    <cellStyle name="RowTitles-Detail 2 3 3 3 3 2 2" xfId="18589"/>
    <cellStyle name="RowTitles-Detail 2 3 3 3 3 2 2 2" xfId="18590"/>
    <cellStyle name="RowTitles-Detail 2 3 3 3 3 2 2_Tertiary Salaries Survey" xfId="18591"/>
    <cellStyle name="RowTitles-Detail 2 3 3 3 3 2 3" xfId="18592"/>
    <cellStyle name="RowTitles-Detail 2 3 3 3 3 2_Tertiary Salaries Survey" xfId="18593"/>
    <cellStyle name="RowTitles-Detail 2 3 3 3 3 3" xfId="18594"/>
    <cellStyle name="RowTitles-Detail 2 3 3 3 3 3 2" xfId="18595"/>
    <cellStyle name="RowTitles-Detail 2 3 3 3 3 3 2 2" xfId="18596"/>
    <cellStyle name="RowTitles-Detail 2 3 3 3 3 3 2_Tertiary Salaries Survey" xfId="18597"/>
    <cellStyle name="RowTitles-Detail 2 3 3 3 3 3 3" xfId="18598"/>
    <cellStyle name="RowTitles-Detail 2 3 3 3 3 3_Tertiary Salaries Survey" xfId="18599"/>
    <cellStyle name="RowTitles-Detail 2 3 3 3 3 4" xfId="18600"/>
    <cellStyle name="RowTitles-Detail 2 3 3 3 3 5" xfId="18601"/>
    <cellStyle name="RowTitles-Detail 2 3 3 3 3_Tertiary Salaries Survey" xfId="18602"/>
    <cellStyle name="RowTitles-Detail 2 3 3 3 4" xfId="18603"/>
    <cellStyle name="RowTitles-Detail 2 3 3 3 4 2" xfId="18604"/>
    <cellStyle name="RowTitles-Detail 2 3 3 3 4 2 2" xfId="18605"/>
    <cellStyle name="RowTitles-Detail 2 3 3 3 4 2 2 2" xfId="18606"/>
    <cellStyle name="RowTitles-Detail 2 3 3 3 4 2 2_Tertiary Salaries Survey" xfId="18607"/>
    <cellStyle name="RowTitles-Detail 2 3 3 3 4 2 3" xfId="18608"/>
    <cellStyle name="RowTitles-Detail 2 3 3 3 4 2_Tertiary Salaries Survey" xfId="18609"/>
    <cellStyle name="RowTitles-Detail 2 3 3 3 4 3" xfId="18610"/>
    <cellStyle name="RowTitles-Detail 2 3 3 3 4 3 2" xfId="18611"/>
    <cellStyle name="RowTitles-Detail 2 3 3 3 4 3 2 2" xfId="18612"/>
    <cellStyle name="RowTitles-Detail 2 3 3 3 4 3 2_Tertiary Salaries Survey" xfId="18613"/>
    <cellStyle name="RowTitles-Detail 2 3 3 3 4 3 3" xfId="18614"/>
    <cellStyle name="RowTitles-Detail 2 3 3 3 4 3_Tertiary Salaries Survey" xfId="18615"/>
    <cellStyle name="RowTitles-Detail 2 3 3 3 4 4" xfId="18616"/>
    <cellStyle name="RowTitles-Detail 2 3 3 3 4 4 2" xfId="18617"/>
    <cellStyle name="RowTitles-Detail 2 3 3 3 4 4_Tertiary Salaries Survey" xfId="18618"/>
    <cellStyle name="RowTitles-Detail 2 3 3 3 4 5" xfId="18619"/>
    <cellStyle name="RowTitles-Detail 2 3 3 3 4_Tertiary Salaries Survey" xfId="18620"/>
    <cellStyle name="RowTitles-Detail 2 3 3 3 5" xfId="18621"/>
    <cellStyle name="RowTitles-Detail 2 3 3 3 5 2" xfId="18622"/>
    <cellStyle name="RowTitles-Detail 2 3 3 3 5 2 2" xfId="18623"/>
    <cellStyle name="RowTitles-Detail 2 3 3 3 5 2 2 2" xfId="18624"/>
    <cellStyle name="RowTitles-Detail 2 3 3 3 5 2 2_Tertiary Salaries Survey" xfId="18625"/>
    <cellStyle name="RowTitles-Detail 2 3 3 3 5 2 3" xfId="18626"/>
    <cellStyle name="RowTitles-Detail 2 3 3 3 5 2_Tertiary Salaries Survey" xfId="18627"/>
    <cellStyle name="RowTitles-Detail 2 3 3 3 5 3" xfId="18628"/>
    <cellStyle name="RowTitles-Detail 2 3 3 3 5 3 2" xfId="18629"/>
    <cellStyle name="RowTitles-Detail 2 3 3 3 5 3 2 2" xfId="18630"/>
    <cellStyle name="RowTitles-Detail 2 3 3 3 5 3 2_Tertiary Salaries Survey" xfId="18631"/>
    <cellStyle name="RowTitles-Detail 2 3 3 3 5 3 3" xfId="18632"/>
    <cellStyle name="RowTitles-Detail 2 3 3 3 5 3_Tertiary Salaries Survey" xfId="18633"/>
    <cellStyle name="RowTitles-Detail 2 3 3 3 5 4" xfId="18634"/>
    <cellStyle name="RowTitles-Detail 2 3 3 3 5 4 2" xfId="18635"/>
    <cellStyle name="RowTitles-Detail 2 3 3 3 5 4_Tertiary Salaries Survey" xfId="18636"/>
    <cellStyle name="RowTitles-Detail 2 3 3 3 5 5" xfId="18637"/>
    <cellStyle name="RowTitles-Detail 2 3 3 3 5_Tertiary Salaries Survey" xfId="18638"/>
    <cellStyle name="RowTitles-Detail 2 3 3 3 6" xfId="18639"/>
    <cellStyle name="RowTitles-Detail 2 3 3 3 6 2" xfId="18640"/>
    <cellStyle name="RowTitles-Detail 2 3 3 3 6 2 2" xfId="18641"/>
    <cellStyle name="RowTitles-Detail 2 3 3 3 6 2 2 2" xfId="18642"/>
    <cellStyle name="RowTitles-Detail 2 3 3 3 6 2 2_Tertiary Salaries Survey" xfId="18643"/>
    <cellStyle name="RowTitles-Detail 2 3 3 3 6 2 3" xfId="18644"/>
    <cellStyle name="RowTitles-Detail 2 3 3 3 6 2_Tertiary Salaries Survey" xfId="18645"/>
    <cellStyle name="RowTitles-Detail 2 3 3 3 6 3" xfId="18646"/>
    <cellStyle name="RowTitles-Detail 2 3 3 3 6 3 2" xfId="18647"/>
    <cellStyle name="RowTitles-Detail 2 3 3 3 6 3 2 2" xfId="18648"/>
    <cellStyle name="RowTitles-Detail 2 3 3 3 6 3 2_Tertiary Salaries Survey" xfId="18649"/>
    <cellStyle name="RowTitles-Detail 2 3 3 3 6 3 3" xfId="18650"/>
    <cellStyle name="RowTitles-Detail 2 3 3 3 6 3_Tertiary Salaries Survey" xfId="18651"/>
    <cellStyle name="RowTitles-Detail 2 3 3 3 6 4" xfId="18652"/>
    <cellStyle name="RowTitles-Detail 2 3 3 3 6 4 2" xfId="18653"/>
    <cellStyle name="RowTitles-Detail 2 3 3 3 6 4_Tertiary Salaries Survey" xfId="18654"/>
    <cellStyle name="RowTitles-Detail 2 3 3 3 6 5" xfId="18655"/>
    <cellStyle name="RowTitles-Detail 2 3 3 3 6_Tertiary Salaries Survey" xfId="18656"/>
    <cellStyle name="RowTitles-Detail 2 3 3 3 7" xfId="18657"/>
    <cellStyle name="RowTitles-Detail 2 3 3 3 7 2" xfId="18658"/>
    <cellStyle name="RowTitles-Detail 2 3 3 3 7 2 2" xfId="18659"/>
    <cellStyle name="RowTitles-Detail 2 3 3 3 7 2_Tertiary Salaries Survey" xfId="18660"/>
    <cellStyle name="RowTitles-Detail 2 3 3 3 7 3" xfId="18661"/>
    <cellStyle name="RowTitles-Detail 2 3 3 3 7_Tertiary Salaries Survey" xfId="18662"/>
    <cellStyle name="RowTitles-Detail 2 3 3 3 8" xfId="18663"/>
    <cellStyle name="RowTitles-Detail 2 3 3 3 8 2" xfId="18664"/>
    <cellStyle name="RowTitles-Detail 2 3 3 3 8 2 2" xfId="18665"/>
    <cellStyle name="RowTitles-Detail 2 3 3 3 8 2_Tertiary Salaries Survey" xfId="18666"/>
    <cellStyle name="RowTitles-Detail 2 3 3 3 8 3" xfId="18667"/>
    <cellStyle name="RowTitles-Detail 2 3 3 3 8_Tertiary Salaries Survey" xfId="18668"/>
    <cellStyle name="RowTitles-Detail 2 3 3 3 9" xfId="18669"/>
    <cellStyle name="RowTitles-Detail 2 3 3 3_STUD aligned by INSTIT" xfId="18670"/>
    <cellStyle name="RowTitles-Detail 2 3 3 4" xfId="18671"/>
    <cellStyle name="RowTitles-Detail 2 3 3 4 2" xfId="18672"/>
    <cellStyle name="RowTitles-Detail 2 3 3 4 2 2" xfId="18673"/>
    <cellStyle name="RowTitles-Detail 2 3 3 4 2 2 2" xfId="18674"/>
    <cellStyle name="RowTitles-Detail 2 3 3 4 2 2 2 2" xfId="18675"/>
    <cellStyle name="RowTitles-Detail 2 3 3 4 2 2 2_Tertiary Salaries Survey" xfId="18676"/>
    <cellStyle name="RowTitles-Detail 2 3 3 4 2 2 3" xfId="18677"/>
    <cellStyle name="RowTitles-Detail 2 3 3 4 2 2_Tertiary Salaries Survey" xfId="18678"/>
    <cellStyle name="RowTitles-Detail 2 3 3 4 2 3" xfId="18679"/>
    <cellStyle name="RowTitles-Detail 2 3 3 4 2 3 2" xfId="18680"/>
    <cellStyle name="RowTitles-Detail 2 3 3 4 2 3 2 2" xfId="18681"/>
    <cellStyle name="RowTitles-Detail 2 3 3 4 2 3 2_Tertiary Salaries Survey" xfId="18682"/>
    <cellStyle name="RowTitles-Detail 2 3 3 4 2 3 3" xfId="18683"/>
    <cellStyle name="RowTitles-Detail 2 3 3 4 2 3_Tertiary Salaries Survey" xfId="18684"/>
    <cellStyle name="RowTitles-Detail 2 3 3 4 2 4" xfId="18685"/>
    <cellStyle name="RowTitles-Detail 2 3 3 4 2 5" xfId="18686"/>
    <cellStyle name="RowTitles-Detail 2 3 3 4 2 5 2" xfId="18687"/>
    <cellStyle name="RowTitles-Detail 2 3 3 4 2 5_Tertiary Salaries Survey" xfId="18688"/>
    <cellStyle name="RowTitles-Detail 2 3 3 4 2 6" xfId="18689"/>
    <cellStyle name="RowTitles-Detail 2 3 3 4 2_Tertiary Salaries Survey" xfId="18690"/>
    <cellStyle name="RowTitles-Detail 2 3 3 4 3" xfId="18691"/>
    <cellStyle name="RowTitles-Detail 2 3 3 4 3 2" xfId="18692"/>
    <cellStyle name="RowTitles-Detail 2 3 3 4 3 2 2" xfId="18693"/>
    <cellStyle name="RowTitles-Detail 2 3 3 4 3 2 2 2" xfId="18694"/>
    <cellStyle name="RowTitles-Detail 2 3 3 4 3 2 2_Tertiary Salaries Survey" xfId="18695"/>
    <cellStyle name="RowTitles-Detail 2 3 3 4 3 2 3" xfId="18696"/>
    <cellStyle name="RowTitles-Detail 2 3 3 4 3 2_Tertiary Salaries Survey" xfId="18697"/>
    <cellStyle name="RowTitles-Detail 2 3 3 4 3 3" xfId="18698"/>
    <cellStyle name="RowTitles-Detail 2 3 3 4 3 3 2" xfId="18699"/>
    <cellStyle name="RowTitles-Detail 2 3 3 4 3 3 2 2" xfId="18700"/>
    <cellStyle name="RowTitles-Detail 2 3 3 4 3 3 2_Tertiary Salaries Survey" xfId="18701"/>
    <cellStyle name="RowTitles-Detail 2 3 3 4 3 3 3" xfId="18702"/>
    <cellStyle name="RowTitles-Detail 2 3 3 4 3 3_Tertiary Salaries Survey" xfId="18703"/>
    <cellStyle name="RowTitles-Detail 2 3 3 4 3 4" xfId="18704"/>
    <cellStyle name="RowTitles-Detail 2 3 3 4 3 5" xfId="18705"/>
    <cellStyle name="RowTitles-Detail 2 3 3 4 3_Tertiary Salaries Survey" xfId="18706"/>
    <cellStyle name="RowTitles-Detail 2 3 3 4 4" xfId="18707"/>
    <cellStyle name="RowTitles-Detail 2 3 3 4 4 2" xfId="18708"/>
    <cellStyle name="RowTitles-Detail 2 3 3 4 4 2 2" xfId="18709"/>
    <cellStyle name="RowTitles-Detail 2 3 3 4 4 2 2 2" xfId="18710"/>
    <cellStyle name="RowTitles-Detail 2 3 3 4 4 2 2_Tertiary Salaries Survey" xfId="18711"/>
    <cellStyle name="RowTitles-Detail 2 3 3 4 4 2 3" xfId="18712"/>
    <cellStyle name="RowTitles-Detail 2 3 3 4 4 2_Tertiary Salaries Survey" xfId="18713"/>
    <cellStyle name="RowTitles-Detail 2 3 3 4 4 3" xfId="18714"/>
    <cellStyle name="RowTitles-Detail 2 3 3 4 4 3 2" xfId="18715"/>
    <cellStyle name="RowTitles-Detail 2 3 3 4 4 3 2 2" xfId="18716"/>
    <cellStyle name="RowTitles-Detail 2 3 3 4 4 3 2_Tertiary Salaries Survey" xfId="18717"/>
    <cellStyle name="RowTitles-Detail 2 3 3 4 4 3 3" xfId="18718"/>
    <cellStyle name="RowTitles-Detail 2 3 3 4 4 3_Tertiary Salaries Survey" xfId="18719"/>
    <cellStyle name="RowTitles-Detail 2 3 3 4 4 4" xfId="18720"/>
    <cellStyle name="RowTitles-Detail 2 3 3 4 4 5" xfId="18721"/>
    <cellStyle name="RowTitles-Detail 2 3 3 4 4 5 2" xfId="18722"/>
    <cellStyle name="RowTitles-Detail 2 3 3 4 4 5_Tertiary Salaries Survey" xfId="18723"/>
    <cellStyle name="RowTitles-Detail 2 3 3 4 4 6" xfId="18724"/>
    <cellStyle name="RowTitles-Detail 2 3 3 4 4_Tertiary Salaries Survey" xfId="18725"/>
    <cellStyle name="RowTitles-Detail 2 3 3 4 5" xfId="18726"/>
    <cellStyle name="RowTitles-Detail 2 3 3 4 5 2" xfId="18727"/>
    <cellStyle name="RowTitles-Detail 2 3 3 4 5 2 2" xfId="18728"/>
    <cellStyle name="RowTitles-Detail 2 3 3 4 5 2 2 2" xfId="18729"/>
    <cellStyle name="RowTitles-Detail 2 3 3 4 5 2 2_Tertiary Salaries Survey" xfId="18730"/>
    <cellStyle name="RowTitles-Detail 2 3 3 4 5 2 3" xfId="18731"/>
    <cellStyle name="RowTitles-Detail 2 3 3 4 5 2_Tertiary Salaries Survey" xfId="18732"/>
    <cellStyle name="RowTitles-Detail 2 3 3 4 5 3" xfId="18733"/>
    <cellStyle name="RowTitles-Detail 2 3 3 4 5 3 2" xfId="18734"/>
    <cellStyle name="RowTitles-Detail 2 3 3 4 5 3 2 2" xfId="18735"/>
    <cellStyle name="RowTitles-Detail 2 3 3 4 5 3 2_Tertiary Salaries Survey" xfId="18736"/>
    <cellStyle name="RowTitles-Detail 2 3 3 4 5 3 3" xfId="18737"/>
    <cellStyle name="RowTitles-Detail 2 3 3 4 5 3_Tertiary Salaries Survey" xfId="18738"/>
    <cellStyle name="RowTitles-Detail 2 3 3 4 5 4" xfId="18739"/>
    <cellStyle name="RowTitles-Detail 2 3 3 4 5 4 2" xfId="18740"/>
    <cellStyle name="RowTitles-Detail 2 3 3 4 5 4_Tertiary Salaries Survey" xfId="18741"/>
    <cellStyle name="RowTitles-Detail 2 3 3 4 5 5" xfId="18742"/>
    <cellStyle name="RowTitles-Detail 2 3 3 4 5_Tertiary Salaries Survey" xfId="18743"/>
    <cellStyle name="RowTitles-Detail 2 3 3 4 6" xfId="18744"/>
    <cellStyle name="RowTitles-Detail 2 3 3 4 6 2" xfId="18745"/>
    <cellStyle name="RowTitles-Detail 2 3 3 4 6 2 2" xfId="18746"/>
    <cellStyle name="RowTitles-Detail 2 3 3 4 6 2 2 2" xfId="18747"/>
    <cellStyle name="RowTitles-Detail 2 3 3 4 6 2 2_Tertiary Salaries Survey" xfId="18748"/>
    <cellStyle name="RowTitles-Detail 2 3 3 4 6 2 3" xfId="18749"/>
    <cellStyle name="RowTitles-Detail 2 3 3 4 6 2_Tertiary Salaries Survey" xfId="18750"/>
    <cellStyle name="RowTitles-Detail 2 3 3 4 6 3" xfId="18751"/>
    <cellStyle name="RowTitles-Detail 2 3 3 4 6 3 2" xfId="18752"/>
    <cellStyle name="RowTitles-Detail 2 3 3 4 6 3 2 2" xfId="18753"/>
    <cellStyle name="RowTitles-Detail 2 3 3 4 6 3 2_Tertiary Salaries Survey" xfId="18754"/>
    <cellStyle name="RowTitles-Detail 2 3 3 4 6 3 3" xfId="18755"/>
    <cellStyle name="RowTitles-Detail 2 3 3 4 6 3_Tertiary Salaries Survey" xfId="18756"/>
    <cellStyle name="RowTitles-Detail 2 3 3 4 6 4" xfId="18757"/>
    <cellStyle name="RowTitles-Detail 2 3 3 4 6 4 2" xfId="18758"/>
    <cellStyle name="RowTitles-Detail 2 3 3 4 6 4_Tertiary Salaries Survey" xfId="18759"/>
    <cellStyle name="RowTitles-Detail 2 3 3 4 6 5" xfId="18760"/>
    <cellStyle name="RowTitles-Detail 2 3 3 4 6_Tertiary Salaries Survey" xfId="18761"/>
    <cellStyle name="RowTitles-Detail 2 3 3 4 7" xfId="18762"/>
    <cellStyle name="RowTitles-Detail 2 3 3 4 7 2" xfId="18763"/>
    <cellStyle name="RowTitles-Detail 2 3 3 4 7 2 2" xfId="18764"/>
    <cellStyle name="RowTitles-Detail 2 3 3 4 7 2_Tertiary Salaries Survey" xfId="18765"/>
    <cellStyle name="RowTitles-Detail 2 3 3 4 7 3" xfId="18766"/>
    <cellStyle name="RowTitles-Detail 2 3 3 4 7_Tertiary Salaries Survey" xfId="18767"/>
    <cellStyle name="RowTitles-Detail 2 3 3 4 8" xfId="18768"/>
    <cellStyle name="RowTitles-Detail 2 3 3 4 9" xfId="18769"/>
    <cellStyle name="RowTitles-Detail 2 3 3 4_STUD aligned by INSTIT" xfId="18770"/>
    <cellStyle name="RowTitles-Detail 2 3 3 5" xfId="18771"/>
    <cellStyle name="RowTitles-Detail 2 3 3 5 2" xfId="18772"/>
    <cellStyle name="RowTitles-Detail 2 3 3 5 2 2" xfId="18773"/>
    <cellStyle name="RowTitles-Detail 2 3 3 5 2 2 2" xfId="18774"/>
    <cellStyle name="RowTitles-Detail 2 3 3 5 2 2_Tertiary Salaries Survey" xfId="18775"/>
    <cellStyle name="RowTitles-Detail 2 3 3 5 2 3" xfId="18776"/>
    <cellStyle name="RowTitles-Detail 2 3 3 5 2_Tertiary Salaries Survey" xfId="18777"/>
    <cellStyle name="RowTitles-Detail 2 3 3 5 3" xfId="18778"/>
    <cellStyle name="RowTitles-Detail 2 3 3 5 3 2" xfId="18779"/>
    <cellStyle name="RowTitles-Detail 2 3 3 5 3 2 2" xfId="18780"/>
    <cellStyle name="RowTitles-Detail 2 3 3 5 3 2_Tertiary Salaries Survey" xfId="18781"/>
    <cellStyle name="RowTitles-Detail 2 3 3 5 3 3" xfId="18782"/>
    <cellStyle name="RowTitles-Detail 2 3 3 5 3_Tertiary Salaries Survey" xfId="18783"/>
    <cellStyle name="RowTitles-Detail 2 3 3 5 4" xfId="18784"/>
    <cellStyle name="RowTitles-Detail 2 3 3 5 5" xfId="18785"/>
    <cellStyle name="RowTitles-Detail 2 3 3 5 5 2" xfId="18786"/>
    <cellStyle name="RowTitles-Detail 2 3 3 5 5_Tertiary Salaries Survey" xfId="18787"/>
    <cellStyle name="RowTitles-Detail 2 3 3 5 6" xfId="18788"/>
    <cellStyle name="RowTitles-Detail 2 3 3 5_Tertiary Salaries Survey" xfId="18789"/>
    <cellStyle name="RowTitles-Detail 2 3 3 6" xfId="18790"/>
    <cellStyle name="RowTitles-Detail 2 3 3 6 2" xfId="18791"/>
    <cellStyle name="RowTitles-Detail 2 3 3 6 2 2" xfId="18792"/>
    <cellStyle name="RowTitles-Detail 2 3 3 6 2 2 2" xfId="18793"/>
    <cellStyle name="RowTitles-Detail 2 3 3 6 2 2_Tertiary Salaries Survey" xfId="18794"/>
    <cellStyle name="RowTitles-Detail 2 3 3 6 2 3" xfId="18795"/>
    <cellStyle name="RowTitles-Detail 2 3 3 6 2_Tertiary Salaries Survey" xfId="18796"/>
    <cellStyle name="RowTitles-Detail 2 3 3 6 3" xfId="18797"/>
    <cellStyle name="RowTitles-Detail 2 3 3 6 3 2" xfId="18798"/>
    <cellStyle name="RowTitles-Detail 2 3 3 6 3 2 2" xfId="18799"/>
    <cellStyle name="RowTitles-Detail 2 3 3 6 3 2_Tertiary Salaries Survey" xfId="18800"/>
    <cellStyle name="RowTitles-Detail 2 3 3 6 3 3" xfId="18801"/>
    <cellStyle name="RowTitles-Detail 2 3 3 6 3_Tertiary Salaries Survey" xfId="18802"/>
    <cellStyle name="RowTitles-Detail 2 3 3 6 4" xfId="18803"/>
    <cellStyle name="RowTitles-Detail 2 3 3 6 5" xfId="18804"/>
    <cellStyle name="RowTitles-Detail 2 3 3 6_Tertiary Salaries Survey" xfId="18805"/>
    <cellStyle name="RowTitles-Detail 2 3 3 7" xfId="18806"/>
    <cellStyle name="RowTitles-Detail 2 3 3 7 2" xfId="18807"/>
    <cellStyle name="RowTitles-Detail 2 3 3 7 2 2" xfId="18808"/>
    <cellStyle name="RowTitles-Detail 2 3 3 7 2 2 2" xfId="18809"/>
    <cellStyle name="RowTitles-Detail 2 3 3 7 2 2_Tertiary Salaries Survey" xfId="18810"/>
    <cellStyle name="RowTitles-Detail 2 3 3 7 2 3" xfId="18811"/>
    <cellStyle name="RowTitles-Detail 2 3 3 7 2_Tertiary Salaries Survey" xfId="18812"/>
    <cellStyle name="RowTitles-Detail 2 3 3 7 3" xfId="18813"/>
    <cellStyle name="RowTitles-Detail 2 3 3 7 3 2" xfId="18814"/>
    <cellStyle name="RowTitles-Detail 2 3 3 7 3 2 2" xfId="18815"/>
    <cellStyle name="RowTitles-Detail 2 3 3 7 3 2_Tertiary Salaries Survey" xfId="18816"/>
    <cellStyle name="RowTitles-Detail 2 3 3 7 3 3" xfId="18817"/>
    <cellStyle name="RowTitles-Detail 2 3 3 7 3_Tertiary Salaries Survey" xfId="18818"/>
    <cellStyle name="RowTitles-Detail 2 3 3 7 4" xfId="18819"/>
    <cellStyle name="RowTitles-Detail 2 3 3 7 5" xfId="18820"/>
    <cellStyle name="RowTitles-Detail 2 3 3 7 5 2" xfId="18821"/>
    <cellStyle name="RowTitles-Detail 2 3 3 7 5_Tertiary Salaries Survey" xfId="18822"/>
    <cellStyle name="RowTitles-Detail 2 3 3 7 6" xfId="18823"/>
    <cellStyle name="RowTitles-Detail 2 3 3 7_Tertiary Salaries Survey" xfId="18824"/>
    <cellStyle name="RowTitles-Detail 2 3 3 8" xfId="18825"/>
    <cellStyle name="RowTitles-Detail 2 3 3 8 2" xfId="18826"/>
    <cellStyle name="RowTitles-Detail 2 3 3 8 2 2" xfId="18827"/>
    <cellStyle name="RowTitles-Detail 2 3 3 8 2 2 2" xfId="18828"/>
    <cellStyle name="RowTitles-Detail 2 3 3 8 2 2_Tertiary Salaries Survey" xfId="18829"/>
    <cellStyle name="RowTitles-Detail 2 3 3 8 2 3" xfId="18830"/>
    <cellStyle name="RowTitles-Detail 2 3 3 8 2_Tertiary Salaries Survey" xfId="18831"/>
    <cellStyle name="RowTitles-Detail 2 3 3 8 3" xfId="18832"/>
    <cellStyle name="RowTitles-Detail 2 3 3 8 3 2" xfId="18833"/>
    <cellStyle name="RowTitles-Detail 2 3 3 8 3 2 2" xfId="18834"/>
    <cellStyle name="RowTitles-Detail 2 3 3 8 3 2_Tertiary Salaries Survey" xfId="18835"/>
    <cellStyle name="RowTitles-Detail 2 3 3 8 3 3" xfId="18836"/>
    <cellStyle name="RowTitles-Detail 2 3 3 8 3_Tertiary Salaries Survey" xfId="18837"/>
    <cellStyle name="RowTitles-Detail 2 3 3 8 4" xfId="18838"/>
    <cellStyle name="RowTitles-Detail 2 3 3 8 4 2" xfId="18839"/>
    <cellStyle name="RowTitles-Detail 2 3 3 8 4_Tertiary Salaries Survey" xfId="18840"/>
    <cellStyle name="RowTitles-Detail 2 3 3 8 5" xfId="18841"/>
    <cellStyle name="RowTitles-Detail 2 3 3 8_Tertiary Salaries Survey" xfId="18842"/>
    <cellStyle name="RowTitles-Detail 2 3 3 9" xfId="18843"/>
    <cellStyle name="RowTitles-Detail 2 3 3 9 2" xfId="18844"/>
    <cellStyle name="RowTitles-Detail 2 3 3 9 2 2" xfId="18845"/>
    <cellStyle name="RowTitles-Detail 2 3 3 9 2 2 2" xfId="18846"/>
    <cellStyle name="RowTitles-Detail 2 3 3 9 2 2_Tertiary Salaries Survey" xfId="18847"/>
    <cellStyle name="RowTitles-Detail 2 3 3 9 2 3" xfId="18848"/>
    <cellStyle name="RowTitles-Detail 2 3 3 9 2_Tertiary Salaries Survey" xfId="18849"/>
    <cellStyle name="RowTitles-Detail 2 3 3 9 3" xfId="18850"/>
    <cellStyle name="RowTitles-Detail 2 3 3 9 3 2" xfId="18851"/>
    <cellStyle name="RowTitles-Detail 2 3 3 9 3 2 2" xfId="18852"/>
    <cellStyle name="RowTitles-Detail 2 3 3 9 3 2_Tertiary Salaries Survey" xfId="18853"/>
    <cellStyle name="RowTitles-Detail 2 3 3 9 3 3" xfId="18854"/>
    <cellStyle name="RowTitles-Detail 2 3 3 9 3_Tertiary Salaries Survey" xfId="18855"/>
    <cellStyle name="RowTitles-Detail 2 3 3 9 4" xfId="18856"/>
    <cellStyle name="RowTitles-Detail 2 3 3 9 4 2" xfId="18857"/>
    <cellStyle name="RowTitles-Detail 2 3 3 9 4_Tertiary Salaries Survey" xfId="18858"/>
    <cellStyle name="RowTitles-Detail 2 3 3 9 5" xfId="18859"/>
    <cellStyle name="RowTitles-Detail 2 3 3 9_Tertiary Salaries Survey" xfId="18860"/>
    <cellStyle name="RowTitles-Detail 2 3 3_STUD aligned by INSTIT" xfId="18861"/>
    <cellStyle name="RowTitles-Detail 2 3 4" xfId="18862"/>
    <cellStyle name="RowTitles-Detail 2 3 4 2" xfId="18863"/>
    <cellStyle name="RowTitles-Detail 2 3 4 2 2" xfId="18864"/>
    <cellStyle name="RowTitles-Detail 2 3 4 2 2 2" xfId="18865"/>
    <cellStyle name="RowTitles-Detail 2 3 4 2 2 2 2" xfId="18866"/>
    <cellStyle name="RowTitles-Detail 2 3 4 2 2 2_Tertiary Salaries Survey" xfId="18867"/>
    <cellStyle name="RowTitles-Detail 2 3 4 2 2 3" xfId="18868"/>
    <cellStyle name="RowTitles-Detail 2 3 4 2 2_Tertiary Salaries Survey" xfId="18869"/>
    <cellStyle name="RowTitles-Detail 2 3 4 2 3" xfId="18870"/>
    <cellStyle name="RowTitles-Detail 2 3 4 2 3 2" xfId="18871"/>
    <cellStyle name="RowTitles-Detail 2 3 4 2 3 2 2" xfId="18872"/>
    <cellStyle name="RowTitles-Detail 2 3 4 2 3 2_Tertiary Salaries Survey" xfId="18873"/>
    <cellStyle name="RowTitles-Detail 2 3 4 2 3 3" xfId="18874"/>
    <cellStyle name="RowTitles-Detail 2 3 4 2 3_Tertiary Salaries Survey" xfId="18875"/>
    <cellStyle name="RowTitles-Detail 2 3 4 2 4" xfId="18876"/>
    <cellStyle name="RowTitles-Detail 2 3 4 2 5" xfId="18877"/>
    <cellStyle name="RowTitles-Detail 2 3 4 2_Tertiary Salaries Survey" xfId="18878"/>
    <cellStyle name="RowTitles-Detail 2 3 4 3" xfId="18879"/>
    <cellStyle name="RowTitles-Detail 2 3 4 3 2" xfId="18880"/>
    <cellStyle name="RowTitles-Detail 2 3 4 3 2 2" xfId="18881"/>
    <cellStyle name="RowTitles-Detail 2 3 4 3 2 2 2" xfId="18882"/>
    <cellStyle name="RowTitles-Detail 2 3 4 3 2 2_Tertiary Salaries Survey" xfId="18883"/>
    <cellStyle name="RowTitles-Detail 2 3 4 3 2 3" xfId="18884"/>
    <cellStyle name="RowTitles-Detail 2 3 4 3 2_Tertiary Salaries Survey" xfId="18885"/>
    <cellStyle name="RowTitles-Detail 2 3 4 3 3" xfId="18886"/>
    <cellStyle name="RowTitles-Detail 2 3 4 3 3 2" xfId="18887"/>
    <cellStyle name="RowTitles-Detail 2 3 4 3 3 2 2" xfId="18888"/>
    <cellStyle name="RowTitles-Detail 2 3 4 3 3 2_Tertiary Salaries Survey" xfId="18889"/>
    <cellStyle name="RowTitles-Detail 2 3 4 3 3 3" xfId="18890"/>
    <cellStyle name="RowTitles-Detail 2 3 4 3 3_Tertiary Salaries Survey" xfId="18891"/>
    <cellStyle name="RowTitles-Detail 2 3 4 3 4" xfId="18892"/>
    <cellStyle name="RowTitles-Detail 2 3 4 3 5" xfId="18893"/>
    <cellStyle name="RowTitles-Detail 2 3 4 3 5 2" xfId="18894"/>
    <cellStyle name="RowTitles-Detail 2 3 4 3 5_Tertiary Salaries Survey" xfId="18895"/>
    <cellStyle name="RowTitles-Detail 2 3 4 3 6" xfId="18896"/>
    <cellStyle name="RowTitles-Detail 2 3 4 3_Tertiary Salaries Survey" xfId="18897"/>
    <cellStyle name="RowTitles-Detail 2 3 4 4" xfId="18898"/>
    <cellStyle name="RowTitles-Detail 2 3 4 4 2" xfId="18899"/>
    <cellStyle name="RowTitles-Detail 2 3 4 4 2 2" xfId="18900"/>
    <cellStyle name="RowTitles-Detail 2 3 4 4 2 2 2" xfId="18901"/>
    <cellStyle name="RowTitles-Detail 2 3 4 4 2 2_Tertiary Salaries Survey" xfId="18902"/>
    <cellStyle name="RowTitles-Detail 2 3 4 4 2 3" xfId="18903"/>
    <cellStyle name="RowTitles-Detail 2 3 4 4 2_Tertiary Salaries Survey" xfId="18904"/>
    <cellStyle name="RowTitles-Detail 2 3 4 4 3" xfId="18905"/>
    <cellStyle name="RowTitles-Detail 2 3 4 4 3 2" xfId="18906"/>
    <cellStyle name="RowTitles-Detail 2 3 4 4 3 2 2" xfId="18907"/>
    <cellStyle name="RowTitles-Detail 2 3 4 4 3 2_Tertiary Salaries Survey" xfId="18908"/>
    <cellStyle name="RowTitles-Detail 2 3 4 4 3 3" xfId="18909"/>
    <cellStyle name="RowTitles-Detail 2 3 4 4 3_Tertiary Salaries Survey" xfId="18910"/>
    <cellStyle name="RowTitles-Detail 2 3 4 4 4" xfId="18911"/>
    <cellStyle name="RowTitles-Detail 2 3 4 4 4 2" xfId="18912"/>
    <cellStyle name="RowTitles-Detail 2 3 4 4 4_Tertiary Salaries Survey" xfId="18913"/>
    <cellStyle name="RowTitles-Detail 2 3 4 4 5" xfId="18914"/>
    <cellStyle name="RowTitles-Detail 2 3 4 4_Tertiary Salaries Survey" xfId="18915"/>
    <cellStyle name="RowTitles-Detail 2 3 4 5" xfId="18916"/>
    <cellStyle name="RowTitles-Detail 2 3 4 5 2" xfId="18917"/>
    <cellStyle name="RowTitles-Detail 2 3 4 5 2 2" xfId="18918"/>
    <cellStyle name="RowTitles-Detail 2 3 4 5 2 2 2" xfId="18919"/>
    <cellStyle name="RowTitles-Detail 2 3 4 5 2 2_Tertiary Salaries Survey" xfId="18920"/>
    <cellStyle name="RowTitles-Detail 2 3 4 5 2 3" xfId="18921"/>
    <cellStyle name="RowTitles-Detail 2 3 4 5 2_Tertiary Salaries Survey" xfId="18922"/>
    <cellStyle name="RowTitles-Detail 2 3 4 5 3" xfId="18923"/>
    <cellStyle name="RowTitles-Detail 2 3 4 5 3 2" xfId="18924"/>
    <cellStyle name="RowTitles-Detail 2 3 4 5 3 2 2" xfId="18925"/>
    <cellStyle name="RowTitles-Detail 2 3 4 5 3 2_Tertiary Salaries Survey" xfId="18926"/>
    <cellStyle name="RowTitles-Detail 2 3 4 5 3 3" xfId="18927"/>
    <cellStyle name="RowTitles-Detail 2 3 4 5 3_Tertiary Salaries Survey" xfId="18928"/>
    <cellStyle name="RowTitles-Detail 2 3 4 5 4" xfId="18929"/>
    <cellStyle name="RowTitles-Detail 2 3 4 5 4 2" xfId="18930"/>
    <cellStyle name="RowTitles-Detail 2 3 4 5 4_Tertiary Salaries Survey" xfId="18931"/>
    <cellStyle name="RowTitles-Detail 2 3 4 5 5" xfId="18932"/>
    <cellStyle name="RowTitles-Detail 2 3 4 5_Tertiary Salaries Survey" xfId="18933"/>
    <cellStyle name="RowTitles-Detail 2 3 4 6" xfId="18934"/>
    <cellStyle name="RowTitles-Detail 2 3 4 6 2" xfId="18935"/>
    <cellStyle name="RowTitles-Detail 2 3 4 6 2 2" xfId="18936"/>
    <cellStyle name="RowTitles-Detail 2 3 4 6 2 2 2" xfId="18937"/>
    <cellStyle name="RowTitles-Detail 2 3 4 6 2 2_Tertiary Salaries Survey" xfId="18938"/>
    <cellStyle name="RowTitles-Detail 2 3 4 6 2 3" xfId="18939"/>
    <cellStyle name="RowTitles-Detail 2 3 4 6 2_Tertiary Salaries Survey" xfId="18940"/>
    <cellStyle name="RowTitles-Detail 2 3 4 6 3" xfId="18941"/>
    <cellStyle name="RowTitles-Detail 2 3 4 6 3 2" xfId="18942"/>
    <cellStyle name="RowTitles-Detail 2 3 4 6 3 2 2" xfId="18943"/>
    <cellStyle name="RowTitles-Detail 2 3 4 6 3 2_Tertiary Salaries Survey" xfId="18944"/>
    <cellStyle name="RowTitles-Detail 2 3 4 6 3 3" xfId="18945"/>
    <cellStyle name="RowTitles-Detail 2 3 4 6 3_Tertiary Salaries Survey" xfId="18946"/>
    <cellStyle name="RowTitles-Detail 2 3 4 6 4" xfId="18947"/>
    <cellStyle name="RowTitles-Detail 2 3 4 6 4 2" xfId="18948"/>
    <cellStyle name="RowTitles-Detail 2 3 4 6 4_Tertiary Salaries Survey" xfId="18949"/>
    <cellStyle name="RowTitles-Detail 2 3 4 6 5" xfId="18950"/>
    <cellStyle name="RowTitles-Detail 2 3 4 6_Tertiary Salaries Survey" xfId="18951"/>
    <cellStyle name="RowTitles-Detail 2 3 4 7" xfId="18952"/>
    <cellStyle name="RowTitles-Detail 2 3 4 7 2" xfId="18953"/>
    <cellStyle name="RowTitles-Detail 2 3 4 7 2 2" xfId="18954"/>
    <cellStyle name="RowTitles-Detail 2 3 4 7 2_Tertiary Salaries Survey" xfId="18955"/>
    <cellStyle name="RowTitles-Detail 2 3 4 7 3" xfId="18956"/>
    <cellStyle name="RowTitles-Detail 2 3 4 7_Tertiary Salaries Survey" xfId="18957"/>
    <cellStyle name="RowTitles-Detail 2 3 4 8" xfId="18958"/>
    <cellStyle name="RowTitles-Detail 2 3 4 9" xfId="18959"/>
    <cellStyle name="RowTitles-Detail 2 3 4_STUD aligned by INSTIT" xfId="18960"/>
    <cellStyle name="RowTitles-Detail 2 3 5" xfId="18961"/>
    <cellStyle name="RowTitles-Detail 2 3 5 2" xfId="18962"/>
    <cellStyle name="RowTitles-Detail 2 3 5 2 2" xfId="18963"/>
    <cellStyle name="RowTitles-Detail 2 3 5 2 2 2" xfId="18964"/>
    <cellStyle name="RowTitles-Detail 2 3 5 2 2 2 2" xfId="18965"/>
    <cellStyle name="RowTitles-Detail 2 3 5 2 2 2_Tertiary Salaries Survey" xfId="18966"/>
    <cellStyle name="RowTitles-Detail 2 3 5 2 2 3" xfId="18967"/>
    <cellStyle name="RowTitles-Detail 2 3 5 2 2_Tertiary Salaries Survey" xfId="18968"/>
    <cellStyle name="RowTitles-Detail 2 3 5 2 3" xfId="18969"/>
    <cellStyle name="RowTitles-Detail 2 3 5 2 3 2" xfId="18970"/>
    <cellStyle name="RowTitles-Detail 2 3 5 2 3 2 2" xfId="18971"/>
    <cellStyle name="RowTitles-Detail 2 3 5 2 3 2_Tertiary Salaries Survey" xfId="18972"/>
    <cellStyle name="RowTitles-Detail 2 3 5 2 3 3" xfId="18973"/>
    <cellStyle name="RowTitles-Detail 2 3 5 2 3_Tertiary Salaries Survey" xfId="18974"/>
    <cellStyle name="RowTitles-Detail 2 3 5 2 4" xfId="18975"/>
    <cellStyle name="RowTitles-Detail 2 3 5 2 5" xfId="18976"/>
    <cellStyle name="RowTitles-Detail 2 3 5 2 5 2" xfId="18977"/>
    <cellStyle name="RowTitles-Detail 2 3 5 2 5_Tertiary Salaries Survey" xfId="18978"/>
    <cellStyle name="RowTitles-Detail 2 3 5 2 6" xfId="18979"/>
    <cellStyle name="RowTitles-Detail 2 3 5 2_Tertiary Salaries Survey" xfId="18980"/>
    <cellStyle name="RowTitles-Detail 2 3 5 3" xfId="18981"/>
    <cellStyle name="RowTitles-Detail 2 3 5 3 2" xfId="18982"/>
    <cellStyle name="RowTitles-Detail 2 3 5 3 2 2" xfId="18983"/>
    <cellStyle name="RowTitles-Detail 2 3 5 3 2 2 2" xfId="18984"/>
    <cellStyle name="RowTitles-Detail 2 3 5 3 2 2_Tertiary Salaries Survey" xfId="18985"/>
    <cellStyle name="RowTitles-Detail 2 3 5 3 2 3" xfId="18986"/>
    <cellStyle name="RowTitles-Detail 2 3 5 3 2_Tertiary Salaries Survey" xfId="18987"/>
    <cellStyle name="RowTitles-Detail 2 3 5 3 3" xfId="18988"/>
    <cellStyle name="RowTitles-Detail 2 3 5 3 3 2" xfId="18989"/>
    <cellStyle name="RowTitles-Detail 2 3 5 3 3 2 2" xfId="18990"/>
    <cellStyle name="RowTitles-Detail 2 3 5 3 3 2_Tertiary Salaries Survey" xfId="18991"/>
    <cellStyle name="RowTitles-Detail 2 3 5 3 3 3" xfId="18992"/>
    <cellStyle name="RowTitles-Detail 2 3 5 3 3_Tertiary Salaries Survey" xfId="18993"/>
    <cellStyle name="RowTitles-Detail 2 3 5 3 4" xfId="18994"/>
    <cellStyle name="RowTitles-Detail 2 3 5 3 5" xfId="18995"/>
    <cellStyle name="RowTitles-Detail 2 3 5 3_Tertiary Salaries Survey" xfId="18996"/>
    <cellStyle name="RowTitles-Detail 2 3 5 4" xfId="18997"/>
    <cellStyle name="RowTitles-Detail 2 3 5 4 2" xfId="18998"/>
    <cellStyle name="RowTitles-Detail 2 3 5 4 2 2" xfId="18999"/>
    <cellStyle name="RowTitles-Detail 2 3 5 4 2 2 2" xfId="19000"/>
    <cellStyle name="RowTitles-Detail 2 3 5 4 2 2_Tertiary Salaries Survey" xfId="19001"/>
    <cellStyle name="RowTitles-Detail 2 3 5 4 2 3" xfId="19002"/>
    <cellStyle name="RowTitles-Detail 2 3 5 4 2_Tertiary Salaries Survey" xfId="19003"/>
    <cellStyle name="RowTitles-Detail 2 3 5 4 3" xfId="19004"/>
    <cellStyle name="RowTitles-Detail 2 3 5 4 3 2" xfId="19005"/>
    <cellStyle name="RowTitles-Detail 2 3 5 4 3 2 2" xfId="19006"/>
    <cellStyle name="RowTitles-Detail 2 3 5 4 3 2_Tertiary Salaries Survey" xfId="19007"/>
    <cellStyle name="RowTitles-Detail 2 3 5 4 3 3" xfId="19008"/>
    <cellStyle name="RowTitles-Detail 2 3 5 4 3_Tertiary Salaries Survey" xfId="19009"/>
    <cellStyle name="RowTitles-Detail 2 3 5 4 4" xfId="19010"/>
    <cellStyle name="RowTitles-Detail 2 3 5 4 4 2" xfId="19011"/>
    <cellStyle name="RowTitles-Detail 2 3 5 4 4_Tertiary Salaries Survey" xfId="19012"/>
    <cellStyle name="RowTitles-Detail 2 3 5 4 5" xfId="19013"/>
    <cellStyle name="RowTitles-Detail 2 3 5 4_Tertiary Salaries Survey" xfId="19014"/>
    <cellStyle name="RowTitles-Detail 2 3 5 5" xfId="19015"/>
    <cellStyle name="RowTitles-Detail 2 3 5 5 2" xfId="19016"/>
    <cellStyle name="RowTitles-Detail 2 3 5 5 2 2" xfId="19017"/>
    <cellStyle name="RowTitles-Detail 2 3 5 5 2 2 2" xfId="19018"/>
    <cellStyle name="RowTitles-Detail 2 3 5 5 2 2_Tertiary Salaries Survey" xfId="19019"/>
    <cellStyle name="RowTitles-Detail 2 3 5 5 2 3" xfId="19020"/>
    <cellStyle name="RowTitles-Detail 2 3 5 5 2_Tertiary Salaries Survey" xfId="19021"/>
    <cellStyle name="RowTitles-Detail 2 3 5 5 3" xfId="19022"/>
    <cellStyle name="RowTitles-Detail 2 3 5 5 3 2" xfId="19023"/>
    <cellStyle name="RowTitles-Detail 2 3 5 5 3 2 2" xfId="19024"/>
    <cellStyle name="RowTitles-Detail 2 3 5 5 3 2_Tertiary Salaries Survey" xfId="19025"/>
    <cellStyle name="RowTitles-Detail 2 3 5 5 3 3" xfId="19026"/>
    <cellStyle name="RowTitles-Detail 2 3 5 5 3_Tertiary Salaries Survey" xfId="19027"/>
    <cellStyle name="RowTitles-Detail 2 3 5 5 4" xfId="19028"/>
    <cellStyle name="RowTitles-Detail 2 3 5 5 4 2" xfId="19029"/>
    <cellStyle name="RowTitles-Detail 2 3 5 5 4_Tertiary Salaries Survey" xfId="19030"/>
    <cellStyle name="RowTitles-Detail 2 3 5 5 5" xfId="19031"/>
    <cellStyle name="RowTitles-Detail 2 3 5 5_Tertiary Salaries Survey" xfId="19032"/>
    <cellStyle name="RowTitles-Detail 2 3 5 6" xfId="19033"/>
    <cellStyle name="RowTitles-Detail 2 3 5 6 2" xfId="19034"/>
    <cellStyle name="RowTitles-Detail 2 3 5 6 2 2" xfId="19035"/>
    <cellStyle name="RowTitles-Detail 2 3 5 6 2 2 2" xfId="19036"/>
    <cellStyle name="RowTitles-Detail 2 3 5 6 2 2_Tertiary Salaries Survey" xfId="19037"/>
    <cellStyle name="RowTitles-Detail 2 3 5 6 2 3" xfId="19038"/>
    <cellStyle name="RowTitles-Detail 2 3 5 6 2_Tertiary Salaries Survey" xfId="19039"/>
    <cellStyle name="RowTitles-Detail 2 3 5 6 3" xfId="19040"/>
    <cellStyle name="RowTitles-Detail 2 3 5 6 3 2" xfId="19041"/>
    <cellStyle name="RowTitles-Detail 2 3 5 6 3 2 2" xfId="19042"/>
    <cellStyle name="RowTitles-Detail 2 3 5 6 3 2_Tertiary Salaries Survey" xfId="19043"/>
    <cellStyle name="RowTitles-Detail 2 3 5 6 3 3" xfId="19044"/>
    <cellStyle name="RowTitles-Detail 2 3 5 6 3_Tertiary Salaries Survey" xfId="19045"/>
    <cellStyle name="RowTitles-Detail 2 3 5 6 4" xfId="19046"/>
    <cellStyle name="RowTitles-Detail 2 3 5 6 4 2" xfId="19047"/>
    <cellStyle name="RowTitles-Detail 2 3 5 6 4_Tertiary Salaries Survey" xfId="19048"/>
    <cellStyle name="RowTitles-Detail 2 3 5 6 5" xfId="19049"/>
    <cellStyle name="RowTitles-Detail 2 3 5 6_Tertiary Salaries Survey" xfId="19050"/>
    <cellStyle name="RowTitles-Detail 2 3 5 7" xfId="19051"/>
    <cellStyle name="RowTitles-Detail 2 3 5 7 2" xfId="19052"/>
    <cellStyle name="RowTitles-Detail 2 3 5 7 2 2" xfId="19053"/>
    <cellStyle name="RowTitles-Detail 2 3 5 7 2_Tertiary Salaries Survey" xfId="19054"/>
    <cellStyle name="RowTitles-Detail 2 3 5 7 3" xfId="19055"/>
    <cellStyle name="RowTitles-Detail 2 3 5 7_Tertiary Salaries Survey" xfId="19056"/>
    <cellStyle name="RowTitles-Detail 2 3 5 8" xfId="19057"/>
    <cellStyle name="RowTitles-Detail 2 3 5 8 2" xfId="19058"/>
    <cellStyle name="RowTitles-Detail 2 3 5 8 2 2" xfId="19059"/>
    <cellStyle name="RowTitles-Detail 2 3 5 8 2_Tertiary Salaries Survey" xfId="19060"/>
    <cellStyle name="RowTitles-Detail 2 3 5 8 3" xfId="19061"/>
    <cellStyle name="RowTitles-Detail 2 3 5 8_Tertiary Salaries Survey" xfId="19062"/>
    <cellStyle name="RowTitles-Detail 2 3 5 9" xfId="19063"/>
    <cellStyle name="RowTitles-Detail 2 3 5_STUD aligned by INSTIT" xfId="19064"/>
    <cellStyle name="RowTitles-Detail 2 3 6" xfId="19065"/>
    <cellStyle name="RowTitles-Detail 2 3 6 2" xfId="19066"/>
    <cellStyle name="RowTitles-Detail 2 3 6 2 2" xfId="19067"/>
    <cellStyle name="RowTitles-Detail 2 3 6 2 2 2" xfId="19068"/>
    <cellStyle name="RowTitles-Detail 2 3 6 2 2 2 2" xfId="19069"/>
    <cellStyle name="RowTitles-Detail 2 3 6 2 2 2_Tertiary Salaries Survey" xfId="19070"/>
    <cellStyle name="RowTitles-Detail 2 3 6 2 2 3" xfId="19071"/>
    <cellStyle name="RowTitles-Detail 2 3 6 2 2_Tertiary Salaries Survey" xfId="19072"/>
    <cellStyle name="RowTitles-Detail 2 3 6 2 3" xfId="19073"/>
    <cellStyle name="RowTitles-Detail 2 3 6 2 3 2" xfId="19074"/>
    <cellStyle name="RowTitles-Detail 2 3 6 2 3 2 2" xfId="19075"/>
    <cellStyle name="RowTitles-Detail 2 3 6 2 3 2_Tertiary Salaries Survey" xfId="19076"/>
    <cellStyle name="RowTitles-Detail 2 3 6 2 3 3" xfId="19077"/>
    <cellStyle name="RowTitles-Detail 2 3 6 2 3_Tertiary Salaries Survey" xfId="19078"/>
    <cellStyle name="RowTitles-Detail 2 3 6 2 4" xfId="19079"/>
    <cellStyle name="RowTitles-Detail 2 3 6 2 5" xfId="19080"/>
    <cellStyle name="RowTitles-Detail 2 3 6 2 5 2" xfId="19081"/>
    <cellStyle name="RowTitles-Detail 2 3 6 2 5_Tertiary Salaries Survey" xfId="19082"/>
    <cellStyle name="RowTitles-Detail 2 3 6 2 6" xfId="19083"/>
    <cellStyle name="RowTitles-Detail 2 3 6 2_Tertiary Salaries Survey" xfId="19084"/>
    <cellStyle name="RowTitles-Detail 2 3 6 3" xfId="19085"/>
    <cellStyle name="RowTitles-Detail 2 3 6 3 2" xfId="19086"/>
    <cellStyle name="RowTitles-Detail 2 3 6 3 2 2" xfId="19087"/>
    <cellStyle name="RowTitles-Detail 2 3 6 3 2 2 2" xfId="19088"/>
    <cellStyle name="RowTitles-Detail 2 3 6 3 2 2_Tertiary Salaries Survey" xfId="19089"/>
    <cellStyle name="RowTitles-Detail 2 3 6 3 2 3" xfId="19090"/>
    <cellStyle name="RowTitles-Detail 2 3 6 3 2_Tertiary Salaries Survey" xfId="19091"/>
    <cellStyle name="RowTitles-Detail 2 3 6 3 3" xfId="19092"/>
    <cellStyle name="RowTitles-Detail 2 3 6 3 3 2" xfId="19093"/>
    <cellStyle name="RowTitles-Detail 2 3 6 3 3 2 2" xfId="19094"/>
    <cellStyle name="RowTitles-Detail 2 3 6 3 3 2_Tertiary Salaries Survey" xfId="19095"/>
    <cellStyle name="RowTitles-Detail 2 3 6 3 3 3" xfId="19096"/>
    <cellStyle name="RowTitles-Detail 2 3 6 3 3_Tertiary Salaries Survey" xfId="19097"/>
    <cellStyle name="RowTitles-Detail 2 3 6 3 4" xfId="19098"/>
    <cellStyle name="RowTitles-Detail 2 3 6 3 5" xfId="19099"/>
    <cellStyle name="RowTitles-Detail 2 3 6 3_Tertiary Salaries Survey" xfId="19100"/>
    <cellStyle name="RowTitles-Detail 2 3 6 4" xfId="19101"/>
    <cellStyle name="RowTitles-Detail 2 3 6 4 2" xfId="19102"/>
    <cellStyle name="RowTitles-Detail 2 3 6 4 2 2" xfId="19103"/>
    <cellStyle name="RowTitles-Detail 2 3 6 4 2 2 2" xfId="19104"/>
    <cellStyle name="RowTitles-Detail 2 3 6 4 2 2_Tertiary Salaries Survey" xfId="19105"/>
    <cellStyle name="RowTitles-Detail 2 3 6 4 2 3" xfId="19106"/>
    <cellStyle name="RowTitles-Detail 2 3 6 4 2_Tertiary Salaries Survey" xfId="19107"/>
    <cellStyle name="RowTitles-Detail 2 3 6 4 3" xfId="19108"/>
    <cellStyle name="RowTitles-Detail 2 3 6 4 3 2" xfId="19109"/>
    <cellStyle name="RowTitles-Detail 2 3 6 4 3 2 2" xfId="19110"/>
    <cellStyle name="RowTitles-Detail 2 3 6 4 3 2_Tertiary Salaries Survey" xfId="19111"/>
    <cellStyle name="RowTitles-Detail 2 3 6 4 3 3" xfId="19112"/>
    <cellStyle name="RowTitles-Detail 2 3 6 4 3_Tertiary Salaries Survey" xfId="19113"/>
    <cellStyle name="RowTitles-Detail 2 3 6 4 4" xfId="19114"/>
    <cellStyle name="RowTitles-Detail 2 3 6 4 5" xfId="19115"/>
    <cellStyle name="RowTitles-Detail 2 3 6 4 5 2" xfId="19116"/>
    <cellStyle name="RowTitles-Detail 2 3 6 4 5_Tertiary Salaries Survey" xfId="19117"/>
    <cellStyle name="RowTitles-Detail 2 3 6 4 6" xfId="19118"/>
    <cellStyle name="RowTitles-Detail 2 3 6 4_Tertiary Salaries Survey" xfId="19119"/>
    <cellStyle name="RowTitles-Detail 2 3 6 5" xfId="19120"/>
    <cellStyle name="RowTitles-Detail 2 3 6 5 2" xfId="19121"/>
    <cellStyle name="RowTitles-Detail 2 3 6 5 2 2" xfId="19122"/>
    <cellStyle name="RowTitles-Detail 2 3 6 5 2 2 2" xfId="19123"/>
    <cellStyle name="RowTitles-Detail 2 3 6 5 2 2_Tertiary Salaries Survey" xfId="19124"/>
    <cellStyle name="RowTitles-Detail 2 3 6 5 2 3" xfId="19125"/>
    <cellStyle name="RowTitles-Detail 2 3 6 5 2_Tertiary Salaries Survey" xfId="19126"/>
    <cellStyle name="RowTitles-Detail 2 3 6 5 3" xfId="19127"/>
    <cellStyle name="RowTitles-Detail 2 3 6 5 3 2" xfId="19128"/>
    <cellStyle name="RowTitles-Detail 2 3 6 5 3 2 2" xfId="19129"/>
    <cellStyle name="RowTitles-Detail 2 3 6 5 3 2_Tertiary Salaries Survey" xfId="19130"/>
    <cellStyle name="RowTitles-Detail 2 3 6 5 3 3" xfId="19131"/>
    <cellStyle name="RowTitles-Detail 2 3 6 5 3_Tertiary Salaries Survey" xfId="19132"/>
    <cellStyle name="RowTitles-Detail 2 3 6 5 4" xfId="19133"/>
    <cellStyle name="RowTitles-Detail 2 3 6 5 4 2" xfId="19134"/>
    <cellStyle name="RowTitles-Detail 2 3 6 5 4_Tertiary Salaries Survey" xfId="19135"/>
    <cellStyle name="RowTitles-Detail 2 3 6 5 5" xfId="19136"/>
    <cellStyle name="RowTitles-Detail 2 3 6 5_Tertiary Salaries Survey" xfId="19137"/>
    <cellStyle name="RowTitles-Detail 2 3 6 6" xfId="19138"/>
    <cellStyle name="RowTitles-Detail 2 3 6 6 2" xfId="19139"/>
    <cellStyle name="RowTitles-Detail 2 3 6 6 2 2" xfId="19140"/>
    <cellStyle name="RowTitles-Detail 2 3 6 6 2 2 2" xfId="19141"/>
    <cellStyle name="RowTitles-Detail 2 3 6 6 2 2_Tertiary Salaries Survey" xfId="19142"/>
    <cellStyle name="RowTitles-Detail 2 3 6 6 2 3" xfId="19143"/>
    <cellStyle name="RowTitles-Detail 2 3 6 6 2_Tertiary Salaries Survey" xfId="19144"/>
    <cellStyle name="RowTitles-Detail 2 3 6 6 3" xfId="19145"/>
    <cellStyle name="RowTitles-Detail 2 3 6 6 3 2" xfId="19146"/>
    <cellStyle name="RowTitles-Detail 2 3 6 6 3 2 2" xfId="19147"/>
    <cellStyle name="RowTitles-Detail 2 3 6 6 3 2_Tertiary Salaries Survey" xfId="19148"/>
    <cellStyle name="RowTitles-Detail 2 3 6 6 3 3" xfId="19149"/>
    <cellStyle name="RowTitles-Detail 2 3 6 6 3_Tertiary Salaries Survey" xfId="19150"/>
    <cellStyle name="RowTitles-Detail 2 3 6 6 4" xfId="19151"/>
    <cellStyle name="RowTitles-Detail 2 3 6 6 4 2" xfId="19152"/>
    <cellStyle name="RowTitles-Detail 2 3 6 6 4_Tertiary Salaries Survey" xfId="19153"/>
    <cellStyle name="RowTitles-Detail 2 3 6 6 5" xfId="19154"/>
    <cellStyle name="RowTitles-Detail 2 3 6 6_Tertiary Salaries Survey" xfId="19155"/>
    <cellStyle name="RowTitles-Detail 2 3 6 7" xfId="19156"/>
    <cellStyle name="RowTitles-Detail 2 3 6 7 2" xfId="19157"/>
    <cellStyle name="RowTitles-Detail 2 3 6 7 2 2" xfId="19158"/>
    <cellStyle name="RowTitles-Detail 2 3 6 7 2_Tertiary Salaries Survey" xfId="19159"/>
    <cellStyle name="RowTitles-Detail 2 3 6 7 3" xfId="19160"/>
    <cellStyle name="RowTitles-Detail 2 3 6 7_Tertiary Salaries Survey" xfId="19161"/>
    <cellStyle name="RowTitles-Detail 2 3 6 8" xfId="19162"/>
    <cellStyle name="RowTitles-Detail 2 3 6 9" xfId="19163"/>
    <cellStyle name="RowTitles-Detail 2 3 6_STUD aligned by INSTIT" xfId="19164"/>
    <cellStyle name="RowTitles-Detail 2 3 7" xfId="19165"/>
    <cellStyle name="RowTitles-Detail 2 3 7 2" xfId="19166"/>
    <cellStyle name="RowTitles-Detail 2 3 7 2 2" xfId="19167"/>
    <cellStyle name="RowTitles-Detail 2 3 7 2 2 2" xfId="19168"/>
    <cellStyle name="RowTitles-Detail 2 3 7 2 2_Tertiary Salaries Survey" xfId="19169"/>
    <cellStyle name="RowTitles-Detail 2 3 7 2 3" xfId="19170"/>
    <cellStyle name="RowTitles-Detail 2 3 7 2_Tertiary Salaries Survey" xfId="19171"/>
    <cellStyle name="RowTitles-Detail 2 3 7 3" xfId="19172"/>
    <cellStyle name="RowTitles-Detail 2 3 7 3 2" xfId="19173"/>
    <cellStyle name="RowTitles-Detail 2 3 7 3 2 2" xfId="19174"/>
    <cellStyle name="RowTitles-Detail 2 3 7 3 2_Tertiary Salaries Survey" xfId="19175"/>
    <cellStyle name="RowTitles-Detail 2 3 7 3 3" xfId="19176"/>
    <cellStyle name="RowTitles-Detail 2 3 7 3_Tertiary Salaries Survey" xfId="19177"/>
    <cellStyle name="RowTitles-Detail 2 3 7 4" xfId="19178"/>
    <cellStyle name="RowTitles-Detail 2 3 7 5" xfId="19179"/>
    <cellStyle name="RowTitles-Detail 2 3 7 5 2" xfId="19180"/>
    <cellStyle name="RowTitles-Detail 2 3 7 5_Tertiary Salaries Survey" xfId="19181"/>
    <cellStyle name="RowTitles-Detail 2 3 7 6" xfId="19182"/>
    <cellStyle name="RowTitles-Detail 2 3 7_Tertiary Salaries Survey" xfId="19183"/>
    <cellStyle name="RowTitles-Detail 2 3 8" xfId="19184"/>
    <cellStyle name="RowTitles-Detail 2 3 8 2" xfId="19185"/>
    <cellStyle name="RowTitles-Detail 2 3 8 2 2" xfId="19186"/>
    <cellStyle name="RowTitles-Detail 2 3 8 2 2 2" xfId="19187"/>
    <cellStyle name="RowTitles-Detail 2 3 8 2 2_Tertiary Salaries Survey" xfId="19188"/>
    <cellStyle name="RowTitles-Detail 2 3 8 2 3" xfId="19189"/>
    <cellStyle name="RowTitles-Detail 2 3 8 2_Tertiary Salaries Survey" xfId="19190"/>
    <cellStyle name="RowTitles-Detail 2 3 8 3" xfId="19191"/>
    <cellStyle name="RowTitles-Detail 2 3 8 3 2" xfId="19192"/>
    <cellStyle name="RowTitles-Detail 2 3 8 3 2 2" xfId="19193"/>
    <cellStyle name="RowTitles-Detail 2 3 8 3 2_Tertiary Salaries Survey" xfId="19194"/>
    <cellStyle name="RowTitles-Detail 2 3 8 3 3" xfId="19195"/>
    <cellStyle name="RowTitles-Detail 2 3 8 3_Tertiary Salaries Survey" xfId="19196"/>
    <cellStyle name="RowTitles-Detail 2 3 8 4" xfId="19197"/>
    <cellStyle name="RowTitles-Detail 2 3 8 5" xfId="19198"/>
    <cellStyle name="RowTitles-Detail 2 3 8_Tertiary Salaries Survey" xfId="19199"/>
    <cellStyle name="RowTitles-Detail 2 3 9" xfId="19200"/>
    <cellStyle name="RowTitles-Detail 2 3 9 2" xfId="19201"/>
    <cellStyle name="RowTitles-Detail 2 3 9 2 2" xfId="19202"/>
    <cellStyle name="RowTitles-Detail 2 3 9 2 2 2" xfId="19203"/>
    <cellStyle name="RowTitles-Detail 2 3 9 2 2_Tertiary Salaries Survey" xfId="19204"/>
    <cellStyle name="RowTitles-Detail 2 3 9 2 3" xfId="19205"/>
    <cellStyle name="RowTitles-Detail 2 3 9 2_Tertiary Salaries Survey" xfId="19206"/>
    <cellStyle name="RowTitles-Detail 2 3 9 3" xfId="19207"/>
    <cellStyle name="RowTitles-Detail 2 3 9 3 2" xfId="19208"/>
    <cellStyle name="RowTitles-Detail 2 3 9 3 2 2" xfId="19209"/>
    <cellStyle name="RowTitles-Detail 2 3 9 3 2_Tertiary Salaries Survey" xfId="19210"/>
    <cellStyle name="RowTitles-Detail 2 3 9 3 3" xfId="19211"/>
    <cellStyle name="RowTitles-Detail 2 3 9 3_Tertiary Salaries Survey" xfId="19212"/>
    <cellStyle name="RowTitles-Detail 2 3 9 4" xfId="19213"/>
    <cellStyle name="RowTitles-Detail 2 3 9 5" xfId="19214"/>
    <cellStyle name="RowTitles-Detail 2 3 9 5 2" xfId="19215"/>
    <cellStyle name="RowTitles-Detail 2 3 9 5_Tertiary Salaries Survey" xfId="19216"/>
    <cellStyle name="RowTitles-Detail 2 3 9 6" xfId="19217"/>
    <cellStyle name="RowTitles-Detail 2 3 9_Tertiary Salaries Survey" xfId="19218"/>
    <cellStyle name="RowTitles-Detail 2 3_STUD aligned by INSTIT" xfId="19219"/>
    <cellStyle name="RowTitles-Detail 2 4" xfId="19220"/>
    <cellStyle name="RowTitles-Detail 2 4 10" xfId="19221"/>
    <cellStyle name="RowTitles-Detail 2 4 10 2" xfId="19222"/>
    <cellStyle name="RowTitles-Detail 2 4 10 2 2" xfId="19223"/>
    <cellStyle name="RowTitles-Detail 2 4 10 2_Tertiary Salaries Survey" xfId="19224"/>
    <cellStyle name="RowTitles-Detail 2 4 10 3" xfId="19225"/>
    <cellStyle name="RowTitles-Detail 2 4 10_Tertiary Salaries Survey" xfId="19226"/>
    <cellStyle name="RowTitles-Detail 2 4 11" xfId="19227"/>
    <cellStyle name="RowTitles-Detail 2 4 12" xfId="19228"/>
    <cellStyle name="RowTitles-Detail 2 4 2" xfId="19229"/>
    <cellStyle name="RowTitles-Detail 2 4 2 2" xfId="19230"/>
    <cellStyle name="RowTitles-Detail 2 4 2 2 2" xfId="19231"/>
    <cellStyle name="RowTitles-Detail 2 4 2 2 2 2" xfId="19232"/>
    <cellStyle name="RowTitles-Detail 2 4 2 2 2 2 2" xfId="19233"/>
    <cellStyle name="RowTitles-Detail 2 4 2 2 2 2_Tertiary Salaries Survey" xfId="19234"/>
    <cellStyle name="RowTitles-Detail 2 4 2 2 2 3" xfId="19235"/>
    <cellStyle name="RowTitles-Detail 2 4 2 2 2_Tertiary Salaries Survey" xfId="19236"/>
    <cellStyle name="RowTitles-Detail 2 4 2 2 3" xfId="19237"/>
    <cellStyle name="RowTitles-Detail 2 4 2 2 3 2" xfId="19238"/>
    <cellStyle name="RowTitles-Detail 2 4 2 2 3 2 2" xfId="19239"/>
    <cellStyle name="RowTitles-Detail 2 4 2 2 3 2_Tertiary Salaries Survey" xfId="19240"/>
    <cellStyle name="RowTitles-Detail 2 4 2 2 3 3" xfId="19241"/>
    <cellStyle name="RowTitles-Detail 2 4 2 2 3_Tertiary Salaries Survey" xfId="19242"/>
    <cellStyle name="RowTitles-Detail 2 4 2 2 4" xfId="19243"/>
    <cellStyle name="RowTitles-Detail 2 4 2 2 5" xfId="19244"/>
    <cellStyle name="RowTitles-Detail 2 4 2 2_Tertiary Salaries Survey" xfId="19245"/>
    <cellStyle name="RowTitles-Detail 2 4 2 3" xfId="19246"/>
    <cellStyle name="RowTitles-Detail 2 4 2 3 2" xfId="19247"/>
    <cellStyle name="RowTitles-Detail 2 4 2 3 2 2" xfId="19248"/>
    <cellStyle name="RowTitles-Detail 2 4 2 3 2 2 2" xfId="19249"/>
    <cellStyle name="RowTitles-Detail 2 4 2 3 2 2_Tertiary Salaries Survey" xfId="19250"/>
    <cellStyle name="RowTitles-Detail 2 4 2 3 2 3" xfId="19251"/>
    <cellStyle name="RowTitles-Detail 2 4 2 3 2_Tertiary Salaries Survey" xfId="19252"/>
    <cellStyle name="RowTitles-Detail 2 4 2 3 3" xfId="19253"/>
    <cellStyle name="RowTitles-Detail 2 4 2 3 3 2" xfId="19254"/>
    <cellStyle name="RowTitles-Detail 2 4 2 3 3 2 2" xfId="19255"/>
    <cellStyle name="RowTitles-Detail 2 4 2 3 3 2_Tertiary Salaries Survey" xfId="19256"/>
    <cellStyle name="RowTitles-Detail 2 4 2 3 3 3" xfId="19257"/>
    <cellStyle name="RowTitles-Detail 2 4 2 3 3_Tertiary Salaries Survey" xfId="19258"/>
    <cellStyle name="RowTitles-Detail 2 4 2 3 4" xfId="19259"/>
    <cellStyle name="RowTitles-Detail 2 4 2 3 5" xfId="19260"/>
    <cellStyle name="RowTitles-Detail 2 4 2 3 5 2" xfId="19261"/>
    <cellStyle name="RowTitles-Detail 2 4 2 3 5_Tertiary Salaries Survey" xfId="19262"/>
    <cellStyle name="RowTitles-Detail 2 4 2 3 6" xfId="19263"/>
    <cellStyle name="RowTitles-Detail 2 4 2 3_Tertiary Salaries Survey" xfId="19264"/>
    <cellStyle name="RowTitles-Detail 2 4 2 4" xfId="19265"/>
    <cellStyle name="RowTitles-Detail 2 4 2 4 2" xfId="19266"/>
    <cellStyle name="RowTitles-Detail 2 4 2 4 2 2" xfId="19267"/>
    <cellStyle name="RowTitles-Detail 2 4 2 4 2 2 2" xfId="19268"/>
    <cellStyle name="RowTitles-Detail 2 4 2 4 2 2_Tertiary Salaries Survey" xfId="19269"/>
    <cellStyle name="RowTitles-Detail 2 4 2 4 2 3" xfId="19270"/>
    <cellStyle name="RowTitles-Detail 2 4 2 4 2_Tertiary Salaries Survey" xfId="19271"/>
    <cellStyle name="RowTitles-Detail 2 4 2 4 3" xfId="19272"/>
    <cellStyle name="RowTitles-Detail 2 4 2 4 3 2" xfId="19273"/>
    <cellStyle name="RowTitles-Detail 2 4 2 4 3 2 2" xfId="19274"/>
    <cellStyle name="RowTitles-Detail 2 4 2 4 3 2_Tertiary Salaries Survey" xfId="19275"/>
    <cellStyle name="RowTitles-Detail 2 4 2 4 3 3" xfId="19276"/>
    <cellStyle name="RowTitles-Detail 2 4 2 4 3_Tertiary Salaries Survey" xfId="19277"/>
    <cellStyle name="RowTitles-Detail 2 4 2 4 4" xfId="19278"/>
    <cellStyle name="RowTitles-Detail 2 4 2 4 4 2" xfId="19279"/>
    <cellStyle name="RowTitles-Detail 2 4 2 4 4_Tertiary Salaries Survey" xfId="19280"/>
    <cellStyle name="RowTitles-Detail 2 4 2 4 5" xfId="19281"/>
    <cellStyle name="RowTitles-Detail 2 4 2 4_Tertiary Salaries Survey" xfId="19282"/>
    <cellStyle name="RowTitles-Detail 2 4 2 5" xfId="19283"/>
    <cellStyle name="RowTitles-Detail 2 4 2 5 2" xfId="19284"/>
    <cellStyle name="RowTitles-Detail 2 4 2 5 2 2" xfId="19285"/>
    <cellStyle name="RowTitles-Detail 2 4 2 5 2 2 2" xfId="19286"/>
    <cellStyle name="RowTitles-Detail 2 4 2 5 2 2_Tertiary Salaries Survey" xfId="19287"/>
    <cellStyle name="RowTitles-Detail 2 4 2 5 2 3" xfId="19288"/>
    <cellStyle name="RowTitles-Detail 2 4 2 5 2_Tertiary Salaries Survey" xfId="19289"/>
    <cellStyle name="RowTitles-Detail 2 4 2 5 3" xfId="19290"/>
    <cellStyle name="RowTitles-Detail 2 4 2 5 3 2" xfId="19291"/>
    <cellStyle name="RowTitles-Detail 2 4 2 5 3 2 2" xfId="19292"/>
    <cellStyle name="RowTitles-Detail 2 4 2 5 3 2_Tertiary Salaries Survey" xfId="19293"/>
    <cellStyle name="RowTitles-Detail 2 4 2 5 3 3" xfId="19294"/>
    <cellStyle name="RowTitles-Detail 2 4 2 5 3_Tertiary Salaries Survey" xfId="19295"/>
    <cellStyle name="RowTitles-Detail 2 4 2 5 4" xfId="19296"/>
    <cellStyle name="RowTitles-Detail 2 4 2 5 4 2" xfId="19297"/>
    <cellStyle name="RowTitles-Detail 2 4 2 5 4_Tertiary Salaries Survey" xfId="19298"/>
    <cellStyle name="RowTitles-Detail 2 4 2 5 5" xfId="19299"/>
    <cellStyle name="RowTitles-Detail 2 4 2 5_Tertiary Salaries Survey" xfId="19300"/>
    <cellStyle name="RowTitles-Detail 2 4 2 6" xfId="19301"/>
    <cellStyle name="RowTitles-Detail 2 4 2 6 2" xfId="19302"/>
    <cellStyle name="RowTitles-Detail 2 4 2 6 2 2" xfId="19303"/>
    <cellStyle name="RowTitles-Detail 2 4 2 6 2 2 2" xfId="19304"/>
    <cellStyle name="RowTitles-Detail 2 4 2 6 2 2_Tertiary Salaries Survey" xfId="19305"/>
    <cellStyle name="RowTitles-Detail 2 4 2 6 2 3" xfId="19306"/>
    <cellStyle name="RowTitles-Detail 2 4 2 6 2_Tertiary Salaries Survey" xfId="19307"/>
    <cellStyle name="RowTitles-Detail 2 4 2 6 3" xfId="19308"/>
    <cellStyle name="RowTitles-Detail 2 4 2 6 3 2" xfId="19309"/>
    <cellStyle name="RowTitles-Detail 2 4 2 6 3 2 2" xfId="19310"/>
    <cellStyle name="RowTitles-Detail 2 4 2 6 3 2_Tertiary Salaries Survey" xfId="19311"/>
    <cellStyle name="RowTitles-Detail 2 4 2 6 3 3" xfId="19312"/>
    <cellStyle name="RowTitles-Detail 2 4 2 6 3_Tertiary Salaries Survey" xfId="19313"/>
    <cellStyle name="RowTitles-Detail 2 4 2 6 4" xfId="19314"/>
    <cellStyle name="RowTitles-Detail 2 4 2 6 4 2" xfId="19315"/>
    <cellStyle name="RowTitles-Detail 2 4 2 6 4_Tertiary Salaries Survey" xfId="19316"/>
    <cellStyle name="RowTitles-Detail 2 4 2 6 5" xfId="19317"/>
    <cellStyle name="RowTitles-Detail 2 4 2 6_Tertiary Salaries Survey" xfId="19318"/>
    <cellStyle name="RowTitles-Detail 2 4 2 7" xfId="19319"/>
    <cellStyle name="RowTitles-Detail 2 4 2 7 2" xfId="19320"/>
    <cellStyle name="RowTitles-Detail 2 4 2 7 2 2" xfId="19321"/>
    <cellStyle name="RowTitles-Detail 2 4 2 7 2_Tertiary Salaries Survey" xfId="19322"/>
    <cellStyle name="RowTitles-Detail 2 4 2 7 3" xfId="19323"/>
    <cellStyle name="RowTitles-Detail 2 4 2 7_Tertiary Salaries Survey" xfId="19324"/>
    <cellStyle name="RowTitles-Detail 2 4 2 8" xfId="19325"/>
    <cellStyle name="RowTitles-Detail 2 4 2 9" xfId="19326"/>
    <cellStyle name="RowTitles-Detail 2 4 2_STUD aligned by INSTIT" xfId="19327"/>
    <cellStyle name="RowTitles-Detail 2 4 3" xfId="19328"/>
    <cellStyle name="RowTitles-Detail 2 4 3 2" xfId="19329"/>
    <cellStyle name="RowTitles-Detail 2 4 3 2 2" xfId="19330"/>
    <cellStyle name="RowTitles-Detail 2 4 3 2 2 2" xfId="19331"/>
    <cellStyle name="RowTitles-Detail 2 4 3 2 2 2 2" xfId="19332"/>
    <cellStyle name="RowTitles-Detail 2 4 3 2 2 2_Tertiary Salaries Survey" xfId="19333"/>
    <cellStyle name="RowTitles-Detail 2 4 3 2 2 3" xfId="19334"/>
    <cellStyle name="RowTitles-Detail 2 4 3 2 2_Tertiary Salaries Survey" xfId="19335"/>
    <cellStyle name="RowTitles-Detail 2 4 3 2 3" xfId="19336"/>
    <cellStyle name="RowTitles-Detail 2 4 3 2 3 2" xfId="19337"/>
    <cellStyle name="RowTitles-Detail 2 4 3 2 3 2 2" xfId="19338"/>
    <cellStyle name="RowTitles-Detail 2 4 3 2 3 2_Tertiary Salaries Survey" xfId="19339"/>
    <cellStyle name="RowTitles-Detail 2 4 3 2 3 3" xfId="19340"/>
    <cellStyle name="RowTitles-Detail 2 4 3 2 3_Tertiary Salaries Survey" xfId="19341"/>
    <cellStyle name="RowTitles-Detail 2 4 3 2 4" xfId="19342"/>
    <cellStyle name="RowTitles-Detail 2 4 3 2 5" xfId="19343"/>
    <cellStyle name="RowTitles-Detail 2 4 3 2 5 2" xfId="19344"/>
    <cellStyle name="RowTitles-Detail 2 4 3 2 5_Tertiary Salaries Survey" xfId="19345"/>
    <cellStyle name="RowTitles-Detail 2 4 3 2 6" xfId="19346"/>
    <cellStyle name="RowTitles-Detail 2 4 3 2_Tertiary Salaries Survey" xfId="19347"/>
    <cellStyle name="RowTitles-Detail 2 4 3 3" xfId="19348"/>
    <cellStyle name="RowTitles-Detail 2 4 3 3 2" xfId="19349"/>
    <cellStyle name="RowTitles-Detail 2 4 3 3 2 2" xfId="19350"/>
    <cellStyle name="RowTitles-Detail 2 4 3 3 2 2 2" xfId="19351"/>
    <cellStyle name="RowTitles-Detail 2 4 3 3 2 2_Tertiary Salaries Survey" xfId="19352"/>
    <cellStyle name="RowTitles-Detail 2 4 3 3 2 3" xfId="19353"/>
    <cellStyle name="RowTitles-Detail 2 4 3 3 2_Tertiary Salaries Survey" xfId="19354"/>
    <cellStyle name="RowTitles-Detail 2 4 3 3 3" xfId="19355"/>
    <cellStyle name="RowTitles-Detail 2 4 3 3 3 2" xfId="19356"/>
    <cellStyle name="RowTitles-Detail 2 4 3 3 3 2 2" xfId="19357"/>
    <cellStyle name="RowTitles-Detail 2 4 3 3 3 2_Tertiary Salaries Survey" xfId="19358"/>
    <cellStyle name="RowTitles-Detail 2 4 3 3 3 3" xfId="19359"/>
    <cellStyle name="RowTitles-Detail 2 4 3 3 3_Tertiary Salaries Survey" xfId="19360"/>
    <cellStyle name="RowTitles-Detail 2 4 3 3 4" xfId="19361"/>
    <cellStyle name="RowTitles-Detail 2 4 3 3 5" xfId="19362"/>
    <cellStyle name="RowTitles-Detail 2 4 3 3_Tertiary Salaries Survey" xfId="19363"/>
    <cellStyle name="RowTitles-Detail 2 4 3 4" xfId="19364"/>
    <cellStyle name="RowTitles-Detail 2 4 3 4 2" xfId="19365"/>
    <cellStyle name="RowTitles-Detail 2 4 3 4 2 2" xfId="19366"/>
    <cellStyle name="RowTitles-Detail 2 4 3 4 2 2 2" xfId="19367"/>
    <cellStyle name="RowTitles-Detail 2 4 3 4 2 2_Tertiary Salaries Survey" xfId="19368"/>
    <cellStyle name="RowTitles-Detail 2 4 3 4 2 3" xfId="19369"/>
    <cellStyle name="RowTitles-Detail 2 4 3 4 2_Tertiary Salaries Survey" xfId="19370"/>
    <cellStyle name="RowTitles-Detail 2 4 3 4 3" xfId="19371"/>
    <cellStyle name="RowTitles-Detail 2 4 3 4 3 2" xfId="19372"/>
    <cellStyle name="RowTitles-Detail 2 4 3 4 3 2 2" xfId="19373"/>
    <cellStyle name="RowTitles-Detail 2 4 3 4 3 2_Tertiary Salaries Survey" xfId="19374"/>
    <cellStyle name="RowTitles-Detail 2 4 3 4 3 3" xfId="19375"/>
    <cellStyle name="RowTitles-Detail 2 4 3 4 3_Tertiary Salaries Survey" xfId="19376"/>
    <cellStyle name="RowTitles-Detail 2 4 3 4 4" xfId="19377"/>
    <cellStyle name="RowTitles-Detail 2 4 3 4 4 2" xfId="19378"/>
    <cellStyle name="RowTitles-Detail 2 4 3 4 4_Tertiary Salaries Survey" xfId="19379"/>
    <cellStyle name="RowTitles-Detail 2 4 3 4 5" xfId="19380"/>
    <cellStyle name="RowTitles-Detail 2 4 3 4_Tertiary Salaries Survey" xfId="19381"/>
    <cellStyle name="RowTitles-Detail 2 4 3 5" xfId="19382"/>
    <cellStyle name="RowTitles-Detail 2 4 3 5 2" xfId="19383"/>
    <cellStyle name="RowTitles-Detail 2 4 3 5 2 2" xfId="19384"/>
    <cellStyle name="RowTitles-Detail 2 4 3 5 2 2 2" xfId="19385"/>
    <cellStyle name="RowTitles-Detail 2 4 3 5 2 2_Tertiary Salaries Survey" xfId="19386"/>
    <cellStyle name="RowTitles-Detail 2 4 3 5 2 3" xfId="19387"/>
    <cellStyle name="RowTitles-Detail 2 4 3 5 2_Tertiary Salaries Survey" xfId="19388"/>
    <cellStyle name="RowTitles-Detail 2 4 3 5 3" xfId="19389"/>
    <cellStyle name="RowTitles-Detail 2 4 3 5 3 2" xfId="19390"/>
    <cellStyle name="RowTitles-Detail 2 4 3 5 3 2 2" xfId="19391"/>
    <cellStyle name="RowTitles-Detail 2 4 3 5 3 2_Tertiary Salaries Survey" xfId="19392"/>
    <cellStyle name="RowTitles-Detail 2 4 3 5 3 3" xfId="19393"/>
    <cellStyle name="RowTitles-Detail 2 4 3 5 3_Tertiary Salaries Survey" xfId="19394"/>
    <cellStyle name="RowTitles-Detail 2 4 3 5 4" xfId="19395"/>
    <cellStyle name="RowTitles-Detail 2 4 3 5 4 2" xfId="19396"/>
    <cellStyle name="RowTitles-Detail 2 4 3 5 4_Tertiary Salaries Survey" xfId="19397"/>
    <cellStyle name="RowTitles-Detail 2 4 3 5 5" xfId="19398"/>
    <cellStyle name="RowTitles-Detail 2 4 3 5_Tertiary Salaries Survey" xfId="19399"/>
    <cellStyle name="RowTitles-Detail 2 4 3 6" xfId="19400"/>
    <cellStyle name="RowTitles-Detail 2 4 3 6 2" xfId="19401"/>
    <cellStyle name="RowTitles-Detail 2 4 3 6 2 2" xfId="19402"/>
    <cellStyle name="RowTitles-Detail 2 4 3 6 2 2 2" xfId="19403"/>
    <cellStyle name="RowTitles-Detail 2 4 3 6 2 2_Tertiary Salaries Survey" xfId="19404"/>
    <cellStyle name="RowTitles-Detail 2 4 3 6 2 3" xfId="19405"/>
    <cellStyle name="RowTitles-Detail 2 4 3 6 2_Tertiary Salaries Survey" xfId="19406"/>
    <cellStyle name="RowTitles-Detail 2 4 3 6 3" xfId="19407"/>
    <cellStyle name="RowTitles-Detail 2 4 3 6 3 2" xfId="19408"/>
    <cellStyle name="RowTitles-Detail 2 4 3 6 3 2 2" xfId="19409"/>
    <cellStyle name="RowTitles-Detail 2 4 3 6 3 2_Tertiary Salaries Survey" xfId="19410"/>
    <cellStyle name="RowTitles-Detail 2 4 3 6 3 3" xfId="19411"/>
    <cellStyle name="RowTitles-Detail 2 4 3 6 3_Tertiary Salaries Survey" xfId="19412"/>
    <cellStyle name="RowTitles-Detail 2 4 3 6 4" xfId="19413"/>
    <cellStyle name="RowTitles-Detail 2 4 3 6 4 2" xfId="19414"/>
    <cellStyle name="RowTitles-Detail 2 4 3 6 4_Tertiary Salaries Survey" xfId="19415"/>
    <cellStyle name="RowTitles-Detail 2 4 3 6 5" xfId="19416"/>
    <cellStyle name="RowTitles-Detail 2 4 3 6_Tertiary Salaries Survey" xfId="19417"/>
    <cellStyle name="RowTitles-Detail 2 4 3 7" xfId="19418"/>
    <cellStyle name="RowTitles-Detail 2 4 3 7 2" xfId="19419"/>
    <cellStyle name="RowTitles-Detail 2 4 3 7 2 2" xfId="19420"/>
    <cellStyle name="RowTitles-Detail 2 4 3 7 2_Tertiary Salaries Survey" xfId="19421"/>
    <cellStyle name="RowTitles-Detail 2 4 3 7 3" xfId="19422"/>
    <cellStyle name="RowTitles-Detail 2 4 3 7_Tertiary Salaries Survey" xfId="19423"/>
    <cellStyle name="RowTitles-Detail 2 4 3 8" xfId="19424"/>
    <cellStyle name="RowTitles-Detail 2 4 3 8 2" xfId="19425"/>
    <cellStyle name="RowTitles-Detail 2 4 3 8 2 2" xfId="19426"/>
    <cellStyle name="RowTitles-Detail 2 4 3 8 2_Tertiary Salaries Survey" xfId="19427"/>
    <cellStyle name="RowTitles-Detail 2 4 3 8 3" xfId="19428"/>
    <cellStyle name="RowTitles-Detail 2 4 3 8_Tertiary Salaries Survey" xfId="19429"/>
    <cellStyle name="RowTitles-Detail 2 4 3 9" xfId="19430"/>
    <cellStyle name="RowTitles-Detail 2 4 3_STUD aligned by INSTIT" xfId="19431"/>
    <cellStyle name="RowTitles-Detail 2 4 4" xfId="19432"/>
    <cellStyle name="RowTitles-Detail 2 4 4 2" xfId="19433"/>
    <cellStyle name="RowTitles-Detail 2 4 4 2 2" xfId="19434"/>
    <cellStyle name="RowTitles-Detail 2 4 4 2 2 2" xfId="19435"/>
    <cellStyle name="RowTitles-Detail 2 4 4 2 2 2 2" xfId="19436"/>
    <cellStyle name="RowTitles-Detail 2 4 4 2 2 2_Tertiary Salaries Survey" xfId="19437"/>
    <cellStyle name="RowTitles-Detail 2 4 4 2 2 3" xfId="19438"/>
    <cellStyle name="RowTitles-Detail 2 4 4 2 2_Tertiary Salaries Survey" xfId="19439"/>
    <cellStyle name="RowTitles-Detail 2 4 4 2 3" xfId="19440"/>
    <cellStyle name="RowTitles-Detail 2 4 4 2 3 2" xfId="19441"/>
    <cellStyle name="RowTitles-Detail 2 4 4 2 3 2 2" xfId="19442"/>
    <cellStyle name="RowTitles-Detail 2 4 4 2 3 2_Tertiary Salaries Survey" xfId="19443"/>
    <cellStyle name="RowTitles-Detail 2 4 4 2 3 3" xfId="19444"/>
    <cellStyle name="RowTitles-Detail 2 4 4 2 3_Tertiary Salaries Survey" xfId="19445"/>
    <cellStyle name="RowTitles-Detail 2 4 4 2 4" xfId="19446"/>
    <cellStyle name="RowTitles-Detail 2 4 4 2 5" xfId="19447"/>
    <cellStyle name="RowTitles-Detail 2 4 4 2 5 2" xfId="19448"/>
    <cellStyle name="RowTitles-Detail 2 4 4 2 5_Tertiary Salaries Survey" xfId="19449"/>
    <cellStyle name="RowTitles-Detail 2 4 4 2 6" xfId="19450"/>
    <cellStyle name="RowTitles-Detail 2 4 4 2_Tertiary Salaries Survey" xfId="19451"/>
    <cellStyle name="RowTitles-Detail 2 4 4 3" xfId="19452"/>
    <cellStyle name="RowTitles-Detail 2 4 4 3 2" xfId="19453"/>
    <cellStyle name="RowTitles-Detail 2 4 4 3 2 2" xfId="19454"/>
    <cellStyle name="RowTitles-Detail 2 4 4 3 2 2 2" xfId="19455"/>
    <cellStyle name="RowTitles-Detail 2 4 4 3 2 2_Tertiary Salaries Survey" xfId="19456"/>
    <cellStyle name="RowTitles-Detail 2 4 4 3 2 3" xfId="19457"/>
    <cellStyle name="RowTitles-Detail 2 4 4 3 2_Tertiary Salaries Survey" xfId="19458"/>
    <cellStyle name="RowTitles-Detail 2 4 4 3 3" xfId="19459"/>
    <cellStyle name="RowTitles-Detail 2 4 4 3 3 2" xfId="19460"/>
    <cellStyle name="RowTitles-Detail 2 4 4 3 3 2 2" xfId="19461"/>
    <cellStyle name="RowTitles-Detail 2 4 4 3 3 2_Tertiary Salaries Survey" xfId="19462"/>
    <cellStyle name="RowTitles-Detail 2 4 4 3 3 3" xfId="19463"/>
    <cellStyle name="RowTitles-Detail 2 4 4 3 3_Tertiary Salaries Survey" xfId="19464"/>
    <cellStyle name="RowTitles-Detail 2 4 4 3 4" xfId="19465"/>
    <cellStyle name="RowTitles-Detail 2 4 4 3 5" xfId="19466"/>
    <cellStyle name="RowTitles-Detail 2 4 4 3_Tertiary Salaries Survey" xfId="19467"/>
    <cellStyle name="RowTitles-Detail 2 4 4 4" xfId="19468"/>
    <cellStyle name="RowTitles-Detail 2 4 4 4 2" xfId="19469"/>
    <cellStyle name="RowTitles-Detail 2 4 4 4 2 2" xfId="19470"/>
    <cellStyle name="RowTitles-Detail 2 4 4 4 2 2 2" xfId="19471"/>
    <cellStyle name="RowTitles-Detail 2 4 4 4 2 2_Tertiary Salaries Survey" xfId="19472"/>
    <cellStyle name="RowTitles-Detail 2 4 4 4 2 3" xfId="19473"/>
    <cellStyle name="RowTitles-Detail 2 4 4 4 2_Tertiary Salaries Survey" xfId="19474"/>
    <cellStyle name="RowTitles-Detail 2 4 4 4 3" xfId="19475"/>
    <cellStyle name="RowTitles-Detail 2 4 4 4 3 2" xfId="19476"/>
    <cellStyle name="RowTitles-Detail 2 4 4 4 3 2 2" xfId="19477"/>
    <cellStyle name="RowTitles-Detail 2 4 4 4 3 2_Tertiary Salaries Survey" xfId="19478"/>
    <cellStyle name="RowTitles-Detail 2 4 4 4 3 3" xfId="19479"/>
    <cellStyle name="RowTitles-Detail 2 4 4 4 3_Tertiary Salaries Survey" xfId="19480"/>
    <cellStyle name="RowTitles-Detail 2 4 4 4 4" xfId="19481"/>
    <cellStyle name="RowTitles-Detail 2 4 4 4 5" xfId="19482"/>
    <cellStyle name="RowTitles-Detail 2 4 4 4 5 2" xfId="19483"/>
    <cellStyle name="RowTitles-Detail 2 4 4 4 5_Tertiary Salaries Survey" xfId="19484"/>
    <cellStyle name="RowTitles-Detail 2 4 4 4 6" xfId="19485"/>
    <cellStyle name="RowTitles-Detail 2 4 4 4_Tertiary Salaries Survey" xfId="19486"/>
    <cellStyle name="RowTitles-Detail 2 4 4 5" xfId="19487"/>
    <cellStyle name="RowTitles-Detail 2 4 4 5 2" xfId="19488"/>
    <cellStyle name="RowTitles-Detail 2 4 4 5 2 2" xfId="19489"/>
    <cellStyle name="RowTitles-Detail 2 4 4 5 2 2 2" xfId="19490"/>
    <cellStyle name="RowTitles-Detail 2 4 4 5 2 2_Tertiary Salaries Survey" xfId="19491"/>
    <cellStyle name="RowTitles-Detail 2 4 4 5 2 3" xfId="19492"/>
    <cellStyle name="RowTitles-Detail 2 4 4 5 2_Tertiary Salaries Survey" xfId="19493"/>
    <cellStyle name="RowTitles-Detail 2 4 4 5 3" xfId="19494"/>
    <cellStyle name="RowTitles-Detail 2 4 4 5 3 2" xfId="19495"/>
    <cellStyle name="RowTitles-Detail 2 4 4 5 3 2 2" xfId="19496"/>
    <cellStyle name="RowTitles-Detail 2 4 4 5 3 2_Tertiary Salaries Survey" xfId="19497"/>
    <cellStyle name="RowTitles-Detail 2 4 4 5 3 3" xfId="19498"/>
    <cellStyle name="RowTitles-Detail 2 4 4 5 3_Tertiary Salaries Survey" xfId="19499"/>
    <cellStyle name="RowTitles-Detail 2 4 4 5 4" xfId="19500"/>
    <cellStyle name="RowTitles-Detail 2 4 4 5 4 2" xfId="19501"/>
    <cellStyle name="RowTitles-Detail 2 4 4 5 4_Tertiary Salaries Survey" xfId="19502"/>
    <cellStyle name="RowTitles-Detail 2 4 4 5 5" xfId="19503"/>
    <cellStyle name="RowTitles-Detail 2 4 4 5_Tertiary Salaries Survey" xfId="19504"/>
    <cellStyle name="RowTitles-Detail 2 4 4 6" xfId="19505"/>
    <cellStyle name="RowTitles-Detail 2 4 4 6 2" xfId="19506"/>
    <cellStyle name="RowTitles-Detail 2 4 4 6 2 2" xfId="19507"/>
    <cellStyle name="RowTitles-Detail 2 4 4 6 2 2 2" xfId="19508"/>
    <cellStyle name="RowTitles-Detail 2 4 4 6 2 2_Tertiary Salaries Survey" xfId="19509"/>
    <cellStyle name="RowTitles-Detail 2 4 4 6 2 3" xfId="19510"/>
    <cellStyle name="RowTitles-Detail 2 4 4 6 2_Tertiary Salaries Survey" xfId="19511"/>
    <cellStyle name="RowTitles-Detail 2 4 4 6 3" xfId="19512"/>
    <cellStyle name="RowTitles-Detail 2 4 4 6 3 2" xfId="19513"/>
    <cellStyle name="RowTitles-Detail 2 4 4 6 3 2 2" xfId="19514"/>
    <cellStyle name="RowTitles-Detail 2 4 4 6 3 2_Tertiary Salaries Survey" xfId="19515"/>
    <cellStyle name="RowTitles-Detail 2 4 4 6 3 3" xfId="19516"/>
    <cellStyle name="RowTitles-Detail 2 4 4 6 3_Tertiary Salaries Survey" xfId="19517"/>
    <cellStyle name="RowTitles-Detail 2 4 4 6 4" xfId="19518"/>
    <cellStyle name="RowTitles-Detail 2 4 4 6 4 2" xfId="19519"/>
    <cellStyle name="RowTitles-Detail 2 4 4 6 4_Tertiary Salaries Survey" xfId="19520"/>
    <cellStyle name="RowTitles-Detail 2 4 4 6 5" xfId="19521"/>
    <cellStyle name="RowTitles-Detail 2 4 4 6_Tertiary Salaries Survey" xfId="19522"/>
    <cellStyle name="RowTitles-Detail 2 4 4 7" xfId="19523"/>
    <cellStyle name="RowTitles-Detail 2 4 4 7 2" xfId="19524"/>
    <cellStyle name="RowTitles-Detail 2 4 4 7 2 2" xfId="19525"/>
    <cellStyle name="RowTitles-Detail 2 4 4 7 2_Tertiary Salaries Survey" xfId="19526"/>
    <cellStyle name="RowTitles-Detail 2 4 4 7 3" xfId="19527"/>
    <cellStyle name="RowTitles-Detail 2 4 4 7_Tertiary Salaries Survey" xfId="19528"/>
    <cellStyle name="RowTitles-Detail 2 4 4 8" xfId="19529"/>
    <cellStyle name="RowTitles-Detail 2 4 4 9" xfId="19530"/>
    <cellStyle name="RowTitles-Detail 2 4 4_STUD aligned by INSTIT" xfId="19531"/>
    <cellStyle name="RowTitles-Detail 2 4 5" xfId="19532"/>
    <cellStyle name="RowTitles-Detail 2 4 5 2" xfId="19533"/>
    <cellStyle name="RowTitles-Detail 2 4 5 2 2" xfId="19534"/>
    <cellStyle name="RowTitles-Detail 2 4 5 2 2 2" xfId="19535"/>
    <cellStyle name="RowTitles-Detail 2 4 5 2 2_Tertiary Salaries Survey" xfId="19536"/>
    <cellStyle name="RowTitles-Detail 2 4 5 2 3" xfId="19537"/>
    <cellStyle name="RowTitles-Detail 2 4 5 2_Tertiary Salaries Survey" xfId="19538"/>
    <cellStyle name="RowTitles-Detail 2 4 5 3" xfId="19539"/>
    <cellStyle name="RowTitles-Detail 2 4 5 3 2" xfId="19540"/>
    <cellStyle name="RowTitles-Detail 2 4 5 3 2 2" xfId="19541"/>
    <cellStyle name="RowTitles-Detail 2 4 5 3 2_Tertiary Salaries Survey" xfId="19542"/>
    <cellStyle name="RowTitles-Detail 2 4 5 3 3" xfId="19543"/>
    <cellStyle name="RowTitles-Detail 2 4 5 3_Tertiary Salaries Survey" xfId="19544"/>
    <cellStyle name="RowTitles-Detail 2 4 5 4" xfId="19545"/>
    <cellStyle name="RowTitles-Detail 2 4 5 5" xfId="19546"/>
    <cellStyle name="RowTitles-Detail 2 4 5 5 2" xfId="19547"/>
    <cellStyle name="RowTitles-Detail 2 4 5 5_Tertiary Salaries Survey" xfId="19548"/>
    <cellStyle name="RowTitles-Detail 2 4 5 6" xfId="19549"/>
    <cellStyle name="RowTitles-Detail 2 4 5_Tertiary Salaries Survey" xfId="19550"/>
    <cellStyle name="RowTitles-Detail 2 4 6" xfId="19551"/>
    <cellStyle name="RowTitles-Detail 2 4 6 2" xfId="19552"/>
    <cellStyle name="RowTitles-Detail 2 4 6 2 2" xfId="19553"/>
    <cellStyle name="RowTitles-Detail 2 4 6 2 2 2" xfId="19554"/>
    <cellStyle name="RowTitles-Detail 2 4 6 2 2_Tertiary Salaries Survey" xfId="19555"/>
    <cellStyle name="RowTitles-Detail 2 4 6 2 3" xfId="19556"/>
    <cellStyle name="RowTitles-Detail 2 4 6 2_Tertiary Salaries Survey" xfId="19557"/>
    <cellStyle name="RowTitles-Detail 2 4 6 3" xfId="19558"/>
    <cellStyle name="RowTitles-Detail 2 4 6 3 2" xfId="19559"/>
    <cellStyle name="RowTitles-Detail 2 4 6 3 2 2" xfId="19560"/>
    <cellStyle name="RowTitles-Detail 2 4 6 3 2_Tertiary Salaries Survey" xfId="19561"/>
    <cellStyle name="RowTitles-Detail 2 4 6 3 3" xfId="19562"/>
    <cellStyle name="RowTitles-Detail 2 4 6 3_Tertiary Salaries Survey" xfId="19563"/>
    <cellStyle name="RowTitles-Detail 2 4 6 4" xfId="19564"/>
    <cellStyle name="RowTitles-Detail 2 4 6 5" xfId="19565"/>
    <cellStyle name="RowTitles-Detail 2 4 6_Tertiary Salaries Survey" xfId="19566"/>
    <cellStyle name="RowTitles-Detail 2 4 7" xfId="19567"/>
    <cellStyle name="RowTitles-Detail 2 4 7 2" xfId="19568"/>
    <cellStyle name="RowTitles-Detail 2 4 7 2 2" xfId="19569"/>
    <cellStyle name="RowTitles-Detail 2 4 7 2 2 2" xfId="19570"/>
    <cellStyle name="RowTitles-Detail 2 4 7 2 2_Tertiary Salaries Survey" xfId="19571"/>
    <cellStyle name="RowTitles-Detail 2 4 7 2 3" xfId="19572"/>
    <cellStyle name="RowTitles-Detail 2 4 7 2_Tertiary Salaries Survey" xfId="19573"/>
    <cellStyle name="RowTitles-Detail 2 4 7 3" xfId="19574"/>
    <cellStyle name="RowTitles-Detail 2 4 7 3 2" xfId="19575"/>
    <cellStyle name="RowTitles-Detail 2 4 7 3 2 2" xfId="19576"/>
    <cellStyle name="RowTitles-Detail 2 4 7 3 2_Tertiary Salaries Survey" xfId="19577"/>
    <cellStyle name="RowTitles-Detail 2 4 7 3 3" xfId="19578"/>
    <cellStyle name="RowTitles-Detail 2 4 7 3_Tertiary Salaries Survey" xfId="19579"/>
    <cellStyle name="RowTitles-Detail 2 4 7 4" xfId="19580"/>
    <cellStyle name="RowTitles-Detail 2 4 7 5" xfId="19581"/>
    <cellStyle name="RowTitles-Detail 2 4 7 5 2" xfId="19582"/>
    <cellStyle name="RowTitles-Detail 2 4 7 5_Tertiary Salaries Survey" xfId="19583"/>
    <cellStyle name="RowTitles-Detail 2 4 7 6" xfId="19584"/>
    <cellStyle name="RowTitles-Detail 2 4 7_Tertiary Salaries Survey" xfId="19585"/>
    <cellStyle name="RowTitles-Detail 2 4 8" xfId="19586"/>
    <cellStyle name="RowTitles-Detail 2 4 8 2" xfId="19587"/>
    <cellStyle name="RowTitles-Detail 2 4 8 2 2" xfId="19588"/>
    <cellStyle name="RowTitles-Detail 2 4 8 2 2 2" xfId="19589"/>
    <cellStyle name="RowTitles-Detail 2 4 8 2 2_Tertiary Salaries Survey" xfId="19590"/>
    <cellStyle name="RowTitles-Detail 2 4 8 2 3" xfId="19591"/>
    <cellStyle name="RowTitles-Detail 2 4 8 2_Tertiary Salaries Survey" xfId="19592"/>
    <cellStyle name="RowTitles-Detail 2 4 8 3" xfId="19593"/>
    <cellStyle name="RowTitles-Detail 2 4 8 3 2" xfId="19594"/>
    <cellStyle name="RowTitles-Detail 2 4 8 3 2 2" xfId="19595"/>
    <cellStyle name="RowTitles-Detail 2 4 8 3 2_Tertiary Salaries Survey" xfId="19596"/>
    <cellStyle name="RowTitles-Detail 2 4 8 3 3" xfId="19597"/>
    <cellStyle name="RowTitles-Detail 2 4 8 3_Tertiary Salaries Survey" xfId="19598"/>
    <cellStyle name="RowTitles-Detail 2 4 8 4" xfId="19599"/>
    <cellStyle name="RowTitles-Detail 2 4 8 4 2" xfId="19600"/>
    <cellStyle name="RowTitles-Detail 2 4 8 4_Tertiary Salaries Survey" xfId="19601"/>
    <cellStyle name="RowTitles-Detail 2 4 8 5" xfId="19602"/>
    <cellStyle name="RowTitles-Detail 2 4 8_Tertiary Salaries Survey" xfId="19603"/>
    <cellStyle name="RowTitles-Detail 2 4 9" xfId="19604"/>
    <cellStyle name="RowTitles-Detail 2 4 9 2" xfId="19605"/>
    <cellStyle name="RowTitles-Detail 2 4 9 2 2" xfId="19606"/>
    <cellStyle name="RowTitles-Detail 2 4 9 2 2 2" xfId="19607"/>
    <cellStyle name="RowTitles-Detail 2 4 9 2 2_Tertiary Salaries Survey" xfId="19608"/>
    <cellStyle name="RowTitles-Detail 2 4 9 2 3" xfId="19609"/>
    <cellStyle name="RowTitles-Detail 2 4 9 2_Tertiary Salaries Survey" xfId="19610"/>
    <cellStyle name="RowTitles-Detail 2 4 9 3" xfId="19611"/>
    <cellStyle name="RowTitles-Detail 2 4 9 3 2" xfId="19612"/>
    <cellStyle name="RowTitles-Detail 2 4 9 3 2 2" xfId="19613"/>
    <cellStyle name="RowTitles-Detail 2 4 9 3 2_Tertiary Salaries Survey" xfId="19614"/>
    <cellStyle name="RowTitles-Detail 2 4 9 3 3" xfId="19615"/>
    <cellStyle name="RowTitles-Detail 2 4 9 3_Tertiary Salaries Survey" xfId="19616"/>
    <cellStyle name="RowTitles-Detail 2 4 9 4" xfId="19617"/>
    <cellStyle name="RowTitles-Detail 2 4 9 4 2" xfId="19618"/>
    <cellStyle name="RowTitles-Detail 2 4 9 4_Tertiary Salaries Survey" xfId="19619"/>
    <cellStyle name="RowTitles-Detail 2 4 9 5" xfId="19620"/>
    <cellStyle name="RowTitles-Detail 2 4 9_Tertiary Salaries Survey" xfId="19621"/>
    <cellStyle name="RowTitles-Detail 2 4_STUD aligned by INSTIT" xfId="19622"/>
    <cellStyle name="RowTitles-Detail 2 5" xfId="19623"/>
    <cellStyle name="RowTitles-Detail 2 5 2" xfId="19624"/>
    <cellStyle name="RowTitles-Detail 2 5 2 2" xfId="19625"/>
    <cellStyle name="RowTitles-Detail 2 5 2 2 2" xfId="19626"/>
    <cellStyle name="RowTitles-Detail 2 5 2 2 2 2" xfId="19627"/>
    <cellStyle name="RowTitles-Detail 2 5 2 2 2_Tertiary Salaries Survey" xfId="19628"/>
    <cellStyle name="RowTitles-Detail 2 5 2 2 3" xfId="19629"/>
    <cellStyle name="RowTitles-Detail 2 5 2 2_Tertiary Salaries Survey" xfId="19630"/>
    <cellStyle name="RowTitles-Detail 2 5 2 3" xfId="19631"/>
    <cellStyle name="RowTitles-Detail 2 5 2 3 2" xfId="19632"/>
    <cellStyle name="RowTitles-Detail 2 5 2 3 2 2" xfId="19633"/>
    <cellStyle name="RowTitles-Detail 2 5 2 3 2_Tertiary Salaries Survey" xfId="19634"/>
    <cellStyle name="RowTitles-Detail 2 5 2 3 3" xfId="19635"/>
    <cellStyle name="RowTitles-Detail 2 5 2 3_Tertiary Salaries Survey" xfId="19636"/>
    <cellStyle name="RowTitles-Detail 2 5 2 4" xfId="19637"/>
    <cellStyle name="RowTitles-Detail 2 5 2 5" xfId="19638"/>
    <cellStyle name="RowTitles-Detail 2 5 2_Tertiary Salaries Survey" xfId="19639"/>
    <cellStyle name="RowTitles-Detail 2 5 3" xfId="19640"/>
    <cellStyle name="RowTitles-Detail 2 5 3 2" xfId="19641"/>
    <cellStyle name="RowTitles-Detail 2 5 3 2 2" xfId="19642"/>
    <cellStyle name="RowTitles-Detail 2 5 3 2 2 2" xfId="19643"/>
    <cellStyle name="RowTitles-Detail 2 5 3 2 2_Tertiary Salaries Survey" xfId="19644"/>
    <cellStyle name="RowTitles-Detail 2 5 3 2 3" xfId="19645"/>
    <cellStyle name="RowTitles-Detail 2 5 3 2_Tertiary Salaries Survey" xfId="19646"/>
    <cellStyle name="RowTitles-Detail 2 5 3 3" xfId="19647"/>
    <cellStyle name="RowTitles-Detail 2 5 3 3 2" xfId="19648"/>
    <cellStyle name="RowTitles-Detail 2 5 3 3 2 2" xfId="19649"/>
    <cellStyle name="RowTitles-Detail 2 5 3 3 2_Tertiary Salaries Survey" xfId="19650"/>
    <cellStyle name="RowTitles-Detail 2 5 3 3 3" xfId="19651"/>
    <cellStyle name="RowTitles-Detail 2 5 3 3_Tertiary Salaries Survey" xfId="19652"/>
    <cellStyle name="RowTitles-Detail 2 5 3 4" xfId="19653"/>
    <cellStyle name="RowTitles-Detail 2 5 3 5" xfId="19654"/>
    <cellStyle name="RowTitles-Detail 2 5 3 5 2" xfId="19655"/>
    <cellStyle name="RowTitles-Detail 2 5 3 5_Tertiary Salaries Survey" xfId="19656"/>
    <cellStyle name="RowTitles-Detail 2 5 3 6" xfId="19657"/>
    <cellStyle name="RowTitles-Detail 2 5 3_Tertiary Salaries Survey" xfId="19658"/>
    <cellStyle name="RowTitles-Detail 2 5 4" xfId="19659"/>
    <cellStyle name="RowTitles-Detail 2 5 4 2" xfId="19660"/>
    <cellStyle name="RowTitles-Detail 2 5 4 2 2" xfId="19661"/>
    <cellStyle name="RowTitles-Detail 2 5 4 2 2 2" xfId="19662"/>
    <cellStyle name="RowTitles-Detail 2 5 4 2 2_Tertiary Salaries Survey" xfId="19663"/>
    <cellStyle name="RowTitles-Detail 2 5 4 2 3" xfId="19664"/>
    <cellStyle name="RowTitles-Detail 2 5 4 2_Tertiary Salaries Survey" xfId="19665"/>
    <cellStyle name="RowTitles-Detail 2 5 4 3" xfId="19666"/>
    <cellStyle name="RowTitles-Detail 2 5 4 3 2" xfId="19667"/>
    <cellStyle name="RowTitles-Detail 2 5 4 3 2 2" xfId="19668"/>
    <cellStyle name="RowTitles-Detail 2 5 4 3 2_Tertiary Salaries Survey" xfId="19669"/>
    <cellStyle name="RowTitles-Detail 2 5 4 3 3" xfId="19670"/>
    <cellStyle name="RowTitles-Detail 2 5 4 3_Tertiary Salaries Survey" xfId="19671"/>
    <cellStyle name="RowTitles-Detail 2 5 4 4" xfId="19672"/>
    <cellStyle name="RowTitles-Detail 2 5 4 4 2" xfId="19673"/>
    <cellStyle name="RowTitles-Detail 2 5 4 4_Tertiary Salaries Survey" xfId="19674"/>
    <cellStyle name="RowTitles-Detail 2 5 4 5" xfId="19675"/>
    <cellStyle name="RowTitles-Detail 2 5 4_Tertiary Salaries Survey" xfId="19676"/>
    <cellStyle name="RowTitles-Detail 2 5 5" xfId="19677"/>
    <cellStyle name="RowTitles-Detail 2 5 5 2" xfId="19678"/>
    <cellStyle name="RowTitles-Detail 2 5 5 2 2" xfId="19679"/>
    <cellStyle name="RowTitles-Detail 2 5 5 2 2 2" xfId="19680"/>
    <cellStyle name="RowTitles-Detail 2 5 5 2 2_Tertiary Salaries Survey" xfId="19681"/>
    <cellStyle name="RowTitles-Detail 2 5 5 2 3" xfId="19682"/>
    <cellStyle name="RowTitles-Detail 2 5 5 2_Tertiary Salaries Survey" xfId="19683"/>
    <cellStyle name="RowTitles-Detail 2 5 5 3" xfId="19684"/>
    <cellStyle name="RowTitles-Detail 2 5 5 3 2" xfId="19685"/>
    <cellStyle name="RowTitles-Detail 2 5 5 3 2 2" xfId="19686"/>
    <cellStyle name="RowTitles-Detail 2 5 5 3 2_Tertiary Salaries Survey" xfId="19687"/>
    <cellStyle name="RowTitles-Detail 2 5 5 3 3" xfId="19688"/>
    <cellStyle name="RowTitles-Detail 2 5 5 3_Tertiary Salaries Survey" xfId="19689"/>
    <cellStyle name="RowTitles-Detail 2 5 5 4" xfId="19690"/>
    <cellStyle name="RowTitles-Detail 2 5 5 4 2" xfId="19691"/>
    <cellStyle name="RowTitles-Detail 2 5 5 4_Tertiary Salaries Survey" xfId="19692"/>
    <cellStyle name="RowTitles-Detail 2 5 5 5" xfId="19693"/>
    <cellStyle name="RowTitles-Detail 2 5 5_Tertiary Salaries Survey" xfId="19694"/>
    <cellStyle name="RowTitles-Detail 2 5 6" xfId="19695"/>
    <cellStyle name="RowTitles-Detail 2 5 6 2" xfId="19696"/>
    <cellStyle name="RowTitles-Detail 2 5 6 2 2" xfId="19697"/>
    <cellStyle name="RowTitles-Detail 2 5 6 2 2 2" xfId="19698"/>
    <cellStyle name="RowTitles-Detail 2 5 6 2 2_Tertiary Salaries Survey" xfId="19699"/>
    <cellStyle name="RowTitles-Detail 2 5 6 2 3" xfId="19700"/>
    <cellStyle name="RowTitles-Detail 2 5 6 2_Tertiary Salaries Survey" xfId="19701"/>
    <cellStyle name="RowTitles-Detail 2 5 6 3" xfId="19702"/>
    <cellStyle name="RowTitles-Detail 2 5 6 3 2" xfId="19703"/>
    <cellStyle name="RowTitles-Detail 2 5 6 3 2 2" xfId="19704"/>
    <cellStyle name="RowTitles-Detail 2 5 6 3 2_Tertiary Salaries Survey" xfId="19705"/>
    <cellStyle name="RowTitles-Detail 2 5 6 3 3" xfId="19706"/>
    <cellStyle name="RowTitles-Detail 2 5 6 3_Tertiary Salaries Survey" xfId="19707"/>
    <cellStyle name="RowTitles-Detail 2 5 6 4" xfId="19708"/>
    <cellStyle name="RowTitles-Detail 2 5 6 4 2" xfId="19709"/>
    <cellStyle name="RowTitles-Detail 2 5 6 4_Tertiary Salaries Survey" xfId="19710"/>
    <cellStyle name="RowTitles-Detail 2 5 6 5" xfId="19711"/>
    <cellStyle name="RowTitles-Detail 2 5 6_Tertiary Salaries Survey" xfId="19712"/>
    <cellStyle name="RowTitles-Detail 2 5 7" xfId="19713"/>
    <cellStyle name="RowTitles-Detail 2 5 7 2" xfId="19714"/>
    <cellStyle name="RowTitles-Detail 2 5 7 2 2" xfId="19715"/>
    <cellStyle name="RowTitles-Detail 2 5 7 2_Tertiary Salaries Survey" xfId="19716"/>
    <cellStyle name="RowTitles-Detail 2 5 7 3" xfId="19717"/>
    <cellStyle name="RowTitles-Detail 2 5 7_Tertiary Salaries Survey" xfId="19718"/>
    <cellStyle name="RowTitles-Detail 2 5 8" xfId="19719"/>
    <cellStyle name="RowTitles-Detail 2 5 9" xfId="19720"/>
    <cellStyle name="RowTitles-Detail 2 5_STUD aligned by INSTIT" xfId="19721"/>
    <cellStyle name="RowTitles-Detail 2 6" xfId="19722"/>
    <cellStyle name="RowTitles-Detail 2 6 2" xfId="19723"/>
    <cellStyle name="RowTitles-Detail 2 6 2 2" xfId="19724"/>
    <cellStyle name="RowTitles-Detail 2 6 2 2 2" xfId="19725"/>
    <cellStyle name="RowTitles-Detail 2 6 2 2 2 2" xfId="19726"/>
    <cellStyle name="RowTitles-Detail 2 6 2 2 2_Tertiary Salaries Survey" xfId="19727"/>
    <cellStyle name="RowTitles-Detail 2 6 2 2 3" xfId="19728"/>
    <cellStyle name="RowTitles-Detail 2 6 2 2_Tertiary Salaries Survey" xfId="19729"/>
    <cellStyle name="RowTitles-Detail 2 6 2 3" xfId="19730"/>
    <cellStyle name="RowTitles-Detail 2 6 2 3 2" xfId="19731"/>
    <cellStyle name="RowTitles-Detail 2 6 2 3 2 2" xfId="19732"/>
    <cellStyle name="RowTitles-Detail 2 6 2 3 2_Tertiary Salaries Survey" xfId="19733"/>
    <cellStyle name="RowTitles-Detail 2 6 2 3 3" xfId="19734"/>
    <cellStyle name="RowTitles-Detail 2 6 2 3_Tertiary Salaries Survey" xfId="19735"/>
    <cellStyle name="RowTitles-Detail 2 6 2 4" xfId="19736"/>
    <cellStyle name="RowTitles-Detail 2 6 2 5" xfId="19737"/>
    <cellStyle name="RowTitles-Detail 2 6 2 5 2" xfId="19738"/>
    <cellStyle name="RowTitles-Detail 2 6 2 5_Tertiary Salaries Survey" xfId="19739"/>
    <cellStyle name="RowTitles-Detail 2 6 2 6" xfId="19740"/>
    <cellStyle name="RowTitles-Detail 2 6 2_Tertiary Salaries Survey" xfId="19741"/>
    <cellStyle name="RowTitles-Detail 2 6 3" xfId="19742"/>
    <cellStyle name="RowTitles-Detail 2 6 3 2" xfId="19743"/>
    <cellStyle name="RowTitles-Detail 2 6 3 2 2" xfId="19744"/>
    <cellStyle name="RowTitles-Detail 2 6 3 2 2 2" xfId="19745"/>
    <cellStyle name="RowTitles-Detail 2 6 3 2 2_Tertiary Salaries Survey" xfId="19746"/>
    <cellStyle name="RowTitles-Detail 2 6 3 2 3" xfId="19747"/>
    <cellStyle name="RowTitles-Detail 2 6 3 2_Tertiary Salaries Survey" xfId="19748"/>
    <cellStyle name="RowTitles-Detail 2 6 3 3" xfId="19749"/>
    <cellStyle name="RowTitles-Detail 2 6 3 3 2" xfId="19750"/>
    <cellStyle name="RowTitles-Detail 2 6 3 3 2 2" xfId="19751"/>
    <cellStyle name="RowTitles-Detail 2 6 3 3 2_Tertiary Salaries Survey" xfId="19752"/>
    <cellStyle name="RowTitles-Detail 2 6 3 3 3" xfId="19753"/>
    <cellStyle name="RowTitles-Detail 2 6 3 3_Tertiary Salaries Survey" xfId="19754"/>
    <cellStyle name="RowTitles-Detail 2 6 3 4" xfId="19755"/>
    <cellStyle name="RowTitles-Detail 2 6 3 5" xfId="19756"/>
    <cellStyle name="RowTitles-Detail 2 6 3_Tertiary Salaries Survey" xfId="19757"/>
    <cellStyle name="RowTitles-Detail 2 6 4" xfId="19758"/>
    <cellStyle name="RowTitles-Detail 2 6 4 2" xfId="19759"/>
    <cellStyle name="RowTitles-Detail 2 6 4 2 2" xfId="19760"/>
    <cellStyle name="RowTitles-Detail 2 6 4 2 2 2" xfId="19761"/>
    <cellStyle name="RowTitles-Detail 2 6 4 2 2_Tertiary Salaries Survey" xfId="19762"/>
    <cellStyle name="RowTitles-Detail 2 6 4 2 3" xfId="19763"/>
    <cellStyle name="RowTitles-Detail 2 6 4 2_Tertiary Salaries Survey" xfId="19764"/>
    <cellStyle name="RowTitles-Detail 2 6 4 3" xfId="19765"/>
    <cellStyle name="RowTitles-Detail 2 6 4 3 2" xfId="19766"/>
    <cellStyle name="RowTitles-Detail 2 6 4 3 2 2" xfId="19767"/>
    <cellStyle name="RowTitles-Detail 2 6 4 3 2_Tertiary Salaries Survey" xfId="19768"/>
    <cellStyle name="RowTitles-Detail 2 6 4 3 3" xfId="19769"/>
    <cellStyle name="RowTitles-Detail 2 6 4 3_Tertiary Salaries Survey" xfId="19770"/>
    <cellStyle name="RowTitles-Detail 2 6 4 4" xfId="19771"/>
    <cellStyle name="RowTitles-Detail 2 6 4 4 2" xfId="19772"/>
    <cellStyle name="RowTitles-Detail 2 6 4 4_Tertiary Salaries Survey" xfId="19773"/>
    <cellStyle name="RowTitles-Detail 2 6 4 5" xfId="19774"/>
    <cellStyle name="RowTitles-Detail 2 6 4_Tertiary Salaries Survey" xfId="19775"/>
    <cellStyle name="RowTitles-Detail 2 6 5" xfId="19776"/>
    <cellStyle name="RowTitles-Detail 2 6 5 2" xfId="19777"/>
    <cellStyle name="RowTitles-Detail 2 6 5 2 2" xfId="19778"/>
    <cellStyle name="RowTitles-Detail 2 6 5 2 2 2" xfId="19779"/>
    <cellStyle name="RowTitles-Detail 2 6 5 2 2_Tertiary Salaries Survey" xfId="19780"/>
    <cellStyle name="RowTitles-Detail 2 6 5 2 3" xfId="19781"/>
    <cellStyle name="RowTitles-Detail 2 6 5 2_Tertiary Salaries Survey" xfId="19782"/>
    <cellStyle name="RowTitles-Detail 2 6 5 3" xfId="19783"/>
    <cellStyle name="RowTitles-Detail 2 6 5 3 2" xfId="19784"/>
    <cellStyle name="RowTitles-Detail 2 6 5 3 2 2" xfId="19785"/>
    <cellStyle name="RowTitles-Detail 2 6 5 3 2_Tertiary Salaries Survey" xfId="19786"/>
    <cellStyle name="RowTitles-Detail 2 6 5 3 3" xfId="19787"/>
    <cellStyle name="RowTitles-Detail 2 6 5 3_Tertiary Salaries Survey" xfId="19788"/>
    <cellStyle name="RowTitles-Detail 2 6 5 4" xfId="19789"/>
    <cellStyle name="RowTitles-Detail 2 6 5 4 2" xfId="19790"/>
    <cellStyle name="RowTitles-Detail 2 6 5 4_Tertiary Salaries Survey" xfId="19791"/>
    <cellStyle name="RowTitles-Detail 2 6 5 5" xfId="19792"/>
    <cellStyle name="RowTitles-Detail 2 6 5_Tertiary Salaries Survey" xfId="19793"/>
    <cellStyle name="RowTitles-Detail 2 6 6" xfId="19794"/>
    <cellStyle name="RowTitles-Detail 2 6 6 2" xfId="19795"/>
    <cellStyle name="RowTitles-Detail 2 6 6 2 2" xfId="19796"/>
    <cellStyle name="RowTitles-Detail 2 6 6 2 2 2" xfId="19797"/>
    <cellStyle name="RowTitles-Detail 2 6 6 2 2_Tertiary Salaries Survey" xfId="19798"/>
    <cellStyle name="RowTitles-Detail 2 6 6 2 3" xfId="19799"/>
    <cellStyle name="RowTitles-Detail 2 6 6 2_Tertiary Salaries Survey" xfId="19800"/>
    <cellStyle name="RowTitles-Detail 2 6 6 3" xfId="19801"/>
    <cellStyle name="RowTitles-Detail 2 6 6 3 2" xfId="19802"/>
    <cellStyle name="RowTitles-Detail 2 6 6 3 2 2" xfId="19803"/>
    <cellStyle name="RowTitles-Detail 2 6 6 3 2_Tertiary Salaries Survey" xfId="19804"/>
    <cellStyle name="RowTitles-Detail 2 6 6 3 3" xfId="19805"/>
    <cellStyle name="RowTitles-Detail 2 6 6 3_Tertiary Salaries Survey" xfId="19806"/>
    <cellStyle name="RowTitles-Detail 2 6 6 4" xfId="19807"/>
    <cellStyle name="RowTitles-Detail 2 6 6 4 2" xfId="19808"/>
    <cellStyle name="RowTitles-Detail 2 6 6 4_Tertiary Salaries Survey" xfId="19809"/>
    <cellStyle name="RowTitles-Detail 2 6 6 5" xfId="19810"/>
    <cellStyle name="RowTitles-Detail 2 6 6_Tertiary Salaries Survey" xfId="19811"/>
    <cellStyle name="RowTitles-Detail 2 6 7" xfId="19812"/>
    <cellStyle name="RowTitles-Detail 2 6 7 2" xfId="19813"/>
    <cellStyle name="RowTitles-Detail 2 6 7 2 2" xfId="19814"/>
    <cellStyle name="RowTitles-Detail 2 6 7 2_Tertiary Salaries Survey" xfId="19815"/>
    <cellStyle name="RowTitles-Detail 2 6 7 3" xfId="19816"/>
    <cellStyle name="RowTitles-Detail 2 6 7_Tertiary Salaries Survey" xfId="19817"/>
    <cellStyle name="RowTitles-Detail 2 6 8" xfId="19818"/>
    <cellStyle name="RowTitles-Detail 2 6 8 2" xfId="19819"/>
    <cellStyle name="RowTitles-Detail 2 6 8 2 2" xfId="19820"/>
    <cellStyle name="RowTitles-Detail 2 6 8 2_Tertiary Salaries Survey" xfId="19821"/>
    <cellStyle name="RowTitles-Detail 2 6 8 3" xfId="19822"/>
    <cellStyle name="RowTitles-Detail 2 6 8_Tertiary Salaries Survey" xfId="19823"/>
    <cellStyle name="RowTitles-Detail 2 6 9" xfId="19824"/>
    <cellStyle name="RowTitles-Detail 2 6_STUD aligned by INSTIT" xfId="19825"/>
    <cellStyle name="RowTitles-Detail 2 7" xfId="19826"/>
    <cellStyle name="RowTitles-Detail 2 7 2" xfId="19827"/>
    <cellStyle name="RowTitles-Detail 2 7 2 2" xfId="19828"/>
    <cellStyle name="RowTitles-Detail 2 7 2 2 2" xfId="19829"/>
    <cellStyle name="RowTitles-Detail 2 7 2 2 2 2" xfId="19830"/>
    <cellStyle name="RowTitles-Detail 2 7 2 2 2_Tertiary Salaries Survey" xfId="19831"/>
    <cellStyle name="RowTitles-Detail 2 7 2 2 3" xfId="19832"/>
    <cellStyle name="RowTitles-Detail 2 7 2 2_Tertiary Salaries Survey" xfId="19833"/>
    <cellStyle name="RowTitles-Detail 2 7 2 3" xfId="19834"/>
    <cellStyle name="RowTitles-Detail 2 7 2 3 2" xfId="19835"/>
    <cellStyle name="RowTitles-Detail 2 7 2 3 2 2" xfId="19836"/>
    <cellStyle name="RowTitles-Detail 2 7 2 3 2_Tertiary Salaries Survey" xfId="19837"/>
    <cellStyle name="RowTitles-Detail 2 7 2 3 3" xfId="19838"/>
    <cellStyle name="RowTitles-Detail 2 7 2 3_Tertiary Salaries Survey" xfId="19839"/>
    <cellStyle name="RowTitles-Detail 2 7 2 4" xfId="19840"/>
    <cellStyle name="RowTitles-Detail 2 7 2 5" xfId="19841"/>
    <cellStyle name="RowTitles-Detail 2 7 2_Tertiary Salaries Survey" xfId="19842"/>
    <cellStyle name="RowTitles-Detail 2 7 3" xfId="19843"/>
    <cellStyle name="RowTitles-Detail 2 7 3 2" xfId="19844"/>
    <cellStyle name="RowTitles-Detail 2 7 3 2 2" xfId="19845"/>
    <cellStyle name="RowTitles-Detail 2 7 3 2 2 2" xfId="19846"/>
    <cellStyle name="RowTitles-Detail 2 7 3 2 2_Tertiary Salaries Survey" xfId="19847"/>
    <cellStyle name="RowTitles-Detail 2 7 3 2 3" xfId="19848"/>
    <cellStyle name="RowTitles-Detail 2 7 3 2_Tertiary Salaries Survey" xfId="19849"/>
    <cellStyle name="RowTitles-Detail 2 7 3 3" xfId="19850"/>
    <cellStyle name="RowTitles-Detail 2 7 3 3 2" xfId="19851"/>
    <cellStyle name="RowTitles-Detail 2 7 3 3 2 2" xfId="19852"/>
    <cellStyle name="RowTitles-Detail 2 7 3 3 2_Tertiary Salaries Survey" xfId="19853"/>
    <cellStyle name="RowTitles-Detail 2 7 3 3 3" xfId="19854"/>
    <cellStyle name="RowTitles-Detail 2 7 3 3_Tertiary Salaries Survey" xfId="19855"/>
    <cellStyle name="RowTitles-Detail 2 7 3 4" xfId="19856"/>
    <cellStyle name="RowTitles-Detail 2 7 3 4 2" xfId="19857"/>
    <cellStyle name="RowTitles-Detail 2 7 3 4_Tertiary Salaries Survey" xfId="19858"/>
    <cellStyle name="RowTitles-Detail 2 7 3 5" xfId="19859"/>
    <cellStyle name="RowTitles-Detail 2 7 3_Tertiary Salaries Survey" xfId="19860"/>
    <cellStyle name="RowTitles-Detail 2 7 4" xfId="19861"/>
    <cellStyle name="RowTitles-Detail 2 7 4 2" xfId="19862"/>
    <cellStyle name="RowTitles-Detail 2 7 4 2 2" xfId="19863"/>
    <cellStyle name="RowTitles-Detail 2 7 4 2 2 2" xfId="19864"/>
    <cellStyle name="RowTitles-Detail 2 7 4 2 2_Tertiary Salaries Survey" xfId="19865"/>
    <cellStyle name="RowTitles-Detail 2 7 4 2 3" xfId="19866"/>
    <cellStyle name="RowTitles-Detail 2 7 4 2_Tertiary Salaries Survey" xfId="19867"/>
    <cellStyle name="RowTitles-Detail 2 7 4 3" xfId="19868"/>
    <cellStyle name="RowTitles-Detail 2 7 4 3 2" xfId="19869"/>
    <cellStyle name="RowTitles-Detail 2 7 4 3 2 2" xfId="19870"/>
    <cellStyle name="RowTitles-Detail 2 7 4 3 2_Tertiary Salaries Survey" xfId="19871"/>
    <cellStyle name="RowTitles-Detail 2 7 4 3 3" xfId="19872"/>
    <cellStyle name="RowTitles-Detail 2 7 4 3_Tertiary Salaries Survey" xfId="19873"/>
    <cellStyle name="RowTitles-Detail 2 7 4 4" xfId="19874"/>
    <cellStyle name="RowTitles-Detail 2 7 4 4 2" xfId="19875"/>
    <cellStyle name="RowTitles-Detail 2 7 4 4_Tertiary Salaries Survey" xfId="19876"/>
    <cellStyle name="RowTitles-Detail 2 7 4 5" xfId="19877"/>
    <cellStyle name="RowTitles-Detail 2 7 4_Tertiary Salaries Survey" xfId="19878"/>
    <cellStyle name="RowTitles-Detail 2 7 5" xfId="19879"/>
    <cellStyle name="RowTitles-Detail 2 7 5 2" xfId="19880"/>
    <cellStyle name="RowTitles-Detail 2 7 5 2 2" xfId="19881"/>
    <cellStyle name="RowTitles-Detail 2 7 5 2 2 2" xfId="19882"/>
    <cellStyle name="RowTitles-Detail 2 7 5 2 2_Tertiary Salaries Survey" xfId="19883"/>
    <cellStyle name="RowTitles-Detail 2 7 5 2 3" xfId="19884"/>
    <cellStyle name="RowTitles-Detail 2 7 5 2_Tertiary Salaries Survey" xfId="19885"/>
    <cellStyle name="RowTitles-Detail 2 7 5 3" xfId="19886"/>
    <cellStyle name="RowTitles-Detail 2 7 5 3 2" xfId="19887"/>
    <cellStyle name="RowTitles-Detail 2 7 5 3 2 2" xfId="19888"/>
    <cellStyle name="RowTitles-Detail 2 7 5 3 2_Tertiary Salaries Survey" xfId="19889"/>
    <cellStyle name="RowTitles-Detail 2 7 5 3 3" xfId="19890"/>
    <cellStyle name="RowTitles-Detail 2 7 5 3_Tertiary Salaries Survey" xfId="19891"/>
    <cellStyle name="RowTitles-Detail 2 7 5 4" xfId="19892"/>
    <cellStyle name="RowTitles-Detail 2 7 5 4 2" xfId="19893"/>
    <cellStyle name="RowTitles-Detail 2 7 5 4_Tertiary Salaries Survey" xfId="19894"/>
    <cellStyle name="RowTitles-Detail 2 7 5 5" xfId="19895"/>
    <cellStyle name="RowTitles-Detail 2 7 5_Tertiary Salaries Survey" xfId="19896"/>
    <cellStyle name="RowTitles-Detail 2 7 6" xfId="19897"/>
    <cellStyle name="RowTitles-Detail 2 7 6 2" xfId="19898"/>
    <cellStyle name="RowTitles-Detail 2 7 6 2 2" xfId="19899"/>
    <cellStyle name="RowTitles-Detail 2 7 6 2 2 2" xfId="19900"/>
    <cellStyle name="RowTitles-Detail 2 7 6 2 2_Tertiary Salaries Survey" xfId="19901"/>
    <cellStyle name="RowTitles-Detail 2 7 6 2 3" xfId="19902"/>
    <cellStyle name="RowTitles-Detail 2 7 6 2_Tertiary Salaries Survey" xfId="19903"/>
    <cellStyle name="RowTitles-Detail 2 7 6 3" xfId="19904"/>
    <cellStyle name="RowTitles-Detail 2 7 6 3 2" xfId="19905"/>
    <cellStyle name="RowTitles-Detail 2 7 6 3 2 2" xfId="19906"/>
    <cellStyle name="RowTitles-Detail 2 7 6 3 2_Tertiary Salaries Survey" xfId="19907"/>
    <cellStyle name="RowTitles-Detail 2 7 6 3 3" xfId="19908"/>
    <cellStyle name="RowTitles-Detail 2 7 6 3_Tertiary Salaries Survey" xfId="19909"/>
    <cellStyle name="RowTitles-Detail 2 7 6 4" xfId="19910"/>
    <cellStyle name="RowTitles-Detail 2 7 6 4 2" xfId="19911"/>
    <cellStyle name="RowTitles-Detail 2 7 6 4_Tertiary Salaries Survey" xfId="19912"/>
    <cellStyle name="RowTitles-Detail 2 7 6 5" xfId="19913"/>
    <cellStyle name="RowTitles-Detail 2 7 6_Tertiary Salaries Survey" xfId="19914"/>
    <cellStyle name="RowTitles-Detail 2 7 7" xfId="19915"/>
    <cellStyle name="RowTitles-Detail 2 7 7 2" xfId="19916"/>
    <cellStyle name="RowTitles-Detail 2 7 7 2 2" xfId="19917"/>
    <cellStyle name="RowTitles-Detail 2 7 7 2_Tertiary Salaries Survey" xfId="19918"/>
    <cellStyle name="RowTitles-Detail 2 7 7 3" xfId="19919"/>
    <cellStyle name="RowTitles-Detail 2 7 7_Tertiary Salaries Survey" xfId="19920"/>
    <cellStyle name="RowTitles-Detail 2 7 8" xfId="19921"/>
    <cellStyle name="RowTitles-Detail 2 7 8 2" xfId="19922"/>
    <cellStyle name="RowTitles-Detail 2 7 8 2 2" xfId="19923"/>
    <cellStyle name="RowTitles-Detail 2 7 8 2_Tertiary Salaries Survey" xfId="19924"/>
    <cellStyle name="RowTitles-Detail 2 7 8 3" xfId="19925"/>
    <cellStyle name="RowTitles-Detail 2 7 8_Tertiary Salaries Survey" xfId="19926"/>
    <cellStyle name="RowTitles-Detail 2 7 9" xfId="19927"/>
    <cellStyle name="RowTitles-Detail 2 7_STUD aligned by INSTIT" xfId="19928"/>
    <cellStyle name="RowTitles-Detail 2 8" xfId="19929"/>
    <cellStyle name="RowTitles-Detail 2 8 2" xfId="19930"/>
    <cellStyle name="RowTitles-Detail 2 8 2 2" xfId="19931"/>
    <cellStyle name="RowTitles-Detail 2 8 2 2 2" xfId="19932"/>
    <cellStyle name="RowTitles-Detail 2 8 2 2_Tertiary Salaries Survey" xfId="19933"/>
    <cellStyle name="RowTitles-Detail 2 8 2 3" xfId="19934"/>
    <cellStyle name="RowTitles-Detail 2 8 2_Tertiary Salaries Survey" xfId="19935"/>
    <cellStyle name="RowTitles-Detail 2 8 3" xfId="19936"/>
    <cellStyle name="RowTitles-Detail 2 8 3 2" xfId="19937"/>
    <cellStyle name="RowTitles-Detail 2 8 3 2 2" xfId="19938"/>
    <cellStyle name="RowTitles-Detail 2 8 3 2_Tertiary Salaries Survey" xfId="19939"/>
    <cellStyle name="RowTitles-Detail 2 8 3 3" xfId="19940"/>
    <cellStyle name="RowTitles-Detail 2 8 3_Tertiary Salaries Survey" xfId="19941"/>
    <cellStyle name="RowTitles-Detail 2 8 4" xfId="19942"/>
    <cellStyle name="RowTitles-Detail 2 8 5" xfId="19943"/>
    <cellStyle name="RowTitles-Detail 2 8 5 2" xfId="19944"/>
    <cellStyle name="RowTitles-Detail 2 8 5_Tertiary Salaries Survey" xfId="19945"/>
    <cellStyle name="RowTitles-Detail 2 8 6" xfId="19946"/>
    <cellStyle name="RowTitles-Detail 2 8_Tertiary Salaries Survey" xfId="19947"/>
    <cellStyle name="RowTitles-Detail 2 9" xfId="19948"/>
    <cellStyle name="RowTitles-Detail 2 9 2" xfId="19949"/>
    <cellStyle name="RowTitles-Detail 2 9 2 2" xfId="19950"/>
    <cellStyle name="RowTitles-Detail 2 9 2 2 2" xfId="19951"/>
    <cellStyle name="RowTitles-Detail 2 9 2 2_Tertiary Salaries Survey" xfId="19952"/>
    <cellStyle name="RowTitles-Detail 2 9 2 3" xfId="19953"/>
    <cellStyle name="RowTitles-Detail 2 9 2_Tertiary Salaries Survey" xfId="19954"/>
    <cellStyle name="RowTitles-Detail 2 9 3" xfId="19955"/>
    <cellStyle name="RowTitles-Detail 2 9 3 2" xfId="19956"/>
    <cellStyle name="RowTitles-Detail 2 9 3 2 2" xfId="19957"/>
    <cellStyle name="RowTitles-Detail 2 9 3 2_Tertiary Salaries Survey" xfId="19958"/>
    <cellStyle name="RowTitles-Detail 2 9 3 3" xfId="19959"/>
    <cellStyle name="RowTitles-Detail 2 9 3_Tertiary Salaries Survey" xfId="19960"/>
    <cellStyle name="RowTitles-Detail 2 9 4" xfId="19961"/>
    <cellStyle name="RowTitles-Detail 2 9 5" xfId="19962"/>
    <cellStyle name="RowTitles-Detail 2 9_Tertiary Salaries Survey" xfId="19963"/>
    <cellStyle name="RowTitles-Detail 2_STUD aligned by INSTIT" xfId="19964"/>
    <cellStyle name="RowTitles-Detail 3" xfId="19965"/>
    <cellStyle name="RowTitles-Detail 3 10" xfId="19966"/>
    <cellStyle name="RowTitles-Detail 3 10 2" xfId="19967"/>
    <cellStyle name="RowTitles-Detail 3 10 2 2" xfId="19968"/>
    <cellStyle name="RowTitles-Detail 3 10 2 2 2" xfId="19969"/>
    <cellStyle name="RowTitles-Detail 3 10 2 2_Tertiary Salaries Survey" xfId="19970"/>
    <cellStyle name="RowTitles-Detail 3 10 2 3" xfId="19971"/>
    <cellStyle name="RowTitles-Detail 3 10 2_Tertiary Salaries Survey" xfId="19972"/>
    <cellStyle name="RowTitles-Detail 3 10 3" xfId="19973"/>
    <cellStyle name="RowTitles-Detail 3 10 3 2" xfId="19974"/>
    <cellStyle name="RowTitles-Detail 3 10 3 2 2" xfId="19975"/>
    <cellStyle name="RowTitles-Detail 3 10 3 2_Tertiary Salaries Survey" xfId="19976"/>
    <cellStyle name="RowTitles-Detail 3 10 3 3" xfId="19977"/>
    <cellStyle name="RowTitles-Detail 3 10 3_Tertiary Salaries Survey" xfId="19978"/>
    <cellStyle name="RowTitles-Detail 3 10 4" xfId="19979"/>
    <cellStyle name="RowTitles-Detail 3 10 4 2" xfId="19980"/>
    <cellStyle name="RowTitles-Detail 3 10 4_Tertiary Salaries Survey" xfId="19981"/>
    <cellStyle name="RowTitles-Detail 3 10 5" xfId="19982"/>
    <cellStyle name="RowTitles-Detail 3 10_Tertiary Salaries Survey" xfId="19983"/>
    <cellStyle name="RowTitles-Detail 3 11" xfId="19984"/>
    <cellStyle name="RowTitles-Detail 3 11 2" xfId="19985"/>
    <cellStyle name="RowTitles-Detail 3 11 2 2" xfId="19986"/>
    <cellStyle name="RowTitles-Detail 3 11 2 2 2" xfId="19987"/>
    <cellStyle name="RowTitles-Detail 3 11 2 2_Tertiary Salaries Survey" xfId="19988"/>
    <cellStyle name="RowTitles-Detail 3 11 2 3" xfId="19989"/>
    <cellStyle name="RowTitles-Detail 3 11 2_Tertiary Salaries Survey" xfId="19990"/>
    <cellStyle name="RowTitles-Detail 3 11 3" xfId="19991"/>
    <cellStyle name="RowTitles-Detail 3 11 3 2" xfId="19992"/>
    <cellStyle name="RowTitles-Detail 3 11 3 2 2" xfId="19993"/>
    <cellStyle name="RowTitles-Detail 3 11 3 2_Tertiary Salaries Survey" xfId="19994"/>
    <cellStyle name="RowTitles-Detail 3 11 3 3" xfId="19995"/>
    <cellStyle name="RowTitles-Detail 3 11 3_Tertiary Salaries Survey" xfId="19996"/>
    <cellStyle name="RowTitles-Detail 3 11 4" xfId="19997"/>
    <cellStyle name="RowTitles-Detail 3 11 4 2" xfId="19998"/>
    <cellStyle name="RowTitles-Detail 3 11 4_Tertiary Salaries Survey" xfId="19999"/>
    <cellStyle name="RowTitles-Detail 3 11 5" xfId="20000"/>
    <cellStyle name="RowTitles-Detail 3 11_Tertiary Salaries Survey" xfId="20001"/>
    <cellStyle name="RowTitles-Detail 3 12" xfId="20002"/>
    <cellStyle name="RowTitles-Detail 3 12 2" xfId="20003"/>
    <cellStyle name="RowTitles-Detail 3 12 2 2" xfId="20004"/>
    <cellStyle name="RowTitles-Detail 3 12 2_Tertiary Salaries Survey" xfId="20005"/>
    <cellStyle name="RowTitles-Detail 3 12 3" xfId="20006"/>
    <cellStyle name="RowTitles-Detail 3 12_Tertiary Salaries Survey" xfId="20007"/>
    <cellStyle name="RowTitles-Detail 3 13" xfId="20008"/>
    <cellStyle name="RowTitles-Detail 3 14" xfId="20009"/>
    <cellStyle name="RowTitles-Detail 3 15" xfId="20010"/>
    <cellStyle name="RowTitles-Detail 3 2" xfId="20011"/>
    <cellStyle name="RowTitles-Detail 3 2 10" xfId="20012"/>
    <cellStyle name="RowTitles-Detail 3 2 10 2" xfId="20013"/>
    <cellStyle name="RowTitles-Detail 3 2 10 2 2" xfId="20014"/>
    <cellStyle name="RowTitles-Detail 3 2 10 2 2 2" xfId="20015"/>
    <cellStyle name="RowTitles-Detail 3 2 10 2 2_Tertiary Salaries Survey" xfId="20016"/>
    <cellStyle name="RowTitles-Detail 3 2 10 2 3" xfId="20017"/>
    <cellStyle name="RowTitles-Detail 3 2 10 2_Tertiary Salaries Survey" xfId="20018"/>
    <cellStyle name="RowTitles-Detail 3 2 10 3" xfId="20019"/>
    <cellStyle name="RowTitles-Detail 3 2 10 3 2" xfId="20020"/>
    <cellStyle name="RowTitles-Detail 3 2 10 3 2 2" xfId="20021"/>
    <cellStyle name="RowTitles-Detail 3 2 10 3 2_Tertiary Salaries Survey" xfId="20022"/>
    <cellStyle name="RowTitles-Detail 3 2 10 3 3" xfId="20023"/>
    <cellStyle name="RowTitles-Detail 3 2 10 3_Tertiary Salaries Survey" xfId="20024"/>
    <cellStyle name="RowTitles-Detail 3 2 10 4" xfId="20025"/>
    <cellStyle name="RowTitles-Detail 3 2 10 4 2" xfId="20026"/>
    <cellStyle name="RowTitles-Detail 3 2 10 4_Tertiary Salaries Survey" xfId="20027"/>
    <cellStyle name="RowTitles-Detail 3 2 10 5" xfId="20028"/>
    <cellStyle name="RowTitles-Detail 3 2 10_Tertiary Salaries Survey" xfId="20029"/>
    <cellStyle name="RowTitles-Detail 3 2 11" xfId="20030"/>
    <cellStyle name="RowTitles-Detail 3 2 11 2" xfId="20031"/>
    <cellStyle name="RowTitles-Detail 3 2 11 2 2" xfId="20032"/>
    <cellStyle name="RowTitles-Detail 3 2 11 2_Tertiary Salaries Survey" xfId="20033"/>
    <cellStyle name="RowTitles-Detail 3 2 11 3" xfId="20034"/>
    <cellStyle name="RowTitles-Detail 3 2 11_Tertiary Salaries Survey" xfId="20035"/>
    <cellStyle name="RowTitles-Detail 3 2 12" xfId="20036"/>
    <cellStyle name="RowTitles-Detail 3 2 13" xfId="20037"/>
    <cellStyle name="RowTitles-Detail 3 2 2" xfId="20038"/>
    <cellStyle name="RowTitles-Detail 3 2 2 10" xfId="20039"/>
    <cellStyle name="RowTitles-Detail 3 2 2 10 2" xfId="20040"/>
    <cellStyle name="RowTitles-Detail 3 2 2 10 2 2" xfId="20041"/>
    <cellStyle name="RowTitles-Detail 3 2 2 10 2_Tertiary Salaries Survey" xfId="20042"/>
    <cellStyle name="RowTitles-Detail 3 2 2 10 3" xfId="20043"/>
    <cellStyle name="RowTitles-Detail 3 2 2 10_Tertiary Salaries Survey" xfId="20044"/>
    <cellStyle name="RowTitles-Detail 3 2 2 11" xfId="20045"/>
    <cellStyle name="RowTitles-Detail 3 2 2 12" xfId="20046"/>
    <cellStyle name="RowTitles-Detail 3 2 2 2" xfId="20047"/>
    <cellStyle name="RowTitles-Detail 3 2 2 2 2" xfId="20048"/>
    <cellStyle name="RowTitles-Detail 3 2 2 2 2 2" xfId="20049"/>
    <cellStyle name="RowTitles-Detail 3 2 2 2 2 2 2" xfId="20050"/>
    <cellStyle name="RowTitles-Detail 3 2 2 2 2 2 2 2" xfId="20051"/>
    <cellStyle name="RowTitles-Detail 3 2 2 2 2 2 2_Tertiary Salaries Survey" xfId="20052"/>
    <cellStyle name="RowTitles-Detail 3 2 2 2 2 2 3" xfId="20053"/>
    <cellStyle name="RowTitles-Detail 3 2 2 2 2 2_Tertiary Salaries Survey" xfId="20054"/>
    <cellStyle name="RowTitles-Detail 3 2 2 2 2 3" xfId="20055"/>
    <cellStyle name="RowTitles-Detail 3 2 2 2 2 3 2" xfId="20056"/>
    <cellStyle name="RowTitles-Detail 3 2 2 2 2 3 2 2" xfId="20057"/>
    <cellStyle name="RowTitles-Detail 3 2 2 2 2 3 2_Tertiary Salaries Survey" xfId="20058"/>
    <cellStyle name="RowTitles-Detail 3 2 2 2 2 3 3" xfId="20059"/>
    <cellStyle name="RowTitles-Detail 3 2 2 2 2 3_Tertiary Salaries Survey" xfId="20060"/>
    <cellStyle name="RowTitles-Detail 3 2 2 2 2 4" xfId="20061"/>
    <cellStyle name="RowTitles-Detail 3 2 2 2 2 5" xfId="20062"/>
    <cellStyle name="RowTitles-Detail 3 2 2 2 2_Tertiary Salaries Survey" xfId="20063"/>
    <cellStyle name="RowTitles-Detail 3 2 2 2 3" xfId="20064"/>
    <cellStyle name="RowTitles-Detail 3 2 2 2 3 2" xfId="20065"/>
    <cellStyle name="RowTitles-Detail 3 2 2 2 3 2 2" xfId="20066"/>
    <cellStyle name="RowTitles-Detail 3 2 2 2 3 2 2 2" xfId="20067"/>
    <cellStyle name="RowTitles-Detail 3 2 2 2 3 2 2_Tertiary Salaries Survey" xfId="20068"/>
    <cellStyle name="RowTitles-Detail 3 2 2 2 3 2 3" xfId="20069"/>
    <cellStyle name="RowTitles-Detail 3 2 2 2 3 2_Tertiary Salaries Survey" xfId="20070"/>
    <cellStyle name="RowTitles-Detail 3 2 2 2 3 3" xfId="20071"/>
    <cellStyle name="RowTitles-Detail 3 2 2 2 3 3 2" xfId="20072"/>
    <cellStyle name="RowTitles-Detail 3 2 2 2 3 3 2 2" xfId="20073"/>
    <cellStyle name="RowTitles-Detail 3 2 2 2 3 3 2_Tertiary Salaries Survey" xfId="20074"/>
    <cellStyle name="RowTitles-Detail 3 2 2 2 3 3 3" xfId="20075"/>
    <cellStyle name="RowTitles-Detail 3 2 2 2 3 3_Tertiary Salaries Survey" xfId="20076"/>
    <cellStyle name="RowTitles-Detail 3 2 2 2 3 4" xfId="20077"/>
    <cellStyle name="RowTitles-Detail 3 2 2 2 3 5" xfId="20078"/>
    <cellStyle name="RowTitles-Detail 3 2 2 2 3 5 2" xfId="20079"/>
    <cellStyle name="RowTitles-Detail 3 2 2 2 3 5_Tertiary Salaries Survey" xfId="20080"/>
    <cellStyle name="RowTitles-Detail 3 2 2 2 3 6" xfId="20081"/>
    <cellStyle name="RowTitles-Detail 3 2 2 2 3_Tertiary Salaries Survey" xfId="20082"/>
    <cellStyle name="RowTitles-Detail 3 2 2 2 4" xfId="20083"/>
    <cellStyle name="RowTitles-Detail 3 2 2 2 4 2" xfId="20084"/>
    <cellStyle name="RowTitles-Detail 3 2 2 2 4 2 2" xfId="20085"/>
    <cellStyle name="RowTitles-Detail 3 2 2 2 4 2 2 2" xfId="20086"/>
    <cellStyle name="RowTitles-Detail 3 2 2 2 4 2 2_Tertiary Salaries Survey" xfId="20087"/>
    <cellStyle name="RowTitles-Detail 3 2 2 2 4 2 3" xfId="20088"/>
    <cellStyle name="RowTitles-Detail 3 2 2 2 4 2_Tertiary Salaries Survey" xfId="20089"/>
    <cellStyle name="RowTitles-Detail 3 2 2 2 4 3" xfId="20090"/>
    <cellStyle name="RowTitles-Detail 3 2 2 2 4 3 2" xfId="20091"/>
    <cellStyle name="RowTitles-Detail 3 2 2 2 4 3 2 2" xfId="20092"/>
    <cellStyle name="RowTitles-Detail 3 2 2 2 4 3 2_Tertiary Salaries Survey" xfId="20093"/>
    <cellStyle name="RowTitles-Detail 3 2 2 2 4 3 3" xfId="20094"/>
    <cellStyle name="RowTitles-Detail 3 2 2 2 4 3_Tertiary Salaries Survey" xfId="20095"/>
    <cellStyle name="RowTitles-Detail 3 2 2 2 4 4" xfId="20096"/>
    <cellStyle name="RowTitles-Detail 3 2 2 2 4 4 2" xfId="20097"/>
    <cellStyle name="RowTitles-Detail 3 2 2 2 4 4_Tertiary Salaries Survey" xfId="20098"/>
    <cellStyle name="RowTitles-Detail 3 2 2 2 4 5" xfId="20099"/>
    <cellStyle name="RowTitles-Detail 3 2 2 2 4_Tertiary Salaries Survey" xfId="20100"/>
    <cellStyle name="RowTitles-Detail 3 2 2 2 5" xfId="20101"/>
    <cellStyle name="RowTitles-Detail 3 2 2 2 5 2" xfId="20102"/>
    <cellStyle name="RowTitles-Detail 3 2 2 2 5 2 2" xfId="20103"/>
    <cellStyle name="RowTitles-Detail 3 2 2 2 5 2 2 2" xfId="20104"/>
    <cellStyle name="RowTitles-Detail 3 2 2 2 5 2 2_Tertiary Salaries Survey" xfId="20105"/>
    <cellStyle name="RowTitles-Detail 3 2 2 2 5 2 3" xfId="20106"/>
    <cellStyle name="RowTitles-Detail 3 2 2 2 5 2_Tertiary Salaries Survey" xfId="20107"/>
    <cellStyle name="RowTitles-Detail 3 2 2 2 5 3" xfId="20108"/>
    <cellStyle name="RowTitles-Detail 3 2 2 2 5 3 2" xfId="20109"/>
    <cellStyle name="RowTitles-Detail 3 2 2 2 5 3 2 2" xfId="20110"/>
    <cellStyle name="RowTitles-Detail 3 2 2 2 5 3 2_Tertiary Salaries Survey" xfId="20111"/>
    <cellStyle name="RowTitles-Detail 3 2 2 2 5 3 3" xfId="20112"/>
    <cellStyle name="RowTitles-Detail 3 2 2 2 5 3_Tertiary Salaries Survey" xfId="20113"/>
    <cellStyle name="RowTitles-Detail 3 2 2 2 5 4" xfId="20114"/>
    <cellStyle name="RowTitles-Detail 3 2 2 2 5 4 2" xfId="20115"/>
    <cellStyle name="RowTitles-Detail 3 2 2 2 5 4_Tertiary Salaries Survey" xfId="20116"/>
    <cellStyle name="RowTitles-Detail 3 2 2 2 5 5" xfId="20117"/>
    <cellStyle name="RowTitles-Detail 3 2 2 2 5_Tertiary Salaries Survey" xfId="20118"/>
    <cellStyle name="RowTitles-Detail 3 2 2 2 6" xfId="20119"/>
    <cellStyle name="RowTitles-Detail 3 2 2 2 6 2" xfId="20120"/>
    <cellStyle name="RowTitles-Detail 3 2 2 2 6 2 2" xfId="20121"/>
    <cellStyle name="RowTitles-Detail 3 2 2 2 6 2 2 2" xfId="20122"/>
    <cellStyle name="RowTitles-Detail 3 2 2 2 6 2 2_Tertiary Salaries Survey" xfId="20123"/>
    <cellStyle name="RowTitles-Detail 3 2 2 2 6 2 3" xfId="20124"/>
    <cellStyle name="RowTitles-Detail 3 2 2 2 6 2_Tertiary Salaries Survey" xfId="20125"/>
    <cellStyle name="RowTitles-Detail 3 2 2 2 6 3" xfId="20126"/>
    <cellStyle name="RowTitles-Detail 3 2 2 2 6 3 2" xfId="20127"/>
    <cellStyle name="RowTitles-Detail 3 2 2 2 6 3 2 2" xfId="20128"/>
    <cellStyle name="RowTitles-Detail 3 2 2 2 6 3 2_Tertiary Salaries Survey" xfId="20129"/>
    <cellStyle name="RowTitles-Detail 3 2 2 2 6 3 3" xfId="20130"/>
    <cellStyle name="RowTitles-Detail 3 2 2 2 6 3_Tertiary Salaries Survey" xfId="20131"/>
    <cellStyle name="RowTitles-Detail 3 2 2 2 6 4" xfId="20132"/>
    <cellStyle name="RowTitles-Detail 3 2 2 2 6 4 2" xfId="20133"/>
    <cellStyle name="RowTitles-Detail 3 2 2 2 6 4_Tertiary Salaries Survey" xfId="20134"/>
    <cellStyle name="RowTitles-Detail 3 2 2 2 6 5" xfId="20135"/>
    <cellStyle name="RowTitles-Detail 3 2 2 2 6_Tertiary Salaries Survey" xfId="20136"/>
    <cellStyle name="RowTitles-Detail 3 2 2 2 7" xfId="20137"/>
    <cellStyle name="RowTitles-Detail 3 2 2 2 7 2" xfId="20138"/>
    <cellStyle name="RowTitles-Detail 3 2 2 2 7 2 2" xfId="20139"/>
    <cellStyle name="RowTitles-Detail 3 2 2 2 7 2_Tertiary Salaries Survey" xfId="20140"/>
    <cellStyle name="RowTitles-Detail 3 2 2 2 7 3" xfId="20141"/>
    <cellStyle name="RowTitles-Detail 3 2 2 2 7_Tertiary Salaries Survey" xfId="20142"/>
    <cellStyle name="RowTitles-Detail 3 2 2 2 8" xfId="20143"/>
    <cellStyle name="RowTitles-Detail 3 2 2 2 9" xfId="20144"/>
    <cellStyle name="RowTitles-Detail 3 2 2 2_STUD aligned by INSTIT" xfId="20145"/>
    <cellStyle name="RowTitles-Detail 3 2 2 3" xfId="20146"/>
    <cellStyle name="RowTitles-Detail 3 2 2 3 2" xfId="20147"/>
    <cellStyle name="RowTitles-Detail 3 2 2 3 2 2" xfId="20148"/>
    <cellStyle name="RowTitles-Detail 3 2 2 3 2 2 2" xfId="20149"/>
    <cellStyle name="RowTitles-Detail 3 2 2 3 2 2 2 2" xfId="20150"/>
    <cellStyle name="RowTitles-Detail 3 2 2 3 2 2 2_Tertiary Salaries Survey" xfId="20151"/>
    <cellStyle name="RowTitles-Detail 3 2 2 3 2 2 3" xfId="20152"/>
    <cellStyle name="RowTitles-Detail 3 2 2 3 2 2_Tertiary Salaries Survey" xfId="20153"/>
    <cellStyle name="RowTitles-Detail 3 2 2 3 2 3" xfId="20154"/>
    <cellStyle name="RowTitles-Detail 3 2 2 3 2 3 2" xfId="20155"/>
    <cellStyle name="RowTitles-Detail 3 2 2 3 2 3 2 2" xfId="20156"/>
    <cellStyle name="RowTitles-Detail 3 2 2 3 2 3 2_Tertiary Salaries Survey" xfId="20157"/>
    <cellStyle name="RowTitles-Detail 3 2 2 3 2 3 3" xfId="20158"/>
    <cellStyle name="RowTitles-Detail 3 2 2 3 2 3_Tertiary Salaries Survey" xfId="20159"/>
    <cellStyle name="RowTitles-Detail 3 2 2 3 2 4" xfId="20160"/>
    <cellStyle name="RowTitles-Detail 3 2 2 3 2 5" xfId="20161"/>
    <cellStyle name="RowTitles-Detail 3 2 2 3 2 5 2" xfId="20162"/>
    <cellStyle name="RowTitles-Detail 3 2 2 3 2 5_Tertiary Salaries Survey" xfId="20163"/>
    <cellStyle name="RowTitles-Detail 3 2 2 3 2 6" xfId="20164"/>
    <cellStyle name="RowTitles-Detail 3 2 2 3 2_Tertiary Salaries Survey" xfId="20165"/>
    <cellStyle name="RowTitles-Detail 3 2 2 3 3" xfId="20166"/>
    <cellStyle name="RowTitles-Detail 3 2 2 3 3 2" xfId="20167"/>
    <cellStyle name="RowTitles-Detail 3 2 2 3 3 2 2" xfId="20168"/>
    <cellStyle name="RowTitles-Detail 3 2 2 3 3 2 2 2" xfId="20169"/>
    <cellStyle name="RowTitles-Detail 3 2 2 3 3 2 2_Tertiary Salaries Survey" xfId="20170"/>
    <cellStyle name="RowTitles-Detail 3 2 2 3 3 2 3" xfId="20171"/>
    <cellStyle name="RowTitles-Detail 3 2 2 3 3 2_Tertiary Salaries Survey" xfId="20172"/>
    <cellStyle name="RowTitles-Detail 3 2 2 3 3 3" xfId="20173"/>
    <cellStyle name="RowTitles-Detail 3 2 2 3 3 3 2" xfId="20174"/>
    <cellStyle name="RowTitles-Detail 3 2 2 3 3 3 2 2" xfId="20175"/>
    <cellStyle name="RowTitles-Detail 3 2 2 3 3 3 2_Tertiary Salaries Survey" xfId="20176"/>
    <cellStyle name="RowTitles-Detail 3 2 2 3 3 3 3" xfId="20177"/>
    <cellStyle name="RowTitles-Detail 3 2 2 3 3 3_Tertiary Salaries Survey" xfId="20178"/>
    <cellStyle name="RowTitles-Detail 3 2 2 3 3 4" xfId="20179"/>
    <cellStyle name="RowTitles-Detail 3 2 2 3 3 5" xfId="20180"/>
    <cellStyle name="RowTitles-Detail 3 2 2 3 3_Tertiary Salaries Survey" xfId="20181"/>
    <cellStyle name="RowTitles-Detail 3 2 2 3 4" xfId="20182"/>
    <cellStyle name="RowTitles-Detail 3 2 2 3 4 2" xfId="20183"/>
    <cellStyle name="RowTitles-Detail 3 2 2 3 4 2 2" xfId="20184"/>
    <cellStyle name="RowTitles-Detail 3 2 2 3 4 2 2 2" xfId="20185"/>
    <cellStyle name="RowTitles-Detail 3 2 2 3 4 2 2_Tertiary Salaries Survey" xfId="20186"/>
    <cellStyle name="RowTitles-Detail 3 2 2 3 4 2 3" xfId="20187"/>
    <cellStyle name="RowTitles-Detail 3 2 2 3 4 2_Tertiary Salaries Survey" xfId="20188"/>
    <cellStyle name="RowTitles-Detail 3 2 2 3 4 3" xfId="20189"/>
    <cellStyle name="RowTitles-Detail 3 2 2 3 4 3 2" xfId="20190"/>
    <cellStyle name="RowTitles-Detail 3 2 2 3 4 3 2 2" xfId="20191"/>
    <cellStyle name="RowTitles-Detail 3 2 2 3 4 3 2_Tertiary Salaries Survey" xfId="20192"/>
    <cellStyle name="RowTitles-Detail 3 2 2 3 4 3 3" xfId="20193"/>
    <cellStyle name="RowTitles-Detail 3 2 2 3 4 3_Tertiary Salaries Survey" xfId="20194"/>
    <cellStyle name="RowTitles-Detail 3 2 2 3 4 4" xfId="20195"/>
    <cellStyle name="RowTitles-Detail 3 2 2 3 4 4 2" xfId="20196"/>
    <cellStyle name="RowTitles-Detail 3 2 2 3 4 4_Tertiary Salaries Survey" xfId="20197"/>
    <cellStyle name="RowTitles-Detail 3 2 2 3 4 5" xfId="20198"/>
    <cellStyle name="RowTitles-Detail 3 2 2 3 4_Tertiary Salaries Survey" xfId="20199"/>
    <cellStyle name="RowTitles-Detail 3 2 2 3 5" xfId="20200"/>
    <cellStyle name="RowTitles-Detail 3 2 2 3 5 2" xfId="20201"/>
    <cellStyle name="RowTitles-Detail 3 2 2 3 5 2 2" xfId="20202"/>
    <cellStyle name="RowTitles-Detail 3 2 2 3 5 2 2 2" xfId="20203"/>
    <cellStyle name="RowTitles-Detail 3 2 2 3 5 2 2_Tertiary Salaries Survey" xfId="20204"/>
    <cellStyle name="RowTitles-Detail 3 2 2 3 5 2 3" xfId="20205"/>
    <cellStyle name="RowTitles-Detail 3 2 2 3 5 2_Tertiary Salaries Survey" xfId="20206"/>
    <cellStyle name="RowTitles-Detail 3 2 2 3 5 3" xfId="20207"/>
    <cellStyle name="RowTitles-Detail 3 2 2 3 5 3 2" xfId="20208"/>
    <cellStyle name="RowTitles-Detail 3 2 2 3 5 3 2 2" xfId="20209"/>
    <cellStyle name="RowTitles-Detail 3 2 2 3 5 3 2_Tertiary Salaries Survey" xfId="20210"/>
    <cellStyle name="RowTitles-Detail 3 2 2 3 5 3 3" xfId="20211"/>
    <cellStyle name="RowTitles-Detail 3 2 2 3 5 3_Tertiary Salaries Survey" xfId="20212"/>
    <cellStyle name="RowTitles-Detail 3 2 2 3 5 4" xfId="20213"/>
    <cellStyle name="RowTitles-Detail 3 2 2 3 5 4 2" xfId="20214"/>
    <cellStyle name="RowTitles-Detail 3 2 2 3 5 4_Tertiary Salaries Survey" xfId="20215"/>
    <cellStyle name="RowTitles-Detail 3 2 2 3 5 5" xfId="20216"/>
    <cellStyle name="RowTitles-Detail 3 2 2 3 5_Tertiary Salaries Survey" xfId="20217"/>
    <cellStyle name="RowTitles-Detail 3 2 2 3 6" xfId="20218"/>
    <cellStyle name="RowTitles-Detail 3 2 2 3 6 2" xfId="20219"/>
    <cellStyle name="RowTitles-Detail 3 2 2 3 6 2 2" xfId="20220"/>
    <cellStyle name="RowTitles-Detail 3 2 2 3 6 2 2 2" xfId="20221"/>
    <cellStyle name="RowTitles-Detail 3 2 2 3 6 2 2_Tertiary Salaries Survey" xfId="20222"/>
    <cellStyle name="RowTitles-Detail 3 2 2 3 6 2 3" xfId="20223"/>
    <cellStyle name="RowTitles-Detail 3 2 2 3 6 2_Tertiary Salaries Survey" xfId="20224"/>
    <cellStyle name="RowTitles-Detail 3 2 2 3 6 3" xfId="20225"/>
    <cellStyle name="RowTitles-Detail 3 2 2 3 6 3 2" xfId="20226"/>
    <cellStyle name="RowTitles-Detail 3 2 2 3 6 3 2 2" xfId="20227"/>
    <cellStyle name="RowTitles-Detail 3 2 2 3 6 3 2_Tertiary Salaries Survey" xfId="20228"/>
    <cellStyle name="RowTitles-Detail 3 2 2 3 6 3 3" xfId="20229"/>
    <cellStyle name="RowTitles-Detail 3 2 2 3 6 3_Tertiary Salaries Survey" xfId="20230"/>
    <cellStyle name="RowTitles-Detail 3 2 2 3 6 4" xfId="20231"/>
    <cellStyle name="RowTitles-Detail 3 2 2 3 6 4 2" xfId="20232"/>
    <cellStyle name="RowTitles-Detail 3 2 2 3 6 4_Tertiary Salaries Survey" xfId="20233"/>
    <cellStyle name="RowTitles-Detail 3 2 2 3 6 5" xfId="20234"/>
    <cellStyle name="RowTitles-Detail 3 2 2 3 6_Tertiary Salaries Survey" xfId="20235"/>
    <cellStyle name="RowTitles-Detail 3 2 2 3 7" xfId="20236"/>
    <cellStyle name="RowTitles-Detail 3 2 2 3 7 2" xfId="20237"/>
    <cellStyle name="RowTitles-Detail 3 2 2 3 7 2 2" xfId="20238"/>
    <cellStyle name="RowTitles-Detail 3 2 2 3 7 2_Tertiary Salaries Survey" xfId="20239"/>
    <cellStyle name="RowTitles-Detail 3 2 2 3 7 3" xfId="20240"/>
    <cellStyle name="RowTitles-Detail 3 2 2 3 7_Tertiary Salaries Survey" xfId="20241"/>
    <cellStyle name="RowTitles-Detail 3 2 2 3 8" xfId="20242"/>
    <cellStyle name="RowTitles-Detail 3 2 2 3 8 2" xfId="20243"/>
    <cellStyle name="RowTitles-Detail 3 2 2 3 8 2 2" xfId="20244"/>
    <cellStyle name="RowTitles-Detail 3 2 2 3 8 2_Tertiary Salaries Survey" xfId="20245"/>
    <cellStyle name="RowTitles-Detail 3 2 2 3 8 3" xfId="20246"/>
    <cellStyle name="RowTitles-Detail 3 2 2 3 8_Tertiary Salaries Survey" xfId="20247"/>
    <cellStyle name="RowTitles-Detail 3 2 2 3 9" xfId="20248"/>
    <cellStyle name="RowTitles-Detail 3 2 2 3_STUD aligned by INSTIT" xfId="20249"/>
    <cellStyle name="RowTitles-Detail 3 2 2 4" xfId="20250"/>
    <cellStyle name="RowTitles-Detail 3 2 2 4 2" xfId="20251"/>
    <cellStyle name="RowTitles-Detail 3 2 2 4 2 2" xfId="20252"/>
    <cellStyle name="RowTitles-Detail 3 2 2 4 2 2 2" xfId="20253"/>
    <cellStyle name="RowTitles-Detail 3 2 2 4 2 2 2 2" xfId="20254"/>
    <cellStyle name="RowTitles-Detail 3 2 2 4 2 2 2_Tertiary Salaries Survey" xfId="20255"/>
    <cellStyle name="RowTitles-Detail 3 2 2 4 2 2 3" xfId="20256"/>
    <cellStyle name="RowTitles-Detail 3 2 2 4 2 2_Tertiary Salaries Survey" xfId="20257"/>
    <cellStyle name="RowTitles-Detail 3 2 2 4 2 3" xfId="20258"/>
    <cellStyle name="RowTitles-Detail 3 2 2 4 2 3 2" xfId="20259"/>
    <cellStyle name="RowTitles-Detail 3 2 2 4 2 3 2 2" xfId="20260"/>
    <cellStyle name="RowTitles-Detail 3 2 2 4 2 3 2_Tertiary Salaries Survey" xfId="20261"/>
    <cellStyle name="RowTitles-Detail 3 2 2 4 2 3 3" xfId="20262"/>
    <cellStyle name="RowTitles-Detail 3 2 2 4 2 3_Tertiary Salaries Survey" xfId="20263"/>
    <cellStyle name="RowTitles-Detail 3 2 2 4 2 4" xfId="20264"/>
    <cellStyle name="RowTitles-Detail 3 2 2 4 2 5" xfId="20265"/>
    <cellStyle name="RowTitles-Detail 3 2 2 4 2 5 2" xfId="20266"/>
    <cellStyle name="RowTitles-Detail 3 2 2 4 2 5_Tertiary Salaries Survey" xfId="20267"/>
    <cellStyle name="RowTitles-Detail 3 2 2 4 2 6" xfId="20268"/>
    <cellStyle name="RowTitles-Detail 3 2 2 4 2_Tertiary Salaries Survey" xfId="20269"/>
    <cellStyle name="RowTitles-Detail 3 2 2 4 3" xfId="20270"/>
    <cellStyle name="RowTitles-Detail 3 2 2 4 3 2" xfId="20271"/>
    <cellStyle name="RowTitles-Detail 3 2 2 4 3 2 2" xfId="20272"/>
    <cellStyle name="RowTitles-Detail 3 2 2 4 3 2 2 2" xfId="20273"/>
    <cellStyle name="RowTitles-Detail 3 2 2 4 3 2 2_Tertiary Salaries Survey" xfId="20274"/>
    <cellStyle name="RowTitles-Detail 3 2 2 4 3 2 3" xfId="20275"/>
    <cellStyle name="RowTitles-Detail 3 2 2 4 3 2_Tertiary Salaries Survey" xfId="20276"/>
    <cellStyle name="RowTitles-Detail 3 2 2 4 3 3" xfId="20277"/>
    <cellStyle name="RowTitles-Detail 3 2 2 4 3 3 2" xfId="20278"/>
    <cellStyle name="RowTitles-Detail 3 2 2 4 3 3 2 2" xfId="20279"/>
    <cellStyle name="RowTitles-Detail 3 2 2 4 3 3 2_Tertiary Salaries Survey" xfId="20280"/>
    <cellStyle name="RowTitles-Detail 3 2 2 4 3 3 3" xfId="20281"/>
    <cellStyle name="RowTitles-Detail 3 2 2 4 3 3_Tertiary Salaries Survey" xfId="20282"/>
    <cellStyle name="RowTitles-Detail 3 2 2 4 3 4" xfId="20283"/>
    <cellStyle name="RowTitles-Detail 3 2 2 4 3 5" xfId="20284"/>
    <cellStyle name="RowTitles-Detail 3 2 2 4 3_Tertiary Salaries Survey" xfId="20285"/>
    <cellStyle name="RowTitles-Detail 3 2 2 4 4" xfId="20286"/>
    <cellStyle name="RowTitles-Detail 3 2 2 4 4 2" xfId="20287"/>
    <cellStyle name="RowTitles-Detail 3 2 2 4 4 2 2" xfId="20288"/>
    <cellStyle name="RowTitles-Detail 3 2 2 4 4 2 2 2" xfId="20289"/>
    <cellStyle name="RowTitles-Detail 3 2 2 4 4 2 2_Tertiary Salaries Survey" xfId="20290"/>
    <cellStyle name="RowTitles-Detail 3 2 2 4 4 2 3" xfId="20291"/>
    <cellStyle name="RowTitles-Detail 3 2 2 4 4 2_Tertiary Salaries Survey" xfId="20292"/>
    <cellStyle name="RowTitles-Detail 3 2 2 4 4 3" xfId="20293"/>
    <cellStyle name="RowTitles-Detail 3 2 2 4 4 3 2" xfId="20294"/>
    <cellStyle name="RowTitles-Detail 3 2 2 4 4 3 2 2" xfId="20295"/>
    <cellStyle name="RowTitles-Detail 3 2 2 4 4 3 2_Tertiary Salaries Survey" xfId="20296"/>
    <cellStyle name="RowTitles-Detail 3 2 2 4 4 3 3" xfId="20297"/>
    <cellStyle name="RowTitles-Detail 3 2 2 4 4 3_Tertiary Salaries Survey" xfId="20298"/>
    <cellStyle name="RowTitles-Detail 3 2 2 4 4 4" xfId="20299"/>
    <cellStyle name="RowTitles-Detail 3 2 2 4 4 5" xfId="20300"/>
    <cellStyle name="RowTitles-Detail 3 2 2 4 4 5 2" xfId="20301"/>
    <cellStyle name="RowTitles-Detail 3 2 2 4 4 5_Tertiary Salaries Survey" xfId="20302"/>
    <cellStyle name="RowTitles-Detail 3 2 2 4 4 6" xfId="20303"/>
    <cellStyle name="RowTitles-Detail 3 2 2 4 4_Tertiary Salaries Survey" xfId="20304"/>
    <cellStyle name="RowTitles-Detail 3 2 2 4 5" xfId="20305"/>
    <cellStyle name="RowTitles-Detail 3 2 2 4 5 2" xfId="20306"/>
    <cellStyle name="RowTitles-Detail 3 2 2 4 5 2 2" xfId="20307"/>
    <cellStyle name="RowTitles-Detail 3 2 2 4 5 2 2 2" xfId="20308"/>
    <cellStyle name="RowTitles-Detail 3 2 2 4 5 2 2_Tertiary Salaries Survey" xfId="20309"/>
    <cellStyle name="RowTitles-Detail 3 2 2 4 5 2 3" xfId="20310"/>
    <cellStyle name="RowTitles-Detail 3 2 2 4 5 2_Tertiary Salaries Survey" xfId="20311"/>
    <cellStyle name="RowTitles-Detail 3 2 2 4 5 3" xfId="20312"/>
    <cellStyle name="RowTitles-Detail 3 2 2 4 5 3 2" xfId="20313"/>
    <cellStyle name="RowTitles-Detail 3 2 2 4 5 3 2 2" xfId="20314"/>
    <cellStyle name="RowTitles-Detail 3 2 2 4 5 3 2_Tertiary Salaries Survey" xfId="20315"/>
    <cellStyle name="RowTitles-Detail 3 2 2 4 5 3 3" xfId="20316"/>
    <cellStyle name="RowTitles-Detail 3 2 2 4 5 3_Tertiary Salaries Survey" xfId="20317"/>
    <cellStyle name="RowTitles-Detail 3 2 2 4 5 4" xfId="20318"/>
    <cellStyle name="RowTitles-Detail 3 2 2 4 5 4 2" xfId="20319"/>
    <cellStyle name="RowTitles-Detail 3 2 2 4 5 4_Tertiary Salaries Survey" xfId="20320"/>
    <cellStyle name="RowTitles-Detail 3 2 2 4 5 5" xfId="20321"/>
    <cellStyle name="RowTitles-Detail 3 2 2 4 5_Tertiary Salaries Survey" xfId="20322"/>
    <cellStyle name="RowTitles-Detail 3 2 2 4 6" xfId="20323"/>
    <cellStyle name="RowTitles-Detail 3 2 2 4 6 2" xfId="20324"/>
    <cellStyle name="RowTitles-Detail 3 2 2 4 6 2 2" xfId="20325"/>
    <cellStyle name="RowTitles-Detail 3 2 2 4 6 2 2 2" xfId="20326"/>
    <cellStyle name="RowTitles-Detail 3 2 2 4 6 2 2_Tertiary Salaries Survey" xfId="20327"/>
    <cellStyle name="RowTitles-Detail 3 2 2 4 6 2 3" xfId="20328"/>
    <cellStyle name="RowTitles-Detail 3 2 2 4 6 2_Tertiary Salaries Survey" xfId="20329"/>
    <cellStyle name="RowTitles-Detail 3 2 2 4 6 3" xfId="20330"/>
    <cellStyle name="RowTitles-Detail 3 2 2 4 6 3 2" xfId="20331"/>
    <cellStyle name="RowTitles-Detail 3 2 2 4 6 3 2 2" xfId="20332"/>
    <cellStyle name="RowTitles-Detail 3 2 2 4 6 3 2_Tertiary Salaries Survey" xfId="20333"/>
    <cellStyle name="RowTitles-Detail 3 2 2 4 6 3 3" xfId="20334"/>
    <cellStyle name="RowTitles-Detail 3 2 2 4 6 3_Tertiary Salaries Survey" xfId="20335"/>
    <cellStyle name="RowTitles-Detail 3 2 2 4 6 4" xfId="20336"/>
    <cellStyle name="RowTitles-Detail 3 2 2 4 6 4 2" xfId="20337"/>
    <cellStyle name="RowTitles-Detail 3 2 2 4 6 4_Tertiary Salaries Survey" xfId="20338"/>
    <cellStyle name="RowTitles-Detail 3 2 2 4 6 5" xfId="20339"/>
    <cellStyle name="RowTitles-Detail 3 2 2 4 6_Tertiary Salaries Survey" xfId="20340"/>
    <cellStyle name="RowTitles-Detail 3 2 2 4 7" xfId="20341"/>
    <cellStyle name="RowTitles-Detail 3 2 2 4 7 2" xfId="20342"/>
    <cellStyle name="RowTitles-Detail 3 2 2 4 7 2 2" xfId="20343"/>
    <cellStyle name="RowTitles-Detail 3 2 2 4 7 2_Tertiary Salaries Survey" xfId="20344"/>
    <cellStyle name="RowTitles-Detail 3 2 2 4 7 3" xfId="20345"/>
    <cellStyle name="RowTitles-Detail 3 2 2 4 7_Tertiary Salaries Survey" xfId="20346"/>
    <cellStyle name="RowTitles-Detail 3 2 2 4 8" xfId="20347"/>
    <cellStyle name="RowTitles-Detail 3 2 2 4 9" xfId="20348"/>
    <cellStyle name="RowTitles-Detail 3 2 2 4_STUD aligned by INSTIT" xfId="20349"/>
    <cellStyle name="RowTitles-Detail 3 2 2 5" xfId="20350"/>
    <cellStyle name="RowTitles-Detail 3 2 2 5 2" xfId="20351"/>
    <cellStyle name="RowTitles-Detail 3 2 2 5 2 2" xfId="20352"/>
    <cellStyle name="RowTitles-Detail 3 2 2 5 2 2 2" xfId="20353"/>
    <cellStyle name="RowTitles-Detail 3 2 2 5 2 2_Tertiary Salaries Survey" xfId="20354"/>
    <cellStyle name="RowTitles-Detail 3 2 2 5 2 3" xfId="20355"/>
    <cellStyle name="RowTitles-Detail 3 2 2 5 2_Tertiary Salaries Survey" xfId="20356"/>
    <cellStyle name="RowTitles-Detail 3 2 2 5 3" xfId="20357"/>
    <cellStyle name="RowTitles-Detail 3 2 2 5 3 2" xfId="20358"/>
    <cellStyle name="RowTitles-Detail 3 2 2 5 3 2 2" xfId="20359"/>
    <cellStyle name="RowTitles-Detail 3 2 2 5 3 2_Tertiary Salaries Survey" xfId="20360"/>
    <cellStyle name="RowTitles-Detail 3 2 2 5 3 3" xfId="20361"/>
    <cellStyle name="RowTitles-Detail 3 2 2 5 3_Tertiary Salaries Survey" xfId="20362"/>
    <cellStyle name="RowTitles-Detail 3 2 2 5 4" xfId="20363"/>
    <cellStyle name="RowTitles-Detail 3 2 2 5 5" xfId="20364"/>
    <cellStyle name="RowTitles-Detail 3 2 2 5 5 2" xfId="20365"/>
    <cellStyle name="RowTitles-Detail 3 2 2 5 5_Tertiary Salaries Survey" xfId="20366"/>
    <cellStyle name="RowTitles-Detail 3 2 2 5 6" xfId="20367"/>
    <cellStyle name="RowTitles-Detail 3 2 2 5_Tertiary Salaries Survey" xfId="20368"/>
    <cellStyle name="RowTitles-Detail 3 2 2 6" xfId="20369"/>
    <cellStyle name="RowTitles-Detail 3 2 2 6 2" xfId="20370"/>
    <cellStyle name="RowTitles-Detail 3 2 2 6 2 2" xfId="20371"/>
    <cellStyle name="RowTitles-Detail 3 2 2 6 2 2 2" xfId="20372"/>
    <cellStyle name="RowTitles-Detail 3 2 2 6 2 2_Tertiary Salaries Survey" xfId="20373"/>
    <cellStyle name="RowTitles-Detail 3 2 2 6 2 3" xfId="20374"/>
    <cellStyle name="RowTitles-Detail 3 2 2 6 2_Tertiary Salaries Survey" xfId="20375"/>
    <cellStyle name="RowTitles-Detail 3 2 2 6 3" xfId="20376"/>
    <cellStyle name="RowTitles-Detail 3 2 2 6 3 2" xfId="20377"/>
    <cellStyle name="RowTitles-Detail 3 2 2 6 3 2 2" xfId="20378"/>
    <cellStyle name="RowTitles-Detail 3 2 2 6 3 2_Tertiary Salaries Survey" xfId="20379"/>
    <cellStyle name="RowTitles-Detail 3 2 2 6 3 3" xfId="20380"/>
    <cellStyle name="RowTitles-Detail 3 2 2 6 3_Tertiary Salaries Survey" xfId="20381"/>
    <cellStyle name="RowTitles-Detail 3 2 2 6 4" xfId="20382"/>
    <cellStyle name="RowTitles-Detail 3 2 2 6 5" xfId="20383"/>
    <cellStyle name="RowTitles-Detail 3 2 2 6_Tertiary Salaries Survey" xfId="20384"/>
    <cellStyle name="RowTitles-Detail 3 2 2 7" xfId="20385"/>
    <cellStyle name="RowTitles-Detail 3 2 2 7 2" xfId="20386"/>
    <cellStyle name="RowTitles-Detail 3 2 2 7 2 2" xfId="20387"/>
    <cellStyle name="RowTitles-Detail 3 2 2 7 2 2 2" xfId="20388"/>
    <cellStyle name="RowTitles-Detail 3 2 2 7 2 2_Tertiary Salaries Survey" xfId="20389"/>
    <cellStyle name="RowTitles-Detail 3 2 2 7 2 3" xfId="20390"/>
    <cellStyle name="RowTitles-Detail 3 2 2 7 2_Tertiary Salaries Survey" xfId="20391"/>
    <cellStyle name="RowTitles-Detail 3 2 2 7 3" xfId="20392"/>
    <cellStyle name="RowTitles-Detail 3 2 2 7 3 2" xfId="20393"/>
    <cellStyle name="RowTitles-Detail 3 2 2 7 3 2 2" xfId="20394"/>
    <cellStyle name="RowTitles-Detail 3 2 2 7 3 2_Tertiary Salaries Survey" xfId="20395"/>
    <cellStyle name="RowTitles-Detail 3 2 2 7 3 3" xfId="20396"/>
    <cellStyle name="RowTitles-Detail 3 2 2 7 3_Tertiary Salaries Survey" xfId="20397"/>
    <cellStyle name="RowTitles-Detail 3 2 2 7 4" xfId="20398"/>
    <cellStyle name="RowTitles-Detail 3 2 2 7 5" xfId="20399"/>
    <cellStyle name="RowTitles-Detail 3 2 2 7 5 2" xfId="20400"/>
    <cellStyle name="RowTitles-Detail 3 2 2 7 5_Tertiary Salaries Survey" xfId="20401"/>
    <cellStyle name="RowTitles-Detail 3 2 2 7 6" xfId="20402"/>
    <cellStyle name="RowTitles-Detail 3 2 2 7_Tertiary Salaries Survey" xfId="20403"/>
    <cellStyle name="RowTitles-Detail 3 2 2 8" xfId="20404"/>
    <cellStyle name="RowTitles-Detail 3 2 2 8 2" xfId="20405"/>
    <cellStyle name="RowTitles-Detail 3 2 2 8 2 2" xfId="20406"/>
    <cellStyle name="RowTitles-Detail 3 2 2 8 2 2 2" xfId="20407"/>
    <cellStyle name="RowTitles-Detail 3 2 2 8 2 2_Tertiary Salaries Survey" xfId="20408"/>
    <cellStyle name="RowTitles-Detail 3 2 2 8 2 3" xfId="20409"/>
    <cellStyle name="RowTitles-Detail 3 2 2 8 2_Tertiary Salaries Survey" xfId="20410"/>
    <cellStyle name="RowTitles-Detail 3 2 2 8 3" xfId="20411"/>
    <cellStyle name="RowTitles-Detail 3 2 2 8 3 2" xfId="20412"/>
    <cellStyle name="RowTitles-Detail 3 2 2 8 3 2 2" xfId="20413"/>
    <cellStyle name="RowTitles-Detail 3 2 2 8 3 2_Tertiary Salaries Survey" xfId="20414"/>
    <cellStyle name="RowTitles-Detail 3 2 2 8 3 3" xfId="20415"/>
    <cellStyle name="RowTitles-Detail 3 2 2 8 3_Tertiary Salaries Survey" xfId="20416"/>
    <cellStyle name="RowTitles-Detail 3 2 2 8 4" xfId="20417"/>
    <cellStyle name="RowTitles-Detail 3 2 2 8 4 2" xfId="20418"/>
    <cellStyle name="RowTitles-Detail 3 2 2 8 4_Tertiary Salaries Survey" xfId="20419"/>
    <cellStyle name="RowTitles-Detail 3 2 2 8 5" xfId="20420"/>
    <cellStyle name="RowTitles-Detail 3 2 2 8_Tertiary Salaries Survey" xfId="20421"/>
    <cellStyle name="RowTitles-Detail 3 2 2 9" xfId="20422"/>
    <cellStyle name="RowTitles-Detail 3 2 2 9 2" xfId="20423"/>
    <cellStyle name="RowTitles-Detail 3 2 2 9 2 2" xfId="20424"/>
    <cellStyle name="RowTitles-Detail 3 2 2 9 2 2 2" xfId="20425"/>
    <cellStyle name="RowTitles-Detail 3 2 2 9 2 2_Tertiary Salaries Survey" xfId="20426"/>
    <cellStyle name="RowTitles-Detail 3 2 2 9 2 3" xfId="20427"/>
    <cellStyle name="RowTitles-Detail 3 2 2 9 2_Tertiary Salaries Survey" xfId="20428"/>
    <cellStyle name="RowTitles-Detail 3 2 2 9 3" xfId="20429"/>
    <cellStyle name="RowTitles-Detail 3 2 2 9 3 2" xfId="20430"/>
    <cellStyle name="RowTitles-Detail 3 2 2 9 3 2 2" xfId="20431"/>
    <cellStyle name="RowTitles-Detail 3 2 2 9 3 2_Tertiary Salaries Survey" xfId="20432"/>
    <cellStyle name="RowTitles-Detail 3 2 2 9 3 3" xfId="20433"/>
    <cellStyle name="RowTitles-Detail 3 2 2 9 3_Tertiary Salaries Survey" xfId="20434"/>
    <cellStyle name="RowTitles-Detail 3 2 2 9 4" xfId="20435"/>
    <cellStyle name="RowTitles-Detail 3 2 2 9 4 2" xfId="20436"/>
    <cellStyle name="RowTitles-Detail 3 2 2 9 4_Tertiary Salaries Survey" xfId="20437"/>
    <cellStyle name="RowTitles-Detail 3 2 2 9 5" xfId="20438"/>
    <cellStyle name="RowTitles-Detail 3 2 2 9_Tertiary Salaries Survey" xfId="20439"/>
    <cellStyle name="RowTitles-Detail 3 2 2_STUD aligned by INSTIT" xfId="20440"/>
    <cellStyle name="RowTitles-Detail 3 2 3" xfId="20441"/>
    <cellStyle name="RowTitles-Detail 3 2 3 2" xfId="20442"/>
    <cellStyle name="RowTitles-Detail 3 2 3 2 2" xfId="20443"/>
    <cellStyle name="RowTitles-Detail 3 2 3 2 2 2" xfId="20444"/>
    <cellStyle name="RowTitles-Detail 3 2 3 2 2 2 2" xfId="20445"/>
    <cellStyle name="RowTitles-Detail 3 2 3 2 2 2_Tertiary Salaries Survey" xfId="20446"/>
    <cellStyle name="RowTitles-Detail 3 2 3 2 2 3" xfId="20447"/>
    <cellStyle name="RowTitles-Detail 3 2 3 2 2_Tertiary Salaries Survey" xfId="20448"/>
    <cellStyle name="RowTitles-Detail 3 2 3 2 3" xfId="20449"/>
    <cellStyle name="RowTitles-Detail 3 2 3 2 3 2" xfId="20450"/>
    <cellStyle name="RowTitles-Detail 3 2 3 2 3 2 2" xfId="20451"/>
    <cellStyle name="RowTitles-Detail 3 2 3 2 3 2_Tertiary Salaries Survey" xfId="20452"/>
    <cellStyle name="RowTitles-Detail 3 2 3 2 3 3" xfId="20453"/>
    <cellStyle name="RowTitles-Detail 3 2 3 2 3_Tertiary Salaries Survey" xfId="20454"/>
    <cellStyle name="RowTitles-Detail 3 2 3 2 4" xfId="20455"/>
    <cellStyle name="RowTitles-Detail 3 2 3 2 5" xfId="20456"/>
    <cellStyle name="RowTitles-Detail 3 2 3 2_Tertiary Salaries Survey" xfId="20457"/>
    <cellStyle name="RowTitles-Detail 3 2 3 3" xfId="20458"/>
    <cellStyle name="RowTitles-Detail 3 2 3 3 2" xfId="20459"/>
    <cellStyle name="RowTitles-Detail 3 2 3 3 2 2" xfId="20460"/>
    <cellStyle name="RowTitles-Detail 3 2 3 3 2 2 2" xfId="20461"/>
    <cellStyle name="RowTitles-Detail 3 2 3 3 2 2_Tertiary Salaries Survey" xfId="20462"/>
    <cellStyle name="RowTitles-Detail 3 2 3 3 2 3" xfId="20463"/>
    <cellStyle name="RowTitles-Detail 3 2 3 3 2_Tertiary Salaries Survey" xfId="20464"/>
    <cellStyle name="RowTitles-Detail 3 2 3 3 3" xfId="20465"/>
    <cellStyle name="RowTitles-Detail 3 2 3 3 3 2" xfId="20466"/>
    <cellStyle name="RowTitles-Detail 3 2 3 3 3 2 2" xfId="20467"/>
    <cellStyle name="RowTitles-Detail 3 2 3 3 3 2_Tertiary Salaries Survey" xfId="20468"/>
    <cellStyle name="RowTitles-Detail 3 2 3 3 3 3" xfId="20469"/>
    <cellStyle name="RowTitles-Detail 3 2 3 3 3_Tertiary Salaries Survey" xfId="20470"/>
    <cellStyle name="RowTitles-Detail 3 2 3 3 4" xfId="20471"/>
    <cellStyle name="RowTitles-Detail 3 2 3 3 5" xfId="20472"/>
    <cellStyle name="RowTitles-Detail 3 2 3 3 5 2" xfId="20473"/>
    <cellStyle name="RowTitles-Detail 3 2 3 3 5_Tertiary Salaries Survey" xfId="20474"/>
    <cellStyle name="RowTitles-Detail 3 2 3 3 6" xfId="20475"/>
    <cellStyle name="RowTitles-Detail 3 2 3 3_Tertiary Salaries Survey" xfId="20476"/>
    <cellStyle name="RowTitles-Detail 3 2 3 4" xfId="20477"/>
    <cellStyle name="RowTitles-Detail 3 2 3 4 2" xfId="20478"/>
    <cellStyle name="RowTitles-Detail 3 2 3 4 2 2" xfId="20479"/>
    <cellStyle name="RowTitles-Detail 3 2 3 4 2 2 2" xfId="20480"/>
    <cellStyle name="RowTitles-Detail 3 2 3 4 2 2_Tertiary Salaries Survey" xfId="20481"/>
    <cellStyle name="RowTitles-Detail 3 2 3 4 2 3" xfId="20482"/>
    <cellStyle name="RowTitles-Detail 3 2 3 4 2_Tertiary Salaries Survey" xfId="20483"/>
    <cellStyle name="RowTitles-Detail 3 2 3 4 3" xfId="20484"/>
    <cellStyle name="RowTitles-Detail 3 2 3 4 3 2" xfId="20485"/>
    <cellStyle name="RowTitles-Detail 3 2 3 4 3 2 2" xfId="20486"/>
    <cellStyle name="RowTitles-Detail 3 2 3 4 3 2_Tertiary Salaries Survey" xfId="20487"/>
    <cellStyle name="RowTitles-Detail 3 2 3 4 3 3" xfId="20488"/>
    <cellStyle name="RowTitles-Detail 3 2 3 4 3_Tertiary Salaries Survey" xfId="20489"/>
    <cellStyle name="RowTitles-Detail 3 2 3 4 4" xfId="20490"/>
    <cellStyle name="RowTitles-Detail 3 2 3 4 4 2" xfId="20491"/>
    <cellStyle name="RowTitles-Detail 3 2 3 4 4_Tertiary Salaries Survey" xfId="20492"/>
    <cellStyle name="RowTitles-Detail 3 2 3 4 5" xfId="20493"/>
    <cellStyle name="RowTitles-Detail 3 2 3 4_Tertiary Salaries Survey" xfId="20494"/>
    <cellStyle name="RowTitles-Detail 3 2 3 5" xfId="20495"/>
    <cellStyle name="RowTitles-Detail 3 2 3 5 2" xfId="20496"/>
    <cellStyle name="RowTitles-Detail 3 2 3 5 2 2" xfId="20497"/>
    <cellStyle name="RowTitles-Detail 3 2 3 5 2 2 2" xfId="20498"/>
    <cellStyle name="RowTitles-Detail 3 2 3 5 2 2_Tertiary Salaries Survey" xfId="20499"/>
    <cellStyle name="RowTitles-Detail 3 2 3 5 2 3" xfId="20500"/>
    <cellStyle name="RowTitles-Detail 3 2 3 5 2_Tertiary Salaries Survey" xfId="20501"/>
    <cellStyle name="RowTitles-Detail 3 2 3 5 3" xfId="20502"/>
    <cellStyle name="RowTitles-Detail 3 2 3 5 3 2" xfId="20503"/>
    <cellStyle name="RowTitles-Detail 3 2 3 5 3 2 2" xfId="20504"/>
    <cellStyle name="RowTitles-Detail 3 2 3 5 3 2_Tertiary Salaries Survey" xfId="20505"/>
    <cellStyle name="RowTitles-Detail 3 2 3 5 3 3" xfId="20506"/>
    <cellStyle name="RowTitles-Detail 3 2 3 5 3_Tertiary Salaries Survey" xfId="20507"/>
    <cellStyle name="RowTitles-Detail 3 2 3 5 4" xfId="20508"/>
    <cellStyle name="RowTitles-Detail 3 2 3 5 4 2" xfId="20509"/>
    <cellStyle name="RowTitles-Detail 3 2 3 5 4_Tertiary Salaries Survey" xfId="20510"/>
    <cellStyle name="RowTitles-Detail 3 2 3 5 5" xfId="20511"/>
    <cellStyle name="RowTitles-Detail 3 2 3 5_Tertiary Salaries Survey" xfId="20512"/>
    <cellStyle name="RowTitles-Detail 3 2 3 6" xfId="20513"/>
    <cellStyle name="RowTitles-Detail 3 2 3 6 2" xfId="20514"/>
    <cellStyle name="RowTitles-Detail 3 2 3 6 2 2" xfId="20515"/>
    <cellStyle name="RowTitles-Detail 3 2 3 6 2 2 2" xfId="20516"/>
    <cellStyle name="RowTitles-Detail 3 2 3 6 2 2_Tertiary Salaries Survey" xfId="20517"/>
    <cellStyle name="RowTitles-Detail 3 2 3 6 2 3" xfId="20518"/>
    <cellStyle name="RowTitles-Detail 3 2 3 6 2_Tertiary Salaries Survey" xfId="20519"/>
    <cellStyle name="RowTitles-Detail 3 2 3 6 3" xfId="20520"/>
    <cellStyle name="RowTitles-Detail 3 2 3 6 3 2" xfId="20521"/>
    <cellStyle name="RowTitles-Detail 3 2 3 6 3 2 2" xfId="20522"/>
    <cellStyle name="RowTitles-Detail 3 2 3 6 3 2_Tertiary Salaries Survey" xfId="20523"/>
    <cellStyle name="RowTitles-Detail 3 2 3 6 3 3" xfId="20524"/>
    <cellStyle name="RowTitles-Detail 3 2 3 6 3_Tertiary Salaries Survey" xfId="20525"/>
    <cellStyle name="RowTitles-Detail 3 2 3 6 4" xfId="20526"/>
    <cellStyle name="RowTitles-Detail 3 2 3 6 4 2" xfId="20527"/>
    <cellStyle name="RowTitles-Detail 3 2 3 6 4_Tertiary Salaries Survey" xfId="20528"/>
    <cellStyle name="RowTitles-Detail 3 2 3 6 5" xfId="20529"/>
    <cellStyle name="RowTitles-Detail 3 2 3 6_Tertiary Salaries Survey" xfId="20530"/>
    <cellStyle name="RowTitles-Detail 3 2 3 7" xfId="20531"/>
    <cellStyle name="RowTitles-Detail 3 2 3 7 2" xfId="20532"/>
    <cellStyle name="RowTitles-Detail 3 2 3 7 2 2" xfId="20533"/>
    <cellStyle name="RowTitles-Detail 3 2 3 7 2_Tertiary Salaries Survey" xfId="20534"/>
    <cellStyle name="RowTitles-Detail 3 2 3 7 3" xfId="20535"/>
    <cellStyle name="RowTitles-Detail 3 2 3 7_Tertiary Salaries Survey" xfId="20536"/>
    <cellStyle name="RowTitles-Detail 3 2 3 8" xfId="20537"/>
    <cellStyle name="RowTitles-Detail 3 2 3 9" xfId="20538"/>
    <cellStyle name="RowTitles-Detail 3 2 3_STUD aligned by INSTIT" xfId="20539"/>
    <cellStyle name="RowTitles-Detail 3 2 4" xfId="20540"/>
    <cellStyle name="RowTitles-Detail 3 2 4 2" xfId="20541"/>
    <cellStyle name="RowTitles-Detail 3 2 4 2 2" xfId="20542"/>
    <cellStyle name="RowTitles-Detail 3 2 4 2 2 2" xfId="20543"/>
    <cellStyle name="RowTitles-Detail 3 2 4 2 2 2 2" xfId="20544"/>
    <cellStyle name="RowTitles-Detail 3 2 4 2 2 2_Tertiary Salaries Survey" xfId="20545"/>
    <cellStyle name="RowTitles-Detail 3 2 4 2 2 3" xfId="20546"/>
    <cellStyle name="RowTitles-Detail 3 2 4 2 2_Tertiary Salaries Survey" xfId="20547"/>
    <cellStyle name="RowTitles-Detail 3 2 4 2 3" xfId="20548"/>
    <cellStyle name="RowTitles-Detail 3 2 4 2 3 2" xfId="20549"/>
    <cellStyle name="RowTitles-Detail 3 2 4 2 3 2 2" xfId="20550"/>
    <cellStyle name="RowTitles-Detail 3 2 4 2 3 2_Tertiary Salaries Survey" xfId="20551"/>
    <cellStyle name="RowTitles-Detail 3 2 4 2 3 3" xfId="20552"/>
    <cellStyle name="RowTitles-Detail 3 2 4 2 3_Tertiary Salaries Survey" xfId="20553"/>
    <cellStyle name="RowTitles-Detail 3 2 4 2 4" xfId="20554"/>
    <cellStyle name="RowTitles-Detail 3 2 4 2 5" xfId="20555"/>
    <cellStyle name="RowTitles-Detail 3 2 4 2 5 2" xfId="20556"/>
    <cellStyle name="RowTitles-Detail 3 2 4 2 5_Tertiary Salaries Survey" xfId="20557"/>
    <cellStyle name="RowTitles-Detail 3 2 4 2 6" xfId="20558"/>
    <cellStyle name="RowTitles-Detail 3 2 4 2_Tertiary Salaries Survey" xfId="20559"/>
    <cellStyle name="RowTitles-Detail 3 2 4 3" xfId="20560"/>
    <cellStyle name="RowTitles-Detail 3 2 4 3 2" xfId="20561"/>
    <cellStyle name="RowTitles-Detail 3 2 4 3 2 2" xfId="20562"/>
    <cellStyle name="RowTitles-Detail 3 2 4 3 2 2 2" xfId="20563"/>
    <cellStyle name="RowTitles-Detail 3 2 4 3 2 2_Tertiary Salaries Survey" xfId="20564"/>
    <cellStyle name="RowTitles-Detail 3 2 4 3 2 3" xfId="20565"/>
    <cellStyle name="RowTitles-Detail 3 2 4 3 2_Tertiary Salaries Survey" xfId="20566"/>
    <cellStyle name="RowTitles-Detail 3 2 4 3 3" xfId="20567"/>
    <cellStyle name="RowTitles-Detail 3 2 4 3 3 2" xfId="20568"/>
    <cellStyle name="RowTitles-Detail 3 2 4 3 3 2 2" xfId="20569"/>
    <cellStyle name="RowTitles-Detail 3 2 4 3 3 2_Tertiary Salaries Survey" xfId="20570"/>
    <cellStyle name="RowTitles-Detail 3 2 4 3 3 3" xfId="20571"/>
    <cellStyle name="RowTitles-Detail 3 2 4 3 3_Tertiary Salaries Survey" xfId="20572"/>
    <cellStyle name="RowTitles-Detail 3 2 4 3 4" xfId="20573"/>
    <cellStyle name="RowTitles-Detail 3 2 4 3 5" xfId="20574"/>
    <cellStyle name="RowTitles-Detail 3 2 4 3_Tertiary Salaries Survey" xfId="20575"/>
    <cellStyle name="RowTitles-Detail 3 2 4 4" xfId="20576"/>
    <cellStyle name="RowTitles-Detail 3 2 4 4 2" xfId="20577"/>
    <cellStyle name="RowTitles-Detail 3 2 4 4 2 2" xfId="20578"/>
    <cellStyle name="RowTitles-Detail 3 2 4 4 2 2 2" xfId="20579"/>
    <cellStyle name="RowTitles-Detail 3 2 4 4 2 2_Tertiary Salaries Survey" xfId="20580"/>
    <cellStyle name="RowTitles-Detail 3 2 4 4 2 3" xfId="20581"/>
    <cellStyle name="RowTitles-Detail 3 2 4 4 2_Tertiary Salaries Survey" xfId="20582"/>
    <cellStyle name="RowTitles-Detail 3 2 4 4 3" xfId="20583"/>
    <cellStyle name="RowTitles-Detail 3 2 4 4 3 2" xfId="20584"/>
    <cellStyle name="RowTitles-Detail 3 2 4 4 3 2 2" xfId="20585"/>
    <cellStyle name="RowTitles-Detail 3 2 4 4 3 2_Tertiary Salaries Survey" xfId="20586"/>
    <cellStyle name="RowTitles-Detail 3 2 4 4 3 3" xfId="20587"/>
    <cellStyle name="RowTitles-Detail 3 2 4 4 3_Tertiary Salaries Survey" xfId="20588"/>
    <cellStyle name="RowTitles-Detail 3 2 4 4 4" xfId="20589"/>
    <cellStyle name="RowTitles-Detail 3 2 4 4 4 2" xfId="20590"/>
    <cellStyle name="RowTitles-Detail 3 2 4 4 4_Tertiary Salaries Survey" xfId="20591"/>
    <cellStyle name="RowTitles-Detail 3 2 4 4 5" xfId="20592"/>
    <cellStyle name="RowTitles-Detail 3 2 4 4_Tertiary Salaries Survey" xfId="20593"/>
    <cellStyle name="RowTitles-Detail 3 2 4 5" xfId="20594"/>
    <cellStyle name="RowTitles-Detail 3 2 4 5 2" xfId="20595"/>
    <cellStyle name="RowTitles-Detail 3 2 4 5 2 2" xfId="20596"/>
    <cellStyle name="RowTitles-Detail 3 2 4 5 2 2 2" xfId="20597"/>
    <cellStyle name="RowTitles-Detail 3 2 4 5 2 2_Tertiary Salaries Survey" xfId="20598"/>
    <cellStyle name="RowTitles-Detail 3 2 4 5 2 3" xfId="20599"/>
    <cellStyle name="RowTitles-Detail 3 2 4 5 2_Tertiary Salaries Survey" xfId="20600"/>
    <cellStyle name="RowTitles-Detail 3 2 4 5 3" xfId="20601"/>
    <cellStyle name="RowTitles-Detail 3 2 4 5 3 2" xfId="20602"/>
    <cellStyle name="RowTitles-Detail 3 2 4 5 3 2 2" xfId="20603"/>
    <cellStyle name="RowTitles-Detail 3 2 4 5 3 2_Tertiary Salaries Survey" xfId="20604"/>
    <cellStyle name="RowTitles-Detail 3 2 4 5 3 3" xfId="20605"/>
    <cellStyle name="RowTitles-Detail 3 2 4 5 3_Tertiary Salaries Survey" xfId="20606"/>
    <cellStyle name="RowTitles-Detail 3 2 4 5 4" xfId="20607"/>
    <cellStyle name="RowTitles-Detail 3 2 4 5 4 2" xfId="20608"/>
    <cellStyle name="RowTitles-Detail 3 2 4 5 4_Tertiary Salaries Survey" xfId="20609"/>
    <cellStyle name="RowTitles-Detail 3 2 4 5 5" xfId="20610"/>
    <cellStyle name="RowTitles-Detail 3 2 4 5_Tertiary Salaries Survey" xfId="20611"/>
    <cellStyle name="RowTitles-Detail 3 2 4 6" xfId="20612"/>
    <cellStyle name="RowTitles-Detail 3 2 4 6 2" xfId="20613"/>
    <cellStyle name="RowTitles-Detail 3 2 4 6 2 2" xfId="20614"/>
    <cellStyle name="RowTitles-Detail 3 2 4 6 2 2 2" xfId="20615"/>
    <cellStyle name="RowTitles-Detail 3 2 4 6 2 2_Tertiary Salaries Survey" xfId="20616"/>
    <cellStyle name="RowTitles-Detail 3 2 4 6 2 3" xfId="20617"/>
    <cellStyle name="RowTitles-Detail 3 2 4 6 2_Tertiary Salaries Survey" xfId="20618"/>
    <cellStyle name="RowTitles-Detail 3 2 4 6 3" xfId="20619"/>
    <cellStyle name="RowTitles-Detail 3 2 4 6 3 2" xfId="20620"/>
    <cellStyle name="RowTitles-Detail 3 2 4 6 3 2 2" xfId="20621"/>
    <cellStyle name="RowTitles-Detail 3 2 4 6 3 2_Tertiary Salaries Survey" xfId="20622"/>
    <cellStyle name="RowTitles-Detail 3 2 4 6 3 3" xfId="20623"/>
    <cellStyle name="RowTitles-Detail 3 2 4 6 3_Tertiary Salaries Survey" xfId="20624"/>
    <cellStyle name="RowTitles-Detail 3 2 4 6 4" xfId="20625"/>
    <cellStyle name="RowTitles-Detail 3 2 4 6 4 2" xfId="20626"/>
    <cellStyle name="RowTitles-Detail 3 2 4 6 4_Tertiary Salaries Survey" xfId="20627"/>
    <cellStyle name="RowTitles-Detail 3 2 4 6 5" xfId="20628"/>
    <cellStyle name="RowTitles-Detail 3 2 4 6_Tertiary Salaries Survey" xfId="20629"/>
    <cellStyle name="RowTitles-Detail 3 2 4 7" xfId="20630"/>
    <cellStyle name="RowTitles-Detail 3 2 4 7 2" xfId="20631"/>
    <cellStyle name="RowTitles-Detail 3 2 4 7 2 2" xfId="20632"/>
    <cellStyle name="RowTitles-Detail 3 2 4 7 2_Tertiary Salaries Survey" xfId="20633"/>
    <cellStyle name="RowTitles-Detail 3 2 4 7 3" xfId="20634"/>
    <cellStyle name="RowTitles-Detail 3 2 4 7_Tertiary Salaries Survey" xfId="20635"/>
    <cellStyle name="RowTitles-Detail 3 2 4 8" xfId="20636"/>
    <cellStyle name="RowTitles-Detail 3 2 4 8 2" xfId="20637"/>
    <cellStyle name="RowTitles-Detail 3 2 4 8 2 2" xfId="20638"/>
    <cellStyle name="RowTitles-Detail 3 2 4 8 2_Tertiary Salaries Survey" xfId="20639"/>
    <cellStyle name="RowTitles-Detail 3 2 4 8 3" xfId="20640"/>
    <cellStyle name="RowTitles-Detail 3 2 4 8_Tertiary Salaries Survey" xfId="20641"/>
    <cellStyle name="RowTitles-Detail 3 2 4 9" xfId="20642"/>
    <cellStyle name="RowTitles-Detail 3 2 4_STUD aligned by INSTIT" xfId="20643"/>
    <cellStyle name="RowTitles-Detail 3 2 5" xfId="20644"/>
    <cellStyle name="RowTitles-Detail 3 2 5 2" xfId="20645"/>
    <cellStyle name="RowTitles-Detail 3 2 5 2 2" xfId="20646"/>
    <cellStyle name="RowTitles-Detail 3 2 5 2 2 2" xfId="20647"/>
    <cellStyle name="RowTitles-Detail 3 2 5 2 2 2 2" xfId="20648"/>
    <cellStyle name="RowTitles-Detail 3 2 5 2 2 2_Tertiary Salaries Survey" xfId="20649"/>
    <cellStyle name="RowTitles-Detail 3 2 5 2 2 3" xfId="20650"/>
    <cellStyle name="RowTitles-Detail 3 2 5 2 2_Tertiary Salaries Survey" xfId="20651"/>
    <cellStyle name="RowTitles-Detail 3 2 5 2 3" xfId="20652"/>
    <cellStyle name="RowTitles-Detail 3 2 5 2 3 2" xfId="20653"/>
    <cellStyle name="RowTitles-Detail 3 2 5 2 3 2 2" xfId="20654"/>
    <cellStyle name="RowTitles-Detail 3 2 5 2 3 2_Tertiary Salaries Survey" xfId="20655"/>
    <cellStyle name="RowTitles-Detail 3 2 5 2 3 3" xfId="20656"/>
    <cellStyle name="RowTitles-Detail 3 2 5 2 3_Tertiary Salaries Survey" xfId="20657"/>
    <cellStyle name="RowTitles-Detail 3 2 5 2 4" xfId="20658"/>
    <cellStyle name="RowTitles-Detail 3 2 5 2 5" xfId="20659"/>
    <cellStyle name="RowTitles-Detail 3 2 5 2 5 2" xfId="20660"/>
    <cellStyle name="RowTitles-Detail 3 2 5 2 5_Tertiary Salaries Survey" xfId="20661"/>
    <cellStyle name="RowTitles-Detail 3 2 5 2 6" xfId="20662"/>
    <cellStyle name="RowTitles-Detail 3 2 5 2_Tertiary Salaries Survey" xfId="20663"/>
    <cellStyle name="RowTitles-Detail 3 2 5 3" xfId="20664"/>
    <cellStyle name="RowTitles-Detail 3 2 5 3 2" xfId="20665"/>
    <cellStyle name="RowTitles-Detail 3 2 5 3 2 2" xfId="20666"/>
    <cellStyle name="RowTitles-Detail 3 2 5 3 2 2 2" xfId="20667"/>
    <cellStyle name="RowTitles-Detail 3 2 5 3 2 2_Tertiary Salaries Survey" xfId="20668"/>
    <cellStyle name="RowTitles-Detail 3 2 5 3 2 3" xfId="20669"/>
    <cellStyle name="RowTitles-Detail 3 2 5 3 2_Tertiary Salaries Survey" xfId="20670"/>
    <cellStyle name="RowTitles-Detail 3 2 5 3 3" xfId="20671"/>
    <cellStyle name="RowTitles-Detail 3 2 5 3 3 2" xfId="20672"/>
    <cellStyle name="RowTitles-Detail 3 2 5 3 3 2 2" xfId="20673"/>
    <cellStyle name="RowTitles-Detail 3 2 5 3 3 2_Tertiary Salaries Survey" xfId="20674"/>
    <cellStyle name="RowTitles-Detail 3 2 5 3 3 3" xfId="20675"/>
    <cellStyle name="RowTitles-Detail 3 2 5 3 3_Tertiary Salaries Survey" xfId="20676"/>
    <cellStyle name="RowTitles-Detail 3 2 5 3 4" xfId="20677"/>
    <cellStyle name="RowTitles-Detail 3 2 5 3 5" xfId="20678"/>
    <cellStyle name="RowTitles-Detail 3 2 5 3_Tertiary Salaries Survey" xfId="20679"/>
    <cellStyle name="RowTitles-Detail 3 2 5 4" xfId="20680"/>
    <cellStyle name="RowTitles-Detail 3 2 5 4 2" xfId="20681"/>
    <cellStyle name="RowTitles-Detail 3 2 5 4 2 2" xfId="20682"/>
    <cellStyle name="RowTitles-Detail 3 2 5 4 2 2 2" xfId="20683"/>
    <cellStyle name="RowTitles-Detail 3 2 5 4 2 2_Tertiary Salaries Survey" xfId="20684"/>
    <cellStyle name="RowTitles-Detail 3 2 5 4 2 3" xfId="20685"/>
    <cellStyle name="RowTitles-Detail 3 2 5 4 2_Tertiary Salaries Survey" xfId="20686"/>
    <cellStyle name="RowTitles-Detail 3 2 5 4 3" xfId="20687"/>
    <cellStyle name="RowTitles-Detail 3 2 5 4 3 2" xfId="20688"/>
    <cellStyle name="RowTitles-Detail 3 2 5 4 3 2 2" xfId="20689"/>
    <cellStyle name="RowTitles-Detail 3 2 5 4 3 2_Tertiary Salaries Survey" xfId="20690"/>
    <cellStyle name="RowTitles-Detail 3 2 5 4 3 3" xfId="20691"/>
    <cellStyle name="RowTitles-Detail 3 2 5 4 3_Tertiary Salaries Survey" xfId="20692"/>
    <cellStyle name="RowTitles-Detail 3 2 5 4 4" xfId="20693"/>
    <cellStyle name="RowTitles-Detail 3 2 5 4 5" xfId="20694"/>
    <cellStyle name="RowTitles-Detail 3 2 5 4 5 2" xfId="20695"/>
    <cellStyle name="RowTitles-Detail 3 2 5 4 5_Tertiary Salaries Survey" xfId="20696"/>
    <cellStyle name="RowTitles-Detail 3 2 5 4 6" xfId="20697"/>
    <cellStyle name="RowTitles-Detail 3 2 5 4_Tertiary Salaries Survey" xfId="20698"/>
    <cellStyle name="RowTitles-Detail 3 2 5 5" xfId="20699"/>
    <cellStyle name="RowTitles-Detail 3 2 5 5 2" xfId="20700"/>
    <cellStyle name="RowTitles-Detail 3 2 5 5 2 2" xfId="20701"/>
    <cellStyle name="RowTitles-Detail 3 2 5 5 2 2 2" xfId="20702"/>
    <cellStyle name="RowTitles-Detail 3 2 5 5 2 2_Tertiary Salaries Survey" xfId="20703"/>
    <cellStyle name="RowTitles-Detail 3 2 5 5 2 3" xfId="20704"/>
    <cellStyle name="RowTitles-Detail 3 2 5 5 2_Tertiary Salaries Survey" xfId="20705"/>
    <cellStyle name="RowTitles-Detail 3 2 5 5 3" xfId="20706"/>
    <cellStyle name="RowTitles-Detail 3 2 5 5 3 2" xfId="20707"/>
    <cellStyle name="RowTitles-Detail 3 2 5 5 3 2 2" xfId="20708"/>
    <cellStyle name="RowTitles-Detail 3 2 5 5 3 2_Tertiary Salaries Survey" xfId="20709"/>
    <cellStyle name="RowTitles-Detail 3 2 5 5 3 3" xfId="20710"/>
    <cellStyle name="RowTitles-Detail 3 2 5 5 3_Tertiary Salaries Survey" xfId="20711"/>
    <cellStyle name="RowTitles-Detail 3 2 5 5 4" xfId="20712"/>
    <cellStyle name="RowTitles-Detail 3 2 5 5 4 2" xfId="20713"/>
    <cellStyle name="RowTitles-Detail 3 2 5 5 4_Tertiary Salaries Survey" xfId="20714"/>
    <cellStyle name="RowTitles-Detail 3 2 5 5 5" xfId="20715"/>
    <cellStyle name="RowTitles-Detail 3 2 5 5_Tertiary Salaries Survey" xfId="20716"/>
    <cellStyle name="RowTitles-Detail 3 2 5 6" xfId="20717"/>
    <cellStyle name="RowTitles-Detail 3 2 5 6 2" xfId="20718"/>
    <cellStyle name="RowTitles-Detail 3 2 5 6 2 2" xfId="20719"/>
    <cellStyle name="RowTitles-Detail 3 2 5 6 2 2 2" xfId="20720"/>
    <cellStyle name="RowTitles-Detail 3 2 5 6 2 2_Tertiary Salaries Survey" xfId="20721"/>
    <cellStyle name="RowTitles-Detail 3 2 5 6 2 3" xfId="20722"/>
    <cellStyle name="RowTitles-Detail 3 2 5 6 2_Tertiary Salaries Survey" xfId="20723"/>
    <cellStyle name="RowTitles-Detail 3 2 5 6 3" xfId="20724"/>
    <cellStyle name="RowTitles-Detail 3 2 5 6 3 2" xfId="20725"/>
    <cellStyle name="RowTitles-Detail 3 2 5 6 3 2 2" xfId="20726"/>
    <cellStyle name="RowTitles-Detail 3 2 5 6 3 2_Tertiary Salaries Survey" xfId="20727"/>
    <cellStyle name="RowTitles-Detail 3 2 5 6 3 3" xfId="20728"/>
    <cellStyle name="RowTitles-Detail 3 2 5 6 3_Tertiary Salaries Survey" xfId="20729"/>
    <cellStyle name="RowTitles-Detail 3 2 5 6 4" xfId="20730"/>
    <cellStyle name="RowTitles-Detail 3 2 5 6 4 2" xfId="20731"/>
    <cellStyle name="RowTitles-Detail 3 2 5 6 4_Tertiary Salaries Survey" xfId="20732"/>
    <cellStyle name="RowTitles-Detail 3 2 5 6 5" xfId="20733"/>
    <cellStyle name="RowTitles-Detail 3 2 5 6_Tertiary Salaries Survey" xfId="20734"/>
    <cellStyle name="RowTitles-Detail 3 2 5 7" xfId="20735"/>
    <cellStyle name="RowTitles-Detail 3 2 5 7 2" xfId="20736"/>
    <cellStyle name="RowTitles-Detail 3 2 5 7 2 2" xfId="20737"/>
    <cellStyle name="RowTitles-Detail 3 2 5 7 2_Tertiary Salaries Survey" xfId="20738"/>
    <cellStyle name="RowTitles-Detail 3 2 5 7 3" xfId="20739"/>
    <cellStyle name="RowTitles-Detail 3 2 5 7_Tertiary Salaries Survey" xfId="20740"/>
    <cellStyle name="RowTitles-Detail 3 2 5 8" xfId="20741"/>
    <cellStyle name="RowTitles-Detail 3 2 5 9" xfId="20742"/>
    <cellStyle name="RowTitles-Detail 3 2 5_STUD aligned by INSTIT" xfId="20743"/>
    <cellStyle name="RowTitles-Detail 3 2 6" xfId="20744"/>
    <cellStyle name="RowTitles-Detail 3 2 6 2" xfId="20745"/>
    <cellStyle name="RowTitles-Detail 3 2 6 2 2" xfId="20746"/>
    <cellStyle name="RowTitles-Detail 3 2 6 2 2 2" xfId="20747"/>
    <cellStyle name="RowTitles-Detail 3 2 6 2 2_Tertiary Salaries Survey" xfId="20748"/>
    <cellStyle name="RowTitles-Detail 3 2 6 2 3" xfId="20749"/>
    <cellStyle name="RowTitles-Detail 3 2 6 2_Tertiary Salaries Survey" xfId="20750"/>
    <cellStyle name="RowTitles-Detail 3 2 6 3" xfId="20751"/>
    <cellStyle name="RowTitles-Detail 3 2 6 3 2" xfId="20752"/>
    <cellStyle name="RowTitles-Detail 3 2 6 3 2 2" xfId="20753"/>
    <cellStyle name="RowTitles-Detail 3 2 6 3 2_Tertiary Salaries Survey" xfId="20754"/>
    <cellStyle name="RowTitles-Detail 3 2 6 3 3" xfId="20755"/>
    <cellStyle name="RowTitles-Detail 3 2 6 3_Tertiary Salaries Survey" xfId="20756"/>
    <cellStyle name="RowTitles-Detail 3 2 6 4" xfId="20757"/>
    <cellStyle name="RowTitles-Detail 3 2 6 5" xfId="20758"/>
    <cellStyle name="RowTitles-Detail 3 2 6 5 2" xfId="20759"/>
    <cellStyle name="RowTitles-Detail 3 2 6 5_Tertiary Salaries Survey" xfId="20760"/>
    <cellStyle name="RowTitles-Detail 3 2 6 6" xfId="20761"/>
    <cellStyle name="RowTitles-Detail 3 2 6_Tertiary Salaries Survey" xfId="20762"/>
    <cellStyle name="RowTitles-Detail 3 2 7" xfId="20763"/>
    <cellStyle name="RowTitles-Detail 3 2 7 2" xfId="20764"/>
    <cellStyle name="RowTitles-Detail 3 2 7 2 2" xfId="20765"/>
    <cellStyle name="RowTitles-Detail 3 2 7 2 2 2" xfId="20766"/>
    <cellStyle name="RowTitles-Detail 3 2 7 2 2_Tertiary Salaries Survey" xfId="20767"/>
    <cellStyle name="RowTitles-Detail 3 2 7 2 3" xfId="20768"/>
    <cellStyle name="RowTitles-Detail 3 2 7 2_Tertiary Salaries Survey" xfId="20769"/>
    <cellStyle name="RowTitles-Detail 3 2 7 3" xfId="20770"/>
    <cellStyle name="RowTitles-Detail 3 2 7 3 2" xfId="20771"/>
    <cellStyle name="RowTitles-Detail 3 2 7 3 2 2" xfId="20772"/>
    <cellStyle name="RowTitles-Detail 3 2 7 3 2_Tertiary Salaries Survey" xfId="20773"/>
    <cellStyle name="RowTitles-Detail 3 2 7 3 3" xfId="20774"/>
    <cellStyle name="RowTitles-Detail 3 2 7 3_Tertiary Salaries Survey" xfId="20775"/>
    <cellStyle name="RowTitles-Detail 3 2 7 4" xfId="20776"/>
    <cellStyle name="RowTitles-Detail 3 2 7 5" xfId="20777"/>
    <cellStyle name="RowTitles-Detail 3 2 7_Tertiary Salaries Survey" xfId="20778"/>
    <cellStyle name="RowTitles-Detail 3 2 8" xfId="20779"/>
    <cellStyle name="RowTitles-Detail 3 2 8 2" xfId="20780"/>
    <cellStyle name="RowTitles-Detail 3 2 8 2 2" xfId="20781"/>
    <cellStyle name="RowTitles-Detail 3 2 8 2 2 2" xfId="20782"/>
    <cellStyle name="RowTitles-Detail 3 2 8 2 2_Tertiary Salaries Survey" xfId="20783"/>
    <cellStyle name="RowTitles-Detail 3 2 8 2 3" xfId="20784"/>
    <cellStyle name="RowTitles-Detail 3 2 8 2_Tertiary Salaries Survey" xfId="20785"/>
    <cellStyle name="RowTitles-Detail 3 2 8 3" xfId="20786"/>
    <cellStyle name="RowTitles-Detail 3 2 8 3 2" xfId="20787"/>
    <cellStyle name="RowTitles-Detail 3 2 8 3 2 2" xfId="20788"/>
    <cellStyle name="RowTitles-Detail 3 2 8 3 2_Tertiary Salaries Survey" xfId="20789"/>
    <cellStyle name="RowTitles-Detail 3 2 8 3 3" xfId="20790"/>
    <cellStyle name="RowTitles-Detail 3 2 8 3_Tertiary Salaries Survey" xfId="20791"/>
    <cellStyle name="RowTitles-Detail 3 2 8 4" xfId="20792"/>
    <cellStyle name="RowTitles-Detail 3 2 8 5" xfId="20793"/>
    <cellStyle name="RowTitles-Detail 3 2 8 5 2" xfId="20794"/>
    <cellStyle name="RowTitles-Detail 3 2 8 5_Tertiary Salaries Survey" xfId="20795"/>
    <cellStyle name="RowTitles-Detail 3 2 8 6" xfId="20796"/>
    <cellStyle name="RowTitles-Detail 3 2 8_Tertiary Salaries Survey" xfId="20797"/>
    <cellStyle name="RowTitles-Detail 3 2 9" xfId="20798"/>
    <cellStyle name="RowTitles-Detail 3 2 9 2" xfId="20799"/>
    <cellStyle name="RowTitles-Detail 3 2 9 2 2" xfId="20800"/>
    <cellStyle name="RowTitles-Detail 3 2 9 2 2 2" xfId="20801"/>
    <cellStyle name="RowTitles-Detail 3 2 9 2 2_Tertiary Salaries Survey" xfId="20802"/>
    <cellStyle name="RowTitles-Detail 3 2 9 2 3" xfId="20803"/>
    <cellStyle name="RowTitles-Detail 3 2 9 2_Tertiary Salaries Survey" xfId="20804"/>
    <cellStyle name="RowTitles-Detail 3 2 9 3" xfId="20805"/>
    <cellStyle name="RowTitles-Detail 3 2 9 3 2" xfId="20806"/>
    <cellStyle name="RowTitles-Detail 3 2 9 3 2 2" xfId="20807"/>
    <cellStyle name="RowTitles-Detail 3 2 9 3 2_Tertiary Salaries Survey" xfId="20808"/>
    <cellStyle name="RowTitles-Detail 3 2 9 3 3" xfId="20809"/>
    <cellStyle name="RowTitles-Detail 3 2 9 3_Tertiary Salaries Survey" xfId="20810"/>
    <cellStyle name="RowTitles-Detail 3 2 9 4" xfId="20811"/>
    <cellStyle name="RowTitles-Detail 3 2 9 4 2" xfId="20812"/>
    <cellStyle name="RowTitles-Detail 3 2 9 4_Tertiary Salaries Survey" xfId="20813"/>
    <cellStyle name="RowTitles-Detail 3 2 9 5" xfId="20814"/>
    <cellStyle name="RowTitles-Detail 3 2 9_Tertiary Salaries Survey" xfId="20815"/>
    <cellStyle name="RowTitles-Detail 3 2_STUD aligned by INSTIT" xfId="20816"/>
    <cellStyle name="RowTitles-Detail 3 3" xfId="20817"/>
    <cellStyle name="RowTitles-Detail 3 3 10" xfId="20818"/>
    <cellStyle name="RowTitles-Detail 3 3 10 2" xfId="20819"/>
    <cellStyle name="RowTitles-Detail 3 3 10 2 2" xfId="20820"/>
    <cellStyle name="RowTitles-Detail 3 3 10 2_Tertiary Salaries Survey" xfId="20821"/>
    <cellStyle name="RowTitles-Detail 3 3 10 3" xfId="20822"/>
    <cellStyle name="RowTitles-Detail 3 3 10_Tertiary Salaries Survey" xfId="20823"/>
    <cellStyle name="RowTitles-Detail 3 3 11" xfId="20824"/>
    <cellStyle name="RowTitles-Detail 3 3 12" xfId="20825"/>
    <cellStyle name="RowTitles-Detail 3 3 2" xfId="20826"/>
    <cellStyle name="RowTitles-Detail 3 3 2 2" xfId="20827"/>
    <cellStyle name="RowTitles-Detail 3 3 2 2 2" xfId="20828"/>
    <cellStyle name="RowTitles-Detail 3 3 2 2 2 2" xfId="20829"/>
    <cellStyle name="RowTitles-Detail 3 3 2 2 2 2 2" xfId="20830"/>
    <cellStyle name="RowTitles-Detail 3 3 2 2 2 2_Tertiary Salaries Survey" xfId="20831"/>
    <cellStyle name="RowTitles-Detail 3 3 2 2 2 3" xfId="20832"/>
    <cellStyle name="RowTitles-Detail 3 3 2 2 2_Tertiary Salaries Survey" xfId="20833"/>
    <cellStyle name="RowTitles-Detail 3 3 2 2 3" xfId="20834"/>
    <cellStyle name="RowTitles-Detail 3 3 2 2 3 2" xfId="20835"/>
    <cellStyle name="RowTitles-Detail 3 3 2 2 3 2 2" xfId="20836"/>
    <cellStyle name="RowTitles-Detail 3 3 2 2 3 2_Tertiary Salaries Survey" xfId="20837"/>
    <cellStyle name="RowTitles-Detail 3 3 2 2 3 3" xfId="20838"/>
    <cellStyle name="RowTitles-Detail 3 3 2 2 3_Tertiary Salaries Survey" xfId="20839"/>
    <cellStyle name="RowTitles-Detail 3 3 2 2 4" xfId="20840"/>
    <cellStyle name="RowTitles-Detail 3 3 2 2 5" xfId="20841"/>
    <cellStyle name="RowTitles-Detail 3 3 2 2_Tertiary Salaries Survey" xfId="20842"/>
    <cellStyle name="RowTitles-Detail 3 3 2 3" xfId="20843"/>
    <cellStyle name="RowTitles-Detail 3 3 2 3 2" xfId="20844"/>
    <cellStyle name="RowTitles-Detail 3 3 2 3 2 2" xfId="20845"/>
    <cellStyle name="RowTitles-Detail 3 3 2 3 2 2 2" xfId="20846"/>
    <cellStyle name="RowTitles-Detail 3 3 2 3 2 2_Tertiary Salaries Survey" xfId="20847"/>
    <cellStyle name="RowTitles-Detail 3 3 2 3 2 3" xfId="20848"/>
    <cellStyle name="RowTitles-Detail 3 3 2 3 2_Tertiary Salaries Survey" xfId="20849"/>
    <cellStyle name="RowTitles-Detail 3 3 2 3 3" xfId="20850"/>
    <cellStyle name="RowTitles-Detail 3 3 2 3 3 2" xfId="20851"/>
    <cellStyle name="RowTitles-Detail 3 3 2 3 3 2 2" xfId="20852"/>
    <cellStyle name="RowTitles-Detail 3 3 2 3 3 2_Tertiary Salaries Survey" xfId="20853"/>
    <cellStyle name="RowTitles-Detail 3 3 2 3 3 3" xfId="20854"/>
    <cellStyle name="RowTitles-Detail 3 3 2 3 3_Tertiary Salaries Survey" xfId="20855"/>
    <cellStyle name="RowTitles-Detail 3 3 2 3 4" xfId="20856"/>
    <cellStyle name="RowTitles-Detail 3 3 2 3 5" xfId="20857"/>
    <cellStyle name="RowTitles-Detail 3 3 2 3 5 2" xfId="20858"/>
    <cellStyle name="RowTitles-Detail 3 3 2 3 5_Tertiary Salaries Survey" xfId="20859"/>
    <cellStyle name="RowTitles-Detail 3 3 2 3 6" xfId="20860"/>
    <cellStyle name="RowTitles-Detail 3 3 2 3_Tertiary Salaries Survey" xfId="20861"/>
    <cellStyle name="RowTitles-Detail 3 3 2 4" xfId="20862"/>
    <cellStyle name="RowTitles-Detail 3 3 2 4 2" xfId="20863"/>
    <cellStyle name="RowTitles-Detail 3 3 2 4 2 2" xfId="20864"/>
    <cellStyle name="RowTitles-Detail 3 3 2 4 2 2 2" xfId="20865"/>
    <cellStyle name="RowTitles-Detail 3 3 2 4 2 2_Tertiary Salaries Survey" xfId="20866"/>
    <cellStyle name="RowTitles-Detail 3 3 2 4 2 3" xfId="20867"/>
    <cellStyle name="RowTitles-Detail 3 3 2 4 2_Tertiary Salaries Survey" xfId="20868"/>
    <cellStyle name="RowTitles-Detail 3 3 2 4 3" xfId="20869"/>
    <cellStyle name="RowTitles-Detail 3 3 2 4 3 2" xfId="20870"/>
    <cellStyle name="RowTitles-Detail 3 3 2 4 3 2 2" xfId="20871"/>
    <cellStyle name="RowTitles-Detail 3 3 2 4 3 2_Tertiary Salaries Survey" xfId="20872"/>
    <cellStyle name="RowTitles-Detail 3 3 2 4 3 3" xfId="20873"/>
    <cellStyle name="RowTitles-Detail 3 3 2 4 3_Tertiary Salaries Survey" xfId="20874"/>
    <cellStyle name="RowTitles-Detail 3 3 2 4 4" xfId="20875"/>
    <cellStyle name="RowTitles-Detail 3 3 2 4 4 2" xfId="20876"/>
    <cellStyle name="RowTitles-Detail 3 3 2 4 4_Tertiary Salaries Survey" xfId="20877"/>
    <cellStyle name="RowTitles-Detail 3 3 2 4 5" xfId="20878"/>
    <cellStyle name="RowTitles-Detail 3 3 2 4_Tertiary Salaries Survey" xfId="20879"/>
    <cellStyle name="RowTitles-Detail 3 3 2 5" xfId="20880"/>
    <cellStyle name="RowTitles-Detail 3 3 2 5 2" xfId="20881"/>
    <cellStyle name="RowTitles-Detail 3 3 2 5 2 2" xfId="20882"/>
    <cellStyle name="RowTitles-Detail 3 3 2 5 2 2 2" xfId="20883"/>
    <cellStyle name="RowTitles-Detail 3 3 2 5 2 2_Tertiary Salaries Survey" xfId="20884"/>
    <cellStyle name="RowTitles-Detail 3 3 2 5 2 3" xfId="20885"/>
    <cellStyle name="RowTitles-Detail 3 3 2 5 2_Tertiary Salaries Survey" xfId="20886"/>
    <cellStyle name="RowTitles-Detail 3 3 2 5 3" xfId="20887"/>
    <cellStyle name="RowTitles-Detail 3 3 2 5 3 2" xfId="20888"/>
    <cellStyle name="RowTitles-Detail 3 3 2 5 3 2 2" xfId="20889"/>
    <cellStyle name="RowTitles-Detail 3 3 2 5 3 2_Tertiary Salaries Survey" xfId="20890"/>
    <cellStyle name="RowTitles-Detail 3 3 2 5 3 3" xfId="20891"/>
    <cellStyle name="RowTitles-Detail 3 3 2 5 3_Tertiary Salaries Survey" xfId="20892"/>
    <cellStyle name="RowTitles-Detail 3 3 2 5 4" xfId="20893"/>
    <cellStyle name="RowTitles-Detail 3 3 2 5 4 2" xfId="20894"/>
    <cellStyle name="RowTitles-Detail 3 3 2 5 4_Tertiary Salaries Survey" xfId="20895"/>
    <cellStyle name="RowTitles-Detail 3 3 2 5 5" xfId="20896"/>
    <cellStyle name="RowTitles-Detail 3 3 2 5_Tertiary Salaries Survey" xfId="20897"/>
    <cellStyle name="RowTitles-Detail 3 3 2 6" xfId="20898"/>
    <cellStyle name="RowTitles-Detail 3 3 2 6 2" xfId="20899"/>
    <cellStyle name="RowTitles-Detail 3 3 2 6 2 2" xfId="20900"/>
    <cellStyle name="RowTitles-Detail 3 3 2 6 2 2 2" xfId="20901"/>
    <cellStyle name="RowTitles-Detail 3 3 2 6 2 2_Tertiary Salaries Survey" xfId="20902"/>
    <cellStyle name="RowTitles-Detail 3 3 2 6 2 3" xfId="20903"/>
    <cellStyle name="RowTitles-Detail 3 3 2 6 2_Tertiary Salaries Survey" xfId="20904"/>
    <cellStyle name="RowTitles-Detail 3 3 2 6 3" xfId="20905"/>
    <cellStyle name="RowTitles-Detail 3 3 2 6 3 2" xfId="20906"/>
    <cellStyle name="RowTitles-Detail 3 3 2 6 3 2 2" xfId="20907"/>
    <cellStyle name="RowTitles-Detail 3 3 2 6 3 2_Tertiary Salaries Survey" xfId="20908"/>
    <cellStyle name="RowTitles-Detail 3 3 2 6 3 3" xfId="20909"/>
    <cellStyle name="RowTitles-Detail 3 3 2 6 3_Tertiary Salaries Survey" xfId="20910"/>
    <cellStyle name="RowTitles-Detail 3 3 2 6 4" xfId="20911"/>
    <cellStyle name="RowTitles-Detail 3 3 2 6 4 2" xfId="20912"/>
    <cellStyle name="RowTitles-Detail 3 3 2 6 4_Tertiary Salaries Survey" xfId="20913"/>
    <cellStyle name="RowTitles-Detail 3 3 2 6 5" xfId="20914"/>
    <cellStyle name="RowTitles-Detail 3 3 2 6_Tertiary Salaries Survey" xfId="20915"/>
    <cellStyle name="RowTitles-Detail 3 3 2 7" xfId="20916"/>
    <cellStyle name="RowTitles-Detail 3 3 2 7 2" xfId="20917"/>
    <cellStyle name="RowTitles-Detail 3 3 2 7 2 2" xfId="20918"/>
    <cellStyle name="RowTitles-Detail 3 3 2 7 2_Tertiary Salaries Survey" xfId="20919"/>
    <cellStyle name="RowTitles-Detail 3 3 2 7 3" xfId="20920"/>
    <cellStyle name="RowTitles-Detail 3 3 2 7_Tertiary Salaries Survey" xfId="20921"/>
    <cellStyle name="RowTitles-Detail 3 3 2 8" xfId="20922"/>
    <cellStyle name="RowTitles-Detail 3 3 2 9" xfId="20923"/>
    <cellStyle name="RowTitles-Detail 3 3 2_STUD aligned by INSTIT" xfId="20924"/>
    <cellStyle name="RowTitles-Detail 3 3 3" xfId="20925"/>
    <cellStyle name="RowTitles-Detail 3 3 3 2" xfId="20926"/>
    <cellStyle name="RowTitles-Detail 3 3 3 2 2" xfId="20927"/>
    <cellStyle name="RowTitles-Detail 3 3 3 2 2 2" xfId="20928"/>
    <cellStyle name="RowTitles-Detail 3 3 3 2 2 2 2" xfId="20929"/>
    <cellStyle name="RowTitles-Detail 3 3 3 2 2 2_Tertiary Salaries Survey" xfId="20930"/>
    <cellStyle name="RowTitles-Detail 3 3 3 2 2 3" xfId="20931"/>
    <cellStyle name="RowTitles-Detail 3 3 3 2 2_Tertiary Salaries Survey" xfId="20932"/>
    <cellStyle name="RowTitles-Detail 3 3 3 2 3" xfId="20933"/>
    <cellStyle name="RowTitles-Detail 3 3 3 2 3 2" xfId="20934"/>
    <cellStyle name="RowTitles-Detail 3 3 3 2 3 2 2" xfId="20935"/>
    <cellStyle name="RowTitles-Detail 3 3 3 2 3 2_Tertiary Salaries Survey" xfId="20936"/>
    <cellStyle name="RowTitles-Detail 3 3 3 2 3 3" xfId="20937"/>
    <cellStyle name="RowTitles-Detail 3 3 3 2 3_Tertiary Salaries Survey" xfId="20938"/>
    <cellStyle name="RowTitles-Detail 3 3 3 2 4" xfId="20939"/>
    <cellStyle name="RowTitles-Detail 3 3 3 2 5" xfId="20940"/>
    <cellStyle name="RowTitles-Detail 3 3 3 2 5 2" xfId="20941"/>
    <cellStyle name="RowTitles-Detail 3 3 3 2 5_Tertiary Salaries Survey" xfId="20942"/>
    <cellStyle name="RowTitles-Detail 3 3 3 2 6" xfId="20943"/>
    <cellStyle name="RowTitles-Detail 3 3 3 2_Tertiary Salaries Survey" xfId="20944"/>
    <cellStyle name="RowTitles-Detail 3 3 3 3" xfId="20945"/>
    <cellStyle name="RowTitles-Detail 3 3 3 3 2" xfId="20946"/>
    <cellStyle name="RowTitles-Detail 3 3 3 3 2 2" xfId="20947"/>
    <cellStyle name="RowTitles-Detail 3 3 3 3 2 2 2" xfId="20948"/>
    <cellStyle name="RowTitles-Detail 3 3 3 3 2 2_Tertiary Salaries Survey" xfId="20949"/>
    <cellStyle name="RowTitles-Detail 3 3 3 3 2 3" xfId="20950"/>
    <cellStyle name="RowTitles-Detail 3 3 3 3 2_Tertiary Salaries Survey" xfId="20951"/>
    <cellStyle name="RowTitles-Detail 3 3 3 3 3" xfId="20952"/>
    <cellStyle name="RowTitles-Detail 3 3 3 3 3 2" xfId="20953"/>
    <cellStyle name="RowTitles-Detail 3 3 3 3 3 2 2" xfId="20954"/>
    <cellStyle name="RowTitles-Detail 3 3 3 3 3 2_Tertiary Salaries Survey" xfId="20955"/>
    <cellStyle name="RowTitles-Detail 3 3 3 3 3 3" xfId="20956"/>
    <cellStyle name="RowTitles-Detail 3 3 3 3 3_Tertiary Salaries Survey" xfId="20957"/>
    <cellStyle name="RowTitles-Detail 3 3 3 3 4" xfId="20958"/>
    <cellStyle name="RowTitles-Detail 3 3 3 3 5" xfId="20959"/>
    <cellStyle name="RowTitles-Detail 3 3 3 3_Tertiary Salaries Survey" xfId="20960"/>
    <cellStyle name="RowTitles-Detail 3 3 3 4" xfId="20961"/>
    <cellStyle name="RowTitles-Detail 3 3 3 4 2" xfId="20962"/>
    <cellStyle name="RowTitles-Detail 3 3 3 4 2 2" xfId="20963"/>
    <cellStyle name="RowTitles-Detail 3 3 3 4 2 2 2" xfId="20964"/>
    <cellStyle name="RowTitles-Detail 3 3 3 4 2 2_Tertiary Salaries Survey" xfId="20965"/>
    <cellStyle name="RowTitles-Detail 3 3 3 4 2 3" xfId="20966"/>
    <cellStyle name="RowTitles-Detail 3 3 3 4 2_Tertiary Salaries Survey" xfId="20967"/>
    <cellStyle name="RowTitles-Detail 3 3 3 4 3" xfId="20968"/>
    <cellStyle name="RowTitles-Detail 3 3 3 4 3 2" xfId="20969"/>
    <cellStyle name="RowTitles-Detail 3 3 3 4 3 2 2" xfId="20970"/>
    <cellStyle name="RowTitles-Detail 3 3 3 4 3 2_Tertiary Salaries Survey" xfId="20971"/>
    <cellStyle name="RowTitles-Detail 3 3 3 4 3 3" xfId="20972"/>
    <cellStyle name="RowTitles-Detail 3 3 3 4 3_Tertiary Salaries Survey" xfId="20973"/>
    <cellStyle name="RowTitles-Detail 3 3 3 4 4" xfId="20974"/>
    <cellStyle name="RowTitles-Detail 3 3 3 4 4 2" xfId="20975"/>
    <cellStyle name="RowTitles-Detail 3 3 3 4 4_Tertiary Salaries Survey" xfId="20976"/>
    <cellStyle name="RowTitles-Detail 3 3 3 4 5" xfId="20977"/>
    <cellStyle name="RowTitles-Detail 3 3 3 4_Tertiary Salaries Survey" xfId="20978"/>
    <cellStyle name="RowTitles-Detail 3 3 3 5" xfId="20979"/>
    <cellStyle name="RowTitles-Detail 3 3 3 5 2" xfId="20980"/>
    <cellStyle name="RowTitles-Detail 3 3 3 5 2 2" xfId="20981"/>
    <cellStyle name="RowTitles-Detail 3 3 3 5 2 2 2" xfId="20982"/>
    <cellStyle name="RowTitles-Detail 3 3 3 5 2 2_Tertiary Salaries Survey" xfId="20983"/>
    <cellStyle name="RowTitles-Detail 3 3 3 5 2 3" xfId="20984"/>
    <cellStyle name="RowTitles-Detail 3 3 3 5 2_Tertiary Salaries Survey" xfId="20985"/>
    <cellStyle name="RowTitles-Detail 3 3 3 5 3" xfId="20986"/>
    <cellStyle name="RowTitles-Detail 3 3 3 5 3 2" xfId="20987"/>
    <cellStyle name="RowTitles-Detail 3 3 3 5 3 2 2" xfId="20988"/>
    <cellStyle name="RowTitles-Detail 3 3 3 5 3 2_Tertiary Salaries Survey" xfId="20989"/>
    <cellStyle name="RowTitles-Detail 3 3 3 5 3 3" xfId="20990"/>
    <cellStyle name="RowTitles-Detail 3 3 3 5 3_Tertiary Salaries Survey" xfId="20991"/>
    <cellStyle name="RowTitles-Detail 3 3 3 5 4" xfId="20992"/>
    <cellStyle name="RowTitles-Detail 3 3 3 5 4 2" xfId="20993"/>
    <cellStyle name="RowTitles-Detail 3 3 3 5 4_Tertiary Salaries Survey" xfId="20994"/>
    <cellStyle name="RowTitles-Detail 3 3 3 5 5" xfId="20995"/>
    <cellStyle name="RowTitles-Detail 3 3 3 5_Tertiary Salaries Survey" xfId="20996"/>
    <cellStyle name="RowTitles-Detail 3 3 3 6" xfId="20997"/>
    <cellStyle name="RowTitles-Detail 3 3 3 6 2" xfId="20998"/>
    <cellStyle name="RowTitles-Detail 3 3 3 6 2 2" xfId="20999"/>
    <cellStyle name="RowTitles-Detail 3 3 3 6 2 2 2" xfId="21000"/>
    <cellStyle name="RowTitles-Detail 3 3 3 6 2 2_Tertiary Salaries Survey" xfId="21001"/>
    <cellStyle name="RowTitles-Detail 3 3 3 6 2 3" xfId="21002"/>
    <cellStyle name="RowTitles-Detail 3 3 3 6 2_Tertiary Salaries Survey" xfId="21003"/>
    <cellStyle name="RowTitles-Detail 3 3 3 6 3" xfId="21004"/>
    <cellStyle name="RowTitles-Detail 3 3 3 6 3 2" xfId="21005"/>
    <cellStyle name="RowTitles-Detail 3 3 3 6 3 2 2" xfId="21006"/>
    <cellStyle name="RowTitles-Detail 3 3 3 6 3 2_Tertiary Salaries Survey" xfId="21007"/>
    <cellStyle name="RowTitles-Detail 3 3 3 6 3 3" xfId="21008"/>
    <cellStyle name="RowTitles-Detail 3 3 3 6 3_Tertiary Salaries Survey" xfId="21009"/>
    <cellStyle name="RowTitles-Detail 3 3 3 6 4" xfId="21010"/>
    <cellStyle name="RowTitles-Detail 3 3 3 6 4 2" xfId="21011"/>
    <cellStyle name="RowTitles-Detail 3 3 3 6 4_Tertiary Salaries Survey" xfId="21012"/>
    <cellStyle name="RowTitles-Detail 3 3 3 6 5" xfId="21013"/>
    <cellStyle name="RowTitles-Detail 3 3 3 6_Tertiary Salaries Survey" xfId="21014"/>
    <cellStyle name="RowTitles-Detail 3 3 3 7" xfId="21015"/>
    <cellStyle name="RowTitles-Detail 3 3 3 7 2" xfId="21016"/>
    <cellStyle name="RowTitles-Detail 3 3 3 7 2 2" xfId="21017"/>
    <cellStyle name="RowTitles-Detail 3 3 3 7 2_Tertiary Salaries Survey" xfId="21018"/>
    <cellStyle name="RowTitles-Detail 3 3 3 7 3" xfId="21019"/>
    <cellStyle name="RowTitles-Detail 3 3 3 7_Tertiary Salaries Survey" xfId="21020"/>
    <cellStyle name="RowTitles-Detail 3 3 3 8" xfId="21021"/>
    <cellStyle name="RowTitles-Detail 3 3 3 8 2" xfId="21022"/>
    <cellStyle name="RowTitles-Detail 3 3 3 8 2 2" xfId="21023"/>
    <cellStyle name="RowTitles-Detail 3 3 3 8 2_Tertiary Salaries Survey" xfId="21024"/>
    <cellStyle name="RowTitles-Detail 3 3 3 8 3" xfId="21025"/>
    <cellStyle name="RowTitles-Detail 3 3 3 8_Tertiary Salaries Survey" xfId="21026"/>
    <cellStyle name="RowTitles-Detail 3 3 3 9" xfId="21027"/>
    <cellStyle name="RowTitles-Detail 3 3 3_STUD aligned by INSTIT" xfId="21028"/>
    <cellStyle name="RowTitles-Detail 3 3 4" xfId="21029"/>
    <cellStyle name="RowTitles-Detail 3 3 4 2" xfId="21030"/>
    <cellStyle name="RowTitles-Detail 3 3 4 2 2" xfId="21031"/>
    <cellStyle name="RowTitles-Detail 3 3 4 2 2 2" xfId="21032"/>
    <cellStyle name="RowTitles-Detail 3 3 4 2 2 2 2" xfId="21033"/>
    <cellStyle name="RowTitles-Detail 3 3 4 2 2 2_Tertiary Salaries Survey" xfId="21034"/>
    <cellStyle name="RowTitles-Detail 3 3 4 2 2 3" xfId="21035"/>
    <cellStyle name="RowTitles-Detail 3 3 4 2 2_Tertiary Salaries Survey" xfId="21036"/>
    <cellStyle name="RowTitles-Detail 3 3 4 2 3" xfId="21037"/>
    <cellStyle name="RowTitles-Detail 3 3 4 2 3 2" xfId="21038"/>
    <cellStyle name="RowTitles-Detail 3 3 4 2 3 2 2" xfId="21039"/>
    <cellStyle name="RowTitles-Detail 3 3 4 2 3 2_Tertiary Salaries Survey" xfId="21040"/>
    <cellStyle name="RowTitles-Detail 3 3 4 2 3 3" xfId="21041"/>
    <cellStyle name="RowTitles-Detail 3 3 4 2 3_Tertiary Salaries Survey" xfId="21042"/>
    <cellStyle name="RowTitles-Detail 3 3 4 2 4" xfId="21043"/>
    <cellStyle name="RowTitles-Detail 3 3 4 2 5" xfId="21044"/>
    <cellStyle name="RowTitles-Detail 3 3 4 2 5 2" xfId="21045"/>
    <cellStyle name="RowTitles-Detail 3 3 4 2 5_Tertiary Salaries Survey" xfId="21046"/>
    <cellStyle name="RowTitles-Detail 3 3 4 2 6" xfId="21047"/>
    <cellStyle name="RowTitles-Detail 3 3 4 2_Tertiary Salaries Survey" xfId="21048"/>
    <cellStyle name="RowTitles-Detail 3 3 4 3" xfId="21049"/>
    <cellStyle name="RowTitles-Detail 3 3 4 3 2" xfId="21050"/>
    <cellStyle name="RowTitles-Detail 3 3 4 3 2 2" xfId="21051"/>
    <cellStyle name="RowTitles-Detail 3 3 4 3 2 2 2" xfId="21052"/>
    <cellStyle name="RowTitles-Detail 3 3 4 3 2 2_Tertiary Salaries Survey" xfId="21053"/>
    <cellStyle name="RowTitles-Detail 3 3 4 3 2 3" xfId="21054"/>
    <cellStyle name="RowTitles-Detail 3 3 4 3 2_Tertiary Salaries Survey" xfId="21055"/>
    <cellStyle name="RowTitles-Detail 3 3 4 3 3" xfId="21056"/>
    <cellStyle name="RowTitles-Detail 3 3 4 3 3 2" xfId="21057"/>
    <cellStyle name="RowTitles-Detail 3 3 4 3 3 2 2" xfId="21058"/>
    <cellStyle name="RowTitles-Detail 3 3 4 3 3 2_Tertiary Salaries Survey" xfId="21059"/>
    <cellStyle name="RowTitles-Detail 3 3 4 3 3 3" xfId="21060"/>
    <cellStyle name="RowTitles-Detail 3 3 4 3 3_Tertiary Salaries Survey" xfId="21061"/>
    <cellStyle name="RowTitles-Detail 3 3 4 3 4" xfId="21062"/>
    <cellStyle name="RowTitles-Detail 3 3 4 3 5" xfId="21063"/>
    <cellStyle name="RowTitles-Detail 3 3 4 3_Tertiary Salaries Survey" xfId="21064"/>
    <cellStyle name="RowTitles-Detail 3 3 4 4" xfId="21065"/>
    <cellStyle name="RowTitles-Detail 3 3 4 4 2" xfId="21066"/>
    <cellStyle name="RowTitles-Detail 3 3 4 4 2 2" xfId="21067"/>
    <cellStyle name="RowTitles-Detail 3 3 4 4 2 2 2" xfId="21068"/>
    <cellStyle name="RowTitles-Detail 3 3 4 4 2 2_Tertiary Salaries Survey" xfId="21069"/>
    <cellStyle name="RowTitles-Detail 3 3 4 4 2 3" xfId="21070"/>
    <cellStyle name="RowTitles-Detail 3 3 4 4 2_Tertiary Salaries Survey" xfId="21071"/>
    <cellStyle name="RowTitles-Detail 3 3 4 4 3" xfId="21072"/>
    <cellStyle name="RowTitles-Detail 3 3 4 4 3 2" xfId="21073"/>
    <cellStyle name="RowTitles-Detail 3 3 4 4 3 2 2" xfId="21074"/>
    <cellStyle name="RowTitles-Detail 3 3 4 4 3 2_Tertiary Salaries Survey" xfId="21075"/>
    <cellStyle name="RowTitles-Detail 3 3 4 4 3 3" xfId="21076"/>
    <cellStyle name="RowTitles-Detail 3 3 4 4 3_Tertiary Salaries Survey" xfId="21077"/>
    <cellStyle name="RowTitles-Detail 3 3 4 4 4" xfId="21078"/>
    <cellStyle name="RowTitles-Detail 3 3 4 4 5" xfId="21079"/>
    <cellStyle name="RowTitles-Detail 3 3 4 4 5 2" xfId="21080"/>
    <cellStyle name="RowTitles-Detail 3 3 4 4 5_Tertiary Salaries Survey" xfId="21081"/>
    <cellStyle name="RowTitles-Detail 3 3 4 4 6" xfId="21082"/>
    <cellStyle name="RowTitles-Detail 3 3 4 4_Tertiary Salaries Survey" xfId="21083"/>
    <cellStyle name="RowTitles-Detail 3 3 4 5" xfId="21084"/>
    <cellStyle name="RowTitles-Detail 3 3 4 5 2" xfId="21085"/>
    <cellStyle name="RowTitles-Detail 3 3 4 5 2 2" xfId="21086"/>
    <cellStyle name="RowTitles-Detail 3 3 4 5 2 2 2" xfId="21087"/>
    <cellStyle name="RowTitles-Detail 3 3 4 5 2 2_Tertiary Salaries Survey" xfId="21088"/>
    <cellStyle name="RowTitles-Detail 3 3 4 5 2 3" xfId="21089"/>
    <cellStyle name="RowTitles-Detail 3 3 4 5 2_Tertiary Salaries Survey" xfId="21090"/>
    <cellStyle name="RowTitles-Detail 3 3 4 5 3" xfId="21091"/>
    <cellStyle name="RowTitles-Detail 3 3 4 5 3 2" xfId="21092"/>
    <cellStyle name="RowTitles-Detail 3 3 4 5 3 2 2" xfId="21093"/>
    <cellStyle name="RowTitles-Detail 3 3 4 5 3 2_Tertiary Salaries Survey" xfId="21094"/>
    <cellStyle name="RowTitles-Detail 3 3 4 5 3 3" xfId="21095"/>
    <cellStyle name="RowTitles-Detail 3 3 4 5 3_Tertiary Salaries Survey" xfId="21096"/>
    <cellStyle name="RowTitles-Detail 3 3 4 5 4" xfId="21097"/>
    <cellStyle name="RowTitles-Detail 3 3 4 5 4 2" xfId="21098"/>
    <cellStyle name="RowTitles-Detail 3 3 4 5 4_Tertiary Salaries Survey" xfId="21099"/>
    <cellStyle name="RowTitles-Detail 3 3 4 5 5" xfId="21100"/>
    <cellStyle name="RowTitles-Detail 3 3 4 5_Tertiary Salaries Survey" xfId="21101"/>
    <cellStyle name="RowTitles-Detail 3 3 4 6" xfId="21102"/>
    <cellStyle name="RowTitles-Detail 3 3 4 6 2" xfId="21103"/>
    <cellStyle name="RowTitles-Detail 3 3 4 6 2 2" xfId="21104"/>
    <cellStyle name="RowTitles-Detail 3 3 4 6 2 2 2" xfId="21105"/>
    <cellStyle name="RowTitles-Detail 3 3 4 6 2 2_Tertiary Salaries Survey" xfId="21106"/>
    <cellStyle name="RowTitles-Detail 3 3 4 6 2 3" xfId="21107"/>
    <cellStyle name="RowTitles-Detail 3 3 4 6 2_Tertiary Salaries Survey" xfId="21108"/>
    <cellStyle name="RowTitles-Detail 3 3 4 6 3" xfId="21109"/>
    <cellStyle name="RowTitles-Detail 3 3 4 6 3 2" xfId="21110"/>
    <cellStyle name="RowTitles-Detail 3 3 4 6 3 2 2" xfId="21111"/>
    <cellStyle name="RowTitles-Detail 3 3 4 6 3 2_Tertiary Salaries Survey" xfId="21112"/>
    <cellStyle name="RowTitles-Detail 3 3 4 6 3 3" xfId="21113"/>
    <cellStyle name="RowTitles-Detail 3 3 4 6 3_Tertiary Salaries Survey" xfId="21114"/>
    <cellStyle name="RowTitles-Detail 3 3 4 6 4" xfId="21115"/>
    <cellStyle name="RowTitles-Detail 3 3 4 6 4 2" xfId="21116"/>
    <cellStyle name="RowTitles-Detail 3 3 4 6 4_Tertiary Salaries Survey" xfId="21117"/>
    <cellStyle name="RowTitles-Detail 3 3 4 6 5" xfId="21118"/>
    <cellStyle name="RowTitles-Detail 3 3 4 6_Tertiary Salaries Survey" xfId="21119"/>
    <cellStyle name="RowTitles-Detail 3 3 4 7" xfId="21120"/>
    <cellStyle name="RowTitles-Detail 3 3 4 7 2" xfId="21121"/>
    <cellStyle name="RowTitles-Detail 3 3 4 7 2 2" xfId="21122"/>
    <cellStyle name="RowTitles-Detail 3 3 4 7 2_Tertiary Salaries Survey" xfId="21123"/>
    <cellStyle name="RowTitles-Detail 3 3 4 7 3" xfId="21124"/>
    <cellStyle name="RowTitles-Detail 3 3 4 7_Tertiary Salaries Survey" xfId="21125"/>
    <cellStyle name="RowTitles-Detail 3 3 4 8" xfId="21126"/>
    <cellStyle name="RowTitles-Detail 3 3 4 9" xfId="21127"/>
    <cellStyle name="RowTitles-Detail 3 3 4_STUD aligned by INSTIT" xfId="21128"/>
    <cellStyle name="RowTitles-Detail 3 3 5" xfId="21129"/>
    <cellStyle name="RowTitles-Detail 3 3 5 2" xfId="21130"/>
    <cellStyle name="RowTitles-Detail 3 3 5 2 2" xfId="21131"/>
    <cellStyle name="RowTitles-Detail 3 3 5 2 2 2" xfId="21132"/>
    <cellStyle name="RowTitles-Detail 3 3 5 2 2_Tertiary Salaries Survey" xfId="21133"/>
    <cellStyle name="RowTitles-Detail 3 3 5 2 3" xfId="21134"/>
    <cellStyle name="RowTitles-Detail 3 3 5 2_Tertiary Salaries Survey" xfId="21135"/>
    <cellStyle name="RowTitles-Detail 3 3 5 3" xfId="21136"/>
    <cellStyle name="RowTitles-Detail 3 3 5 3 2" xfId="21137"/>
    <cellStyle name="RowTitles-Detail 3 3 5 3 2 2" xfId="21138"/>
    <cellStyle name="RowTitles-Detail 3 3 5 3 2_Tertiary Salaries Survey" xfId="21139"/>
    <cellStyle name="RowTitles-Detail 3 3 5 3 3" xfId="21140"/>
    <cellStyle name="RowTitles-Detail 3 3 5 3_Tertiary Salaries Survey" xfId="21141"/>
    <cellStyle name="RowTitles-Detail 3 3 5 4" xfId="21142"/>
    <cellStyle name="RowTitles-Detail 3 3 5 5" xfId="21143"/>
    <cellStyle name="RowTitles-Detail 3 3 5 5 2" xfId="21144"/>
    <cellStyle name="RowTitles-Detail 3 3 5 5_Tertiary Salaries Survey" xfId="21145"/>
    <cellStyle name="RowTitles-Detail 3 3 5 6" xfId="21146"/>
    <cellStyle name="RowTitles-Detail 3 3 5_Tertiary Salaries Survey" xfId="21147"/>
    <cellStyle name="RowTitles-Detail 3 3 6" xfId="21148"/>
    <cellStyle name="RowTitles-Detail 3 3 6 2" xfId="21149"/>
    <cellStyle name="RowTitles-Detail 3 3 6 2 2" xfId="21150"/>
    <cellStyle name="RowTitles-Detail 3 3 6 2 2 2" xfId="21151"/>
    <cellStyle name="RowTitles-Detail 3 3 6 2 2_Tertiary Salaries Survey" xfId="21152"/>
    <cellStyle name="RowTitles-Detail 3 3 6 2 3" xfId="21153"/>
    <cellStyle name="RowTitles-Detail 3 3 6 2_Tertiary Salaries Survey" xfId="21154"/>
    <cellStyle name="RowTitles-Detail 3 3 6 3" xfId="21155"/>
    <cellStyle name="RowTitles-Detail 3 3 6 3 2" xfId="21156"/>
    <cellStyle name="RowTitles-Detail 3 3 6 3 2 2" xfId="21157"/>
    <cellStyle name="RowTitles-Detail 3 3 6 3 2_Tertiary Salaries Survey" xfId="21158"/>
    <cellStyle name="RowTitles-Detail 3 3 6 3 3" xfId="21159"/>
    <cellStyle name="RowTitles-Detail 3 3 6 3_Tertiary Salaries Survey" xfId="21160"/>
    <cellStyle name="RowTitles-Detail 3 3 6 4" xfId="21161"/>
    <cellStyle name="RowTitles-Detail 3 3 6 5" xfId="21162"/>
    <cellStyle name="RowTitles-Detail 3 3 6_Tertiary Salaries Survey" xfId="21163"/>
    <cellStyle name="RowTitles-Detail 3 3 7" xfId="21164"/>
    <cellStyle name="RowTitles-Detail 3 3 7 2" xfId="21165"/>
    <cellStyle name="RowTitles-Detail 3 3 7 2 2" xfId="21166"/>
    <cellStyle name="RowTitles-Detail 3 3 7 2 2 2" xfId="21167"/>
    <cellStyle name="RowTitles-Detail 3 3 7 2 2_Tertiary Salaries Survey" xfId="21168"/>
    <cellStyle name="RowTitles-Detail 3 3 7 2 3" xfId="21169"/>
    <cellStyle name="RowTitles-Detail 3 3 7 2_Tertiary Salaries Survey" xfId="21170"/>
    <cellStyle name="RowTitles-Detail 3 3 7 3" xfId="21171"/>
    <cellStyle name="RowTitles-Detail 3 3 7 3 2" xfId="21172"/>
    <cellStyle name="RowTitles-Detail 3 3 7 3 2 2" xfId="21173"/>
    <cellStyle name="RowTitles-Detail 3 3 7 3 2_Tertiary Salaries Survey" xfId="21174"/>
    <cellStyle name="RowTitles-Detail 3 3 7 3 3" xfId="21175"/>
    <cellStyle name="RowTitles-Detail 3 3 7 3_Tertiary Salaries Survey" xfId="21176"/>
    <cellStyle name="RowTitles-Detail 3 3 7 4" xfId="21177"/>
    <cellStyle name="RowTitles-Detail 3 3 7 5" xfId="21178"/>
    <cellStyle name="RowTitles-Detail 3 3 7 5 2" xfId="21179"/>
    <cellStyle name="RowTitles-Detail 3 3 7 5_Tertiary Salaries Survey" xfId="21180"/>
    <cellStyle name="RowTitles-Detail 3 3 7 6" xfId="21181"/>
    <cellStyle name="RowTitles-Detail 3 3 7_Tertiary Salaries Survey" xfId="21182"/>
    <cellStyle name="RowTitles-Detail 3 3 8" xfId="21183"/>
    <cellStyle name="RowTitles-Detail 3 3 8 2" xfId="21184"/>
    <cellStyle name="RowTitles-Detail 3 3 8 2 2" xfId="21185"/>
    <cellStyle name="RowTitles-Detail 3 3 8 2 2 2" xfId="21186"/>
    <cellStyle name="RowTitles-Detail 3 3 8 2 2_Tertiary Salaries Survey" xfId="21187"/>
    <cellStyle name="RowTitles-Detail 3 3 8 2 3" xfId="21188"/>
    <cellStyle name="RowTitles-Detail 3 3 8 2_Tertiary Salaries Survey" xfId="21189"/>
    <cellStyle name="RowTitles-Detail 3 3 8 3" xfId="21190"/>
    <cellStyle name="RowTitles-Detail 3 3 8 3 2" xfId="21191"/>
    <cellStyle name="RowTitles-Detail 3 3 8 3 2 2" xfId="21192"/>
    <cellStyle name="RowTitles-Detail 3 3 8 3 2_Tertiary Salaries Survey" xfId="21193"/>
    <cellStyle name="RowTitles-Detail 3 3 8 3 3" xfId="21194"/>
    <cellStyle name="RowTitles-Detail 3 3 8 3_Tertiary Salaries Survey" xfId="21195"/>
    <cellStyle name="RowTitles-Detail 3 3 8 4" xfId="21196"/>
    <cellStyle name="RowTitles-Detail 3 3 8 4 2" xfId="21197"/>
    <cellStyle name="RowTitles-Detail 3 3 8 4_Tertiary Salaries Survey" xfId="21198"/>
    <cellStyle name="RowTitles-Detail 3 3 8 5" xfId="21199"/>
    <cellStyle name="RowTitles-Detail 3 3 8_Tertiary Salaries Survey" xfId="21200"/>
    <cellStyle name="RowTitles-Detail 3 3 9" xfId="21201"/>
    <cellStyle name="RowTitles-Detail 3 3 9 2" xfId="21202"/>
    <cellStyle name="RowTitles-Detail 3 3 9 2 2" xfId="21203"/>
    <cellStyle name="RowTitles-Detail 3 3 9 2 2 2" xfId="21204"/>
    <cellStyle name="RowTitles-Detail 3 3 9 2 2_Tertiary Salaries Survey" xfId="21205"/>
    <cellStyle name="RowTitles-Detail 3 3 9 2 3" xfId="21206"/>
    <cellStyle name="RowTitles-Detail 3 3 9 2_Tertiary Salaries Survey" xfId="21207"/>
    <cellStyle name="RowTitles-Detail 3 3 9 3" xfId="21208"/>
    <cellStyle name="RowTitles-Detail 3 3 9 3 2" xfId="21209"/>
    <cellStyle name="RowTitles-Detail 3 3 9 3 2 2" xfId="21210"/>
    <cellStyle name="RowTitles-Detail 3 3 9 3 2_Tertiary Salaries Survey" xfId="21211"/>
    <cellStyle name="RowTitles-Detail 3 3 9 3 3" xfId="21212"/>
    <cellStyle name="RowTitles-Detail 3 3 9 3_Tertiary Salaries Survey" xfId="21213"/>
    <cellStyle name="RowTitles-Detail 3 3 9 4" xfId="21214"/>
    <cellStyle name="RowTitles-Detail 3 3 9 4 2" xfId="21215"/>
    <cellStyle name="RowTitles-Detail 3 3 9 4_Tertiary Salaries Survey" xfId="21216"/>
    <cellStyle name="RowTitles-Detail 3 3 9 5" xfId="21217"/>
    <cellStyle name="RowTitles-Detail 3 3 9_Tertiary Salaries Survey" xfId="21218"/>
    <cellStyle name="RowTitles-Detail 3 3_STUD aligned by INSTIT" xfId="21219"/>
    <cellStyle name="RowTitles-Detail 3 4" xfId="21220"/>
    <cellStyle name="RowTitles-Detail 3 4 2" xfId="21221"/>
    <cellStyle name="RowTitles-Detail 3 4 2 2" xfId="21222"/>
    <cellStyle name="RowTitles-Detail 3 4 2 2 2" xfId="21223"/>
    <cellStyle name="RowTitles-Detail 3 4 2 2 2 2" xfId="21224"/>
    <cellStyle name="RowTitles-Detail 3 4 2 2 2_Tertiary Salaries Survey" xfId="21225"/>
    <cellStyle name="RowTitles-Detail 3 4 2 2 3" xfId="21226"/>
    <cellStyle name="RowTitles-Detail 3 4 2 2_Tertiary Salaries Survey" xfId="21227"/>
    <cellStyle name="RowTitles-Detail 3 4 2 3" xfId="21228"/>
    <cellStyle name="RowTitles-Detail 3 4 2 3 2" xfId="21229"/>
    <cellStyle name="RowTitles-Detail 3 4 2 3 2 2" xfId="21230"/>
    <cellStyle name="RowTitles-Detail 3 4 2 3 2_Tertiary Salaries Survey" xfId="21231"/>
    <cellStyle name="RowTitles-Detail 3 4 2 3 3" xfId="21232"/>
    <cellStyle name="RowTitles-Detail 3 4 2 3_Tertiary Salaries Survey" xfId="21233"/>
    <cellStyle name="RowTitles-Detail 3 4 2 4" xfId="21234"/>
    <cellStyle name="RowTitles-Detail 3 4 2 5" xfId="21235"/>
    <cellStyle name="RowTitles-Detail 3 4 2_Tertiary Salaries Survey" xfId="21236"/>
    <cellStyle name="RowTitles-Detail 3 4 3" xfId="21237"/>
    <cellStyle name="RowTitles-Detail 3 4 3 2" xfId="21238"/>
    <cellStyle name="RowTitles-Detail 3 4 3 2 2" xfId="21239"/>
    <cellStyle name="RowTitles-Detail 3 4 3 2 2 2" xfId="21240"/>
    <cellStyle name="RowTitles-Detail 3 4 3 2 2_Tertiary Salaries Survey" xfId="21241"/>
    <cellStyle name="RowTitles-Detail 3 4 3 2 3" xfId="21242"/>
    <cellStyle name="RowTitles-Detail 3 4 3 2_Tertiary Salaries Survey" xfId="21243"/>
    <cellStyle name="RowTitles-Detail 3 4 3 3" xfId="21244"/>
    <cellStyle name="RowTitles-Detail 3 4 3 3 2" xfId="21245"/>
    <cellStyle name="RowTitles-Detail 3 4 3 3 2 2" xfId="21246"/>
    <cellStyle name="RowTitles-Detail 3 4 3 3 2_Tertiary Salaries Survey" xfId="21247"/>
    <cellStyle name="RowTitles-Detail 3 4 3 3 3" xfId="21248"/>
    <cellStyle name="RowTitles-Detail 3 4 3 3_Tertiary Salaries Survey" xfId="21249"/>
    <cellStyle name="RowTitles-Detail 3 4 3 4" xfId="21250"/>
    <cellStyle name="RowTitles-Detail 3 4 3 5" xfId="21251"/>
    <cellStyle name="RowTitles-Detail 3 4 3 5 2" xfId="21252"/>
    <cellStyle name="RowTitles-Detail 3 4 3 5_Tertiary Salaries Survey" xfId="21253"/>
    <cellStyle name="RowTitles-Detail 3 4 3 6" xfId="21254"/>
    <cellStyle name="RowTitles-Detail 3 4 3_Tertiary Salaries Survey" xfId="21255"/>
    <cellStyle name="RowTitles-Detail 3 4 4" xfId="21256"/>
    <cellStyle name="RowTitles-Detail 3 4 4 2" xfId="21257"/>
    <cellStyle name="RowTitles-Detail 3 4 4 2 2" xfId="21258"/>
    <cellStyle name="RowTitles-Detail 3 4 4 2 2 2" xfId="21259"/>
    <cellStyle name="RowTitles-Detail 3 4 4 2 2_Tertiary Salaries Survey" xfId="21260"/>
    <cellStyle name="RowTitles-Detail 3 4 4 2 3" xfId="21261"/>
    <cellStyle name="RowTitles-Detail 3 4 4 2_Tertiary Salaries Survey" xfId="21262"/>
    <cellStyle name="RowTitles-Detail 3 4 4 3" xfId="21263"/>
    <cellStyle name="RowTitles-Detail 3 4 4 3 2" xfId="21264"/>
    <cellStyle name="RowTitles-Detail 3 4 4 3 2 2" xfId="21265"/>
    <cellStyle name="RowTitles-Detail 3 4 4 3 2_Tertiary Salaries Survey" xfId="21266"/>
    <cellStyle name="RowTitles-Detail 3 4 4 3 3" xfId="21267"/>
    <cellStyle name="RowTitles-Detail 3 4 4 3_Tertiary Salaries Survey" xfId="21268"/>
    <cellStyle name="RowTitles-Detail 3 4 4 4" xfId="21269"/>
    <cellStyle name="RowTitles-Detail 3 4 4 4 2" xfId="21270"/>
    <cellStyle name="RowTitles-Detail 3 4 4 4_Tertiary Salaries Survey" xfId="21271"/>
    <cellStyle name="RowTitles-Detail 3 4 4 5" xfId="21272"/>
    <cellStyle name="RowTitles-Detail 3 4 4_Tertiary Salaries Survey" xfId="21273"/>
    <cellStyle name="RowTitles-Detail 3 4 5" xfId="21274"/>
    <cellStyle name="RowTitles-Detail 3 4 5 2" xfId="21275"/>
    <cellStyle name="RowTitles-Detail 3 4 5 2 2" xfId="21276"/>
    <cellStyle name="RowTitles-Detail 3 4 5 2 2 2" xfId="21277"/>
    <cellStyle name="RowTitles-Detail 3 4 5 2 2_Tertiary Salaries Survey" xfId="21278"/>
    <cellStyle name="RowTitles-Detail 3 4 5 2 3" xfId="21279"/>
    <cellStyle name="RowTitles-Detail 3 4 5 2_Tertiary Salaries Survey" xfId="21280"/>
    <cellStyle name="RowTitles-Detail 3 4 5 3" xfId="21281"/>
    <cellStyle name="RowTitles-Detail 3 4 5 3 2" xfId="21282"/>
    <cellStyle name="RowTitles-Detail 3 4 5 3 2 2" xfId="21283"/>
    <cellStyle name="RowTitles-Detail 3 4 5 3 2_Tertiary Salaries Survey" xfId="21284"/>
    <cellStyle name="RowTitles-Detail 3 4 5 3 3" xfId="21285"/>
    <cellStyle name="RowTitles-Detail 3 4 5 3_Tertiary Salaries Survey" xfId="21286"/>
    <cellStyle name="RowTitles-Detail 3 4 5 4" xfId="21287"/>
    <cellStyle name="RowTitles-Detail 3 4 5 4 2" xfId="21288"/>
    <cellStyle name="RowTitles-Detail 3 4 5 4_Tertiary Salaries Survey" xfId="21289"/>
    <cellStyle name="RowTitles-Detail 3 4 5 5" xfId="21290"/>
    <cellStyle name="RowTitles-Detail 3 4 5_Tertiary Salaries Survey" xfId="21291"/>
    <cellStyle name="RowTitles-Detail 3 4 6" xfId="21292"/>
    <cellStyle name="RowTitles-Detail 3 4 6 2" xfId="21293"/>
    <cellStyle name="RowTitles-Detail 3 4 6 2 2" xfId="21294"/>
    <cellStyle name="RowTitles-Detail 3 4 6 2 2 2" xfId="21295"/>
    <cellStyle name="RowTitles-Detail 3 4 6 2 2_Tertiary Salaries Survey" xfId="21296"/>
    <cellStyle name="RowTitles-Detail 3 4 6 2 3" xfId="21297"/>
    <cellStyle name="RowTitles-Detail 3 4 6 2_Tertiary Salaries Survey" xfId="21298"/>
    <cellStyle name="RowTitles-Detail 3 4 6 3" xfId="21299"/>
    <cellStyle name="RowTitles-Detail 3 4 6 3 2" xfId="21300"/>
    <cellStyle name="RowTitles-Detail 3 4 6 3 2 2" xfId="21301"/>
    <cellStyle name="RowTitles-Detail 3 4 6 3 2_Tertiary Salaries Survey" xfId="21302"/>
    <cellStyle name="RowTitles-Detail 3 4 6 3 3" xfId="21303"/>
    <cellStyle name="RowTitles-Detail 3 4 6 3_Tertiary Salaries Survey" xfId="21304"/>
    <cellStyle name="RowTitles-Detail 3 4 6 4" xfId="21305"/>
    <cellStyle name="RowTitles-Detail 3 4 6 4 2" xfId="21306"/>
    <cellStyle name="RowTitles-Detail 3 4 6 4_Tertiary Salaries Survey" xfId="21307"/>
    <cellStyle name="RowTitles-Detail 3 4 6 5" xfId="21308"/>
    <cellStyle name="RowTitles-Detail 3 4 6_Tertiary Salaries Survey" xfId="21309"/>
    <cellStyle name="RowTitles-Detail 3 4 7" xfId="21310"/>
    <cellStyle name="RowTitles-Detail 3 4 7 2" xfId="21311"/>
    <cellStyle name="RowTitles-Detail 3 4 7 2 2" xfId="21312"/>
    <cellStyle name="RowTitles-Detail 3 4 7 2_Tertiary Salaries Survey" xfId="21313"/>
    <cellStyle name="RowTitles-Detail 3 4 7 3" xfId="21314"/>
    <cellStyle name="RowTitles-Detail 3 4 7_Tertiary Salaries Survey" xfId="21315"/>
    <cellStyle name="RowTitles-Detail 3 4 8" xfId="21316"/>
    <cellStyle name="RowTitles-Detail 3 4 9" xfId="21317"/>
    <cellStyle name="RowTitles-Detail 3 4_STUD aligned by INSTIT" xfId="21318"/>
    <cellStyle name="RowTitles-Detail 3 5" xfId="21319"/>
    <cellStyle name="RowTitles-Detail 3 5 2" xfId="21320"/>
    <cellStyle name="RowTitles-Detail 3 5 2 2" xfId="21321"/>
    <cellStyle name="RowTitles-Detail 3 5 2 2 2" xfId="21322"/>
    <cellStyle name="RowTitles-Detail 3 5 2 2 2 2" xfId="21323"/>
    <cellStyle name="RowTitles-Detail 3 5 2 2 2_Tertiary Salaries Survey" xfId="21324"/>
    <cellStyle name="RowTitles-Detail 3 5 2 2 3" xfId="21325"/>
    <cellStyle name="RowTitles-Detail 3 5 2 2_Tertiary Salaries Survey" xfId="21326"/>
    <cellStyle name="RowTitles-Detail 3 5 2 3" xfId="21327"/>
    <cellStyle name="RowTitles-Detail 3 5 2 3 2" xfId="21328"/>
    <cellStyle name="RowTitles-Detail 3 5 2 3 2 2" xfId="21329"/>
    <cellStyle name="RowTitles-Detail 3 5 2 3 2_Tertiary Salaries Survey" xfId="21330"/>
    <cellStyle name="RowTitles-Detail 3 5 2 3 3" xfId="21331"/>
    <cellStyle name="RowTitles-Detail 3 5 2 3_Tertiary Salaries Survey" xfId="21332"/>
    <cellStyle name="RowTitles-Detail 3 5 2 4" xfId="21333"/>
    <cellStyle name="RowTitles-Detail 3 5 2 5" xfId="21334"/>
    <cellStyle name="RowTitles-Detail 3 5 2 5 2" xfId="21335"/>
    <cellStyle name="RowTitles-Detail 3 5 2 5_Tertiary Salaries Survey" xfId="21336"/>
    <cellStyle name="RowTitles-Detail 3 5 2 6" xfId="21337"/>
    <cellStyle name="RowTitles-Detail 3 5 2_Tertiary Salaries Survey" xfId="21338"/>
    <cellStyle name="RowTitles-Detail 3 5 3" xfId="21339"/>
    <cellStyle name="RowTitles-Detail 3 5 3 2" xfId="21340"/>
    <cellStyle name="RowTitles-Detail 3 5 3 2 2" xfId="21341"/>
    <cellStyle name="RowTitles-Detail 3 5 3 2 2 2" xfId="21342"/>
    <cellStyle name="RowTitles-Detail 3 5 3 2 2_Tertiary Salaries Survey" xfId="21343"/>
    <cellStyle name="RowTitles-Detail 3 5 3 2 3" xfId="21344"/>
    <cellStyle name="RowTitles-Detail 3 5 3 2_Tertiary Salaries Survey" xfId="21345"/>
    <cellStyle name="RowTitles-Detail 3 5 3 3" xfId="21346"/>
    <cellStyle name="RowTitles-Detail 3 5 3 3 2" xfId="21347"/>
    <cellStyle name="RowTitles-Detail 3 5 3 3 2 2" xfId="21348"/>
    <cellStyle name="RowTitles-Detail 3 5 3 3 2_Tertiary Salaries Survey" xfId="21349"/>
    <cellStyle name="RowTitles-Detail 3 5 3 3 3" xfId="21350"/>
    <cellStyle name="RowTitles-Detail 3 5 3 3_Tertiary Salaries Survey" xfId="21351"/>
    <cellStyle name="RowTitles-Detail 3 5 3 4" xfId="21352"/>
    <cellStyle name="RowTitles-Detail 3 5 3 5" xfId="21353"/>
    <cellStyle name="RowTitles-Detail 3 5 3_Tertiary Salaries Survey" xfId="21354"/>
    <cellStyle name="RowTitles-Detail 3 5 4" xfId="21355"/>
    <cellStyle name="RowTitles-Detail 3 5 4 2" xfId="21356"/>
    <cellStyle name="RowTitles-Detail 3 5 4 2 2" xfId="21357"/>
    <cellStyle name="RowTitles-Detail 3 5 4 2 2 2" xfId="21358"/>
    <cellStyle name="RowTitles-Detail 3 5 4 2 2_Tertiary Salaries Survey" xfId="21359"/>
    <cellStyle name="RowTitles-Detail 3 5 4 2 3" xfId="21360"/>
    <cellStyle name="RowTitles-Detail 3 5 4 2_Tertiary Salaries Survey" xfId="21361"/>
    <cellStyle name="RowTitles-Detail 3 5 4 3" xfId="21362"/>
    <cellStyle name="RowTitles-Detail 3 5 4 3 2" xfId="21363"/>
    <cellStyle name="RowTitles-Detail 3 5 4 3 2 2" xfId="21364"/>
    <cellStyle name="RowTitles-Detail 3 5 4 3 2_Tertiary Salaries Survey" xfId="21365"/>
    <cellStyle name="RowTitles-Detail 3 5 4 3 3" xfId="21366"/>
    <cellStyle name="RowTitles-Detail 3 5 4 3_Tertiary Salaries Survey" xfId="21367"/>
    <cellStyle name="RowTitles-Detail 3 5 4 4" xfId="21368"/>
    <cellStyle name="RowTitles-Detail 3 5 4 4 2" xfId="21369"/>
    <cellStyle name="RowTitles-Detail 3 5 4 4_Tertiary Salaries Survey" xfId="21370"/>
    <cellStyle name="RowTitles-Detail 3 5 4 5" xfId="21371"/>
    <cellStyle name="RowTitles-Detail 3 5 4_Tertiary Salaries Survey" xfId="21372"/>
    <cellStyle name="RowTitles-Detail 3 5 5" xfId="21373"/>
    <cellStyle name="RowTitles-Detail 3 5 5 2" xfId="21374"/>
    <cellStyle name="RowTitles-Detail 3 5 5 2 2" xfId="21375"/>
    <cellStyle name="RowTitles-Detail 3 5 5 2 2 2" xfId="21376"/>
    <cellStyle name="RowTitles-Detail 3 5 5 2 2_Tertiary Salaries Survey" xfId="21377"/>
    <cellStyle name="RowTitles-Detail 3 5 5 2 3" xfId="21378"/>
    <cellStyle name="RowTitles-Detail 3 5 5 2_Tertiary Salaries Survey" xfId="21379"/>
    <cellStyle name="RowTitles-Detail 3 5 5 3" xfId="21380"/>
    <cellStyle name="RowTitles-Detail 3 5 5 3 2" xfId="21381"/>
    <cellStyle name="RowTitles-Detail 3 5 5 3 2 2" xfId="21382"/>
    <cellStyle name="RowTitles-Detail 3 5 5 3 2_Tertiary Salaries Survey" xfId="21383"/>
    <cellStyle name="RowTitles-Detail 3 5 5 3 3" xfId="21384"/>
    <cellStyle name="RowTitles-Detail 3 5 5 3_Tertiary Salaries Survey" xfId="21385"/>
    <cellStyle name="RowTitles-Detail 3 5 5 4" xfId="21386"/>
    <cellStyle name="RowTitles-Detail 3 5 5 4 2" xfId="21387"/>
    <cellStyle name="RowTitles-Detail 3 5 5 4_Tertiary Salaries Survey" xfId="21388"/>
    <cellStyle name="RowTitles-Detail 3 5 5 5" xfId="21389"/>
    <cellStyle name="RowTitles-Detail 3 5 5_Tertiary Salaries Survey" xfId="21390"/>
    <cellStyle name="RowTitles-Detail 3 5 6" xfId="21391"/>
    <cellStyle name="RowTitles-Detail 3 5 6 2" xfId="21392"/>
    <cellStyle name="RowTitles-Detail 3 5 6 2 2" xfId="21393"/>
    <cellStyle name="RowTitles-Detail 3 5 6 2 2 2" xfId="21394"/>
    <cellStyle name="RowTitles-Detail 3 5 6 2 2_Tertiary Salaries Survey" xfId="21395"/>
    <cellStyle name="RowTitles-Detail 3 5 6 2 3" xfId="21396"/>
    <cellStyle name="RowTitles-Detail 3 5 6 2_Tertiary Salaries Survey" xfId="21397"/>
    <cellStyle name="RowTitles-Detail 3 5 6 3" xfId="21398"/>
    <cellStyle name="RowTitles-Detail 3 5 6 3 2" xfId="21399"/>
    <cellStyle name="RowTitles-Detail 3 5 6 3 2 2" xfId="21400"/>
    <cellStyle name="RowTitles-Detail 3 5 6 3 2_Tertiary Salaries Survey" xfId="21401"/>
    <cellStyle name="RowTitles-Detail 3 5 6 3 3" xfId="21402"/>
    <cellStyle name="RowTitles-Detail 3 5 6 3_Tertiary Salaries Survey" xfId="21403"/>
    <cellStyle name="RowTitles-Detail 3 5 6 4" xfId="21404"/>
    <cellStyle name="RowTitles-Detail 3 5 6 4 2" xfId="21405"/>
    <cellStyle name="RowTitles-Detail 3 5 6 4_Tertiary Salaries Survey" xfId="21406"/>
    <cellStyle name="RowTitles-Detail 3 5 6 5" xfId="21407"/>
    <cellStyle name="RowTitles-Detail 3 5 6_Tertiary Salaries Survey" xfId="21408"/>
    <cellStyle name="RowTitles-Detail 3 5 7" xfId="21409"/>
    <cellStyle name="RowTitles-Detail 3 5 7 2" xfId="21410"/>
    <cellStyle name="RowTitles-Detail 3 5 7 2 2" xfId="21411"/>
    <cellStyle name="RowTitles-Detail 3 5 7 2_Tertiary Salaries Survey" xfId="21412"/>
    <cellStyle name="RowTitles-Detail 3 5 7 3" xfId="21413"/>
    <cellStyle name="RowTitles-Detail 3 5 7_Tertiary Salaries Survey" xfId="21414"/>
    <cellStyle name="RowTitles-Detail 3 5 8" xfId="21415"/>
    <cellStyle name="RowTitles-Detail 3 5 8 2" xfId="21416"/>
    <cellStyle name="RowTitles-Detail 3 5 8 2 2" xfId="21417"/>
    <cellStyle name="RowTitles-Detail 3 5 8 2_Tertiary Salaries Survey" xfId="21418"/>
    <cellStyle name="RowTitles-Detail 3 5 8 3" xfId="21419"/>
    <cellStyle name="RowTitles-Detail 3 5 8_Tertiary Salaries Survey" xfId="21420"/>
    <cellStyle name="RowTitles-Detail 3 5 9" xfId="21421"/>
    <cellStyle name="RowTitles-Detail 3 5_STUD aligned by INSTIT" xfId="21422"/>
    <cellStyle name="RowTitles-Detail 3 6" xfId="21423"/>
    <cellStyle name="RowTitles-Detail 3 6 2" xfId="21424"/>
    <cellStyle name="RowTitles-Detail 3 6 2 2" xfId="21425"/>
    <cellStyle name="RowTitles-Detail 3 6 2 2 2" xfId="21426"/>
    <cellStyle name="RowTitles-Detail 3 6 2 2 2 2" xfId="21427"/>
    <cellStyle name="RowTitles-Detail 3 6 2 2 2_Tertiary Salaries Survey" xfId="21428"/>
    <cellStyle name="RowTitles-Detail 3 6 2 2 3" xfId="21429"/>
    <cellStyle name="RowTitles-Detail 3 6 2 2_Tertiary Salaries Survey" xfId="21430"/>
    <cellStyle name="RowTitles-Detail 3 6 2 3" xfId="21431"/>
    <cellStyle name="RowTitles-Detail 3 6 2 3 2" xfId="21432"/>
    <cellStyle name="RowTitles-Detail 3 6 2 3 2 2" xfId="21433"/>
    <cellStyle name="RowTitles-Detail 3 6 2 3 2_Tertiary Salaries Survey" xfId="21434"/>
    <cellStyle name="RowTitles-Detail 3 6 2 3 3" xfId="21435"/>
    <cellStyle name="RowTitles-Detail 3 6 2 3_Tertiary Salaries Survey" xfId="21436"/>
    <cellStyle name="RowTitles-Detail 3 6 2 4" xfId="21437"/>
    <cellStyle name="RowTitles-Detail 3 6 2 5" xfId="21438"/>
    <cellStyle name="RowTitles-Detail 3 6 2 5 2" xfId="21439"/>
    <cellStyle name="RowTitles-Detail 3 6 2 5_Tertiary Salaries Survey" xfId="21440"/>
    <cellStyle name="RowTitles-Detail 3 6 2 6" xfId="21441"/>
    <cellStyle name="RowTitles-Detail 3 6 2_Tertiary Salaries Survey" xfId="21442"/>
    <cellStyle name="RowTitles-Detail 3 6 3" xfId="21443"/>
    <cellStyle name="RowTitles-Detail 3 6 3 2" xfId="21444"/>
    <cellStyle name="RowTitles-Detail 3 6 3 2 2" xfId="21445"/>
    <cellStyle name="RowTitles-Detail 3 6 3 2 2 2" xfId="21446"/>
    <cellStyle name="RowTitles-Detail 3 6 3 2 2_Tertiary Salaries Survey" xfId="21447"/>
    <cellStyle name="RowTitles-Detail 3 6 3 2 3" xfId="21448"/>
    <cellStyle name="RowTitles-Detail 3 6 3 2_Tertiary Salaries Survey" xfId="21449"/>
    <cellStyle name="RowTitles-Detail 3 6 3 3" xfId="21450"/>
    <cellStyle name="RowTitles-Detail 3 6 3 3 2" xfId="21451"/>
    <cellStyle name="RowTitles-Detail 3 6 3 3 2 2" xfId="21452"/>
    <cellStyle name="RowTitles-Detail 3 6 3 3 2_Tertiary Salaries Survey" xfId="21453"/>
    <cellStyle name="RowTitles-Detail 3 6 3 3 3" xfId="21454"/>
    <cellStyle name="RowTitles-Detail 3 6 3 3_Tertiary Salaries Survey" xfId="21455"/>
    <cellStyle name="RowTitles-Detail 3 6 3 4" xfId="21456"/>
    <cellStyle name="RowTitles-Detail 3 6 3 5" xfId="21457"/>
    <cellStyle name="RowTitles-Detail 3 6 3_Tertiary Salaries Survey" xfId="21458"/>
    <cellStyle name="RowTitles-Detail 3 6 4" xfId="21459"/>
    <cellStyle name="RowTitles-Detail 3 6 4 2" xfId="21460"/>
    <cellStyle name="RowTitles-Detail 3 6 4 2 2" xfId="21461"/>
    <cellStyle name="RowTitles-Detail 3 6 4 2 2 2" xfId="21462"/>
    <cellStyle name="RowTitles-Detail 3 6 4 2 2_Tertiary Salaries Survey" xfId="21463"/>
    <cellStyle name="RowTitles-Detail 3 6 4 2 3" xfId="21464"/>
    <cellStyle name="RowTitles-Detail 3 6 4 2_Tertiary Salaries Survey" xfId="21465"/>
    <cellStyle name="RowTitles-Detail 3 6 4 3" xfId="21466"/>
    <cellStyle name="RowTitles-Detail 3 6 4 3 2" xfId="21467"/>
    <cellStyle name="RowTitles-Detail 3 6 4 3 2 2" xfId="21468"/>
    <cellStyle name="RowTitles-Detail 3 6 4 3 2_Tertiary Salaries Survey" xfId="21469"/>
    <cellStyle name="RowTitles-Detail 3 6 4 3 3" xfId="21470"/>
    <cellStyle name="RowTitles-Detail 3 6 4 3_Tertiary Salaries Survey" xfId="21471"/>
    <cellStyle name="RowTitles-Detail 3 6 4 4" xfId="21472"/>
    <cellStyle name="RowTitles-Detail 3 6 4 5" xfId="21473"/>
    <cellStyle name="RowTitles-Detail 3 6 4 5 2" xfId="21474"/>
    <cellStyle name="RowTitles-Detail 3 6 4 5_Tertiary Salaries Survey" xfId="21475"/>
    <cellStyle name="RowTitles-Detail 3 6 4 6" xfId="21476"/>
    <cellStyle name="RowTitles-Detail 3 6 4_Tertiary Salaries Survey" xfId="21477"/>
    <cellStyle name="RowTitles-Detail 3 6 5" xfId="21478"/>
    <cellStyle name="RowTitles-Detail 3 6 5 2" xfId="21479"/>
    <cellStyle name="RowTitles-Detail 3 6 5 2 2" xfId="21480"/>
    <cellStyle name="RowTitles-Detail 3 6 5 2 2 2" xfId="21481"/>
    <cellStyle name="RowTitles-Detail 3 6 5 2 2_Tertiary Salaries Survey" xfId="21482"/>
    <cellStyle name="RowTitles-Detail 3 6 5 2 3" xfId="21483"/>
    <cellStyle name="RowTitles-Detail 3 6 5 2_Tertiary Salaries Survey" xfId="21484"/>
    <cellStyle name="RowTitles-Detail 3 6 5 3" xfId="21485"/>
    <cellStyle name="RowTitles-Detail 3 6 5 3 2" xfId="21486"/>
    <cellStyle name="RowTitles-Detail 3 6 5 3 2 2" xfId="21487"/>
    <cellStyle name="RowTitles-Detail 3 6 5 3 2_Tertiary Salaries Survey" xfId="21488"/>
    <cellStyle name="RowTitles-Detail 3 6 5 3 3" xfId="21489"/>
    <cellStyle name="RowTitles-Detail 3 6 5 3_Tertiary Salaries Survey" xfId="21490"/>
    <cellStyle name="RowTitles-Detail 3 6 5 4" xfId="21491"/>
    <cellStyle name="RowTitles-Detail 3 6 5 4 2" xfId="21492"/>
    <cellStyle name="RowTitles-Detail 3 6 5 4_Tertiary Salaries Survey" xfId="21493"/>
    <cellStyle name="RowTitles-Detail 3 6 5 5" xfId="21494"/>
    <cellStyle name="RowTitles-Detail 3 6 5_Tertiary Salaries Survey" xfId="21495"/>
    <cellStyle name="RowTitles-Detail 3 6 6" xfId="21496"/>
    <cellStyle name="RowTitles-Detail 3 6 6 2" xfId="21497"/>
    <cellStyle name="RowTitles-Detail 3 6 6 2 2" xfId="21498"/>
    <cellStyle name="RowTitles-Detail 3 6 6 2 2 2" xfId="21499"/>
    <cellStyle name="RowTitles-Detail 3 6 6 2 2_Tertiary Salaries Survey" xfId="21500"/>
    <cellStyle name="RowTitles-Detail 3 6 6 2 3" xfId="21501"/>
    <cellStyle name="RowTitles-Detail 3 6 6 2_Tertiary Salaries Survey" xfId="21502"/>
    <cellStyle name="RowTitles-Detail 3 6 6 3" xfId="21503"/>
    <cellStyle name="RowTitles-Detail 3 6 6 3 2" xfId="21504"/>
    <cellStyle name="RowTitles-Detail 3 6 6 3 2 2" xfId="21505"/>
    <cellStyle name="RowTitles-Detail 3 6 6 3 2_Tertiary Salaries Survey" xfId="21506"/>
    <cellStyle name="RowTitles-Detail 3 6 6 3 3" xfId="21507"/>
    <cellStyle name="RowTitles-Detail 3 6 6 3_Tertiary Salaries Survey" xfId="21508"/>
    <cellStyle name="RowTitles-Detail 3 6 6 4" xfId="21509"/>
    <cellStyle name="RowTitles-Detail 3 6 6 4 2" xfId="21510"/>
    <cellStyle name="RowTitles-Detail 3 6 6 4_Tertiary Salaries Survey" xfId="21511"/>
    <cellStyle name="RowTitles-Detail 3 6 6 5" xfId="21512"/>
    <cellStyle name="RowTitles-Detail 3 6 6_Tertiary Salaries Survey" xfId="21513"/>
    <cellStyle name="RowTitles-Detail 3 6 7" xfId="21514"/>
    <cellStyle name="RowTitles-Detail 3 6 7 2" xfId="21515"/>
    <cellStyle name="RowTitles-Detail 3 6 7 2 2" xfId="21516"/>
    <cellStyle name="RowTitles-Detail 3 6 7 2_Tertiary Salaries Survey" xfId="21517"/>
    <cellStyle name="RowTitles-Detail 3 6 7 3" xfId="21518"/>
    <cellStyle name="RowTitles-Detail 3 6 7_Tertiary Salaries Survey" xfId="21519"/>
    <cellStyle name="RowTitles-Detail 3 6 8" xfId="21520"/>
    <cellStyle name="RowTitles-Detail 3 6 9" xfId="21521"/>
    <cellStyle name="RowTitles-Detail 3 6_STUD aligned by INSTIT" xfId="21522"/>
    <cellStyle name="RowTitles-Detail 3 7" xfId="21523"/>
    <cellStyle name="RowTitles-Detail 3 7 2" xfId="21524"/>
    <cellStyle name="RowTitles-Detail 3 7 2 2" xfId="21525"/>
    <cellStyle name="RowTitles-Detail 3 7 2 2 2" xfId="21526"/>
    <cellStyle name="RowTitles-Detail 3 7 2 2_Tertiary Salaries Survey" xfId="21527"/>
    <cellStyle name="RowTitles-Detail 3 7 2 3" xfId="21528"/>
    <cellStyle name="RowTitles-Detail 3 7 2_Tertiary Salaries Survey" xfId="21529"/>
    <cellStyle name="RowTitles-Detail 3 7 3" xfId="21530"/>
    <cellStyle name="RowTitles-Detail 3 7 3 2" xfId="21531"/>
    <cellStyle name="RowTitles-Detail 3 7 3 2 2" xfId="21532"/>
    <cellStyle name="RowTitles-Detail 3 7 3 2_Tertiary Salaries Survey" xfId="21533"/>
    <cellStyle name="RowTitles-Detail 3 7 3 3" xfId="21534"/>
    <cellStyle name="RowTitles-Detail 3 7 3_Tertiary Salaries Survey" xfId="21535"/>
    <cellStyle name="RowTitles-Detail 3 7 4" xfId="21536"/>
    <cellStyle name="RowTitles-Detail 3 7 5" xfId="21537"/>
    <cellStyle name="RowTitles-Detail 3 7 5 2" xfId="21538"/>
    <cellStyle name="RowTitles-Detail 3 7 5_Tertiary Salaries Survey" xfId="21539"/>
    <cellStyle name="RowTitles-Detail 3 7 6" xfId="21540"/>
    <cellStyle name="RowTitles-Detail 3 7_Tertiary Salaries Survey" xfId="21541"/>
    <cellStyle name="RowTitles-Detail 3 8" xfId="21542"/>
    <cellStyle name="RowTitles-Detail 3 8 2" xfId="21543"/>
    <cellStyle name="RowTitles-Detail 3 8 2 2" xfId="21544"/>
    <cellStyle name="RowTitles-Detail 3 8 2 2 2" xfId="21545"/>
    <cellStyle name="RowTitles-Detail 3 8 2 2_Tertiary Salaries Survey" xfId="21546"/>
    <cellStyle name="RowTitles-Detail 3 8 2 3" xfId="21547"/>
    <cellStyle name="RowTitles-Detail 3 8 2_Tertiary Salaries Survey" xfId="21548"/>
    <cellStyle name="RowTitles-Detail 3 8 3" xfId="21549"/>
    <cellStyle name="RowTitles-Detail 3 8 3 2" xfId="21550"/>
    <cellStyle name="RowTitles-Detail 3 8 3 2 2" xfId="21551"/>
    <cellStyle name="RowTitles-Detail 3 8 3 2_Tertiary Salaries Survey" xfId="21552"/>
    <cellStyle name="RowTitles-Detail 3 8 3 3" xfId="21553"/>
    <cellStyle name="RowTitles-Detail 3 8 3_Tertiary Salaries Survey" xfId="21554"/>
    <cellStyle name="RowTitles-Detail 3 8 4" xfId="21555"/>
    <cellStyle name="RowTitles-Detail 3 8 5" xfId="21556"/>
    <cellStyle name="RowTitles-Detail 3 8_Tertiary Salaries Survey" xfId="21557"/>
    <cellStyle name="RowTitles-Detail 3 9" xfId="21558"/>
    <cellStyle name="RowTitles-Detail 3 9 2" xfId="21559"/>
    <cellStyle name="RowTitles-Detail 3 9 2 2" xfId="21560"/>
    <cellStyle name="RowTitles-Detail 3 9 2 2 2" xfId="21561"/>
    <cellStyle name="RowTitles-Detail 3 9 2 2_Tertiary Salaries Survey" xfId="21562"/>
    <cellStyle name="RowTitles-Detail 3 9 2 3" xfId="21563"/>
    <cellStyle name="RowTitles-Detail 3 9 2_Tertiary Salaries Survey" xfId="21564"/>
    <cellStyle name="RowTitles-Detail 3 9 3" xfId="21565"/>
    <cellStyle name="RowTitles-Detail 3 9 3 2" xfId="21566"/>
    <cellStyle name="RowTitles-Detail 3 9 3 2 2" xfId="21567"/>
    <cellStyle name="RowTitles-Detail 3 9 3 2_Tertiary Salaries Survey" xfId="21568"/>
    <cellStyle name="RowTitles-Detail 3 9 3 3" xfId="21569"/>
    <cellStyle name="RowTitles-Detail 3 9 3_Tertiary Salaries Survey" xfId="21570"/>
    <cellStyle name="RowTitles-Detail 3 9 4" xfId="21571"/>
    <cellStyle name="RowTitles-Detail 3 9 5" xfId="21572"/>
    <cellStyle name="RowTitles-Detail 3 9 5 2" xfId="21573"/>
    <cellStyle name="RowTitles-Detail 3 9 5_Tertiary Salaries Survey" xfId="21574"/>
    <cellStyle name="RowTitles-Detail 3 9 6" xfId="21575"/>
    <cellStyle name="RowTitles-Detail 3 9_Tertiary Salaries Survey" xfId="21576"/>
    <cellStyle name="RowTitles-Detail 3_STUD aligned by INSTIT" xfId="21577"/>
    <cellStyle name="RowTitles-Detail 4" xfId="21578"/>
    <cellStyle name="RowTitles-Detail 4 10" xfId="21579"/>
    <cellStyle name="RowTitles-Detail 4 10 2" xfId="21580"/>
    <cellStyle name="RowTitles-Detail 4 10 2 2" xfId="21581"/>
    <cellStyle name="RowTitles-Detail 4 10 2 2 2" xfId="21582"/>
    <cellStyle name="RowTitles-Detail 4 10 2 2_Tertiary Salaries Survey" xfId="21583"/>
    <cellStyle name="RowTitles-Detail 4 10 2 3" xfId="21584"/>
    <cellStyle name="RowTitles-Detail 4 10 2_Tertiary Salaries Survey" xfId="21585"/>
    <cellStyle name="RowTitles-Detail 4 10 3" xfId="21586"/>
    <cellStyle name="RowTitles-Detail 4 10 3 2" xfId="21587"/>
    <cellStyle name="RowTitles-Detail 4 10 3 2 2" xfId="21588"/>
    <cellStyle name="RowTitles-Detail 4 10 3 2_Tertiary Salaries Survey" xfId="21589"/>
    <cellStyle name="RowTitles-Detail 4 10 3 3" xfId="21590"/>
    <cellStyle name="RowTitles-Detail 4 10 3_Tertiary Salaries Survey" xfId="21591"/>
    <cellStyle name="RowTitles-Detail 4 10 4" xfId="21592"/>
    <cellStyle name="RowTitles-Detail 4 10 4 2" xfId="21593"/>
    <cellStyle name="RowTitles-Detail 4 10 4_Tertiary Salaries Survey" xfId="21594"/>
    <cellStyle name="RowTitles-Detail 4 10 5" xfId="21595"/>
    <cellStyle name="RowTitles-Detail 4 10_Tertiary Salaries Survey" xfId="21596"/>
    <cellStyle name="RowTitles-Detail 4 11" xfId="21597"/>
    <cellStyle name="RowTitles-Detail 4 11 2" xfId="21598"/>
    <cellStyle name="RowTitles-Detail 4 11 2 2" xfId="21599"/>
    <cellStyle name="RowTitles-Detail 4 11 2 2 2" xfId="21600"/>
    <cellStyle name="RowTitles-Detail 4 11 2 2_Tertiary Salaries Survey" xfId="21601"/>
    <cellStyle name="RowTitles-Detail 4 11 2 3" xfId="21602"/>
    <cellStyle name="RowTitles-Detail 4 11 2_Tertiary Salaries Survey" xfId="21603"/>
    <cellStyle name="RowTitles-Detail 4 11 3" xfId="21604"/>
    <cellStyle name="RowTitles-Detail 4 11 3 2" xfId="21605"/>
    <cellStyle name="RowTitles-Detail 4 11 3 2 2" xfId="21606"/>
    <cellStyle name="RowTitles-Detail 4 11 3 2_Tertiary Salaries Survey" xfId="21607"/>
    <cellStyle name="RowTitles-Detail 4 11 3 3" xfId="21608"/>
    <cellStyle name="RowTitles-Detail 4 11 3_Tertiary Salaries Survey" xfId="21609"/>
    <cellStyle name="RowTitles-Detail 4 11 4" xfId="21610"/>
    <cellStyle name="RowTitles-Detail 4 11 4 2" xfId="21611"/>
    <cellStyle name="RowTitles-Detail 4 11 4_Tertiary Salaries Survey" xfId="21612"/>
    <cellStyle name="RowTitles-Detail 4 11 5" xfId="21613"/>
    <cellStyle name="RowTitles-Detail 4 11_Tertiary Salaries Survey" xfId="21614"/>
    <cellStyle name="RowTitles-Detail 4 12" xfId="21615"/>
    <cellStyle name="RowTitles-Detail 4 12 2" xfId="21616"/>
    <cellStyle name="RowTitles-Detail 4 12 2 2" xfId="21617"/>
    <cellStyle name="RowTitles-Detail 4 12 2_Tertiary Salaries Survey" xfId="21618"/>
    <cellStyle name="RowTitles-Detail 4 12 3" xfId="21619"/>
    <cellStyle name="RowTitles-Detail 4 12_Tertiary Salaries Survey" xfId="21620"/>
    <cellStyle name="RowTitles-Detail 4 13" xfId="21621"/>
    <cellStyle name="RowTitles-Detail 4 14" xfId="21622"/>
    <cellStyle name="RowTitles-Detail 4 15" xfId="21623"/>
    <cellStyle name="RowTitles-Detail 4 2" xfId="21624"/>
    <cellStyle name="RowTitles-Detail 4 2 10" xfId="21625"/>
    <cellStyle name="RowTitles-Detail 4 2 10 2" xfId="21626"/>
    <cellStyle name="RowTitles-Detail 4 2 10 2 2" xfId="21627"/>
    <cellStyle name="RowTitles-Detail 4 2 10 2 2 2" xfId="21628"/>
    <cellStyle name="RowTitles-Detail 4 2 10 2 2_Tertiary Salaries Survey" xfId="21629"/>
    <cellStyle name="RowTitles-Detail 4 2 10 2 3" xfId="21630"/>
    <cellStyle name="RowTitles-Detail 4 2 10 2_Tertiary Salaries Survey" xfId="21631"/>
    <cellStyle name="RowTitles-Detail 4 2 10 3" xfId="21632"/>
    <cellStyle name="RowTitles-Detail 4 2 10 3 2" xfId="21633"/>
    <cellStyle name="RowTitles-Detail 4 2 10 3 2 2" xfId="21634"/>
    <cellStyle name="RowTitles-Detail 4 2 10 3 2_Tertiary Salaries Survey" xfId="21635"/>
    <cellStyle name="RowTitles-Detail 4 2 10 3 3" xfId="21636"/>
    <cellStyle name="RowTitles-Detail 4 2 10 3_Tertiary Salaries Survey" xfId="21637"/>
    <cellStyle name="RowTitles-Detail 4 2 10 4" xfId="21638"/>
    <cellStyle name="RowTitles-Detail 4 2 10 4 2" xfId="21639"/>
    <cellStyle name="RowTitles-Detail 4 2 10 4_Tertiary Salaries Survey" xfId="21640"/>
    <cellStyle name="RowTitles-Detail 4 2 10 5" xfId="21641"/>
    <cellStyle name="RowTitles-Detail 4 2 10_Tertiary Salaries Survey" xfId="21642"/>
    <cellStyle name="RowTitles-Detail 4 2 11" xfId="21643"/>
    <cellStyle name="RowTitles-Detail 4 2 11 2" xfId="21644"/>
    <cellStyle name="RowTitles-Detail 4 2 11 2 2" xfId="21645"/>
    <cellStyle name="RowTitles-Detail 4 2 11 2_Tertiary Salaries Survey" xfId="21646"/>
    <cellStyle name="RowTitles-Detail 4 2 11 3" xfId="21647"/>
    <cellStyle name="RowTitles-Detail 4 2 11_Tertiary Salaries Survey" xfId="21648"/>
    <cellStyle name="RowTitles-Detail 4 2 12" xfId="21649"/>
    <cellStyle name="RowTitles-Detail 4 2 13" xfId="21650"/>
    <cellStyle name="RowTitles-Detail 4 2 2" xfId="21651"/>
    <cellStyle name="RowTitles-Detail 4 2 2 10" xfId="21652"/>
    <cellStyle name="RowTitles-Detail 4 2 2 10 2" xfId="21653"/>
    <cellStyle name="RowTitles-Detail 4 2 2 10 2 2" xfId="21654"/>
    <cellStyle name="RowTitles-Detail 4 2 2 10 2_Tertiary Salaries Survey" xfId="21655"/>
    <cellStyle name="RowTitles-Detail 4 2 2 10 3" xfId="21656"/>
    <cellStyle name="RowTitles-Detail 4 2 2 10_Tertiary Salaries Survey" xfId="21657"/>
    <cellStyle name="RowTitles-Detail 4 2 2 11" xfId="21658"/>
    <cellStyle name="RowTitles-Detail 4 2 2 12" xfId="21659"/>
    <cellStyle name="RowTitles-Detail 4 2 2 2" xfId="21660"/>
    <cellStyle name="RowTitles-Detail 4 2 2 2 2" xfId="21661"/>
    <cellStyle name="RowTitles-Detail 4 2 2 2 2 2" xfId="21662"/>
    <cellStyle name="RowTitles-Detail 4 2 2 2 2 2 2" xfId="21663"/>
    <cellStyle name="RowTitles-Detail 4 2 2 2 2 2 2 2" xfId="21664"/>
    <cellStyle name="RowTitles-Detail 4 2 2 2 2 2 2_Tertiary Salaries Survey" xfId="21665"/>
    <cellStyle name="RowTitles-Detail 4 2 2 2 2 2 3" xfId="21666"/>
    <cellStyle name="RowTitles-Detail 4 2 2 2 2 2_Tertiary Salaries Survey" xfId="21667"/>
    <cellStyle name="RowTitles-Detail 4 2 2 2 2 3" xfId="21668"/>
    <cellStyle name="RowTitles-Detail 4 2 2 2 2 3 2" xfId="21669"/>
    <cellStyle name="RowTitles-Detail 4 2 2 2 2 3 2 2" xfId="21670"/>
    <cellStyle name="RowTitles-Detail 4 2 2 2 2 3 2_Tertiary Salaries Survey" xfId="21671"/>
    <cellStyle name="RowTitles-Detail 4 2 2 2 2 3 3" xfId="21672"/>
    <cellStyle name="RowTitles-Detail 4 2 2 2 2 3_Tertiary Salaries Survey" xfId="21673"/>
    <cellStyle name="RowTitles-Detail 4 2 2 2 2 4" xfId="21674"/>
    <cellStyle name="RowTitles-Detail 4 2 2 2 2 5" xfId="21675"/>
    <cellStyle name="RowTitles-Detail 4 2 2 2 2_Tertiary Salaries Survey" xfId="21676"/>
    <cellStyle name="RowTitles-Detail 4 2 2 2 3" xfId="21677"/>
    <cellStyle name="RowTitles-Detail 4 2 2 2 3 2" xfId="21678"/>
    <cellStyle name="RowTitles-Detail 4 2 2 2 3 2 2" xfId="21679"/>
    <cellStyle name="RowTitles-Detail 4 2 2 2 3 2 2 2" xfId="21680"/>
    <cellStyle name="RowTitles-Detail 4 2 2 2 3 2 2_Tertiary Salaries Survey" xfId="21681"/>
    <cellStyle name="RowTitles-Detail 4 2 2 2 3 2 3" xfId="21682"/>
    <cellStyle name="RowTitles-Detail 4 2 2 2 3 2_Tertiary Salaries Survey" xfId="21683"/>
    <cellStyle name="RowTitles-Detail 4 2 2 2 3 3" xfId="21684"/>
    <cellStyle name="RowTitles-Detail 4 2 2 2 3 3 2" xfId="21685"/>
    <cellStyle name="RowTitles-Detail 4 2 2 2 3 3 2 2" xfId="21686"/>
    <cellStyle name="RowTitles-Detail 4 2 2 2 3 3 2_Tertiary Salaries Survey" xfId="21687"/>
    <cellStyle name="RowTitles-Detail 4 2 2 2 3 3 3" xfId="21688"/>
    <cellStyle name="RowTitles-Detail 4 2 2 2 3 3_Tertiary Salaries Survey" xfId="21689"/>
    <cellStyle name="RowTitles-Detail 4 2 2 2 3 4" xfId="21690"/>
    <cellStyle name="RowTitles-Detail 4 2 2 2 3 5" xfId="21691"/>
    <cellStyle name="RowTitles-Detail 4 2 2 2 3 5 2" xfId="21692"/>
    <cellStyle name="RowTitles-Detail 4 2 2 2 3 5_Tertiary Salaries Survey" xfId="21693"/>
    <cellStyle name="RowTitles-Detail 4 2 2 2 3 6" xfId="21694"/>
    <cellStyle name="RowTitles-Detail 4 2 2 2 3_Tertiary Salaries Survey" xfId="21695"/>
    <cellStyle name="RowTitles-Detail 4 2 2 2 4" xfId="21696"/>
    <cellStyle name="RowTitles-Detail 4 2 2 2 4 2" xfId="21697"/>
    <cellStyle name="RowTitles-Detail 4 2 2 2 4 2 2" xfId="21698"/>
    <cellStyle name="RowTitles-Detail 4 2 2 2 4 2 2 2" xfId="21699"/>
    <cellStyle name="RowTitles-Detail 4 2 2 2 4 2 2_Tertiary Salaries Survey" xfId="21700"/>
    <cellStyle name="RowTitles-Detail 4 2 2 2 4 2 3" xfId="21701"/>
    <cellStyle name="RowTitles-Detail 4 2 2 2 4 2_Tertiary Salaries Survey" xfId="21702"/>
    <cellStyle name="RowTitles-Detail 4 2 2 2 4 3" xfId="21703"/>
    <cellStyle name="RowTitles-Detail 4 2 2 2 4 3 2" xfId="21704"/>
    <cellStyle name="RowTitles-Detail 4 2 2 2 4 3 2 2" xfId="21705"/>
    <cellStyle name="RowTitles-Detail 4 2 2 2 4 3 2_Tertiary Salaries Survey" xfId="21706"/>
    <cellStyle name="RowTitles-Detail 4 2 2 2 4 3 3" xfId="21707"/>
    <cellStyle name="RowTitles-Detail 4 2 2 2 4 3_Tertiary Salaries Survey" xfId="21708"/>
    <cellStyle name="RowTitles-Detail 4 2 2 2 4 4" xfId="21709"/>
    <cellStyle name="RowTitles-Detail 4 2 2 2 4 4 2" xfId="21710"/>
    <cellStyle name="RowTitles-Detail 4 2 2 2 4 4_Tertiary Salaries Survey" xfId="21711"/>
    <cellStyle name="RowTitles-Detail 4 2 2 2 4 5" xfId="21712"/>
    <cellStyle name="RowTitles-Detail 4 2 2 2 4_Tertiary Salaries Survey" xfId="21713"/>
    <cellStyle name="RowTitles-Detail 4 2 2 2 5" xfId="21714"/>
    <cellStyle name="RowTitles-Detail 4 2 2 2 5 2" xfId="21715"/>
    <cellStyle name="RowTitles-Detail 4 2 2 2 5 2 2" xfId="21716"/>
    <cellStyle name="RowTitles-Detail 4 2 2 2 5 2 2 2" xfId="21717"/>
    <cellStyle name="RowTitles-Detail 4 2 2 2 5 2 2_Tertiary Salaries Survey" xfId="21718"/>
    <cellStyle name="RowTitles-Detail 4 2 2 2 5 2 3" xfId="21719"/>
    <cellStyle name="RowTitles-Detail 4 2 2 2 5 2_Tertiary Salaries Survey" xfId="21720"/>
    <cellStyle name="RowTitles-Detail 4 2 2 2 5 3" xfId="21721"/>
    <cellStyle name="RowTitles-Detail 4 2 2 2 5 3 2" xfId="21722"/>
    <cellStyle name="RowTitles-Detail 4 2 2 2 5 3 2 2" xfId="21723"/>
    <cellStyle name="RowTitles-Detail 4 2 2 2 5 3 2_Tertiary Salaries Survey" xfId="21724"/>
    <cellStyle name="RowTitles-Detail 4 2 2 2 5 3 3" xfId="21725"/>
    <cellStyle name="RowTitles-Detail 4 2 2 2 5 3_Tertiary Salaries Survey" xfId="21726"/>
    <cellStyle name="RowTitles-Detail 4 2 2 2 5 4" xfId="21727"/>
    <cellStyle name="RowTitles-Detail 4 2 2 2 5 4 2" xfId="21728"/>
    <cellStyle name="RowTitles-Detail 4 2 2 2 5 4_Tertiary Salaries Survey" xfId="21729"/>
    <cellStyle name="RowTitles-Detail 4 2 2 2 5 5" xfId="21730"/>
    <cellStyle name="RowTitles-Detail 4 2 2 2 5_Tertiary Salaries Survey" xfId="21731"/>
    <cellStyle name="RowTitles-Detail 4 2 2 2 6" xfId="21732"/>
    <cellStyle name="RowTitles-Detail 4 2 2 2 6 2" xfId="21733"/>
    <cellStyle name="RowTitles-Detail 4 2 2 2 6 2 2" xfId="21734"/>
    <cellStyle name="RowTitles-Detail 4 2 2 2 6 2 2 2" xfId="21735"/>
    <cellStyle name="RowTitles-Detail 4 2 2 2 6 2 2_Tertiary Salaries Survey" xfId="21736"/>
    <cellStyle name="RowTitles-Detail 4 2 2 2 6 2 3" xfId="21737"/>
    <cellStyle name="RowTitles-Detail 4 2 2 2 6 2_Tertiary Salaries Survey" xfId="21738"/>
    <cellStyle name="RowTitles-Detail 4 2 2 2 6 3" xfId="21739"/>
    <cellStyle name="RowTitles-Detail 4 2 2 2 6 3 2" xfId="21740"/>
    <cellStyle name="RowTitles-Detail 4 2 2 2 6 3 2 2" xfId="21741"/>
    <cellStyle name="RowTitles-Detail 4 2 2 2 6 3 2_Tertiary Salaries Survey" xfId="21742"/>
    <cellStyle name="RowTitles-Detail 4 2 2 2 6 3 3" xfId="21743"/>
    <cellStyle name="RowTitles-Detail 4 2 2 2 6 3_Tertiary Salaries Survey" xfId="21744"/>
    <cellStyle name="RowTitles-Detail 4 2 2 2 6 4" xfId="21745"/>
    <cellStyle name="RowTitles-Detail 4 2 2 2 6 4 2" xfId="21746"/>
    <cellStyle name="RowTitles-Detail 4 2 2 2 6 4_Tertiary Salaries Survey" xfId="21747"/>
    <cellStyle name="RowTitles-Detail 4 2 2 2 6 5" xfId="21748"/>
    <cellStyle name="RowTitles-Detail 4 2 2 2 6_Tertiary Salaries Survey" xfId="21749"/>
    <cellStyle name="RowTitles-Detail 4 2 2 2 7" xfId="21750"/>
    <cellStyle name="RowTitles-Detail 4 2 2 2 7 2" xfId="21751"/>
    <cellStyle name="RowTitles-Detail 4 2 2 2 7 2 2" xfId="21752"/>
    <cellStyle name="RowTitles-Detail 4 2 2 2 7 2_Tertiary Salaries Survey" xfId="21753"/>
    <cellStyle name="RowTitles-Detail 4 2 2 2 7 3" xfId="21754"/>
    <cellStyle name="RowTitles-Detail 4 2 2 2 7_Tertiary Salaries Survey" xfId="21755"/>
    <cellStyle name="RowTitles-Detail 4 2 2 2 8" xfId="21756"/>
    <cellStyle name="RowTitles-Detail 4 2 2 2 9" xfId="21757"/>
    <cellStyle name="RowTitles-Detail 4 2 2 2_STUD aligned by INSTIT" xfId="21758"/>
    <cellStyle name="RowTitles-Detail 4 2 2 3" xfId="21759"/>
    <cellStyle name="RowTitles-Detail 4 2 2 3 2" xfId="21760"/>
    <cellStyle name="RowTitles-Detail 4 2 2 3 2 2" xfId="21761"/>
    <cellStyle name="RowTitles-Detail 4 2 2 3 2 2 2" xfId="21762"/>
    <cellStyle name="RowTitles-Detail 4 2 2 3 2 2 2 2" xfId="21763"/>
    <cellStyle name="RowTitles-Detail 4 2 2 3 2 2 2_Tertiary Salaries Survey" xfId="21764"/>
    <cellStyle name="RowTitles-Detail 4 2 2 3 2 2 3" xfId="21765"/>
    <cellStyle name="RowTitles-Detail 4 2 2 3 2 2_Tertiary Salaries Survey" xfId="21766"/>
    <cellStyle name="RowTitles-Detail 4 2 2 3 2 3" xfId="21767"/>
    <cellStyle name="RowTitles-Detail 4 2 2 3 2 3 2" xfId="21768"/>
    <cellStyle name="RowTitles-Detail 4 2 2 3 2 3 2 2" xfId="21769"/>
    <cellStyle name="RowTitles-Detail 4 2 2 3 2 3 2_Tertiary Salaries Survey" xfId="21770"/>
    <cellStyle name="RowTitles-Detail 4 2 2 3 2 3 3" xfId="21771"/>
    <cellStyle name="RowTitles-Detail 4 2 2 3 2 3_Tertiary Salaries Survey" xfId="21772"/>
    <cellStyle name="RowTitles-Detail 4 2 2 3 2 4" xfId="21773"/>
    <cellStyle name="RowTitles-Detail 4 2 2 3 2 5" xfId="21774"/>
    <cellStyle name="RowTitles-Detail 4 2 2 3 2 5 2" xfId="21775"/>
    <cellStyle name="RowTitles-Detail 4 2 2 3 2 5_Tertiary Salaries Survey" xfId="21776"/>
    <cellStyle name="RowTitles-Detail 4 2 2 3 2 6" xfId="21777"/>
    <cellStyle name="RowTitles-Detail 4 2 2 3 2_Tertiary Salaries Survey" xfId="21778"/>
    <cellStyle name="RowTitles-Detail 4 2 2 3 3" xfId="21779"/>
    <cellStyle name="RowTitles-Detail 4 2 2 3 3 2" xfId="21780"/>
    <cellStyle name="RowTitles-Detail 4 2 2 3 3 2 2" xfId="21781"/>
    <cellStyle name="RowTitles-Detail 4 2 2 3 3 2 2 2" xfId="21782"/>
    <cellStyle name="RowTitles-Detail 4 2 2 3 3 2 2_Tertiary Salaries Survey" xfId="21783"/>
    <cellStyle name="RowTitles-Detail 4 2 2 3 3 2 3" xfId="21784"/>
    <cellStyle name="RowTitles-Detail 4 2 2 3 3 2_Tertiary Salaries Survey" xfId="21785"/>
    <cellStyle name="RowTitles-Detail 4 2 2 3 3 3" xfId="21786"/>
    <cellStyle name="RowTitles-Detail 4 2 2 3 3 3 2" xfId="21787"/>
    <cellStyle name="RowTitles-Detail 4 2 2 3 3 3 2 2" xfId="21788"/>
    <cellStyle name="RowTitles-Detail 4 2 2 3 3 3 2_Tertiary Salaries Survey" xfId="21789"/>
    <cellStyle name="RowTitles-Detail 4 2 2 3 3 3 3" xfId="21790"/>
    <cellStyle name="RowTitles-Detail 4 2 2 3 3 3_Tertiary Salaries Survey" xfId="21791"/>
    <cellStyle name="RowTitles-Detail 4 2 2 3 3 4" xfId="21792"/>
    <cellStyle name="RowTitles-Detail 4 2 2 3 3 5" xfId="21793"/>
    <cellStyle name="RowTitles-Detail 4 2 2 3 3_Tertiary Salaries Survey" xfId="21794"/>
    <cellStyle name="RowTitles-Detail 4 2 2 3 4" xfId="21795"/>
    <cellStyle name="RowTitles-Detail 4 2 2 3 4 2" xfId="21796"/>
    <cellStyle name="RowTitles-Detail 4 2 2 3 4 2 2" xfId="21797"/>
    <cellStyle name="RowTitles-Detail 4 2 2 3 4 2 2 2" xfId="21798"/>
    <cellStyle name="RowTitles-Detail 4 2 2 3 4 2 2_Tertiary Salaries Survey" xfId="21799"/>
    <cellStyle name="RowTitles-Detail 4 2 2 3 4 2 3" xfId="21800"/>
    <cellStyle name="RowTitles-Detail 4 2 2 3 4 2_Tertiary Salaries Survey" xfId="21801"/>
    <cellStyle name="RowTitles-Detail 4 2 2 3 4 3" xfId="21802"/>
    <cellStyle name="RowTitles-Detail 4 2 2 3 4 3 2" xfId="21803"/>
    <cellStyle name="RowTitles-Detail 4 2 2 3 4 3 2 2" xfId="21804"/>
    <cellStyle name="RowTitles-Detail 4 2 2 3 4 3 2_Tertiary Salaries Survey" xfId="21805"/>
    <cellStyle name="RowTitles-Detail 4 2 2 3 4 3 3" xfId="21806"/>
    <cellStyle name="RowTitles-Detail 4 2 2 3 4 3_Tertiary Salaries Survey" xfId="21807"/>
    <cellStyle name="RowTitles-Detail 4 2 2 3 4 4" xfId="21808"/>
    <cellStyle name="RowTitles-Detail 4 2 2 3 4 4 2" xfId="21809"/>
    <cellStyle name="RowTitles-Detail 4 2 2 3 4 4_Tertiary Salaries Survey" xfId="21810"/>
    <cellStyle name="RowTitles-Detail 4 2 2 3 4 5" xfId="21811"/>
    <cellStyle name="RowTitles-Detail 4 2 2 3 4_Tertiary Salaries Survey" xfId="21812"/>
    <cellStyle name="RowTitles-Detail 4 2 2 3 5" xfId="21813"/>
    <cellStyle name="RowTitles-Detail 4 2 2 3 5 2" xfId="21814"/>
    <cellStyle name="RowTitles-Detail 4 2 2 3 5 2 2" xfId="21815"/>
    <cellStyle name="RowTitles-Detail 4 2 2 3 5 2 2 2" xfId="21816"/>
    <cellStyle name="RowTitles-Detail 4 2 2 3 5 2 2_Tertiary Salaries Survey" xfId="21817"/>
    <cellStyle name="RowTitles-Detail 4 2 2 3 5 2 3" xfId="21818"/>
    <cellStyle name="RowTitles-Detail 4 2 2 3 5 2_Tertiary Salaries Survey" xfId="21819"/>
    <cellStyle name="RowTitles-Detail 4 2 2 3 5 3" xfId="21820"/>
    <cellStyle name="RowTitles-Detail 4 2 2 3 5 3 2" xfId="21821"/>
    <cellStyle name="RowTitles-Detail 4 2 2 3 5 3 2 2" xfId="21822"/>
    <cellStyle name="RowTitles-Detail 4 2 2 3 5 3 2_Tertiary Salaries Survey" xfId="21823"/>
    <cellStyle name="RowTitles-Detail 4 2 2 3 5 3 3" xfId="21824"/>
    <cellStyle name="RowTitles-Detail 4 2 2 3 5 3_Tertiary Salaries Survey" xfId="21825"/>
    <cellStyle name="RowTitles-Detail 4 2 2 3 5 4" xfId="21826"/>
    <cellStyle name="RowTitles-Detail 4 2 2 3 5 4 2" xfId="21827"/>
    <cellStyle name="RowTitles-Detail 4 2 2 3 5 4_Tertiary Salaries Survey" xfId="21828"/>
    <cellStyle name="RowTitles-Detail 4 2 2 3 5 5" xfId="21829"/>
    <cellStyle name="RowTitles-Detail 4 2 2 3 5_Tertiary Salaries Survey" xfId="21830"/>
    <cellStyle name="RowTitles-Detail 4 2 2 3 6" xfId="21831"/>
    <cellStyle name="RowTitles-Detail 4 2 2 3 6 2" xfId="21832"/>
    <cellStyle name="RowTitles-Detail 4 2 2 3 6 2 2" xfId="21833"/>
    <cellStyle name="RowTitles-Detail 4 2 2 3 6 2 2 2" xfId="21834"/>
    <cellStyle name="RowTitles-Detail 4 2 2 3 6 2 2_Tertiary Salaries Survey" xfId="21835"/>
    <cellStyle name="RowTitles-Detail 4 2 2 3 6 2 3" xfId="21836"/>
    <cellStyle name="RowTitles-Detail 4 2 2 3 6 2_Tertiary Salaries Survey" xfId="21837"/>
    <cellStyle name="RowTitles-Detail 4 2 2 3 6 3" xfId="21838"/>
    <cellStyle name="RowTitles-Detail 4 2 2 3 6 3 2" xfId="21839"/>
    <cellStyle name="RowTitles-Detail 4 2 2 3 6 3 2 2" xfId="21840"/>
    <cellStyle name="RowTitles-Detail 4 2 2 3 6 3 2_Tertiary Salaries Survey" xfId="21841"/>
    <cellStyle name="RowTitles-Detail 4 2 2 3 6 3 3" xfId="21842"/>
    <cellStyle name="RowTitles-Detail 4 2 2 3 6 3_Tertiary Salaries Survey" xfId="21843"/>
    <cellStyle name="RowTitles-Detail 4 2 2 3 6 4" xfId="21844"/>
    <cellStyle name="RowTitles-Detail 4 2 2 3 6 4 2" xfId="21845"/>
    <cellStyle name="RowTitles-Detail 4 2 2 3 6 4_Tertiary Salaries Survey" xfId="21846"/>
    <cellStyle name="RowTitles-Detail 4 2 2 3 6 5" xfId="21847"/>
    <cellStyle name="RowTitles-Detail 4 2 2 3 6_Tertiary Salaries Survey" xfId="21848"/>
    <cellStyle name="RowTitles-Detail 4 2 2 3 7" xfId="21849"/>
    <cellStyle name="RowTitles-Detail 4 2 2 3 7 2" xfId="21850"/>
    <cellStyle name="RowTitles-Detail 4 2 2 3 7 2 2" xfId="21851"/>
    <cellStyle name="RowTitles-Detail 4 2 2 3 7 2_Tertiary Salaries Survey" xfId="21852"/>
    <cellStyle name="RowTitles-Detail 4 2 2 3 7 3" xfId="21853"/>
    <cellStyle name="RowTitles-Detail 4 2 2 3 7_Tertiary Salaries Survey" xfId="21854"/>
    <cellStyle name="RowTitles-Detail 4 2 2 3 8" xfId="21855"/>
    <cellStyle name="RowTitles-Detail 4 2 2 3 8 2" xfId="21856"/>
    <cellStyle name="RowTitles-Detail 4 2 2 3 8 2 2" xfId="21857"/>
    <cellStyle name="RowTitles-Detail 4 2 2 3 8 2_Tertiary Salaries Survey" xfId="21858"/>
    <cellStyle name="RowTitles-Detail 4 2 2 3 8 3" xfId="21859"/>
    <cellStyle name="RowTitles-Detail 4 2 2 3 8_Tertiary Salaries Survey" xfId="21860"/>
    <cellStyle name="RowTitles-Detail 4 2 2 3 9" xfId="21861"/>
    <cellStyle name="RowTitles-Detail 4 2 2 3_STUD aligned by INSTIT" xfId="21862"/>
    <cellStyle name="RowTitles-Detail 4 2 2 4" xfId="21863"/>
    <cellStyle name="RowTitles-Detail 4 2 2 4 2" xfId="21864"/>
    <cellStyle name="RowTitles-Detail 4 2 2 4 2 2" xfId="21865"/>
    <cellStyle name="RowTitles-Detail 4 2 2 4 2 2 2" xfId="21866"/>
    <cellStyle name="RowTitles-Detail 4 2 2 4 2 2 2 2" xfId="21867"/>
    <cellStyle name="RowTitles-Detail 4 2 2 4 2 2 2_Tertiary Salaries Survey" xfId="21868"/>
    <cellStyle name="RowTitles-Detail 4 2 2 4 2 2 3" xfId="21869"/>
    <cellStyle name="RowTitles-Detail 4 2 2 4 2 2_Tertiary Salaries Survey" xfId="21870"/>
    <cellStyle name="RowTitles-Detail 4 2 2 4 2 3" xfId="21871"/>
    <cellStyle name="RowTitles-Detail 4 2 2 4 2 3 2" xfId="21872"/>
    <cellStyle name="RowTitles-Detail 4 2 2 4 2 3 2 2" xfId="21873"/>
    <cellStyle name="RowTitles-Detail 4 2 2 4 2 3 2_Tertiary Salaries Survey" xfId="21874"/>
    <cellStyle name="RowTitles-Detail 4 2 2 4 2 3 3" xfId="21875"/>
    <cellStyle name="RowTitles-Detail 4 2 2 4 2 3_Tertiary Salaries Survey" xfId="21876"/>
    <cellStyle name="RowTitles-Detail 4 2 2 4 2 4" xfId="21877"/>
    <cellStyle name="RowTitles-Detail 4 2 2 4 2 5" xfId="21878"/>
    <cellStyle name="RowTitles-Detail 4 2 2 4 2 5 2" xfId="21879"/>
    <cellStyle name="RowTitles-Detail 4 2 2 4 2 5_Tertiary Salaries Survey" xfId="21880"/>
    <cellStyle name="RowTitles-Detail 4 2 2 4 2 6" xfId="21881"/>
    <cellStyle name="RowTitles-Detail 4 2 2 4 2_Tertiary Salaries Survey" xfId="21882"/>
    <cellStyle name="RowTitles-Detail 4 2 2 4 3" xfId="21883"/>
    <cellStyle name="RowTitles-Detail 4 2 2 4 3 2" xfId="21884"/>
    <cellStyle name="RowTitles-Detail 4 2 2 4 3 2 2" xfId="21885"/>
    <cellStyle name="RowTitles-Detail 4 2 2 4 3 2 2 2" xfId="21886"/>
    <cellStyle name="RowTitles-Detail 4 2 2 4 3 2 2_Tertiary Salaries Survey" xfId="21887"/>
    <cellStyle name="RowTitles-Detail 4 2 2 4 3 2 3" xfId="21888"/>
    <cellStyle name="RowTitles-Detail 4 2 2 4 3 2_Tertiary Salaries Survey" xfId="21889"/>
    <cellStyle name="RowTitles-Detail 4 2 2 4 3 3" xfId="21890"/>
    <cellStyle name="RowTitles-Detail 4 2 2 4 3 3 2" xfId="21891"/>
    <cellStyle name="RowTitles-Detail 4 2 2 4 3 3 2 2" xfId="21892"/>
    <cellStyle name="RowTitles-Detail 4 2 2 4 3 3 2_Tertiary Salaries Survey" xfId="21893"/>
    <cellStyle name="RowTitles-Detail 4 2 2 4 3 3 3" xfId="21894"/>
    <cellStyle name="RowTitles-Detail 4 2 2 4 3 3_Tertiary Salaries Survey" xfId="21895"/>
    <cellStyle name="RowTitles-Detail 4 2 2 4 3 4" xfId="21896"/>
    <cellStyle name="RowTitles-Detail 4 2 2 4 3 5" xfId="21897"/>
    <cellStyle name="RowTitles-Detail 4 2 2 4 3_Tertiary Salaries Survey" xfId="21898"/>
    <cellStyle name="RowTitles-Detail 4 2 2 4 4" xfId="21899"/>
    <cellStyle name="RowTitles-Detail 4 2 2 4 4 2" xfId="21900"/>
    <cellStyle name="RowTitles-Detail 4 2 2 4 4 2 2" xfId="21901"/>
    <cellStyle name="RowTitles-Detail 4 2 2 4 4 2 2 2" xfId="21902"/>
    <cellStyle name="RowTitles-Detail 4 2 2 4 4 2 2_Tertiary Salaries Survey" xfId="21903"/>
    <cellStyle name="RowTitles-Detail 4 2 2 4 4 2 3" xfId="21904"/>
    <cellStyle name="RowTitles-Detail 4 2 2 4 4 2_Tertiary Salaries Survey" xfId="21905"/>
    <cellStyle name="RowTitles-Detail 4 2 2 4 4 3" xfId="21906"/>
    <cellStyle name="RowTitles-Detail 4 2 2 4 4 3 2" xfId="21907"/>
    <cellStyle name="RowTitles-Detail 4 2 2 4 4 3 2 2" xfId="21908"/>
    <cellStyle name="RowTitles-Detail 4 2 2 4 4 3 2_Tertiary Salaries Survey" xfId="21909"/>
    <cellStyle name="RowTitles-Detail 4 2 2 4 4 3 3" xfId="21910"/>
    <cellStyle name="RowTitles-Detail 4 2 2 4 4 3_Tertiary Salaries Survey" xfId="21911"/>
    <cellStyle name="RowTitles-Detail 4 2 2 4 4 4" xfId="21912"/>
    <cellStyle name="RowTitles-Detail 4 2 2 4 4 5" xfId="21913"/>
    <cellStyle name="RowTitles-Detail 4 2 2 4 4 5 2" xfId="21914"/>
    <cellStyle name="RowTitles-Detail 4 2 2 4 4 5_Tertiary Salaries Survey" xfId="21915"/>
    <cellStyle name="RowTitles-Detail 4 2 2 4 4 6" xfId="21916"/>
    <cellStyle name="RowTitles-Detail 4 2 2 4 4_Tertiary Salaries Survey" xfId="21917"/>
    <cellStyle name="RowTitles-Detail 4 2 2 4 5" xfId="21918"/>
    <cellStyle name="RowTitles-Detail 4 2 2 4 5 2" xfId="21919"/>
    <cellStyle name="RowTitles-Detail 4 2 2 4 5 2 2" xfId="21920"/>
    <cellStyle name="RowTitles-Detail 4 2 2 4 5 2 2 2" xfId="21921"/>
    <cellStyle name="RowTitles-Detail 4 2 2 4 5 2 2_Tertiary Salaries Survey" xfId="21922"/>
    <cellStyle name="RowTitles-Detail 4 2 2 4 5 2 3" xfId="21923"/>
    <cellStyle name="RowTitles-Detail 4 2 2 4 5 2_Tertiary Salaries Survey" xfId="21924"/>
    <cellStyle name="RowTitles-Detail 4 2 2 4 5 3" xfId="21925"/>
    <cellStyle name="RowTitles-Detail 4 2 2 4 5 3 2" xfId="21926"/>
    <cellStyle name="RowTitles-Detail 4 2 2 4 5 3 2 2" xfId="21927"/>
    <cellStyle name="RowTitles-Detail 4 2 2 4 5 3 2_Tertiary Salaries Survey" xfId="21928"/>
    <cellStyle name="RowTitles-Detail 4 2 2 4 5 3 3" xfId="21929"/>
    <cellStyle name="RowTitles-Detail 4 2 2 4 5 3_Tertiary Salaries Survey" xfId="21930"/>
    <cellStyle name="RowTitles-Detail 4 2 2 4 5 4" xfId="21931"/>
    <cellStyle name="RowTitles-Detail 4 2 2 4 5 4 2" xfId="21932"/>
    <cellStyle name="RowTitles-Detail 4 2 2 4 5 4_Tertiary Salaries Survey" xfId="21933"/>
    <cellStyle name="RowTitles-Detail 4 2 2 4 5 5" xfId="21934"/>
    <cellStyle name="RowTitles-Detail 4 2 2 4 5_Tertiary Salaries Survey" xfId="21935"/>
    <cellStyle name="RowTitles-Detail 4 2 2 4 6" xfId="21936"/>
    <cellStyle name="RowTitles-Detail 4 2 2 4 6 2" xfId="21937"/>
    <cellStyle name="RowTitles-Detail 4 2 2 4 6 2 2" xfId="21938"/>
    <cellStyle name="RowTitles-Detail 4 2 2 4 6 2 2 2" xfId="21939"/>
    <cellStyle name="RowTitles-Detail 4 2 2 4 6 2 2_Tertiary Salaries Survey" xfId="21940"/>
    <cellStyle name="RowTitles-Detail 4 2 2 4 6 2 3" xfId="21941"/>
    <cellStyle name="RowTitles-Detail 4 2 2 4 6 2_Tertiary Salaries Survey" xfId="21942"/>
    <cellStyle name="RowTitles-Detail 4 2 2 4 6 3" xfId="21943"/>
    <cellStyle name="RowTitles-Detail 4 2 2 4 6 3 2" xfId="21944"/>
    <cellStyle name="RowTitles-Detail 4 2 2 4 6 3 2 2" xfId="21945"/>
    <cellStyle name="RowTitles-Detail 4 2 2 4 6 3 2_Tertiary Salaries Survey" xfId="21946"/>
    <cellStyle name="RowTitles-Detail 4 2 2 4 6 3 3" xfId="21947"/>
    <cellStyle name="RowTitles-Detail 4 2 2 4 6 3_Tertiary Salaries Survey" xfId="21948"/>
    <cellStyle name="RowTitles-Detail 4 2 2 4 6 4" xfId="21949"/>
    <cellStyle name="RowTitles-Detail 4 2 2 4 6 4 2" xfId="21950"/>
    <cellStyle name="RowTitles-Detail 4 2 2 4 6 4_Tertiary Salaries Survey" xfId="21951"/>
    <cellStyle name="RowTitles-Detail 4 2 2 4 6 5" xfId="21952"/>
    <cellStyle name="RowTitles-Detail 4 2 2 4 6_Tertiary Salaries Survey" xfId="21953"/>
    <cellStyle name="RowTitles-Detail 4 2 2 4 7" xfId="21954"/>
    <cellStyle name="RowTitles-Detail 4 2 2 4 7 2" xfId="21955"/>
    <cellStyle name="RowTitles-Detail 4 2 2 4 7 2 2" xfId="21956"/>
    <cellStyle name="RowTitles-Detail 4 2 2 4 7 2_Tertiary Salaries Survey" xfId="21957"/>
    <cellStyle name="RowTitles-Detail 4 2 2 4 7 3" xfId="21958"/>
    <cellStyle name="RowTitles-Detail 4 2 2 4 7_Tertiary Salaries Survey" xfId="21959"/>
    <cellStyle name="RowTitles-Detail 4 2 2 4 8" xfId="21960"/>
    <cellStyle name="RowTitles-Detail 4 2 2 4 9" xfId="21961"/>
    <cellStyle name="RowTitles-Detail 4 2 2 4_STUD aligned by INSTIT" xfId="21962"/>
    <cellStyle name="RowTitles-Detail 4 2 2 5" xfId="21963"/>
    <cellStyle name="RowTitles-Detail 4 2 2 5 2" xfId="21964"/>
    <cellStyle name="RowTitles-Detail 4 2 2 5 2 2" xfId="21965"/>
    <cellStyle name="RowTitles-Detail 4 2 2 5 2 2 2" xfId="21966"/>
    <cellStyle name="RowTitles-Detail 4 2 2 5 2 2_Tertiary Salaries Survey" xfId="21967"/>
    <cellStyle name="RowTitles-Detail 4 2 2 5 2 3" xfId="21968"/>
    <cellStyle name="RowTitles-Detail 4 2 2 5 2_Tertiary Salaries Survey" xfId="21969"/>
    <cellStyle name="RowTitles-Detail 4 2 2 5 3" xfId="21970"/>
    <cellStyle name="RowTitles-Detail 4 2 2 5 3 2" xfId="21971"/>
    <cellStyle name="RowTitles-Detail 4 2 2 5 3 2 2" xfId="21972"/>
    <cellStyle name="RowTitles-Detail 4 2 2 5 3 2_Tertiary Salaries Survey" xfId="21973"/>
    <cellStyle name="RowTitles-Detail 4 2 2 5 3 3" xfId="21974"/>
    <cellStyle name="RowTitles-Detail 4 2 2 5 3_Tertiary Salaries Survey" xfId="21975"/>
    <cellStyle name="RowTitles-Detail 4 2 2 5 4" xfId="21976"/>
    <cellStyle name="RowTitles-Detail 4 2 2 5 5" xfId="21977"/>
    <cellStyle name="RowTitles-Detail 4 2 2 5 5 2" xfId="21978"/>
    <cellStyle name="RowTitles-Detail 4 2 2 5 5_Tertiary Salaries Survey" xfId="21979"/>
    <cellStyle name="RowTitles-Detail 4 2 2 5 6" xfId="21980"/>
    <cellStyle name="RowTitles-Detail 4 2 2 5_Tertiary Salaries Survey" xfId="21981"/>
    <cellStyle name="RowTitles-Detail 4 2 2 6" xfId="21982"/>
    <cellStyle name="RowTitles-Detail 4 2 2 6 2" xfId="21983"/>
    <cellStyle name="RowTitles-Detail 4 2 2 6 2 2" xfId="21984"/>
    <cellStyle name="RowTitles-Detail 4 2 2 6 2 2 2" xfId="21985"/>
    <cellStyle name="RowTitles-Detail 4 2 2 6 2 2_Tertiary Salaries Survey" xfId="21986"/>
    <cellStyle name="RowTitles-Detail 4 2 2 6 2 3" xfId="21987"/>
    <cellStyle name="RowTitles-Detail 4 2 2 6 2_Tertiary Salaries Survey" xfId="21988"/>
    <cellStyle name="RowTitles-Detail 4 2 2 6 3" xfId="21989"/>
    <cellStyle name="RowTitles-Detail 4 2 2 6 3 2" xfId="21990"/>
    <cellStyle name="RowTitles-Detail 4 2 2 6 3 2 2" xfId="21991"/>
    <cellStyle name="RowTitles-Detail 4 2 2 6 3 2_Tertiary Salaries Survey" xfId="21992"/>
    <cellStyle name="RowTitles-Detail 4 2 2 6 3 3" xfId="21993"/>
    <cellStyle name="RowTitles-Detail 4 2 2 6 3_Tertiary Salaries Survey" xfId="21994"/>
    <cellStyle name="RowTitles-Detail 4 2 2 6 4" xfId="21995"/>
    <cellStyle name="RowTitles-Detail 4 2 2 6 5" xfId="21996"/>
    <cellStyle name="RowTitles-Detail 4 2 2 6_Tertiary Salaries Survey" xfId="21997"/>
    <cellStyle name="RowTitles-Detail 4 2 2 7" xfId="21998"/>
    <cellStyle name="RowTitles-Detail 4 2 2 7 2" xfId="21999"/>
    <cellStyle name="RowTitles-Detail 4 2 2 7 2 2" xfId="22000"/>
    <cellStyle name="RowTitles-Detail 4 2 2 7 2 2 2" xfId="22001"/>
    <cellStyle name="RowTitles-Detail 4 2 2 7 2 2_Tertiary Salaries Survey" xfId="22002"/>
    <cellStyle name="RowTitles-Detail 4 2 2 7 2 3" xfId="22003"/>
    <cellStyle name="RowTitles-Detail 4 2 2 7 2_Tertiary Salaries Survey" xfId="22004"/>
    <cellStyle name="RowTitles-Detail 4 2 2 7 3" xfId="22005"/>
    <cellStyle name="RowTitles-Detail 4 2 2 7 3 2" xfId="22006"/>
    <cellStyle name="RowTitles-Detail 4 2 2 7 3 2 2" xfId="22007"/>
    <cellStyle name="RowTitles-Detail 4 2 2 7 3 2_Tertiary Salaries Survey" xfId="22008"/>
    <cellStyle name="RowTitles-Detail 4 2 2 7 3 3" xfId="22009"/>
    <cellStyle name="RowTitles-Detail 4 2 2 7 3_Tertiary Salaries Survey" xfId="22010"/>
    <cellStyle name="RowTitles-Detail 4 2 2 7 4" xfId="22011"/>
    <cellStyle name="RowTitles-Detail 4 2 2 7 5" xfId="22012"/>
    <cellStyle name="RowTitles-Detail 4 2 2 7 5 2" xfId="22013"/>
    <cellStyle name="RowTitles-Detail 4 2 2 7 5_Tertiary Salaries Survey" xfId="22014"/>
    <cellStyle name="RowTitles-Detail 4 2 2 7 6" xfId="22015"/>
    <cellStyle name="RowTitles-Detail 4 2 2 7_Tertiary Salaries Survey" xfId="22016"/>
    <cellStyle name="RowTitles-Detail 4 2 2 8" xfId="22017"/>
    <cellStyle name="RowTitles-Detail 4 2 2 8 2" xfId="22018"/>
    <cellStyle name="RowTitles-Detail 4 2 2 8 2 2" xfId="22019"/>
    <cellStyle name="RowTitles-Detail 4 2 2 8 2 2 2" xfId="22020"/>
    <cellStyle name="RowTitles-Detail 4 2 2 8 2 2_Tertiary Salaries Survey" xfId="22021"/>
    <cellStyle name="RowTitles-Detail 4 2 2 8 2 3" xfId="22022"/>
    <cellStyle name="RowTitles-Detail 4 2 2 8 2_Tertiary Salaries Survey" xfId="22023"/>
    <cellStyle name="RowTitles-Detail 4 2 2 8 3" xfId="22024"/>
    <cellStyle name="RowTitles-Detail 4 2 2 8 3 2" xfId="22025"/>
    <cellStyle name="RowTitles-Detail 4 2 2 8 3 2 2" xfId="22026"/>
    <cellStyle name="RowTitles-Detail 4 2 2 8 3 2_Tertiary Salaries Survey" xfId="22027"/>
    <cellStyle name="RowTitles-Detail 4 2 2 8 3 3" xfId="22028"/>
    <cellStyle name="RowTitles-Detail 4 2 2 8 3_Tertiary Salaries Survey" xfId="22029"/>
    <cellStyle name="RowTitles-Detail 4 2 2 8 4" xfId="22030"/>
    <cellStyle name="RowTitles-Detail 4 2 2 8 4 2" xfId="22031"/>
    <cellStyle name="RowTitles-Detail 4 2 2 8 4_Tertiary Salaries Survey" xfId="22032"/>
    <cellStyle name="RowTitles-Detail 4 2 2 8 5" xfId="22033"/>
    <cellStyle name="RowTitles-Detail 4 2 2 8_Tertiary Salaries Survey" xfId="22034"/>
    <cellStyle name="RowTitles-Detail 4 2 2 9" xfId="22035"/>
    <cellStyle name="RowTitles-Detail 4 2 2 9 2" xfId="22036"/>
    <cellStyle name="RowTitles-Detail 4 2 2 9 2 2" xfId="22037"/>
    <cellStyle name="RowTitles-Detail 4 2 2 9 2 2 2" xfId="22038"/>
    <cellStyle name="RowTitles-Detail 4 2 2 9 2 2_Tertiary Salaries Survey" xfId="22039"/>
    <cellStyle name="RowTitles-Detail 4 2 2 9 2 3" xfId="22040"/>
    <cellStyle name="RowTitles-Detail 4 2 2 9 2_Tertiary Salaries Survey" xfId="22041"/>
    <cellStyle name="RowTitles-Detail 4 2 2 9 3" xfId="22042"/>
    <cellStyle name="RowTitles-Detail 4 2 2 9 3 2" xfId="22043"/>
    <cellStyle name="RowTitles-Detail 4 2 2 9 3 2 2" xfId="22044"/>
    <cellStyle name="RowTitles-Detail 4 2 2 9 3 2_Tertiary Salaries Survey" xfId="22045"/>
    <cellStyle name="RowTitles-Detail 4 2 2 9 3 3" xfId="22046"/>
    <cellStyle name="RowTitles-Detail 4 2 2 9 3_Tertiary Salaries Survey" xfId="22047"/>
    <cellStyle name="RowTitles-Detail 4 2 2 9 4" xfId="22048"/>
    <cellStyle name="RowTitles-Detail 4 2 2 9 4 2" xfId="22049"/>
    <cellStyle name="RowTitles-Detail 4 2 2 9 4_Tertiary Salaries Survey" xfId="22050"/>
    <cellStyle name="RowTitles-Detail 4 2 2 9 5" xfId="22051"/>
    <cellStyle name="RowTitles-Detail 4 2 2 9_Tertiary Salaries Survey" xfId="22052"/>
    <cellStyle name="RowTitles-Detail 4 2 2_STUD aligned by INSTIT" xfId="22053"/>
    <cellStyle name="RowTitles-Detail 4 2 3" xfId="22054"/>
    <cellStyle name="RowTitles-Detail 4 2 3 2" xfId="22055"/>
    <cellStyle name="RowTitles-Detail 4 2 3 2 2" xfId="22056"/>
    <cellStyle name="RowTitles-Detail 4 2 3 2 2 2" xfId="22057"/>
    <cellStyle name="RowTitles-Detail 4 2 3 2 2 2 2" xfId="22058"/>
    <cellStyle name="RowTitles-Detail 4 2 3 2 2 2_Tertiary Salaries Survey" xfId="22059"/>
    <cellStyle name="RowTitles-Detail 4 2 3 2 2 3" xfId="22060"/>
    <cellStyle name="RowTitles-Detail 4 2 3 2 2_Tertiary Salaries Survey" xfId="22061"/>
    <cellStyle name="RowTitles-Detail 4 2 3 2 3" xfId="22062"/>
    <cellStyle name="RowTitles-Detail 4 2 3 2 3 2" xfId="22063"/>
    <cellStyle name="RowTitles-Detail 4 2 3 2 3 2 2" xfId="22064"/>
    <cellStyle name="RowTitles-Detail 4 2 3 2 3 2_Tertiary Salaries Survey" xfId="22065"/>
    <cellStyle name="RowTitles-Detail 4 2 3 2 3 3" xfId="22066"/>
    <cellStyle name="RowTitles-Detail 4 2 3 2 3_Tertiary Salaries Survey" xfId="22067"/>
    <cellStyle name="RowTitles-Detail 4 2 3 2 4" xfId="22068"/>
    <cellStyle name="RowTitles-Detail 4 2 3 2 5" xfId="22069"/>
    <cellStyle name="RowTitles-Detail 4 2 3 2_Tertiary Salaries Survey" xfId="22070"/>
    <cellStyle name="RowTitles-Detail 4 2 3 3" xfId="22071"/>
    <cellStyle name="RowTitles-Detail 4 2 3 3 2" xfId="22072"/>
    <cellStyle name="RowTitles-Detail 4 2 3 3 2 2" xfId="22073"/>
    <cellStyle name="RowTitles-Detail 4 2 3 3 2 2 2" xfId="22074"/>
    <cellStyle name="RowTitles-Detail 4 2 3 3 2 2_Tertiary Salaries Survey" xfId="22075"/>
    <cellStyle name="RowTitles-Detail 4 2 3 3 2 3" xfId="22076"/>
    <cellStyle name="RowTitles-Detail 4 2 3 3 2_Tertiary Salaries Survey" xfId="22077"/>
    <cellStyle name="RowTitles-Detail 4 2 3 3 3" xfId="22078"/>
    <cellStyle name="RowTitles-Detail 4 2 3 3 3 2" xfId="22079"/>
    <cellStyle name="RowTitles-Detail 4 2 3 3 3 2 2" xfId="22080"/>
    <cellStyle name="RowTitles-Detail 4 2 3 3 3 2_Tertiary Salaries Survey" xfId="22081"/>
    <cellStyle name="RowTitles-Detail 4 2 3 3 3 3" xfId="22082"/>
    <cellStyle name="RowTitles-Detail 4 2 3 3 3_Tertiary Salaries Survey" xfId="22083"/>
    <cellStyle name="RowTitles-Detail 4 2 3 3 4" xfId="22084"/>
    <cellStyle name="RowTitles-Detail 4 2 3 3 5" xfId="22085"/>
    <cellStyle name="RowTitles-Detail 4 2 3 3 5 2" xfId="22086"/>
    <cellStyle name="RowTitles-Detail 4 2 3 3 5_Tertiary Salaries Survey" xfId="22087"/>
    <cellStyle name="RowTitles-Detail 4 2 3 3 6" xfId="22088"/>
    <cellStyle name="RowTitles-Detail 4 2 3 3_Tertiary Salaries Survey" xfId="22089"/>
    <cellStyle name="RowTitles-Detail 4 2 3 4" xfId="22090"/>
    <cellStyle name="RowTitles-Detail 4 2 3 4 2" xfId="22091"/>
    <cellStyle name="RowTitles-Detail 4 2 3 4 2 2" xfId="22092"/>
    <cellStyle name="RowTitles-Detail 4 2 3 4 2 2 2" xfId="22093"/>
    <cellStyle name="RowTitles-Detail 4 2 3 4 2 2_Tertiary Salaries Survey" xfId="22094"/>
    <cellStyle name="RowTitles-Detail 4 2 3 4 2 3" xfId="22095"/>
    <cellStyle name="RowTitles-Detail 4 2 3 4 2_Tertiary Salaries Survey" xfId="22096"/>
    <cellStyle name="RowTitles-Detail 4 2 3 4 3" xfId="22097"/>
    <cellStyle name="RowTitles-Detail 4 2 3 4 3 2" xfId="22098"/>
    <cellStyle name="RowTitles-Detail 4 2 3 4 3 2 2" xfId="22099"/>
    <cellStyle name="RowTitles-Detail 4 2 3 4 3 2_Tertiary Salaries Survey" xfId="22100"/>
    <cellStyle name="RowTitles-Detail 4 2 3 4 3 3" xfId="22101"/>
    <cellStyle name="RowTitles-Detail 4 2 3 4 3_Tertiary Salaries Survey" xfId="22102"/>
    <cellStyle name="RowTitles-Detail 4 2 3 4 4" xfId="22103"/>
    <cellStyle name="RowTitles-Detail 4 2 3 4 4 2" xfId="22104"/>
    <cellStyle name="RowTitles-Detail 4 2 3 4 4_Tertiary Salaries Survey" xfId="22105"/>
    <cellStyle name="RowTitles-Detail 4 2 3 4 5" xfId="22106"/>
    <cellStyle name="RowTitles-Detail 4 2 3 4_Tertiary Salaries Survey" xfId="22107"/>
    <cellStyle name="RowTitles-Detail 4 2 3 5" xfId="22108"/>
    <cellStyle name="RowTitles-Detail 4 2 3 5 2" xfId="22109"/>
    <cellStyle name="RowTitles-Detail 4 2 3 5 2 2" xfId="22110"/>
    <cellStyle name="RowTitles-Detail 4 2 3 5 2 2 2" xfId="22111"/>
    <cellStyle name="RowTitles-Detail 4 2 3 5 2 2_Tertiary Salaries Survey" xfId="22112"/>
    <cellStyle name="RowTitles-Detail 4 2 3 5 2 3" xfId="22113"/>
    <cellStyle name="RowTitles-Detail 4 2 3 5 2_Tertiary Salaries Survey" xfId="22114"/>
    <cellStyle name="RowTitles-Detail 4 2 3 5 3" xfId="22115"/>
    <cellStyle name="RowTitles-Detail 4 2 3 5 3 2" xfId="22116"/>
    <cellStyle name="RowTitles-Detail 4 2 3 5 3 2 2" xfId="22117"/>
    <cellStyle name="RowTitles-Detail 4 2 3 5 3 2_Tertiary Salaries Survey" xfId="22118"/>
    <cellStyle name="RowTitles-Detail 4 2 3 5 3 3" xfId="22119"/>
    <cellStyle name="RowTitles-Detail 4 2 3 5 3_Tertiary Salaries Survey" xfId="22120"/>
    <cellStyle name="RowTitles-Detail 4 2 3 5 4" xfId="22121"/>
    <cellStyle name="RowTitles-Detail 4 2 3 5 4 2" xfId="22122"/>
    <cellStyle name="RowTitles-Detail 4 2 3 5 4_Tertiary Salaries Survey" xfId="22123"/>
    <cellStyle name="RowTitles-Detail 4 2 3 5 5" xfId="22124"/>
    <cellStyle name="RowTitles-Detail 4 2 3 5_Tertiary Salaries Survey" xfId="22125"/>
    <cellStyle name="RowTitles-Detail 4 2 3 6" xfId="22126"/>
    <cellStyle name="RowTitles-Detail 4 2 3 6 2" xfId="22127"/>
    <cellStyle name="RowTitles-Detail 4 2 3 6 2 2" xfId="22128"/>
    <cellStyle name="RowTitles-Detail 4 2 3 6 2 2 2" xfId="22129"/>
    <cellStyle name="RowTitles-Detail 4 2 3 6 2 2_Tertiary Salaries Survey" xfId="22130"/>
    <cellStyle name="RowTitles-Detail 4 2 3 6 2 3" xfId="22131"/>
    <cellStyle name="RowTitles-Detail 4 2 3 6 2_Tertiary Salaries Survey" xfId="22132"/>
    <cellStyle name="RowTitles-Detail 4 2 3 6 3" xfId="22133"/>
    <cellStyle name="RowTitles-Detail 4 2 3 6 3 2" xfId="22134"/>
    <cellStyle name="RowTitles-Detail 4 2 3 6 3 2 2" xfId="22135"/>
    <cellStyle name="RowTitles-Detail 4 2 3 6 3 2_Tertiary Salaries Survey" xfId="22136"/>
    <cellStyle name="RowTitles-Detail 4 2 3 6 3 3" xfId="22137"/>
    <cellStyle name="RowTitles-Detail 4 2 3 6 3_Tertiary Salaries Survey" xfId="22138"/>
    <cellStyle name="RowTitles-Detail 4 2 3 6 4" xfId="22139"/>
    <cellStyle name="RowTitles-Detail 4 2 3 6 4 2" xfId="22140"/>
    <cellStyle name="RowTitles-Detail 4 2 3 6 4_Tertiary Salaries Survey" xfId="22141"/>
    <cellStyle name="RowTitles-Detail 4 2 3 6 5" xfId="22142"/>
    <cellStyle name="RowTitles-Detail 4 2 3 6_Tertiary Salaries Survey" xfId="22143"/>
    <cellStyle name="RowTitles-Detail 4 2 3 7" xfId="22144"/>
    <cellStyle name="RowTitles-Detail 4 2 3 7 2" xfId="22145"/>
    <cellStyle name="RowTitles-Detail 4 2 3 7 2 2" xfId="22146"/>
    <cellStyle name="RowTitles-Detail 4 2 3 7 2_Tertiary Salaries Survey" xfId="22147"/>
    <cellStyle name="RowTitles-Detail 4 2 3 7 3" xfId="22148"/>
    <cellStyle name="RowTitles-Detail 4 2 3 7_Tertiary Salaries Survey" xfId="22149"/>
    <cellStyle name="RowTitles-Detail 4 2 3 8" xfId="22150"/>
    <cellStyle name="RowTitles-Detail 4 2 3 9" xfId="22151"/>
    <cellStyle name="RowTitles-Detail 4 2 3_STUD aligned by INSTIT" xfId="22152"/>
    <cellStyle name="RowTitles-Detail 4 2 4" xfId="22153"/>
    <cellStyle name="RowTitles-Detail 4 2 4 2" xfId="22154"/>
    <cellStyle name="RowTitles-Detail 4 2 4 2 2" xfId="22155"/>
    <cellStyle name="RowTitles-Detail 4 2 4 2 2 2" xfId="22156"/>
    <cellStyle name="RowTitles-Detail 4 2 4 2 2 2 2" xfId="22157"/>
    <cellStyle name="RowTitles-Detail 4 2 4 2 2 2_Tertiary Salaries Survey" xfId="22158"/>
    <cellStyle name="RowTitles-Detail 4 2 4 2 2 3" xfId="22159"/>
    <cellStyle name="RowTitles-Detail 4 2 4 2 2_Tertiary Salaries Survey" xfId="22160"/>
    <cellStyle name="RowTitles-Detail 4 2 4 2 3" xfId="22161"/>
    <cellStyle name="RowTitles-Detail 4 2 4 2 3 2" xfId="22162"/>
    <cellStyle name="RowTitles-Detail 4 2 4 2 3 2 2" xfId="22163"/>
    <cellStyle name="RowTitles-Detail 4 2 4 2 3 2_Tertiary Salaries Survey" xfId="22164"/>
    <cellStyle name="RowTitles-Detail 4 2 4 2 3 3" xfId="22165"/>
    <cellStyle name="RowTitles-Detail 4 2 4 2 3_Tertiary Salaries Survey" xfId="22166"/>
    <cellStyle name="RowTitles-Detail 4 2 4 2 4" xfId="22167"/>
    <cellStyle name="RowTitles-Detail 4 2 4 2 5" xfId="22168"/>
    <cellStyle name="RowTitles-Detail 4 2 4 2 5 2" xfId="22169"/>
    <cellStyle name="RowTitles-Detail 4 2 4 2 5_Tertiary Salaries Survey" xfId="22170"/>
    <cellStyle name="RowTitles-Detail 4 2 4 2 6" xfId="22171"/>
    <cellStyle name="RowTitles-Detail 4 2 4 2_Tertiary Salaries Survey" xfId="22172"/>
    <cellStyle name="RowTitles-Detail 4 2 4 3" xfId="22173"/>
    <cellStyle name="RowTitles-Detail 4 2 4 3 2" xfId="22174"/>
    <cellStyle name="RowTitles-Detail 4 2 4 3 2 2" xfId="22175"/>
    <cellStyle name="RowTitles-Detail 4 2 4 3 2 2 2" xfId="22176"/>
    <cellStyle name="RowTitles-Detail 4 2 4 3 2 2_Tertiary Salaries Survey" xfId="22177"/>
    <cellStyle name="RowTitles-Detail 4 2 4 3 2 3" xfId="22178"/>
    <cellStyle name="RowTitles-Detail 4 2 4 3 2_Tertiary Salaries Survey" xfId="22179"/>
    <cellStyle name="RowTitles-Detail 4 2 4 3 3" xfId="22180"/>
    <cellStyle name="RowTitles-Detail 4 2 4 3 3 2" xfId="22181"/>
    <cellStyle name="RowTitles-Detail 4 2 4 3 3 2 2" xfId="22182"/>
    <cellStyle name="RowTitles-Detail 4 2 4 3 3 2_Tertiary Salaries Survey" xfId="22183"/>
    <cellStyle name="RowTitles-Detail 4 2 4 3 3 3" xfId="22184"/>
    <cellStyle name="RowTitles-Detail 4 2 4 3 3_Tertiary Salaries Survey" xfId="22185"/>
    <cellStyle name="RowTitles-Detail 4 2 4 3 4" xfId="22186"/>
    <cellStyle name="RowTitles-Detail 4 2 4 3 5" xfId="22187"/>
    <cellStyle name="RowTitles-Detail 4 2 4 3_Tertiary Salaries Survey" xfId="22188"/>
    <cellStyle name="RowTitles-Detail 4 2 4 4" xfId="22189"/>
    <cellStyle name="RowTitles-Detail 4 2 4 4 2" xfId="22190"/>
    <cellStyle name="RowTitles-Detail 4 2 4 4 2 2" xfId="22191"/>
    <cellStyle name="RowTitles-Detail 4 2 4 4 2 2 2" xfId="22192"/>
    <cellStyle name="RowTitles-Detail 4 2 4 4 2 2_Tertiary Salaries Survey" xfId="22193"/>
    <cellStyle name="RowTitles-Detail 4 2 4 4 2 3" xfId="22194"/>
    <cellStyle name="RowTitles-Detail 4 2 4 4 2_Tertiary Salaries Survey" xfId="22195"/>
    <cellStyle name="RowTitles-Detail 4 2 4 4 3" xfId="22196"/>
    <cellStyle name="RowTitles-Detail 4 2 4 4 3 2" xfId="22197"/>
    <cellStyle name="RowTitles-Detail 4 2 4 4 3 2 2" xfId="22198"/>
    <cellStyle name="RowTitles-Detail 4 2 4 4 3 2_Tertiary Salaries Survey" xfId="22199"/>
    <cellStyle name="RowTitles-Detail 4 2 4 4 3 3" xfId="22200"/>
    <cellStyle name="RowTitles-Detail 4 2 4 4 3_Tertiary Salaries Survey" xfId="22201"/>
    <cellStyle name="RowTitles-Detail 4 2 4 4 4" xfId="22202"/>
    <cellStyle name="RowTitles-Detail 4 2 4 4 4 2" xfId="22203"/>
    <cellStyle name="RowTitles-Detail 4 2 4 4 4_Tertiary Salaries Survey" xfId="22204"/>
    <cellStyle name="RowTitles-Detail 4 2 4 4 5" xfId="22205"/>
    <cellStyle name="RowTitles-Detail 4 2 4 4_Tertiary Salaries Survey" xfId="22206"/>
    <cellStyle name="RowTitles-Detail 4 2 4 5" xfId="22207"/>
    <cellStyle name="RowTitles-Detail 4 2 4 5 2" xfId="22208"/>
    <cellStyle name="RowTitles-Detail 4 2 4 5 2 2" xfId="22209"/>
    <cellStyle name="RowTitles-Detail 4 2 4 5 2 2 2" xfId="22210"/>
    <cellStyle name="RowTitles-Detail 4 2 4 5 2 2_Tertiary Salaries Survey" xfId="22211"/>
    <cellStyle name="RowTitles-Detail 4 2 4 5 2 3" xfId="22212"/>
    <cellStyle name="RowTitles-Detail 4 2 4 5 2_Tertiary Salaries Survey" xfId="22213"/>
    <cellStyle name="RowTitles-Detail 4 2 4 5 3" xfId="22214"/>
    <cellStyle name="RowTitles-Detail 4 2 4 5 3 2" xfId="22215"/>
    <cellStyle name="RowTitles-Detail 4 2 4 5 3 2 2" xfId="22216"/>
    <cellStyle name="RowTitles-Detail 4 2 4 5 3 2_Tertiary Salaries Survey" xfId="22217"/>
    <cellStyle name="RowTitles-Detail 4 2 4 5 3 3" xfId="22218"/>
    <cellStyle name="RowTitles-Detail 4 2 4 5 3_Tertiary Salaries Survey" xfId="22219"/>
    <cellStyle name="RowTitles-Detail 4 2 4 5 4" xfId="22220"/>
    <cellStyle name="RowTitles-Detail 4 2 4 5 4 2" xfId="22221"/>
    <cellStyle name="RowTitles-Detail 4 2 4 5 4_Tertiary Salaries Survey" xfId="22222"/>
    <cellStyle name="RowTitles-Detail 4 2 4 5 5" xfId="22223"/>
    <cellStyle name="RowTitles-Detail 4 2 4 5_Tertiary Salaries Survey" xfId="22224"/>
    <cellStyle name="RowTitles-Detail 4 2 4 6" xfId="22225"/>
    <cellStyle name="RowTitles-Detail 4 2 4 6 2" xfId="22226"/>
    <cellStyle name="RowTitles-Detail 4 2 4 6 2 2" xfId="22227"/>
    <cellStyle name="RowTitles-Detail 4 2 4 6 2 2 2" xfId="22228"/>
    <cellStyle name="RowTitles-Detail 4 2 4 6 2 2_Tertiary Salaries Survey" xfId="22229"/>
    <cellStyle name="RowTitles-Detail 4 2 4 6 2 3" xfId="22230"/>
    <cellStyle name="RowTitles-Detail 4 2 4 6 2_Tertiary Salaries Survey" xfId="22231"/>
    <cellStyle name="RowTitles-Detail 4 2 4 6 3" xfId="22232"/>
    <cellStyle name="RowTitles-Detail 4 2 4 6 3 2" xfId="22233"/>
    <cellStyle name="RowTitles-Detail 4 2 4 6 3 2 2" xfId="22234"/>
    <cellStyle name="RowTitles-Detail 4 2 4 6 3 2_Tertiary Salaries Survey" xfId="22235"/>
    <cellStyle name="RowTitles-Detail 4 2 4 6 3 3" xfId="22236"/>
    <cellStyle name="RowTitles-Detail 4 2 4 6 3_Tertiary Salaries Survey" xfId="22237"/>
    <cellStyle name="RowTitles-Detail 4 2 4 6 4" xfId="22238"/>
    <cellStyle name="RowTitles-Detail 4 2 4 6 4 2" xfId="22239"/>
    <cellStyle name="RowTitles-Detail 4 2 4 6 4_Tertiary Salaries Survey" xfId="22240"/>
    <cellStyle name="RowTitles-Detail 4 2 4 6 5" xfId="22241"/>
    <cellStyle name="RowTitles-Detail 4 2 4 6_Tertiary Salaries Survey" xfId="22242"/>
    <cellStyle name="RowTitles-Detail 4 2 4 7" xfId="22243"/>
    <cellStyle name="RowTitles-Detail 4 2 4 7 2" xfId="22244"/>
    <cellStyle name="RowTitles-Detail 4 2 4 7 2 2" xfId="22245"/>
    <cellStyle name="RowTitles-Detail 4 2 4 7 2_Tertiary Salaries Survey" xfId="22246"/>
    <cellStyle name="RowTitles-Detail 4 2 4 7 3" xfId="22247"/>
    <cellStyle name="RowTitles-Detail 4 2 4 7_Tertiary Salaries Survey" xfId="22248"/>
    <cellStyle name="RowTitles-Detail 4 2 4 8" xfId="22249"/>
    <cellStyle name="RowTitles-Detail 4 2 4 8 2" xfId="22250"/>
    <cellStyle name="RowTitles-Detail 4 2 4 8 2 2" xfId="22251"/>
    <cellStyle name="RowTitles-Detail 4 2 4 8 2_Tertiary Salaries Survey" xfId="22252"/>
    <cellStyle name="RowTitles-Detail 4 2 4 8 3" xfId="22253"/>
    <cellStyle name="RowTitles-Detail 4 2 4 8_Tertiary Salaries Survey" xfId="22254"/>
    <cellStyle name="RowTitles-Detail 4 2 4 9" xfId="22255"/>
    <cellStyle name="RowTitles-Detail 4 2 4_STUD aligned by INSTIT" xfId="22256"/>
    <cellStyle name="RowTitles-Detail 4 2 5" xfId="22257"/>
    <cellStyle name="RowTitles-Detail 4 2 5 2" xfId="22258"/>
    <cellStyle name="RowTitles-Detail 4 2 5 2 2" xfId="22259"/>
    <cellStyle name="RowTitles-Detail 4 2 5 2 2 2" xfId="22260"/>
    <cellStyle name="RowTitles-Detail 4 2 5 2 2 2 2" xfId="22261"/>
    <cellStyle name="RowTitles-Detail 4 2 5 2 2 2_Tertiary Salaries Survey" xfId="22262"/>
    <cellStyle name="RowTitles-Detail 4 2 5 2 2 3" xfId="22263"/>
    <cellStyle name="RowTitles-Detail 4 2 5 2 2_Tertiary Salaries Survey" xfId="22264"/>
    <cellStyle name="RowTitles-Detail 4 2 5 2 3" xfId="22265"/>
    <cellStyle name="RowTitles-Detail 4 2 5 2 3 2" xfId="22266"/>
    <cellStyle name="RowTitles-Detail 4 2 5 2 3 2 2" xfId="22267"/>
    <cellStyle name="RowTitles-Detail 4 2 5 2 3 2_Tertiary Salaries Survey" xfId="22268"/>
    <cellStyle name="RowTitles-Detail 4 2 5 2 3 3" xfId="22269"/>
    <cellStyle name="RowTitles-Detail 4 2 5 2 3_Tertiary Salaries Survey" xfId="22270"/>
    <cellStyle name="RowTitles-Detail 4 2 5 2 4" xfId="22271"/>
    <cellStyle name="RowTitles-Detail 4 2 5 2 5" xfId="22272"/>
    <cellStyle name="RowTitles-Detail 4 2 5 2 5 2" xfId="22273"/>
    <cellStyle name="RowTitles-Detail 4 2 5 2 5_Tertiary Salaries Survey" xfId="22274"/>
    <cellStyle name="RowTitles-Detail 4 2 5 2 6" xfId="22275"/>
    <cellStyle name="RowTitles-Detail 4 2 5 2_Tertiary Salaries Survey" xfId="22276"/>
    <cellStyle name="RowTitles-Detail 4 2 5 3" xfId="22277"/>
    <cellStyle name="RowTitles-Detail 4 2 5 3 2" xfId="22278"/>
    <cellStyle name="RowTitles-Detail 4 2 5 3 2 2" xfId="22279"/>
    <cellStyle name="RowTitles-Detail 4 2 5 3 2 2 2" xfId="22280"/>
    <cellStyle name="RowTitles-Detail 4 2 5 3 2 2_Tertiary Salaries Survey" xfId="22281"/>
    <cellStyle name="RowTitles-Detail 4 2 5 3 2 3" xfId="22282"/>
    <cellStyle name="RowTitles-Detail 4 2 5 3 2_Tertiary Salaries Survey" xfId="22283"/>
    <cellStyle name="RowTitles-Detail 4 2 5 3 3" xfId="22284"/>
    <cellStyle name="RowTitles-Detail 4 2 5 3 3 2" xfId="22285"/>
    <cellStyle name="RowTitles-Detail 4 2 5 3 3 2 2" xfId="22286"/>
    <cellStyle name="RowTitles-Detail 4 2 5 3 3 2_Tertiary Salaries Survey" xfId="22287"/>
    <cellStyle name="RowTitles-Detail 4 2 5 3 3 3" xfId="22288"/>
    <cellStyle name="RowTitles-Detail 4 2 5 3 3_Tertiary Salaries Survey" xfId="22289"/>
    <cellStyle name="RowTitles-Detail 4 2 5 3 4" xfId="22290"/>
    <cellStyle name="RowTitles-Detail 4 2 5 3 5" xfId="22291"/>
    <cellStyle name="RowTitles-Detail 4 2 5 3_Tertiary Salaries Survey" xfId="22292"/>
    <cellStyle name="RowTitles-Detail 4 2 5 4" xfId="22293"/>
    <cellStyle name="RowTitles-Detail 4 2 5 4 2" xfId="22294"/>
    <cellStyle name="RowTitles-Detail 4 2 5 4 2 2" xfId="22295"/>
    <cellStyle name="RowTitles-Detail 4 2 5 4 2 2 2" xfId="22296"/>
    <cellStyle name="RowTitles-Detail 4 2 5 4 2 2_Tertiary Salaries Survey" xfId="22297"/>
    <cellStyle name="RowTitles-Detail 4 2 5 4 2 3" xfId="22298"/>
    <cellStyle name="RowTitles-Detail 4 2 5 4 2_Tertiary Salaries Survey" xfId="22299"/>
    <cellStyle name="RowTitles-Detail 4 2 5 4 3" xfId="22300"/>
    <cellStyle name="RowTitles-Detail 4 2 5 4 3 2" xfId="22301"/>
    <cellStyle name="RowTitles-Detail 4 2 5 4 3 2 2" xfId="22302"/>
    <cellStyle name="RowTitles-Detail 4 2 5 4 3 2_Tertiary Salaries Survey" xfId="22303"/>
    <cellStyle name="RowTitles-Detail 4 2 5 4 3 3" xfId="22304"/>
    <cellStyle name="RowTitles-Detail 4 2 5 4 3_Tertiary Salaries Survey" xfId="22305"/>
    <cellStyle name="RowTitles-Detail 4 2 5 4 4" xfId="22306"/>
    <cellStyle name="RowTitles-Detail 4 2 5 4 5" xfId="22307"/>
    <cellStyle name="RowTitles-Detail 4 2 5 4 5 2" xfId="22308"/>
    <cellStyle name="RowTitles-Detail 4 2 5 4 5_Tertiary Salaries Survey" xfId="22309"/>
    <cellStyle name="RowTitles-Detail 4 2 5 4 6" xfId="22310"/>
    <cellStyle name="RowTitles-Detail 4 2 5 4_Tertiary Salaries Survey" xfId="22311"/>
    <cellStyle name="RowTitles-Detail 4 2 5 5" xfId="22312"/>
    <cellStyle name="RowTitles-Detail 4 2 5 5 2" xfId="22313"/>
    <cellStyle name="RowTitles-Detail 4 2 5 5 2 2" xfId="22314"/>
    <cellStyle name="RowTitles-Detail 4 2 5 5 2 2 2" xfId="22315"/>
    <cellStyle name="RowTitles-Detail 4 2 5 5 2 2_Tertiary Salaries Survey" xfId="22316"/>
    <cellStyle name="RowTitles-Detail 4 2 5 5 2 3" xfId="22317"/>
    <cellStyle name="RowTitles-Detail 4 2 5 5 2_Tertiary Salaries Survey" xfId="22318"/>
    <cellStyle name="RowTitles-Detail 4 2 5 5 3" xfId="22319"/>
    <cellStyle name="RowTitles-Detail 4 2 5 5 3 2" xfId="22320"/>
    <cellStyle name="RowTitles-Detail 4 2 5 5 3 2 2" xfId="22321"/>
    <cellStyle name="RowTitles-Detail 4 2 5 5 3 2_Tertiary Salaries Survey" xfId="22322"/>
    <cellStyle name="RowTitles-Detail 4 2 5 5 3 3" xfId="22323"/>
    <cellStyle name="RowTitles-Detail 4 2 5 5 3_Tertiary Salaries Survey" xfId="22324"/>
    <cellStyle name="RowTitles-Detail 4 2 5 5 4" xfId="22325"/>
    <cellStyle name="RowTitles-Detail 4 2 5 5 4 2" xfId="22326"/>
    <cellStyle name="RowTitles-Detail 4 2 5 5 4_Tertiary Salaries Survey" xfId="22327"/>
    <cellStyle name="RowTitles-Detail 4 2 5 5 5" xfId="22328"/>
    <cellStyle name="RowTitles-Detail 4 2 5 5_Tertiary Salaries Survey" xfId="22329"/>
    <cellStyle name="RowTitles-Detail 4 2 5 6" xfId="22330"/>
    <cellStyle name="RowTitles-Detail 4 2 5 6 2" xfId="22331"/>
    <cellStyle name="RowTitles-Detail 4 2 5 6 2 2" xfId="22332"/>
    <cellStyle name="RowTitles-Detail 4 2 5 6 2 2 2" xfId="22333"/>
    <cellStyle name="RowTitles-Detail 4 2 5 6 2 2_Tertiary Salaries Survey" xfId="22334"/>
    <cellStyle name="RowTitles-Detail 4 2 5 6 2 3" xfId="22335"/>
    <cellStyle name="RowTitles-Detail 4 2 5 6 2_Tertiary Salaries Survey" xfId="22336"/>
    <cellStyle name="RowTitles-Detail 4 2 5 6 3" xfId="22337"/>
    <cellStyle name="RowTitles-Detail 4 2 5 6 3 2" xfId="22338"/>
    <cellStyle name="RowTitles-Detail 4 2 5 6 3 2 2" xfId="22339"/>
    <cellStyle name="RowTitles-Detail 4 2 5 6 3 2_Tertiary Salaries Survey" xfId="22340"/>
    <cellStyle name="RowTitles-Detail 4 2 5 6 3 3" xfId="22341"/>
    <cellStyle name="RowTitles-Detail 4 2 5 6 3_Tertiary Salaries Survey" xfId="22342"/>
    <cellStyle name="RowTitles-Detail 4 2 5 6 4" xfId="22343"/>
    <cellStyle name="RowTitles-Detail 4 2 5 6 4 2" xfId="22344"/>
    <cellStyle name="RowTitles-Detail 4 2 5 6 4_Tertiary Salaries Survey" xfId="22345"/>
    <cellStyle name="RowTitles-Detail 4 2 5 6 5" xfId="22346"/>
    <cellStyle name="RowTitles-Detail 4 2 5 6_Tertiary Salaries Survey" xfId="22347"/>
    <cellStyle name="RowTitles-Detail 4 2 5 7" xfId="22348"/>
    <cellStyle name="RowTitles-Detail 4 2 5 7 2" xfId="22349"/>
    <cellStyle name="RowTitles-Detail 4 2 5 7 2 2" xfId="22350"/>
    <cellStyle name="RowTitles-Detail 4 2 5 7 2_Tertiary Salaries Survey" xfId="22351"/>
    <cellStyle name="RowTitles-Detail 4 2 5 7 3" xfId="22352"/>
    <cellStyle name="RowTitles-Detail 4 2 5 7_Tertiary Salaries Survey" xfId="22353"/>
    <cellStyle name="RowTitles-Detail 4 2 5 8" xfId="22354"/>
    <cellStyle name="RowTitles-Detail 4 2 5 9" xfId="22355"/>
    <cellStyle name="RowTitles-Detail 4 2 5_STUD aligned by INSTIT" xfId="22356"/>
    <cellStyle name="RowTitles-Detail 4 2 6" xfId="22357"/>
    <cellStyle name="RowTitles-Detail 4 2 6 2" xfId="22358"/>
    <cellStyle name="RowTitles-Detail 4 2 6 2 2" xfId="22359"/>
    <cellStyle name="RowTitles-Detail 4 2 6 2 2 2" xfId="22360"/>
    <cellStyle name="RowTitles-Detail 4 2 6 2 2_Tertiary Salaries Survey" xfId="22361"/>
    <cellStyle name="RowTitles-Detail 4 2 6 2 3" xfId="22362"/>
    <cellStyle name="RowTitles-Detail 4 2 6 2_Tertiary Salaries Survey" xfId="22363"/>
    <cellStyle name="RowTitles-Detail 4 2 6 3" xfId="22364"/>
    <cellStyle name="RowTitles-Detail 4 2 6 3 2" xfId="22365"/>
    <cellStyle name="RowTitles-Detail 4 2 6 3 2 2" xfId="22366"/>
    <cellStyle name="RowTitles-Detail 4 2 6 3 2_Tertiary Salaries Survey" xfId="22367"/>
    <cellStyle name="RowTitles-Detail 4 2 6 3 3" xfId="22368"/>
    <cellStyle name="RowTitles-Detail 4 2 6 3_Tertiary Salaries Survey" xfId="22369"/>
    <cellStyle name="RowTitles-Detail 4 2 6 4" xfId="22370"/>
    <cellStyle name="RowTitles-Detail 4 2 6 5" xfId="22371"/>
    <cellStyle name="RowTitles-Detail 4 2 6 5 2" xfId="22372"/>
    <cellStyle name="RowTitles-Detail 4 2 6 5_Tertiary Salaries Survey" xfId="22373"/>
    <cellStyle name="RowTitles-Detail 4 2 6 6" xfId="22374"/>
    <cellStyle name="RowTitles-Detail 4 2 6_Tertiary Salaries Survey" xfId="22375"/>
    <cellStyle name="RowTitles-Detail 4 2 7" xfId="22376"/>
    <cellStyle name="RowTitles-Detail 4 2 7 2" xfId="22377"/>
    <cellStyle name="RowTitles-Detail 4 2 7 2 2" xfId="22378"/>
    <cellStyle name="RowTitles-Detail 4 2 7 2 2 2" xfId="22379"/>
    <cellStyle name="RowTitles-Detail 4 2 7 2 2_Tertiary Salaries Survey" xfId="22380"/>
    <cellStyle name="RowTitles-Detail 4 2 7 2 3" xfId="22381"/>
    <cellStyle name="RowTitles-Detail 4 2 7 2_Tertiary Salaries Survey" xfId="22382"/>
    <cellStyle name="RowTitles-Detail 4 2 7 3" xfId="22383"/>
    <cellStyle name="RowTitles-Detail 4 2 7 3 2" xfId="22384"/>
    <cellStyle name="RowTitles-Detail 4 2 7 3 2 2" xfId="22385"/>
    <cellStyle name="RowTitles-Detail 4 2 7 3 2_Tertiary Salaries Survey" xfId="22386"/>
    <cellStyle name="RowTitles-Detail 4 2 7 3 3" xfId="22387"/>
    <cellStyle name="RowTitles-Detail 4 2 7 3_Tertiary Salaries Survey" xfId="22388"/>
    <cellStyle name="RowTitles-Detail 4 2 7 4" xfId="22389"/>
    <cellStyle name="RowTitles-Detail 4 2 7 5" xfId="22390"/>
    <cellStyle name="RowTitles-Detail 4 2 7_Tertiary Salaries Survey" xfId="22391"/>
    <cellStyle name="RowTitles-Detail 4 2 8" xfId="22392"/>
    <cellStyle name="RowTitles-Detail 4 2 8 2" xfId="22393"/>
    <cellStyle name="RowTitles-Detail 4 2 8 2 2" xfId="22394"/>
    <cellStyle name="RowTitles-Detail 4 2 8 2 2 2" xfId="22395"/>
    <cellStyle name="RowTitles-Detail 4 2 8 2 2_Tertiary Salaries Survey" xfId="22396"/>
    <cellStyle name="RowTitles-Detail 4 2 8 2 3" xfId="22397"/>
    <cellStyle name="RowTitles-Detail 4 2 8 2_Tertiary Salaries Survey" xfId="22398"/>
    <cellStyle name="RowTitles-Detail 4 2 8 3" xfId="22399"/>
    <cellStyle name="RowTitles-Detail 4 2 8 3 2" xfId="22400"/>
    <cellStyle name="RowTitles-Detail 4 2 8 3 2 2" xfId="22401"/>
    <cellStyle name="RowTitles-Detail 4 2 8 3 2_Tertiary Salaries Survey" xfId="22402"/>
    <cellStyle name="RowTitles-Detail 4 2 8 3 3" xfId="22403"/>
    <cellStyle name="RowTitles-Detail 4 2 8 3_Tertiary Salaries Survey" xfId="22404"/>
    <cellStyle name="RowTitles-Detail 4 2 8 4" xfId="22405"/>
    <cellStyle name="RowTitles-Detail 4 2 8 5" xfId="22406"/>
    <cellStyle name="RowTitles-Detail 4 2 8 5 2" xfId="22407"/>
    <cellStyle name="RowTitles-Detail 4 2 8 5_Tertiary Salaries Survey" xfId="22408"/>
    <cellStyle name="RowTitles-Detail 4 2 8 6" xfId="22409"/>
    <cellStyle name="RowTitles-Detail 4 2 8_Tertiary Salaries Survey" xfId="22410"/>
    <cellStyle name="RowTitles-Detail 4 2 9" xfId="22411"/>
    <cellStyle name="RowTitles-Detail 4 2 9 2" xfId="22412"/>
    <cellStyle name="RowTitles-Detail 4 2 9 2 2" xfId="22413"/>
    <cellStyle name="RowTitles-Detail 4 2 9 2 2 2" xfId="22414"/>
    <cellStyle name="RowTitles-Detail 4 2 9 2 2_Tertiary Salaries Survey" xfId="22415"/>
    <cellStyle name="RowTitles-Detail 4 2 9 2 3" xfId="22416"/>
    <cellStyle name="RowTitles-Detail 4 2 9 2_Tertiary Salaries Survey" xfId="22417"/>
    <cellStyle name="RowTitles-Detail 4 2 9 3" xfId="22418"/>
    <cellStyle name="RowTitles-Detail 4 2 9 3 2" xfId="22419"/>
    <cellStyle name="RowTitles-Detail 4 2 9 3 2 2" xfId="22420"/>
    <cellStyle name="RowTitles-Detail 4 2 9 3 2_Tertiary Salaries Survey" xfId="22421"/>
    <cellStyle name="RowTitles-Detail 4 2 9 3 3" xfId="22422"/>
    <cellStyle name="RowTitles-Detail 4 2 9 3_Tertiary Salaries Survey" xfId="22423"/>
    <cellStyle name="RowTitles-Detail 4 2 9 4" xfId="22424"/>
    <cellStyle name="RowTitles-Detail 4 2 9 4 2" xfId="22425"/>
    <cellStyle name="RowTitles-Detail 4 2 9 4_Tertiary Salaries Survey" xfId="22426"/>
    <cellStyle name="RowTitles-Detail 4 2 9 5" xfId="22427"/>
    <cellStyle name="RowTitles-Detail 4 2 9_Tertiary Salaries Survey" xfId="22428"/>
    <cellStyle name="RowTitles-Detail 4 2_STUD aligned by INSTIT" xfId="22429"/>
    <cellStyle name="RowTitles-Detail 4 3" xfId="22430"/>
    <cellStyle name="RowTitles-Detail 4 3 10" xfId="22431"/>
    <cellStyle name="RowTitles-Detail 4 3 10 2" xfId="22432"/>
    <cellStyle name="RowTitles-Detail 4 3 10 2 2" xfId="22433"/>
    <cellStyle name="RowTitles-Detail 4 3 10 2_Tertiary Salaries Survey" xfId="22434"/>
    <cellStyle name="RowTitles-Detail 4 3 10 3" xfId="22435"/>
    <cellStyle name="RowTitles-Detail 4 3 10_Tertiary Salaries Survey" xfId="22436"/>
    <cellStyle name="RowTitles-Detail 4 3 11" xfId="22437"/>
    <cellStyle name="RowTitles-Detail 4 3 12" xfId="22438"/>
    <cellStyle name="RowTitles-Detail 4 3 2" xfId="22439"/>
    <cellStyle name="RowTitles-Detail 4 3 2 2" xfId="22440"/>
    <cellStyle name="RowTitles-Detail 4 3 2 2 2" xfId="22441"/>
    <cellStyle name="RowTitles-Detail 4 3 2 2 2 2" xfId="22442"/>
    <cellStyle name="RowTitles-Detail 4 3 2 2 2 2 2" xfId="22443"/>
    <cellStyle name="RowTitles-Detail 4 3 2 2 2 2_Tertiary Salaries Survey" xfId="22444"/>
    <cellStyle name="RowTitles-Detail 4 3 2 2 2 3" xfId="22445"/>
    <cellStyle name="RowTitles-Detail 4 3 2 2 2_Tertiary Salaries Survey" xfId="22446"/>
    <cellStyle name="RowTitles-Detail 4 3 2 2 3" xfId="22447"/>
    <cellStyle name="RowTitles-Detail 4 3 2 2 3 2" xfId="22448"/>
    <cellStyle name="RowTitles-Detail 4 3 2 2 3 2 2" xfId="22449"/>
    <cellStyle name="RowTitles-Detail 4 3 2 2 3 2_Tertiary Salaries Survey" xfId="22450"/>
    <cellStyle name="RowTitles-Detail 4 3 2 2 3 3" xfId="22451"/>
    <cellStyle name="RowTitles-Detail 4 3 2 2 3_Tertiary Salaries Survey" xfId="22452"/>
    <cellStyle name="RowTitles-Detail 4 3 2 2 4" xfId="22453"/>
    <cellStyle name="RowTitles-Detail 4 3 2 2 5" xfId="22454"/>
    <cellStyle name="RowTitles-Detail 4 3 2 2_Tertiary Salaries Survey" xfId="22455"/>
    <cellStyle name="RowTitles-Detail 4 3 2 3" xfId="22456"/>
    <cellStyle name="RowTitles-Detail 4 3 2 3 2" xfId="22457"/>
    <cellStyle name="RowTitles-Detail 4 3 2 3 2 2" xfId="22458"/>
    <cellStyle name="RowTitles-Detail 4 3 2 3 2 2 2" xfId="22459"/>
    <cellStyle name="RowTitles-Detail 4 3 2 3 2 2_Tertiary Salaries Survey" xfId="22460"/>
    <cellStyle name="RowTitles-Detail 4 3 2 3 2 3" xfId="22461"/>
    <cellStyle name="RowTitles-Detail 4 3 2 3 2_Tertiary Salaries Survey" xfId="22462"/>
    <cellStyle name="RowTitles-Detail 4 3 2 3 3" xfId="22463"/>
    <cellStyle name="RowTitles-Detail 4 3 2 3 3 2" xfId="22464"/>
    <cellStyle name="RowTitles-Detail 4 3 2 3 3 2 2" xfId="22465"/>
    <cellStyle name="RowTitles-Detail 4 3 2 3 3 2_Tertiary Salaries Survey" xfId="22466"/>
    <cellStyle name="RowTitles-Detail 4 3 2 3 3 3" xfId="22467"/>
    <cellStyle name="RowTitles-Detail 4 3 2 3 3_Tertiary Salaries Survey" xfId="22468"/>
    <cellStyle name="RowTitles-Detail 4 3 2 3 4" xfId="22469"/>
    <cellStyle name="RowTitles-Detail 4 3 2 3 5" xfId="22470"/>
    <cellStyle name="RowTitles-Detail 4 3 2 3 5 2" xfId="22471"/>
    <cellStyle name="RowTitles-Detail 4 3 2 3 5_Tertiary Salaries Survey" xfId="22472"/>
    <cellStyle name="RowTitles-Detail 4 3 2 3 6" xfId="22473"/>
    <cellStyle name="RowTitles-Detail 4 3 2 3_Tertiary Salaries Survey" xfId="22474"/>
    <cellStyle name="RowTitles-Detail 4 3 2 4" xfId="22475"/>
    <cellStyle name="RowTitles-Detail 4 3 2 4 2" xfId="22476"/>
    <cellStyle name="RowTitles-Detail 4 3 2 4 2 2" xfId="22477"/>
    <cellStyle name="RowTitles-Detail 4 3 2 4 2 2 2" xfId="22478"/>
    <cellStyle name="RowTitles-Detail 4 3 2 4 2 2_Tertiary Salaries Survey" xfId="22479"/>
    <cellStyle name="RowTitles-Detail 4 3 2 4 2 3" xfId="22480"/>
    <cellStyle name="RowTitles-Detail 4 3 2 4 2_Tertiary Salaries Survey" xfId="22481"/>
    <cellStyle name="RowTitles-Detail 4 3 2 4 3" xfId="22482"/>
    <cellStyle name="RowTitles-Detail 4 3 2 4 3 2" xfId="22483"/>
    <cellStyle name="RowTitles-Detail 4 3 2 4 3 2 2" xfId="22484"/>
    <cellStyle name="RowTitles-Detail 4 3 2 4 3 2_Tertiary Salaries Survey" xfId="22485"/>
    <cellStyle name="RowTitles-Detail 4 3 2 4 3 3" xfId="22486"/>
    <cellStyle name="RowTitles-Detail 4 3 2 4 3_Tertiary Salaries Survey" xfId="22487"/>
    <cellStyle name="RowTitles-Detail 4 3 2 4 4" xfId="22488"/>
    <cellStyle name="RowTitles-Detail 4 3 2 4 4 2" xfId="22489"/>
    <cellStyle name="RowTitles-Detail 4 3 2 4 4_Tertiary Salaries Survey" xfId="22490"/>
    <cellStyle name="RowTitles-Detail 4 3 2 4 5" xfId="22491"/>
    <cellStyle name="RowTitles-Detail 4 3 2 4_Tertiary Salaries Survey" xfId="22492"/>
    <cellStyle name="RowTitles-Detail 4 3 2 5" xfId="22493"/>
    <cellStyle name="RowTitles-Detail 4 3 2 5 2" xfId="22494"/>
    <cellStyle name="RowTitles-Detail 4 3 2 5 2 2" xfId="22495"/>
    <cellStyle name="RowTitles-Detail 4 3 2 5 2 2 2" xfId="22496"/>
    <cellStyle name="RowTitles-Detail 4 3 2 5 2 2_Tertiary Salaries Survey" xfId="22497"/>
    <cellStyle name="RowTitles-Detail 4 3 2 5 2 3" xfId="22498"/>
    <cellStyle name="RowTitles-Detail 4 3 2 5 2_Tertiary Salaries Survey" xfId="22499"/>
    <cellStyle name="RowTitles-Detail 4 3 2 5 3" xfId="22500"/>
    <cellStyle name="RowTitles-Detail 4 3 2 5 3 2" xfId="22501"/>
    <cellStyle name="RowTitles-Detail 4 3 2 5 3 2 2" xfId="22502"/>
    <cellStyle name="RowTitles-Detail 4 3 2 5 3 2_Tertiary Salaries Survey" xfId="22503"/>
    <cellStyle name="RowTitles-Detail 4 3 2 5 3 3" xfId="22504"/>
    <cellStyle name="RowTitles-Detail 4 3 2 5 3_Tertiary Salaries Survey" xfId="22505"/>
    <cellStyle name="RowTitles-Detail 4 3 2 5 4" xfId="22506"/>
    <cellStyle name="RowTitles-Detail 4 3 2 5 4 2" xfId="22507"/>
    <cellStyle name="RowTitles-Detail 4 3 2 5 4_Tertiary Salaries Survey" xfId="22508"/>
    <cellStyle name="RowTitles-Detail 4 3 2 5 5" xfId="22509"/>
    <cellStyle name="RowTitles-Detail 4 3 2 5_Tertiary Salaries Survey" xfId="22510"/>
    <cellStyle name="RowTitles-Detail 4 3 2 6" xfId="22511"/>
    <cellStyle name="RowTitles-Detail 4 3 2 6 2" xfId="22512"/>
    <cellStyle name="RowTitles-Detail 4 3 2 6 2 2" xfId="22513"/>
    <cellStyle name="RowTitles-Detail 4 3 2 6 2 2 2" xfId="22514"/>
    <cellStyle name="RowTitles-Detail 4 3 2 6 2 2_Tertiary Salaries Survey" xfId="22515"/>
    <cellStyle name="RowTitles-Detail 4 3 2 6 2 3" xfId="22516"/>
    <cellStyle name="RowTitles-Detail 4 3 2 6 2_Tertiary Salaries Survey" xfId="22517"/>
    <cellStyle name="RowTitles-Detail 4 3 2 6 3" xfId="22518"/>
    <cellStyle name="RowTitles-Detail 4 3 2 6 3 2" xfId="22519"/>
    <cellStyle name="RowTitles-Detail 4 3 2 6 3 2 2" xfId="22520"/>
    <cellStyle name="RowTitles-Detail 4 3 2 6 3 2_Tertiary Salaries Survey" xfId="22521"/>
    <cellStyle name="RowTitles-Detail 4 3 2 6 3 3" xfId="22522"/>
    <cellStyle name="RowTitles-Detail 4 3 2 6 3_Tertiary Salaries Survey" xfId="22523"/>
    <cellStyle name="RowTitles-Detail 4 3 2 6 4" xfId="22524"/>
    <cellStyle name="RowTitles-Detail 4 3 2 6 4 2" xfId="22525"/>
    <cellStyle name="RowTitles-Detail 4 3 2 6 4_Tertiary Salaries Survey" xfId="22526"/>
    <cellStyle name="RowTitles-Detail 4 3 2 6 5" xfId="22527"/>
    <cellStyle name="RowTitles-Detail 4 3 2 6_Tertiary Salaries Survey" xfId="22528"/>
    <cellStyle name="RowTitles-Detail 4 3 2 7" xfId="22529"/>
    <cellStyle name="RowTitles-Detail 4 3 2 7 2" xfId="22530"/>
    <cellStyle name="RowTitles-Detail 4 3 2 7 2 2" xfId="22531"/>
    <cellStyle name="RowTitles-Detail 4 3 2 7 2_Tertiary Salaries Survey" xfId="22532"/>
    <cellStyle name="RowTitles-Detail 4 3 2 7 3" xfId="22533"/>
    <cellStyle name="RowTitles-Detail 4 3 2 7_Tertiary Salaries Survey" xfId="22534"/>
    <cellStyle name="RowTitles-Detail 4 3 2 8" xfId="22535"/>
    <cellStyle name="RowTitles-Detail 4 3 2 9" xfId="22536"/>
    <cellStyle name="RowTitles-Detail 4 3 2_STUD aligned by INSTIT" xfId="22537"/>
    <cellStyle name="RowTitles-Detail 4 3 3" xfId="22538"/>
    <cellStyle name="RowTitles-Detail 4 3 3 2" xfId="22539"/>
    <cellStyle name="RowTitles-Detail 4 3 3 2 2" xfId="22540"/>
    <cellStyle name="RowTitles-Detail 4 3 3 2 2 2" xfId="22541"/>
    <cellStyle name="RowTitles-Detail 4 3 3 2 2 2 2" xfId="22542"/>
    <cellStyle name="RowTitles-Detail 4 3 3 2 2 2_Tertiary Salaries Survey" xfId="22543"/>
    <cellStyle name="RowTitles-Detail 4 3 3 2 2 3" xfId="22544"/>
    <cellStyle name="RowTitles-Detail 4 3 3 2 2_Tertiary Salaries Survey" xfId="22545"/>
    <cellStyle name="RowTitles-Detail 4 3 3 2 3" xfId="22546"/>
    <cellStyle name="RowTitles-Detail 4 3 3 2 3 2" xfId="22547"/>
    <cellStyle name="RowTitles-Detail 4 3 3 2 3 2 2" xfId="22548"/>
    <cellStyle name="RowTitles-Detail 4 3 3 2 3 2_Tertiary Salaries Survey" xfId="22549"/>
    <cellStyle name="RowTitles-Detail 4 3 3 2 3 3" xfId="22550"/>
    <cellStyle name="RowTitles-Detail 4 3 3 2 3_Tertiary Salaries Survey" xfId="22551"/>
    <cellStyle name="RowTitles-Detail 4 3 3 2 4" xfId="22552"/>
    <cellStyle name="RowTitles-Detail 4 3 3 2 5" xfId="22553"/>
    <cellStyle name="RowTitles-Detail 4 3 3 2 5 2" xfId="22554"/>
    <cellStyle name="RowTitles-Detail 4 3 3 2 5_Tertiary Salaries Survey" xfId="22555"/>
    <cellStyle name="RowTitles-Detail 4 3 3 2 6" xfId="22556"/>
    <cellStyle name="RowTitles-Detail 4 3 3 2_Tertiary Salaries Survey" xfId="22557"/>
    <cellStyle name="RowTitles-Detail 4 3 3 3" xfId="22558"/>
    <cellStyle name="RowTitles-Detail 4 3 3 3 2" xfId="22559"/>
    <cellStyle name="RowTitles-Detail 4 3 3 3 2 2" xfId="22560"/>
    <cellStyle name="RowTitles-Detail 4 3 3 3 2 2 2" xfId="22561"/>
    <cellStyle name="RowTitles-Detail 4 3 3 3 2 2_Tertiary Salaries Survey" xfId="22562"/>
    <cellStyle name="RowTitles-Detail 4 3 3 3 2 3" xfId="22563"/>
    <cellStyle name="RowTitles-Detail 4 3 3 3 2_Tertiary Salaries Survey" xfId="22564"/>
    <cellStyle name="RowTitles-Detail 4 3 3 3 3" xfId="22565"/>
    <cellStyle name="RowTitles-Detail 4 3 3 3 3 2" xfId="22566"/>
    <cellStyle name="RowTitles-Detail 4 3 3 3 3 2 2" xfId="22567"/>
    <cellStyle name="RowTitles-Detail 4 3 3 3 3 2_Tertiary Salaries Survey" xfId="22568"/>
    <cellStyle name="RowTitles-Detail 4 3 3 3 3 3" xfId="22569"/>
    <cellStyle name="RowTitles-Detail 4 3 3 3 3_Tertiary Salaries Survey" xfId="22570"/>
    <cellStyle name="RowTitles-Detail 4 3 3 3 4" xfId="22571"/>
    <cellStyle name="RowTitles-Detail 4 3 3 3 5" xfId="22572"/>
    <cellStyle name="RowTitles-Detail 4 3 3 3_Tertiary Salaries Survey" xfId="22573"/>
    <cellStyle name="RowTitles-Detail 4 3 3 4" xfId="22574"/>
    <cellStyle name="RowTitles-Detail 4 3 3 4 2" xfId="22575"/>
    <cellStyle name="RowTitles-Detail 4 3 3 4 2 2" xfId="22576"/>
    <cellStyle name="RowTitles-Detail 4 3 3 4 2 2 2" xfId="22577"/>
    <cellStyle name="RowTitles-Detail 4 3 3 4 2 2_Tertiary Salaries Survey" xfId="22578"/>
    <cellStyle name="RowTitles-Detail 4 3 3 4 2 3" xfId="22579"/>
    <cellStyle name="RowTitles-Detail 4 3 3 4 2_Tertiary Salaries Survey" xfId="22580"/>
    <cellStyle name="RowTitles-Detail 4 3 3 4 3" xfId="22581"/>
    <cellStyle name="RowTitles-Detail 4 3 3 4 3 2" xfId="22582"/>
    <cellStyle name="RowTitles-Detail 4 3 3 4 3 2 2" xfId="22583"/>
    <cellStyle name="RowTitles-Detail 4 3 3 4 3 2_Tertiary Salaries Survey" xfId="22584"/>
    <cellStyle name="RowTitles-Detail 4 3 3 4 3 3" xfId="22585"/>
    <cellStyle name="RowTitles-Detail 4 3 3 4 3_Tertiary Salaries Survey" xfId="22586"/>
    <cellStyle name="RowTitles-Detail 4 3 3 4 4" xfId="22587"/>
    <cellStyle name="RowTitles-Detail 4 3 3 4 4 2" xfId="22588"/>
    <cellStyle name="RowTitles-Detail 4 3 3 4 4_Tertiary Salaries Survey" xfId="22589"/>
    <cellStyle name="RowTitles-Detail 4 3 3 4 5" xfId="22590"/>
    <cellStyle name="RowTitles-Detail 4 3 3 4_Tertiary Salaries Survey" xfId="22591"/>
    <cellStyle name="RowTitles-Detail 4 3 3 5" xfId="22592"/>
    <cellStyle name="RowTitles-Detail 4 3 3 5 2" xfId="22593"/>
    <cellStyle name="RowTitles-Detail 4 3 3 5 2 2" xfId="22594"/>
    <cellStyle name="RowTitles-Detail 4 3 3 5 2 2 2" xfId="22595"/>
    <cellStyle name="RowTitles-Detail 4 3 3 5 2 2_Tertiary Salaries Survey" xfId="22596"/>
    <cellStyle name="RowTitles-Detail 4 3 3 5 2 3" xfId="22597"/>
    <cellStyle name="RowTitles-Detail 4 3 3 5 2_Tertiary Salaries Survey" xfId="22598"/>
    <cellStyle name="RowTitles-Detail 4 3 3 5 3" xfId="22599"/>
    <cellStyle name="RowTitles-Detail 4 3 3 5 3 2" xfId="22600"/>
    <cellStyle name="RowTitles-Detail 4 3 3 5 3 2 2" xfId="22601"/>
    <cellStyle name="RowTitles-Detail 4 3 3 5 3 2_Tertiary Salaries Survey" xfId="22602"/>
    <cellStyle name="RowTitles-Detail 4 3 3 5 3 3" xfId="22603"/>
    <cellStyle name="RowTitles-Detail 4 3 3 5 3_Tertiary Salaries Survey" xfId="22604"/>
    <cellStyle name="RowTitles-Detail 4 3 3 5 4" xfId="22605"/>
    <cellStyle name="RowTitles-Detail 4 3 3 5 4 2" xfId="22606"/>
    <cellStyle name="RowTitles-Detail 4 3 3 5 4_Tertiary Salaries Survey" xfId="22607"/>
    <cellStyle name="RowTitles-Detail 4 3 3 5 5" xfId="22608"/>
    <cellStyle name="RowTitles-Detail 4 3 3 5_Tertiary Salaries Survey" xfId="22609"/>
    <cellStyle name="RowTitles-Detail 4 3 3 6" xfId="22610"/>
    <cellStyle name="RowTitles-Detail 4 3 3 6 2" xfId="22611"/>
    <cellStyle name="RowTitles-Detail 4 3 3 6 2 2" xfId="22612"/>
    <cellStyle name="RowTitles-Detail 4 3 3 6 2 2 2" xfId="22613"/>
    <cellStyle name="RowTitles-Detail 4 3 3 6 2 2_Tertiary Salaries Survey" xfId="22614"/>
    <cellStyle name="RowTitles-Detail 4 3 3 6 2 3" xfId="22615"/>
    <cellStyle name="RowTitles-Detail 4 3 3 6 2_Tertiary Salaries Survey" xfId="22616"/>
    <cellStyle name="RowTitles-Detail 4 3 3 6 3" xfId="22617"/>
    <cellStyle name="RowTitles-Detail 4 3 3 6 3 2" xfId="22618"/>
    <cellStyle name="RowTitles-Detail 4 3 3 6 3 2 2" xfId="22619"/>
    <cellStyle name="RowTitles-Detail 4 3 3 6 3 2_Tertiary Salaries Survey" xfId="22620"/>
    <cellStyle name="RowTitles-Detail 4 3 3 6 3 3" xfId="22621"/>
    <cellStyle name="RowTitles-Detail 4 3 3 6 3_Tertiary Salaries Survey" xfId="22622"/>
    <cellStyle name="RowTitles-Detail 4 3 3 6 4" xfId="22623"/>
    <cellStyle name="RowTitles-Detail 4 3 3 6 4 2" xfId="22624"/>
    <cellStyle name="RowTitles-Detail 4 3 3 6 4_Tertiary Salaries Survey" xfId="22625"/>
    <cellStyle name="RowTitles-Detail 4 3 3 6 5" xfId="22626"/>
    <cellStyle name="RowTitles-Detail 4 3 3 6_Tertiary Salaries Survey" xfId="22627"/>
    <cellStyle name="RowTitles-Detail 4 3 3 7" xfId="22628"/>
    <cellStyle name="RowTitles-Detail 4 3 3 7 2" xfId="22629"/>
    <cellStyle name="RowTitles-Detail 4 3 3 7 2 2" xfId="22630"/>
    <cellStyle name="RowTitles-Detail 4 3 3 7 2_Tertiary Salaries Survey" xfId="22631"/>
    <cellStyle name="RowTitles-Detail 4 3 3 7 3" xfId="22632"/>
    <cellStyle name="RowTitles-Detail 4 3 3 7_Tertiary Salaries Survey" xfId="22633"/>
    <cellStyle name="RowTitles-Detail 4 3 3 8" xfId="22634"/>
    <cellStyle name="RowTitles-Detail 4 3 3 8 2" xfId="22635"/>
    <cellStyle name="RowTitles-Detail 4 3 3 8 2 2" xfId="22636"/>
    <cellStyle name="RowTitles-Detail 4 3 3 8 2_Tertiary Salaries Survey" xfId="22637"/>
    <cellStyle name="RowTitles-Detail 4 3 3 8 3" xfId="22638"/>
    <cellStyle name="RowTitles-Detail 4 3 3 8_Tertiary Salaries Survey" xfId="22639"/>
    <cellStyle name="RowTitles-Detail 4 3 3 9" xfId="22640"/>
    <cellStyle name="RowTitles-Detail 4 3 3_STUD aligned by INSTIT" xfId="22641"/>
    <cellStyle name="RowTitles-Detail 4 3 4" xfId="22642"/>
    <cellStyle name="RowTitles-Detail 4 3 4 2" xfId="22643"/>
    <cellStyle name="RowTitles-Detail 4 3 4 2 2" xfId="22644"/>
    <cellStyle name="RowTitles-Detail 4 3 4 2 2 2" xfId="22645"/>
    <cellStyle name="RowTitles-Detail 4 3 4 2 2 2 2" xfId="22646"/>
    <cellStyle name="RowTitles-Detail 4 3 4 2 2 2_Tertiary Salaries Survey" xfId="22647"/>
    <cellStyle name="RowTitles-Detail 4 3 4 2 2 3" xfId="22648"/>
    <cellStyle name="RowTitles-Detail 4 3 4 2 2_Tertiary Salaries Survey" xfId="22649"/>
    <cellStyle name="RowTitles-Detail 4 3 4 2 3" xfId="22650"/>
    <cellStyle name="RowTitles-Detail 4 3 4 2 3 2" xfId="22651"/>
    <cellStyle name="RowTitles-Detail 4 3 4 2 3 2 2" xfId="22652"/>
    <cellStyle name="RowTitles-Detail 4 3 4 2 3 2_Tertiary Salaries Survey" xfId="22653"/>
    <cellStyle name="RowTitles-Detail 4 3 4 2 3 3" xfId="22654"/>
    <cellStyle name="RowTitles-Detail 4 3 4 2 3_Tertiary Salaries Survey" xfId="22655"/>
    <cellStyle name="RowTitles-Detail 4 3 4 2 4" xfId="22656"/>
    <cellStyle name="RowTitles-Detail 4 3 4 2 5" xfId="22657"/>
    <cellStyle name="RowTitles-Detail 4 3 4 2 5 2" xfId="22658"/>
    <cellStyle name="RowTitles-Detail 4 3 4 2 5_Tertiary Salaries Survey" xfId="22659"/>
    <cellStyle name="RowTitles-Detail 4 3 4 2 6" xfId="22660"/>
    <cellStyle name="RowTitles-Detail 4 3 4 2_Tertiary Salaries Survey" xfId="22661"/>
    <cellStyle name="RowTitles-Detail 4 3 4 3" xfId="22662"/>
    <cellStyle name="RowTitles-Detail 4 3 4 3 2" xfId="22663"/>
    <cellStyle name="RowTitles-Detail 4 3 4 3 2 2" xfId="22664"/>
    <cellStyle name="RowTitles-Detail 4 3 4 3 2 2 2" xfId="22665"/>
    <cellStyle name="RowTitles-Detail 4 3 4 3 2 2_Tertiary Salaries Survey" xfId="22666"/>
    <cellStyle name="RowTitles-Detail 4 3 4 3 2 3" xfId="22667"/>
    <cellStyle name="RowTitles-Detail 4 3 4 3 2_Tertiary Salaries Survey" xfId="22668"/>
    <cellStyle name="RowTitles-Detail 4 3 4 3 3" xfId="22669"/>
    <cellStyle name="RowTitles-Detail 4 3 4 3 3 2" xfId="22670"/>
    <cellStyle name="RowTitles-Detail 4 3 4 3 3 2 2" xfId="22671"/>
    <cellStyle name="RowTitles-Detail 4 3 4 3 3 2_Tertiary Salaries Survey" xfId="22672"/>
    <cellStyle name="RowTitles-Detail 4 3 4 3 3 3" xfId="22673"/>
    <cellStyle name="RowTitles-Detail 4 3 4 3 3_Tertiary Salaries Survey" xfId="22674"/>
    <cellStyle name="RowTitles-Detail 4 3 4 3 4" xfId="22675"/>
    <cellStyle name="RowTitles-Detail 4 3 4 3 5" xfId="22676"/>
    <cellStyle name="RowTitles-Detail 4 3 4 3_Tertiary Salaries Survey" xfId="22677"/>
    <cellStyle name="RowTitles-Detail 4 3 4 4" xfId="22678"/>
    <cellStyle name="RowTitles-Detail 4 3 4 4 2" xfId="22679"/>
    <cellStyle name="RowTitles-Detail 4 3 4 4 2 2" xfId="22680"/>
    <cellStyle name="RowTitles-Detail 4 3 4 4 2 2 2" xfId="22681"/>
    <cellStyle name="RowTitles-Detail 4 3 4 4 2 2_Tertiary Salaries Survey" xfId="22682"/>
    <cellStyle name="RowTitles-Detail 4 3 4 4 2 3" xfId="22683"/>
    <cellStyle name="RowTitles-Detail 4 3 4 4 2_Tertiary Salaries Survey" xfId="22684"/>
    <cellStyle name="RowTitles-Detail 4 3 4 4 3" xfId="22685"/>
    <cellStyle name="RowTitles-Detail 4 3 4 4 3 2" xfId="22686"/>
    <cellStyle name="RowTitles-Detail 4 3 4 4 3 2 2" xfId="22687"/>
    <cellStyle name="RowTitles-Detail 4 3 4 4 3 2_Tertiary Salaries Survey" xfId="22688"/>
    <cellStyle name="RowTitles-Detail 4 3 4 4 3 3" xfId="22689"/>
    <cellStyle name="RowTitles-Detail 4 3 4 4 3_Tertiary Salaries Survey" xfId="22690"/>
    <cellStyle name="RowTitles-Detail 4 3 4 4 4" xfId="22691"/>
    <cellStyle name="RowTitles-Detail 4 3 4 4 5" xfId="22692"/>
    <cellStyle name="RowTitles-Detail 4 3 4 4 5 2" xfId="22693"/>
    <cellStyle name="RowTitles-Detail 4 3 4 4 5_Tertiary Salaries Survey" xfId="22694"/>
    <cellStyle name="RowTitles-Detail 4 3 4 4 6" xfId="22695"/>
    <cellStyle name="RowTitles-Detail 4 3 4 4_Tertiary Salaries Survey" xfId="22696"/>
    <cellStyle name="RowTitles-Detail 4 3 4 5" xfId="22697"/>
    <cellStyle name="RowTitles-Detail 4 3 4 5 2" xfId="22698"/>
    <cellStyle name="RowTitles-Detail 4 3 4 5 2 2" xfId="22699"/>
    <cellStyle name="RowTitles-Detail 4 3 4 5 2 2 2" xfId="22700"/>
    <cellStyle name="RowTitles-Detail 4 3 4 5 2 2_Tertiary Salaries Survey" xfId="22701"/>
    <cellStyle name="RowTitles-Detail 4 3 4 5 2 3" xfId="22702"/>
    <cellStyle name="RowTitles-Detail 4 3 4 5 2_Tertiary Salaries Survey" xfId="22703"/>
    <cellStyle name="RowTitles-Detail 4 3 4 5 3" xfId="22704"/>
    <cellStyle name="RowTitles-Detail 4 3 4 5 3 2" xfId="22705"/>
    <cellStyle name="RowTitles-Detail 4 3 4 5 3 2 2" xfId="22706"/>
    <cellStyle name="RowTitles-Detail 4 3 4 5 3 2_Tertiary Salaries Survey" xfId="22707"/>
    <cellStyle name="RowTitles-Detail 4 3 4 5 3 3" xfId="22708"/>
    <cellStyle name="RowTitles-Detail 4 3 4 5 3_Tertiary Salaries Survey" xfId="22709"/>
    <cellStyle name="RowTitles-Detail 4 3 4 5 4" xfId="22710"/>
    <cellStyle name="RowTitles-Detail 4 3 4 5 4 2" xfId="22711"/>
    <cellStyle name="RowTitles-Detail 4 3 4 5 4_Tertiary Salaries Survey" xfId="22712"/>
    <cellStyle name="RowTitles-Detail 4 3 4 5 5" xfId="22713"/>
    <cellStyle name="RowTitles-Detail 4 3 4 5_Tertiary Salaries Survey" xfId="22714"/>
    <cellStyle name="RowTitles-Detail 4 3 4 6" xfId="22715"/>
    <cellStyle name="RowTitles-Detail 4 3 4 6 2" xfId="22716"/>
    <cellStyle name="RowTitles-Detail 4 3 4 6 2 2" xfId="22717"/>
    <cellStyle name="RowTitles-Detail 4 3 4 6 2 2 2" xfId="22718"/>
    <cellStyle name="RowTitles-Detail 4 3 4 6 2 2_Tertiary Salaries Survey" xfId="22719"/>
    <cellStyle name="RowTitles-Detail 4 3 4 6 2 3" xfId="22720"/>
    <cellStyle name="RowTitles-Detail 4 3 4 6 2_Tertiary Salaries Survey" xfId="22721"/>
    <cellStyle name="RowTitles-Detail 4 3 4 6 3" xfId="22722"/>
    <cellStyle name="RowTitles-Detail 4 3 4 6 3 2" xfId="22723"/>
    <cellStyle name="RowTitles-Detail 4 3 4 6 3 2 2" xfId="22724"/>
    <cellStyle name="RowTitles-Detail 4 3 4 6 3 2_Tertiary Salaries Survey" xfId="22725"/>
    <cellStyle name="RowTitles-Detail 4 3 4 6 3 3" xfId="22726"/>
    <cellStyle name="RowTitles-Detail 4 3 4 6 3_Tertiary Salaries Survey" xfId="22727"/>
    <cellStyle name="RowTitles-Detail 4 3 4 6 4" xfId="22728"/>
    <cellStyle name="RowTitles-Detail 4 3 4 6 4 2" xfId="22729"/>
    <cellStyle name="RowTitles-Detail 4 3 4 6 4_Tertiary Salaries Survey" xfId="22730"/>
    <cellStyle name="RowTitles-Detail 4 3 4 6 5" xfId="22731"/>
    <cellStyle name="RowTitles-Detail 4 3 4 6_Tertiary Salaries Survey" xfId="22732"/>
    <cellStyle name="RowTitles-Detail 4 3 4 7" xfId="22733"/>
    <cellStyle name="RowTitles-Detail 4 3 4 7 2" xfId="22734"/>
    <cellStyle name="RowTitles-Detail 4 3 4 7 2 2" xfId="22735"/>
    <cellStyle name="RowTitles-Detail 4 3 4 7 2_Tertiary Salaries Survey" xfId="22736"/>
    <cellStyle name="RowTitles-Detail 4 3 4 7 3" xfId="22737"/>
    <cellStyle name="RowTitles-Detail 4 3 4 7_Tertiary Salaries Survey" xfId="22738"/>
    <cellStyle name="RowTitles-Detail 4 3 4 8" xfId="22739"/>
    <cellStyle name="RowTitles-Detail 4 3 4 9" xfId="22740"/>
    <cellStyle name="RowTitles-Detail 4 3 4_STUD aligned by INSTIT" xfId="22741"/>
    <cellStyle name="RowTitles-Detail 4 3 5" xfId="22742"/>
    <cellStyle name="RowTitles-Detail 4 3 5 2" xfId="22743"/>
    <cellStyle name="RowTitles-Detail 4 3 5 2 2" xfId="22744"/>
    <cellStyle name="RowTitles-Detail 4 3 5 2 2 2" xfId="22745"/>
    <cellStyle name="RowTitles-Detail 4 3 5 2 2_Tertiary Salaries Survey" xfId="22746"/>
    <cellStyle name="RowTitles-Detail 4 3 5 2 3" xfId="22747"/>
    <cellStyle name="RowTitles-Detail 4 3 5 2_Tertiary Salaries Survey" xfId="22748"/>
    <cellStyle name="RowTitles-Detail 4 3 5 3" xfId="22749"/>
    <cellStyle name="RowTitles-Detail 4 3 5 3 2" xfId="22750"/>
    <cellStyle name="RowTitles-Detail 4 3 5 3 2 2" xfId="22751"/>
    <cellStyle name="RowTitles-Detail 4 3 5 3 2_Tertiary Salaries Survey" xfId="22752"/>
    <cellStyle name="RowTitles-Detail 4 3 5 3 3" xfId="22753"/>
    <cellStyle name="RowTitles-Detail 4 3 5 3_Tertiary Salaries Survey" xfId="22754"/>
    <cellStyle name="RowTitles-Detail 4 3 5 4" xfId="22755"/>
    <cellStyle name="RowTitles-Detail 4 3 5 5" xfId="22756"/>
    <cellStyle name="RowTitles-Detail 4 3 5 5 2" xfId="22757"/>
    <cellStyle name="RowTitles-Detail 4 3 5 5_Tertiary Salaries Survey" xfId="22758"/>
    <cellStyle name="RowTitles-Detail 4 3 5 6" xfId="22759"/>
    <cellStyle name="RowTitles-Detail 4 3 5_Tertiary Salaries Survey" xfId="22760"/>
    <cellStyle name="RowTitles-Detail 4 3 6" xfId="22761"/>
    <cellStyle name="RowTitles-Detail 4 3 6 2" xfId="22762"/>
    <cellStyle name="RowTitles-Detail 4 3 6 2 2" xfId="22763"/>
    <cellStyle name="RowTitles-Detail 4 3 6 2 2 2" xfId="22764"/>
    <cellStyle name="RowTitles-Detail 4 3 6 2 2_Tertiary Salaries Survey" xfId="22765"/>
    <cellStyle name="RowTitles-Detail 4 3 6 2 3" xfId="22766"/>
    <cellStyle name="RowTitles-Detail 4 3 6 2_Tertiary Salaries Survey" xfId="22767"/>
    <cellStyle name="RowTitles-Detail 4 3 6 3" xfId="22768"/>
    <cellStyle name="RowTitles-Detail 4 3 6 3 2" xfId="22769"/>
    <cellStyle name="RowTitles-Detail 4 3 6 3 2 2" xfId="22770"/>
    <cellStyle name="RowTitles-Detail 4 3 6 3 2_Tertiary Salaries Survey" xfId="22771"/>
    <cellStyle name="RowTitles-Detail 4 3 6 3 3" xfId="22772"/>
    <cellStyle name="RowTitles-Detail 4 3 6 3_Tertiary Salaries Survey" xfId="22773"/>
    <cellStyle name="RowTitles-Detail 4 3 6 4" xfId="22774"/>
    <cellStyle name="RowTitles-Detail 4 3 6 5" xfId="22775"/>
    <cellStyle name="RowTitles-Detail 4 3 6_Tertiary Salaries Survey" xfId="22776"/>
    <cellStyle name="RowTitles-Detail 4 3 7" xfId="22777"/>
    <cellStyle name="RowTitles-Detail 4 3 7 2" xfId="22778"/>
    <cellStyle name="RowTitles-Detail 4 3 7 2 2" xfId="22779"/>
    <cellStyle name="RowTitles-Detail 4 3 7 2 2 2" xfId="22780"/>
    <cellStyle name="RowTitles-Detail 4 3 7 2 2_Tertiary Salaries Survey" xfId="22781"/>
    <cellStyle name="RowTitles-Detail 4 3 7 2 3" xfId="22782"/>
    <cellStyle name="RowTitles-Detail 4 3 7 2_Tertiary Salaries Survey" xfId="22783"/>
    <cellStyle name="RowTitles-Detail 4 3 7 3" xfId="22784"/>
    <cellStyle name="RowTitles-Detail 4 3 7 3 2" xfId="22785"/>
    <cellStyle name="RowTitles-Detail 4 3 7 3 2 2" xfId="22786"/>
    <cellStyle name="RowTitles-Detail 4 3 7 3 2_Tertiary Salaries Survey" xfId="22787"/>
    <cellStyle name="RowTitles-Detail 4 3 7 3 3" xfId="22788"/>
    <cellStyle name="RowTitles-Detail 4 3 7 3_Tertiary Salaries Survey" xfId="22789"/>
    <cellStyle name="RowTitles-Detail 4 3 7 4" xfId="22790"/>
    <cellStyle name="RowTitles-Detail 4 3 7 5" xfId="22791"/>
    <cellStyle name="RowTitles-Detail 4 3 7 5 2" xfId="22792"/>
    <cellStyle name="RowTitles-Detail 4 3 7 5_Tertiary Salaries Survey" xfId="22793"/>
    <cellStyle name="RowTitles-Detail 4 3 7 6" xfId="22794"/>
    <cellStyle name="RowTitles-Detail 4 3 7_Tertiary Salaries Survey" xfId="22795"/>
    <cellStyle name="RowTitles-Detail 4 3 8" xfId="22796"/>
    <cellStyle name="RowTitles-Detail 4 3 8 2" xfId="22797"/>
    <cellStyle name="RowTitles-Detail 4 3 8 2 2" xfId="22798"/>
    <cellStyle name="RowTitles-Detail 4 3 8 2 2 2" xfId="22799"/>
    <cellStyle name="RowTitles-Detail 4 3 8 2 2_Tertiary Salaries Survey" xfId="22800"/>
    <cellStyle name="RowTitles-Detail 4 3 8 2 3" xfId="22801"/>
    <cellStyle name="RowTitles-Detail 4 3 8 2_Tertiary Salaries Survey" xfId="22802"/>
    <cellStyle name="RowTitles-Detail 4 3 8 3" xfId="22803"/>
    <cellStyle name="RowTitles-Detail 4 3 8 3 2" xfId="22804"/>
    <cellStyle name="RowTitles-Detail 4 3 8 3 2 2" xfId="22805"/>
    <cellStyle name="RowTitles-Detail 4 3 8 3 2_Tertiary Salaries Survey" xfId="22806"/>
    <cellStyle name="RowTitles-Detail 4 3 8 3 3" xfId="22807"/>
    <cellStyle name="RowTitles-Detail 4 3 8 3_Tertiary Salaries Survey" xfId="22808"/>
    <cellStyle name="RowTitles-Detail 4 3 8 4" xfId="22809"/>
    <cellStyle name="RowTitles-Detail 4 3 8 4 2" xfId="22810"/>
    <cellStyle name="RowTitles-Detail 4 3 8 4_Tertiary Salaries Survey" xfId="22811"/>
    <cellStyle name="RowTitles-Detail 4 3 8 5" xfId="22812"/>
    <cellStyle name="RowTitles-Detail 4 3 8_Tertiary Salaries Survey" xfId="22813"/>
    <cellStyle name="RowTitles-Detail 4 3 9" xfId="22814"/>
    <cellStyle name="RowTitles-Detail 4 3 9 2" xfId="22815"/>
    <cellStyle name="RowTitles-Detail 4 3 9 2 2" xfId="22816"/>
    <cellStyle name="RowTitles-Detail 4 3 9 2 2 2" xfId="22817"/>
    <cellStyle name="RowTitles-Detail 4 3 9 2 2_Tertiary Salaries Survey" xfId="22818"/>
    <cellStyle name="RowTitles-Detail 4 3 9 2 3" xfId="22819"/>
    <cellStyle name="RowTitles-Detail 4 3 9 2_Tertiary Salaries Survey" xfId="22820"/>
    <cellStyle name="RowTitles-Detail 4 3 9 3" xfId="22821"/>
    <cellStyle name="RowTitles-Detail 4 3 9 3 2" xfId="22822"/>
    <cellStyle name="RowTitles-Detail 4 3 9 3 2 2" xfId="22823"/>
    <cellStyle name="RowTitles-Detail 4 3 9 3 2_Tertiary Salaries Survey" xfId="22824"/>
    <cellStyle name="RowTitles-Detail 4 3 9 3 3" xfId="22825"/>
    <cellStyle name="RowTitles-Detail 4 3 9 3_Tertiary Salaries Survey" xfId="22826"/>
    <cellStyle name="RowTitles-Detail 4 3 9 4" xfId="22827"/>
    <cellStyle name="RowTitles-Detail 4 3 9 4 2" xfId="22828"/>
    <cellStyle name="RowTitles-Detail 4 3 9 4_Tertiary Salaries Survey" xfId="22829"/>
    <cellStyle name="RowTitles-Detail 4 3 9 5" xfId="22830"/>
    <cellStyle name="RowTitles-Detail 4 3 9_Tertiary Salaries Survey" xfId="22831"/>
    <cellStyle name="RowTitles-Detail 4 3_STUD aligned by INSTIT" xfId="22832"/>
    <cellStyle name="RowTitles-Detail 4 4" xfId="22833"/>
    <cellStyle name="RowTitles-Detail 4 4 2" xfId="22834"/>
    <cellStyle name="RowTitles-Detail 4 4 2 2" xfId="22835"/>
    <cellStyle name="RowTitles-Detail 4 4 2 2 2" xfId="22836"/>
    <cellStyle name="RowTitles-Detail 4 4 2 2 2 2" xfId="22837"/>
    <cellStyle name="RowTitles-Detail 4 4 2 2 2_Tertiary Salaries Survey" xfId="22838"/>
    <cellStyle name="RowTitles-Detail 4 4 2 2 3" xfId="22839"/>
    <cellStyle name="RowTitles-Detail 4 4 2 2_Tertiary Salaries Survey" xfId="22840"/>
    <cellStyle name="RowTitles-Detail 4 4 2 3" xfId="22841"/>
    <cellStyle name="RowTitles-Detail 4 4 2 3 2" xfId="22842"/>
    <cellStyle name="RowTitles-Detail 4 4 2 3 2 2" xfId="22843"/>
    <cellStyle name="RowTitles-Detail 4 4 2 3 2_Tertiary Salaries Survey" xfId="22844"/>
    <cellStyle name="RowTitles-Detail 4 4 2 3 3" xfId="22845"/>
    <cellStyle name="RowTitles-Detail 4 4 2 3_Tertiary Salaries Survey" xfId="22846"/>
    <cellStyle name="RowTitles-Detail 4 4 2 4" xfId="22847"/>
    <cellStyle name="RowTitles-Detail 4 4 2 5" xfId="22848"/>
    <cellStyle name="RowTitles-Detail 4 4 2_Tertiary Salaries Survey" xfId="22849"/>
    <cellStyle name="RowTitles-Detail 4 4 3" xfId="22850"/>
    <cellStyle name="RowTitles-Detail 4 4 3 2" xfId="22851"/>
    <cellStyle name="RowTitles-Detail 4 4 3 2 2" xfId="22852"/>
    <cellStyle name="RowTitles-Detail 4 4 3 2 2 2" xfId="22853"/>
    <cellStyle name="RowTitles-Detail 4 4 3 2 2_Tertiary Salaries Survey" xfId="22854"/>
    <cellStyle name="RowTitles-Detail 4 4 3 2 3" xfId="22855"/>
    <cellStyle name="RowTitles-Detail 4 4 3 2_Tertiary Salaries Survey" xfId="22856"/>
    <cellStyle name="RowTitles-Detail 4 4 3 3" xfId="22857"/>
    <cellStyle name="RowTitles-Detail 4 4 3 3 2" xfId="22858"/>
    <cellStyle name="RowTitles-Detail 4 4 3 3 2 2" xfId="22859"/>
    <cellStyle name="RowTitles-Detail 4 4 3 3 2_Tertiary Salaries Survey" xfId="22860"/>
    <cellStyle name="RowTitles-Detail 4 4 3 3 3" xfId="22861"/>
    <cellStyle name="RowTitles-Detail 4 4 3 3_Tertiary Salaries Survey" xfId="22862"/>
    <cellStyle name="RowTitles-Detail 4 4 3 4" xfId="22863"/>
    <cellStyle name="RowTitles-Detail 4 4 3 5" xfId="22864"/>
    <cellStyle name="RowTitles-Detail 4 4 3 5 2" xfId="22865"/>
    <cellStyle name="RowTitles-Detail 4 4 3 5_Tertiary Salaries Survey" xfId="22866"/>
    <cellStyle name="RowTitles-Detail 4 4 3 6" xfId="22867"/>
    <cellStyle name="RowTitles-Detail 4 4 3_Tertiary Salaries Survey" xfId="22868"/>
    <cellStyle name="RowTitles-Detail 4 4 4" xfId="22869"/>
    <cellStyle name="RowTitles-Detail 4 4 4 2" xfId="22870"/>
    <cellStyle name="RowTitles-Detail 4 4 4 2 2" xfId="22871"/>
    <cellStyle name="RowTitles-Detail 4 4 4 2 2 2" xfId="22872"/>
    <cellStyle name="RowTitles-Detail 4 4 4 2 2_Tertiary Salaries Survey" xfId="22873"/>
    <cellStyle name="RowTitles-Detail 4 4 4 2 3" xfId="22874"/>
    <cellStyle name="RowTitles-Detail 4 4 4 2_Tertiary Salaries Survey" xfId="22875"/>
    <cellStyle name="RowTitles-Detail 4 4 4 3" xfId="22876"/>
    <cellStyle name="RowTitles-Detail 4 4 4 3 2" xfId="22877"/>
    <cellStyle name="RowTitles-Detail 4 4 4 3 2 2" xfId="22878"/>
    <cellStyle name="RowTitles-Detail 4 4 4 3 2_Tertiary Salaries Survey" xfId="22879"/>
    <cellStyle name="RowTitles-Detail 4 4 4 3 3" xfId="22880"/>
    <cellStyle name="RowTitles-Detail 4 4 4 3_Tertiary Salaries Survey" xfId="22881"/>
    <cellStyle name="RowTitles-Detail 4 4 4 4" xfId="22882"/>
    <cellStyle name="RowTitles-Detail 4 4 4 4 2" xfId="22883"/>
    <cellStyle name="RowTitles-Detail 4 4 4 4_Tertiary Salaries Survey" xfId="22884"/>
    <cellStyle name="RowTitles-Detail 4 4 4 5" xfId="22885"/>
    <cellStyle name="RowTitles-Detail 4 4 4_Tertiary Salaries Survey" xfId="22886"/>
    <cellStyle name="RowTitles-Detail 4 4 5" xfId="22887"/>
    <cellStyle name="RowTitles-Detail 4 4 5 2" xfId="22888"/>
    <cellStyle name="RowTitles-Detail 4 4 5 2 2" xfId="22889"/>
    <cellStyle name="RowTitles-Detail 4 4 5 2 2 2" xfId="22890"/>
    <cellStyle name="RowTitles-Detail 4 4 5 2 2_Tertiary Salaries Survey" xfId="22891"/>
    <cellStyle name="RowTitles-Detail 4 4 5 2 3" xfId="22892"/>
    <cellStyle name="RowTitles-Detail 4 4 5 2_Tertiary Salaries Survey" xfId="22893"/>
    <cellStyle name="RowTitles-Detail 4 4 5 3" xfId="22894"/>
    <cellStyle name="RowTitles-Detail 4 4 5 3 2" xfId="22895"/>
    <cellStyle name="RowTitles-Detail 4 4 5 3 2 2" xfId="22896"/>
    <cellStyle name="RowTitles-Detail 4 4 5 3 2_Tertiary Salaries Survey" xfId="22897"/>
    <cellStyle name="RowTitles-Detail 4 4 5 3 3" xfId="22898"/>
    <cellStyle name="RowTitles-Detail 4 4 5 3_Tertiary Salaries Survey" xfId="22899"/>
    <cellStyle name="RowTitles-Detail 4 4 5 4" xfId="22900"/>
    <cellStyle name="RowTitles-Detail 4 4 5 4 2" xfId="22901"/>
    <cellStyle name="RowTitles-Detail 4 4 5 4_Tertiary Salaries Survey" xfId="22902"/>
    <cellStyle name="RowTitles-Detail 4 4 5 5" xfId="22903"/>
    <cellStyle name="RowTitles-Detail 4 4 5_Tertiary Salaries Survey" xfId="22904"/>
    <cellStyle name="RowTitles-Detail 4 4 6" xfId="22905"/>
    <cellStyle name="RowTitles-Detail 4 4 6 2" xfId="22906"/>
    <cellStyle name="RowTitles-Detail 4 4 6 2 2" xfId="22907"/>
    <cellStyle name="RowTitles-Detail 4 4 6 2 2 2" xfId="22908"/>
    <cellStyle name="RowTitles-Detail 4 4 6 2 2_Tertiary Salaries Survey" xfId="22909"/>
    <cellStyle name="RowTitles-Detail 4 4 6 2 3" xfId="22910"/>
    <cellStyle name="RowTitles-Detail 4 4 6 2_Tertiary Salaries Survey" xfId="22911"/>
    <cellStyle name="RowTitles-Detail 4 4 6 3" xfId="22912"/>
    <cellStyle name="RowTitles-Detail 4 4 6 3 2" xfId="22913"/>
    <cellStyle name="RowTitles-Detail 4 4 6 3 2 2" xfId="22914"/>
    <cellStyle name="RowTitles-Detail 4 4 6 3 2_Tertiary Salaries Survey" xfId="22915"/>
    <cellStyle name="RowTitles-Detail 4 4 6 3 3" xfId="22916"/>
    <cellStyle name="RowTitles-Detail 4 4 6 3_Tertiary Salaries Survey" xfId="22917"/>
    <cellStyle name="RowTitles-Detail 4 4 6 4" xfId="22918"/>
    <cellStyle name="RowTitles-Detail 4 4 6 4 2" xfId="22919"/>
    <cellStyle name="RowTitles-Detail 4 4 6 4_Tertiary Salaries Survey" xfId="22920"/>
    <cellStyle name="RowTitles-Detail 4 4 6 5" xfId="22921"/>
    <cellStyle name="RowTitles-Detail 4 4 6_Tertiary Salaries Survey" xfId="22922"/>
    <cellStyle name="RowTitles-Detail 4 4 7" xfId="22923"/>
    <cellStyle name="RowTitles-Detail 4 4 7 2" xfId="22924"/>
    <cellStyle name="RowTitles-Detail 4 4 7 2 2" xfId="22925"/>
    <cellStyle name="RowTitles-Detail 4 4 7 2_Tertiary Salaries Survey" xfId="22926"/>
    <cellStyle name="RowTitles-Detail 4 4 7 3" xfId="22927"/>
    <cellStyle name="RowTitles-Detail 4 4 7_Tertiary Salaries Survey" xfId="22928"/>
    <cellStyle name="RowTitles-Detail 4 4 8" xfId="22929"/>
    <cellStyle name="RowTitles-Detail 4 4 9" xfId="22930"/>
    <cellStyle name="RowTitles-Detail 4 4_STUD aligned by INSTIT" xfId="22931"/>
    <cellStyle name="RowTitles-Detail 4 5" xfId="22932"/>
    <cellStyle name="RowTitles-Detail 4 5 2" xfId="22933"/>
    <cellStyle name="RowTitles-Detail 4 5 2 2" xfId="22934"/>
    <cellStyle name="RowTitles-Detail 4 5 2 2 2" xfId="22935"/>
    <cellStyle name="RowTitles-Detail 4 5 2 2 2 2" xfId="22936"/>
    <cellStyle name="RowTitles-Detail 4 5 2 2 2_Tertiary Salaries Survey" xfId="22937"/>
    <cellStyle name="RowTitles-Detail 4 5 2 2 3" xfId="22938"/>
    <cellStyle name="RowTitles-Detail 4 5 2 2_Tertiary Salaries Survey" xfId="22939"/>
    <cellStyle name="RowTitles-Detail 4 5 2 3" xfId="22940"/>
    <cellStyle name="RowTitles-Detail 4 5 2 3 2" xfId="22941"/>
    <cellStyle name="RowTitles-Detail 4 5 2 3 2 2" xfId="22942"/>
    <cellStyle name="RowTitles-Detail 4 5 2 3 2_Tertiary Salaries Survey" xfId="22943"/>
    <cellStyle name="RowTitles-Detail 4 5 2 3 3" xfId="22944"/>
    <cellStyle name="RowTitles-Detail 4 5 2 3_Tertiary Salaries Survey" xfId="22945"/>
    <cellStyle name="RowTitles-Detail 4 5 2 4" xfId="22946"/>
    <cellStyle name="RowTitles-Detail 4 5 2 5" xfId="22947"/>
    <cellStyle name="RowTitles-Detail 4 5 2 5 2" xfId="22948"/>
    <cellStyle name="RowTitles-Detail 4 5 2 5_Tertiary Salaries Survey" xfId="22949"/>
    <cellStyle name="RowTitles-Detail 4 5 2 6" xfId="22950"/>
    <cellStyle name="RowTitles-Detail 4 5 2_Tertiary Salaries Survey" xfId="22951"/>
    <cellStyle name="RowTitles-Detail 4 5 3" xfId="22952"/>
    <cellStyle name="RowTitles-Detail 4 5 3 2" xfId="22953"/>
    <cellStyle name="RowTitles-Detail 4 5 3 2 2" xfId="22954"/>
    <cellStyle name="RowTitles-Detail 4 5 3 2 2 2" xfId="22955"/>
    <cellStyle name="RowTitles-Detail 4 5 3 2 2_Tertiary Salaries Survey" xfId="22956"/>
    <cellStyle name="RowTitles-Detail 4 5 3 2 3" xfId="22957"/>
    <cellStyle name="RowTitles-Detail 4 5 3 2_Tertiary Salaries Survey" xfId="22958"/>
    <cellStyle name="RowTitles-Detail 4 5 3 3" xfId="22959"/>
    <cellStyle name="RowTitles-Detail 4 5 3 3 2" xfId="22960"/>
    <cellStyle name="RowTitles-Detail 4 5 3 3 2 2" xfId="22961"/>
    <cellStyle name="RowTitles-Detail 4 5 3 3 2_Tertiary Salaries Survey" xfId="22962"/>
    <cellStyle name="RowTitles-Detail 4 5 3 3 3" xfId="22963"/>
    <cellStyle name="RowTitles-Detail 4 5 3 3_Tertiary Salaries Survey" xfId="22964"/>
    <cellStyle name="RowTitles-Detail 4 5 3 4" xfId="22965"/>
    <cellStyle name="RowTitles-Detail 4 5 3 5" xfId="22966"/>
    <cellStyle name="RowTitles-Detail 4 5 3_Tertiary Salaries Survey" xfId="22967"/>
    <cellStyle name="RowTitles-Detail 4 5 4" xfId="22968"/>
    <cellStyle name="RowTitles-Detail 4 5 4 2" xfId="22969"/>
    <cellStyle name="RowTitles-Detail 4 5 4 2 2" xfId="22970"/>
    <cellStyle name="RowTitles-Detail 4 5 4 2 2 2" xfId="22971"/>
    <cellStyle name="RowTitles-Detail 4 5 4 2 2_Tertiary Salaries Survey" xfId="22972"/>
    <cellStyle name="RowTitles-Detail 4 5 4 2 3" xfId="22973"/>
    <cellStyle name="RowTitles-Detail 4 5 4 2_Tertiary Salaries Survey" xfId="22974"/>
    <cellStyle name="RowTitles-Detail 4 5 4 3" xfId="22975"/>
    <cellStyle name="RowTitles-Detail 4 5 4 3 2" xfId="22976"/>
    <cellStyle name="RowTitles-Detail 4 5 4 3 2 2" xfId="22977"/>
    <cellStyle name="RowTitles-Detail 4 5 4 3 2_Tertiary Salaries Survey" xfId="22978"/>
    <cellStyle name="RowTitles-Detail 4 5 4 3 3" xfId="22979"/>
    <cellStyle name="RowTitles-Detail 4 5 4 3_Tertiary Salaries Survey" xfId="22980"/>
    <cellStyle name="RowTitles-Detail 4 5 4 4" xfId="22981"/>
    <cellStyle name="RowTitles-Detail 4 5 4 4 2" xfId="22982"/>
    <cellStyle name="RowTitles-Detail 4 5 4 4_Tertiary Salaries Survey" xfId="22983"/>
    <cellStyle name="RowTitles-Detail 4 5 4 5" xfId="22984"/>
    <cellStyle name="RowTitles-Detail 4 5 4_Tertiary Salaries Survey" xfId="22985"/>
    <cellStyle name="RowTitles-Detail 4 5 5" xfId="22986"/>
    <cellStyle name="RowTitles-Detail 4 5 5 2" xfId="22987"/>
    <cellStyle name="RowTitles-Detail 4 5 5 2 2" xfId="22988"/>
    <cellStyle name="RowTitles-Detail 4 5 5 2 2 2" xfId="22989"/>
    <cellStyle name="RowTitles-Detail 4 5 5 2 2_Tertiary Salaries Survey" xfId="22990"/>
    <cellStyle name="RowTitles-Detail 4 5 5 2 3" xfId="22991"/>
    <cellStyle name="RowTitles-Detail 4 5 5 2_Tertiary Salaries Survey" xfId="22992"/>
    <cellStyle name="RowTitles-Detail 4 5 5 3" xfId="22993"/>
    <cellStyle name="RowTitles-Detail 4 5 5 3 2" xfId="22994"/>
    <cellStyle name="RowTitles-Detail 4 5 5 3 2 2" xfId="22995"/>
    <cellStyle name="RowTitles-Detail 4 5 5 3 2_Tertiary Salaries Survey" xfId="22996"/>
    <cellStyle name="RowTitles-Detail 4 5 5 3 3" xfId="22997"/>
    <cellStyle name="RowTitles-Detail 4 5 5 3_Tertiary Salaries Survey" xfId="22998"/>
    <cellStyle name="RowTitles-Detail 4 5 5 4" xfId="22999"/>
    <cellStyle name="RowTitles-Detail 4 5 5 4 2" xfId="23000"/>
    <cellStyle name="RowTitles-Detail 4 5 5 4_Tertiary Salaries Survey" xfId="23001"/>
    <cellStyle name="RowTitles-Detail 4 5 5 5" xfId="23002"/>
    <cellStyle name="RowTitles-Detail 4 5 5_Tertiary Salaries Survey" xfId="23003"/>
    <cellStyle name="RowTitles-Detail 4 5 6" xfId="23004"/>
    <cellStyle name="RowTitles-Detail 4 5 6 2" xfId="23005"/>
    <cellStyle name="RowTitles-Detail 4 5 6 2 2" xfId="23006"/>
    <cellStyle name="RowTitles-Detail 4 5 6 2 2 2" xfId="23007"/>
    <cellStyle name="RowTitles-Detail 4 5 6 2 2_Tertiary Salaries Survey" xfId="23008"/>
    <cellStyle name="RowTitles-Detail 4 5 6 2 3" xfId="23009"/>
    <cellStyle name="RowTitles-Detail 4 5 6 2_Tertiary Salaries Survey" xfId="23010"/>
    <cellStyle name="RowTitles-Detail 4 5 6 3" xfId="23011"/>
    <cellStyle name="RowTitles-Detail 4 5 6 3 2" xfId="23012"/>
    <cellStyle name="RowTitles-Detail 4 5 6 3 2 2" xfId="23013"/>
    <cellStyle name="RowTitles-Detail 4 5 6 3 2_Tertiary Salaries Survey" xfId="23014"/>
    <cellStyle name="RowTitles-Detail 4 5 6 3 3" xfId="23015"/>
    <cellStyle name="RowTitles-Detail 4 5 6 3_Tertiary Salaries Survey" xfId="23016"/>
    <cellStyle name="RowTitles-Detail 4 5 6 4" xfId="23017"/>
    <cellStyle name="RowTitles-Detail 4 5 6 4 2" xfId="23018"/>
    <cellStyle name="RowTitles-Detail 4 5 6 4_Tertiary Salaries Survey" xfId="23019"/>
    <cellStyle name="RowTitles-Detail 4 5 6 5" xfId="23020"/>
    <cellStyle name="RowTitles-Detail 4 5 6_Tertiary Salaries Survey" xfId="23021"/>
    <cellStyle name="RowTitles-Detail 4 5 7" xfId="23022"/>
    <cellStyle name="RowTitles-Detail 4 5 7 2" xfId="23023"/>
    <cellStyle name="RowTitles-Detail 4 5 7 2 2" xfId="23024"/>
    <cellStyle name="RowTitles-Detail 4 5 7 2_Tertiary Salaries Survey" xfId="23025"/>
    <cellStyle name="RowTitles-Detail 4 5 7 3" xfId="23026"/>
    <cellStyle name="RowTitles-Detail 4 5 7_Tertiary Salaries Survey" xfId="23027"/>
    <cellStyle name="RowTitles-Detail 4 5 8" xfId="23028"/>
    <cellStyle name="RowTitles-Detail 4 5 8 2" xfId="23029"/>
    <cellStyle name="RowTitles-Detail 4 5 8 2 2" xfId="23030"/>
    <cellStyle name="RowTitles-Detail 4 5 8 2_Tertiary Salaries Survey" xfId="23031"/>
    <cellStyle name="RowTitles-Detail 4 5 8 3" xfId="23032"/>
    <cellStyle name="RowTitles-Detail 4 5 8_Tertiary Salaries Survey" xfId="23033"/>
    <cellStyle name="RowTitles-Detail 4 5 9" xfId="23034"/>
    <cellStyle name="RowTitles-Detail 4 5_STUD aligned by INSTIT" xfId="23035"/>
    <cellStyle name="RowTitles-Detail 4 6" xfId="23036"/>
    <cellStyle name="RowTitles-Detail 4 6 2" xfId="23037"/>
    <cellStyle name="RowTitles-Detail 4 6 2 2" xfId="23038"/>
    <cellStyle name="RowTitles-Detail 4 6 2 2 2" xfId="23039"/>
    <cellStyle name="RowTitles-Detail 4 6 2 2 2 2" xfId="23040"/>
    <cellStyle name="RowTitles-Detail 4 6 2 2 2_Tertiary Salaries Survey" xfId="23041"/>
    <cellStyle name="RowTitles-Detail 4 6 2 2 3" xfId="23042"/>
    <cellStyle name="RowTitles-Detail 4 6 2 2_Tertiary Salaries Survey" xfId="23043"/>
    <cellStyle name="RowTitles-Detail 4 6 2 3" xfId="23044"/>
    <cellStyle name="RowTitles-Detail 4 6 2 3 2" xfId="23045"/>
    <cellStyle name="RowTitles-Detail 4 6 2 3 2 2" xfId="23046"/>
    <cellStyle name="RowTitles-Detail 4 6 2 3 2_Tertiary Salaries Survey" xfId="23047"/>
    <cellStyle name="RowTitles-Detail 4 6 2 3 3" xfId="23048"/>
    <cellStyle name="RowTitles-Detail 4 6 2 3_Tertiary Salaries Survey" xfId="23049"/>
    <cellStyle name="RowTitles-Detail 4 6 2 4" xfId="23050"/>
    <cellStyle name="RowTitles-Detail 4 6 2 5" xfId="23051"/>
    <cellStyle name="RowTitles-Detail 4 6 2 5 2" xfId="23052"/>
    <cellStyle name="RowTitles-Detail 4 6 2 5_Tertiary Salaries Survey" xfId="23053"/>
    <cellStyle name="RowTitles-Detail 4 6 2 6" xfId="23054"/>
    <cellStyle name="RowTitles-Detail 4 6 2_Tertiary Salaries Survey" xfId="23055"/>
    <cellStyle name="RowTitles-Detail 4 6 3" xfId="23056"/>
    <cellStyle name="RowTitles-Detail 4 6 3 2" xfId="23057"/>
    <cellStyle name="RowTitles-Detail 4 6 3 2 2" xfId="23058"/>
    <cellStyle name="RowTitles-Detail 4 6 3 2 2 2" xfId="23059"/>
    <cellStyle name="RowTitles-Detail 4 6 3 2 2_Tertiary Salaries Survey" xfId="23060"/>
    <cellStyle name="RowTitles-Detail 4 6 3 2 3" xfId="23061"/>
    <cellStyle name="RowTitles-Detail 4 6 3 2_Tertiary Salaries Survey" xfId="23062"/>
    <cellStyle name="RowTitles-Detail 4 6 3 3" xfId="23063"/>
    <cellStyle name="RowTitles-Detail 4 6 3 3 2" xfId="23064"/>
    <cellStyle name="RowTitles-Detail 4 6 3 3 2 2" xfId="23065"/>
    <cellStyle name="RowTitles-Detail 4 6 3 3 2_Tertiary Salaries Survey" xfId="23066"/>
    <cellStyle name="RowTitles-Detail 4 6 3 3 3" xfId="23067"/>
    <cellStyle name="RowTitles-Detail 4 6 3 3_Tertiary Salaries Survey" xfId="23068"/>
    <cellStyle name="RowTitles-Detail 4 6 3 4" xfId="23069"/>
    <cellStyle name="RowTitles-Detail 4 6 3 5" xfId="23070"/>
    <cellStyle name="RowTitles-Detail 4 6 3_Tertiary Salaries Survey" xfId="23071"/>
    <cellStyle name="RowTitles-Detail 4 6 4" xfId="23072"/>
    <cellStyle name="RowTitles-Detail 4 6 4 2" xfId="23073"/>
    <cellStyle name="RowTitles-Detail 4 6 4 2 2" xfId="23074"/>
    <cellStyle name="RowTitles-Detail 4 6 4 2 2 2" xfId="23075"/>
    <cellStyle name="RowTitles-Detail 4 6 4 2 2_Tertiary Salaries Survey" xfId="23076"/>
    <cellStyle name="RowTitles-Detail 4 6 4 2 3" xfId="23077"/>
    <cellStyle name="RowTitles-Detail 4 6 4 2_Tertiary Salaries Survey" xfId="23078"/>
    <cellStyle name="RowTitles-Detail 4 6 4 3" xfId="23079"/>
    <cellStyle name="RowTitles-Detail 4 6 4 3 2" xfId="23080"/>
    <cellStyle name="RowTitles-Detail 4 6 4 3 2 2" xfId="23081"/>
    <cellStyle name="RowTitles-Detail 4 6 4 3 2_Tertiary Salaries Survey" xfId="23082"/>
    <cellStyle name="RowTitles-Detail 4 6 4 3 3" xfId="23083"/>
    <cellStyle name="RowTitles-Detail 4 6 4 3_Tertiary Salaries Survey" xfId="23084"/>
    <cellStyle name="RowTitles-Detail 4 6 4 4" xfId="23085"/>
    <cellStyle name="RowTitles-Detail 4 6 4 5" xfId="23086"/>
    <cellStyle name="RowTitles-Detail 4 6 4 5 2" xfId="23087"/>
    <cellStyle name="RowTitles-Detail 4 6 4 5_Tertiary Salaries Survey" xfId="23088"/>
    <cellStyle name="RowTitles-Detail 4 6 4 6" xfId="23089"/>
    <cellStyle name="RowTitles-Detail 4 6 4_Tertiary Salaries Survey" xfId="23090"/>
    <cellStyle name="RowTitles-Detail 4 6 5" xfId="23091"/>
    <cellStyle name="RowTitles-Detail 4 6 5 2" xfId="23092"/>
    <cellStyle name="RowTitles-Detail 4 6 5 2 2" xfId="23093"/>
    <cellStyle name="RowTitles-Detail 4 6 5 2 2 2" xfId="23094"/>
    <cellStyle name="RowTitles-Detail 4 6 5 2 2_Tertiary Salaries Survey" xfId="23095"/>
    <cellStyle name="RowTitles-Detail 4 6 5 2 3" xfId="23096"/>
    <cellStyle name="RowTitles-Detail 4 6 5 2_Tertiary Salaries Survey" xfId="23097"/>
    <cellStyle name="RowTitles-Detail 4 6 5 3" xfId="23098"/>
    <cellStyle name="RowTitles-Detail 4 6 5 3 2" xfId="23099"/>
    <cellStyle name="RowTitles-Detail 4 6 5 3 2 2" xfId="23100"/>
    <cellStyle name="RowTitles-Detail 4 6 5 3 2_Tertiary Salaries Survey" xfId="23101"/>
    <cellStyle name="RowTitles-Detail 4 6 5 3 3" xfId="23102"/>
    <cellStyle name="RowTitles-Detail 4 6 5 3_Tertiary Salaries Survey" xfId="23103"/>
    <cellStyle name="RowTitles-Detail 4 6 5 4" xfId="23104"/>
    <cellStyle name="RowTitles-Detail 4 6 5 4 2" xfId="23105"/>
    <cellStyle name="RowTitles-Detail 4 6 5 4_Tertiary Salaries Survey" xfId="23106"/>
    <cellStyle name="RowTitles-Detail 4 6 5 5" xfId="23107"/>
    <cellStyle name="RowTitles-Detail 4 6 5_Tertiary Salaries Survey" xfId="23108"/>
    <cellStyle name="RowTitles-Detail 4 6 6" xfId="23109"/>
    <cellStyle name="RowTitles-Detail 4 6 6 2" xfId="23110"/>
    <cellStyle name="RowTitles-Detail 4 6 6 2 2" xfId="23111"/>
    <cellStyle name="RowTitles-Detail 4 6 6 2 2 2" xfId="23112"/>
    <cellStyle name="RowTitles-Detail 4 6 6 2 2_Tertiary Salaries Survey" xfId="23113"/>
    <cellStyle name="RowTitles-Detail 4 6 6 2 3" xfId="23114"/>
    <cellStyle name="RowTitles-Detail 4 6 6 2_Tertiary Salaries Survey" xfId="23115"/>
    <cellStyle name="RowTitles-Detail 4 6 6 3" xfId="23116"/>
    <cellStyle name="RowTitles-Detail 4 6 6 3 2" xfId="23117"/>
    <cellStyle name="RowTitles-Detail 4 6 6 3 2 2" xfId="23118"/>
    <cellStyle name="RowTitles-Detail 4 6 6 3 2_Tertiary Salaries Survey" xfId="23119"/>
    <cellStyle name="RowTitles-Detail 4 6 6 3 3" xfId="23120"/>
    <cellStyle name="RowTitles-Detail 4 6 6 3_Tertiary Salaries Survey" xfId="23121"/>
    <cellStyle name="RowTitles-Detail 4 6 6 4" xfId="23122"/>
    <cellStyle name="RowTitles-Detail 4 6 6 4 2" xfId="23123"/>
    <cellStyle name="RowTitles-Detail 4 6 6 4_Tertiary Salaries Survey" xfId="23124"/>
    <cellStyle name="RowTitles-Detail 4 6 6 5" xfId="23125"/>
    <cellStyle name="RowTitles-Detail 4 6 6_Tertiary Salaries Survey" xfId="23126"/>
    <cellStyle name="RowTitles-Detail 4 6 7" xfId="23127"/>
    <cellStyle name="RowTitles-Detail 4 6 7 2" xfId="23128"/>
    <cellStyle name="RowTitles-Detail 4 6 7 2 2" xfId="23129"/>
    <cellStyle name="RowTitles-Detail 4 6 7 2_Tertiary Salaries Survey" xfId="23130"/>
    <cellStyle name="RowTitles-Detail 4 6 7 3" xfId="23131"/>
    <cellStyle name="RowTitles-Detail 4 6 7_Tertiary Salaries Survey" xfId="23132"/>
    <cellStyle name="RowTitles-Detail 4 6 8" xfId="23133"/>
    <cellStyle name="RowTitles-Detail 4 6 9" xfId="23134"/>
    <cellStyle name="RowTitles-Detail 4 6_STUD aligned by INSTIT" xfId="23135"/>
    <cellStyle name="RowTitles-Detail 4 7" xfId="23136"/>
    <cellStyle name="RowTitles-Detail 4 7 2" xfId="23137"/>
    <cellStyle name="RowTitles-Detail 4 7 2 2" xfId="23138"/>
    <cellStyle name="RowTitles-Detail 4 7 2 2 2" xfId="23139"/>
    <cellStyle name="RowTitles-Detail 4 7 2 2_Tertiary Salaries Survey" xfId="23140"/>
    <cellStyle name="RowTitles-Detail 4 7 2 3" xfId="23141"/>
    <cellStyle name="RowTitles-Detail 4 7 2_Tertiary Salaries Survey" xfId="23142"/>
    <cellStyle name="RowTitles-Detail 4 7 3" xfId="23143"/>
    <cellStyle name="RowTitles-Detail 4 7 3 2" xfId="23144"/>
    <cellStyle name="RowTitles-Detail 4 7 3 2 2" xfId="23145"/>
    <cellStyle name="RowTitles-Detail 4 7 3 2_Tertiary Salaries Survey" xfId="23146"/>
    <cellStyle name="RowTitles-Detail 4 7 3 3" xfId="23147"/>
    <cellStyle name="RowTitles-Detail 4 7 3_Tertiary Salaries Survey" xfId="23148"/>
    <cellStyle name="RowTitles-Detail 4 7 4" xfId="23149"/>
    <cellStyle name="RowTitles-Detail 4 7 5" xfId="23150"/>
    <cellStyle name="RowTitles-Detail 4 7 5 2" xfId="23151"/>
    <cellStyle name="RowTitles-Detail 4 7 5_Tertiary Salaries Survey" xfId="23152"/>
    <cellStyle name="RowTitles-Detail 4 7 6" xfId="23153"/>
    <cellStyle name="RowTitles-Detail 4 7_Tertiary Salaries Survey" xfId="23154"/>
    <cellStyle name="RowTitles-Detail 4 8" xfId="23155"/>
    <cellStyle name="RowTitles-Detail 4 8 2" xfId="23156"/>
    <cellStyle name="RowTitles-Detail 4 8 2 2" xfId="23157"/>
    <cellStyle name="RowTitles-Detail 4 8 2 2 2" xfId="23158"/>
    <cellStyle name="RowTitles-Detail 4 8 2 2_Tertiary Salaries Survey" xfId="23159"/>
    <cellStyle name="RowTitles-Detail 4 8 2 3" xfId="23160"/>
    <cellStyle name="RowTitles-Detail 4 8 2_Tertiary Salaries Survey" xfId="23161"/>
    <cellStyle name="RowTitles-Detail 4 8 3" xfId="23162"/>
    <cellStyle name="RowTitles-Detail 4 8 3 2" xfId="23163"/>
    <cellStyle name="RowTitles-Detail 4 8 3 2 2" xfId="23164"/>
    <cellStyle name="RowTitles-Detail 4 8 3 2_Tertiary Salaries Survey" xfId="23165"/>
    <cellStyle name="RowTitles-Detail 4 8 3 3" xfId="23166"/>
    <cellStyle name="RowTitles-Detail 4 8 3_Tertiary Salaries Survey" xfId="23167"/>
    <cellStyle name="RowTitles-Detail 4 8 4" xfId="23168"/>
    <cellStyle name="RowTitles-Detail 4 8 5" xfId="23169"/>
    <cellStyle name="RowTitles-Detail 4 8_Tertiary Salaries Survey" xfId="23170"/>
    <cellStyle name="RowTitles-Detail 4 9" xfId="23171"/>
    <cellStyle name="RowTitles-Detail 4 9 2" xfId="23172"/>
    <cellStyle name="RowTitles-Detail 4 9 2 2" xfId="23173"/>
    <cellStyle name="RowTitles-Detail 4 9 2 2 2" xfId="23174"/>
    <cellStyle name="RowTitles-Detail 4 9 2 2_Tertiary Salaries Survey" xfId="23175"/>
    <cellStyle name="RowTitles-Detail 4 9 2 3" xfId="23176"/>
    <cellStyle name="RowTitles-Detail 4 9 2_Tertiary Salaries Survey" xfId="23177"/>
    <cellStyle name="RowTitles-Detail 4 9 3" xfId="23178"/>
    <cellStyle name="RowTitles-Detail 4 9 3 2" xfId="23179"/>
    <cellStyle name="RowTitles-Detail 4 9 3 2 2" xfId="23180"/>
    <cellStyle name="RowTitles-Detail 4 9 3 2_Tertiary Salaries Survey" xfId="23181"/>
    <cellStyle name="RowTitles-Detail 4 9 3 3" xfId="23182"/>
    <cellStyle name="RowTitles-Detail 4 9 3_Tertiary Salaries Survey" xfId="23183"/>
    <cellStyle name="RowTitles-Detail 4 9 4" xfId="23184"/>
    <cellStyle name="RowTitles-Detail 4 9 5" xfId="23185"/>
    <cellStyle name="RowTitles-Detail 4 9 5 2" xfId="23186"/>
    <cellStyle name="RowTitles-Detail 4 9 5_Tertiary Salaries Survey" xfId="23187"/>
    <cellStyle name="RowTitles-Detail 4 9 6" xfId="23188"/>
    <cellStyle name="RowTitles-Detail 4 9_Tertiary Salaries Survey" xfId="23189"/>
    <cellStyle name="RowTitles-Detail 4_STUD aligned by INSTIT" xfId="23190"/>
    <cellStyle name="RowTitles-Detail 5" xfId="23191"/>
    <cellStyle name="RowTitles-Detail 5 2" xfId="23192"/>
    <cellStyle name="RowTitles-Detail 5 2 2" xfId="23193"/>
    <cellStyle name="RowTitles-Detail 5 2 2 2" xfId="23194"/>
    <cellStyle name="RowTitles-Detail 5 2 2 2 2" xfId="23195"/>
    <cellStyle name="RowTitles-Detail 5 2 2 2_Tertiary Salaries Survey" xfId="23196"/>
    <cellStyle name="RowTitles-Detail 5 2 2 3" xfId="23197"/>
    <cellStyle name="RowTitles-Detail 5 2 2_Tertiary Salaries Survey" xfId="23198"/>
    <cellStyle name="RowTitles-Detail 5 2 3" xfId="23199"/>
    <cellStyle name="RowTitles-Detail 5 2 3 2" xfId="23200"/>
    <cellStyle name="RowTitles-Detail 5 2 3 2 2" xfId="23201"/>
    <cellStyle name="RowTitles-Detail 5 2 3 2_Tertiary Salaries Survey" xfId="23202"/>
    <cellStyle name="RowTitles-Detail 5 2 3 3" xfId="23203"/>
    <cellStyle name="RowTitles-Detail 5 2 3_Tertiary Salaries Survey" xfId="23204"/>
    <cellStyle name="RowTitles-Detail 5 2 4" xfId="23205"/>
    <cellStyle name="RowTitles-Detail 5 2 5" xfId="23206"/>
    <cellStyle name="RowTitles-Detail 5 2_Tertiary Salaries Survey" xfId="23207"/>
    <cellStyle name="RowTitles-Detail 5 3" xfId="23208"/>
    <cellStyle name="RowTitles-Detail 5 3 2" xfId="23209"/>
    <cellStyle name="RowTitles-Detail 5 3 2 2" xfId="23210"/>
    <cellStyle name="RowTitles-Detail 5 3 2 2 2" xfId="23211"/>
    <cellStyle name="RowTitles-Detail 5 3 2 2_Tertiary Salaries Survey" xfId="23212"/>
    <cellStyle name="RowTitles-Detail 5 3 2 3" xfId="23213"/>
    <cellStyle name="RowTitles-Detail 5 3 2_Tertiary Salaries Survey" xfId="23214"/>
    <cellStyle name="RowTitles-Detail 5 3 3" xfId="23215"/>
    <cellStyle name="RowTitles-Detail 5 3 3 2" xfId="23216"/>
    <cellStyle name="RowTitles-Detail 5 3 3 2 2" xfId="23217"/>
    <cellStyle name="RowTitles-Detail 5 3 3 2_Tertiary Salaries Survey" xfId="23218"/>
    <cellStyle name="RowTitles-Detail 5 3 3 3" xfId="23219"/>
    <cellStyle name="RowTitles-Detail 5 3 3_Tertiary Salaries Survey" xfId="23220"/>
    <cellStyle name="RowTitles-Detail 5 3 4" xfId="23221"/>
    <cellStyle name="RowTitles-Detail 5 3 5" xfId="23222"/>
    <cellStyle name="RowTitles-Detail 5 3 5 2" xfId="23223"/>
    <cellStyle name="RowTitles-Detail 5 3 5_Tertiary Salaries Survey" xfId="23224"/>
    <cellStyle name="RowTitles-Detail 5 3 6" xfId="23225"/>
    <cellStyle name="RowTitles-Detail 5 3_Tertiary Salaries Survey" xfId="23226"/>
    <cellStyle name="RowTitles-Detail 5 4" xfId="23227"/>
    <cellStyle name="RowTitles-Detail 5 4 2" xfId="23228"/>
    <cellStyle name="RowTitles-Detail 5 4 2 2" xfId="23229"/>
    <cellStyle name="RowTitles-Detail 5 4 2 2 2" xfId="23230"/>
    <cellStyle name="RowTitles-Detail 5 4 2 2_Tertiary Salaries Survey" xfId="23231"/>
    <cellStyle name="RowTitles-Detail 5 4 2 3" xfId="23232"/>
    <cellStyle name="RowTitles-Detail 5 4 2_Tertiary Salaries Survey" xfId="23233"/>
    <cellStyle name="RowTitles-Detail 5 4 3" xfId="23234"/>
    <cellStyle name="RowTitles-Detail 5 4 3 2" xfId="23235"/>
    <cellStyle name="RowTitles-Detail 5 4 3 2 2" xfId="23236"/>
    <cellStyle name="RowTitles-Detail 5 4 3 2_Tertiary Salaries Survey" xfId="23237"/>
    <cellStyle name="RowTitles-Detail 5 4 3 3" xfId="23238"/>
    <cellStyle name="RowTitles-Detail 5 4 3_Tertiary Salaries Survey" xfId="23239"/>
    <cellStyle name="RowTitles-Detail 5 4 4" xfId="23240"/>
    <cellStyle name="RowTitles-Detail 5 4 4 2" xfId="23241"/>
    <cellStyle name="RowTitles-Detail 5 4 4_Tertiary Salaries Survey" xfId="23242"/>
    <cellStyle name="RowTitles-Detail 5 4 5" xfId="23243"/>
    <cellStyle name="RowTitles-Detail 5 4_Tertiary Salaries Survey" xfId="23244"/>
    <cellStyle name="RowTitles-Detail 5 5" xfId="23245"/>
    <cellStyle name="RowTitles-Detail 5 5 2" xfId="23246"/>
    <cellStyle name="RowTitles-Detail 5 5 2 2" xfId="23247"/>
    <cellStyle name="RowTitles-Detail 5 5 2 2 2" xfId="23248"/>
    <cellStyle name="RowTitles-Detail 5 5 2 2_Tertiary Salaries Survey" xfId="23249"/>
    <cellStyle name="RowTitles-Detail 5 5 2 3" xfId="23250"/>
    <cellStyle name="RowTitles-Detail 5 5 2_Tertiary Salaries Survey" xfId="23251"/>
    <cellStyle name="RowTitles-Detail 5 5 3" xfId="23252"/>
    <cellStyle name="RowTitles-Detail 5 5 3 2" xfId="23253"/>
    <cellStyle name="RowTitles-Detail 5 5 3 2 2" xfId="23254"/>
    <cellStyle name="RowTitles-Detail 5 5 3 2_Tertiary Salaries Survey" xfId="23255"/>
    <cellStyle name="RowTitles-Detail 5 5 3 3" xfId="23256"/>
    <cellStyle name="RowTitles-Detail 5 5 3_Tertiary Salaries Survey" xfId="23257"/>
    <cellStyle name="RowTitles-Detail 5 5 4" xfId="23258"/>
    <cellStyle name="RowTitles-Detail 5 5 4 2" xfId="23259"/>
    <cellStyle name="RowTitles-Detail 5 5 4_Tertiary Salaries Survey" xfId="23260"/>
    <cellStyle name="RowTitles-Detail 5 5 5" xfId="23261"/>
    <cellStyle name="RowTitles-Detail 5 5_Tertiary Salaries Survey" xfId="23262"/>
    <cellStyle name="RowTitles-Detail 5 6" xfId="23263"/>
    <cellStyle name="RowTitles-Detail 5 6 2" xfId="23264"/>
    <cellStyle name="RowTitles-Detail 5 6 2 2" xfId="23265"/>
    <cellStyle name="RowTitles-Detail 5 6 2 2 2" xfId="23266"/>
    <cellStyle name="RowTitles-Detail 5 6 2 2_Tertiary Salaries Survey" xfId="23267"/>
    <cellStyle name="RowTitles-Detail 5 6 2 3" xfId="23268"/>
    <cellStyle name="RowTitles-Detail 5 6 2_Tertiary Salaries Survey" xfId="23269"/>
    <cellStyle name="RowTitles-Detail 5 6 3" xfId="23270"/>
    <cellStyle name="RowTitles-Detail 5 6 3 2" xfId="23271"/>
    <cellStyle name="RowTitles-Detail 5 6 3 2 2" xfId="23272"/>
    <cellStyle name="RowTitles-Detail 5 6 3 2_Tertiary Salaries Survey" xfId="23273"/>
    <cellStyle name="RowTitles-Detail 5 6 3 3" xfId="23274"/>
    <cellStyle name="RowTitles-Detail 5 6 3_Tertiary Salaries Survey" xfId="23275"/>
    <cellStyle name="RowTitles-Detail 5 6 4" xfId="23276"/>
    <cellStyle name="RowTitles-Detail 5 6 4 2" xfId="23277"/>
    <cellStyle name="RowTitles-Detail 5 6 4_Tertiary Salaries Survey" xfId="23278"/>
    <cellStyle name="RowTitles-Detail 5 6 5" xfId="23279"/>
    <cellStyle name="RowTitles-Detail 5 6_Tertiary Salaries Survey" xfId="23280"/>
    <cellStyle name="RowTitles-Detail 5 7" xfId="23281"/>
    <cellStyle name="RowTitles-Detail 5 7 2" xfId="23282"/>
    <cellStyle name="RowTitles-Detail 5 7 2 2" xfId="23283"/>
    <cellStyle name="RowTitles-Detail 5 7 2_Tertiary Salaries Survey" xfId="23284"/>
    <cellStyle name="RowTitles-Detail 5 7 3" xfId="23285"/>
    <cellStyle name="RowTitles-Detail 5 7_Tertiary Salaries Survey" xfId="23286"/>
    <cellStyle name="RowTitles-Detail 5 8" xfId="23287"/>
    <cellStyle name="RowTitles-Detail 5 9" xfId="23288"/>
    <cellStyle name="RowTitles-Detail 5_STUD aligned by INSTIT" xfId="23289"/>
    <cellStyle name="RowTitles-Detail 6" xfId="23290"/>
    <cellStyle name="RowTitles-Detail 6 2" xfId="23291"/>
    <cellStyle name="RowTitles-Detail 6 2 2" xfId="23292"/>
    <cellStyle name="RowTitles-Detail 6 2 2 2" xfId="23293"/>
    <cellStyle name="RowTitles-Detail 6 2 2 2 2" xfId="23294"/>
    <cellStyle name="RowTitles-Detail 6 2 2 2_Tertiary Salaries Survey" xfId="23295"/>
    <cellStyle name="RowTitles-Detail 6 2 2 3" xfId="23296"/>
    <cellStyle name="RowTitles-Detail 6 2 2_Tertiary Salaries Survey" xfId="23297"/>
    <cellStyle name="RowTitles-Detail 6 2 3" xfId="23298"/>
    <cellStyle name="RowTitles-Detail 6 2 3 2" xfId="23299"/>
    <cellStyle name="RowTitles-Detail 6 2 3 2 2" xfId="23300"/>
    <cellStyle name="RowTitles-Detail 6 2 3 2_Tertiary Salaries Survey" xfId="23301"/>
    <cellStyle name="RowTitles-Detail 6 2 3 3" xfId="23302"/>
    <cellStyle name="RowTitles-Detail 6 2 3_Tertiary Salaries Survey" xfId="23303"/>
    <cellStyle name="RowTitles-Detail 6 2 4" xfId="23304"/>
    <cellStyle name="RowTitles-Detail 6 2 5" xfId="23305"/>
    <cellStyle name="RowTitles-Detail 6 2 5 2" xfId="23306"/>
    <cellStyle name="RowTitles-Detail 6 2 5_Tertiary Salaries Survey" xfId="23307"/>
    <cellStyle name="RowTitles-Detail 6 2 6" xfId="23308"/>
    <cellStyle name="RowTitles-Detail 6 2_Tertiary Salaries Survey" xfId="23309"/>
    <cellStyle name="RowTitles-Detail 6 3" xfId="23310"/>
    <cellStyle name="RowTitles-Detail 6 3 2" xfId="23311"/>
    <cellStyle name="RowTitles-Detail 6 3 2 2" xfId="23312"/>
    <cellStyle name="RowTitles-Detail 6 3 2 2 2" xfId="23313"/>
    <cellStyle name="RowTitles-Detail 6 3 2 2_Tertiary Salaries Survey" xfId="23314"/>
    <cellStyle name="RowTitles-Detail 6 3 2 3" xfId="23315"/>
    <cellStyle name="RowTitles-Detail 6 3 2_Tertiary Salaries Survey" xfId="23316"/>
    <cellStyle name="RowTitles-Detail 6 3 3" xfId="23317"/>
    <cellStyle name="RowTitles-Detail 6 3 3 2" xfId="23318"/>
    <cellStyle name="RowTitles-Detail 6 3 3 2 2" xfId="23319"/>
    <cellStyle name="RowTitles-Detail 6 3 3 2_Tertiary Salaries Survey" xfId="23320"/>
    <cellStyle name="RowTitles-Detail 6 3 3 3" xfId="23321"/>
    <cellStyle name="RowTitles-Detail 6 3 3_Tertiary Salaries Survey" xfId="23322"/>
    <cellStyle name="RowTitles-Detail 6 3 4" xfId="23323"/>
    <cellStyle name="RowTitles-Detail 6 3 5" xfId="23324"/>
    <cellStyle name="RowTitles-Detail 6 3_Tertiary Salaries Survey" xfId="23325"/>
    <cellStyle name="RowTitles-Detail 6 4" xfId="23326"/>
    <cellStyle name="RowTitles-Detail 6 4 2" xfId="23327"/>
    <cellStyle name="RowTitles-Detail 6 4 2 2" xfId="23328"/>
    <cellStyle name="RowTitles-Detail 6 4 2 2 2" xfId="23329"/>
    <cellStyle name="RowTitles-Detail 6 4 2 2_Tertiary Salaries Survey" xfId="23330"/>
    <cellStyle name="RowTitles-Detail 6 4 2 3" xfId="23331"/>
    <cellStyle name="RowTitles-Detail 6 4 2_Tertiary Salaries Survey" xfId="23332"/>
    <cellStyle name="RowTitles-Detail 6 4 3" xfId="23333"/>
    <cellStyle name="RowTitles-Detail 6 4 3 2" xfId="23334"/>
    <cellStyle name="RowTitles-Detail 6 4 3 2 2" xfId="23335"/>
    <cellStyle name="RowTitles-Detail 6 4 3 2_Tertiary Salaries Survey" xfId="23336"/>
    <cellStyle name="RowTitles-Detail 6 4 3 3" xfId="23337"/>
    <cellStyle name="RowTitles-Detail 6 4 3_Tertiary Salaries Survey" xfId="23338"/>
    <cellStyle name="RowTitles-Detail 6 4 4" xfId="23339"/>
    <cellStyle name="RowTitles-Detail 6 4 4 2" xfId="23340"/>
    <cellStyle name="RowTitles-Detail 6 4 4_Tertiary Salaries Survey" xfId="23341"/>
    <cellStyle name="RowTitles-Detail 6 4 5" xfId="23342"/>
    <cellStyle name="RowTitles-Detail 6 4_Tertiary Salaries Survey" xfId="23343"/>
    <cellStyle name="RowTitles-Detail 6 5" xfId="23344"/>
    <cellStyle name="RowTitles-Detail 6 5 2" xfId="23345"/>
    <cellStyle name="RowTitles-Detail 6 5 2 2" xfId="23346"/>
    <cellStyle name="RowTitles-Detail 6 5 2 2 2" xfId="23347"/>
    <cellStyle name="RowTitles-Detail 6 5 2 2_Tertiary Salaries Survey" xfId="23348"/>
    <cellStyle name="RowTitles-Detail 6 5 2 3" xfId="23349"/>
    <cellStyle name="RowTitles-Detail 6 5 2_Tertiary Salaries Survey" xfId="23350"/>
    <cellStyle name="RowTitles-Detail 6 5 3" xfId="23351"/>
    <cellStyle name="RowTitles-Detail 6 5 3 2" xfId="23352"/>
    <cellStyle name="RowTitles-Detail 6 5 3 2 2" xfId="23353"/>
    <cellStyle name="RowTitles-Detail 6 5 3 2_Tertiary Salaries Survey" xfId="23354"/>
    <cellStyle name="RowTitles-Detail 6 5 3 3" xfId="23355"/>
    <cellStyle name="RowTitles-Detail 6 5 3_Tertiary Salaries Survey" xfId="23356"/>
    <cellStyle name="RowTitles-Detail 6 5 4" xfId="23357"/>
    <cellStyle name="RowTitles-Detail 6 5 4 2" xfId="23358"/>
    <cellStyle name="RowTitles-Detail 6 5 4_Tertiary Salaries Survey" xfId="23359"/>
    <cellStyle name="RowTitles-Detail 6 5 5" xfId="23360"/>
    <cellStyle name="RowTitles-Detail 6 5_Tertiary Salaries Survey" xfId="23361"/>
    <cellStyle name="RowTitles-Detail 6 6" xfId="23362"/>
    <cellStyle name="RowTitles-Detail 6 6 2" xfId="23363"/>
    <cellStyle name="RowTitles-Detail 6 6 2 2" xfId="23364"/>
    <cellStyle name="RowTitles-Detail 6 6 2 2 2" xfId="23365"/>
    <cellStyle name="RowTitles-Detail 6 6 2 2_Tertiary Salaries Survey" xfId="23366"/>
    <cellStyle name="RowTitles-Detail 6 6 2 3" xfId="23367"/>
    <cellStyle name="RowTitles-Detail 6 6 2_Tertiary Salaries Survey" xfId="23368"/>
    <cellStyle name="RowTitles-Detail 6 6 3" xfId="23369"/>
    <cellStyle name="RowTitles-Detail 6 6 3 2" xfId="23370"/>
    <cellStyle name="RowTitles-Detail 6 6 3 2 2" xfId="23371"/>
    <cellStyle name="RowTitles-Detail 6 6 3 2_Tertiary Salaries Survey" xfId="23372"/>
    <cellStyle name="RowTitles-Detail 6 6 3 3" xfId="23373"/>
    <cellStyle name="RowTitles-Detail 6 6 3_Tertiary Salaries Survey" xfId="23374"/>
    <cellStyle name="RowTitles-Detail 6 6 4" xfId="23375"/>
    <cellStyle name="RowTitles-Detail 6 6 4 2" xfId="23376"/>
    <cellStyle name="RowTitles-Detail 6 6 4_Tertiary Salaries Survey" xfId="23377"/>
    <cellStyle name="RowTitles-Detail 6 6 5" xfId="23378"/>
    <cellStyle name="RowTitles-Detail 6 6_Tertiary Salaries Survey" xfId="23379"/>
    <cellStyle name="RowTitles-Detail 6 7" xfId="23380"/>
    <cellStyle name="RowTitles-Detail 6 7 2" xfId="23381"/>
    <cellStyle name="RowTitles-Detail 6 7 2 2" xfId="23382"/>
    <cellStyle name="RowTitles-Detail 6 7 2_Tertiary Salaries Survey" xfId="23383"/>
    <cellStyle name="RowTitles-Detail 6 7 3" xfId="23384"/>
    <cellStyle name="RowTitles-Detail 6 7_Tertiary Salaries Survey" xfId="23385"/>
    <cellStyle name="RowTitles-Detail 6 8" xfId="23386"/>
    <cellStyle name="RowTitles-Detail 6 8 2" xfId="23387"/>
    <cellStyle name="RowTitles-Detail 6 8 2 2" xfId="23388"/>
    <cellStyle name="RowTitles-Detail 6 8 2_Tertiary Salaries Survey" xfId="23389"/>
    <cellStyle name="RowTitles-Detail 6 8 3" xfId="23390"/>
    <cellStyle name="RowTitles-Detail 6 8_Tertiary Salaries Survey" xfId="23391"/>
    <cellStyle name="RowTitles-Detail 6 9" xfId="23392"/>
    <cellStyle name="RowTitles-Detail 6_STUD aligned by INSTIT" xfId="23393"/>
    <cellStyle name="RowTitles-Detail 7" xfId="23394"/>
    <cellStyle name="RowTitles-Detail 7 2" xfId="23395"/>
    <cellStyle name="RowTitles-Detail 7 2 2" xfId="23396"/>
    <cellStyle name="RowTitles-Detail 7 2 2 2" xfId="23397"/>
    <cellStyle name="RowTitles-Detail 7 2 2 2 2" xfId="23398"/>
    <cellStyle name="RowTitles-Detail 7 2 2 2_Tertiary Salaries Survey" xfId="23399"/>
    <cellStyle name="RowTitles-Detail 7 2 2 3" xfId="23400"/>
    <cellStyle name="RowTitles-Detail 7 2 2_Tertiary Salaries Survey" xfId="23401"/>
    <cellStyle name="RowTitles-Detail 7 2 3" xfId="23402"/>
    <cellStyle name="RowTitles-Detail 7 2 3 2" xfId="23403"/>
    <cellStyle name="RowTitles-Detail 7 2 3 2 2" xfId="23404"/>
    <cellStyle name="RowTitles-Detail 7 2 3 2_Tertiary Salaries Survey" xfId="23405"/>
    <cellStyle name="RowTitles-Detail 7 2 3 3" xfId="23406"/>
    <cellStyle name="RowTitles-Detail 7 2 3_Tertiary Salaries Survey" xfId="23407"/>
    <cellStyle name="RowTitles-Detail 7 2 4" xfId="23408"/>
    <cellStyle name="RowTitles-Detail 7 2 5" xfId="23409"/>
    <cellStyle name="RowTitles-Detail 7 2_Tertiary Salaries Survey" xfId="23410"/>
    <cellStyle name="RowTitles-Detail 7 3" xfId="23411"/>
    <cellStyle name="RowTitles-Detail 7 3 2" xfId="23412"/>
    <cellStyle name="RowTitles-Detail 7 3 2 2" xfId="23413"/>
    <cellStyle name="RowTitles-Detail 7 3 2 2 2" xfId="23414"/>
    <cellStyle name="RowTitles-Detail 7 3 2 2_Tertiary Salaries Survey" xfId="23415"/>
    <cellStyle name="RowTitles-Detail 7 3 2 3" xfId="23416"/>
    <cellStyle name="RowTitles-Detail 7 3 2_Tertiary Salaries Survey" xfId="23417"/>
    <cellStyle name="RowTitles-Detail 7 3 3" xfId="23418"/>
    <cellStyle name="RowTitles-Detail 7 3 3 2" xfId="23419"/>
    <cellStyle name="RowTitles-Detail 7 3 3 2 2" xfId="23420"/>
    <cellStyle name="RowTitles-Detail 7 3 3 2_Tertiary Salaries Survey" xfId="23421"/>
    <cellStyle name="RowTitles-Detail 7 3 3 3" xfId="23422"/>
    <cellStyle name="RowTitles-Detail 7 3 3_Tertiary Salaries Survey" xfId="23423"/>
    <cellStyle name="RowTitles-Detail 7 3 4" xfId="23424"/>
    <cellStyle name="RowTitles-Detail 7 3 4 2" xfId="23425"/>
    <cellStyle name="RowTitles-Detail 7 3 4_Tertiary Salaries Survey" xfId="23426"/>
    <cellStyle name="RowTitles-Detail 7 3 5" xfId="23427"/>
    <cellStyle name="RowTitles-Detail 7 3_Tertiary Salaries Survey" xfId="23428"/>
    <cellStyle name="RowTitles-Detail 7 4" xfId="23429"/>
    <cellStyle name="RowTitles-Detail 7 4 2" xfId="23430"/>
    <cellStyle name="RowTitles-Detail 7 4 2 2" xfId="23431"/>
    <cellStyle name="RowTitles-Detail 7 4 2 2 2" xfId="23432"/>
    <cellStyle name="RowTitles-Detail 7 4 2 2_Tertiary Salaries Survey" xfId="23433"/>
    <cellStyle name="RowTitles-Detail 7 4 2 3" xfId="23434"/>
    <cellStyle name="RowTitles-Detail 7 4 2_Tertiary Salaries Survey" xfId="23435"/>
    <cellStyle name="RowTitles-Detail 7 4 3" xfId="23436"/>
    <cellStyle name="RowTitles-Detail 7 4 3 2" xfId="23437"/>
    <cellStyle name="RowTitles-Detail 7 4 3 2 2" xfId="23438"/>
    <cellStyle name="RowTitles-Detail 7 4 3 2_Tertiary Salaries Survey" xfId="23439"/>
    <cellStyle name="RowTitles-Detail 7 4 3 3" xfId="23440"/>
    <cellStyle name="RowTitles-Detail 7 4 3_Tertiary Salaries Survey" xfId="23441"/>
    <cellStyle name="RowTitles-Detail 7 4 4" xfId="23442"/>
    <cellStyle name="RowTitles-Detail 7 4 4 2" xfId="23443"/>
    <cellStyle name="RowTitles-Detail 7 4 4_Tertiary Salaries Survey" xfId="23444"/>
    <cellStyle name="RowTitles-Detail 7 4 5" xfId="23445"/>
    <cellStyle name="RowTitles-Detail 7 4_Tertiary Salaries Survey" xfId="23446"/>
    <cellStyle name="RowTitles-Detail 7 5" xfId="23447"/>
    <cellStyle name="RowTitles-Detail 7 5 2" xfId="23448"/>
    <cellStyle name="RowTitles-Detail 7 5 2 2" xfId="23449"/>
    <cellStyle name="RowTitles-Detail 7 5 2 2 2" xfId="23450"/>
    <cellStyle name="RowTitles-Detail 7 5 2 2_Tertiary Salaries Survey" xfId="23451"/>
    <cellStyle name="RowTitles-Detail 7 5 2 3" xfId="23452"/>
    <cellStyle name="RowTitles-Detail 7 5 2_Tertiary Salaries Survey" xfId="23453"/>
    <cellStyle name="RowTitles-Detail 7 5 3" xfId="23454"/>
    <cellStyle name="RowTitles-Detail 7 5 3 2" xfId="23455"/>
    <cellStyle name="RowTitles-Detail 7 5 3 2 2" xfId="23456"/>
    <cellStyle name="RowTitles-Detail 7 5 3 2_Tertiary Salaries Survey" xfId="23457"/>
    <cellStyle name="RowTitles-Detail 7 5 3 3" xfId="23458"/>
    <cellStyle name="RowTitles-Detail 7 5 3_Tertiary Salaries Survey" xfId="23459"/>
    <cellStyle name="RowTitles-Detail 7 5 4" xfId="23460"/>
    <cellStyle name="RowTitles-Detail 7 5 4 2" xfId="23461"/>
    <cellStyle name="RowTitles-Detail 7 5 4_Tertiary Salaries Survey" xfId="23462"/>
    <cellStyle name="RowTitles-Detail 7 5 5" xfId="23463"/>
    <cellStyle name="RowTitles-Detail 7 5_Tertiary Salaries Survey" xfId="23464"/>
    <cellStyle name="RowTitles-Detail 7 6" xfId="23465"/>
    <cellStyle name="RowTitles-Detail 7 6 2" xfId="23466"/>
    <cellStyle name="RowTitles-Detail 7 6 2 2" xfId="23467"/>
    <cellStyle name="RowTitles-Detail 7 6 2 2 2" xfId="23468"/>
    <cellStyle name="RowTitles-Detail 7 6 2 2_Tertiary Salaries Survey" xfId="23469"/>
    <cellStyle name="RowTitles-Detail 7 6 2 3" xfId="23470"/>
    <cellStyle name="RowTitles-Detail 7 6 2_Tertiary Salaries Survey" xfId="23471"/>
    <cellStyle name="RowTitles-Detail 7 6 3" xfId="23472"/>
    <cellStyle name="RowTitles-Detail 7 6 3 2" xfId="23473"/>
    <cellStyle name="RowTitles-Detail 7 6 3 2 2" xfId="23474"/>
    <cellStyle name="RowTitles-Detail 7 6 3 2_Tertiary Salaries Survey" xfId="23475"/>
    <cellStyle name="RowTitles-Detail 7 6 3 3" xfId="23476"/>
    <cellStyle name="RowTitles-Detail 7 6 3_Tertiary Salaries Survey" xfId="23477"/>
    <cellStyle name="RowTitles-Detail 7 6 4" xfId="23478"/>
    <cellStyle name="RowTitles-Detail 7 6 4 2" xfId="23479"/>
    <cellStyle name="RowTitles-Detail 7 6 4_Tertiary Salaries Survey" xfId="23480"/>
    <cellStyle name="RowTitles-Detail 7 6 5" xfId="23481"/>
    <cellStyle name="RowTitles-Detail 7 6_Tertiary Salaries Survey" xfId="23482"/>
    <cellStyle name="RowTitles-Detail 7 7" xfId="23483"/>
    <cellStyle name="RowTitles-Detail 7 7 2" xfId="23484"/>
    <cellStyle name="RowTitles-Detail 7 7 2 2" xfId="23485"/>
    <cellStyle name="RowTitles-Detail 7 7 2_Tertiary Salaries Survey" xfId="23486"/>
    <cellStyle name="RowTitles-Detail 7 7 3" xfId="23487"/>
    <cellStyle name="RowTitles-Detail 7 7_Tertiary Salaries Survey" xfId="23488"/>
    <cellStyle name="RowTitles-Detail 7 8" xfId="23489"/>
    <cellStyle name="RowTitles-Detail 7 8 2" xfId="23490"/>
    <cellStyle name="RowTitles-Detail 7 8 2 2" xfId="23491"/>
    <cellStyle name="RowTitles-Detail 7 8 2_Tertiary Salaries Survey" xfId="23492"/>
    <cellStyle name="RowTitles-Detail 7 8 3" xfId="23493"/>
    <cellStyle name="RowTitles-Detail 7 8_Tertiary Salaries Survey" xfId="23494"/>
    <cellStyle name="RowTitles-Detail 7 9" xfId="23495"/>
    <cellStyle name="RowTitles-Detail 7_STUD aligned by INSTIT" xfId="23496"/>
    <cellStyle name="RowTitles-Detail 8" xfId="23497"/>
    <cellStyle name="RowTitles-Detail 8 2" xfId="23498"/>
    <cellStyle name="RowTitles-Detail 8 2 2" xfId="23499"/>
    <cellStyle name="RowTitles-Detail 8 2 2 2" xfId="23500"/>
    <cellStyle name="RowTitles-Detail 8 2 2_Tertiary Salaries Survey" xfId="23501"/>
    <cellStyle name="RowTitles-Detail 8 2 3" xfId="23502"/>
    <cellStyle name="RowTitles-Detail 8 2_Tertiary Salaries Survey" xfId="23503"/>
    <cellStyle name="RowTitles-Detail 8 3" xfId="23504"/>
    <cellStyle name="RowTitles-Detail 8 3 2" xfId="23505"/>
    <cellStyle name="RowTitles-Detail 8 3 2 2" xfId="23506"/>
    <cellStyle name="RowTitles-Detail 8 3 2_Tertiary Salaries Survey" xfId="23507"/>
    <cellStyle name="RowTitles-Detail 8 3 3" xfId="23508"/>
    <cellStyle name="RowTitles-Detail 8 3_Tertiary Salaries Survey" xfId="23509"/>
    <cellStyle name="RowTitles-Detail 8 4" xfId="23510"/>
    <cellStyle name="RowTitles-Detail 8 5" xfId="23511"/>
    <cellStyle name="RowTitles-Detail 8_Tertiary Salaries Survey" xfId="23512"/>
    <cellStyle name="RowTitles-Detail 9" xfId="23513"/>
    <cellStyle name="RowTitles-Detail 9 2" xfId="23514"/>
    <cellStyle name="RowTitles-Detail 9 2 2" xfId="23515"/>
    <cellStyle name="RowTitles-Detail 9 2 2 2" xfId="23516"/>
    <cellStyle name="RowTitles-Detail 9 2 2_Tertiary Salaries Survey" xfId="23517"/>
    <cellStyle name="RowTitles-Detail 9 2 3" xfId="23518"/>
    <cellStyle name="RowTitles-Detail 9 2_Tertiary Salaries Survey" xfId="23519"/>
    <cellStyle name="RowTitles-Detail 9 3" xfId="23520"/>
    <cellStyle name="RowTitles-Detail 9 3 2" xfId="23521"/>
    <cellStyle name="RowTitles-Detail 9 3 2 2" xfId="23522"/>
    <cellStyle name="RowTitles-Detail 9 3 2_Tertiary Salaries Survey" xfId="23523"/>
    <cellStyle name="RowTitles-Detail 9 3 3" xfId="23524"/>
    <cellStyle name="RowTitles-Detail 9 3_Tertiary Salaries Survey" xfId="23525"/>
    <cellStyle name="RowTitles-Detail 9 4" xfId="23526"/>
    <cellStyle name="RowTitles-Detail 9 5" xfId="23527"/>
    <cellStyle name="RowTitles-Detail 9 5 2" xfId="23528"/>
    <cellStyle name="RowTitles-Detail 9 5_Tertiary Salaries Survey" xfId="23529"/>
    <cellStyle name="RowTitles-Detail 9 6" xfId="23530"/>
    <cellStyle name="RowTitles-Detail 9_Tertiary Salaries Survey" xfId="23531"/>
    <cellStyle name="RowTitles-Detail_STUD aligned by INSTIT" xfId="23532"/>
    <cellStyle name="semestre" xfId="23533"/>
    <cellStyle name="Standaard_Blad1" xfId="23534"/>
    <cellStyle name="Standard_DIAGRAM" xfId="23535"/>
    <cellStyle name="Sub_tot_e" xfId="23536"/>
    <cellStyle name="Sub-titles" xfId="23537"/>
    <cellStyle name="Sub-titles Cols" xfId="23538"/>
    <cellStyle name="Sub-titles rows" xfId="23539"/>
    <cellStyle name="Table No." xfId="23540"/>
    <cellStyle name="Table No. 2" xfId="23541"/>
    <cellStyle name="Table Title" xfId="23542"/>
    <cellStyle name="Table Title 2" xfId="23543"/>
    <cellStyle name="TableStyleLight1" xfId="23544"/>
    <cellStyle name="TableStyleLight1 10" xfId="23545"/>
    <cellStyle name="TableStyleLight1 11" xfId="23546"/>
    <cellStyle name="TableStyleLight1 12" xfId="23547"/>
    <cellStyle name="TableStyleLight1 13" xfId="23548"/>
    <cellStyle name="TableStyleLight1 2" xfId="23549"/>
    <cellStyle name="TableStyleLight1 2 10" xfId="23550"/>
    <cellStyle name="TableStyleLight1 2 10 2" xfId="23551"/>
    <cellStyle name="TableStyleLight1 2 10 2 2" xfId="23552"/>
    <cellStyle name="TableStyleLight1 2 10 2_Tertiary Salaries Survey" xfId="23553"/>
    <cellStyle name="TableStyleLight1 2 10 3" xfId="23554"/>
    <cellStyle name="TableStyleLight1 2 10 3 2" xfId="23555"/>
    <cellStyle name="TableStyleLight1 2 10 3_Tertiary Salaries Survey" xfId="23556"/>
    <cellStyle name="TableStyleLight1 2 10 4" xfId="23557"/>
    <cellStyle name="TableStyleLight1 2 10 5" xfId="23558"/>
    <cellStyle name="TableStyleLight1 2 10 6" xfId="23559"/>
    <cellStyle name="TableStyleLight1 2 10_Tertiary Salaries Survey" xfId="23560"/>
    <cellStyle name="TableStyleLight1 2 11" xfId="23561"/>
    <cellStyle name="TableStyleLight1 2 11 2" xfId="23562"/>
    <cellStyle name="TableStyleLight1 2 11 2 2" xfId="23563"/>
    <cellStyle name="TableStyleLight1 2 11 2_Tertiary Salaries Survey" xfId="23564"/>
    <cellStyle name="TableStyleLight1 2 11 3" xfId="23565"/>
    <cellStyle name="TableStyleLight1 2 11 3 2" xfId="23566"/>
    <cellStyle name="TableStyleLight1 2 11 3_Tertiary Salaries Survey" xfId="23567"/>
    <cellStyle name="TableStyleLight1 2 11 4" xfId="23568"/>
    <cellStyle name="TableStyleLight1 2 11 5" xfId="23569"/>
    <cellStyle name="TableStyleLight1 2 11 6" xfId="23570"/>
    <cellStyle name="TableStyleLight1 2 11_Tertiary Salaries Survey" xfId="23571"/>
    <cellStyle name="TableStyleLight1 2 12" xfId="23572"/>
    <cellStyle name="TableStyleLight1 2 13" xfId="23573"/>
    <cellStyle name="TableStyleLight1 2 14" xfId="23574"/>
    <cellStyle name="TableStyleLight1 2 2" xfId="23575"/>
    <cellStyle name="TableStyleLight1 2 2 2" xfId="23576"/>
    <cellStyle name="TableStyleLight1 2 2 2 2" xfId="23577"/>
    <cellStyle name="TableStyleLight1 2 2 2 2 2" xfId="23578"/>
    <cellStyle name="TableStyleLight1 2 2 2 2 3" xfId="23579"/>
    <cellStyle name="TableStyleLight1 2 2 2 2 4" xfId="23580"/>
    <cellStyle name="TableStyleLight1 2 2 2 2 5" xfId="23581"/>
    <cellStyle name="TableStyleLight1 2 2 2 2_Tertiary Salaries Survey" xfId="23582"/>
    <cellStyle name="TableStyleLight1 2 2 2 3" xfId="23583"/>
    <cellStyle name="TableStyleLight1 2 2 2 3 2" xfId="23584"/>
    <cellStyle name="TableStyleLight1 2 2 2 3 3" xfId="23585"/>
    <cellStyle name="TableStyleLight1 2 2 2 3 4" xfId="23586"/>
    <cellStyle name="TableStyleLight1 2 2 2 3_Tertiary Salaries Survey" xfId="23587"/>
    <cellStyle name="TableStyleLight1 2 2 2 4" xfId="23588"/>
    <cellStyle name="TableStyleLight1 2 2 2 5" xfId="23589"/>
    <cellStyle name="TableStyleLight1 2 2 2 6" xfId="23590"/>
    <cellStyle name="TableStyleLight1 2 2 2_STUD aligned by INSTIT" xfId="23591"/>
    <cellStyle name="TableStyleLight1 2 2 3" xfId="23592"/>
    <cellStyle name="TableStyleLight1 2 2 3 2" xfId="23593"/>
    <cellStyle name="TableStyleLight1 2 2 3 3" xfId="23594"/>
    <cellStyle name="TableStyleLight1 2 2 3 4" xfId="23595"/>
    <cellStyle name="TableStyleLight1 2 2 3 5" xfId="23596"/>
    <cellStyle name="TableStyleLight1 2 2 3_Tertiary Salaries Survey" xfId="23597"/>
    <cellStyle name="TableStyleLight1 2 2 4" xfId="23598"/>
    <cellStyle name="TableStyleLight1 2 2 4 2" xfId="23599"/>
    <cellStyle name="TableStyleLight1 2 2 4 3" xfId="23600"/>
    <cellStyle name="TableStyleLight1 2 2 4 4" xfId="23601"/>
    <cellStyle name="TableStyleLight1 2 2 4_Tertiary Salaries Survey" xfId="23602"/>
    <cellStyle name="TableStyleLight1 2 2 5" xfId="23603"/>
    <cellStyle name="TableStyleLight1 2 2 6" xfId="23604"/>
    <cellStyle name="TableStyleLight1 2 2 7" xfId="23605"/>
    <cellStyle name="TableStyleLight1 2 2_STUD aligned by INSTIT" xfId="23606"/>
    <cellStyle name="TableStyleLight1 2 3" xfId="23607"/>
    <cellStyle name="TableStyleLight1 2 3 2" xfId="23608"/>
    <cellStyle name="TableStyleLight1 2 3 2 2" xfId="23609"/>
    <cellStyle name="TableStyleLight1 2 3 2 3" xfId="23610"/>
    <cellStyle name="TableStyleLight1 2 3 2 4" xfId="23611"/>
    <cellStyle name="TableStyleLight1 2 3 2 5" xfId="23612"/>
    <cellStyle name="TableStyleLight1 2 3 2_Tertiary Salaries Survey" xfId="23613"/>
    <cellStyle name="TableStyleLight1 2 3 3" xfId="23614"/>
    <cellStyle name="TableStyleLight1 2 3 3 2" xfId="23615"/>
    <cellStyle name="TableStyleLight1 2 3 3 3" xfId="23616"/>
    <cellStyle name="TableStyleLight1 2 3 3 4" xfId="23617"/>
    <cellStyle name="TableStyleLight1 2 3 3_Tertiary Salaries Survey" xfId="23618"/>
    <cellStyle name="TableStyleLight1 2 3 4" xfId="23619"/>
    <cellStyle name="TableStyleLight1 2 3 5" xfId="23620"/>
    <cellStyle name="TableStyleLight1 2 3 6" xfId="23621"/>
    <cellStyle name="TableStyleLight1 2 3_STUD aligned by INSTIT" xfId="23622"/>
    <cellStyle name="TableStyleLight1 2 4" xfId="23623"/>
    <cellStyle name="TableStyleLight1 2 4 10" xfId="23624"/>
    <cellStyle name="TableStyleLight1 2 4 2" xfId="23625"/>
    <cellStyle name="TableStyleLight1 2 4 2 2" xfId="23626"/>
    <cellStyle name="TableStyleLight1 2 4 2 3" xfId="23627"/>
    <cellStyle name="TableStyleLight1 2 4 2 4" xfId="23628"/>
    <cellStyle name="TableStyleLight1 2 4 2 5" xfId="23629"/>
    <cellStyle name="TableStyleLight1 2 4 2_Tertiary Salaries Survey" xfId="23630"/>
    <cellStyle name="TableStyleLight1 2 4 3" xfId="23631"/>
    <cellStyle name="TableStyleLight1 2 4 3 2" xfId="23632"/>
    <cellStyle name="TableStyleLight1 2 4 3 2 2" xfId="23633"/>
    <cellStyle name="TableStyleLight1 2 4 3 2_Tertiary Salaries Survey" xfId="23634"/>
    <cellStyle name="TableStyleLight1 2 4 3 3" xfId="23635"/>
    <cellStyle name="TableStyleLight1 2 4 3 3 2" xfId="23636"/>
    <cellStyle name="TableStyleLight1 2 4 3 3_Tertiary Salaries Survey" xfId="23637"/>
    <cellStyle name="TableStyleLight1 2 4 3 4" xfId="23638"/>
    <cellStyle name="TableStyleLight1 2 4 3 5" xfId="23639"/>
    <cellStyle name="TableStyleLight1 2 4 3 6" xfId="23640"/>
    <cellStyle name="TableStyleLight1 2 4 3_Tertiary Salaries Survey" xfId="23641"/>
    <cellStyle name="TableStyleLight1 2 4 4" xfId="23642"/>
    <cellStyle name="TableStyleLight1 2 4 4 2" xfId="23643"/>
    <cellStyle name="TableStyleLight1 2 4 4 2 2" xfId="23644"/>
    <cellStyle name="TableStyleLight1 2 4 4 2_Tertiary Salaries Survey" xfId="23645"/>
    <cellStyle name="TableStyleLight1 2 4 4 3" xfId="23646"/>
    <cellStyle name="TableStyleLight1 2 4 4 3 2" xfId="23647"/>
    <cellStyle name="TableStyleLight1 2 4 4 3_Tertiary Salaries Survey" xfId="23648"/>
    <cellStyle name="TableStyleLight1 2 4 4 4" xfId="23649"/>
    <cellStyle name="TableStyleLight1 2 4 4 5" xfId="23650"/>
    <cellStyle name="TableStyleLight1 2 4 4 6" xfId="23651"/>
    <cellStyle name="TableStyleLight1 2 4 4_Tertiary Salaries Survey" xfId="23652"/>
    <cellStyle name="TableStyleLight1 2 4 5" xfId="23653"/>
    <cellStyle name="TableStyleLight1 2 4 5 2" xfId="23654"/>
    <cellStyle name="TableStyleLight1 2 4 5 2 2" xfId="23655"/>
    <cellStyle name="TableStyleLight1 2 4 5 2_Tertiary Salaries Survey" xfId="23656"/>
    <cellStyle name="TableStyleLight1 2 4 5 3" xfId="23657"/>
    <cellStyle name="TableStyleLight1 2 4 5 3 2" xfId="23658"/>
    <cellStyle name="TableStyleLight1 2 4 5 3_Tertiary Salaries Survey" xfId="23659"/>
    <cellStyle name="TableStyleLight1 2 4 5 4" xfId="23660"/>
    <cellStyle name="TableStyleLight1 2 4 5 5" xfId="23661"/>
    <cellStyle name="TableStyleLight1 2 4 5 6" xfId="23662"/>
    <cellStyle name="TableStyleLight1 2 4 5_Tertiary Salaries Survey" xfId="23663"/>
    <cellStyle name="TableStyleLight1 2 4 6" xfId="23664"/>
    <cellStyle name="TableStyleLight1 2 4 6 2" xfId="23665"/>
    <cellStyle name="TableStyleLight1 2 4 6 2 2" xfId="23666"/>
    <cellStyle name="TableStyleLight1 2 4 6 2_Tertiary Salaries Survey" xfId="23667"/>
    <cellStyle name="TableStyleLight1 2 4 6 3" xfId="23668"/>
    <cellStyle name="TableStyleLight1 2 4 6 3 2" xfId="23669"/>
    <cellStyle name="TableStyleLight1 2 4 6 3_Tertiary Salaries Survey" xfId="23670"/>
    <cellStyle name="TableStyleLight1 2 4 6 4" xfId="23671"/>
    <cellStyle name="TableStyleLight1 2 4 6 5" xfId="23672"/>
    <cellStyle name="TableStyleLight1 2 4 6 6" xfId="23673"/>
    <cellStyle name="TableStyleLight1 2 4 6_Tertiary Salaries Survey" xfId="23674"/>
    <cellStyle name="TableStyleLight1 2 4 7" xfId="23675"/>
    <cellStyle name="TableStyleLight1 2 4 8" xfId="23676"/>
    <cellStyle name="TableStyleLight1 2 4 9" xfId="23677"/>
    <cellStyle name="TableStyleLight1 2 4_STUD aligned by INSTIT" xfId="23678"/>
    <cellStyle name="TableStyleLight1 2 5" xfId="23679"/>
    <cellStyle name="TableStyleLight1 2 5 10" xfId="23680"/>
    <cellStyle name="TableStyleLight1 2 5 2" xfId="23681"/>
    <cellStyle name="TableStyleLight1 2 5 2 2" xfId="23682"/>
    <cellStyle name="TableStyleLight1 2 5 2 2 2" xfId="23683"/>
    <cellStyle name="TableStyleLight1 2 5 2 2_Tertiary Salaries Survey" xfId="23684"/>
    <cellStyle name="TableStyleLight1 2 5 2 3" xfId="23685"/>
    <cellStyle name="TableStyleLight1 2 5 2 3 2" xfId="23686"/>
    <cellStyle name="TableStyleLight1 2 5 2 3_Tertiary Salaries Survey" xfId="23687"/>
    <cellStyle name="TableStyleLight1 2 5 2 4" xfId="23688"/>
    <cellStyle name="TableStyleLight1 2 5 2 5" xfId="23689"/>
    <cellStyle name="TableStyleLight1 2 5 2_Tertiary Salaries Survey" xfId="23690"/>
    <cellStyle name="TableStyleLight1 2 5 3" xfId="23691"/>
    <cellStyle name="TableStyleLight1 2 5 3 2" xfId="23692"/>
    <cellStyle name="TableStyleLight1 2 5 3 2 2" xfId="23693"/>
    <cellStyle name="TableStyleLight1 2 5 3 2_Tertiary Salaries Survey" xfId="23694"/>
    <cellStyle name="TableStyleLight1 2 5 3 3" xfId="23695"/>
    <cellStyle name="TableStyleLight1 2 5 3 3 2" xfId="23696"/>
    <cellStyle name="TableStyleLight1 2 5 3 3_Tertiary Salaries Survey" xfId="23697"/>
    <cellStyle name="TableStyleLight1 2 5 3 4" xfId="23698"/>
    <cellStyle name="TableStyleLight1 2 5 3 5" xfId="23699"/>
    <cellStyle name="TableStyleLight1 2 5 3 6" xfId="23700"/>
    <cellStyle name="TableStyleLight1 2 5 3 7" xfId="23701"/>
    <cellStyle name="TableStyleLight1 2 5 3_Tertiary Salaries Survey" xfId="23702"/>
    <cellStyle name="TableStyleLight1 2 5 4" xfId="23703"/>
    <cellStyle name="TableStyleLight1 2 5 4 2" xfId="23704"/>
    <cellStyle name="TableStyleLight1 2 5 4 2 2" xfId="23705"/>
    <cellStyle name="TableStyleLight1 2 5 4 2_Tertiary Salaries Survey" xfId="23706"/>
    <cellStyle name="TableStyleLight1 2 5 4 3" xfId="23707"/>
    <cellStyle name="TableStyleLight1 2 5 4 3 2" xfId="23708"/>
    <cellStyle name="TableStyleLight1 2 5 4 3_Tertiary Salaries Survey" xfId="23709"/>
    <cellStyle name="TableStyleLight1 2 5 4 4" xfId="23710"/>
    <cellStyle name="TableStyleLight1 2 5 4 5" xfId="23711"/>
    <cellStyle name="TableStyleLight1 2 5 4 6" xfId="23712"/>
    <cellStyle name="TableStyleLight1 2 5 4_Tertiary Salaries Survey" xfId="23713"/>
    <cellStyle name="TableStyleLight1 2 5 5" xfId="23714"/>
    <cellStyle name="TableStyleLight1 2 5 5 2" xfId="23715"/>
    <cellStyle name="TableStyleLight1 2 5 5 2 2" xfId="23716"/>
    <cellStyle name="TableStyleLight1 2 5 5 2_Tertiary Salaries Survey" xfId="23717"/>
    <cellStyle name="TableStyleLight1 2 5 5 3" xfId="23718"/>
    <cellStyle name="TableStyleLight1 2 5 5 3 2" xfId="23719"/>
    <cellStyle name="TableStyleLight1 2 5 5 3_Tertiary Salaries Survey" xfId="23720"/>
    <cellStyle name="TableStyleLight1 2 5 5 4" xfId="23721"/>
    <cellStyle name="TableStyleLight1 2 5 5 5" xfId="23722"/>
    <cellStyle name="TableStyleLight1 2 5 5 6" xfId="23723"/>
    <cellStyle name="TableStyleLight1 2 5 5_Tertiary Salaries Survey" xfId="23724"/>
    <cellStyle name="TableStyleLight1 2 5 6" xfId="23725"/>
    <cellStyle name="TableStyleLight1 2 5 6 2" xfId="23726"/>
    <cellStyle name="TableStyleLight1 2 5 6 2 2" xfId="23727"/>
    <cellStyle name="TableStyleLight1 2 5 6 2_Tertiary Salaries Survey" xfId="23728"/>
    <cellStyle name="TableStyleLight1 2 5 6 3" xfId="23729"/>
    <cellStyle name="TableStyleLight1 2 5 6 3 2" xfId="23730"/>
    <cellStyle name="TableStyleLight1 2 5 6 3_Tertiary Salaries Survey" xfId="23731"/>
    <cellStyle name="TableStyleLight1 2 5 6 4" xfId="23732"/>
    <cellStyle name="TableStyleLight1 2 5 6 5" xfId="23733"/>
    <cellStyle name="TableStyleLight1 2 5 6 6" xfId="23734"/>
    <cellStyle name="TableStyleLight1 2 5 6_Tertiary Salaries Survey" xfId="23735"/>
    <cellStyle name="TableStyleLight1 2 5 7" xfId="23736"/>
    <cellStyle name="TableStyleLight1 2 5 7 2" xfId="23737"/>
    <cellStyle name="TableStyleLight1 2 5 7_Tertiary Salaries Survey" xfId="23738"/>
    <cellStyle name="TableStyleLight1 2 5 8" xfId="23739"/>
    <cellStyle name="TableStyleLight1 2 5 8 2" xfId="23740"/>
    <cellStyle name="TableStyleLight1 2 5 8_Tertiary Salaries Survey" xfId="23741"/>
    <cellStyle name="TableStyleLight1 2 5 9" xfId="23742"/>
    <cellStyle name="TableStyleLight1 2 5_STUD aligned by INSTIT" xfId="23743"/>
    <cellStyle name="TableStyleLight1 2 6" xfId="23744"/>
    <cellStyle name="TableStyleLight1 2 6 10" xfId="23745"/>
    <cellStyle name="TableStyleLight1 2 6 2" xfId="23746"/>
    <cellStyle name="TableStyleLight1 2 6 2 2" xfId="23747"/>
    <cellStyle name="TableStyleLight1 2 6 2 2 2" xfId="23748"/>
    <cellStyle name="TableStyleLight1 2 6 2 2_Tertiary Salaries Survey" xfId="23749"/>
    <cellStyle name="TableStyleLight1 2 6 2 3" xfId="23750"/>
    <cellStyle name="TableStyleLight1 2 6 2 3 2" xfId="23751"/>
    <cellStyle name="TableStyleLight1 2 6 2 3_Tertiary Salaries Survey" xfId="23752"/>
    <cellStyle name="TableStyleLight1 2 6 2 4" xfId="23753"/>
    <cellStyle name="TableStyleLight1 2 6 2 5" xfId="23754"/>
    <cellStyle name="TableStyleLight1 2 6 2_Tertiary Salaries Survey" xfId="23755"/>
    <cellStyle name="TableStyleLight1 2 6 3" xfId="23756"/>
    <cellStyle name="TableStyleLight1 2 6 3 2" xfId="23757"/>
    <cellStyle name="TableStyleLight1 2 6 3 2 2" xfId="23758"/>
    <cellStyle name="TableStyleLight1 2 6 3 2_Tertiary Salaries Survey" xfId="23759"/>
    <cellStyle name="TableStyleLight1 2 6 3 3" xfId="23760"/>
    <cellStyle name="TableStyleLight1 2 6 3 3 2" xfId="23761"/>
    <cellStyle name="TableStyleLight1 2 6 3 3_Tertiary Salaries Survey" xfId="23762"/>
    <cellStyle name="TableStyleLight1 2 6 3 4" xfId="23763"/>
    <cellStyle name="TableStyleLight1 2 6 3 5" xfId="23764"/>
    <cellStyle name="TableStyleLight1 2 6 3 6" xfId="23765"/>
    <cellStyle name="TableStyleLight1 2 6 3 7" xfId="23766"/>
    <cellStyle name="TableStyleLight1 2 6 3_Tertiary Salaries Survey" xfId="23767"/>
    <cellStyle name="TableStyleLight1 2 6 4" xfId="23768"/>
    <cellStyle name="TableStyleLight1 2 6 4 2" xfId="23769"/>
    <cellStyle name="TableStyleLight1 2 6 4 2 2" xfId="23770"/>
    <cellStyle name="TableStyleLight1 2 6 4 2_Tertiary Salaries Survey" xfId="23771"/>
    <cellStyle name="TableStyleLight1 2 6 4 3" xfId="23772"/>
    <cellStyle name="TableStyleLight1 2 6 4 3 2" xfId="23773"/>
    <cellStyle name="TableStyleLight1 2 6 4 3_Tertiary Salaries Survey" xfId="23774"/>
    <cellStyle name="TableStyleLight1 2 6 4 4" xfId="23775"/>
    <cellStyle name="TableStyleLight1 2 6 4 5" xfId="23776"/>
    <cellStyle name="TableStyleLight1 2 6 4 6" xfId="23777"/>
    <cellStyle name="TableStyleLight1 2 6 4_Tertiary Salaries Survey" xfId="23778"/>
    <cellStyle name="TableStyleLight1 2 6 5" xfId="23779"/>
    <cellStyle name="TableStyleLight1 2 6 5 2" xfId="23780"/>
    <cellStyle name="TableStyleLight1 2 6 5 2 2" xfId="23781"/>
    <cellStyle name="TableStyleLight1 2 6 5 2_Tertiary Salaries Survey" xfId="23782"/>
    <cellStyle name="TableStyleLight1 2 6 5 3" xfId="23783"/>
    <cellStyle name="TableStyleLight1 2 6 5 3 2" xfId="23784"/>
    <cellStyle name="TableStyleLight1 2 6 5 3_Tertiary Salaries Survey" xfId="23785"/>
    <cellStyle name="TableStyleLight1 2 6 5 4" xfId="23786"/>
    <cellStyle name="TableStyleLight1 2 6 5 5" xfId="23787"/>
    <cellStyle name="TableStyleLight1 2 6 5 6" xfId="23788"/>
    <cellStyle name="TableStyleLight1 2 6 5_Tertiary Salaries Survey" xfId="23789"/>
    <cellStyle name="TableStyleLight1 2 6 6" xfId="23790"/>
    <cellStyle name="TableStyleLight1 2 6 6 2" xfId="23791"/>
    <cellStyle name="TableStyleLight1 2 6 6 2 2" xfId="23792"/>
    <cellStyle name="TableStyleLight1 2 6 6 2_Tertiary Salaries Survey" xfId="23793"/>
    <cellStyle name="TableStyleLight1 2 6 6 3" xfId="23794"/>
    <cellStyle name="TableStyleLight1 2 6 6 3 2" xfId="23795"/>
    <cellStyle name="TableStyleLight1 2 6 6 3_Tertiary Salaries Survey" xfId="23796"/>
    <cellStyle name="TableStyleLight1 2 6 6 4" xfId="23797"/>
    <cellStyle name="TableStyleLight1 2 6 6 5" xfId="23798"/>
    <cellStyle name="TableStyleLight1 2 6 6 6" xfId="23799"/>
    <cellStyle name="TableStyleLight1 2 6 6_Tertiary Salaries Survey" xfId="23800"/>
    <cellStyle name="TableStyleLight1 2 6 7" xfId="23801"/>
    <cellStyle name="TableStyleLight1 2 6 7 2" xfId="23802"/>
    <cellStyle name="TableStyleLight1 2 6 7_Tertiary Salaries Survey" xfId="23803"/>
    <cellStyle name="TableStyleLight1 2 6 8" xfId="23804"/>
    <cellStyle name="TableStyleLight1 2 6 8 2" xfId="23805"/>
    <cellStyle name="TableStyleLight1 2 6 8_Tertiary Salaries Survey" xfId="23806"/>
    <cellStyle name="TableStyleLight1 2 6 9" xfId="23807"/>
    <cellStyle name="TableStyleLight1 2 6_STUD aligned by INSTIT" xfId="23808"/>
    <cellStyle name="TableStyleLight1 2 7" xfId="23809"/>
    <cellStyle name="TableStyleLight1 2 7 2" xfId="23810"/>
    <cellStyle name="TableStyleLight1 2 7 3" xfId="23811"/>
    <cellStyle name="TableStyleLight1 2 7 4" xfId="23812"/>
    <cellStyle name="TableStyleLight1 2 7 5" xfId="23813"/>
    <cellStyle name="TableStyleLight1 2 7_Tertiary Salaries Survey" xfId="23814"/>
    <cellStyle name="TableStyleLight1 2 8" xfId="23815"/>
    <cellStyle name="TableStyleLight1 2 8 2" xfId="23816"/>
    <cellStyle name="TableStyleLight1 2 8 2 2" xfId="23817"/>
    <cellStyle name="TableStyleLight1 2 8 2_Tertiary Salaries Survey" xfId="23818"/>
    <cellStyle name="TableStyleLight1 2 8 3" xfId="23819"/>
    <cellStyle name="TableStyleLight1 2 8 3 2" xfId="23820"/>
    <cellStyle name="TableStyleLight1 2 8 3_Tertiary Salaries Survey" xfId="23821"/>
    <cellStyle name="TableStyleLight1 2 8 4" xfId="23822"/>
    <cellStyle name="TableStyleLight1 2 8 5" xfId="23823"/>
    <cellStyle name="TableStyleLight1 2 8 6" xfId="23824"/>
    <cellStyle name="TableStyleLight1 2 8_Tertiary Salaries Survey" xfId="23825"/>
    <cellStyle name="TableStyleLight1 2 9" xfId="23826"/>
    <cellStyle name="TableStyleLight1 2 9 2" xfId="23827"/>
    <cellStyle name="TableStyleLight1 2 9 2 2" xfId="23828"/>
    <cellStyle name="TableStyleLight1 2 9 2_Tertiary Salaries Survey" xfId="23829"/>
    <cellStyle name="TableStyleLight1 2 9 3" xfId="23830"/>
    <cellStyle name="TableStyleLight1 2 9 3 2" xfId="23831"/>
    <cellStyle name="TableStyleLight1 2 9 3_Tertiary Salaries Survey" xfId="23832"/>
    <cellStyle name="TableStyleLight1 2 9 4" xfId="23833"/>
    <cellStyle name="TableStyleLight1 2 9 5" xfId="23834"/>
    <cellStyle name="TableStyleLight1 2 9 6" xfId="23835"/>
    <cellStyle name="TableStyleLight1 2 9_Tertiary Salaries Survey" xfId="23836"/>
    <cellStyle name="TableStyleLight1 2_STUD aligned by INSTIT" xfId="23837"/>
    <cellStyle name="TableStyleLight1 3" xfId="23838"/>
    <cellStyle name="TableStyleLight1 3 2" xfId="23839"/>
    <cellStyle name="TableStyleLight1 3 2 2" xfId="23840"/>
    <cellStyle name="TableStyleLight1 3 2 2 2" xfId="23841"/>
    <cellStyle name="TableStyleLight1 3 2 2 3" xfId="23842"/>
    <cellStyle name="TableStyleLight1 3 2 2 4" xfId="23843"/>
    <cellStyle name="TableStyleLight1 3 2 2 5" xfId="23844"/>
    <cellStyle name="TableStyleLight1 3 2 2_Tertiary Salaries Survey" xfId="23845"/>
    <cellStyle name="TableStyleLight1 3 2 3" xfId="23846"/>
    <cellStyle name="TableStyleLight1 3 2 3 2" xfId="23847"/>
    <cellStyle name="TableStyleLight1 3 2 3 3" xfId="23848"/>
    <cellStyle name="TableStyleLight1 3 2 3 4" xfId="23849"/>
    <cellStyle name="TableStyleLight1 3 2 3_Tertiary Salaries Survey" xfId="23850"/>
    <cellStyle name="TableStyleLight1 3 2 4" xfId="23851"/>
    <cellStyle name="TableStyleLight1 3 2 5" xfId="23852"/>
    <cellStyle name="TableStyleLight1 3 2 6" xfId="23853"/>
    <cellStyle name="TableStyleLight1 3 2_STUD aligned by INSTIT" xfId="23854"/>
    <cellStyle name="TableStyleLight1 3 3" xfId="23855"/>
    <cellStyle name="TableStyleLight1 3 3 2" xfId="23856"/>
    <cellStyle name="TableStyleLight1 3 3 3" xfId="23857"/>
    <cellStyle name="TableStyleLight1 3 3 4" xfId="23858"/>
    <cellStyle name="TableStyleLight1 3 3 5" xfId="23859"/>
    <cellStyle name="TableStyleLight1 3 3_Tertiary Salaries Survey" xfId="23860"/>
    <cellStyle name="TableStyleLight1 3 4" xfId="23861"/>
    <cellStyle name="TableStyleLight1 3 4 2" xfId="23862"/>
    <cellStyle name="TableStyleLight1 3 4 3" xfId="23863"/>
    <cellStyle name="TableStyleLight1 3 4 4" xfId="23864"/>
    <cellStyle name="TableStyleLight1 3 4_Tertiary Salaries Survey" xfId="23865"/>
    <cellStyle name="TableStyleLight1 3 5" xfId="23866"/>
    <cellStyle name="TableStyleLight1 3 6" xfId="23867"/>
    <cellStyle name="TableStyleLight1 3 7" xfId="23868"/>
    <cellStyle name="TableStyleLight1 3 8" xfId="23869"/>
    <cellStyle name="TableStyleLight1 3_STUD aligned by INSTIT" xfId="23870"/>
    <cellStyle name="TableStyleLight1 4" xfId="23871"/>
    <cellStyle name="TableStyleLight1 4 2" xfId="23872"/>
    <cellStyle name="TableStyleLight1 4 2 2" xfId="23873"/>
    <cellStyle name="TableStyleLight1 4 2 2 2" xfId="23874"/>
    <cellStyle name="TableStyleLight1 4 2 2 3" xfId="23875"/>
    <cellStyle name="TableStyleLight1 4 2 2 4" xfId="23876"/>
    <cellStyle name="TableStyleLight1 4 2 2 5" xfId="23877"/>
    <cellStyle name="TableStyleLight1 4 2 2_Tertiary Salaries Survey" xfId="23878"/>
    <cellStyle name="TableStyleLight1 4 2 3" xfId="23879"/>
    <cellStyle name="TableStyleLight1 4 2 3 2" xfId="23880"/>
    <cellStyle name="TableStyleLight1 4 2 3 3" xfId="23881"/>
    <cellStyle name="TableStyleLight1 4 2 3 4" xfId="23882"/>
    <cellStyle name="TableStyleLight1 4 2 3_Tertiary Salaries Survey" xfId="23883"/>
    <cellStyle name="TableStyleLight1 4 2 4" xfId="23884"/>
    <cellStyle name="TableStyleLight1 4 2 5" xfId="23885"/>
    <cellStyle name="TableStyleLight1 4 2 6" xfId="23886"/>
    <cellStyle name="TableStyleLight1 4 2_STUD aligned by INSTIT" xfId="23887"/>
    <cellStyle name="TableStyleLight1 4 3" xfId="23888"/>
    <cellStyle name="TableStyleLight1 4 3 2" xfId="23889"/>
    <cellStyle name="TableStyleLight1 4 3 3" xfId="23890"/>
    <cellStyle name="TableStyleLight1 4 3 4" xfId="23891"/>
    <cellStyle name="TableStyleLight1 4 3 5" xfId="23892"/>
    <cellStyle name="TableStyleLight1 4 3_Tertiary Salaries Survey" xfId="23893"/>
    <cellStyle name="TableStyleLight1 4 4" xfId="23894"/>
    <cellStyle name="TableStyleLight1 4 4 2" xfId="23895"/>
    <cellStyle name="TableStyleLight1 4 4 3" xfId="23896"/>
    <cellStyle name="TableStyleLight1 4 4 4" xfId="23897"/>
    <cellStyle name="TableStyleLight1 4 4_Tertiary Salaries Survey" xfId="23898"/>
    <cellStyle name="TableStyleLight1 4 5" xfId="23899"/>
    <cellStyle name="TableStyleLight1 4 6" xfId="23900"/>
    <cellStyle name="TableStyleLight1 4 7" xfId="23901"/>
    <cellStyle name="TableStyleLight1 4 8" xfId="23902"/>
    <cellStyle name="TableStyleLight1 4_STUD aligned by INSTIT" xfId="23903"/>
    <cellStyle name="TableStyleLight1 5" xfId="23904"/>
    <cellStyle name="TableStyleLight1 6" xfId="23905"/>
    <cellStyle name="TableStyleLight1 6 10" xfId="23906"/>
    <cellStyle name="TableStyleLight1 6 2" xfId="23907"/>
    <cellStyle name="TableStyleLight1 6 2 2" xfId="23908"/>
    <cellStyle name="TableStyleLight1 6 2 3" xfId="23909"/>
    <cellStyle name="TableStyleLight1 6 2 4" xfId="23910"/>
    <cellStyle name="TableStyleLight1 6 2 5" xfId="23911"/>
    <cellStyle name="TableStyleLight1 6 2_Tertiary Salaries Survey" xfId="23912"/>
    <cellStyle name="TableStyleLight1 6 3" xfId="23913"/>
    <cellStyle name="TableStyleLight1 6 3 2" xfId="23914"/>
    <cellStyle name="TableStyleLight1 6 3 2 2" xfId="23915"/>
    <cellStyle name="TableStyleLight1 6 3 2_Tertiary Salaries Survey" xfId="23916"/>
    <cellStyle name="TableStyleLight1 6 3 3" xfId="23917"/>
    <cellStyle name="TableStyleLight1 6 3 3 2" xfId="23918"/>
    <cellStyle name="TableStyleLight1 6 3 3_Tertiary Salaries Survey" xfId="23919"/>
    <cellStyle name="TableStyleLight1 6 3 4" xfId="23920"/>
    <cellStyle name="TableStyleLight1 6 3 5" xfId="23921"/>
    <cellStyle name="TableStyleLight1 6 3 6" xfId="23922"/>
    <cellStyle name="TableStyleLight1 6 3_Tertiary Salaries Survey" xfId="23923"/>
    <cellStyle name="TableStyleLight1 6 4" xfId="23924"/>
    <cellStyle name="TableStyleLight1 6 4 2" xfId="23925"/>
    <cellStyle name="TableStyleLight1 6 4 2 2" xfId="23926"/>
    <cellStyle name="TableStyleLight1 6 4 2_Tertiary Salaries Survey" xfId="23927"/>
    <cellStyle name="TableStyleLight1 6 4 3" xfId="23928"/>
    <cellStyle name="TableStyleLight1 6 4 3 2" xfId="23929"/>
    <cellStyle name="TableStyleLight1 6 4 3_Tertiary Salaries Survey" xfId="23930"/>
    <cellStyle name="TableStyleLight1 6 4 4" xfId="23931"/>
    <cellStyle name="TableStyleLight1 6 4 5" xfId="23932"/>
    <cellStyle name="TableStyleLight1 6 4 6" xfId="23933"/>
    <cellStyle name="TableStyleLight1 6 4_Tertiary Salaries Survey" xfId="23934"/>
    <cellStyle name="TableStyleLight1 6 5" xfId="23935"/>
    <cellStyle name="TableStyleLight1 6 5 2" xfId="23936"/>
    <cellStyle name="TableStyleLight1 6 5 2 2" xfId="23937"/>
    <cellStyle name="TableStyleLight1 6 5 2_Tertiary Salaries Survey" xfId="23938"/>
    <cellStyle name="TableStyleLight1 6 5 3" xfId="23939"/>
    <cellStyle name="TableStyleLight1 6 5 3 2" xfId="23940"/>
    <cellStyle name="TableStyleLight1 6 5 3_Tertiary Salaries Survey" xfId="23941"/>
    <cellStyle name="TableStyleLight1 6 5 4" xfId="23942"/>
    <cellStyle name="TableStyleLight1 6 5 5" xfId="23943"/>
    <cellStyle name="TableStyleLight1 6 5 6" xfId="23944"/>
    <cellStyle name="TableStyleLight1 6 5_Tertiary Salaries Survey" xfId="23945"/>
    <cellStyle name="TableStyleLight1 6 6" xfId="23946"/>
    <cellStyle name="TableStyleLight1 6 6 2" xfId="23947"/>
    <cellStyle name="TableStyleLight1 6 6 2 2" xfId="23948"/>
    <cellStyle name="TableStyleLight1 6 6 2_Tertiary Salaries Survey" xfId="23949"/>
    <cellStyle name="TableStyleLight1 6 6 3" xfId="23950"/>
    <cellStyle name="TableStyleLight1 6 6 3 2" xfId="23951"/>
    <cellStyle name="TableStyleLight1 6 6 3_Tertiary Salaries Survey" xfId="23952"/>
    <cellStyle name="TableStyleLight1 6 6 4" xfId="23953"/>
    <cellStyle name="TableStyleLight1 6 6 5" xfId="23954"/>
    <cellStyle name="TableStyleLight1 6 6 6" xfId="23955"/>
    <cellStyle name="TableStyleLight1 6 6_Tertiary Salaries Survey" xfId="23956"/>
    <cellStyle name="TableStyleLight1 6 7" xfId="23957"/>
    <cellStyle name="TableStyleLight1 6 8" xfId="23958"/>
    <cellStyle name="TableStyleLight1 6 9" xfId="23959"/>
    <cellStyle name="TableStyleLight1 6_STUD aligned by INSTIT" xfId="23960"/>
    <cellStyle name="TableStyleLight1 7" xfId="23961"/>
    <cellStyle name="TableStyleLight1 7 10" xfId="23962"/>
    <cellStyle name="TableStyleLight1 7 2" xfId="23963"/>
    <cellStyle name="TableStyleLight1 7 2 2" xfId="23964"/>
    <cellStyle name="TableStyleLight1 7 2 2 2" xfId="23965"/>
    <cellStyle name="TableStyleLight1 7 2 2_Tertiary Salaries Survey" xfId="23966"/>
    <cellStyle name="TableStyleLight1 7 2 3" xfId="23967"/>
    <cellStyle name="TableStyleLight1 7 2 3 2" xfId="23968"/>
    <cellStyle name="TableStyleLight1 7 2 3_Tertiary Salaries Survey" xfId="23969"/>
    <cellStyle name="TableStyleLight1 7 2 4" xfId="23970"/>
    <cellStyle name="TableStyleLight1 7 2 5" xfId="23971"/>
    <cellStyle name="TableStyleLight1 7 2_Tertiary Salaries Survey" xfId="23972"/>
    <cellStyle name="TableStyleLight1 7 3" xfId="23973"/>
    <cellStyle name="TableStyleLight1 7 3 2" xfId="23974"/>
    <cellStyle name="TableStyleLight1 7 3 2 2" xfId="23975"/>
    <cellStyle name="TableStyleLight1 7 3 2_Tertiary Salaries Survey" xfId="23976"/>
    <cellStyle name="TableStyleLight1 7 3 3" xfId="23977"/>
    <cellStyle name="TableStyleLight1 7 3 3 2" xfId="23978"/>
    <cellStyle name="TableStyleLight1 7 3 3_Tertiary Salaries Survey" xfId="23979"/>
    <cellStyle name="TableStyleLight1 7 3 4" xfId="23980"/>
    <cellStyle name="TableStyleLight1 7 3 5" xfId="23981"/>
    <cellStyle name="TableStyleLight1 7 3 6" xfId="23982"/>
    <cellStyle name="TableStyleLight1 7 3 7" xfId="23983"/>
    <cellStyle name="TableStyleLight1 7 3_Tertiary Salaries Survey" xfId="23984"/>
    <cellStyle name="TableStyleLight1 7 4" xfId="23985"/>
    <cellStyle name="TableStyleLight1 7 4 2" xfId="23986"/>
    <cellStyle name="TableStyleLight1 7 4 2 2" xfId="23987"/>
    <cellStyle name="TableStyleLight1 7 4 2_Tertiary Salaries Survey" xfId="23988"/>
    <cellStyle name="TableStyleLight1 7 4 3" xfId="23989"/>
    <cellStyle name="TableStyleLight1 7 4 3 2" xfId="23990"/>
    <cellStyle name="TableStyleLight1 7 4 3_Tertiary Salaries Survey" xfId="23991"/>
    <cellStyle name="TableStyleLight1 7 4 4" xfId="23992"/>
    <cellStyle name="TableStyleLight1 7 4 5" xfId="23993"/>
    <cellStyle name="TableStyleLight1 7 4 6" xfId="23994"/>
    <cellStyle name="TableStyleLight1 7 4_Tertiary Salaries Survey" xfId="23995"/>
    <cellStyle name="TableStyleLight1 7 5" xfId="23996"/>
    <cellStyle name="TableStyleLight1 7 5 2" xfId="23997"/>
    <cellStyle name="TableStyleLight1 7 5 2 2" xfId="23998"/>
    <cellStyle name="TableStyleLight1 7 5 2_Tertiary Salaries Survey" xfId="23999"/>
    <cellStyle name="TableStyleLight1 7 5 3" xfId="24000"/>
    <cellStyle name="TableStyleLight1 7 5 3 2" xfId="24001"/>
    <cellStyle name="TableStyleLight1 7 5 3_Tertiary Salaries Survey" xfId="24002"/>
    <cellStyle name="TableStyleLight1 7 5 4" xfId="24003"/>
    <cellStyle name="TableStyleLight1 7 5 5" xfId="24004"/>
    <cellStyle name="TableStyleLight1 7 5 6" xfId="24005"/>
    <cellStyle name="TableStyleLight1 7 5_Tertiary Salaries Survey" xfId="24006"/>
    <cellStyle name="TableStyleLight1 7 6" xfId="24007"/>
    <cellStyle name="TableStyleLight1 7 6 2" xfId="24008"/>
    <cellStyle name="TableStyleLight1 7 6 2 2" xfId="24009"/>
    <cellStyle name="TableStyleLight1 7 6 2_Tertiary Salaries Survey" xfId="24010"/>
    <cellStyle name="TableStyleLight1 7 6 3" xfId="24011"/>
    <cellStyle name="TableStyleLight1 7 6 3 2" xfId="24012"/>
    <cellStyle name="TableStyleLight1 7 6 3_Tertiary Salaries Survey" xfId="24013"/>
    <cellStyle name="TableStyleLight1 7 6 4" xfId="24014"/>
    <cellStyle name="TableStyleLight1 7 6 5" xfId="24015"/>
    <cellStyle name="TableStyleLight1 7 6 6" xfId="24016"/>
    <cellStyle name="TableStyleLight1 7 6_Tertiary Salaries Survey" xfId="24017"/>
    <cellStyle name="TableStyleLight1 7 7" xfId="24018"/>
    <cellStyle name="TableStyleLight1 7 7 2" xfId="24019"/>
    <cellStyle name="TableStyleLight1 7 7_Tertiary Salaries Survey" xfId="24020"/>
    <cellStyle name="TableStyleLight1 7 8" xfId="24021"/>
    <cellStyle name="TableStyleLight1 7 8 2" xfId="24022"/>
    <cellStyle name="TableStyleLight1 7 8_Tertiary Salaries Survey" xfId="24023"/>
    <cellStyle name="TableStyleLight1 7 9" xfId="24024"/>
    <cellStyle name="TableStyleLight1 7_STUD aligned by INSTIT" xfId="24025"/>
    <cellStyle name="TableStyleLight1 8" xfId="24026"/>
    <cellStyle name="TableStyleLight1 8 2" xfId="24027"/>
    <cellStyle name="TableStyleLight1 8 3" xfId="24028"/>
    <cellStyle name="TableStyleLight1 8 4" xfId="24029"/>
    <cellStyle name="TableStyleLight1 8 5" xfId="24030"/>
    <cellStyle name="TableStyleLight1 8_Tertiary Salaries Survey" xfId="24031"/>
    <cellStyle name="TableStyleLight1 9" xfId="24032"/>
    <cellStyle name="TableStyleLight1_STUD aligned by INSTIT" xfId="24033"/>
    <cellStyle name="temp" xfId="24034"/>
    <cellStyle name="temp 2" xfId="24035"/>
    <cellStyle name="tête chapitre" xfId="24036"/>
    <cellStyle name="TEXT" xfId="24037"/>
    <cellStyle name="title1" xfId="24038"/>
    <cellStyle name="title1 2" xfId="24039"/>
    <cellStyle name="Titles" xfId="24040"/>
    <cellStyle name="titre" xfId="24041"/>
    <cellStyle name="Tusental (0)_Blad2" xfId="24042"/>
    <cellStyle name="Tusental 2" xfId="24043"/>
    <cellStyle name="Tusental_Blad2" xfId="24044"/>
    <cellStyle name="Valuta (0)_Blad2" xfId="24045"/>
    <cellStyle name="Valuta_Blad2" xfId="24046"/>
    <cellStyle name="Währung [0]_DIAGRAM" xfId="24047"/>
    <cellStyle name="Währung_DIAGRAM" xfId="24048"/>
    <cellStyle name="Wrapped" xfId="24049"/>
    <cellStyle name="자리수" xfId="24050"/>
    <cellStyle name="자리수0" xfId="24051"/>
    <cellStyle name="콤마 [0]_ACCOUNT" xfId="24052"/>
    <cellStyle name="콤마_ACCOUNT" xfId="24053"/>
    <cellStyle name="통화 [0]_ACCOUNT" xfId="24054"/>
    <cellStyle name="통화_ACCOUNT" xfId="24055"/>
    <cellStyle name="퍼센트" xfId="24056"/>
    <cellStyle name="표준 5" xfId="24057"/>
    <cellStyle name="표준_9511REV" xfId="24058"/>
    <cellStyle name="화폐기호" xfId="24059"/>
    <cellStyle name="화폐기호0" xfId="24060"/>
    <cellStyle name="標準 2" xfId="24061"/>
  </cellStyles>
  <dxfs count="2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84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ill>
        <patternFill>
          <bgColor theme="9" tint="0.59996337778862885"/>
        </patternFill>
      </fill>
    </dxf>
  </dxfs>
  <tableStyles count="2" defaultTableStyle="TableStyleMedium2" defaultPivotStyle="PivotStyleLight16">
    <tableStyle name="Estilo de tabla 1" pivot="0" count="0"/>
    <tableStyle name="Estilo de tabla 2" pivot="0" count="1">
      <tableStyleElement type="wholeTable" dxfId="20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9:F72" headerRowCount="0" headerRowDxfId="200" dataDxfId="199" totalsRowDxfId="198">
  <tableColumns count="5">
    <tableColumn id="1" name="Columna1" totalsRowLabel="Total" dataDxfId="197"/>
    <tableColumn id="2" name="Columna2" dataDxfId="196"/>
    <tableColumn id="3" name="Columna3" dataDxfId="195"/>
    <tableColumn id="4" name="Columna4" dataDxfId="194"/>
    <tableColumn id="5" name="Columna5" dataDxfId="193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5" name="Tabla5" displayName="Tabla5" ref="B10:J11" headerRowCount="0" totalsRowShown="0" headerRowDxfId="192" dataDxfId="190" headerRowBorderDxfId="191" tableBorderDxfId="189" totalsRowBorderDxfId="188">
  <tableColumns count="9">
    <tableColumn id="1" name="Columna1" headerRowDxfId="187" dataDxfId="186"/>
    <tableColumn id="2" name="Columna2" headerRowDxfId="185" dataDxfId="184"/>
    <tableColumn id="3" name="Columna3" headerRowDxfId="183" dataDxfId="182"/>
    <tableColumn id="6" name="Columna6" headerRowDxfId="181" dataDxfId="180"/>
    <tableColumn id="7" name="Columna7" headerRowDxfId="179" dataDxfId="178"/>
    <tableColumn id="10" name="Columna10" headerRowDxfId="177" dataDxfId="176"/>
    <tableColumn id="11" name="Columna11" headerRowDxfId="175" dataDxfId="174"/>
    <tableColumn id="14" name="Columna14" headerRowDxfId="173" dataDxfId="172"/>
    <tableColumn id="15" name="Columna15" headerRowDxfId="171" dataDxfId="1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a13" displayName="Tabla13" ref="B9:F72" headerRowCount="0" headerRowDxfId="169" dataDxfId="168" totalsRowDxfId="167">
  <tableColumns count="5">
    <tableColumn id="1" name="Columna1" totalsRowLabel="Total" dataDxfId="166"/>
    <tableColumn id="2" name="Columna2" dataDxfId="165"/>
    <tableColumn id="3" name="Columna3" dataDxfId="164"/>
    <tableColumn id="4" name="Columna4" dataDxfId="163"/>
    <tableColumn id="5" name="Columna5" dataDxfId="162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3" name="Tabla54" displayName="Tabla54" ref="B10:J11" headerRowCount="0" totalsRowShown="0" headerRowDxfId="161" dataDxfId="159" headerRowBorderDxfId="160" tableBorderDxfId="158" totalsRowBorderDxfId="157">
  <tableColumns count="9">
    <tableColumn id="1" name="Columna1" headerRowDxfId="156" dataDxfId="155"/>
    <tableColumn id="2" name="Columna2" headerRowDxfId="154" dataDxfId="153"/>
    <tableColumn id="3" name="Columna3" headerRowDxfId="152" dataDxfId="151"/>
    <tableColumn id="6" name="Columna6" headerRowDxfId="150" dataDxfId="149"/>
    <tableColumn id="7" name="Columna7" headerRowDxfId="148" dataDxfId="147"/>
    <tableColumn id="10" name="Columna10" headerRowDxfId="146" dataDxfId="145"/>
    <tableColumn id="11" name="Columna11" headerRowDxfId="144" dataDxfId="143"/>
    <tableColumn id="14" name="Columna14" headerRowDxfId="142" dataDxfId="141"/>
    <tableColumn id="15" name="Columna15" headerRowDxfId="140" dataDxfId="13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5" name="Tabla11516" displayName="Tabla11516" ref="B10:I73" headerRowCount="0" headerRowDxfId="138" dataDxfId="137" totalsRowDxfId="135" tableBorderDxfId="136">
  <tableColumns count="8">
    <tableColumn id="1" name="Columna1" totalsRowLabel="Total" dataDxfId="134"/>
    <tableColumn id="2" name="Columna2" dataDxfId="133"/>
    <tableColumn id="3" name="Columna3" dataDxfId="132"/>
    <tableColumn id="4" name="Columna4" dataDxfId="131"/>
    <tableColumn id="8" name="Columna8" dataDxfId="130"/>
    <tableColumn id="7" name="Columna7" dataDxfId="129"/>
    <tableColumn id="6" name="Columna6" dataDxfId="128"/>
    <tableColumn id="5" name="Columna5" dataDxfId="127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14" name="Tabla115" displayName="Tabla115" ref="B10:I73" headerRowCount="0" headerRowDxfId="126" dataDxfId="125" totalsRowDxfId="124">
  <tableColumns count="8">
    <tableColumn id="1" name="Columna1" totalsRowLabel="Total" dataDxfId="123"/>
    <tableColumn id="2" name="Columna2" dataDxfId="122"/>
    <tableColumn id="3" name="Columna3" dataDxfId="121"/>
    <tableColumn id="4" name="Columna4" dataDxfId="120"/>
    <tableColumn id="8" name="Columna8" dataDxfId="119"/>
    <tableColumn id="7" name="Columna7" dataDxfId="118"/>
    <tableColumn id="6" name="Columna6" dataDxfId="117"/>
    <tableColumn id="5" name="Columna5" dataDxfId="116"/>
  </tableColumns>
  <tableStyleInfo name="TableStyleMedium2" showFirstColumn="1" showLastColumn="0" showRowStripes="1" showColumnStripes="0"/>
</table>
</file>

<file path=xl/tables/table7.xml><?xml version="1.0" encoding="utf-8"?>
<table xmlns="http://schemas.openxmlformats.org/spreadsheetml/2006/main" id="10" name="Tabla10" displayName="Tabla10" ref="B10:P73" headerRowCount="0" totalsRowShown="0" headerRowDxfId="115" dataDxfId="114" tableBorderDxfId="113">
  <tableColumns count="15">
    <tableColumn id="1" name="Columna1" dataDxfId="112"/>
    <tableColumn id="2" name="Columna2" dataDxfId="111"/>
    <tableColumn id="3" name="Columna3" dataDxfId="110"/>
    <tableColumn id="4" name="Columna4" dataDxfId="109"/>
    <tableColumn id="5" name="Columna5" dataDxfId="108"/>
    <tableColumn id="6" name="Columna6" dataDxfId="107"/>
    <tableColumn id="7" name="Columna7" dataDxfId="106"/>
    <tableColumn id="8" name="Columna8" dataDxfId="105"/>
    <tableColumn id="9" name="Columna9" dataDxfId="104"/>
    <tableColumn id="10" name="Columna10" dataDxfId="103"/>
    <tableColumn id="11" name="Columna11" dataDxfId="102"/>
    <tableColumn id="12" name="Columna12" dataDxfId="101"/>
    <tableColumn id="13" name="Columna13" dataDxfId="100"/>
    <tableColumn id="14" name="Columna14" dataDxfId="99"/>
    <tableColumn id="15" name="Columna15" dataDxfId="9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1" name="Tabla512" displayName="Tabla512" ref="B11:R12" headerRowCount="0" totalsRowShown="0" headerRowDxfId="97" dataDxfId="95" headerRowBorderDxfId="96" tableBorderDxfId="94" totalsRowBorderDxfId="93">
  <tableColumns count="17">
    <tableColumn id="1" name="Columna1" headerRowDxfId="92" dataDxfId="91"/>
    <tableColumn id="2" name="Columna2" headerRowDxfId="90" dataDxfId="89"/>
    <tableColumn id="3" name="Columna3" headerRowDxfId="88" dataDxfId="87"/>
    <tableColumn id="6" name="Columna6" headerRowDxfId="86" dataDxfId="85"/>
    <tableColumn id="7" name="Columna7" headerRowDxfId="84" dataDxfId="83"/>
    <tableColumn id="10" name="Columna10" headerRowDxfId="82" dataDxfId="81"/>
    <tableColumn id="11" name="Columna11" headerRowDxfId="80" dataDxfId="79"/>
    <tableColumn id="14" name="Columna14" headerRowDxfId="78" dataDxfId="77"/>
    <tableColumn id="15" name="Columna15" headerRowDxfId="76" dataDxfId="75"/>
    <tableColumn id="4" name="Columna4" headerRowDxfId="74" dataDxfId="73"/>
    <tableColumn id="5" name="Columna5" headerRowDxfId="72" dataDxfId="71"/>
    <tableColumn id="8" name="Columna8" headerRowDxfId="70" dataDxfId="69"/>
    <tableColumn id="9" name="Columna9" headerRowDxfId="68" dataDxfId="67"/>
    <tableColumn id="12" name="Columna12" headerRowDxfId="66" dataDxfId="65"/>
    <tableColumn id="13" name="Columna13" headerRowDxfId="64" dataDxfId="63"/>
    <tableColumn id="16" name="Columna16" headerRowDxfId="62" dataDxfId="61"/>
    <tableColumn id="17" name="Columna17" headerRowDxfId="60" dataDxfId="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2" name="Tabla1013" displayName="Tabla1013" ref="B10:R73" headerRowCount="0" totalsRowShown="0" headerRowDxfId="58" dataDxfId="57" tableBorderDxfId="56">
  <tableColumns count="17">
    <tableColumn id="1" name="Columna1" dataDxfId="55"/>
    <tableColumn id="2" name="Columna2" dataDxfId="54"/>
    <tableColumn id="3" name="Columna3" dataDxfId="53"/>
    <tableColumn id="4" name="Columna4" dataDxfId="52"/>
    <tableColumn id="5" name="Columna5" dataDxfId="51"/>
    <tableColumn id="20" name="Columna19" dataDxfId="50"/>
    <tableColumn id="19" name="Columna18" dataDxfId="49"/>
    <tableColumn id="6" name="Columna6" dataDxfId="48"/>
    <tableColumn id="7" name="Columna7" dataDxfId="47"/>
    <tableColumn id="8" name="Columna8" dataDxfId="46"/>
    <tableColumn id="9" name="Columna9" dataDxfId="45"/>
    <tableColumn id="10" name="Columna10" dataDxfId="44"/>
    <tableColumn id="11" name="Columna11" dataDxfId="43"/>
    <tableColumn id="12" name="Columna12" dataDxfId="42"/>
    <tableColumn id="13" name="Columna13" dataDxfId="41"/>
    <tableColumn id="14" name="Columna14" dataDxfId="40"/>
    <tableColumn id="15" name="Columna15" dataDxfId="3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3" name="Tabla51214" displayName="Tabla51214" ref="B11:R12" headerRowCount="0" totalsRowShown="0" headerRowDxfId="38" dataDxfId="36" headerRowBorderDxfId="37" tableBorderDxfId="35" totalsRowBorderDxfId="34">
  <tableColumns count="17">
    <tableColumn id="1" name="Columna1" headerRowDxfId="33" dataDxfId="32"/>
    <tableColumn id="2" name="Columna2" headerRowDxfId="31" dataDxfId="30"/>
    <tableColumn id="3" name="Columna3" headerRowDxfId="29" dataDxfId="28"/>
    <tableColumn id="6" name="Columna6" headerRowDxfId="27" dataDxfId="26"/>
    <tableColumn id="7" name="Columna7" headerRowDxfId="25" dataDxfId="24"/>
    <tableColumn id="10" name="Columna10" headerRowDxfId="23" dataDxfId="22"/>
    <tableColumn id="11" name="Columna11" headerRowDxfId="21" dataDxfId="20"/>
    <tableColumn id="14" name="Columna14" headerRowDxfId="19" dataDxfId="18"/>
    <tableColumn id="15" name="Columna15" headerRowDxfId="17" dataDxfId="16"/>
    <tableColumn id="4" name="Columna4" headerRowDxfId="15" dataDxfId="14"/>
    <tableColumn id="5" name="Columna5" headerRowDxfId="13" dataDxfId="12"/>
    <tableColumn id="8" name="Columna8" headerRowDxfId="11" dataDxfId="10"/>
    <tableColumn id="9" name="Columna9" headerRowDxfId="9" dataDxfId="8"/>
    <tableColumn id="12" name="Columna12" headerRowDxfId="7" dataDxfId="6"/>
    <tableColumn id="13" name="Columna13" headerRowDxfId="5" dataDxfId="4"/>
    <tableColumn id="16" name="Columna16" headerRowDxfId="3" dataDxfId="2"/>
    <tableColumn id="17" name="Columna17" headerRowDxf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26"/>
  <sheetViews>
    <sheetView zoomScaleNormal="100" workbookViewId="0">
      <selection activeCell="A23" sqref="A23"/>
    </sheetView>
  </sheetViews>
  <sheetFormatPr baseColWidth="10" defaultRowHeight="15"/>
  <cols>
    <col min="1" max="1" width="18.28515625" style="12" customWidth="1"/>
    <col min="2" max="2" width="138.85546875" style="12" customWidth="1"/>
    <col min="3" max="16384" width="11.42578125" style="12"/>
  </cols>
  <sheetData>
    <row r="2" spans="1:16384" ht="21">
      <c r="A2" s="17" t="s">
        <v>1</v>
      </c>
      <c r="B2" s="63" t="s">
        <v>76</v>
      </c>
      <c r="C2" s="63"/>
      <c r="D2" s="63"/>
    </row>
    <row r="3" spans="1:16384" ht="18.75">
      <c r="A3" s="15"/>
      <c r="B3" s="15"/>
    </row>
    <row r="4" spans="1:16384" ht="15.75">
      <c r="A4" s="26" t="s">
        <v>75</v>
      </c>
      <c r="B4" s="23"/>
      <c r="C4" s="23"/>
      <c r="D4" s="23"/>
    </row>
    <row r="6" spans="1:16384" ht="15.75">
      <c r="A6" s="65" t="s">
        <v>74</v>
      </c>
      <c r="B6" s="65"/>
      <c r="C6" s="23"/>
      <c r="D6" s="23"/>
    </row>
    <row r="7" spans="1:16384">
      <c r="A7" s="4" t="s">
        <v>73</v>
      </c>
      <c r="B7" s="64" t="s">
        <v>72</v>
      </c>
      <c r="C7" s="64"/>
      <c r="D7" s="64"/>
    </row>
    <row r="8" spans="1:16384">
      <c r="A8" s="4" t="s">
        <v>77</v>
      </c>
      <c r="B8" s="64" t="s">
        <v>78</v>
      </c>
      <c r="C8" s="64"/>
      <c r="D8" s="64"/>
    </row>
    <row r="9" spans="1:16384">
      <c r="A9" s="66"/>
      <c r="B9" s="66"/>
      <c r="C9" s="66"/>
      <c r="D9" s="66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  <c r="PZ9" s="13"/>
      <c r="QA9" s="13"/>
      <c r="QB9" s="13"/>
      <c r="QC9" s="13"/>
      <c r="QD9" s="13"/>
      <c r="QE9" s="13"/>
      <c r="QF9" s="13"/>
      <c r="QG9" s="13"/>
      <c r="QH9" s="13"/>
      <c r="QI9" s="13"/>
      <c r="QJ9" s="13"/>
      <c r="QK9" s="13"/>
      <c r="QL9" s="13"/>
      <c r="QM9" s="13"/>
      <c r="QN9" s="13"/>
      <c r="QO9" s="13"/>
      <c r="QP9" s="13"/>
      <c r="QQ9" s="13"/>
      <c r="QR9" s="13"/>
      <c r="QS9" s="13"/>
      <c r="QT9" s="13"/>
      <c r="QU9" s="13"/>
      <c r="QV9" s="13"/>
      <c r="QW9" s="13"/>
      <c r="QX9" s="13"/>
      <c r="QY9" s="13"/>
      <c r="QZ9" s="13"/>
      <c r="RA9" s="13"/>
      <c r="RB9" s="13"/>
      <c r="RC9" s="13"/>
      <c r="RD9" s="13"/>
      <c r="RE9" s="13"/>
      <c r="RF9" s="13"/>
      <c r="RG9" s="13"/>
      <c r="RH9" s="13"/>
      <c r="RI9" s="13"/>
      <c r="RJ9" s="13"/>
      <c r="RK9" s="13"/>
      <c r="RL9" s="13"/>
      <c r="RM9" s="13"/>
      <c r="RN9" s="13"/>
      <c r="RO9" s="13"/>
      <c r="RP9" s="13"/>
      <c r="RQ9" s="13"/>
      <c r="RR9" s="13"/>
      <c r="RS9" s="13"/>
      <c r="RT9" s="13"/>
      <c r="RU9" s="13"/>
      <c r="RV9" s="13"/>
      <c r="RW9" s="13"/>
      <c r="RX9" s="13"/>
      <c r="RY9" s="13"/>
      <c r="RZ9" s="13"/>
      <c r="SA9" s="13"/>
      <c r="SB9" s="13"/>
      <c r="SC9" s="13"/>
      <c r="SD9" s="13"/>
      <c r="SE9" s="13"/>
      <c r="SF9" s="13"/>
      <c r="SG9" s="13"/>
      <c r="SH9" s="13"/>
      <c r="SI9" s="13"/>
      <c r="SJ9" s="13"/>
      <c r="SK9" s="13"/>
      <c r="SL9" s="13"/>
      <c r="SM9" s="13"/>
      <c r="SN9" s="13"/>
      <c r="SO9" s="13"/>
      <c r="SP9" s="13"/>
      <c r="SQ9" s="13"/>
      <c r="SR9" s="13"/>
      <c r="SS9" s="13"/>
      <c r="ST9" s="13"/>
      <c r="SU9" s="13"/>
      <c r="SV9" s="13"/>
      <c r="SW9" s="13"/>
      <c r="SX9" s="13"/>
      <c r="SY9" s="13"/>
      <c r="SZ9" s="13"/>
      <c r="TA9" s="13"/>
      <c r="TB9" s="13"/>
      <c r="TC9" s="13"/>
      <c r="TD9" s="13"/>
      <c r="TE9" s="13"/>
      <c r="TF9" s="13"/>
      <c r="TG9" s="13"/>
      <c r="TH9" s="13"/>
      <c r="TI9" s="13"/>
      <c r="TJ9" s="13"/>
      <c r="TK9" s="13"/>
      <c r="TL9" s="13"/>
      <c r="TM9" s="13"/>
      <c r="TN9" s="13"/>
      <c r="TO9" s="13"/>
      <c r="TP9" s="13"/>
      <c r="TQ9" s="13"/>
      <c r="TR9" s="13"/>
      <c r="TS9" s="13"/>
      <c r="TT9" s="13"/>
      <c r="TU9" s="13"/>
      <c r="TV9" s="13"/>
      <c r="TW9" s="13"/>
      <c r="TX9" s="13"/>
      <c r="TY9" s="13"/>
      <c r="TZ9" s="13"/>
      <c r="UA9" s="13"/>
      <c r="UB9" s="13"/>
      <c r="UC9" s="13"/>
      <c r="UD9" s="13"/>
      <c r="UE9" s="13"/>
      <c r="UF9" s="13"/>
      <c r="UG9" s="13"/>
      <c r="UH9" s="13"/>
      <c r="UI9" s="13"/>
      <c r="UJ9" s="13"/>
      <c r="UK9" s="13"/>
      <c r="UL9" s="13"/>
      <c r="UM9" s="13"/>
      <c r="UN9" s="13"/>
      <c r="UO9" s="13"/>
      <c r="UP9" s="13"/>
      <c r="UQ9" s="13"/>
      <c r="UR9" s="13"/>
      <c r="US9" s="13"/>
      <c r="UT9" s="13"/>
      <c r="UU9" s="13"/>
      <c r="UV9" s="13"/>
      <c r="UW9" s="13"/>
      <c r="UX9" s="13"/>
      <c r="UY9" s="13"/>
      <c r="UZ9" s="13"/>
      <c r="VA9" s="13"/>
      <c r="VB9" s="13"/>
      <c r="VC9" s="13"/>
      <c r="VD9" s="13"/>
      <c r="VE9" s="13"/>
      <c r="VF9" s="13"/>
      <c r="VG9" s="13"/>
      <c r="VH9" s="13"/>
      <c r="VI9" s="13"/>
      <c r="VJ9" s="13"/>
      <c r="VK9" s="13"/>
      <c r="VL9" s="13"/>
      <c r="VM9" s="13"/>
      <c r="VN9" s="13"/>
      <c r="VO9" s="13"/>
      <c r="VP9" s="13"/>
      <c r="VQ9" s="13"/>
      <c r="VR9" s="13"/>
      <c r="VS9" s="13"/>
      <c r="VT9" s="13"/>
      <c r="VU9" s="13"/>
      <c r="VV9" s="13"/>
      <c r="VW9" s="13"/>
      <c r="VX9" s="13"/>
      <c r="VY9" s="13"/>
      <c r="VZ9" s="13"/>
      <c r="WA9" s="13"/>
      <c r="WB9" s="13"/>
      <c r="WC9" s="13"/>
      <c r="WD9" s="13"/>
      <c r="WE9" s="13"/>
      <c r="WF9" s="13"/>
      <c r="WG9" s="13"/>
      <c r="WH9" s="13"/>
      <c r="WI9" s="13"/>
      <c r="WJ9" s="13"/>
      <c r="WK9" s="13"/>
      <c r="WL9" s="13"/>
      <c r="WM9" s="13"/>
      <c r="WN9" s="13"/>
      <c r="WO9" s="13"/>
      <c r="WP9" s="13"/>
      <c r="WQ9" s="13"/>
      <c r="WR9" s="13"/>
      <c r="WS9" s="13"/>
      <c r="WT9" s="13"/>
      <c r="WU9" s="13"/>
      <c r="WV9" s="13"/>
      <c r="WW9" s="13"/>
      <c r="WX9" s="13"/>
      <c r="WY9" s="13"/>
      <c r="WZ9" s="13"/>
      <c r="XA9" s="13"/>
      <c r="XB9" s="13"/>
      <c r="XC9" s="13"/>
      <c r="XD9" s="13"/>
      <c r="XE9" s="13"/>
      <c r="XF9" s="13"/>
      <c r="XG9" s="13"/>
      <c r="XH9" s="13"/>
      <c r="XI9" s="13"/>
      <c r="XJ9" s="13"/>
      <c r="XK9" s="13"/>
      <c r="XL9" s="13"/>
      <c r="XM9" s="13"/>
      <c r="XN9" s="13"/>
      <c r="XO9" s="13"/>
      <c r="XP9" s="13"/>
      <c r="XQ9" s="13"/>
      <c r="XR9" s="13"/>
      <c r="XS9" s="13"/>
      <c r="XT9" s="13"/>
      <c r="XU9" s="13"/>
      <c r="XV9" s="13"/>
      <c r="XW9" s="13"/>
      <c r="XX9" s="13"/>
      <c r="XY9" s="13"/>
      <c r="XZ9" s="13"/>
      <c r="YA9" s="13"/>
      <c r="YB9" s="13"/>
      <c r="YC9" s="13"/>
      <c r="YD9" s="13"/>
      <c r="YE9" s="13"/>
      <c r="YF9" s="13"/>
      <c r="YG9" s="13"/>
      <c r="YH9" s="13"/>
      <c r="YI9" s="13"/>
      <c r="YJ9" s="13"/>
      <c r="YK9" s="13"/>
      <c r="YL9" s="13"/>
      <c r="YM9" s="13"/>
      <c r="YN9" s="13"/>
      <c r="YO9" s="13"/>
      <c r="YP9" s="13"/>
      <c r="YQ9" s="13"/>
      <c r="YR9" s="13"/>
      <c r="YS9" s="13"/>
      <c r="YT9" s="13"/>
      <c r="YU9" s="13"/>
      <c r="YV9" s="13"/>
      <c r="YW9" s="13"/>
      <c r="YX9" s="13"/>
      <c r="YY9" s="13"/>
      <c r="YZ9" s="13"/>
      <c r="ZA9" s="13"/>
      <c r="ZB9" s="13"/>
      <c r="ZC9" s="13"/>
      <c r="ZD9" s="13"/>
      <c r="ZE9" s="13"/>
      <c r="ZF9" s="13"/>
      <c r="ZG9" s="13"/>
      <c r="ZH9" s="13"/>
      <c r="ZI9" s="13"/>
      <c r="ZJ9" s="13"/>
      <c r="ZK9" s="13"/>
      <c r="ZL9" s="13"/>
      <c r="ZM9" s="13"/>
      <c r="ZN9" s="13"/>
      <c r="ZO9" s="13"/>
      <c r="ZP9" s="13"/>
      <c r="ZQ9" s="13"/>
      <c r="ZR9" s="13"/>
      <c r="ZS9" s="13"/>
      <c r="ZT9" s="13"/>
      <c r="ZU9" s="13"/>
      <c r="ZV9" s="13"/>
      <c r="ZW9" s="13"/>
      <c r="ZX9" s="13"/>
      <c r="ZY9" s="13"/>
      <c r="ZZ9" s="13"/>
      <c r="AAA9" s="13"/>
      <c r="AAB9" s="13"/>
      <c r="AAC9" s="13"/>
      <c r="AAD9" s="13"/>
      <c r="AAE9" s="13"/>
      <c r="AAF9" s="13"/>
      <c r="AAG9" s="13"/>
      <c r="AAH9" s="13"/>
      <c r="AAI9" s="13"/>
      <c r="AAJ9" s="13"/>
      <c r="AAK9" s="13"/>
      <c r="AAL9" s="13"/>
      <c r="AAM9" s="13"/>
      <c r="AAN9" s="13"/>
      <c r="AAO9" s="13"/>
      <c r="AAP9" s="13"/>
      <c r="AAQ9" s="13"/>
      <c r="AAR9" s="13"/>
      <c r="AAS9" s="13"/>
      <c r="AAT9" s="13"/>
      <c r="AAU9" s="13"/>
      <c r="AAV9" s="13"/>
      <c r="AAW9" s="13"/>
      <c r="AAX9" s="13"/>
      <c r="AAY9" s="13"/>
      <c r="AAZ9" s="13"/>
      <c r="ABA9" s="13"/>
      <c r="ABB9" s="13"/>
      <c r="ABC9" s="13"/>
      <c r="ABD9" s="13"/>
      <c r="ABE9" s="13"/>
      <c r="ABF9" s="13"/>
      <c r="ABG9" s="13"/>
      <c r="ABH9" s="13"/>
      <c r="ABI9" s="13"/>
      <c r="ABJ9" s="13"/>
      <c r="ABK9" s="13"/>
      <c r="ABL9" s="13"/>
      <c r="ABM9" s="13"/>
      <c r="ABN9" s="13"/>
      <c r="ABO9" s="13"/>
      <c r="ABP9" s="13"/>
      <c r="ABQ9" s="13"/>
      <c r="ABR9" s="13"/>
      <c r="ABS9" s="13"/>
      <c r="ABT9" s="13"/>
      <c r="ABU9" s="13"/>
      <c r="ABV9" s="13"/>
      <c r="ABW9" s="13"/>
      <c r="ABX9" s="13"/>
      <c r="ABY9" s="13"/>
      <c r="ABZ9" s="13"/>
      <c r="ACA9" s="13"/>
      <c r="ACB9" s="13"/>
      <c r="ACC9" s="13"/>
      <c r="ACD9" s="13"/>
      <c r="ACE9" s="13"/>
      <c r="ACF9" s="13"/>
      <c r="ACG9" s="13"/>
      <c r="ACH9" s="13"/>
      <c r="ACI9" s="13"/>
      <c r="ACJ9" s="13"/>
      <c r="ACK9" s="13"/>
      <c r="ACL9" s="13"/>
      <c r="ACM9" s="13"/>
      <c r="ACN9" s="13"/>
      <c r="ACO9" s="13"/>
      <c r="ACP9" s="13"/>
      <c r="ACQ9" s="13"/>
      <c r="ACR9" s="13"/>
      <c r="ACS9" s="13"/>
      <c r="ACT9" s="13"/>
      <c r="ACU9" s="13"/>
      <c r="ACV9" s="13"/>
      <c r="ACW9" s="13"/>
      <c r="ACX9" s="13"/>
      <c r="ACY9" s="13"/>
      <c r="ACZ9" s="13"/>
      <c r="ADA9" s="13"/>
      <c r="ADB9" s="13"/>
      <c r="ADC9" s="13"/>
      <c r="ADD9" s="13"/>
      <c r="ADE9" s="13"/>
      <c r="ADF9" s="13"/>
      <c r="ADG9" s="13"/>
      <c r="ADH9" s="13"/>
      <c r="ADI9" s="13"/>
      <c r="ADJ9" s="13"/>
      <c r="ADK9" s="13"/>
      <c r="ADL9" s="13"/>
      <c r="ADM9" s="13"/>
      <c r="ADN9" s="13"/>
      <c r="ADO9" s="13"/>
      <c r="ADP9" s="13"/>
      <c r="ADQ9" s="13"/>
      <c r="ADR9" s="13"/>
      <c r="ADS9" s="13"/>
      <c r="ADT9" s="13"/>
      <c r="ADU9" s="13"/>
      <c r="ADV9" s="13"/>
      <c r="ADW9" s="13"/>
      <c r="ADX9" s="13"/>
      <c r="ADY9" s="13"/>
      <c r="ADZ9" s="13"/>
      <c r="AEA9" s="13"/>
      <c r="AEB9" s="13"/>
      <c r="AEC9" s="13"/>
      <c r="AED9" s="13"/>
      <c r="AEE9" s="13"/>
      <c r="AEF9" s="13"/>
      <c r="AEG9" s="13"/>
      <c r="AEH9" s="13"/>
      <c r="AEI9" s="13"/>
      <c r="AEJ9" s="13"/>
      <c r="AEK9" s="13"/>
      <c r="AEL9" s="13"/>
      <c r="AEM9" s="13"/>
      <c r="AEN9" s="13"/>
      <c r="AEO9" s="13"/>
      <c r="AEP9" s="13"/>
      <c r="AEQ9" s="13"/>
      <c r="AER9" s="13"/>
      <c r="AES9" s="13"/>
      <c r="AET9" s="13"/>
      <c r="AEU9" s="13"/>
      <c r="AEV9" s="13"/>
      <c r="AEW9" s="13"/>
      <c r="AEX9" s="13"/>
      <c r="AEY9" s="13"/>
      <c r="AEZ9" s="13"/>
      <c r="AFA9" s="13"/>
      <c r="AFB9" s="13"/>
      <c r="AFC9" s="13"/>
      <c r="AFD9" s="13"/>
      <c r="AFE9" s="13"/>
      <c r="AFF9" s="13"/>
      <c r="AFG9" s="13"/>
      <c r="AFH9" s="13"/>
      <c r="AFI9" s="13"/>
      <c r="AFJ9" s="13"/>
      <c r="AFK9" s="13"/>
      <c r="AFL9" s="13"/>
      <c r="AFM9" s="13"/>
      <c r="AFN9" s="13"/>
      <c r="AFO9" s="13"/>
      <c r="AFP9" s="13"/>
      <c r="AFQ9" s="13"/>
      <c r="AFR9" s="13"/>
      <c r="AFS9" s="13"/>
      <c r="AFT9" s="13"/>
      <c r="AFU9" s="13"/>
      <c r="AFV9" s="13"/>
      <c r="AFW9" s="13"/>
      <c r="AFX9" s="13"/>
      <c r="AFY9" s="13"/>
      <c r="AFZ9" s="13"/>
      <c r="AGA9" s="13"/>
      <c r="AGB9" s="13"/>
      <c r="AGC9" s="13"/>
      <c r="AGD9" s="13"/>
      <c r="AGE9" s="13"/>
      <c r="AGF9" s="13"/>
      <c r="AGG9" s="13"/>
      <c r="AGH9" s="13"/>
      <c r="AGI9" s="13"/>
      <c r="AGJ9" s="13"/>
      <c r="AGK9" s="13"/>
      <c r="AGL9" s="13"/>
      <c r="AGM9" s="13"/>
      <c r="AGN9" s="13"/>
      <c r="AGO9" s="13"/>
      <c r="AGP9" s="13"/>
      <c r="AGQ9" s="13"/>
      <c r="AGR9" s="13"/>
      <c r="AGS9" s="13"/>
      <c r="AGT9" s="13"/>
      <c r="AGU9" s="13"/>
      <c r="AGV9" s="13"/>
      <c r="AGW9" s="13"/>
      <c r="AGX9" s="13"/>
      <c r="AGY9" s="13"/>
      <c r="AGZ9" s="13"/>
      <c r="AHA9" s="13"/>
      <c r="AHB9" s="13"/>
      <c r="AHC9" s="13"/>
      <c r="AHD9" s="13"/>
      <c r="AHE9" s="13"/>
      <c r="AHF9" s="13"/>
      <c r="AHG9" s="13"/>
      <c r="AHH9" s="13"/>
      <c r="AHI9" s="13"/>
      <c r="AHJ9" s="13"/>
      <c r="AHK9" s="13"/>
      <c r="AHL9" s="13"/>
      <c r="AHM9" s="13"/>
      <c r="AHN9" s="13"/>
      <c r="AHO9" s="13"/>
      <c r="AHP9" s="13"/>
      <c r="AHQ9" s="13"/>
      <c r="AHR9" s="13"/>
      <c r="AHS9" s="13"/>
      <c r="AHT9" s="13"/>
      <c r="AHU9" s="13"/>
      <c r="AHV9" s="13"/>
      <c r="AHW9" s="13"/>
      <c r="AHX9" s="13"/>
      <c r="AHY9" s="13"/>
      <c r="AHZ9" s="13"/>
      <c r="AIA9" s="13"/>
      <c r="AIB9" s="13"/>
      <c r="AIC9" s="13"/>
      <c r="AID9" s="13"/>
      <c r="AIE9" s="13"/>
      <c r="AIF9" s="13"/>
      <c r="AIG9" s="13"/>
      <c r="AIH9" s="13"/>
      <c r="AII9" s="13"/>
      <c r="AIJ9" s="13"/>
      <c r="AIK9" s="13"/>
      <c r="AIL9" s="13"/>
      <c r="AIM9" s="13"/>
      <c r="AIN9" s="13"/>
      <c r="AIO9" s="13"/>
      <c r="AIP9" s="13"/>
      <c r="AIQ9" s="13"/>
      <c r="AIR9" s="13"/>
      <c r="AIS9" s="13"/>
      <c r="AIT9" s="13"/>
      <c r="AIU9" s="13"/>
      <c r="AIV9" s="13"/>
      <c r="AIW9" s="13"/>
      <c r="AIX9" s="13"/>
      <c r="AIY9" s="13"/>
      <c r="AIZ9" s="13"/>
      <c r="AJA9" s="13"/>
      <c r="AJB9" s="13"/>
      <c r="AJC9" s="13"/>
      <c r="AJD9" s="13"/>
      <c r="AJE9" s="13"/>
      <c r="AJF9" s="13"/>
      <c r="AJG9" s="13"/>
      <c r="AJH9" s="13"/>
      <c r="AJI9" s="13"/>
      <c r="AJJ9" s="13"/>
      <c r="AJK9" s="13"/>
      <c r="AJL9" s="13"/>
      <c r="AJM9" s="13"/>
      <c r="AJN9" s="13"/>
      <c r="AJO9" s="13"/>
      <c r="AJP9" s="13"/>
      <c r="AJQ9" s="13"/>
      <c r="AJR9" s="13"/>
      <c r="AJS9" s="13"/>
      <c r="AJT9" s="13"/>
      <c r="AJU9" s="13"/>
      <c r="AJV9" s="13"/>
      <c r="AJW9" s="13"/>
      <c r="AJX9" s="13"/>
      <c r="AJY9" s="13"/>
      <c r="AJZ9" s="13"/>
      <c r="AKA9" s="13"/>
      <c r="AKB9" s="13"/>
      <c r="AKC9" s="13"/>
      <c r="AKD9" s="13"/>
      <c r="AKE9" s="13"/>
      <c r="AKF9" s="13"/>
      <c r="AKG9" s="13"/>
      <c r="AKH9" s="13"/>
      <c r="AKI9" s="13"/>
      <c r="AKJ9" s="13"/>
      <c r="AKK9" s="13"/>
      <c r="AKL9" s="13"/>
      <c r="AKM9" s="13"/>
      <c r="AKN9" s="13"/>
      <c r="AKO9" s="13"/>
      <c r="AKP9" s="13"/>
      <c r="AKQ9" s="13"/>
      <c r="AKR9" s="13"/>
      <c r="AKS9" s="13"/>
      <c r="AKT9" s="13"/>
      <c r="AKU9" s="13"/>
      <c r="AKV9" s="13"/>
      <c r="AKW9" s="13"/>
      <c r="AKX9" s="13"/>
      <c r="AKY9" s="13"/>
      <c r="AKZ9" s="13"/>
      <c r="ALA9" s="13"/>
      <c r="ALB9" s="13"/>
      <c r="ALC9" s="13"/>
      <c r="ALD9" s="13"/>
      <c r="ALE9" s="13"/>
      <c r="ALF9" s="13"/>
      <c r="ALG9" s="13"/>
      <c r="ALH9" s="13"/>
      <c r="ALI9" s="13"/>
      <c r="ALJ9" s="13"/>
      <c r="ALK9" s="13"/>
      <c r="ALL9" s="13"/>
      <c r="ALM9" s="13"/>
      <c r="ALN9" s="13"/>
      <c r="ALO9" s="13"/>
      <c r="ALP9" s="13"/>
      <c r="ALQ9" s="13"/>
      <c r="ALR9" s="13"/>
      <c r="ALS9" s="13"/>
      <c r="ALT9" s="13"/>
      <c r="ALU9" s="13"/>
      <c r="ALV9" s="13"/>
      <c r="ALW9" s="13"/>
      <c r="ALX9" s="13"/>
      <c r="ALY9" s="13"/>
      <c r="ALZ9" s="13"/>
      <c r="AMA9" s="13"/>
      <c r="AMB9" s="13"/>
      <c r="AMC9" s="13"/>
      <c r="AMD9" s="13"/>
      <c r="AME9" s="13"/>
      <c r="AMF9" s="13"/>
      <c r="AMG9" s="13"/>
      <c r="AMH9" s="13"/>
      <c r="AMI9" s="13"/>
      <c r="AMJ9" s="13"/>
      <c r="AMK9" s="13"/>
      <c r="AML9" s="13"/>
      <c r="AMM9" s="13"/>
      <c r="AMN9" s="13"/>
      <c r="AMO9" s="13"/>
      <c r="AMP9" s="13"/>
      <c r="AMQ9" s="13"/>
      <c r="AMR9" s="13"/>
      <c r="AMS9" s="13"/>
      <c r="AMT9" s="13"/>
      <c r="AMU9" s="13"/>
      <c r="AMV9" s="13"/>
      <c r="AMW9" s="13"/>
      <c r="AMX9" s="13"/>
      <c r="AMY9" s="13"/>
      <c r="AMZ9" s="13"/>
      <c r="ANA9" s="13"/>
      <c r="ANB9" s="13"/>
      <c r="ANC9" s="13"/>
      <c r="AND9" s="13"/>
      <c r="ANE9" s="13"/>
      <c r="ANF9" s="13"/>
      <c r="ANG9" s="13"/>
      <c r="ANH9" s="13"/>
      <c r="ANI9" s="13"/>
      <c r="ANJ9" s="13"/>
      <c r="ANK9" s="13"/>
      <c r="ANL9" s="13"/>
      <c r="ANM9" s="13"/>
      <c r="ANN9" s="13"/>
      <c r="ANO9" s="13"/>
      <c r="ANP9" s="13"/>
      <c r="ANQ9" s="13"/>
      <c r="ANR9" s="13"/>
      <c r="ANS9" s="13"/>
      <c r="ANT9" s="13"/>
      <c r="ANU9" s="13"/>
      <c r="ANV9" s="13"/>
      <c r="ANW9" s="13"/>
      <c r="ANX9" s="13"/>
      <c r="ANY9" s="13"/>
      <c r="ANZ9" s="13"/>
      <c r="AOA9" s="13"/>
      <c r="AOB9" s="13"/>
      <c r="AOC9" s="13"/>
      <c r="AOD9" s="13"/>
      <c r="AOE9" s="13"/>
      <c r="AOF9" s="13"/>
      <c r="AOG9" s="13"/>
      <c r="AOH9" s="13"/>
      <c r="AOI9" s="13"/>
      <c r="AOJ9" s="13"/>
      <c r="AOK9" s="13"/>
      <c r="AOL9" s="13"/>
      <c r="AOM9" s="13"/>
      <c r="AON9" s="13"/>
      <c r="AOO9" s="13"/>
      <c r="AOP9" s="13"/>
      <c r="AOQ9" s="13"/>
      <c r="AOR9" s="13"/>
      <c r="AOS9" s="13"/>
      <c r="AOT9" s="13"/>
      <c r="AOU9" s="13"/>
      <c r="AOV9" s="13"/>
      <c r="AOW9" s="13"/>
      <c r="AOX9" s="13"/>
      <c r="AOY9" s="13"/>
      <c r="AOZ9" s="13"/>
      <c r="APA9" s="13"/>
      <c r="APB9" s="13"/>
      <c r="APC9" s="13"/>
      <c r="APD9" s="13"/>
      <c r="APE9" s="13"/>
      <c r="APF9" s="13"/>
      <c r="APG9" s="13"/>
      <c r="APH9" s="13"/>
      <c r="API9" s="13"/>
      <c r="APJ9" s="13"/>
      <c r="APK9" s="13"/>
      <c r="APL9" s="13"/>
      <c r="APM9" s="13"/>
      <c r="APN9" s="13"/>
      <c r="APO9" s="13"/>
      <c r="APP9" s="13"/>
      <c r="APQ9" s="13"/>
      <c r="APR9" s="13"/>
      <c r="APS9" s="13"/>
      <c r="APT9" s="13"/>
      <c r="APU9" s="13"/>
      <c r="APV9" s="13"/>
      <c r="APW9" s="13"/>
      <c r="APX9" s="13"/>
      <c r="APY9" s="13"/>
      <c r="APZ9" s="13"/>
      <c r="AQA9" s="13"/>
      <c r="AQB9" s="13"/>
      <c r="AQC9" s="13"/>
      <c r="AQD9" s="13"/>
      <c r="AQE9" s="13"/>
      <c r="AQF9" s="13"/>
      <c r="AQG9" s="13"/>
      <c r="AQH9" s="13"/>
      <c r="AQI9" s="13"/>
      <c r="AQJ9" s="13"/>
      <c r="AQK9" s="13"/>
      <c r="AQL9" s="13"/>
      <c r="AQM9" s="13"/>
      <c r="AQN9" s="13"/>
      <c r="AQO9" s="13"/>
      <c r="AQP9" s="13"/>
      <c r="AQQ9" s="13"/>
      <c r="AQR9" s="13"/>
      <c r="AQS9" s="13"/>
      <c r="AQT9" s="13"/>
      <c r="AQU9" s="13"/>
      <c r="AQV9" s="13"/>
      <c r="AQW9" s="13"/>
      <c r="AQX9" s="13"/>
      <c r="AQY9" s="13"/>
      <c r="AQZ9" s="13"/>
      <c r="ARA9" s="13"/>
      <c r="ARB9" s="13"/>
      <c r="ARC9" s="13"/>
      <c r="ARD9" s="13"/>
      <c r="ARE9" s="13"/>
      <c r="ARF9" s="13"/>
      <c r="ARG9" s="13"/>
      <c r="ARH9" s="13"/>
      <c r="ARI9" s="13"/>
      <c r="ARJ9" s="13"/>
      <c r="ARK9" s="13"/>
      <c r="ARL9" s="13"/>
      <c r="ARM9" s="13"/>
      <c r="ARN9" s="13"/>
      <c r="ARO9" s="13"/>
      <c r="ARP9" s="13"/>
      <c r="ARQ9" s="13"/>
      <c r="ARR9" s="13"/>
      <c r="ARS9" s="13"/>
      <c r="ART9" s="13"/>
      <c r="ARU9" s="13"/>
      <c r="ARV9" s="13"/>
      <c r="ARW9" s="13"/>
      <c r="ARX9" s="13"/>
      <c r="ARY9" s="13"/>
      <c r="ARZ9" s="13"/>
      <c r="ASA9" s="13"/>
      <c r="ASB9" s="13"/>
      <c r="ASC9" s="13"/>
      <c r="ASD9" s="13"/>
      <c r="ASE9" s="13"/>
      <c r="ASF9" s="13"/>
      <c r="ASG9" s="13"/>
      <c r="ASH9" s="13"/>
      <c r="ASI9" s="13"/>
      <c r="ASJ9" s="13"/>
      <c r="ASK9" s="13"/>
      <c r="ASL9" s="13"/>
      <c r="ASM9" s="13"/>
      <c r="ASN9" s="13"/>
      <c r="ASO9" s="13"/>
      <c r="ASP9" s="13"/>
      <c r="ASQ9" s="13"/>
      <c r="ASR9" s="13"/>
      <c r="ASS9" s="13"/>
      <c r="AST9" s="13"/>
      <c r="ASU9" s="13"/>
      <c r="ASV9" s="13"/>
      <c r="ASW9" s="13"/>
      <c r="ASX9" s="13"/>
      <c r="ASY9" s="13"/>
      <c r="ASZ9" s="13"/>
      <c r="ATA9" s="13"/>
      <c r="ATB9" s="13"/>
      <c r="ATC9" s="13"/>
      <c r="ATD9" s="13"/>
      <c r="ATE9" s="13"/>
      <c r="ATF9" s="13"/>
      <c r="ATG9" s="13"/>
      <c r="ATH9" s="13"/>
      <c r="ATI9" s="13"/>
      <c r="ATJ9" s="13"/>
      <c r="ATK9" s="13"/>
      <c r="ATL9" s="13"/>
      <c r="ATM9" s="13"/>
      <c r="ATN9" s="13"/>
      <c r="ATO9" s="13"/>
      <c r="ATP9" s="13"/>
      <c r="ATQ9" s="13"/>
      <c r="ATR9" s="13"/>
      <c r="ATS9" s="13"/>
      <c r="ATT9" s="13"/>
      <c r="ATU9" s="13"/>
      <c r="ATV9" s="13"/>
      <c r="ATW9" s="13"/>
      <c r="ATX9" s="13"/>
      <c r="ATY9" s="13"/>
      <c r="ATZ9" s="13"/>
      <c r="AUA9" s="13"/>
      <c r="AUB9" s="13"/>
      <c r="AUC9" s="13"/>
      <c r="AUD9" s="13"/>
      <c r="AUE9" s="13"/>
      <c r="AUF9" s="13"/>
      <c r="AUG9" s="13"/>
      <c r="AUH9" s="13"/>
      <c r="AUI9" s="13"/>
      <c r="AUJ9" s="13"/>
      <c r="AUK9" s="13"/>
      <c r="AUL9" s="13"/>
      <c r="AUM9" s="13"/>
      <c r="AUN9" s="13"/>
      <c r="AUO9" s="13"/>
      <c r="AUP9" s="13"/>
      <c r="AUQ9" s="13"/>
      <c r="AUR9" s="13"/>
      <c r="AUS9" s="13"/>
      <c r="AUT9" s="13"/>
      <c r="AUU9" s="13"/>
      <c r="AUV9" s="13"/>
      <c r="AUW9" s="13"/>
      <c r="AUX9" s="13"/>
      <c r="AUY9" s="13"/>
      <c r="AUZ9" s="13"/>
      <c r="AVA9" s="13"/>
      <c r="AVB9" s="13"/>
      <c r="AVC9" s="13"/>
      <c r="AVD9" s="13"/>
      <c r="AVE9" s="13"/>
      <c r="AVF9" s="13"/>
      <c r="AVG9" s="13"/>
      <c r="AVH9" s="13"/>
      <c r="AVI9" s="13"/>
      <c r="AVJ9" s="13"/>
      <c r="AVK9" s="13"/>
      <c r="AVL9" s="13"/>
      <c r="AVM9" s="13"/>
      <c r="AVN9" s="13"/>
      <c r="AVO9" s="13"/>
      <c r="AVP9" s="13"/>
      <c r="AVQ9" s="13"/>
      <c r="AVR9" s="13"/>
      <c r="AVS9" s="13"/>
      <c r="AVT9" s="13"/>
      <c r="AVU9" s="13"/>
      <c r="AVV9" s="13"/>
      <c r="AVW9" s="13"/>
      <c r="AVX9" s="13"/>
      <c r="AVY9" s="13"/>
      <c r="AVZ9" s="13"/>
      <c r="AWA9" s="13"/>
      <c r="AWB9" s="13"/>
      <c r="AWC9" s="13"/>
      <c r="AWD9" s="13"/>
      <c r="AWE9" s="13"/>
      <c r="AWF9" s="13"/>
      <c r="AWG9" s="13"/>
      <c r="AWH9" s="13"/>
      <c r="AWI9" s="13"/>
      <c r="AWJ9" s="13"/>
      <c r="AWK9" s="13"/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  <c r="AYP9" s="13"/>
      <c r="AYQ9" s="13"/>
      <c r="AYR9" s="13"/>
      <c r="AYS9" s="13"/>
      <c r="AYT9" s="13"/>
      <c r="AYU9" s="13"/>
      <c r="AYV9" s="13"/>
      <c r="AYW9" s="13"/>
      <c r="AYX9" s="13"/>
      <c r="AYY9" s="13"/>
      <c r="AYZ9" s="13"/>
      <c r="AZA9" s="13"/>
      <c r="AZB9" s="13"/>
      <c r="AZC9" s="13"/>
      <c r="AZD9" s="13"/>
      <c r="AZE9" s="13"/>
      <c r="AZF9" s="13"/>
      <c r="AZG9" s="13"/>
      <c r="AZH9" s="13"/>
      <c r="AZI9" s="13"/>
      <c r="AZJ9" s="13"/>
      <c r="AZK9" s="13"/>
      <c r="AZL9" s="13"/>
      <c r="AZM9" s="13"/>
      <c r="AZN9" s="13"/>
      <c r="AZO9" s="13"/>
      <c r="AZP9" s="13"/>
      <c r="AZQ9" s="13"/>
      <c r="AZR9" s="13"/>
      <c r="AZS9" s="13"/>
      <c r="AZT9" s="13"/>
      <c r="AZU9" s="13"/>
      <c r="AZV9" s="13"/>
      <c r="AZW9" s="13"/>
      <c r="AZX9" s="13"/>
      <c r="AZY9" s="13"/>
      <c r="AZZ9" s="13"/>
      <c r="BAA9" s="13"/>
      <c r="BAB9" s="13"/>
      <c r="BAC9" s="13"/>
      <c r="BAD9" s="13"/>
      <c r="BAE9" s="13"/>
      <c r="BAF9" s="13"/>
      <c r="BAG9" s="13"/>
      <c r="BAH9" s="13"/>
      <c r="BAI9" s="13"/>
      <c r="BAJ9" s="13"/>
      <c r="BAK9" s="13"/>
      <c r="BAL9" s="13"/>
      <c r="BAM9" s="13"/>
      <c r="BAN9" s="13"/>
      <c r="BAO9" s="13"/>
      <c r="BAP9" s="13"/>
      <c r="BAQ9" s="13"/>
      <c r="BAR9" s="13"/>
      <c r="BAS9" s="13"/>
      <c r="BAT9" s="13"/>
      <c r="BAU9" s="13"/>
      <c r="BAV9" s="13"/>
      <c r="BAW9" s="13"/>
      <c r="BAX9" s="13"/>
      <c r="BAY9" s="13"/>
      <c r="BAZ9" s="13"/>
      <c r="BBA9" s="13"/>
      <c r="BBB9" s="13"/>
      <c r="BBC9" s="13"/>
      <c r="BBD9" s="13"/>
      <c r="BBE9" s="13"/>
      <c r="BBF9" s="13"/>
      <c r="BBG9" s="13"/>
      <c r="BBH9" s="13"/>
      <c r="BBI9" s="13"/>
      <c r="BBJ9" s="13"/>
      <c r="BBK9" s="13"/>
      <c r="BBL9" s="13"/>
      <c r="BBM9" s="13"/>
      <c r="BBN9" s="13"/>
      <c r="BBO9" s="13"/>
      <c r="BBP9" s="13"/>
      <c r="BBQ9" s="13"/>
      <c r="BBR9" s="13"/>
      <c r="BBS9" s="13"/>
      <c r="BBT9" s="13"/>
      <c r="BBU9" s="13"/>
      <c r="BBV9" s="13"/>
      <c r="BBW9" s="13"/>
      <c r="BBX9" s="13"/>
      <c r="BBY9" s="13"/>
      <c r="BBZ9" s="13"/>
      <c r="BCA9" s="13"/>
      <c r="BCB9" s="13"/>
      <c r="BCC9" s="13"/>
      <c r="BCD9" s="13"/>
      <c r="BCE9" s="13"/>
      <c r="BCF9" s="13"/>
      <c r="BCG9" s="13"/>
      <c r="BCH9" s="13"/>
      <c r="BCI9" s="13"/>
      <c r="BCJ9" s="13"/>
      <c r="BCK9" s="13"/>
      <c r="BCL9" s="13"/>
      <c r="BCM9" s="13"/>
      <c r="BCN9" s="13"/>
      <c r="BCO9" s="13"/>
      <c r="BCP9" s="13"/>
      <c r="BCQ9" s="13"/>
      <c r="BCR9" s="13"/>
      <c r="BCS9" s="13"/>
      <c r="BCT9" s="13"/>
      <c r="BCU9" s="13"/>
      <c r="BCV9" s="13"/>
      <c r="BCW9" s="13"/>
      <c r="BCX9" s="13"/>
      <c r="BCY9" s="13"/>
      <c r="BCZ9" s="13"/>
      <c r="BDA9" s="13"/>
      <c r="BDB9" s="13"/>
      <c r="BDC9" s="13"/>
      <c r="BDD9" s="13"/>
      <c r="BDE9" s="13"/>
      <c r="BDF9" s="13"/>
      <c r="BDG9" s="13"/>
      <c r="BDH9" s="13"/>
      <c r="BDI9" s="13"/>
      <c r="BDJ9" s="13"/>
      <c r="BDK9" s="13"/>
      <c r="BDL9" s="13"/>
      <c r="BDM9" s="13"/>
      <c r="BDN9" s="13"/>
      <c r="BDO9" s="13"/>
      <c r="BDP9" s="13"/>
      <c r="BDQ9" s="13"/>
      <c r="BDR9" s="13"/>
      <c r="BDS9" s="13"/>
      <c r="BDT9" s="13"/>
      <c r="BDU9" s="13"/>
      <c r="BDV9" s="13"/>
      <c r="BDW9" s="13"/>
      <c r="BDX9" s="13"/>
      <c r="BDY9" s="13"/>
      <c r="BDZ9" s="13"/>
      <c r="BEA9" s="13"/>
      <c r="BEB9" s="13"/>
      <c r="BEC9" s="13"/>
      <c r="BED9" s="13"/>
      <c r="BEE9" s="13"/>
      <c r="BEF9" s="13"/>
      <c r="BEG9" s="13"/>
      <c r="BEH9" s="13"/>
      <c r="BEI9" s="13"/>
      <c r="BEJ9" s="13"/>
      <c r="BEK9" s="13"/>
      <c r="BEL9" s="13"/>
      <c r="BEM9" s="13"/>
      <c r="BEN9" s="13"/>
      <c r="BEO9" s="13"/>
      <c r="BEP9" s="13"/>
      <c r="BEQ9" s="13"/>
      <c r="BER9" s="13"/>
      <c r="BES9" s="13"/>
      <c r="BET9" s="13"/>
      <c r="BEU9" s="13"/>
      <c r="BEV9" s="13"/>
      <c r="BEW9" s="13"/>
      <c r="BEX9" s="13"/>
      <c r="BEY9" s="13"/>
      <c r="BEZ9" s="13"/>
      <c r="BFA9" s="13"/>
      <c r="BFB9" s="13"/>
      <c r="BFC9" s="13"/>
      <c r="BFD9" s="13"/>
      <c r="BFE9" s="13"/>
      <c r="BFF9" s="13"/>
      <c r="BFG9" s="13"/>
      <c r="BFH9" s="13"/>
      <c r="BFI9" s="13"/>
      <c r="BFJ9" s="13"/>
      <c r="BFK9" s="13"/>
      <c r="BFL9" s="13"/>
      <c r="BFM9" s="13"/>
      <c r="BFN9" s="13"/>
      <c r="BFO9" s="13"/>
      <c r="BFP9" s="13"/>
      <c r="BFQ9" s="13"/>
      <c r="BFR9" s="13"/>
      <c r="BFS9" s="13"/>
      <c r="BFT9" s="13"/>
      <c r="BFU9" s="13"/>
      <c r="BFV9" s="13"/>
      <c r="BFW9" s="13"/>
      <c r="BFX9" s="13"/>
      <c r="BFY9" s="13"/>
      <c r="BFZ9" s="13"/>
      <c r="BGA9" s="13"/>
      <c r="BGB9" s="13"/>
      <c r="BGC9" s="13"/>
      <c r="BGD9" s="13"/>
      <c r="BGE9" s="13"/>
      <c r="BGF9" s="13"/>
      <c r="BGG9" s="13"/>
      <c r="BGH9" s="13"/>
      <c r="BGI9" s="13"/>
      <c r="BGJ9" s="13"/>
      <c r="BGK9" s="13"/>
      <c r="BGL9" s="13"/>
      <c r="BGM9" s="13"/>
      <c r="BGN9" s="13"/>
      <c r="BGO9" s="13"/>
      <c r="BGP9" s="13"/>
      <c r="BGQ9" s="13"/>
      <c r="BGR9" s="13"/>
      <c r="BGS9" s="13"/>
      <c r="BGT9" s="13"/>
      <c r="BGU9" s="13"/>
      <c r="BGV9" s="13"/>
      <c r="BGW9" s="13"/>
      <c r="BGX9" s="13"/>
      <c r="BGY9" s="13"/>
      <c r="BGZ9" s="13"/>
      <c r="BHA9" s="13"/>
      <c r="BHB9" s="13"/>
      <c r="BHC9" s="13"/>
      <c r="BHD9" s="13"/>
      <c r="BHE9" s="13"/>
      <c r="BHF9" s="13"/>
      <c r="BHG9" s="13"/>
      <c r="BHH9" s="13"/>
      <c r="BHI9" s="13"/>
      <c r="BHJ9" s="13"/>
      <c r="BHK9" s="13"/>
      <c r="BHL9" s="13"/>
      <c r="BHM9" s="13"/>
      <c r="BHN9" s="13"/>
      <c r="BHO9" s="13"/>
      <c r="BHP9" s="13"/>
      <c r="BHQ9" s="13"/>
      <c r="BHR9" s="13"/>
      <c r="BHS9" s="13"/>
      <c r="BHT9" s="13"/>
      <c r="BHU9" s="13"/>
      <c r="BHV9" s="13"/>
      <c r="BHW9" s="13"/>
      <c r="BHX9" s="13"/>
      <c r="BHY9" s="13"/>
      <c r="BHZ9" s="13"/>
      <c r="BIA9" s="13"/>
      <c r="BIB9" s="13"/>
      <c r="BIC9" s="13"/>
      <c r="BID9" s="13"/>
      <c r="BIE9" s="13"/>
      <c r="BIF9" s="13"/>
      <c r="BIG9" s="13"/>
      <c r="BIH9" s="13"/>
      <c r="BII9" s="13"/>
      <c r="BIJ9" s="13"/>
      <c r="BIK9" s="13"/>
      <c r="BIL9" s="13"/>
      <c r="BIM9" s="13"/>
      <c r="BIN9" s="13"/>
      <c r="BIO9" s="13"/>
      <c r="BIP9" s="13"/>
      <c r="BIQ9" s="13"/>
      <c r="BIR9" s="13"/>
      <c r="BIS9" s="13"/>
      <c r="BIT9" s="13"/>
      <c r="BIU9" s="13"/>
      <c r="BIV9" s="13"/>
      <c r="BIW9" s="13"/>
      <c r="BIX9" s="13"/>
      <c r="BIY9" s="13"/>
      <c r="BIZ9" s="13"/>
      <c r="BJA9" s="13"/>
      <c r="BJB9" s="13"/>
      <c r="BJC9" s="13"/>
      <c r="BJD9" s="13"/>
      <c r="BJE9" s="13"/>
      <c r="BJF9" s="13"/>
      <c r="BJG9" s="13"/>
      <c r="BJH9" s="13"/>
      <c r="BJI9" s="13"/>
      <c r="BJJ9" s="13"/>
      <c r="BJK9" s="13"/>
      <c r="BJL9" s="13"/>
      <c r="BJM9" s="13"/>
      <c r="BJN9" s="13"/>
      <c r="BJO9" s="13"/>
      <c r="BJP9" s="13"/>
      <c r="BJQ9" s="13"/>
      <c r="BJR9" s="13"/>
      <c r="BJS9" s="13"/>
      <c r="BJT9" s="13"/>
      <c r="BJU9" s="13"/>
      <c r="BJV9" s="13"/>
      <c r="BJW9" s="13"/>
      <c r="BJX9" s="13"/>
      <c r="BJY9" s="13"/>
      <c r="BJZ9" s="13"/>
      <c r="BKA9" s="13"/>
      <c r="BKB9" s="13"/>
      <c r="BKC9" s="13"/>
      <c r="BKD9" s="13"/>
      <c r="BKE9" s="13"/>
      <c r="BKF9" s="13"/>
      <c r="BKG9" s="13"/>
      <c r="BKH9" s="13"/>
      <c r="BKI9" s="13"/>
      <c r="BKJ9" s="13"/>
      <c r="BKK9" s="13"/>
      <c r="BKL9" s="13"/>
      <c r="BKM9" s="13"/>
      <c r="BKN9" s="13"/>
      <c r="BKO9" s="13"/>
      <c r="BKP9" s="13"/>
      <c r="BKQ9" s="13"/>
      <c r="BKR9" s="13"/>
      <c r="BKS9" s="13"/>
      <c r="BKT9" s="13"/>
      <c r="BKU9" s="13"/>
      <c r="BKV9" s="13"/>
      <c r="BKW9" s="13"/>
      <c r="BKX9" s="13"/>
      <c r="BKY9" s="13"/>
      <c r="BKZ9" s="13"/>
      <c r="BLA9" s="13"/>
      <c r="BLB9" s="13"/>
      <c r="BLC9" s="13"/>
      <c r="BLD9" s="13"/>
      <c r="BLE9" s="13"/>
      <c r="BLF9" s="13"/>
      <c r="BLG9" s="13"/>
      <c r="BLH9" s="13"/>
      <c r="BLI9" s="13"/>
      <c r="BLJ9" s="13"/>
      <c r="BLK9" s="13"/>
      <c r="BLL9" s="13"/>
      <c r="BLM9" s="13"/>
      <c r="BLN9" s="13"/>
      <c r="BLO9" s="13"/>
      <c r="BLP9" s="13"/>
      <c r="BLQ9" s="13"/>
      <c r="BLR9" s="13"/>
      <c r="BLS9" s="13"/>
      <c r="BLT9" s="13"/>
      <c r="BLU9" s="13"/>
      <c r="BLV9" s="13"/>
      <c r="BLW9" s="13"/>
      <c r="BLX9" s="13"/>
      <c r="BLY9" s="13"/>
      <c r="BLZ9" s="13"/>
      <c r="BMA9" s="13"/>
      <c r="BMB9" s="13"/>
      <c r="BMC9" s="13"/>
      <c r="BMD9" s="13"/>
      <c r="BME9" s="13"/>
      <c r="BMF9" s="13"/>
      <c r="BMG9" s="13"/>
      <c r="BMH9" s="13"/>
      <c r="BMI9" s="13"/>
      <c r="BMJ9" s="13"/>
      <c r="BMK9" s="13"/>
      <c r="BML9" s="13"/>
      <c r="BMM9" s="13"/>
      <c r="BMN9" s="13"/>
      <c r="BMO9" s="13"/>
      <c r="BMP9" s="13"/>
      <c r="BMQ9" s="13"/>
      <c r="BMR9" s="13"/>
      <c r="BMS9" s="13"/>
      <c r="BMT9" s="13"/>
      <c r="BMU9" s="13"/>
      <c r="BMV9" s="13"/>
      <c r="BMW9" s="13"/>
      <c r="BMX9" s="13"/>
      <c r="BMY9" s="13"/>
      <c r="BMZ9" s="13"/>
      <c r="BNA9" s="13"/>
      <c r="BNB9" s="13"/>
      <c r="BNC9" s="13"/>
      <c r="BND9" s="13"/>
      <c r="BNE9" s="13"/>
      <c r="BNF9" s="13"/>
      <c r="BNG9" s="13"/>
      <c r="BNH9" s="13"/>
      <c r="BNI9" s="13"/>
      <c r="BNJ9" s="13"/>
      <c r="BNK9" s="13"/>
      <c r="BNL9" s="13"/>
      <c r="BNM9" s="13"/>
      <c r="BNN9" s="13"/>
      <c r="BNO9" s="13"/>
      <c r="BNP9" s="13"/>
      <c r="BNQ9" s="13"/>
      <c r="BNR9" s="13"/>
      <c r="BNS9" s="13"/>
      <c r="BNT9" s="13"/>
      <c r="BNU9" s="13"/>
      <c r="BNV9" s="13"/>
      <c r="BNW9" s="13"/>
      <c r="BNX9" s="13"/>
      <c r="BNY9" s="13"/>
      <c r="BNZ9" s="13"/>
      <c r="BOA9" s="13"/>
      <c r="BOB9" s="13"/>
      <c r="BOC9" s="13"/>
      <c r="BOD9" s="13"/>
      <c r="BOE9" s="13"/>
      <c r="BOF9" s="13"/>
      <c r="BOG9" s="13"/>
      <c r="BOH9" s="13"/>
      <c r="BOI9" s="13"/>
      <c r="BOJ9" s="13"/>
      <c r="BOK9" s="13"/>
      <c r="BOL9" s="13"/>
      <c r="BOM9" s="13"/>
      <c r="BON9" s="13"/>
      <c r="BOO9" s="13"/>
      <c r="BOP9" s="13"/>
      <c r="BOQ9" s="13"/>
      <c r="BOR9" s="13"/>
      <c r="BOS9" s="13"/>
      <c r="BOT9" s="13"/>
      <c r="BOU9" s="13"/>
      <c r="BOV9" s="13"/>
      <c r="BOW9" s="13"/>
      <c r="BOX9" s="13"/>
      <c r="BOY9" s="13"/>
      <c r="BOZ9" s="13"/>
      <c r="BPA9" s="13"/>
      <c r="BPB9" s="13"/>
      <c r="BPC9" s="13"/>
      <c r="BPD9" s="13"/>
      <c r="BPE9" s="13"/>
      <c r="BPF9" s="13"/>
      <c r="BPG9" s="13"/>
      <c r="BPH9" s="13"/>
      <c r="BPI9" s="13"/>
      <c r="BPJ9" s="13"/>
      <c r="BPK9" s="13"/>
      <c r="BPL9" s="13"/>
      <c r="BPM9" s="13"/>
      <c r="BPN9" s="13"/>
      <c r="BPO9" s="13"/>
      <c r="BPP9" s="13"/>
      <c r="BPQ9" s="13"/>
      <c r="BPR9" s="13"/>
      <c r="BPS9" s="13"/>
      <c r="BPT9" s="13"/>
      <c r="BPU9" s="13"/>
      <c r="BPV9" s="13"/>
      <c r="BPW9" s="13"/>
      <c r="BPX9" s="13"/>
      <c r="BPY9" s="13"/>
      <c r="BPZ9" s="13"/>
      <c r="BQA9" s="13"/>
      <c r="BQB9" s="13"/>
      <c r="BQC9" s="13"/>
      <c r="BQD9" s="13"/>
      <c r="BQE9" s="13"/>
      <c r="BQF9" s="13"/>
      <c r="BQG9" s="13"/>
      <c r="BQH9" s="13"/>
      <c r="BQI9" s="13"/>
      <c r="BQJ9" s="13"/>
      <c r="BQK9" s="13"/>
      <c r="BQL9" s="13"/>
      <c r="BQM9" s="13"/>
      <c r="BQN9" s="13"/>
      <c r="BQO9" s="13"/>
      <c r="BQP9" s="13"/>
      <c r="BQQ9" s="13"/>
      <c r="BQR9" s="13"/>
      <c r="BQS9" s="13"/>
      <c r="BQT9" s="13"/>
      <c r="BQU9" s="13"/>
      <c r="BQV9" s="13"/>
      <c r="BQW9" s="13"/>
      <c r="BQX9" s="13"/>
      <c r="BQY9" s="13"/>
      <c r="BQZ9" s="13"/>
      <c r="BRA9" s="13"/>
      <c r="BRB9" s="13"/>
      <c r="BRC9" s="13"/>
      <c r="BRD9" s="13"/>
      <c r="BRE9" s="13"/>
      <c r="BRF9" s="13"/>
      <c r="BRG9" s="13"/>
      <c r="BRH9" s="13"/>
      <c r="BRI9" s="13"/>
      <c r="BRJ9" s="13"/>
      <c r="BRK9" s="13"/>
      <c r="BRL9" s="13"/>
      <c r="BRM9" s="13"/>
      <c r="BRN9" s="13"/>
      <c r="BRO9" s="13"/>
      <c r="BRP9" s="13"/>
      <c r="BRQ9" s="13"/>
      <c r="BRR9" s="13"/>
      <c r="BRS9" s="13"/>
      <c r="BRT9" s="13"/>
      <c r="BRU9" s="13"/>
      <c r="BRV9" s="13"/>
      <c r="BRW9" s="13"/>
      <c r="BRX9" s="13"/>
      <c r="BRY9" s="13"/>
      <c r="BRZ9" s="13"/>
      <c r="BSA9" s="13"/>
      <c r="BSB9" s="13"/>
      <c r="BSC9" s="13"/>
      <c r="BSD9" s="13"/>
      <c r="BSE9" s="13"/>
      <c r="BSF9" s="13"/>
      <c r="BSG9" s="13"/>
      <c r="BSH9" s="13"/>
      <c r="BSI9" s="13"/>
      <c r="BSJ9" s="13"/>
      <c r="BSK9" s="13"/>
      <c r="BSL9" s="13"/>
      <c r="BSM9" s="13"/>
      <c r="BSN9" s="13"/>
      <c r="BSO9" s="13"/>
      <c r="BSP9" s="13"/>
      <c r="BSQ9" s="13"/>
      <c r="BSR9" s="13"/>
      <c r="BSS9" s="13"/>
      <c r="BST9" s="13"/>
      <c r="BSU9" s="13"/>
      <c r="BSV9" s="13"/>
      <c r="BSW9" s="13"/>
      <c r="BSX9" s="13"/>
      <c r="BSY9" s="13"/>
      <c r="BSZ9" s="13"/>
      <c r="BTA9" s="13"/>
      <c r="BTB9" s="13"/>
      <c r="BTC9" s="13"/>
      <c r="BTD9" s="13"/>
      <c r="BTE9" s="13"/>
      <c r="BTF9" s="13"/>
      <c r="BTG9" s="13"/>
      <c r="BTH9" s="13"/>
      <c r="BTI9" s="13"/>
      <c r="BTJ9" s="13"/>
      <c r="BTK9" s="13"/>
      <c r="BTL9" s="13"/>
      <c r="BTM9" s="13"/>
      <c r="BTN9" s="13"/>
      <c r="BTO9" s="13"/>
      <c r="BTP9" s="13"/>
      <c r="BTQ9" s="13"/>
      <c r="BTR9" s="13"/>
      <c r="BTS9" s="13"/>
      <c r="BTT9" s="13"/>
      <c r="BTU9" s="13"/>
      <c r="BTV9" s="13"/>
      <c r="BTW9" s="13"/>
      <c r="BTX9" s="13"/>
      <c r="BTY9" s="13"/>
      <c r="BTZ9" s="13"/>
      <c r="BUA9" s="13"/>
      <c r="BUB9" s="13"/>
      <c r="BUC9" s="13"/>
      <c r="BUD9" s="13"/>
      <c r="BUE9" s="13"/>
      <c r="BUF9" s="13"/>
      <c r="BUG9" s="13"/>
      <c r="BUH9" s="13"/>
      <c r="BUI9" s="13"/>
      <c r="BUJ9" s="13"/>
      <c r="BUK9" s="13"/>
      <c r="BUL9" s="13"/>
      <c r="BUM9" s="13"/>
      <c r="BUN9" s="13"/>
      <c r="BUO9" s="13"/>
      <c r="BUP9" s="13"/>
      <c r="BUQ9" s="13"/>
      <c r="BUR9" s="13"/>
      <c r="BUS9" s="13"/>
      <c r="BUT9" s="13"/>
      <c r="BUU9" s="13"/>
      <c r="BUV9" s="13"/>
      <c r="BUW9" s="13"/>
      <c r="BUX9" s="13"/>
      <c r="BUY9" s="13"/>
      <c r="BUZ9" s="13"/>
      <c r="BVA9" s="13"/>
      <c r="BVB9" s="13"/>
      <c r="BVC9" s="13"/>
      <c r="BVD9" s="13"/>
      <c r="BVE9" s="13"/>
      <c r="BVF9" s="13"/>
      <c r="BVG9" s="13"/>
      <c r="BVH9" s="13"/>
      <c r="BVI9" s="13"/>
      <c r="BVJ9" s="13"/>
      <c r="BVK9" s="13"/>
      <c r="BVL9" s="13"/>
      <c r="BVM9" s="13"/>
      <c r="BVN9" s="13"/>
      <c r="BVO9" s="13"/>
      <c r="BVP9" s="13"/>
      <c r="BVQ9" s="13"/>
      <c r="BVR9" s="13"/>
      <c r="BVS9" s="13"/>
      <c r="BVT9" s="13"/>
      <c r="BVU9" s="13"/>
      <c r="BVV9" s="13"/>
      <c r="BVW9" s="13"/>
      <c r="BVX9" s="13"/>
      <c r="BVY9" s="13"/>
      <c r="BVZ9" s="13"/>
      <c r="BWA9" s="13"/>
      <c r="BWB9" s="13"/>
      <c r="BWC9" s="13"/>
      <c r="BWD9" s="13"/>
      <c r="BWE9" s="13"/>
      <c r="BWF9" s="13"/>
      <c r="BWG9" s="13"/>
      <c r="BWH9" s="13"/>
      <c r="BWI9" s="13"/>
      <c r="BWJ9" s="13"/>
      <c r="BWK9" s="13"/>
      <c r="BWL9" s="13"/>
      <c r="BWM9" s="13"/>
      <c r="BWN9" s="13"/>
      <c r="BWO9" s="13"/>
      <c r="BWP9" s="13"/>
      <c r="BWQ9" s="13"/>
      <c r="BWR9" s="13"/>
      <c r="BWS9" s="13"/>
      <c r="BWT9" s="13"/>
      <c r="BWU9" s="13"/>
      <c r="BWV9" s="13"/>
      <c r="BWW9" s="13"/>
      <c r="BWX9" s="13"/>
      <c r="BWY9" s="13"/>
      <c r="BWZ9" s="13"/>
      <c r="BXA9" s="13"/>
      <c r="BXB9" s="13"/>
      <c r="BXC9" s="13"/>
      <c r="BXD9" s="13"/>
      <c r="BXE9" s="13"/>
      <c r="BXF9" s="13"/>
      <c r="BXG9" s="13"/>
      <c r="BXH9" s="13"/>
      <c r="BXI9" s="13"/>
      <c r="BXJ9" s="13"/>
      <c r="BXK9" s="13"/>
      <c r="BXL9" s="13"/>
      <c r="BXM9" s="13"/>
      <c r="BXN9" s="13"/>
      <c r="BXO9" s="13"/>
      <c r="BXP9" s="13"/>
      <c r="BXQ9" s="13"/>
      <c r="BXR9" s="13"/>
      <c r="BXS9" s="13"/>
      <c r="BXT9" s="13"/>
      <c r="BXU9" s="13"/>
      <c r="BXV9" s="13"/>
      <c r="BXW9" s="13"/>
      <c r="BXX9" s="13"/>
      <c r="BXY9" s="13"/>
      <c r="BXZ9" s="13"/>
      <c r="BYA9" s="13"/>
      <c r="BYB9" s="13"/>
      <c r="BYC9" s="13"/>
      <c r="BYD9" s="13"/>
      <c r="BYE9" s="13"/>
      <c r="BYF9" s="13"/>
      <c r="BYG9" s="13"/>
      <c r="BYH9" s="13"/>
      <c r="BYI9" s="13"/>
      <c r="BYJ9" s="13"/>
      <c r="BYK9" s="13"/>
      <c r="BYL9" s="13"/>
      <c r="BYM9" s="13"/>
      <c r="BYN9" s="13"/>
      <c r="BYO9" s="13"/>
      <c r="BYP9" s="13"/>
      <c r="BYQ9" s="13"/>
      <c r="BYR9" s="13"/>
      <c r="BYS9" s="13"/>
      <c r="BYT9" s="13"/>
      <c r="BYU9" s="13"/>
      <c r="BYV9" s="13"/>
      <c r="BYW9" s="13"/>
      <c r="BYX9" s="13"/>
      <c r="BYY9" s="13"/>
      <c r="BYZ9" s="13"/>
      <c r="BZA9" s="13"/>
      <c r="BZB9" s="13"/>
      <c r="BZC9" s="13"/>
      <c r="BZD9" s="13"/>
      <c r="BZE9" s="13"/>
      <c r="BZF9" s="13"/>
      <c r="BZG9" s="13"/>
      <c r="BZH9" s="13"/>
      <c r="BZI9" s="13"/>
      <c r="BZJ9" s="13"/>
      <c r="BZK9" s="13"/>
      <c r="BZL9" s="13"/>
      <c r="BZM9" s="13"/>
      <c r="BZN9" s="13"/>
      <c r="BZO9" s="13"/>
      <c r="BZP9" s="13"/>
      <c r="BZQ9" s="13"/>
      <c r="BZR9" s="13"/>
      <c r="BZS9" s="13"/>
      <c r="BZT9" s="13"/>
      <c r="BZU9" s="13"/>
      <c r="BZV9" s="13"/>
      <c r="BZW9" s="13"/>
      <c r="BZX9" s="13"/>
      <c r="BZY9" s="13"/>
      <c r="BZZ9" s="13"/>
      <c r="CAA9" s="13"/>
      <c r="CAB9" s="13"/>
      <c r="CAC9" s="13"/>
      <c r="CAD9" s="13"/>
      <c r="CAE9" s="13"/>
      <c r="CAF9" s="13"/>
      <c r="CAG9" s="13"/>
      <c r="CAH9" s="13"/>
      <c r="CAI9" s="13"/>
      <c r="CAJ9" s="13"/>
      <c r="CAK9" s="13"/>
      <c r="CAL9" s="13"/>
      <c r="CAM9" s="13"/>
      <c r="CAN9" s="13"/>
      <c r="CAO9" s="13"/>
      <c r="CAP9" s="13"/>
      <c r="CAQ9" s="13"/>
      <c r="CAR9" s="13"/>
      <c r="CAS9" s="13"/>
      <c r="CAT9" s="13"/>
      <c r="CAU9" s="13"/>
      <c r="CAV9" s="13"/>
      <c r="CAW9" s="13"/>
      <c r="CAX9" s="13"/>
      <c r="CAY9" s="13"/>
      <c r="CAZ9" s="13"/>
      <c r="CBA9" s="13"/>
      <c r="CBB9" s="13"/>
      <c r="CBC9" s="13"/>
      <c r="CBD9" s="13"/>
      <c r="CBE9" s="13"/>
      <c r="CBF9" s="13"/>
      <c r="CBG9" s="13"/>
      <c r="CBH9" s="13"/>
      <c r="CBI9" s="13"/>
      <c r="CBJ9" s="13"/>
      <c r="CBK9" s="13"/>
      <c r="CBL9" s="13"/>
      <c r="CBM9" s="13"/>
      <c r="CBN9" s="13"/>
      <c r="CBO9" s="13"/>
      <c r="CBP9" s="13"/>
      <c r="CBQ9" s="13"/>
      <c r="CBR9" s="13"/>
      <c r="CBS9" s="13"/>
      <c r="CBT9" s="13"/>
      <c r="CBU9" s="13"/>
      <c r="CBV9" s="13"/>
      <c r="CBW9" s="13"/>
      <c r="CBX9" s="13"/>
      <c r="CBY9" s="13"/>
      <c r="CBZ9" s="13"/>
      <c r="CCA9" s="13"/>
      <c r="CCB9" s="13"/>
      <c r="CCC9" s="13"/>
      <c r="CCD9" s="13"/>
      <c r="CCE9" s="13"/>
      <c r="CCF9" s="13"/>
      <c r="CCG9" s="13"/>
      <c r="CCH9" s="13"/>
      <c r="CCI9" s="13"/>
      <c r="CCJ9" s="13"/>
      <c r="CCK9" s="13"/>
      <c r="CCL9" s="13"/>
      <c r="CCM9" s="13"/>
      <c r="CCN9" s="13"/>
      <c r="CCO9" s="13"/>
      <c r="CCP9" s="13"/>
      <c r="CCQ9" s="13"/>
      <c r="CCR9" s="13"/>
      <c r="CCS9" s="13"/>
      <c r="CCT9" s="13"/>
      <c r="CCU9" s="13"/>
      <c r="CCV9" s="13"/>
      <c r="CCW9" s="13"/>
      <c r="CCX9" s="13"/>
      <c r="CCY9" s="13"/>
      <c r="CCZ9" s="13"/>
      <c r="CDA9" s="13"/>
      <c r="CDB9" s="13"/>
      <c r="CDC9" s="13"/>
      <c r="CDD9" s="13"/>
      <c r="CDE9" s="13"/>
      <c r="CDF9" s="13"/>
      <c r="CDG9" s="13"/>
      <c r="CDH9" s="13"/>
      <c r="CDI9" s="13"/>
      <c r="CDJ9" s="13"/>
      <c r="CDK9" s="13"/>
      <c r="CDL9" s="13"/>
      <c r="CDM9" s="13"/>
      <c r="CDN9" s="13"/>
      <c r="CDO9" s="13"/>
      <c r="CDP9" s="13"/>
      <c r="CDQ9" s="13"/>
      <c r="CDR9" s="13"/>
      <c r="CDS9" s="13"/>
      <c r="CDT9" s="13"/>
      <c r="CDU9" s="13"/>
      <c r="CDV9" s="13"/>
      <c r="CDW9" s="13"/>
      <c r="CDX9" s="13"/>
      <c r="CDY9" s="13"/>
      <c r="CDZ9" s="13"/>
      <c r="CEA9" s="13"/>
      <c r="CEB9" s="13"/>
      <c r="CEC9" s="13"/>
      <c r="CED9" s="13"/>
      <c r="CEE9" s="13"/>
      <c r="CEF9" s="13"/>
      <c r="CEG9" s="13"/>
      <c r="CEH9" s="13"/>
      <c r="CEI9" s="13"/>
      <c r="CEJ9" s="13"/>
      <c r="CEK9" s="13"/>
      <c r="CEL9" s="13"/>
      <c r="CEM9" s="13"/>
      <c r="CEN9" s="13"/>
      <c r="CEO9" s="13"/>
      <c r="CEP9" s="13"/>
      <c r="CEQ9" s="13"/>
      <c r="CER9" s="13"/>
      <c r="CES9" s="13"/>
      <c r="CET9" s="13"/>
      <c r="CEU9" s="13"/>
      <c r="CEV9" s="13"/>
      <c r="CEW9" s="13"/>
      <c r="CEX9" s="13"/>
      <c r="CEY9" s="13"/>
      <c r="CEZ9" s="13"/>
      <c r="CFA9" s="13"/>
      <c r="CFB9" s="13"/>
      <c r="CFC9" s="13"/>
      <c r="CFD9" s="13"/>
      <c r="CFE9" s="13"/>
      <c r="CFF9" s="13"/>
      <c r="CFG9" s="13"/>
      <c r="CFH9" s="13"/>
      <c r="CFI9" s="13"/>
      <c r="CFJ9" s="13"/>
      <c r="CFK9" s="13"/>
      <c r="CFL9" s="13"/>
      <c r="CFM9" s="13"/>
      <c r="CFN9" s="13"/>
      <c r="CFO9" s="13"/>
      <c r="CFP9" s="13"/>
      <c r="CFQ9" s="13"/>
      <c r="CFR9" s="13"/>
      <c r="CFS9" s="13"/>
      <c r="CFT9" s="13"/>
      <c r="CFU9" s="13"/>
      <c r="CFV9" s="13"/>
      <c r="CFW9" s="13"/>
      <c r="CFX9" s="13"/>
      <c r="CFY9" s="13"/>
      <c r="CFZ9" s="13"/>
      <c r="CGA9" s="13"/>
      <c r="CGB9" s="13"/>
      <c r="CGC9" s="13"/>
      <c r="CGD9" s="13"/>
      <c r="CGE9" s="13"/>
      <c r="CGF9" s="13"/>
      <c r="CGG9" s="13"/>
      <c r="CGH9" s="13"/>
      <c r="CGI9" s="13"/>
      <c r="CGJ9" s="13"/>
      <c r="CGK9" s="13"/>
      <c r="CGL9" s="13"/>
      <c r="CGM9" s="13"/>
      <c r="CGN9" s="13"/>
      <c r="CGO9" s="13"/>
      <c r="CGP9" s="13"/>
      <c r="CGQ9" s="13"/>
      <c r="CGR9" s="13"/>
      <c r="CGS9" s="13"/>
      <c r="CGT9" s="13"/>
      <c r="CGU9" s="13"/>
      <c r="CGV9" s="13"/>
      <c r="CGW9" s="13"/>
      <c r="CGX9" s="13"/>
      <c r="CGY9" s="13"/>
      <c r="CGZ9" s="13"/>
      <c r="CHA9" s="13"/>
      <c r="CHB9" s="13"/>
      <c r="CHC9" s="13"/>
      <c r="CHD9" s="13"/>
      <c r="CHE9" s="13"/>
      <c r="CHF9" s="13"/>
      <c r="CHG9" s="13"/>
      <c r="CHH9" s="13"/>
      <c r="CHI9" s="13"/>
      <c r="CHJ9" s="13"/>
      <c r="CHK9" s="13"/>
      <c r="CHL9" s="13"/>
      <c r="CHM9" s="13"/>
      <c r="CHN9" s="13"/>
      <c r="CHO9" s="13"/>
      <c r="CHP9" s="13"/>
      <c r="CHQ9" s="13"/>
      <c r="CHR9" s="13"/>
      <c r="CHS9" s="13"/>
      <c r="CHT9" s="13"/>
      <c r="CHU9" s="13"/>
      <c r="CHV9" s="13"/>
      <c r="CHW9" s="13"/>
      <c r="CHX9" s="13"/>
      <c r="CHY9" s="13"/>
      <c r="CHZ9" s="13"/>
      <c r="CIA9" s="13"/>
      <c r="CIB9" s="13"/>
      <c r="CIC9" s="13"/>
      <c r="CID9" s="13"/>
      <c r="CIE9" s="13"/>
      <c r="CIF9" s="13"/>
      <c r="CIG9" s="13"/>
      <c r="CIH9" s="13"/>
      <c r="CII9" s="13"/>
      <c r="CIJ9" s="13"/>
      <c r="CIK9" s="13"/>
      <c r="CIL9" s="13"/>
      <c r="CIM9" s="13"/>
      <c r="CIN9" s="13"/>
      <c r="CIO9" s="13"/>
      <c r="CIP9" s="13"/>
      <c r="CIQ9" s="13"/>
      <c r="CIR9" s="13"/>
      <c r="CIS9" s="13"/>
      <c r="CIT9" s="13"/>
      <c r="CIU9" s="13"/>
      <c r="CIV9" s="13"/>
      <c r="CIW9" s="13"/>
      <c r="CIX9" s="13"/>
      <c r="CIY9" s="13"/>
      <c r="CIZ9" s="13"/>
      <c r="CJA9" s="13"/>
      <c r="CJB9" s="13"/>
      <c r="CJC9" s="13"/>
      <c r="CJD9" s="13"/>
      <c r="CJE9" s="13"/>
      <c r="CJF9" s="13"/>
      <c r="CJG9" s="13"/>
      <c r="CJH9" s="13"/>
      <c r="CJI9" s="13"/>
      <c r="CJJ9" s="13"/>
      <c r="CJK9" s="13"/>
      <c r="CJL9" s="13"/>
      <c r="CJM9" s="13"/>
      <c r="CJN9" s="13"/>
      <c r="CJO9" s="13"/>
      <c r="CJP9" s="13"/>
      <c r="CJQ9" s="13"/>
      <c r="CJR9" s="13"/>
      <c r="CJS9" s="13"/>
      <c r="CJT9" s="13"/>
      <c r="CJU9" s="13"/>
      <c r="CJV9" s="13"/>
      <c r="CJW9" s="13"/>
      <c r="CJX9" s="13"/>
      <c r="CJY9" s="13"/>
      <c r="CJZ9" s="13"/>
      <c r="CKA9" s="13"/>
      <c r="CKB9" s="13"/>
      <c r="CKC9" s="13"/>
      <c r="CKD9" s="13"/>
      <c r="CKE9" s="13"/>
      <c r="CKF9" s="13"/>
      <c r="CKG9" s="13"/>
      <c r="CKH9" s="13"/>
      <c r="CKI9" s="13"/>
      <c r="CKJ9" s="13"/>
      <c r="CKK9" s="13"/>
      <c r="CKL9" s="13"/>
      <c r="CKM9" s="13"/>
      <c r="CKN9" s="13"/>
      <c r="CKO9" s="13"/>
      <c r="CKP9" s="13"/>
      <c r="CKQ9" s="13"/>
      <c r="CKR9" s="13"/>
      <c r="CKS9" s="13"/>
      <c r="CKT9" s="13"/>
      <c r="CKU9" s="13"/>
      <c r="CKV9" s="13"/>
      <c r="CKW9" s="13"/>
      <c r="CKX9" s="13"/>
      <c r="CKY9" s="13"/>
      <c r="CKZ9" s="13"/>
      <c r="CLA9" s="13"/>
      <c r="CLB9" s="13"/>
      <c r="CLC9" s="13"/>
      <c r="CLD9" s="13"/>
      <c r="CLE9" s="13"/>
      <c r="CLF9" s="13"/>
      <c r="CLG9" s="13"/>
      <c r="CLH9" s="13"/>
      <c r="CLI9" s="13"/>
      <c r="CLJ9" s="13"/>
      <c r="CLK9" s="13"/>
      <c r="CLL9" s="13"/>
      <c r="CLM9" s="13"/>
      <c r="CLN9" s="13"/>
      <c r="CLO9" s="13"/>
      <c r="CLP9" s="13"/>
      <c r="CLQ9" s="13"/>
      <c r="CLR9" s="13"/>
      <c r="CLS9" s="13"/>
      <c r="CLT9" s="13"/>
      <c r="CLU9" s="13"/>
      <c r="CLV9" s="13"/>
      <c r="CLW9" s="13"/>
      <c r="CLX9" s="13"/>
      <c r="CLY9" s="13"/>
      <c r="CLZ9" s="13"/>
      <c r="CMA9" s="13"/>
      <c r="CMB9" s="13"/>
      <c r="CMC9" s="13"/>
      <c r="CMD9" s="13"/>
      <c r="CME9" s="13"/>
      <c r="CMF9" s="13"/>
      <c r="CMG9" s="13"/>
      <c r="CMH9" s="13"/>
      <c r="CMI9" s="13"/>
      <c r="CMJ9" s="13"/>
      <c r="CMK9" s="13"/>
      <c r="CML9" s="13"/>
      <c r="CMM9" s="13"/>
      <c r="CMN9" s="13"/>
      <c r="CMO9" s="13"/>
      <c r="CMP9" s="13"/>
      <c r="CMQ9" s="13"/>
      <c r="CMR9" s="13"/>
      <c r="CMS9" s="13"/>
      <c r="CMT9" s="13"/>
      <c r="CMU9" s="13"/>
      <c r="CMV9" s="13"/>
      <c r="CMW9" s="13"/>
      <c r="CMX9" s="13"/>
      <c r="CMY9" s="13"/>
      <c r="CMZ9" s="13"/>
      <c r="CNA9" s="13"/>
      <c r="CNB9" s="13"/>
      <c r="CNC9" s="13"/>
      <c r="CND9" s="13"/>
      <c r="CNE9" s="13"/>
      <c r="CNF9" s="13"/>
      <c r="CNG9" s="13"/>
      <c r="CNH9" s="13"/>
      <c r="CNI9" s="13"/>
      <c r="CNJ9" s="13"/>
      <c r="CNK9" s="13"/>
      <c r="CNL9" s="13"/>
      <c r="CNM9" s="13"/>
      <c r="CNN9" s="13"/>
      <c r="CNO9" s="13"/>
      <c r="CNP9" s="13"/>
      <c r="CNQ9" s="13"/>
      <c r="CNR9" s="13"/>
      <c r="CNS9" s="13"/>
      <c r="CNT9" s="13"/>
      <c r="CNU9" s="13"/>
      <c r="CNV9" s="13"/>
      <c r="CNW9" s="13"/>
      <c r="CNX9" s="13"/>
      <c r="CNY9" s="13"/>
      <c r="CNZ9" s="13"/>
      <c r="COA9" s="13"/>
      <c r="COB9" s="13"/>
      <c r="COC9" s="13"/>
      <c r="COD9" s="13"/>
      <c r="COE9" s="13"/>
      <c r="COF9" s="13"/>
      <c r="COG9" s="13"/>
      <c r="COH9" s="13"/>
      <c r="COI9" s="13"/>
      <c r="COJ9" s="13"/>
      <c r="COK9" s="13"/>
      <c r="COL9" s="13"/>
      <c r="COM9" s="13"/>
      <c r="CON9" s="13"/>
      <c r="COO9" s="13"/>
      <c r="COP9" s="13"/>
      <c r="COQ9" s="13"/>
      <c r="COR9" s="13"/>
      <c r="COS9" s="13"/>
      <c r="COT9" s="13"/>
      <c r="COU9" s="13"/>
      <c r="COV9" s="13"/>
      <c r="COW9" s="13"/>
      <c r="COX9" s="13"/>
      <c r="COY9" s="13"/>
      <c r="COZ9" s="13"/>
      <c r="CPA9" s="13"/>
      <c r="CPB9" s="13"/>
      <c r="CPC9" s="13"/>
      <c r="CPD9" s="13"/>
      <c r="CPE9" s="13"/>
      <c r="CPF9" s="13"/>
      <c r="CPG9" s="13"/>
      <c r="CPH9" s="13"/>
      <c r="CPI9" s="13"/>
      <c r="CPJ9" s="13"/>
      <c r="CPK9" s="13"/>
      <c r="CPL9" s="13"/>
      <c r="CPM9" s="13"/>
      <c r="CPN9" s="13"/>
      <c r="CPO9" s="13"/>
      <c r="CPP9" s="13"/>
      <c r="CPQ9" s="13"/>
      <c r="CPR9" s="13"/>
      <c r="CPS9" s="13"/>
      <c r="CPT9" s="13"/>
      <c r="CPU9" s="13"/>
      <c r="CPV9" s="13"/>
      <c r="CPW9" s="13"/>
      <c r="CPX9" s="13"/>
      <c r="CPY9" s="13"/>
      <c r="CPZ9" s="13"/>
      <c r="CQA9" s="13"/>
      <c r="CQB9" s="13"/>
      <c r="CQC9" s="13"/>
      <c r="CQD9" s="13"/>
      <c r="CQE9" s="13"/>
      <c r="CQF9" s="13"/>
      <c r="CQG9" s="13"/>
      <c r="CQH9" s="13"/>
      <c r="CQI9" s="13"/>
      <c r="CQJ9" s="13"/>
      <c r="CQK9" s="13"/>
      <c r="CQL9" s="13"/>
      <c r="CQM9" s="13"/>
      <c r="CQN9" s="13"/>
      <c r="CQO9" s="13"/>
      <c r="CQP9" s="13"/>
      <c r="CQQ9" s="13"/>
      <c r="CQR9" s="13"/>
      <c r="CQS9" s="13"/>
      <c r="CQT9" s="13"/>
      <c r="CQU9" s="13"/>
      <c r="CQV9" s="13"/>
      <c r="CQW9" s="13"/>
      <c r="CQX9" s="13"/>
      <c r="CQY9" s="13"/>
      <c r="CQZ9" s="13"/>
      <c r="CRA9" s="13"/>
      <c r="CRB9" s="13"/>
      <c r="CRC9" s="13"/>
      <c r="CRD9" s="13"/>
      <c r="CRE9" s="13"/>
      <c r="CRF9" s="13"/>
      <c r="CRG9" s="13"/>
      <c r="CRH9" s="13"/>
      <c r="CRI9" s="13"/>
      <c r="CRJ9" s="13"/>
      <c r="CRK9" s="13"/>
      <c r="CRL9" s="13"/>
      <c r="CRM9" s="13"/>
      <c r="CRN9" s="13"/>
      <c r="CRO9" s="13"/>
      <c r="CRP9" s="13"/>
      <c r="CRQ9" s="13"/>
      <c r="CRR9" s="13"/>
      <c r="CRS9" s="13"/>
      <c r="CRT9" s="13"/>
      <c r="CRU9" s="13"/>
      <c r="CRV9" s="13"/>
      <c r="CRW9" s="13"/>
      <c r="CRX9" s="13"/>
      <c r="CRY9" s="13"/>
      <c r="CRZ9" s="13"/>
      <c r="CSA9" s="13"/>
      <c r="CSB9" s="13"/>
      <c r="CSC9" s="13"/>
      <c r="CSD9" s="13"/>
      <c r="CSE9" s="13"/>
      <c r="CSF9" s="13"/>
      <c r="CSG9" s="13"/>
      <c r="CSH9" s="13"/>
      <c r="CSI9" s="13"/>
      <c r="CSJ9" s="13"/>
      <c r="CSK9" s="13"/>
      <c r="CSL9" s="13"/>
      <c r="CSM9" s="13"/>
      <c r="CSN9" s="13"/>
      <c r="CSO9" s="13"/>
      <c r="CSP9" s="13"/>
      <c r="CSQ9" s="13"/>
      <c r="CSR9" s="13"/>
      <c r="CSS9" s="13"/>
      <c r="CST9" s="13"/>
      <c r="CSU9" s="13"/>
      <c r="CSV9" s="13"/>
      <c r="CSW9" s="13"/>
      <c r="CSX9" s="13"/>
      <c r="CSY9" s="13"/>
      <c r="CSZ9" s="13"/>
      <c r="CTA9" s="13"/>
      <c r="CTB9" s="13"/>
      <c r="CTC9" s="13"/>
      <c r="CTD9" s="13"/>
      <c r="CTE9" s="13"/>
      <c r="CTF9" s="13"/>
      <c r="CTG9" s="13"/>
      <c r="CTH9" s="13"/>
      <c r="CTI9" s="13"/>
      <c r="CTJ9" s="13"/>
      <c r="CTK9" s="13"/>
      <c r="CTL9" s="13"/>
      <c r="CTM9" s="13"/>
      <c r="CTN9" s="13"/>
      <c r="CTO9" s="13"/>
      <c r="CTP9" s="13"/>
      <c r="CTQ9" s="13"/>
      <c r="CTR9" s="13"/>
      <c r="CTS9" s="13"/>
      <c r="CTT9" s="13"/>
      <c r="CTU9" s="13"/>
      <c r="CTV9" s="13"/>
      <c r="CTW9" s="13"/>
      <c r="CTX9" s="13"/>
      <c r="CTY9" s="13"/>
      <c r="CTZ9" s="13"/>
      <c r="CUA9" s="13"/>
      <c r="CUB9" s="13"/>
      <c r="CUC9" s="13"/>
      <c r="CUD9" s="13"/>
      <c r="CUE9" s="13"/>
      <c r="CUF9" s="13"/>
      <c r="CUG9" s="13"/>
      <c r="CUH9" s="13"/>
      <c r="CUI9" s="13"/>
      <c r="CUJ9" s="13"/>
      <c r="CUK9" s="13"/>
      <c r="CUL9" s="13"/>
      <c r="CUM9" s="13"/>
      <c r="CUN9" s="13"/>
      <c r="CUO9" s="13"/>
      <c r="CUP9" s="13"/>
      <c r="CUQ9" s="13"/>
      <c r="CUR9" s="13"/>
      <c r="CUS9" s="13"/>
      <c r="CUT9" s="13"/>
      <c r="CUU9" s="13"/>
      <c r="CUV9" s="13"/>
      <c r="CUW9" s="13"/>
      <c r="CUX9" s="13"/>
      <c r="CUY9" s="13"/>
      <c r="CUZ9" s="13"/>
      <c r="CVA9" s="13"/>
      <c r="CVB9" s="13"/>
      <c r="CVC9" s="13"/>
      <c r="CVD9" s="13"/>
      <c r="CVE9" s="13"/>
      <c r="CVF9" s="13"/>
      <c r="CVG9" s="13"/>
      <c r="CVH9" s="13"/>
      <c r="CVI9" s="13"/>
      <c r="CVJ9" s="13"/>
      <c r="CVK9" s="13"/>
      <c r="CVL9" s="13"/>
      <c r="CVM9" s="13"/>
      <c r="CVN9" s="13"/>
      <c r="CVO9" s="13"/>
      <c r="CVP9" s="13"/>
      <c r="CVQ9" s="13"/>
      <c r="CVR9" s="13"/>
      <c r="CVS9" s="13"/>
      <c r="CVT9" s="13"/>
      <c r="CVU9" s="13"/>
      <c r="CVV9" s="13"/>
      <c r="CVW9" s="13"/>
      <c r="CVX9" s="13"/>
      <c r="CVY9" s="13"/>
      <c r="CVZ9" s="13"/>
      <c r="CWA9" s="13"/>
      <c r="CWB9" s="13"/>
      <c r="CWC9" s="13"/>
      <c r="CWD9" s="13"/>
      <c r="CWE9" s="13"/>
      <c r="CWF9" s="13"/>
      <c r="CWG9" s="13"/>
      <c r="CWH9" s="13"/>
      <c r="CWI9" s="13"/>
      <c r="CWJ9" s="13"/>
      <c r="CWK9" s="13"/>
      <c r="CWL9" s="13"/>
      <c r="CWM9" s="13"/>
      <c r="CWN9" s="13"/>
      <c r="CWO9" s="13"/>
      <c r="CWP9" s="13"/>
      <c r="CWQ9" s="13"/>
      <c r="CWR9" s="13"/>
      <c r="CWS9" s="13"/>
      <c r="CWT9" s="13"/>
      <c r="CWU9" s="13"/>
      <c r="CWV9" s="13"/>
      <c r="CWW9" s="13"/>
      <c r="CWX9" s="13"/>
      <c r="CWY9" s="13"/>
      <c r="CWZ9" s="13"/>
      <c r="CXA9" s="13"/>
      <c r="CXB9" s="13"/>
      <c r="CXC9" s="13"/>
      <c r="CXD9" s="13"/>
      <c r="CXE9" s="13"/>
      <c r="CXF9" s="13"/>
      <c r="CXG9" s="13"/>
      <c r="CXH9" s="13"/>
      <c r="CXI9" s="13"/>
      <c r="CXJ9" s="13"/>
      <c r="CXK9" s="13"/>
      <c r="CXL9" s="13"/>
      <c r="CXM9" s="13"/>
      <c r="CXN9" s="13"/>
      <c r="CXO9" s="13"/>
      <c r="CXP9" s="13"/>
      <c r="CXQ9" s="13"/>
      <c r="CXR9" s="13"/>
      <c r="CXS9" s="13"/>
      <c r="CXT9" s="13"/>
      <c r="CXU9" s="13"/>
      <c r="CXV9" s="13"/>
      <c r="CXW9" s="13"/>
      <c r="CXX9" s="13"/>
      <c r="CXY9" s="13"/>
      <c r="CXZ9" s="13"/>
      <c r="CYA9" s="13"/>
      <c r="CYB9" s="13"/>
      <c r="CYC9" s="13"/>
      <c r="CYD9" s="13"/>
      <c r="CYE9" s="13"/>
      <c r="CYF9" s="13"/>
      <c r="CYG9" s="13"/>
      <c r="CYH9" s="13"/>
      <c r="CYI9" s="13"/>
      <c r="CYJ9" s="13"/>
      <c r="CYK9" s="13"/>
      <c r="CYL9" s="13"/>
      <c r="CYM9" s="13"/>
      <c r="CYN9" s="13"/>
      <c r="CYO9" s="13"/>
      <c r="CYP9" s="13"/>
      <c r="CYQ9" s="13"/>
      <c r="CYR9" s="13"/>
      <c r="CYS9" s="13"/>
      <c r="CYT9" s="13"/>
      <c r="CYU9" s="13"/>
      <c r="CYV9" s="13"/>
      <c r="CYW9" s="13"/>
      <c r="CYX9" s="13"/>
      <c r="CYY9" s="13"/>
      <c r="CYZ9" s="13"/>
      <c r="CZA9" s="13"/>
      <c r="CZB9" s="13"/>
      <c r="CZC9" s="13"/>
      <c r="CZD9" s="13"/>
      <c r="CZE9" s="13"/>
      <c r="CZF9" s="13"/>
      <c r="CZG9" s="13"/>
      <c r="CZH9" s="13"/>
      <c r="CZI9" s="13"/>
      <c r="CZJ9" s="13"/>
      <c r="CZK9" s="13"/>
      <c r="CZL9" s="13"/>
      <c r="CZM9" s="13"/>
      <c r="CZN9" s="13"/>
      <c r="CZO9" s="13"/>
      <c r="CZP9" s="13"/>
      <c r="CZQ9" s="13"/>
      <c r="CZR9" s="13"/>
      <c r="CZS9" s="13"/>
      <c r="CZT9" s="13"/>
      <c r="CZU9" s="13"/>
      <c r="CZV9" s="13"/>
      <c r="CZW9" s="13"/>
      <c r="CZX9" s="13"/>
      <c r="CZY9" s="13"/>
      <c r="CZZ9" s="13"/>
      <c r="DAA9" s="13"/>
      <c r="DAB9" s="13"/>
      <c r="DAC9" s="13"/>
      <c r="DAD9" s="13"/>
      <c r="DAE9" s="13"/>
      <c r="DAF9" s="13"/>
      <c r="DAG9" s="13"/>
      <c r="DAH9" s="13"/>
      <c r="DAI9" s="13"/>
      <c r="DAJ9" s="13"/>
      <c r="DAK9" s="13"/>
      <c r="DAL9" s="13"/>
      <c r="DAM9" s="13"/>
      <c r="DAN9" s="13"/>
      <c r="DAO9" s="13"/>
      <c r="DAP9" s="13"/>
      <c r="DAQ9" s="13"/>
      <c r="DAR9" s="13"/>
      <c r="DAS9" s="13"/>
      <c r="DAT9" s="13"/>
      <c r="DAU9" s="13"/>
      <c r="DAV9" s="13"/>
      <c r="DAW9" s="13"/>
      <c r="DAX9" s="13"/>
      <c r="DAY9" s="13"/>
      <c r="DAZ9" s="13"/>
      <c r="DBA9" s="13"/>
      <c r="DBB9" s="13"/>
      <c r="DBC9" s="13"/>
      <c r="DBD9" s="13"/>
      <c r="DBE9" s="13"/>
      <c r="DBF9" s="13"/>
      <c r="DBG9" s="13"/>
      <c r="DBH9" s="13"/>
      <c r="DBI9" s="13"/>
      <c r="DBJ9" s="13"/>
      <c r="DBK9" s="13"/>
      <c r="DBL9" s="13"/>
      <c r="DBM9" s="13"/>
      <c r="DBN9" s="13"/>
      <c r="DBO9" s="13"/>
      <c r="DBP9" s="13"/>
      <c r="DBQ9" s="13"/>
      <c r="DBR9" s="13"/>
      <c r="DBS9" s="13"/>
      <c r="DBT9" s="13"/>
      <c r="DBU9" s="13"/>
      <c r="DBV9" s="13"/>
      <c r="DBW9" s="13"/>
      <c r="DBX9" s="13"/>
      <c r="DBY9" s="13"/>
      <c r="DBZ9" s="13"/>
      <c r="DCA9" s="13"/>
      <c r="DCB9" s="13"/>
      <c r="DCC9" s="13"/>
      <c r="DCD9" s="13"/>
      <c r="DCE9" s="13"/>
      <c r="DCF9" s="13"/>
      <c r="DCG9" s="13"/>
      <c r="DCH9" s="13"/>
      <c r="DCI9" s="13"/>
      <c r="DCJ9" s="13"/>
      <c r="DCK9" s="13"/>
      <c r="DCL9" s="13"/>
      <c r="DCM9" s="13"/>
      <c r="DCN9" s="13"/>
      <c r="DCO9" s="13"/>
      <c r="DCP9" s="13"/>
      <c r="DCQ9" s="13"/>
      <c r="DCR9" s="13"/>
      <c r="DCS9" s="13"/>
      <c r="DCT9" s="13"/>
      <c r="DCU9" s="13"/>
      <c r="DCV9" s="13"/>
      <c r="DCW9" s="13"/>
      <c r="DCX9" s="13"/>
      <c r="DCY9" s="13"/>
      <c r="DCZ9" s="13"/>
      <c r="DDA9" s="13"/>
      <c r="DDB9" s="13"/>
      <c r="DDC9" s="13"/>
      <c r="DDD9" s="13"/>
      <c r="DDE9" s="13"/>
      <c r="DDF9" s="13"/>
      <c r="DDG9" s="13"/>
      <c r="DDH9" s="13"/>
      <c r="DDI9" s="13"/>
      <c r="DDJ9" s="13"/>
      <c r="DDK9" s="13"/>
      <c r="DDL9" s="13"/>
      <c r="DDM9" s="13"/>
      <c r="DDN9" s="13"/>
      <c r="DDO9" s="13"/>
      <c r="DDP9" s="13"/>
      <c r="DDQ9" s="13"/>
      <c r="DDR9" s="13"/>
      <c r="DDS9" s="13"/>
      <c r="DDT9" s="13"/>
      <c r="DDU9" s="13"/>
      <c r="DDV9" s="13"/>
      <c r="DDW9" s="13"/>
      <c r="DDX9" s="13"/>
      <c r="DDY9" s="13"/>
      <c r="DDZ9" s="13"/>
      <c r="DEA9" s="13"/>
      <c r="DEB9" s="13"/>
      <c r="DEC9" s="13"/>
      <c r="DED9" s="13"/>
      <c r="DEE9" s="13"/>
      <c r="DEF9" s="13"/>
      <c r="DEG9" s="13"/>
      <c r="DEH9" s="13"/>
      <c r="DEI9" s="13"/>
      <c r="DEJ9" s="13"/>
      <c r="DEK9" s="13"/>
      <c r="DEL9" s="13"/>
      <c r="DEM9" s="13"/>
      <c r="DEN9" s="13"/>
      <c r="DEO9" s="13"/>
      <c r="DEP9" s="13"/>
      <c r="DEQ9" s="13"/>
      <c r="DER9" s="13"/>
      <c r="DES9" s="13"/>
      <c r="DET9" s="13"/>
      <c r="DEU9" s="13"/>
      <c r="DEV9" s="13"/>
      <c r="DEW9" s="13"/>
      <c r="DEX9" s="13"/>
      <c r="DEY9" s="13"/>
      <c r="DEZ9" s="13"/>
      <c r="DFA9" s="13"/>
      <c r="DFB9" s="13"/>
      <c r="DFC9" s="13"/>
      <c r="DFD9" s="13"/>
      <c r="DFE9" s="13"/>
      <c r="DFF9" s="13"/>
      <c r="DFG9" s="13"/>
      <c r="DFH9" s="13"/>
      <c r="DFI9" s="13"/>
      <c r="DFJ9" s="13"/>
      <c r="DFK9" s="13"/>
      <c r="DFL9" s="13"/>
      <c r="DFM9" s="13"/>
      <c r="DFN9" s="13"/>
      <c r="DFO9" s="13"/>
      <c r="DFP9" s="13"/>
      <c r="DFQ9" s="13"/>
      <c r="DFR9" s="13"/>
      <c r="DFS9" s="13"/>
      <c r="DFT9" s="13"/>
      <c r="DFU9" s="13"/>
      <c r="DFV9" s="13"/>
      <c r="DFW9" s="13"/>
      <c r="DFX9" s="13"/>
      <c r="DFY9" s="13"/>
      <c r="DFZ9" s="13"/>
      <c r="DGA9" s="13"/>
      <c r="DGB9" s="13"/>
      <c r="DGC9" s="13"/>
      <c r="DGD9" s="13"/>
      <c r="DGE9" s="13"/>
      <c r="DGF9" s="13"/>
      <c r="DGG9" s="13"/>
      <c r="DGH9" s="13"/>
      <c r="DGI9" s="13"/>
      <c r="DGJ9" s="13"/>
      <c r="DGK9" s="13"/>
      <c r="DGL9" s="13"/>
      <c r="DGM9" s="13"/>
      <c r="DGN9" s="13"/>
      <c r="DGO9" s="13"/>
      <c r="DGP9" s="13"/>
      <c r="DGQ9" s="13"/>
      <c r="DGR9" s="13"/>
      <c r="DGS9" s="13"/>
      <c r="DGT9" s="13"/>
      <c r="DGU9" s="13"/>
      <c r="DGV9" s="13"/>
      <c r="DGW9" s="13"/>
      <c r="DGX9" s="13"/>
      <c r="DGY9" s="13"/>
      <c r="DGZ9" s="13"/>
      <c r="DHA9" s="13"/>
      <c r="DHB9" s="13"/>
      <c r="DHC9" s="13"/>
      <c r="DHD9" s="13"/>
      <c r="DHE9" s="13"/>
      <c r="DHF9" s="13"/>
      <c r="DHG9" s="13"/>
      <c r="DHH9" s="13"/>
      <c r="DHI9" s="13"/>
      <c r="DHJ9" s="13"/>
      <c r="DHK9" s="13"/>
      <c r="DHL9" s="13"/>
      <c r="DHM9" s="13"/>
      <c r="DHN9" s="13"/>
      <c r="DHO9" s="13"/>
      <c r="DHP9" s="13"/>
      <c r="DHQ9" s="13"/>
      <c r="DHR9" s="13"/>
      <c r="DHS9" s="13"/>
      <c r="DHT9" s="13"/>
      <c r="DHU9" s="13"/>
      <c r="DHV9" s="13"/>
      <c r="DHW9" s="13"/>
      <c r="DHX9" s="13"/>
      <c r="DHY9" s="13"/>
      <c r="DHZ9" s="13"/>
      <c r="DIA9" s="13"/>
      <c r="DIB9" s="13"/>
      <c r="DIC9" s="13"/>
      <c r="DID9" s="13"/>
      <c r="DIE9" s="13"/>
      <c r="DIF9" s="13"/>
      <c r="DIG9" s="13"/>
      <c r="DIH9" s="13"/>
      <c r="DII9" s="13"/>
      <c r="DIJ9" s="13"/>
      <c r="DIK9" s="13"/>
      <c r="DIL9" s="13"/>
      <c r="DIM9" s="13"/>
      <c r="DIN9" s="13"/>
      <c r="DIO9" s="13"/>
      <c r="DIP9" s="13"/>
      <c r="DIQ9" s="13"/>
      <c r="DIR9" s="13"/>
      <c r="DIS9" s="13"/>
      <c r="DIT9" s="13"/>
      <c r="DIU9" s="13"/>
      <c r="DIV9" s="13"/>
      <c r="DIW9" s="13"/>
      <c r="DIX9" s="13"/>
      <c r="DIY9" s="13"/>
      <c r="DIZ9" s="13"/>
      <c r="DJA9" s="13"/>
      <c r="DJB9" s="13"/>
      <c r="DJC9" s="13"/>
      <c r="DJD9" s="13"/>
      <c r="DJE9" s="13"/>
      <c r="DJF9" s="13"/>
      <c r="DJG9" s="13"/>
      <c r="DJH9" s="13"/>
      <c r="DJI9" s="13"/>
      <c r="DJJ9" s="13"/>
      <c r="DJK9" s="13"/>
      <c r="DJL9" s="13"/>
      <c r="DJM9" s="13"/>
      <c r="DJN9" s="13"/>
      <c r="DJO9" s="13"/>
      <c r="DJP9" s="13"/>
      <c r="DJQ9" s="13"/>
      <c r="DJR9" s="13"/>
      <c r="DJS9" s="13"/>
      <c r="DJT9" s="13"/>
      <c r="DJU9" s="13"/>
      <c r="DJV9" s="13"/>
      <c r="DJW9" s="13"/>
      <c r="DJX9" s="13"/>
      <c r="DJY9" s="13"/>
      <c r="DJZ9" s="13"/>
      <c r="DKA9" s="13"/>
      <c r="DKB9" s="13"/>
      <c r="DKC9" s="13"/>
      <c r="DKD9" s="13"/>
      <c r="DKE9" s="13"/>
      <c r="DKF9" s="13"/>
      <c r="DKG9" s="13"/>
      <c r="DKH9" s="13"/>
      <c r="DKI9" s="13"/>
      <c r="DKJ9" s="13"/>
      <c r="DKK9" s="13"/>
      <c r="DKL9" s="13"/>
      <c r="DKM9" s="13"/>
      <c r="DKN9" s="13"/>
      <c r="DKO9" s="13"/>
      <c r="DKP9" s="13"/>
      <c r="DKQ9" s="13"/>
      <c r="DKR9" s="13"/>
      <c r="DKS9" s="13"/>
      <c r="DKT9" s="13"/>
      <c r="DKU9" s="13"/>
      <c r="DKV9" s="13"/>
      <c r="DKW9" s="13"/>
      <c r="DKX9" s="13"/>
      <c r="DKY9" s="13"/>
      <c r="DKZ9" s="13"/>
      <c r="DLA9" s="13"/>
      <c r="DLB9" s="13"/>
      <c r="DLC9" s="13"/>
      <c r="DLD9" s="13"/>
      <c r="DLE9" s="13"/>
      <c r="DLF9" s="13"/>
      <c r="DLG9" s="13"/>
      <c r="DLH9" s="13"/>
      <c r="DLI9" s="13"/>
      <c r="DLJ9" s="13"/>
      <c r="DLK9" s="13"/>
      <c r="DLL9" s="13"/>
      <c r="DLM9" s="13"/>
      <c r="DLN9" s="13"/>
      <c r="DLO9" s="13"/>
      <c r="DLP9" s="13"/>
      <c r="DLQ9" s="13"/>
      <c r="DLR9" s="13"/>
      <c r="DLS9" s="13"/>
      <c r="DLT9" s="13"/>
      <c r="DLU9" s="13"/>
      <c r="DLV9" s="13"/>
      <c r="DLW9" s="13"/>
      <c r="DLX9" s="13"/>
      <c r="DLY9" s="13"/>
      <c r="DLZ9" s="13"/>
      <c r="DMA9" s="13"/>
      <c r="DMB9" s="13"/>
      <c r="DMC9" s="13"/>
      <c r="DMD9" s="13"/>
      <c r="DME9" s="13"/>
      <c r="DMF9" s="13"/>
      <c r="DMG9" s="13"/>
      <c r="DMH9" s="13"/>
      <c r="DMI9" s="13"/>
      <c r="DMJ9" s="13"/>
      <c r="DMK9" s="13"/>
      <c r="DML9" s="13"/>
      <c r="DMM9" s="13"/>
      <c r="DMN9" s="13"/>
      <c r="DMO9" s="13"/>
      <c r="DMP9" s="13"/>
      <c r="DMQ9" s="13"/>
      <c r="DMR9" s="13"/>
      <c r="DMS9" s="13"/>
      <c r="DMT9" s="13"/>
      <c r="DMU9" s="13"/>
      <c r="DMV9" s="13"/>
      <c r="DMW9" s="13"/>
      <c r="DMX9" s="13"/>
      <c r="DMY9" s="13"/>
      <c r="DMZ9" s="13"/>
      <c r="DNA9" s="13"/>
      <c r="DNB9" s="13"/>
      <c r="DNC9" s="13"/>
      <c r="DND9" s="13"/>
      <c r="DNE9" s="13"/>
      <c r="DNF9" s="13"/>
      <c r="DNG9" s="13"/>
      <c r="DNH9" s="13"/>
      <c r="DNI9" s="13"/>
      <c r="DNJ9" s="13"/>
      <c r="DNK9" s="13"/>
      <c r="DNL9" s="13"/>
      <c r="DNM9" s="13"/>
      <c r="DNN9" s="13"/>
      <c r="DNO9" s="13"/>
      <c r="DNP9" s="13"/>
      <c r="DNQ9" s="13"/>
      <c r="DNR9" s="13"/>
      <c r="DNS9" s="13"/>
      <c r="DNT9" s="13"/>
      <c r="DNU9" s="13"/>
      <c r="DNV9" s="13"/>
      <c r="DNW9" s="13"/>
      <c r="DNX9" s="13"/>
      <c r="DNY9" s="13"/>
      <c r="DNZ9" s="13"/>
      <c r="DOA9" s="13"/>
      <c r="DOB9" s="13"/>
      <c r="DOC9" s="13"/>
      <c r="DOD9" s="13"/>
      <c r="DOE9" s="13"/>
      <c r="DOF9" s="13"/>
      <c r="DOG9" s="13"/>
      <c r="DOH9" s="13"/>
      <c r="DOI9" s="13"/>
      <c r="DOJ9" s="13"/>
      <c r="DOK9" s="13"/>
      <c r="DOL9" s="13"/>
      <c r="DOM9" s="13"/>
      <c r="DON9" s="13"/>
      <c r="DOO9" s="13"/>
      <c r="DOP9" s="13"/>
      <c r="DOQ9" s="13"/>
      <c r="DOR9" s="13"/>
      <c r="DOS9" s="13"/>
      <c r="DOT9" s="13"/>
      <c r="DOU9" s="13"/>
      <c r="DOV9" s="13"/>
      <c r="DOW9" s="13"/>
      <c r="DOX9" s="13"/>
      <c r="DOY9" s="13"/>
      <c r="DOZ9" s="13"/>
      <c r="DPA9" s="13"/>
      <c r="DPB9" s="13"/>
      <c r="DPC9" s="13"/>
      <c r="DPD9" s="13"/>
      <c r="DPE9" s="13"/>
      <c r="DPF9" s="13"/>
      <c r="DPG9" s="13"/>
      <c r="DPH9" s="13"/>
      <c r="DPI9" s="13"/>
      <c r="DPJ9" s="13"/>
      <c r="DPK9" s="13"/>
      <c r="DPL9" s="13"/>
      <c r="DPM9" s="13"/>
      <c r="DPN9" s="13"/>
      <c r="DPO9" s="13"/>
      <c r="DPP9" s="13"/>
      <c r="DPQ9" s="13"/>
      <c r="DPR9" s="13"/>
      <c r="DPS9" s="13"/>
      <c r="DPT9" s="13"/>
      <c r="DPU9" s="13"/>
      <c r="DPV9" s="13"/>
      <c r="DPW9" s="13"/>
      <c r="DPX9" s="13"/>
      <c r="DPY9" s="13"/>
      <c r="DPZ9" s="13"/>
      <c r="DQA9" s="13"/>
      <c r="DQB9" s="13"/>
      <c r="DQC9" s="13"/>
      <c r="DQD9" s="13"/>
      <c r="DQE9" s="13"/>
      <c r="DQF9" s="13"/>
      <c r="DQG9" s="13"/>
      <c r="DQH9" s="13"/>
      <c r="DQI9" s="13"/>
      <c r="DQJ9" s="13"/>
      <c r="DQK9" s="13"/>
      <c r="DQL9" s="13"/>
      <c r="DQM9" s="13"/>
      <c r="DQN9" s="13"/>
      <c r="DQO9" s="13"/>
      <c r="DQP9" s="13"/>
      <c r="DQQ9" s="13"/>
      <c r="DQR9" s="13"/>
      <c r="DQS9" s="13"/>
      <c r="DQT9" s="13"/>
      <c r="DQU9" s="13"/>
      <c r="DQV9" s="13"/>
      <c r="DQW9" s="13"/>
      <c r="DQX9" s="13"/>
      <c r="DQY9" s="13"/>
      <c r="DQZ9" s="13"/>
      <c r="DRA9" s="13"/>
      <c r="DRB9" s="13"/>
      <c r="DRC9" s="13"/>
      <c r="DRD9" s="13"/>
      <c r="DRE9" s="13"/>
      <c r="DRF9" s="13"/>
      <c r="DRG9" s="13"/>
      <c r="DRH9" s="13"/>
      <c r="DRI9" s="13"/>
      <c r="DRJ9" s="13"/>
      <c r="DRK9" s="13"/>
      <c r="DRL9" s="13"/>
      <c r="DRM9" s="13"/>
      <c r="DRN9" s="13"/>
      <c r="DRO9" s="13"/>
      <c r="DRP9" s="13"/>
      <c r="DRQ9" s="13"/>
      <c r="DRR9" s="13"/>
      <c r="DRS9" s="13"/>
      <c r="DRT9" s="13"/>
      <c r="DRU9" s="13"/>
      <c r="DRV9" s="13"/>
      <c r="DRW9" s="13"/>
      <c r="DRX9" s="13"/>
      <c r="DRY9" s="13"/>
      <c r="DRZ9" s="13"/>
      <c r="DSA9" s="13"/>
      <c r="DSB9" s="13"/>
      <c r="DSC9" s="13"/>
      <c r="DSD9" s="13"/>
      <c r="DSE9" s="13"/>
      <c r="DSF9" s="13"/>
      <c r="DSG9" s="13"/>
      <c r="DSH9" s="13"/>
      <c r="DSI9" s="13"/>
      <c r="DSJ9" s="13"/>
      <c r="DSK9" s="13"/>
      <c r="DSL9" s="13"/>
      <c r="DSM9" s="13"/>
      <c r="DSN9" s="13"/>
      <c r="DSO9" s="13"/>
      <c r="DSP9" s="13"/>
      <c r="DSQ9" s="13"/>
      <c r="DSR9" s="13"/>
      <c r="DSS9" s="13"/>
      <c r="DST9" s="13"/>
      <c r="DSU9" s="13"/>
      <c r="DSV9" s="13"/>
      <c r="DSW9" s="13"/>
      <c r="DSX9" s="13"/>
      <c r="DSY9" s="13"/>
      <c r="DSZ9" s="13"/>
      <c r="DTA9" s="13"/>
      <c r="DTB9" s="13"/>
      <c r="DTC9" s="13"/>
      <c r="DTD9" s="13"/>
      <c r="DTE9" s="13"/>
      <c r="DTF9" s="13"/>
      <c r="DTG9" s="13"/>
      <c r="DTH9" s="13"/>
      <c r="DTI9" s="13"/>
      <c r="DTJ9" s="13"/>
      <c r="DTK9" s="13"/>
      <c r="DTL9" s="13"/>
      <c r="DTM9" s="13"/>
      <c r="DTN9" s="13"/>
      <c r="DTO9" s="13"/>
      <c r="DTP9" s="13"/>
      <c r="DTQ9" s="13"/>
      <c r="DTR9" s="13"/>
      <c r="DTS9" s="13"/>
      <c r="DTT9" s="13"/>
      <c r="DTU9" s="13"/>
      <c r="DTV9" s="13"/>
      <c r="DTW9" s="13"/>
      <c r="DTX9" s="13"/>
      <c r="DTY9" s="13"/>
      <c r="DTZ9" s="13"/>
      <c r="DUA9" s="13"/>
      <c r="DUB9" s="13"/>
      <c r="DUC9" s="13"/>
      <c r="DUD9" s="13"/>
      <c r="DUE9" s="13"/>
      <c r="DUF9" s="13"/>
      <c r="DUG9" s="13"/>
      <c r="DUH9" s="13"/>
      <c r="DUI9" s="13"/>
      <c r="DUJ9" s="13"/>
      <c r="DUK9" s="13"/>
      <c r="DUL9" s="13"/>
      <c r="DUM9" s="13"/>
      <c r="DUN9" s="13"/>
      <c r="DUO9" s="13"/>
      <c r="DUP9" s="13"/>
      <c r="DUQ9" s="13"/>
      <c r="DUR9" s="13"/>
      <c r="DUS9" s="13"/>
      <c r="DUT9" s="13"/>
      <c r="DUU9" s="13"/>
      <c r="DUV9" s="13"/>
      <c r="DUW9" s="13"/>
      <c r="DUX9" s="13"/>
      <c r="DUY9" s="13"/>
      <c r="DUZ9" s="13"/>
      <c r="DVA9" s="13"/>
      <c r="DVB9" s="13"/>
      <c r="DVC9" s="13"/>
      <c r="DVD9" s="13"/>
      <c r="DVE9" s="13"/>
      <c r="DVF9" s="13"/>
      <c r="DVG9" s="13"/>
      <c r="DVH9" s="13"/>
      <c r="DVI9" s="13"/>
      <c r="DVJ9" s="13"/>
      <c r="DVK9" s="13"/>
      <c r="DVL9" s="13"/>
      <c r="DVM9" s="13"/>
      <c r="DVN9" s="13"/>
      <c r="DVO9" s="13"/>
      <c r="DVP9" s="13"/>
      <c r="DVQ9" s="13"/>
      <c r="DVR9" s="13"/>
      <c r="DVS9" s="13"/>
      <c r="DVT9" s="13"/>
      <c r="DVU9" s="13"/>
      <c r="DVV9" s="13"/>
      <c r="DVW9" s="13"/>
      <c r="DVX9" s="13"/>
      <c r="DVY9" s="13"/>
      <c r="DVZ9" s="13"/>
      <c r="DWA9" s="13"/>
      <c r="DWB9" s="13"/>
      <c r="DWC9" s="13"/>
      <c r="DWD9" s="13"/>
      <c r="DWE9" s="13"/>
      <c r="DWF9" s="13"/>
      <c r="DWG9" s="13"/>
      <c r="DWH9" s="13"/>
      <c r="DWI9" s="13"/>
      <c r="DWJ9" s="13"/>
      <c r="DWK9" s="13"/>
      <c r="DWL9" s="13"/>
      <c r="DWM9" s="13"/>
      <c r="DWN9" s="13"/>
      <c r="DWO9" s="13"/>
      <c r="DWP9" s="13"/>
      <c r="DWQ9" s="13"/>
      <c r="DWR9" s="13"/>
      <c r="DWS9" s="13"/>
      <c r="DWT9" s="13"/>
      <c r="DWU9" s="13"/>
      <c r="DWV9" s="13"/>
      <c r="DWW9" s="13"/>
      <c r="DWX9" s="13"/>
      <c r="DWY9" s="13"/>
      <c r="DWZ9" s="13"/>
      <c r="DXA9" s="13"/>
      <c r="DXB9" s="13"/>
      <c r="DXC9" s="13"/>
      <c r="DXD9" s="13"/>
      <c r="DXE9" s="13"/>
      <c r="DXF9" s="13"/>
      <c r="DXG9" s="13"/>
      <c r="DXH9" s="13"/>
      <c r="DXI9" s="13"/>
      <c r="DXJ9" s="13"/>
      <c r="DXK9" s="13"/>
      <c r="DXL9" s="13"/>
      <c r="DXM9" s="13"/>
      <c r="DXN9" s="13"/>
      <c r="DXO9" s="13"/>
      <c r="DXP9" s="13"/>
      <c r="DXQ9" s="13"/>
      <c r="DXR9" s="13"/>
      <c r="DXS9" s="13"/>
      <c r="DXT9" s="13"/>
      <c r="DXU9" s="13"/>
      <c r="DXV9" s="13"/>
      <c r="DXW9" s="13"/>
      <c r="DXX9" s="13"/>
      <c r="DXY9" s="13"/>
      <c r="DXZ9" s="13"/>
      <c r="DYA9" s="13"/>
      <c r="DYB9" s="13"/>
      <c r="DYC9" s="13"/>
      <c r="DYD9" s="13"/>
      <c r="DYE9" s="13"/>
      <c r="DYF9" s="13"/>
      <c r="DYG9" s="13"/>
      <c r="DYH9" s="13"/>
      <c r="DYI9" s="13"/>
      <c r="DYJ9" s="13"/>
      <c r="DYK9" s="13"/>
      <c r="DYL9" s="13"/>
      <c r="DYM9" s="13"/>
      <c r="DYN9" s="13"/>
      <c r="DYO9" s="13"/>
      <c r="DYP9" s="13"/>
      <c r="DYQ9" s="13"/>
      <c r="DYR9" s="13"/>
      <c r="DYS9" s="13"/>
      <c r="DYT9" s="13"/>
      <c r="DYU9" s="13"/>
      <c r="DYV9" s="13"/>
      <c r="DYW9" s="13"/>
      <c r="DYX9" s="13"/>
      <c r="DYY9" s="13"/>
      <c r="DYZ9" s="13"/>
      <c r="DZA9" s="13"/>
      <c r="DZB9" s="13"/>
      <c r="DZC9" s="13"/>
      <c r="DZD9" s="13"/>
      <c r="DZE9" s="13"/>
      <c r="DZF9" s="13"/>
      <c r="DZG9" s="13"/>
      <c r="DZH9" s="13"/>
      <c r="DZI9" s="13"/>
      <c r="DZJ9" s="13"/>
      <c r="DZK9" s="13"/>
      <c r="DZL9" s="13"/>
      <c r="DZM9" s="13"/>
      <c r="DZN9" s="13"/>
      <c r="DZO9" s="13"/>
      <c r="DZP9" s="13"/>
      <c r="DZQ9" s="13"/>
      <c r="DZR9" s="13"/>
      <c r="DZS9" s="13"/>
      <c r="DZT9" s="13"/>
      <c r="DZU9" s="13"/>
      <c r="DZV9" s="13"/>
      <c r="DZW9" s="13"/>
      <c r="DZX9" s="13"/>
      <c r="DZY9" s="13"/>
      <c r="DZZ9" s="13"/>
      <c r="EAA9" s="13"/>
      <c r="EAB9" s="13"/>
      <c r="EAC9" s="13"/>
      <c r="EAD9" s="13"/>
      <c r="EAE9" s="13"/>
      <c r="EAF9" s="13"/>
      <c r="EAG9" s="13"/>
      <c r="EAH9" s="13"/>
      <c r="EAI9" s="13"/>
      <c r="EAJ9" s="13"/>
      <c r="EAK9" s="13"/>
      <c r="EAL9" s="13"/>
      <c r="EAM9" s="13"/>
      <c r="EAN9" s="13"/>
      <c r="EAO9" s="13"/>
      <c r="EAP9" s="13"/>
      <c r="EAQ9" s="13"/>
      <c r="EAR9" s="13"/>
      <c r="EAS9" s="13"/>
      <c r="EAT9" s="13"/>
      <c r="EAU9" s="13"/>
      <c r="EAV9" s="13"/>
      <c r="EAW9" s="13"/>
      <c r="EAX9" s="13"/>
      <c r="EAY9" s="13"/>
      <c r="EAZ9" s="13"/>
      <c r="EBA9" s="13"/>
      <c r="EBB9" s="13"/>
      <c r="EBC9" s="13"/>
      <c r="EBD9" s="13"/>
      <c r="EBE9" s="13"/>
      <c r="EBF9" s="13"/>
      <c r="EBG9" s="13"/>
      <c r="EBH9" s="13"/>
      <c r="EBI9" s="13"/>
      <c r="EBJ9" s="13"/>
      <c r="EBK9" s="13"/>
      <c r="EBL9" s="13"/>
      <c r="EBM9" s="13"/>
      <c r="EBN9" s="13"/>
      <c r="EBO9" s="13"/>
      <c r="EBP9" s="13"/>
      <c r="EBQ9" s="13"/>
      <c r="EBR9" s="13"/>
      <c r="EBS9" s="13"/>
      <c r="EBT9" s="13"/>
      <c r="EBU9" s="13"/>
      <c r="EBV9" s="13"/>
      <c r="EBW9" s="13"/>
      <c r="EBX9" s="13"/>
      <c r="EBY9" s="13"/>
      <c r="EBZ9" s="13"/>
      <c r="ECA9" s="13"/>
      <c r="ECB9" s="13"/>
      <c r="ECC9" s="13"/>
      <c r="ECD9" s="13"/>
      <c r="ECE9" s="13"/>
      <c r="ECF9" s="13"/>
      <c r="ECG9" s="13"/>
      <c r="ECH9" s="13"/>
      <c r="ECI9" s="13"/>
      <c r="ECJ9" s="13"/>
      <c r="ECK9" s="13"/>
      <c r="ECL9" s="13"/>
      <c r="ECM9" s="13"/>
      <c r="ECN9" s="13"/>
      <c r="ECO9" s="13"/>
      <c r="ECP9" s="13"/>
      <c r="ECQ9" s="13"/>
      <c r="ECR9" s="13"/>
      <c r="ECS9" s="13"/>
      <c r="ECT9" s="13"/>
      <c r="ECU9" s="13"/>
      <c r="ECV9" s="13"/>
      <c r="ECW9" s="13"/>
      <c r="ECX9" s="13"/>
      <c r="ECY9" s="13"/>
      <c r="ECZ9" s="13"/>
      <c r="EDA9" s="13"/>
      <c r="EDB9" s="13"/>
      <c r="EDC9" s="13"/>
      <c r="EDD9" s="13"/>
      <c r="EDE9" s="13"/>
      <c r="EDF9" s="13"/>
      <c r="EDG9" s="13"/>
      <c r="EDH9" s="13"/>
      <c r="EDI9" s="13"/>
      <c r="EDJ9" s="13"/>
      <c r="EDK9" s="13"/>
      <c r="EDL9" s="13"/>
      <c r="EDM9" s="13"/>
      <c r="EDN9" s="13"/>
      <c r="EDO9" s="13"/>
      <c r="EDP9" s="13"/>
      <c r="EDQ9" s="13"/>
      <c r="EDR9" s="13"/>
      <c r="EDS9" s="13"/>
      <c r="EDT9" s="13"/>
      <c r="EDU9" s="13"/>
      <c r="EDV9" s="13"/>
      <c r="EDW9" s="13"/>
      <c r="EDX9" s="13"/>
      <c r="EDY9" s="13"/>
      <c r="EDZ9" s="13"/>
      <c r="EEA9" s="13"/>
      <c r="EEB9" s="13"/>
      <c r="EEC9" s="13"/>
      <c r="EED9" s="13"/>
      <c r="EEE9" s="13"/>
      <c r="EEF9" s="13"/>
      <c r="EEG9" s="13"/>
      <c r="EEH9" s="13"/>
      <c r="EEI9" s="13"/>
      <c r="EEJ9" s="13"/>
      <c r="EEK9" s="13"/>
      <c r="EEL9" s="13"/>
      <c r="EEM9" s="13"/>
      <c r="EEN9" s="13"/>
      <c r="EEO9" s="13"/>
      <c r="EEP9" s="13"/>
      <c r="EEQ9" s="13"/>
      <c r="EER9" s="13"/>
      <c r="EES9" s="13"/>
      <c r="EET9" s="13"/>
      <c r="EEU9" s="13"/>
      <c r="EEV9" s="13"/>
      <c r="EEW9" s="13"/>
      <c r="EEX9" s="13"/>
      <c r="EEY9" s="13"/>
      <c r="EEZ9" s="13"/>
      <c r="EFA9" s="13"/>
      <c r="EFB9" s="13"/>
      <c r="EFC9" s="13"/>
      <c r="EFD9" s="13"/>
      <c r="EFE9" s="13"/>
      <c r="EFF9" s="13"/>
      <c r="EFG9" s="13"/>
      <c r="EFH9" s="13"/>
      <c r="EFI9" s="13"/>
      <c r="EFJ9" s="13"/>
      <c r="EFK9" s="13"/>
      <c r="EFL9" s="13"/>
      <c r="EFM9" s="13"/>
      <c r="EFN9" s="13"/>
      <c r="EFO9" s="13"/>
      <c r="EFP9" s="13"/>
      <c r="EFQ9" s="13"/>
      <c r="EFR9" s="13"/>
      <c r="EFS9" s="13"/>
      <c r="EFT9" s="13"/>
      <c r="EFU9" s="13"/>
      <c r="EFV9" s="13"/>
      <c r="EFW9" s="13"/>
      <c r="EFX9" s="13"/>
      <c r="EFY9" s="13"/>
      <c r="EFZ9" s="13"/>
      <c r="EGA9" s="13"/>
      <c r="EGB9" s="13"/>
      <c r="EGC9" s="13"/>
      <c r="EGD9" s="13"/>
      <c r="EGE9" s="13"/>
      <c r="EGF9" s="13"/>
      <c r="EGG9" s="13"/>
      <c r="EGH9" s="13"/>
      <c r="EGI9" s="13"/>
      <c r="EGJ9" s="13"/>
      <c r="EGK9" s="13"/>
      <c r="EGL9" s="13"/>
      <c r="EGM9" s="13"/>
      <c r="EGN9" s="13"/>
      <c r="EGO9" s="13"/>
      <c r="EGP9" s="13"/>
      <c r="EGQ9" s="13"/>
      <c r="EGR9" s="13"/>
      <c r="EGS9" s="13"/>
      <c r="EGT9" s="13"/>
      <c r="EGU9" s="13"/>
      <c r="EGV9" s="13"/>
      <c r="EGW9" s="13"/>
      <c r="EGX9" s="13"/>
      <c r="EGY9" s="13"/>
      <c r="EGZ9" s="13"/>
      <c r="EHA9" s="13"/>
      <c r="EHB9" s="13"/>
      <c r="EHC9" s="13"/>
      <c r="EHD9" s="13"/>
      <c r="EHE9" s="13"/>
      <c r="EHF9" s="13"/>
      <c r="EHG9" s="13"/>
      <c r="EHH9" s="13"/>
      <c r="EHI9" s="13"/>
      <c r="EHJ9" s="13"/>
      <c r="EHK9" s="13"/>
      <c r="EHL9" s="13"/>
      <c r="EHM9" s="13"/>
      <c r="EHN9" s="13"/>
      <c r="EHO9" s="13"/>
      <c r="EHP9" s="13"/>
      <c r="EHQ9" s="13"/>
      <c r="EHR9" s="13"/>
      <c r="EHS9" s="13"/>
      <c r="EHT9" s="13"/>
      <c r="EHU9" s="13"/>
      <c r="EHV9" s="13"/>
      <c r="EHW9" s="13"/>
      <c r="EHX9" s="13"/>
      <c r="EHY9" s="13"/>
      <c r="EHZ9" s="13"/>
      <c r="EIA9" s="13"/>
      <c r="EIB9" s="13"/>
      <c r="EIC9" s="13"/>
      <c r="EID9" s="13"/>
      <c r="EIE9" s="13"/>
      <c r="EIF9" s="13"/>
      <c r="EIG9" s="13"/>
      <c r="EIH9" s="13"/>
      <c r="EII9" s="13"/>
      <c r="EIJ9" s="13"/>
      <c r="EIK9" s="13"/>
      <c r="EIL9" s="13"/>
      <c r="EIM9" s="13"/>
      <c r="EIN9" s="13"/>
      <c r="EIO9" s="13"/>
      <c r="EIP9" s="13"/>
      <c r="EIQ9" s="13"/>
      <c r="EIR9" s="13"/>
      <c r="EIS9" s="13"/>
      <c r="EIT9" s="13"/>
      <c r="EIU9" s="13"/>
      <c r="EIV9" s="13"/>
      <c r="EIW9" s="13"/>
      <c r="EIX9" s="13"/>
      <c r="EIY9" s="13"/>
      <c r="EIZ9" s="13"/>
      <c r="EJA9" s="13"/>
      <c r="EJB9" s="13"/>
      <c r="EJC9" s="13"/>
      <c r="EJD9" s="13"/>
      <c r="EJE9" s="13"/>
      <c r="EJF9" s="13"/>
      <c r="EJG9" s="13"/>
      <c r="EJH9" s="13"/>
      <c r="EJI9" s="13"/>
      <c r="EJJ9" s="13"/>
      <c r="EJK9" s="13"/>
      <c r="EJL9" s="13"/>
      <c r="EJM9" s="13"/>
      <c r="EJN9" s="13"/>
      <c r="EJO9" s="13"/>
      <c r="EJP9" s="13"/>
      <c r="EJQ9" s="13"/>
      <c r="EJR9" s="13"/>
      <c r="EJS9" s="13"/>
      <c r="EJT9" s="13"/>
      <c r="EJU9" s="13"/>
      <c r="EJV9" s="13"/>
      <c r="EJW9" s="13"/>
      <c r="EJX9" s="13"/>
      <c r="EJY9" s="13"/>
      <c r="EJZ9" s="13"/>
      <c r="EKA9" s="13"/>
      <c r="EKB9" s="13"/>
      <c r="EKC9" s="13"/>
      <c r="EKD9" s="13"/>
      <c r="EKE9" s="13"/>
      <c r="EKF9" s="13"/>
      <c r="EKG9" s="13"/>
      <c r="EKH9" s="13"/>
      <c r="EKI9" s="13"/>
      <c r="EKJ9" s="13"/>
      <c r="EKK9" s="13"/>
      <c r="EKL9" s="13"/>
      <c r="EKM9" s="13"/>
      <c r="EKN9" s="13"/>
      <c r="EKO9" s="13"/>
      <c r="EKP9" s="13"/>
      <c r="EKQ9" s="13"/>
      <c r="EKR9" s="13"/>
      <c r="EKS9" s="13"/>
      <c r="EKT9" s="13"/>
      <c r="EKU9" s="13"/>
      <c r="EKV9" s="13"/>
      <c r="EKW9" s="13"/>
      <c r="EKX9" s="13"/>
      <c r="EKY9" s="13"/>
      <c r="EKZ9" s="13"/>
      <c r="ELA9" s="13"/>
      <c r="ELB9" s="13"/>
      <c r="ELC9" s="13"/>
      <c r="ELD9" s="13"/>
      <c r="ELE9" s="13"/>
      <c r="ELF9" s="13"/>
      <c r="ELG9" s="13"/>
      <c r="ELH9" s="13"/>
      <c r="ELI9" s="13"/>
      <c r="ELJ9" s="13"/>
      <c r="ELK9" s="13"/>
      <c r="ELL9" s="13"/>
      <c r="ELM9" s="13"/>
      <c r="ELN9" s="13"/>
      <c r="ELO9" s="13"/>
      <c r="ELP9" s="13"/>
      <c r="ELQ9" s="13"/>
      <c r="ELR9" s="13"/>
      <c r="ELS9" s="13"/>
      <c r="ELT9" s="13"/>
      <c r="ELU9" s="13"/>
      <c r="ELV9" s="13"/>
      <c r="ELW9" s="13"/>
      <c r="ELX9" s="13"/>
      <c r="ELY9" s="13"/>
      <c r="ELZ9" s="13"/>
      <c r="EMA9" s="13"/>
      <c r="EMB9" s="13"/>
      <c r="EMC9" s="13"/>
      <c r="EMD9" s="13"/>
      <c r="EME9" s="13"/>
      <c r="EMF9" s="13"/>
      <c r="EMG9" s="13"/>
      <c r="EMH9" s="13"/>
      <c r="EMI9" s="13"/>
      <c r="EMJ9" s="13"/>
      <c r="EMK9" s="13"/>
      <c r="EML9" s="13"/>
      <c r="EMM9" s="13"/>
      <c r="EMN9" s="13"/>
      <c r="EMO9" s="13"/>
      <c r="EMP9" s="13"/>
      <c r="EMQ9" s="13"/>
      <c r="EMR9" s="13"/>
      <c r="EMS9" s="13"/>
      <c r="EMT9" s="13"/>
      <c r="EMU9" s="13"/>
      <c r="EMV9" s="13"/>
      <c r="EMW9" s="13"/>
      <c r="EMX9" s="13"/>
      <c r="EMY9" s="13"/>
      <c r="EMZ9" s="13"/>
      <c r="ENA9" s="13"/>
      <c r="ENB9" s="13"/>
      <c r="ENC9" s="13"/>
      <c r="END9" s="13"/>
      <c r="ENE9" s="13"/>
      <c r="ENF9" s="13"/>
      <c r="ENG9" s="13"/>
      <c r="ENH9" s="13"/>
      <c r="ENI9" s="13"/>
      <c r="ENJ9" s="13"/>
      <c r="ENK9" s="13"/>
      <c r="ENL9" s="13"/>
      <c r="ENM9" s="13"/>
      <c r="ENN9" s="13"/>
      <c r="ENO9" s="13"/>
      <c r="ENP9" s="13"/>
      <c r="ENQ9" s="13"/>
      <c r="ENR9" s="13"/>
      <c r="ENS9" s="13"/>
      <c r="ENT9" s="13"/>
      <c r="ENU9" s="13"/>
      <c r="ENV9" s="13"/>
      <c r="ENW9" s="13"/>
      <c r="ENX9" s="13"/>
      <c r="ENY9" s="13"/>
      <c r="ENZ9" s="13"/>
      <c r="EOA9" s="13"/>
      <c r="EOB9" s="13"/>
      <c r="EOC9" s="13"/>
      <c r="EOD9" s="13"/>
      <c r="EOE9" s="13"/>
      <c r="EOF9" s="13"/>
      <c r="EOG9" s="13"/>
      <c r="EOH9" s="13"/>
      <c r="EOI9" s="13"/>
      <c r="EOJ9" s="13"/>
      <c r="EOK9" s="13"/>
      <c r="EOL9" s="13"/>
      <c r="EOM9" s="13"/>
      <c r="EON9" s="13"/>
      <c r="EOO9" s="13"/>
      <c r="EOP9" s="13"/>
      <c r="EOQ9" s="13"/>
      <c r="EOR9" s="13"/>
      <c r="EOS9" s="13"/>
      <c r="EOT9" s="13"/>
      <c r="EOU9" s="13"/>
      <c r="EOV9" s="13"/>
      <c r="EOW9" s="13"/>
      <c r="EOX9" s="13"/>
      <c r="EOY9" s="13"/>
      <c r="EOZ9" s="13"/>
      <c r="EPA9" s="13"/>
      <c r="EPB9" s="13"/>
      <c r="EPC9" s="13"/>
      <c r="EPD9" s="13"/>
      <c r="EPE9" s="13"/>
      <c r="EPF9" s="13"/>
      <c r="EPG9" s="13"/>
      <c r="EPH9" s="13"/>
      <c r="EPI9" s="13"/>
      <c r="EPJ9" s="13"/>
      <c r="EPK9" s="13"/>
      <c r="EPL9" s="13"/>
      <c r="EPM9" s="13"/>
      <c r="EPN9" s="13"/>
      <c r="EPO9" s="13"/>
      <c r="EPP9" s="13"/>
      <c r="EPQ9" s="13"/>
      <c r="EPR9" s="13"/>
      <c r="EPS9" s="13"/>
      <c r="EPT9" s="13"/>
      <c r="EPU9" s="13"/>
      <c r="EPV9" s="13"/>
      <c r="EPW9" s="13"/>
      <c r="EPX9" s="13"/>
      <c r="EPY9" s="13"/>
      <c r="EPZ9" s="13"/>
      <c r="EQA9" s="13"/>
      <c r="EQB9" s="13"/>
      <c r="EQC9" s="13"/>
      <c r="EQD9" s="13"/>
      <c r="EQE9" s="13"/>
      <c r="EQF9" s="13"/>
      <c r="EQG9" s="13"/>
      <c r="EQH9" s="13"/>
      <c r="EQI9" s="13"/>
      <c r="EQJ9" s="13"/>
      <c r="EQK9" s="13"/>
      <c r="EQL9" s="13"/>
      <c r="EQM9" s="13"/>
      <c r="EQN9" s="13"/>
      <c r="EQO9" s="13"/>
      <c r="EQP9" s="13"/>
      <c r="EQQ9" s="13"/>
      <c r="EQR9" s="13"/>
      <c r="EQS9" s="13"/>
      <c r="EQT9" s="13"/>
      <c r="EQU9" s="13"/>
      <c r="EQV9" s="13"/>
      <c r="EQW9" s="13"/>
      <c r="EQX9" s="13"/>
      <c r="EQY9" s="13"/>
      <c r="EQZ9" s="13"/>
      <c r="ERA9" s="13"/>
      <c r="ERB9" s="13"/>
      <c r="ERC9" s="13"/>
      <c r="ERD9" s="13"/>
      <c r="ERE9" s="13"/>
      <c r="ERF9" s="13"/>
      <c r="ERG9" s="13"/>
      <c r="ERH9" s="13"/>
      <c r="ERI9" s="13"/>
      <c r="ERJ9" s="13"/>
      <c r="ERK9" s="13"/>
      <c r="ERL9" s="13"/>
      <c r="ERM9" s="13"/>
      <c r="ERN9" s="13"/>
      <c r="ERO9" s="13"/>
      <c r="ERP9" s="13"/>
      <c r="ERQ9" s="13"/>
      <c r="ERR9" s="13"/>
      <c r="ERS9" s="13"/>
      <c r="ERT9" s="13"/>
      <c r="ERU9" s="13"/>
      <c r="ERV9" s="13"/>
      <c r="ERW9" s="13"/>
      <c r="ERX9" s="13"/>
      <c r="ERY9" s="13"/>
      <c r="ERZ9" s="13"/>
      <c r="ESA9" s="13"/>
      <c r="ESB9" s="13"/>
      <c r="ESC9" s="13"/>
      <c r="ESD9" s="13"/>
      <c r="ESE9" s="13"/>
      <c r="ESF9" s="13"/>
      <c r="ESG9" s="13"/>
      <c r="ESH9" s="13"/>
      <c r="ESI9" s="13"/>
      <c r="ESJ9" s="13"/>
      <c r="ESK9" s="13"/>
      <c r="ESL9" s="13"/>
      <c r="ESM9" s="13"/>
      <c r="ESN9" s="13"/>
      <c r="ESO9" s="13"/>
      <c r="ESP9" s="13"/>
      <c r="ESQ9" s="13"/>
      <c r="ESR9" s="13"/>
      <c r="ESS9" s="13"/>
      <c r="EST9" s="13"/>
      <c r="ESU9" s="13"/>
      <c r="ESV9" s="13"/>
      <c r="ESW9" s="13"/>
      <c r="ESX9" s="13"/>
      <c r="ESY9" s="13"/>
      <c r="ESZ9" s="13"/>
      <c r="ETA9" s="13"/>
      <c r="ETB9" s="13"/>
      <c r="ETC9" s="13"/>
      <c r="ETD9" s="13"/>
      <c r="ETE9" s="13"/>
      <c r="ETF9" s="13"/>
      <c r="ETG9" s="13"/>
      <c r="ETH9" s="13"/>
      <c r="ETI9" s="13"/>
      <c r="ETJ9" s="13"/>
      <c r="ETK9" s="13"/>
      <c r="ETL9" s="13"/>
      <c r="ETM9" s="13"/>
      <c r="ETN9" s="13"/>
      <c r="ETO9" s="13"/>
      <c r="ETP9" s="13"/>
      <c r="ETQ9" s="13"/>
      <c r="ETR9" s="13"/>
      <c r="ETS9" s="13"/>
      <c r="ETT9" s="13"/>
      <c r="ETU9" s="13"/>
      <c r="ETV9" s="13"/>
      <c r="ETW9" s="13"/>
      <c r="ETX9" s="13"/>
      <c r="ETY9" s="13"/>
      <c r="ETZ9" s="13"/>
      <c r="EUA9" s="13"/>
      <c r="EUB9" s="13"/>
      <c r="EUC9" s="13"/>
      <c r="EUD9" s="13"/>
      <c r="EUE9" s="13"/>
      <c r="EUF9" s="13"/>
      <c r="EUG9" s="13"/>
      <c r="EUH9" s="13"/>
      <c r="EUI9" s="13"/>
      <c r="EUJ9" s="13"/>
      <c r="EUK9" s="13"/>
      <c r="EUL9" s="13"/>
      <c r="EUM9" s="13"/>
      <c r="EUN9" s="13"/>
      <c r="EUO9" s="13"/>
      <c r="EUP9" s="13"/>
      <c r="EUQ9" s="13"/>
      <c r="EUR9" s="13"/>
      <c r="EUS9" s="13"/>
      <c r="EUT9" s="13"/>
      <c r="EUU9" s="13"/>
      <c r="EUV9" s="13"/>
      <c r="EUW9" s="13"/>
      <c r="EUX9" s="13"/>
      <c r="EUY9" s="13"/>
      <c r="EUZ9" s="13"/>
      <c r="EVA9" s="13"/>
      <c r="EVB9" s="13"/>
      <c r="EVC9" s="13"/>
      <c r="EVD9" s="13"/>
      <c r="EVE9" s="13"/>
      <c r="EVF9" s="13"/>
      <c r="EVG9" s="13"/>
      <c r="EVH9" s="13"/>
      <c r="EVI9" s="13"/>
      <c r="EVJ9" s="13"/>
      <c r="EVK9" s="13"/>
      <c r="EVL9" s="13"/>
      <c r="EVM9" s="13"/>
      <c r="EVN9" s="13"/>
      <c r="EVO9" s="13"/>
      <c r="EVP9" s="13"/>
      <c r="EVQ9" s="13"/>
      <c r="EVR9" s="13"/>
      <c r="EVS9" s="13"/>
      <c r="EVT9" s="13"/>
      <c r="EVU9" s="13"/>
      <c r="EVV9" s="13"/>
      <c r="EVW9" s="13"/>
      <c r="EVX9" s="13"/>
      <c r="EVY9" s="13"/>
      <c r="EVZ9" s="13"/>
      <c r="EWA9" s="13"/>
      <c r="EWB9" s="13"/>
      <c r="EWC9" s="13"/>
      <c r="EWD9" s="13"/>
      <c r="EWE9" s="13"/>
      <c r="EWF9" s="13"/>
      <c r="EWG9" s="13"/>
      <c r="EWH9" s="13"/>
      <c r="EWI9" s="13"/>
      <c r="EWJ9" s="13"/>
      <c r="EWK9" s="13"/>
      <c r="EWL9" s="13"/>
      <c r="EWM9" s="13"/>
      <c r="EWN9" s="13"/>
      <c r="EWO9" s="13"/>
      <c r="EWP9" s="13"/>
      <c r="EWQ9" s="13"/>
      <c r="EWR9" s="13"/>
      <c r="EWS9" s="13"/>
      <c r="EWT9" s="13"/>
      <c r="EWU9" s="13"/>
      <c r="EWV9" s="13"/>
      <c r="EWW9" s="13"/>
      <c r="EWX9" s="13"/>
      <c r="EWY9" s="13"/>
      <c r="EWZ9" s="13"/>
      <c r="EXA9" s="13"/>
      <c r="EXB9" s="13"/>
      <c r="EXC9" s="13"/>
      <c r="EXD9" s="13"/>
      <c r="EXE9" s="13"/>
      <c r="EXF9" s="13"/>
      <c r="EXG9" s="13"/>
      <c r="EXH9" s="13"/>
      <c r="EXI9" s="13"/>
      <c r="EXJ9" s="13"/>
      <c r="EXK9" s="13"/>
      <c r="EXL9" s="13"/>
      <c r="EXM9" s="13"/>
      <c r="EXN9" s="13"/>
      <c r="EXO9" s="13"/>
      <c r="EXP9" s="13"/>
      <c r="EXQ9" s="13"/>
      <c r="EXR9" s="13"/>
      <c r="EXS9" s="13"/>
      <c r="EXT9" s="13"/>
      <c r="EXU9" s="13"/>
      <c r="EXV9" s="13"/>
      <c r="EXW9" s="13"/>
      <c r="EXX9" s="13"/>
      <c r="EXY9" s="13"/>
      <c r="EXZ9" s="13"/>
      <c r="EYA9" s="13"/>
      <c r="EYB9" s="13"/>
      <c r="EYC9" s="13"/>
      <c r="EYD9" s="13"/>
      <c r="EYE9" s="13"/>
      <c r="EYF9" s="13"/>
      <c r="EYG9" s="13"/>
      <c r="EYH9" s="13"/>
      <c r="EYI9" s="13"/>
      <c r="EYJ9" s="13"/>
      <c r="EYK9" s="13"/>
      <c r="EYL9" s="13"/>
      <c r="EYM9" s="13"/>
      <c r="EYN9" s="13"/>
      <c r="EYO9" s="13"/>
      <c r="EYP9" s="13"/>
      <c r="EYQ9" s="13"/>
      <c r="EYR9" s="13"/>
      <c r="EYS9" s="13"/>
      <c r="EYT9" s="13"/>
      <c r="EYU9" s="13"/>
      <c r="EYV9" s="13"/>
      <c r="EYW9" s="13"/>
      <c r="EYX9" s="13"/>
      <c r="EYY9" s="13"/>
      <c r="EYZ9" s="13"/>
      <c r="EZA9" s="13"/>
      <c r="EZB9" s="13"/>
      <c r="EZC9" s="13"/>
      <c r="EZD9" s="13"/>
      <c r="EZE9" s="13"/>
      <c r="EZF9" s="13"/>
      <c r="EZG9" s="13"/>
      <c r="EZH9" s="13"/>
      <c r="EZI9" s="13"/>
      <c r="EZJ9" s="13"/>
      <c r="EZK9" s="13"/>
      <c r="EZL9" s="13"/>
      <c r="EZM9" s="13"/>
      <c r="EZN9" s="13"/>
      <c r="EZO9" s="13"/>
      <c r="EZP9" s="13"/>
      <c r="EZQ9" s="13"/>
      <c r="EZR9" s="13"/>
      <c r="EZS9" s="13"/>
      <c r="EZT9" s="13"/>
      <c r="EZU9" s="13"/>
      <c r="EZV9" s="13"/>
      <c r="EZW9" s="13"/>
      <c r="EZX9" s="13"/>
      <c r="EZY9" s="13"/>
      <c r="EZZ9" s="13"/>
      <c r="FAA9" s="13"/>
      <c r="FAB9" s="13"/>
      <c r="FAC9" s="13"/>
      <c r="FAD9" s="13"/>
      <c r="FAE9" s="13"/>
      <c r="FAF9" s="13"/>
      <c r="FAG9" s="13"/>
      <c r="FAH9" s="13"/>
      <c r="FAI9" s="13"/>
      <c r="FAJ9" s="13"/>
      <c r="FAK9" s="13"/>
      <c r="FAL9" s="13"/>
      <c r="FAM9" s="13"/>
      <c r="FAN9" s="13"/>
      <c r="FAO9" s="13"/>
      <c r="FAP9" s="13"/>
      <c r="FAQ9" s="13"/>
      <c r="FAR9" s="13"/>
      <c r="FAS9" s="13"/>
      <c r="FAT9" s="13"/>
      <c r="FAU9" s="13"/>
      <c r="FAV9" s="13"/>
      <c r="FAW9" s="13"/>
      <c r="FAX9" s="13"/>
      <c r="FAY9" s="13"/>
      <c r="FAZ9" s="13"/>
      <c r="FBA9" s="13"/>
      <c r="FBB9" s="13"/>
      <c r="FBC9" s="13"/>
      <c r="FBD9" s="13"/>
      <c r="FBE9" s="13"/>
      <c r="FBF9" s="13"/>
      <c r="FBG9" s="13"/>
      <c r="FBH9" s="13"/>
      <c r="FBI9" s="13"/>
      <c r="FBJ9" s="13"/>
      <c r="FBK9" s="13"/>
      <c r="FBL9" s="13"/>
      <c r="FBM9" s="13"/>
      <c r="FBN9" s="13"/>
      <c r="FBO9" s="13"/>
      <c r="FBP9" s="13"/>
      <c r="FBQ9" s="13"/>
      <c r="FBR9" s="13"/>
      <c r="FBS9" s="13"/>
      <c r="FBT9" s="13"/>
      <c r="FBU9" s="13"/>
      <c r="FBV9" s="13"/>
      <c r="FBW9" s="13"/>
      <c r="FBX9" s="13"/>
      <c r="FBY9" s="13"/>
      <c r="FBZ9" s="13"/>
      <c r="FCA9" s="13"/>
      <c r="FCB9" s="13"/>
      <c r="FCC9" s="13"/>
      <c r="FCD9" s="13"/>
      <c r="FCE9" s="13"/>
      <c r="FCF9" s="13"/>
      <c r="FCG9" s="13"/>
      <c r="FCH9" s="13"/>
      <c r="FCI9" s="13"/>
      <c r="FCJ9" s="13"/>
      <c r="FCK9" s="13"/>
      <c r="FCL9" s="13"/>
      <c r="FCM9" s="13"/>
      <c r="FCN9" s="13"/>
      <c r="FCO9" s="13"/>
      <c r="FCP9" s="13"/>
      <c r="FCQ9" s="13"/>
      <c r="FCR9" s="13"/>
      <c r="FCS9" s="13"/>
      <c r="FCT9" s="13"/>
      <c r="FCU9" s="13"/>
      <c r="FCV9" s="13"/>
      <c r="FCW9" s="13"/>
      <c r="FCX9" s="13"/>
      <c r="FCY9" s="13"/>
      <c r="FCZ9" s="13"/>
      <c r="FDA9" s="13"/>
      <c r="FDB9" s="13"/>
      <c r="FDC9" s="13"/>
      <c r="FDD9" s="13"/>
      <c r="FDE9" s="13"/>
      <c r="FDF9" s="13"/>
      <c r="FDG9" s="13"/>
      <c r="FDH9" s="13"/>
      <c r="FDI9" s="13"/>
      <c r="FDJ9" s="13"/>
      <c r="FDK9" s="13"/>
      <c r="FDL9" s="13"/>
      <c r="FDM9" s="13"/>
      <c r="FDN9" s="13"/>
      <c r="FDO9" s="13"/>
      <c r="FDP9" s="13"/>
      <c r="FDQ9" s="13"/>
      <c r="FDR9" s="13"/>
      <c r="FDS9" s="13"/>
      <c r="FDT9" s="13"/>
      <c r="FDU9" s="13"/>
      <c r="FDV9" s="13"/>
      <c r="FDW9" s="13"/>
      <c r="FDX9" s="13"/>
      <c r="FDY9" s="13"/>
      <c r="FDZ9" s="13"/>
      <c r="FEA9" s="13"/>
      <c r="FEB9" s="13"/>
      <c r="FEC9" s="13"/>
      <c r="FED9" s="13"/>
      <c r="FEE9" s="13"/>
      <c r="FEF9" s="13"/>
      <c r="FEG9" s="13"/>
      <c r="FEH9" s="13"/>
      <c r="FEI9" s="13"/>
      <c r="FEJ9" s="13"/>
      <c r="FEK9" s="13"/>
      <c r="FEL9" s="13"/>
      <c r="FEM9" s="13"/>
      <c r="FEN9" s="13"/>
      <c r="FEO9" s="13"/>
      <c r="FEP9" s="13"/>
      <c r="FEQ9" s="13"/>
      <c r="FER9" s="13"/>
      <c r="FES9" s="13"/>
      <c r="FET9" s="13"/>
      <c r="FEU9" s="13"/>
      <c r="FEV9" s="13"/>
      <c r="FEW9" s="13"/>
      <c r="FEX9" s="13"/>
      <c r="FEY9" s="13"/>
      <c r="FEZ9" s="13"/>
      <c r="FFA9" s="13"/>
      <c r="FFB9" s="13"/>
      <c r="FFC9" s="13"/>
      <c r="FFD9" s="13"/>
      <c r="FFE9" s="13"/>
      <c r="FFF9" s="13"/>
      <c r="FFG9" s="13"/>
      <c r="FFH9" s="13"/>
      <c r="FFI9" s="13"/>
      <c r="FFJ9" s="13"/>
      <c r="FFK9" s="13"/>
      <c r="FFL9" s="13"/>
      <c r="FFM9" s="13"/>
      <c r="FFN9" s="13"/>
      <c r="FFO9" s="13"/>
      <c r="FFP9" s="13"/>
      <c r="FFQ9" s="13"/>
      <c r="FFR9" s="13"/>
      <c r="FFS9" s="13"/>
      <c r="FFT9" s="13"/>
      <c r="FFU9" s="13"/>
      <c r="FFV9" s="13"/>
      <c r="FFW9" s="13"/>
      <c r="FFX9" s="13"/>
      <c r="FFY9" s="13"/>
      <c r="FFZ9" s="13"/>
      <c r="FGA9" s="13"/>
      <c r="FGB9" s="13"/>
      <c r="FGC9" s="13"/>
      <c r="FGD9" s="13"/>
      <c r="FGE9" s="13"/>
      <c r="FGF9" s="13"/>
      <c r="FGG9" s="13"/>
      <c r="FGH9" s="13"/>
      <c r="FGI9" s="13"/>
      <c r="FGJ9" s="13"/>
      <c r="FGK9" s="13"/>
      <c r="FGL9" s="13"/>
      <c r="FGM9" s="13"/>
      <c r="FGN9" s="13"/>
      <c r="FGO9" s="13"/>
      <c r="FGP9" s="13"/>
      <c r="FGQ9" s="13"/>
      <c r="FGR9" s="13"/>
      <c r="FGS9" s="13"/>
      <c r="FGT9" s="13"/>
      <c r="FGU9" s="13"/>
      <c r="FGV9" s="13"/>
      <c r="FGW9" s="13"/>
      <c r="FGX9" s="13"/>
      <c r="FGY9" s="13"/>
      <c r="FGZ9" s="13"/>
      <c r="FHA9" s="13"/>
      <c r="FHB9" s="13"/>
      <c r="FHC9" s="13"/>
      <c r="FHD9" s="13"/>
      <c r="FHE9" s="13"/>
      <c r="FHF9" s="13"/>
      <c r="FHG9" s="13"/>
      <c r="FHH9" s="13"/>
      <c r="FHI9" s="13"/>
      <c r="FHJ9" s="13"/>
      <c r="FHK9" s="13"/>
      <c r="FHL9" s="13"/>
      <c r="FHM9" s="13"/>
      <c r="FHN9" s="13"/>
      <c r="FHO9" s="13"/>
      <c r="FHP9" s="13"/>
      <c r="FHQ9" s="13"/>
      <c r="FHR9" s="13"/>
      <c r="FHS9" s="13"/>
      <c r="FHT9" s="13"/>
      <c r="FHU9" s="13"/>
      <c r="FHV9" s="13"/>
      <c r="FHW9" s="13"/>
      <c r="FHX9" s="13"/>
      <c r="FHY9" s="13"/>
      <c r="FHZ9" s="13"/>
      <c r="FIA9" s="13"/>
      <c r="FIB9" s="13"/>
      <c r="FIC9" s="13"/>
      <c r="FID9" s="13"/>
      <c r="FIE9" s="13"/>
      <c r="FIF9" s="13"/>
      <c r="FIG9" s="13"/>
      <c r="FIH9" s="13"/>
      <c r="FII9" s="13"/>
      <c r="FIJ9" s="13"/>
      <c r="FIK9" s="13"/>
      <c r="FIL9" s="13"/>
      <c r="FIM9" s="13"/>
      <c r="FIN9" s="13"/>
      <c r="FIO9" s="13"/>
      <c r="FIP9" s="13"/>
      <c r="FIQ9" s="13"/>
      <c r="FIR9" s="13"/>
      <c r="FIS9" s="13"/>
      <c r="FIT9" s="13"/>
      <c r="FIU9" s="13"/>
      <c r="FIV9" s="13"/>
      <c r="FIW9" s="13"/>
      <c r="FIX9" s="13"/>
      <c r="FIY9" s="13"/>
      <c r="FIZ9" s="13"/>
      <c r="FJA9" s="13"/>
      <c r="FJB9" s="13"/>
      <c r="FJC9" s="13"/>
      <c r="FJD9" s="13"/>
      <c r="FJE9" s="13"/>
      <c r="FJF9" s="13"/>
      <c r="FJG9" s="13"/>
      <c r="FJH9" s="13"/>
      <c r="FJI9" s="13"/>
      <c r="FJJ9" s="13"/>
      <c r="FJK9" s="13"/>
      <c r="FJL9" s="13"/>
      <c r="FJM9" s="13"/>
      <c r="FJN9" s="13"/>
      <c r="FJO9" s="13"/>
      <c r="FJP9" s="13"/>
      <c r="FJQ9" s="13"/>
      <c r="FJR9" s="13"/>
      <c r="FJS9" s="13"/>
      <c r="FJT9" s="13"/>
      <c r="FJU9" s="13"/>
      <c r="FJV9" s="13"/>
      <c r="FJW9" s="13"/>
      <c r="FJX9" s="13"/>
      <c r="FJY9" s="13"/>
      <c r="FJZ9" s="13"/>
      <c r="FKA9" s="13"/>
      <c r="FKB9" s="13"/>
      <c r="FKC9" s="13"/>
      <c r="FKD9" s="13"/>
      <c r="FKE9" s="13"/>
      <c r="FKF9" s="13"/>
      <c r="FKG9" s="13"/>
      <c r="FKH9" s="13"/>
      <c r="FKI9" s="13"/>
      <c r="FKJ9" s="13"/>
      <c r="FKK9" s="13"/>
      <c r="FKL9" s="13"/>
      <c r="FKM9" s="13"/>
      <c r="FKN9" s="13"/>
      <c r="FKO9" s="13"/>
      <c r="FKP9" s="13"/>
      <c r="FKQ9" s="13"/>
      <c r="FKR9" s="13"/>
      <c r="FKS9" s="13"/>
      <c r="FKT9" s="13"/>
      <c r="FKU9" s="13"/>
      <c r="FKV9" s="13"/>
      <c r="FKW9" s="13"/>
      <c r="FKX9" s="13"/>
      <c r="FKY9" s="13"/>
      <c r="FKZ9" s="13"/>
      <c r="FLA9" s="13"/>
      <c r="FLB9" s="13"/>
      <c r="FLC9" s="13"/>
      <c r="FLD9" s="13"/>
      <c r="FLE9" s="13"/>
      <c r="FLF9" s="13"/>
      <c r="FLG9" s="13"/>
      <c r="FLH9" s="13"/>
      <c r="FLI9" s="13"/>
      <c r="FLJ9" s="13"/>
      <c r="FLK9" s="13"/>
      <c r="FLL9" s="13"/>
      <c r="FLM9" s="13"/>
      <c r="FLN9" s="13"/>
      <c r="FLO9" s="13"/>
      <c r="FLP9" s="13"/>
      <c r="FLQ9" s="13"/>
      <c r="FLR9" s="13"/>
      <c r="FLS9" s="13"/>
      <c r="FLT9" s="13"/>
      <c r="FLU9" s="13"/>
      <c r="FLV9" s="13"/>
      <c r="FLW9" s="13"/>
      <c r="FLX9" s="13"/>
      <c r="FLY9" s="13"/>
      <c r="FLZ9" s="13"/>
      <c r="FMA9" s="13"/>
      <c r="FMB9" s="13"/>
      <c r="FMC9" s="13"/>
      <c r="FMD9" s="13"/>
      <c r="FME9" s="13"/>
      <c r="FMF9" s="13"/>
      <c r="FMG9" s="13"/>
      <c r="FMH9" s="13"/>
      <c r="FMI9" s="13"/>
      <c r="FMJ9" s="13"/>
      <c r="FMK9" s="13"/>
      <c r="FML9" s="13"/>
      <c r="FMM9" s="13"/>
      <c r="FMN9" s="13"/>
      <c r="FMO9" s="13"/>
      <c r="FMP9" s="13"/>
      <c r="FMQ9" s="13"/>
      <c r="FMR9" s="13"/>
      <c r="FMS9" s="13"/>
      <c r="FMT9" s="13"/>
      <c r="FMU9" s="13"/>
      <c r="FMV9" s="13"/>
      <c r="FMW9" s="13"/>
      <c r="FMX9" s="13"/>
      <c r="FMY9" s="13"/>
      <c r="FMZ9" s="13"/>
      <c r="FNA9" s="13"/>
      <c r="FNB9" s="13"/>
      <c r="FNC9" s="13"/>
      <c r="FND9" s="13"/>
      <c r="FNE9" s="13"/>
      <c r="FNF9" s="13"/>
      <c r="FNG9" s="13"/>
      <c r="FNH9" s="13"/>
      <c r="FNI9" s="13"/>
      <c r="FNJ9" s="13"/>
      <c r="FNK9" s="13"/>
      <c r="FNL9" s="13"/>
      <c r="FNM9" s="13"/>
      <c r="FNN9" s="13"/>
      <c r="FNO9" s="13"/>
      <c r="FNP9" s="13"/>
      <c r="FNQ9" s="13"/>
      <c r="FNR9" s="13"/>
      <c r="FNS9" s="13"/>
      <c r="FNT9" s="13"/>
      <c r="FNU9" s="13"/>
      <c r="FNV9" s="13"/>
      <c r="FNW9" s="13"/>
      <c r="FNX9" s="13"/>
      <c r="FNY9" s="13"/>
      <c r="FNZ9" s="13"/>
      <c r="FOA9" s="13"/>
      <c r="FOB9" s="13"/>
      <c r="FOC9" s="13"/>
      <c r="FOD9" s="13"/>
      <c r="FOE9" s="13"/>
      <c r="FOF9" s="13"/>
      <c r="FOG9" s="13"/>
      <c r="FOH9" s="13"/>
      <c r="FOI9" s="13"/>
      <c r="FOJ9" s="13"/>
      <c r="FOK9" s="13"/>
      <c r="FOL9" s="13"/>
      <c r="FOM9" s="13"/>
      <c r="FON9" s="13"/>
      <c r="FOO9" s="13"/>
      <c r="FOP9" s="13"/>
      <c r="FOQ9" s="13"/>
      <c r="FOR9" s="13"/>
      <c r="FOS9" s="13"/>
      <c r="FOT9" s="13"/>
      <c r="FOU9" s="13"/>
      <c r="FOV9" s="13"/>
      <c r="FOW9" s="13"/>
      <c r="FOX9" s="13"/>
      <c r="FOY9" s="13"/>
      <c r="FOZ9" s="13"/>
      <c r="FPA9" s="13"/>
      <c r="FPB9" s="13"/>
      <c r="FPC9" s="13"/>
      <c r="FPD9" s="13"/>
      <c r="FPE9" s="13"/>
      <c r="FPF9" s="13"/>
      <c r="FPG9" s="13"/>
      <c r="FPH9" s="13"/>
      <c r="FPI9" s="13"/>
      <c r="FPJ9" s="13"/>
      <c r="FPK9" s="13"/>
      <c r="FPL9" s="13"/>
      <c r="FPM9" s="13"/>
      <c r="FPN9" s="13"/>
      <c r="FPO9" s="13"/>
      <c r="FPP9" s="13"/>
      <c r="FPQ9" s="13"/>
      <c r="FPR9" s="13"/>
      <c r="FPS9" s="13"/>
      <c r="FPT9" s="13"/>
      <c r="FPU9" s="13"/>
      <c r="FPV9" s="13"/>
      <c r="FPW9" s="13"/>
      <c r="FPX9" s="13"/>
      <c r="FPY9" s="13"/>
      <c r="FPZ9" s="13"/>
      <c r="FQA9" s="13"/>
      <c r="FQB9" s="13"/>
      <c r="FQC9" s="13"/>
      <c r="FQD9" s="13"/>
      <c r="FQE9" s="13"/>
      <c r="FQF9" s="13"/>
      <c r="FQG9" s="13"/>
      <c r="FQH9" s="13"/>
      <c r="FQI9" s="13"/>
      <c r="FQJ9" s="13"/>
      <c r="FQK9" s="13"/>
      <c r="FQL9" s="13"/>
      <c r="FQM9" s="13"/>
      <c r="FQN9" s="13"/>
      <c r="FQO9" s="13"/>
      <c r="FQP9" s="13"/>
      <c r="FQQ9" s="13"/>
      <c r="FQR9" s="13"/>
      <c r="FQS9" s="13"/>
      <c r="FQT9" s="13"/>
      <c r="FQU9" s="13"/>
      <c r="FQV9" s="13"/>
      <c r="FQW9" s="13"/>
      <c r="FQX9" s="13"/>
      <c r="FQY9" s="13"/>
      <c r="FQZ9" s="13"/>
      <c r="FRA9" s="13"/>
      <c r="FRB9" s="13"/>
      <c r="FRC9" s="13"/>
      <c r="FRD9" s="13"/>
      <c r="FRE9" s="13"/>
      <c r="FRF9" s="13"/>
      <c r="FRG9" s="13"/>
      <c r="FRH9" s="13"/>
      <c r="FRI9" s="13"/>
      <c r="FRJ9" s="13"/>
      <c r="FRK9" s="13"/>
      <c r="FRL9" s="13"/>
      <c r="FRM9" s="13"/>
      <c r="FRN9" s="13"/>
      <c r="FRO9" s="13"/>
      <c r="FRP9" s="13"/>
      <c r="FRQ9" s="13"/>
      <c r="FRR9" s="13"/>
      <c r="FRS9" s="13"/>
      <c r="FRT9" s="13"/>
      <c r="FRU9" s="13"/>
      <c r="FRV9" s="13"/>
      <c r="FRW9" s="13"/>
      <c r="FRX9" s="13"/>
      <c r="FRY9" s="13"/>
      <c r="FRZ9" s="13"/>
      <c r="FSA9" s="13"/>
      <c r="FSB9" s="13"/>
      <c r="FSC9" s="13"/>
      <c r="FSD9" s="13"/>
      <c r="FSE9" s="13"/>
      <c r="FSF9" s="13"/>
      <c r="FSG9" s="13"/>
      <c r="FSH9" s="13"/>
      <c r="FSI9" s="13"/>
      <c r="FSJ9" s="13"/>
      <c r="FSK9" s="13"/>
      <c r="FSL9" s="13"/>
      <c r="FSM9" s="13"/>
      <c r="FSN9" s="13"/>
      <c r="FSO9" s="13"/>
      <c r="FSP9" s="13"/>
      <c r="FSQ9" s="13"/>
      <c r="FSR9" s="13"/>
      <c r="FSS9" s="13"/>
      <c r="FST9" s="13"/>
      <c r="FSU9" s="13"/>
      <c r="FSV9" s="13"/>
      <c r="FSW9" s="13"/>
      <c r="FSX9" s="13"/>
      <c r="FSY9" s="13"/>
      <c r="FSZ9" s="13"/>
      <c r="FTA9" s="13"/>
      <c r="FTB9" s="13"/>
      <c r="FTC9" s="13"/>
      <c r="FTD9" s="13"/>
      <c r="FTE9" s="13"/>
      <c r="FTF9" s="13"/>
      <c r="FTG9" s="13"/>
      <c r="FTH9" s="13"/>
      <c r="FTI9" s="13"/>
      <c r="FTJ9" s="13"/>
      <c r="FTK9" s="13"/>
      <c r="FTL9" s="13"/>
      <c r="FTM9" s="13"/>
      <c r="FTN9" s="13"/>
      <c r="FTO9" s="13"/>
      <c r="FTP9" s="13"/>
      <c r="FTQ9" s="13"/>
      <c r="FTR9" s="13"/>
      <c r="FTS9" s="13"/>
      <c r="FTT9" s="13"/>
      <c r="FTU9" s="13"/>
      <c r="FTV9" s="13"/>
      <c r="FTW9" s="13"/>
      <c r="FTX9" s="13"/>
      <c r="FTY9" s="13"/>
      <c r="FTZ9" s="13"/>
      <c r="FUA9" s="13"/>
      <c r="FUB9" s="13"/>
      <c r="FUC9" s="13"/>
      <c r="FUD9" s="13"/>
      <c r="FUE9" s="13"/>
      <c r="FUF9" s="13"/>
      <c r="FUG9" s="13"/>
      <c r="FUH9" s="13"/>
      <c r="FUI9" s="13"/>
      <c r="FUJ9" s="13"/>
      <c r="FUK9" s="13"/>
      <c r="FUL9" s="13"/>
      <c r="FUM9" s="13"/>
      <c r="FUN9" s="13"/>
      <c r="FUO9" s="13"/>
      <c r="FUP9" s="13"/>
      <c r="FUQ9" s="13"/>
      <c r="FUR9" s="13"/>
      <c r="FUS9" s="13"/>
      <c r="FUT9" s="13"/>
      <c r="FUU9" s="13"/>
      <c r="FUV9" s="13"/>
      <c r="FUW9" s="13"/>
      <c r="FUX9" s="13"/>
      <c r="FUY9" s="13"/>
      <c r="FUZ9" s="13"/>
      <c r="FVA9" s="13"/>
      <c r="FVB9" s="13"/>
      <c r="FVC9" s="13"/>
      <c r="FVD9" s="13"/>
      <c r="FVE9" s="13"/>
      <c r="FVF9" s="13"/>
      <c r="FVG9" s="13"/>
      <c r="FVH9" s="13"/>
      <c r="FVI9" s="13"/>
      <c r="FVJ9" s="13"/>
      <c r="FVK9" s="13"/>
      <c r="FVL9" s="13"/>
      <c r="FVM9" s="13"/>
      <c r="FVN9" s="13"/>
      <c r="FVO9" s="13"/>
      <c r="FVP9" s="13"/>
      <c r="FVQ9" s="13"/>
      <c r="FVR9" s="13"/>
      <c r="FVS9" s="13"/>
      <c r="FVT9" s="13"/>
      <c r="FVU9" s="13"/>
      <c r="FVV9" s="13"/>
      <c r="FVW9" s="13"/>
      <c r="FVX9" s="13"/>
      <c r="FVY9" s="13"/>
      <c r="FVZ9" s="13"/>
      <c r="FWA9" s="13"/>
      <c r="FWB9" s="13"/>
      <c r="FWC9" s="13"/>
      <c r="FWD9" s="13"/>
      <c r="FWE9" s="13"/>
      <c r="FWF9" s="13"/>
      <c r="FWG9" s="13"/>
      <c r="FWH9" s="13"/>
      <c r="FWI9" s="13"/>
      <c r="FWJ9" s="13"/>
      <c r="FWK9" s="13"/>
      <c r="FWL9" s="13"/>
      <c r="FWM9" s="13"/>
      <c r="FWN9" s="13"/>
      <c r="FWO9" s="13"/>
      <c r="FWP9" s="13"/>
      <c r="FWQ9" s="13"/>
      <c r="FWR9" s="13"/>
      <c r="FWS9" s="13"/>
      <c r="FWT9" s="13"/>
      <c r="FWU9" s="13"/>
      <c r="FWV9" s="13"/>
      <c r="FWW9" s="13"/>
      <c r="FWX9" s="13"/>
      <c r="FWY9" s="13"/>
      <c r="FWZ9" s="13"/>
      <c r="FXA9" s="13"/>
      <c r="FXB9" s="13"/>
      <c r="FXC9" s="13"/>
      <c r="FXD9" s="13"/>
      <c r="FXE9" s="13"/>
      <c r="FXF9" s="13"/>
      <c r="FXG9" s="13"/>
      <c r="FXH9" s="13"/>
      <c r="FXI9" s="13"/>
      <c r="FXJ9" s="13"/>
      <c r="FXK9" s="13"/>
      <c r="FXL9" s="13"/>
      <c r="FXM9" s="13"/>
      <c r="FXN9" s="13"/>
      <c r="FXO9" s="13"/>
      <c r="FXP9" s="13"/>
      <c r="FXQ9" s="13"/>
      <c r="FXR9" s="13"/>
      <c r="FXS9" s="13"/>
      <c r="FXT9" s="13"/>
      <c r="FXU9" s="13"/>
      <c r="FXV9" s="13"/>
      <c r="FXW9" s="13"/>
      <c r="FXX9" s="13"/>
      <c r="FXY9" s="13"/>
      <c r="FXZ9" s="13"/>
      <c r="FYA9" s="13"/>
      <c r="FYB9" s="13"/>
      <c r="FYC9" s="13"/>
      <c r="FYD9" s="13"/>
      <c r="FYE9" s="13"/>
      <c r="FYF9" s="13"/>
      <c r="FYG9" s="13"/>
      <c r="FYH9" s="13"/>
      <c r="FYI9" s="13"/>
      <c r="FYJ9" s="13"/>
      <c r="FYK9" s="13"/>
      <c r="FYL9" s="13"/>
      <c r="FYM9" s="13"/>
      <c r="FYN9" s="13"/>
      <c r="FYO9" s="13"/>
      <c r="FYP9" s="13"/>
      <c r="FYQ9" s="13"/>
      <c r="FYR9" s="13"/>
      <c r="FYS9" s="13"/>
      <c r="FYT9" s="13"/>
      <c r="FYU9" s="13"/>
      <c r="FYV9" s="13"/>
      <c r="FYW9" s="13"/>
      <c r="FYX9" s="13"/>
      <c r="FYY9" s="13"/>
      <c r="FYZ9" s="13"/>
      <c r="FZA9" s="13"/>
      <c r="FZB9" s="13"/>
      <c r="FZC9" s="13"/>
      <c r="FZD9" s="13"/>
      <c r="FZE9" s="13"/>
      <c r="FZF9" s="13"/>
      <c r="FZG9" s="13"/>
      <c r="FZH9" s="13"/>
      <c r="FZI9" s="13"/>
      <c r="FZJ9" s="13"/>
      <c r="FZK9" s="13"/>
      <c r="FZL9" s="13"/>
      <c r="FZM9" s="13"/>
      <c r="FZN9" s="13"/>
      <c r="FZO9" s="13"/>
      <c r="FZP9" s="13"/>
      <c r="FZQ9" s="13"/>
      <c r="FZR9" s="13"/>
      <c r="FZS9" s="13"/>
      <c r="FZT9" s="13"/>
      <c r="FZU9" s="13"/>
      <c r="FZV9" s="13"/>
      <c r="FZW9" s="13"/>
      <c r="FZX9" s="13"/>
      <c r="FZY9" s="13"/>
      <c r="FZZ9" s="13"/>
      <c r="GAA9" s="13"/>
      <c r="GAB9" s="13"/>
      <c r="GAC9" s="13"/>
      <c r="GAD9" s="13"/>
      <c r="GAE9" s="13"/>
      <c r="GAF9" s="13"/>
      <c r="GAG9" s="13"/>
      <c r="GAH9" s="13"/>
      <c r="GAI9" s="13"/>
      <c r="GAJ9" s="13"/>
      <c r="GAK9" s="13"/>
      <c r="GAL9" s="13"/>
      <c r="GAM9" s="13"/>
      <c r="GAN9" s="13"/>
      <c r="GAO9" s="13"/>
      <c r="GAP9" s="13"/>
      <c r="GAQ9" s="13"/>
      <c r="GAR9" s="13"/>
      <c r="GAS9" s="13"/>
      <c r="GAT9" s="13"/>
      <c r="GAU9" s="13"/>
      <c r="GAV9" s="13"/>
      <c r="GAW9" s="13"/>
      <c r="GAX9" s="13"/>
      <c r="GAY9" s="13"/>
      <c r="GAZ9" s="13"/>
      <c r="GBA9" s="13"/>
      <c r="GBB9" s="13"/>
      <c r="GBC9" s="13"/>
      <c r="GBD9" s="13"/>
      <c r="GBE9" s="13"/>
      <c r="GBF9" s="13"/>
      <c r="GBG9" s="13"/>
      <c r="GBH9" s="13"/>
      <c r="GBI9" s="13"/>
      <c r="GBJ9" s="13"/>
      <c r="GBK9" s="13"/>
      <c r="GBL9" s="13"/>
      <c r="GBM9" s="13"/>
      <c r="GBN9" s="13"/>
      <c r="GBO9" s="13"/>
      <c r="GBP9" s="13"/>
      <c r="GBQ9" s="13"/>
      <c r="GBR9" s="13"/>
      <c r="GBS9" s="13"/>
      <c r="GBT9" s="13"/>
      <c r="GBU9" s="13"/>
      <c r="GBV9" s="13"/>
      <c r="GBW9" s="13"/>
      <c r="GBX9" s="13"/>
      <c r="GBY9" s="13"/>
      <c r="GBZ9" s="13"/>
      <c r="GCA9" s="13"/>
      <c r="GCB9" s="13"/>
      <c r="GCC9" s="13"/>
      <c r="GCD9" s="13"/>
      <c r="GCE9" s="13"/>
      <c r="GCF9" s="13"/>
      <c r="GCG9" s="13"/>
      <c r="GCH9" s="13"/>
      <c r="GCI9" s="13"/>
      <c r="GCJ9" s="13"/>
      <c r="GCK9" s="13"/>
      <c r="GCL9" s="13"/>
      <c r="GCM9" s="13"/>
      <c r="GCN9" s="13"/>
      <c r="GCO9" s="13"/>
      <c r="GCP9" s="13"/>
      <c r="GCQ9" s="13"/>
      <c r="GCR9" s="13"/>
      <c r="GCS9" s="13"/>
      <c r="GCT9" s="13"/>
      <c r="GCU9" s="13"/>
      <c r="GCV9" s="13"/>
      <c r="GCW9" s="13"/>
      <c r="GCX9" s="13"/>
      <c r="GCY9" s="13"/>
      <c r="GCZ9" s="13"/>
      <c r="GDA9" s="13"/>
      <c r="GDB9" s="13"/>
      <c r="GDC9" s="13"/>
      <c r="GDD9" s="13"/>
      <c r="GDE9" s="13"/>
      <c r="GDF9" s="13"/>
      <c r="GDG9" s="13"/>
      <c r="GDH9" s="13"/>
      <c r="GDI9" s="13"/>
      <c r="GDJ9" s="13"/>
      <c r="GDK9" s="13"/>
      <c r="GDL9" s="13"/>
      <c r="GDM9" s="13"/>
      <c r="GDN9" s="13"/>
      <c r="GDO9" s="13"/>
      <c r="GDP9" s="13"/>
      <c r="GDQ9" s="13"/>
      <c r="GDR9" s="13"/>
      <c r="GDS9" s="13"/>
      <c r="GDT9" s="13"/>
      <c r="GDU9" s="13"/>
      <c r="GDV9" s="13"/>
      <c r="GDW9" s="13"/>
      <c r="GDX9" s="13"/>
      <c r="GDY9" s="13"/>
      <c r="GDZ9" s="13"/>
      <c r="GEA9" s="13"/>
      <c r="GEB9" s="13"/>
      <c r="GEC9" s="13"/>
      <c r="GED9" s="13"/>
      <c r="GEE9" s="13"/>
      <c r="GEF9" s="13"/>
      <c r="GEG9" s="13"/>
      <c r="GEH9" s="13"/>
      <c r="GEI9" s="13"/>
      <c r="GEJ9" s="13"/>
      <c r="GEK9" s="13"/>
      <c r="GEL9" s="13"/>
      <c r="GEM9" s="13"/>
      <c r="GEN9" s="13"/>
      <c r="GEO9" s="13"/>
      <c r="GEP9" s="13"/>
      <c r="GEQ9" s="13"/>
      <c r="GER9" s="13"/>
      <c r="GES9" s="13"/>
      <c r="GET9" s="13"/>
      <c r="GEU9" s="13"/>
      <c r="GEV9" s="13"/>
      <c r="GEW9" s="13"/>
      <c r="GEX9" s="13"/>
      <c r="GEY9" s="13"/>
      <c r="GEZ9" s="13"/>
      <c r="GFA9" s="13"/>
      <c r="GFB9" s="13"/>
      <c r="GFC9" s="13"/>
      <c r="GFD9" s="13"/>
      <c r="GFE9" s="13"/>
      <c r="GFF9" s="13"/>
      <c r="GFG9" s="13"/>
      <c r="GFH9" s="13"/>
      <c r="GFI9" s="13"/>
      <c r="GFJ9" s="13"/>
      <c r="GFK9" s="13"/>
      <c r="GFL9" s="13"/>
      <c r="GFM9" s="13"/>
      <c r="GFN9" s="13"/>
      <c r="GFO9" s="13"/>
      <c r="GFP9" s="13"/>
      <c r="GFQ9" s="13"/>
      <c r="GFR9" s="13"/>
      <c r="GFS9" s="13"/>
      <c r="GFT9" s="13"/>
      <c r="GFU9" s="13"/>
      <c r="GFV9" s="13"/>
      <c r="GFW9" s="13"/>
      <c r="GFX9" s="13"/>
      <c r="GFY9" s="13"/>
      <c r="GFZ9" s="13"/>
      <c r="GGA9" s="13"/>
      <c r="GGB9" s="13"/>
      <c r="GGC9" s="13"/>
      <c r="GGD9" s="13"/>
      <c r="GGE9" s="13"/>
      <c r="GGF9" s="13"/>
      <c r="GGG9" s="13"/>
      <c r="GGH9" s="13"/>
      <c r="GGI9" s="13"/>
      <c r="GGJ9" s="13"/>
      <c r="GGK9" s="13"/>
      <c r="GGL9" s="13"/>
      <c r="GGM9" s="13"/>
      <c r="GGN9" s="13"/>
      <c r="GGO9" s="13"/>
      <c r="GGP9" s="13"/>
      <c r="GGQ9" s="13"/>
      <c r="GGR9" s="13"/>
      <c r="GGS9" s="13"/>
      <c r="GGT9" s="13"/>
      <c r="GGU9" s="13"/>
      <c r="GGV9" s="13"/>
      <c r="GGW9" s="13"/>
      <c r="GGX9" s="13"/>
      <c r="GGY9" s="13"/>
      <c r="GGZ9" s="13"/>
      <c r="GHA9" s="13"/>
      <c r="GHB9" s="13"/>
      <c r="GHC9" s="13"/>
      <c r="GHD9" s="13"/>
      <c r="GHE9" s="13"/>
      <c r="GHF9" s="13"/>
      <c r="GHG9" s="13"/>
      <c r="GHH9" s="13"/>
      <c r="GHI9" s="13"/>
      <c r="GHJ9" s="13"/>
      <c r="GHK9" s="13"/>
      <c r="GHL9" s="13"/>
      <c r="GHM9" s="13"/>
      <c r="GHN9" s="13"/>
      <c r="GHO9" s="13"/>
      <c r="GHP9" s="13"/>
      <c r="GHQ9" s="13"/>
      <c r="GHR9" s="13"/>
      <c r="GHS9" s="13"/>
      <c r="GHT9" s="13"/>
      <c r="GHU9" s="13"/>
      <c r="GHV9" s="13"/>
      <c r="GHW9" s="13"/>
      <c r="GHX9" s="13"/>
      <c r="GHY9" s="13"/>
      <c r="GHZ9" s="13"/>
      <c r="GIA9" s="13"/>
      <c r="GIB9" s="13"/>
      <c r="GIC9" s="13"/>
      <c r="GID9" s="13"/>
      <c r="GIE9" s="13"/>
      <c r="GIF9" s="13"/>
      <c r="GIG9" s="13"/>
      <c r="GIH9" s="13"/>
      <c r="GII9" s="13"/>
      <c r="GIJ9" s="13"/>
      <c r="GIK9" s="13"/>
      <c r="GIL9" s="13"/>
      <c r="GIM9" s="13"/>
      <c r="GIN9" s="13"/>
      <c r="GIO9" s="13"/>
      <c r="GIP9" s="13"/>
      <c r="GIQ9" s="13"/>
      <c r="GIR9" s="13"/>
      <c r="GIS9" s="13"/>
      <c r="GIT9" s="13"/>
      <c r="GIU9" s="13"/>
      <c r="GIV9" s="13"/>
      <c r="GIW9" s="13"/>
      <c r="GIX9" s="13"/>
      <c r="GIY9" s="13"/>
      <c r="GIZ9" s="13"/>
      <c r="GJA9" s="13"/>
      <c r="GJB9" s="13"/>
      <c r="GJC9" s="13"/>
      <c r="GJD9" s="13"/>
      <c r="GJE9" s="13"/>
      <c r="GJF9" s="13"/>
      <c r="GJG9" s="13"/>
      <c r="GJH9" s="13"/>
      <c r="GJI9" s="13"/>
      <c r="GJJ9" s="13"/>
      <c r="GJK9" s="13"/>
      <c r="GJL9" s="13"/>
      <c r="GJM9" s="13"/>
      <c r="GJN9" s="13"/>
      <c r="GJO9" s="13"/>
      <c r="GJP9" s="13"/>
      <c r="GJQ9" s="13"/>
      <c r="GJR9" s="13"/>
      <c r="GJS9" s="13"/>
      <c r="GJT9" s="13"/>
      <c r="GJU9" s="13"/>
      <c r="GJV9" s="13"/>
      <c r="GJW9" s="13"/>
      <c r="GJX9" s="13"/>
      <c r="GJY9" s="13"/>
      <c r="GJZ9" s="13"/>
      <c r="GKA9" s="13"/>
      <c r="GKB9" s="13"/>
      <c r="GKC9" s="13"/>
      <c r="GKD9" s="13"/>
      <c r="GKE9" s="13"/>
      <c r="GKF9" s="13"/>
      <c r="GKG9" s="13"/>
      <c r="GKH9" s="13"/>
      <c r="GKI9" s="13"/>
      <c r="GKJ9" s="13"/>
      <c r="GKK9" s="13"/>
      <c r="GKL9" s="13"/>
      <c r="GKM9" s="13"/>
      <c r="GKN9" s="13"/>
      <c r="GKO9" s="13"/>
      <c r="GKP9" s="13"/>
      <c r="GKQ9" s="13"/>
      <c r="GKR9" s="13"/>
      <c r="GKS9" s="13"/>
      <c r="GKT9" s="13"/>
      <c r="GKU9" s="13"/>
      <c r="GKV9" s="13"/>
      <c r="GKW9" s="13"/>
      <c r="GKX9" s="13"/>
      <c r="GKY9" s="13"/>
      <c r="GKZ9" s="13"/>
      <c r="GLA9" s="13"/>
      <c r="GLB9" s="13"/>
      <c r="GLC9" s="13"/>
      <c r="GLD9" s="13"/>
      <c r="GLE9" s="13"/>
      <c r="GLF9" s="13"/>
      <c r="GLG9" s="13"/>
      <c r="GLH9" s="13"/>
      <c r="GLI9" s="13"/>
      <c r="GLJ9" s="13"/>
      <c r="GLK9" s="13"/>
      <c r="GLL9" s="13"/>
      <c r="GLM9" s="13"/>
      <c r="GLN9" s="13"/>
      <c r="GLO9" s="13"/>
      <c r="GLP9" s="13"/>
      <c r="GLQ9" s="13"/>
      <c r="GLR9" s="13"/>
      <c r="GLS9" s="13"/>
      <c r="GLT9" s="13"/>
      <c r="GLU9" s="13"/>
      <c r="GLV9" s="13"/>
      <c r="GLW9" s="13"/>
      <c r="GLX9" s="13"/>
      <c r="GLY9" s="13"/>
      <c r="GLZ9" s="13"/>
      <c r="GMA9" s="13"/>
      <c r="GMB9" s="13"/>
      <c r="GMC9" s="13"/>
      <c r="GMD9" s="13"/>
      <c r="GME9" s="13"/>
      <c r="GMF9" s="13"/>
      <c r="GMG9" s="13"/>
      <c r="GMH9" s="13"/>
      <c r="GMI9" s="13"/>
      <c r="GMJ9" s="13"/>
      <c r="GMK9" s="13"/>
      <c r="GML9" s="13"/>
      <c r="GMM9" s="13"/>
      <c r="GMN9" s="13"/>
      <c r="GMO9" s="13"/>
      <c r="GMP9" s="13"/>
      <c r="GMQ9" s="13"/>
      <c r="GMR9" s="13"/>
      <c r="GMS9" s="13"/>
      <c r="GMT9" s="13"/>
      <c r="GMU9" s="13"/>
      <c r="GMV9" s="13"/>
      <c r="GMW9" s="13"/>
      <c r="GMX9" s="13"/>
      <c r="GMY9" s="13"/>
      <c r="GMZ9" s="13"/>
      <c r="GNA9" s="13"/>
      <c r="GNB9" s="13"/>
      <c r="GNC9" s="13"/>
      <c r="GND9" s="13"/>
      <c r="GNE9" s="13"/>
      <c r="GNF9" s="13"/>
      <c r="GNG9" s="13"/>
      <c r="GNH9" s="13"/>
      <c r="GNI9" s="13"/>
      <c r="GNJ9" s="13"/>
      <c r="GNK9" s="13"/>
      <c r="GNL9" s="13"/>
      <c r="GNM9" s="13"/>
      <c r="GNN9" s="13"/>
      <c r="GNO9" s="13"/>
      <c r="GNP9" s="13"/>
      <c r="GNQ9" s="13"/>
      <c r="GNR9" s="13"/>
      <c r="GNS9" s="13"/>
      <c r="GNT9" s="13"/>
      <c r="GNU9" s="13"/>
      <c r="GNV9" s="13"/>
      <c r="GNW9" s="13"/>
      <c r="GNX9" s="13"/>
      <c r="GNY9" s="13"/>
      <c r="GNZ9" s="13"/>
      <c r="GOA9" s="13"/>
      <c r="GOB9" s="13"/>
      <c r="GOC9" s="13"/>
      <c r="GOD9" s="13"/>
      <c r="GOE9" s="13"/>
      <c r="GOF9" s="13"/>
      <c r="GOG9" s="13"/>
      <c r="GOH9" s="13"/>
      <c r="GOI9" s="13"/>
      <c r="GOJ9" s="13"/>
      <c r="GOK9" s="13"/>
      <c r="GOL9" s="13"/>
      <c r="GOM9" s="13"/>
      <c r="GON9" s="13"/>
      <c r="GOO9" s="13"/>
      <c r="GOP9" s="13"/>
      <c r="GOQ9" s="13"/>
      <c r="GOR9" s="13"/>
      <c r="GOS9" s="13"/>
      <c r="GOT9" s="13"/>
      <c r="GOU9" s="13"/>
      <c r="GOV9" s="13"/>
      <c r="GOW9" s="13"/>
      <c r="GOX9" s="13"/>
      <c r="GOY9" s="13"/>
      <c r="GOZ9" s="13"/>
      <c r="GPA9" s="13"/>
      <c r="GPB9" s="13"/>
      <c r="GPC9" s="13"/>
      <c r="GPD9" s="13"/>
      <c r="GPE9" s="13"/>
      <c r="GPF9" s="13"/>
      <c r="GPG9" s="13"/>
      <c r="GPH9" s="13"/>
      <c r="GPI9" s="13"/>
      <c r="GPJ9" s="13"/>
      <c r="GPK9" s="13"/>
      <c r="GPL9" s="13"/>
      <c r="GPM9" s="13"/>
      <c r="GPN9" s="13"/>
      <c r="GPO9" s="13"/>
      <c r="GPP9" s="13"/>
      <c r="GPQ9" s="13"/>
      <c r="GPR9" s="13"/>
      <c r="GPS9" s="13"/>
      <c r="GPT9" s="13"/>
      <c r="GPU9" s="13"/>
      <c r="GPV9" s="13"/>
      <c r="GPW9" s="13"/>
      <c r="GPX9" s="13"/>
      <c r="GPY9" s="13"/>
      <c r="GPZ9" s="13"/>
      <c r="GQA9" s="13"/>
      <c r="GQB9" s="13"/>
      <c r="GQC9" s="13"/>
      <c r="GQD9" s="13"/>
      <c r="GQE9" s="13"/>
      <c r="GQF9" s="13"/>
      <c r="GQG9" s="13"/>
      <c r="GQH9" s="13"/>
      <c r="GQI9" s="13"/>
      <c r="GQJ9" s="13"/>
      <c r="GQK9" s="13"/>
      <c r="GQL9" s="13"/>
      <c r="GQM9" s="13"/>
      <c r="GQN9" s="13"/>
      <c r="GQO9" s="13"/>
      <c r="GQP9" s="13"/>
      <c r="GQQ9" s="13"/>
      <c r="GQR9" s="13"/>
      <c r="GQS9" s="13"/>
      <c r="GQT9" s="13"/>
      <c r="GQU9" s="13"/>
      <c r="GQV9" s="13"/>
      <c r="GQW9" s="13"/>
      <c r="GQX9" s="13"/>
      <c r="GQY9" s="13"/>
      <c r="GQZ9" s="13"/>
      <c r="GRA9" s="13"/>
      <c r="GRB9" s="13"/>
      <c r="GRC9" s="13"/>
      <c r="GRD9" s="13"/>
      <c r="GRE9" s="13"/>
      <c r="GRF9" s="13"/>
      <c r="GRG9" s="13"/>
      <c r="GRH9" s="13"/>
      <c r="GRI9" s="13"/>
      <c r="GRJ9" s="13"/>
      <c r="GRK9" s="13"/>
      <c r="GRL9" s="13"/>
      <c r="GRM9" s="13"/>
      <c r="GRN9" s="13"/>
      <c r="GRO9" s="13"/>
      <c r="GRP9" s="13"/>
      <c r="GRQ9" s="13"/>
      <c r="GRR9" s="13"/>
      <c r="GRS9" s="13"/>
      <c r="GRT9" s="13"/>
      <c r="GRU9" s="13"/>
      <c r="GRV9" s="13"/>
      <c r="GRW9" s="13"/>
      <c r="GRX9" s="13"/>
      <c r="GRY9" s="13"/>
      <c r="GRZ9" s="13"/>
      <c r="GSA9" s="13"/>
      <c r="GSB9" s="13"/>
      <c r="GSC9" s="13"/>
      <c r="GSD9" s="13"/>
      <c r="GSE9" s="13"/>
      <c r="GSF9" s="13"/>
      <c r="GSG9" s="13"/>
      <c r="GSH9" s="13"/>
      <c r="GSI9" s="13"/>
      <c r="GSJ9" s="13"/>
      <c r="GSK9" s="13"/>
      <c r="GSL9" s="13"/>
      <c r="GSM9" s="13"/>
      <c r="GSN9" s="13"/>
      <c r="GSO9" s="13"/>
      <c r="GSP9" s="13"/>
      <c r="GSQ9" s="13"/>
      <c r="GSR9" s="13"/>
      <c r="GSS9" s="13"/>
      <c r="GST9" s="13"/>
      <c r="GSU9" s="13"/>
      <c r="GSV9" s="13"/>
      <c r="GSW9" s="13"/>
      <c r="GSX9" s="13"/>
      <c r="GSY9" s="13"/>
      <c r="GSZ9" s="13"/>
      <c r="GTA9" s="13"/>
      <c r="GTB9" s="13"/>
      <c r="GTC9" s="13"/>
      <c r="GTD9" s="13"/>
      <c r="GTE9" s="13"/>
      <c r="GTF9" s="13"/>
      <c r="GTG9" s="13"/>
      <c r="GTH9" s="13"/>
      <c r="GTI9" s="13"/>
      <c r="GTJ9" s="13"/>
      <c r="GTK9" s="13"/>
      <c r="GTL9" s="13"/>
      <c r="GTM9" s="13"/>
      <c r="GTN9" s="13"/>
      <c r="GTO9" s="13"/>
      <c r="GTP9" s="13"/>
      <c r="GTQ9" s="13"/>
      <c r="GTR9" s="13"/>
      <c r="GTS9" s="13"/>
      <c r="GTT9" s="13"/>
      <c r="GTU9" s="13"/>
      <c r="GTV9" s="13"/>
      <c r="GTW9" s="13"/>
      <c r="GTX9" s="13"/>
      <c r="GTY9" s="13"/>
      <c r="GTZ9" s="13"/>
      <c r="GUA9" s="13"/>
      <c r="GUB9" s="13"/>
      <c r="GUC9" s="13"/>
      <c r="GUD9" s="13"/>
      <c r="GUE9" s="13"/>
      <c r="GUF9" s="13"/>
      <c r="GUG9" s="13"/>
      <c r="GUH9" s="13"/>
      <c r="GUI9" s="13"/>
      <c r="GUJ9" s="13"/>
      <c r="GUK9" s="13"/>
      <c r="GUL9" s="13"/>
      <c r="GUM9" s="13"/>
      <c r="GUN9" s="13"/>
      <c r="GUO9" s="13"/>
      <c r="GUP9" s="13"/>
      <c r="GUQ9" s="13"/>
      <c r="GUR9" s="13"/>
      <c r="GUS9" s="13"/>
      <c r="GUT9" s="13"/>
      <c r="GUU9" s="13"/>
      <c r="GUV9" s="13"/>
      <c r="GUW9" s="13"/>
      <c r="GUX9" s="13"/>
      <c r="GUY9" s="13"/>
      <c r="GUZ9" s="13"/>
      <c r="GVA9" s="13"/>
      <c r="GVB9" s="13"/>
      <c r="GVC9" s="13"/>
      <c r="GVD9" s="13"/>
      <c r="GVE9" s="13"/>
      <c r="GVF9" s="13"/>
      <c r="GVG9" s="13"/>
      <c r="GVH9" s="13"/>
      <c r="GVI9" s="13"/>
      <c r="GVJ9" s="13"/>
      <c r="GVK9" s="13"/>
      <c r="GVL9" s="13"/>
      <c r="GVM9" s="13"/>
      <c r="GVN9" s="13"/>
      <c r="GVO9" s="13"/>
      <c r="GVP9" s="13"/>
      <c r="GVQ9" s="13"/>
      <c r="GVR9" s="13"/>
      <c r="GVS9" s="13"/>
      <c r="GVT9" s="13"/>
      <c r="GVU9" s="13"/>
      <c r="GVV9" s="13"/>
      <c r="GVW9" s="13"/>
      <c r="GVX9" s="13"/>
      <c r="GVY9" s="13"/>
      <c r="GVZ9" s="13"/>
      <c r="GWA9" s="13"/>
      <c r="GWB9" s="13"/>
      <c r="GWC9" s="13"/>
      <c r="GWD9" s="13"/>
      <c r="GWE9" s="13"/>
      <c r="GWF9" s="13"/>
      <c r="GWG9" s="13"/>
      <c r="GWH9" s="13"/>
      <c r="GWI9" s="13"/>
      <c r="GWJ9" s="13"/>
      <c r="GWK9" s="13"/>
      <c r="GWL9" s="13"/>
      <c r="GWM9" s="13"/>
      <c r="GWN9" s="13"/>
      <c r="GWO9" s="13"/>
      <c r="GWP9" s="13"/>
      <c r="GWQ9" s="13"/>
      <c r="GWR9" s="13"/>
      <c r="GWS9" s="13"/>
      <c r="GWT9" s="13"/>
      <c r="GWU9" s="13"/>
      <c r="GWV9" s="13"/>
      <c r="GWW9" s="13"/>
      <c r="GWX9" s="13"/>
      <c r="GWY9" s="13"/>
      <c r="GWZ9" s="13"/>
      <c r="GXA9" s="13"/>
      <c r="GXB9" s="13"/>
      <c r="GXC9" s="13"/>
      <c r="GXD9" s="13"/>
      <c r="GXE9" s="13"/>
      <c r="GXF9" s="13"/>
      <c r="GXG9" s="13"/>
      <c r="GXH9" s="13"/>
      <c r="GXI9" s="13"/>
      <c r="GXJ9" s="13"/>
      <c r="GXK9" s="13"/>
      <c r="GXL9" s="13"/>
      <c r="GXM9" s="13"/>
      <c r="GXN9" s="13"/>
      <c r="GXO9" s="13"/>
      <c r="GXP9" s="13"/>
      <c r="GXQ9" s="13"/>
      <c r="GXR9" s="13"/>
      <c r="GXS9" s="13"/>
      <c r="GXT9" s="13"/>
      <c r="GXU9" s="13"/>
      <c r="GXV9" s="13"/>
      <c r="GXW9" s="13"/>
      <c r="GXX9" s="13"/>
      <c r="GXY9" s="13"/>
      <c r="GXZ9" s="13"/>
      <c r="GYA9" s="13"/>
      <c r="GYB9" s="13"/>
      <c r="GYC9" s="13"/>
      <c r="GYD9" s="13"/>
      <c r="GYE9" s="13"/>
      <c r="GYF9" s="13"/>
      <c r="GYG9" s="13"/>
      <c r="GYH9" s="13"/>
      <c r="GYI9" s="13"/>
      <c r="GYJ9" s="13"/>
      <c r="GYK9" s="13"/>
      <c r="GYL9" s="13"/>
      <c r="GYM9" s="13"/>
      <c r="GYN9" s="13"/>
      <c r="GYO9" s="13"/>
      <c r="GYP9" s="13"/>
      <c r="GYQ9" s="13"/>
      <c r="GYR9" s="13"/>
      <c r="GYS9" s="13"/>
      <c r="GYT9" s="13"/>
      <c r="GYU9" s="13"/>
      <c r="GYV9" s="13"/>
      <c r="GYW9" s="13"/>
      <c r="GYX9" s="13"/>
      <c r="GYY9" s="13"/>
      <c r="GYZ9" s="13"/>
      <c r="GZA9" s="13"/>
      <c r="GZB9" s="13"/>
      <c r="GZC9" s="13"/>
      <c r="GZD9" s="13"/>
      <c r="GZE9" s="13"/>
      <c r="GZF9" s="13"/>
      <c r="GZG9" s="13"/>
      <c r="GZH9" s="13"/>
      <c r="GZI9" s="13"/>
      <c r="GZJ9" s="13"/>
      <c r="GZK9" s="13"/>
      <c r="GZL9" s="13"/>
      <c r="GZM9" s="13"/>
      <c r="GZN9" s="13"/>
      <c r="GZO9" s="13"/>
      <c r="GZP9" s="13"/>
      <c r="GZQ9" s="13"/>
      <c r="GZR9" s="13"/>
      <c r="GZS9" s="13"/>
      <c r="GZT9" s="13"/>
      <c r="GZU9" s="13"/>
      <c r="GZV9" s="13"/>
      <c r="GZW9" s="13"/>
      <c r="GZX9" s="13"/>
      <c r="GZY9" s="13"/>
      <c r="GZZ9" s="13"/>
      <c r="HAA9" s="13"/>
      <c r="HAB9" s="13"/>
      <c r="HAC9" s="13"/>
      <c r="HAD9" s="13"/>
      <c r="HAE9" s="13"/>
      <c r="HAF9" s="13"/>
      <c r="HAG9" s="13"/>
      <c r="HAH9" s="13"/>
      <c r="HAI9" s="13"/>
      <c r="HAJ9" s="13"/>
      <c r="HAK9" s="13"/>
      <c r="HAL9" s="13"/>
      <c r="HAM9" s="13"/>
      <c r="HAN9" s="13"/>
      <c r="HAO9" s="13"/>
      <c r="HAP9" s="13"/>
      <c r="HAQ9" s="13"/>
      <c r="HAR9" s="13"/>
      <c r="HAS9" s="13"/>
      <c r="HAT9" s="13"/>
      <c r="HAU9" s="13"/>
      <c r="HAV9" s="13"/>
      <c r="HAW9" s="13"/>
      <c r="HAX9" s="13"/>
      <c r="HAY9" s="13"/>
      <c r="HAZ9" s="13"/>
      <c r="HBA9" s="13"/>
      <c r="HBB9" s="13"/>
      <c r="HBC9" s="13"/>
      <c r="HBD9" s="13"/>
      <c r="HBE9" s="13"/>
      <c r="HBF9" s="13"/>
      <c r="HBG9" s="13"/>
      <c r="HBH9" s="13"/>
      <c r="HBI9" s="13"/>
      <c r="HBJ9" s="13"/>
      <c r="HBK9" s="13"/>
      <c r="HBL9" s="13"/>
      <c r="HBM9" s="13"/>
      <c r="HBN9" s="13"/>
      <c r="HBO9" s="13"/>
      <c r="HBP9" s="13"/>
      <c r="HBQ9" s="13"/>
      <c r="HBR9" s="13"/>
      <c r="HBS9" s="13"/>
      <c r="HBT9" s="13"/>
      <c r="HBU9" s="13"/>
      <c r="HBV9" s="13"/>
      <c r="HBW9" s="13"/>
      <c r="HBX9" s="13"/>
      <c r="HBY9" s="13"/>
      <c r="HBZ9" s="13"/>
      <c r="HCA9" s="13"/>
      <c r="HCB9" s="13"/>
      <c r="HCC9" s="13"/>
      <c r="HCD9" s="13"/>
      <c r="HCE9" s="13"/>
      <c r="HCF9" s="13"/>
      <c r="HCG9" s="13"/>
      <c r="HCH9" s="13"/>
      <c r="HCI9" s="13"/>
      <c r="HCJ9" s="13"/>
      <c r="HCK9" s="13"/>
      <c r="HCL9" s="13"/>
      <c r="HCM9" s="13"/>
      <c r="HCN9" s="13"/>
      <c r="HCO9" s="13"/>
      <c r="HCP9" s="13"/>
      <c r="HCQ9" s="13"/>
      <c r="HCR9" s="13"/>
      <c r="HCS9" s="13"/>
      <c r="HCT9" s="13"/>
      <c r="HCU9" s="13"/>
      <c r="HCV9" s="13"/>
      <c r="HCW9" s="13"/>
      <c r="HCX9" s="13"/>
      <c r="HCY9" s="13"/>
      <c r="HCZ9" s="13"/>
      <c r="HDA9" s="13"/>
      <c r="HDB9" s="13"/>
      <c r="HDC9" s="13"/>
      <c r="HDD9" s="13"/>
      <c r="HDE9" s="13"/>
      <c r="HDF9" s="13"/>
      <c r="HDG9" s="13"/>
      <c r="HDH9" s="13"/>
      <c r="HDI9" s="13"/>
      <c r="HDJ9" s="13"/>
      <c r="HDK9" s="13"/>
      <c r="HDL9" s="13"/>
      <c r="HDM9" s="13"/>
      <c r="HDN9" s="13"/>
      <c r="HDO9" s="13"/>
      <c r="HDP9" s="13"/>
      <c r="HDQ9" s="13"/>
      <c r="HDR9" s="13"/>
      <c r="HDS9" s="13"/>
      <c r="HDT9" s="13"/>
      <c r="HDU9" s="13"/>
      <c r="HDV9" s="13"/>
      <c r="HDW9" s="13"/>
      <c r="HDX9" s="13"/>
      <c r="HDY9" s="13"/>
      <c r="HDZ9" s="13"/>
      <c r="HEA9" s="13"/>
      <c r="HEB9" s="13"/>
      <c r="HEC9" s="13"/>
      <c r="HED9" s="13"/>
      <c r="HEE9" s="13"/>
      <c r="HEF9" s="13"/>
      <c r="HEG9" s="13"/>
      <c r="HEH9" s="13"/>
      <c r="HEI9" s="13"/>
      <c r="HEJ9" s="13"/>
      <c r="HEK9" s="13"/>
      <c r="HEL9" s="13"/>
      <c r="HEM9" s="13"/>
      <c r="HEN9" s="13"/>
      <c r="HEO9" s="13"/>
      <c r="HEP9" s="13"/>
      <c r="HEQ9" s="13"/>
      <c r="HER9" s="13"/>
      <c r="HES9" s="13"/>
      <c r="HET9" s="13"/>
      <c r="HEU9" s="13"/>
      <c r="HEV9" s="13"/>
      <c r="HEW9" s="13"/>
      <c r="HEX9" s="13"/>
      <c r="HEY9" s="13"/>
      <c r="HEZ9" s="13"/>
      <c r="HFA9" s="13"/>
      <c r="HFB9" s="13"/>
      <c r="HFC9" s="13"/>
      <c r="HFD9" s="13"/>
      <c r="HFE9" s="13"/>
      <c r="HFF9" s="13"/>
      <c r="HFG9" s="13"/>
      <c r="HFH9" s="13"/>
      <c r="HFI9" s="13"/>
      <c r="HFJ9" s="13"/>
      <c r="HFK9" s="13"/>
      <c r="HFL9" s="13"/>
      <c r="HFM9" s="13"/>
      <c r="HFN9" s="13"/>
      <c r="HFO9" s="13"/>
      <c r="HFP9" s="13"/>
      <c r="HFQ9" s="13"/>
      <c r="HFR9" s="13"/>
      <c r="HFS9" s="13"/>
      <c r="HFT9" s="13"/>
      <c r="HFU9" s="13"/>
      <c r="HFV9" s="13"/>
      <c r="HFW9" s="13"/>
      <c r="HFX9" s="13"/>
      <c r="HFY9" s="13"/>
      <c r="HFZ9" s="13"/>
      <c r="HGA9" s="13"/>
      <c r="HGB9" s="13"/>
      <c r="HGC9" s="13"/>
      <c r="HGD9" s="13"/>
      <c r="HGE9" s="13"/>
      <c r="HGF9" s="13"/>
      <c r="HGG9" s="13"/>
      <c r="HGH9" s="13"/>
      <c r="HGI9" s="13"/>
      <c r="HGJ9" s="13"/>
      <c r="HGK9" s="13"/>
      <c r="HGL9" s="13"/>
      <c r="HGM9" s="13"/>
      <c r="HGN9" s="13"/>
      <c r="HGO9" s="13"/>
      <c r="HGP9" s="13"/>
      <c r="HGQ9" s="13"/>
      <c r="HGR9" s="13"/>
      <c r="HGS9" s="13"/>
      <c r="HGT9" s="13"/>
      <c r="HGU9" s="13"/>
      <c r="HGV9" s="13"/>
      <c r="HGW9" s="13"/>
      <c r="HGX9" s="13"/>
      <c r="HGY9" s="13"/>
      <c r="HGZ9" s="13"/>
      <c r="HHA9" s="13"/>
      <c r="HHB9" s="13"/>
      <c r="HHC9" s="13"/>
      <c r="HHD9" s="13"/>
      <c r="HHE9" s="13"/>
      <c r="HHF9" s="13"/>
      <c r="HHG9" s="13"/>
      <c r="HHH9" s="13"/>
      <c r="HHI9" s="13"/>
      <c r="HHJ9" s="13"/>
      <c r="HHK9" s="13"/>
      <c r="HHL9" s="13"/>
      <c r="HHM9" s="13"/>
      <c r="HHN9" s="13"/>
      <c r="HHO9" s="13"/>
      <c r="HHP9" s="13"/>
      <c r="HHQ9" s="13"/>
      <c r="HHR9" s="13"/>
      <c r="HHS9" s="13"/>
      <c r="HHT9" s="13"/>
      <c r="HHU9" s="13"/>
      <c r="HHV9" s="13"/>
      <c r="HHW9" s="13"/>
      <c r="HHX9" s="13"/>
      <c r="HHY9" s="13"/>
      <c r="HHZ9" s="13"/>
      <c r="HIA9" s="13"/>
      <c r="HIB9" s="13"/>
      <c r="HIC9" s="13"/>
      <c r="HID9" s="13"/>
      <c r="HIE9" s="13"/>
      <c r="HIF9" s="13"/>
      <c r="HIG9" s="13"/>
      <c r="HIH9" s="13"/>
      <c r="HII9" s="13"/>
      <c r="HIJ9" s="13"/>
      <c r="HIK9" s="13"/>
      <c r="HIL9" s="13"/>
      <c r="HIM9" s="13"/>
      <c r="HIN9" s="13"/>
      <c r="HIO9" s="13"/>
      <c r="HIP9" s="13"/>
      <c r="HIQ9" s="13"/>
      <c r="HIR9" s="13"/>
      <c r="HIS9" s="13"/>
      <c r="HIT9" s="13"/>
      <c r="HIU9" s="13"/>
      <c r="HIV9" s="13"/>
      <c r="HIW9" s="13"/>
      <c r="HIX9" s="13"/>
      <c r="HIY9" s="13"/>
      <c r="HIZ9" s="13"/>
      <c r="HJA9" s="13"/>
      <c r="HJB9" s="13"/>
      <c r="HJC9" s="13"/>
      <c r="HJD9" s="13"/>
      <c r="HJE9" s="13"/>
      <c r="HJF9" s="13"/>
      <c r="HJG9" s="13"/>
      <c r="HJH9" s="13"/>
      <c r="HJI9" s="13"/>
      <c r="HJJ9" s="13"/>
      <c r="HJK9" s="13"/>
      <c r="HJL9" s="13"/>
      <c r="HJM9" s="13"/>
      <c r="HJN9" s="13"/>
      <c r="HJO9" s="13"/>
      <c r="HJP9" s="13"/>
      <c r="HJQ9" s="13"/>
      <c r="HJR9" s="13"/>
      <c r="HJS9" s="13"/>
      <c r="HJT9" s="13"/>
      <c r="HJU9" s="13"/>
      <c r="HJV9" s="13"/>
      <c r="HJW9" s="13"/>
      <c r="HJX9" s="13"/>
      <c r="HJY9" s="13"/>
      <c r="HJZ9" s="13"/>
      <c r="HKA9" s="13"/>
      <c r="HKB9" s="13"/>
      <c r="HKC9" s="13"/>
      <c r="HKD9" s="13"/>
      <c r="HKE9" s="13"/>
      <c r="HKF9" s="13"/>
      <c r="HKG9" s="13"/>
      <c r="HKH9" s="13"/>
      <c r="HKI9" s="13"/>
      <c r="HKJ9" s="13"/>
      <c r="HKK9" s="13"/>
      <c r="HKL9" s="13"/>
      <c r="HKM9" s="13"/>
      <c r="HKN9" s="13"/>
      <c r="HKO9" s="13"/>
      <c r="HKP9" s="13"/>
      <c r="HKQ9" s="13"/>
      <c r="HKR9" s="13"/>
      <c r="HKS9" s="13"/>
      <c r="HKT9" s="13"/>
      <c r="HKU9" s="13"/>
      <c r="HKV9" s="13"/>
      <c r="HKW9" s="13"/>
      <c r="HKX9" s="13"/>
      <c r="HKY9" s="13"/>
      <c r="HKZ9" s="13"/>
      <c r="HLA9" s="13"/>
      <c r="HLB9" s="13"/>
      <c r="HLC9" s="13"/>
      <c r="HLD9" s="13"/>
      <c r="HLE9" s="13"/>
      <c r="HLF9" s="13"/>
      <c r="HLG9" s="13"/>
      <c r="HLH9" s="13"/>
      <c r="HLI9" s="13"/>
      <c r="HLJ9" s="13"/>
      <c r="HLK9" s="13"/>
      <c r="HLL9" s="13"/>
      <c r="HLM9" s="13"/>
      <c r="HLN9" s="13"/>
      <c r="HLO9" s="13"/>
      <c r="HLP9" s="13"/>
      <c r="HLQ9" s="13"/>
      <c r="HLR9" s="13"/>
      <c r="HLS9" s="13"/>
      <c r="HLT9" s="13"/>
      <c r="HLU9" s="13"/>
      <c r="HLV9" s="13"/>
      <c r="HLW9" s="13"/>
      <c r="HLX9" s="13"/>
      <c r="HLY9" s="13"/>
      <c r="HLZ9" s="13"/>
      <c r="HMA9" s="13"/>
      <c r="HMB9" s="13"/>
      <c r="HMC9" s="13"/>
      <c r="HMD9" s="13"/>
      <c r="HME9" s="13"/>
      <c r="HMF9" s="13"/>
      <c r="HMG9" s="13"/>
      <c r="HMH9" s="13"/>
      <c r="HMI9" s="13"/>
      <c r="HMJ9" s="13"/>
      <c r="HMK9" s="13"/>
      <c r="HML9" s="13"/>
      <c r="HMM9" s="13"/>
      <c r="HMN9" s="13"/>
      <c r="HMO9" s="13"/>
      <c r="HMP9" s="13"/>
      <c r="HMQ9" s="13"/>
      <c r="HMR9" s="13"/>
      <c r="HMS9" s="13"/>
      <c r="HMT9" s="13"/>
      <c r="HMU9" s="13"/>
      <c r="HMV9" s="13"/>
      <c r="HMW9" s="13"/>
      <c r="HMX9" s="13"/>
      <c r="HMY9" s="13"/>
      <c r="HMZ9" s="13"/>
      <c r="HNA9" s="13"/>
      <c r="HNB9" s="13"/>
      <c r="HNC9" s="13"/>
      <c r="HND9" s="13"/>
      <c r="HNE9" s="13"/>
      <c r="HNF9" s="13"/>
      <c r="HNG9" s="13"/>
      <c r="HNH9" s="13"/>
      <c r="HNI9" s="13"/>
      <c r="HNJ9" s="13"/>
      <c r="HNK9" s="13"/>
      <c r="HNL9" s="13"/>
      <c r="HNM9" s="13"/>
      <c r="HNN9" s="13"/>
      <c r="HNO9" s="13"/>
      <c r="HNP9" s="13"/>
      <c r="HNQ9" s="13"/>
      <c r="HNR9" s="13"/>
      <c r="HNS9" s="13"/>
      <c r="HNT9" s="13"/>
      <c r="HNU9" s="13"/>
      <c r="HNV9" s="13"/>
      <c r="HNW9" s="13"/>
      <c r="HNX9" s="13"/>
      <c r="HNY9" s="13"/>
      <c r="HNZ9" s="13"/>
      <c r="HOA9" s="13"/>
      <c r="HOB9" s="13"/>
      <c r="HOC9" s="13"/>
      <c r="HOD9" s="13"/>
      <c r="HOE9" s="13"/>
      <c r="HOF9" s="13"/>
      <c r="HOG9" s="13"/>
      <c r="HOH9" s="13"/>
      <c r="HOI9" s="13"/>
      <c r="HOJ9" s="13"/>
      <c r="HOK9" s="13"/>
      <c r="HOL9" s="13"/>
      <c r="HOM9" s="13"/>
      <c r="HON9" s="13"/>
      <c r="HOO9" s="13"/>
      <c r="HOP9" s="13"/>
      <c r="HOQ9" s="13"/>
      <c r="HOR9" s="13"/>
      <c r="HOS9" s="13"/>
      <c r="HOT9" s="13"/>
      <c r="HOU9" s="13"/>
      <c r="HOV9" s="13"/>
      <c r="HOW9" s="13"/>
      <c r="HOX9" s="13"/>
      <c r="HOY9" s="13"/>
      <c r="HOZ9" s="13"/>
      <c r="HPA9" s="13"/>
      <c r="HPB9" s="13"/>
      <c r="HPC9" s="13"/>
      <c r="HPD9" s="13"/>
      <c r="HPE9" s="13"/>
      <c r="HPF9" s="13"/>
      <c r="HPG9" s="13"/>
      <c r="HPH9" s="13"/>
      <c r="HPI9" s="13"/>
      <c r="HPJ9" s="13"/>
      <c r="HPK9" s="13"/>
      <c r="HPL9" s="13"/>
      <c r="HPM9" s="13"/>
      <c r="HPN9" s="13"/>
      <c r="HPO9" s="13"/>
      <c r="HPP9" s="13"/>
      <c r="HPQ9" s="13"/>
      <c r="HPR9" s="13"/>
      <c r="HPS9" s="13"/>
      <c r="HPT9" s="13"/>
      <c r="HPU9" s="13"/>
      <c r="HPV9" s="13"/>
      <c r="HPW9" s="13"/>
      <c r="HPX9" s="13"/>
      <c r="HPY9" s="13"/>
      <c r="HPZ9" s="13"/>
      <c r="HQA9" s="13"/>
      <c r="HQB9" s="13"/>
      <c r="HQC9" s="13"/>
      <c r="HQD9" s="13"/>
      <c r="HQE9" s="13"/>
      <c r="HQF9" s="13"/>
      <c r="HQG9" s="13"/>
      <c r="HQH9" s="13"/>
      <c r="HQI9" s="13"/>
      <c r="HQJ9" s="13"/>
      <c r="HQK9" s="13"/>
      <c r="HQL9" s="13"/>
      <c r="HQM9" s="13"/>
      <c r="HQN9" s="13"/>
      <c r="HQO9" s="13"/>
      <c r="HQP9" s="13"/>
      <c r="HQQ9" s="13"/>
      <c r="HQR9" s="13"/>
      <c r="HQS9" s="13"/>
      <c r="HQT9" s="13"/>
      <c r="HQU9" s="13"/>
      <c r="HQV9" s="13"/>
      <c r="HQW9" s="13"/>
      <c r="HQX9" s="13"/>
      <c r="HQY9" s="13"/>
      <c r="HQZ9" s="13"/>
      <c r="HRA9" s="13"/>
      <c r="HRB9" s="13"/>
      <c r="HRC9" s="13"/>
      <c r="HRD9" s="13"/>
      <c r="HRE9" s="13"/>
      <c r="HRF9" s="13"/>
      <c r="HRG9" s="13"/>
      <c r="HRH9" s="13"/>
      <c r="HRI9" s="13"/>
      <c r="HRJ9" s="13"/>
      <c r="HRK9" s="13"/>
      <c r="HRL9" s="13"/>
      <c r="HRM9" s="13"/>
      <c r="HRN9" s="13"/>
      <c r="HRO9" s="13"/>
      <c r="HRP9" s="13"/>
      <c r="HRQ9" s="13"/>
      <c r="HRR9" s="13"/>
      <c r="HRS9" s="13"/>
      <c r="HRT9" s="13"/>
      <c r="HRU9" s="13"/>
      <c r="HRV9" s="13"/>
      <c r="HRW9" s="13"/>
      <c r="HRX9" s="13"/>
      <c r="HRY9" s="13"/>
      <c r="HRZ9" s="13"/>
      <c r="HSA9" s="13"/>
      <c r="HSB9" s="13"/>
      <c r="HSC9" s="13"/>
      <c r="HSD9" s="13"/>
      <c r="HSE9" s="13"/>
      <c r="HSF9" s="13"/>
      <c r="HSG9" s="13"/>
      <c r="HSH9" s="13"/>
      <c r="HSI9" s="13"/>
      <c r="HSJ9" s="13"/>
      <c r="HSK9" s="13"/>
      <c r="HSL9" s="13"/>
      <c r="HSM9" s="13"/>
      <c r="HSN9" s="13"/>
      <c r="HSO9" s="13"/>
      <c r="HSP9" s="13"/>
      <c r="HSQ9" s="13"/>
      <c r="HSR9" s="13"/>
      <c r="HSS9" s="13"/>
      <c r="HST9" s="13"/>
      <c r="HSU9" s="13"/>
      <c r="HSV9" s="13"/>
      <c r="HSW9" s="13"/>
      <c r="HSX9" s="13"/>
      <c r="HSY9" s="13"/>
      <c r="HSZ9" s="13"/>
      <c r="HTA9" s="13"/>
      <c r="HTB9" s="13"/>
      <c r="HTC9" s="13"/>
      <c r="HTD9" s="13"/>
      <c r="HTE9" s="13"/>
      <c r="HTF9" s="13"/>
      <c r="HTG9" s="13"/>
      <c r="HTH9" s="13"/>
      <c r="HTI9" s="13"/>
      <c r="HTJ9" s="13"/>
      <c r="HTK9" s="13"/>
      <c r="HTL9" s="13"/>
      <c r="HTM9" s="13"/>
      <c r="HTN9" s="13"/>
      <c r="HTO9" s="13"/>
      <c r="HTP9" s="13"/>
      <c r="HTQ9" s="13"/>
      <c r="HTR9" s="13"/>
      <c r="HTS9" s="13"/>
      <c r="HTT9" s="13"/>
      <c r="HTU9" s="13"/>
      <c r="HTV9" s="13"/>
      <c r="HTW9" s="13"/>
      <c r="HTX9" s="13"/>
      <c r="HTY9" s="13"/>
      <c r="HTZ9" s="13"/>
      <c r="HUA9" s="13"/>
      <c r="HUB9" s="13"/>
      <c r="HUC9" s="13"/>
      <c r="HUD9" s="13"/>
      <c r="HUE9" s="13"/>
      <c r="HUF9" s="13"/>
      <c r="HUG9" s="13"/>
      <c r="HUH9" s="13"/>
      <c r="HUI9" s="13"/>
      <c r="HUJ9" s="13"/>
      <c r="HUK9" s="13"/>
      <c r="HUL9" s="13"/>
      <c r="HUM9" s="13"/>
      <c r="HUN9" s="13"/>
      <c r="HUO9" s="13"/>
      <c r="HUP9" s="13"/>
      <c r="HUQ9" s="13"/>
      <c r="HUR9" s="13"/>
      <c r="HUS9" s="13"/>
      <c r="HUT9" s="13"/>
      <c r="HUU9" s="13"/>
      <c r="HUV9" s="13"/>
      <c r="HUW9" s="13"/>
      <c r="HUX9" s="13"/>
      <c r="HUY9" s="13"/>
      <c r="HUZ9" s="13"/>
      <c r="HVA9" s="13"/>
      <c r="HVB9" s="13"/>
      <c r="HVC9" s="13"/>
      <c r="HVD9" s="13"/>
      <c r="HVE9" s="13"/>
      <c r="HVF9" s="13"/>
      <c r="HVG9" s="13"/>
      <c r="HVH9" s="13"/>
      <c r="HVI9" s="13"/>
      <c r="HVJ9" s="13"/>
      <c r="HVK9" s="13"/>
      <c r="HVL9" s="13"/>
      <c r="HVM9" s="13"/>
      <c r="HVN9" s="13"/>
      <c r="HVO9" s="13"/>
      <c r="HVP9" s="13"/>
      <c r="HVQ9" s="13"/>
      <c r="HVR9" s="13"/>
      <c r="HVS9" s="13"/>
      <c r="HVT9" s="13"/>
      <c r="HVU9" s="13"/>
      <c r="HVV9" s="13"/>
      <c r="HVW9" s="13"/>
      <c r="HVX9" s="13"/>
      <c r="HVY9" s="13"/>
      <c r="HVZ9" s="13"/>
      <c r="HWA9" s="13"/>
      <c r="HWB9" s="13"/>
      <c r="HWC9" s="13"/>
      <c r="HWD9" s="13"/>
      <c r="HWE9" s="13"/>
      <c r="HWF9" s="13"/>
      <c r="HWG9" s="13"/>
      <c r="HWH9" s="13"/>
      <c r="HWI9" s="13"/>
      <c r="HWJ9" s="13"/>
      <c r="HWK9" s="13"/>
      <c r="HWL9" s="13"/>
      <c r="HWM9" s="13"/>
      <c r="HWN9" s="13"/>
      <c r="HWO9" s="13"/>
      <c r="HWP9" s="13"/>
      <c r="HWQ9" s="13"/>
      <c r="HWR9" s="13"/>
      <c r="HWS9" s="13"/>
      <c r="HWT9" s="13"/>
      <c r="HWU9" s="13"/>
      <c r="HWV9" s="13"/>
      <c r="HWW9" s="13"/>
      <c r="HWX9" s="13"/>
      <c r="HWY9" s="13"/>
      <c r="HWZ9" s="13"/>
      <c r="HXA9" s="13"/>
      <c r="HXB9" s="13"/>
      <c r="HXC9" s="13"/>
      <c r="HXD9" s="13"/>
      <c r="HXE9" s="13"/>
      <c r="HXF9" s="13"/>
      <c r="HXG9" s="13"/>
      <c r="HXH9" s="13"/>
      <c r="HXI9" s="13"/>
      <c r="HXJ9" s="13"/>
      <c r="HXK9" s="13"/>
      <c r="HXL9" s="13"/>
      <c r="HXM9" s="13"/>
      <c r="HXN9" s="13"/>
      <c r="HXO9" s="13"/>
      <c r="HXP9" s="13"/>
      <c r="HXQ9" s="13"/>
      <c r="HXR9" s="13"/>
      <c r="HXS9" s="13"/>
      <c r="HXT9" s="13"/>
      <c r="HXU9" s="13"/>
      <c r="HXV9" s="13"/>
      <c r="HXW9" s="13"/>
      <c r="HXX9" s="13"/>
      <c r="HXY9" s="13"/>
      <c r="HXZ9" s="13"/>
      <c r="HYA9" s="13"/>
      <c r="HYB9" s="13"/>
      <c r="HYC9" s="13"/>
      <c r="HYD9" s="13"/>
      <c r="HYE9" s="13"/>
      <c r="HYF9" s="13"/>
      <c r="HYG9" s="13"/>
      <c r="HYH9" s="13"/>
      <c r="HYI9" s="13"/>
      <c r="HYJ9" s="13"/>
      <c r="HYK9" s="13"/>
      <c r="HYL9" s="13"/>
      <c r="HYM9" s="13"/>
      <c r="HYN9" s="13"/>
      <c r="HYO9" s="13"/>
      <c r="HYP9" s="13"/>
      <c r="HYQ9" s="13"/>
      <c r="HYR9" s="13"/>
      <c r="HYS9" s="13"/>
      <c r="HYT9" s="13"/>
      <c r="HYU9" s="13"/>
      <c r="HYV9" s="13"/>
      <c r="HYW9" s="13"/>
      <c r="HYX9" s="13"/>
      <c r="HYY9" s="13"/>
      <c r="HYZ9" s="13"/>
      <c r="HZA9" s="13"/>
      <c r="HZB9" s="13"/>
      <c r="HZC9" s="13"/>
      <c r="HZD9" s="13"/>
      <c r="HZE9" s="13"/>
      <c r="HZF9" s="13"/>
      <c r="HZG9" s="13"/>
      <c r="HZH9" s="13"/>
      <c r="HZI9" s="13"/>
      <c r="HZJ9" s="13"/>
      <c r="HZK9" s="13"/>
      <c r="HZL9" s="13"/>
      <c r="HZM9" s="13"/>
      <c r="HZN9" s="13"/>
      <c r="HZO9" s="13"/>
      <c r="HZP9" s="13"/>
      <c r="HZQ9" s="13"/>
      <c r="HZR9" s="13"/>
      <c r="HZS9" s="13"/>
      <c r="HZT9" s="13"/>
      <c r="HZU9" s="13"/>
      <c r="HZV9" s="13"/>
      <c r="HZW9" s="13"/>
      <c r="HZX9" s="13"/>
      <c r="HZY9" s="13"/>
      <c r="HZZ9" s="13"/>
      <c r="IAA9" s="13"/>
      <c r="IAB9" s="13"/>
      <c r="IAC9" s="13"/>
      <c r="IAD9" s="13"/>
      <c r="IAE9" s="13"/>
      <c r="IAF9" s="13"/>
      <c r="IAG9" s="13"/>
      <c r="IAH9" s="13"/>
      <c r="IAI9" s="13"/>
      <c r="IAJ9" s="13"/>
      <c r="IAK9" s="13"/>
      <c r="IAL9" s="13"/>
      <c r="IAM9" s="13"/>
      <c r="IAN9" s="13"/>
      <c r="IAO9" s="13"/>
      <c r="IAP9" s="13"/>
      <c r="IAQ9" s="13"/>
      <c r="IAR9" s="13"/>
      <c r="IAS9" s="13"/>
      <c r="IAT9" s="13"/>
      <c r="IAU9" s="13"/>
      <c r="IAV9" s="13"/>
      <c r="IAW9" s="13"/>
      <c r="IAX9" s="13"/>
      <c r="IAY9" s="13"/>
      <c r="IAZ9" s="13"/>
      <c r="IBA9" s="13"/>
      <c r="IBB9" s="13"/>
      <c r="IBC9" s="13"/>
      <c r="IBD9" s="13"/>
      <c r="IBE9" s="13"/>
      <c r="IBF9" s="13"/>
      <c r="IBG9" s="13"/>
      <c r="IBH9" s="13"/>
      <c r="IBI9" s="13"/>
      <c r="IBJ9" s="13"/>
      <c r="IBK9" s="13"/>
      <c r="IBL9" s="13"/>
      <c r="IBM9" s="13"/>
      <c r="IBN9" s="13"/>
      <c r="IBO9" s="13"/>
      <c r="IBP9" s="13"/>
      <c r="IBQ9" s="13"/>
      <c r="IBR9" s="13"/>
      <c r="IBS9" s="13"/>
      <c r="IBT9" s="13"/>
      <c r="IBU9" s="13"/>
      <c r="IBV9" s="13"/>
      <c r="IBW9" s="13"/>
      <c r="IBX9" s="13"/>
      <c r="IBY9" s="13"/>
      <c r="IBZ9" s="13"/>
      <c r="ICA9" s="13"/>
      <c r="ICB9" s="13"/>
      <c r="ICC9" s="13"/>
      <c r="ICD9" s="13"/>
      <c r="ICE9" s="13"/>
      <c r="ICF9" s="13"/>
      <c r="ICG9" s="13"/>
      <c r="ICH9" s="13"/>
      <c r="ICI9" s="13"/>
      <c r="ICJ9" s="13"/>
      <c r="ICK9" s="13"/>
      <c r="ICL9" s="13"/>
      <c r="ICM9" s="13"/>
      <c r="ICN9" s="13"/>
      <c r="ICO9" s="13"/>
      <c r="ICP9" s="13"/>
      <c r="ICQ9" s="13"/>
      <c r="ICR9" s="13"/>
      <c r="ICS9" s="13"/>
      <c r="ICT9" s="13"/>
      <c r="ICU9" s="13"/>
      <c r="ICV9" s="13"/>
      <c r="ICW9" s="13"/>
      <c r="ICX9" s="13"/>
      <c r="ICY9" s="13"/>
      <c r="ICZ9" s="13"/>
      <c r="IDA9" s="13"/>
      <c r="IDB9" s="13"/>
      <c r="IDC9" s="13"/>
      <c r="IDD9" s="13"/>
      <c r="IDE9" s="13"/>
      <c r="IDF9" s="13"/>
      <c r="IDG9" s="13"/>
      <c r="IDH9" s="13"/>
      <c r="IDI9" s="13"/>
      <c r="IDJ9" s="13"/>
      <c r="IDK9" s="13"/>
      <c r="IDL9" s="13"/>
      <c r="IDM9" s="13"/>
      <c r="IDN9" s="13"/>
      <c r="IDO9" s="13"/>
      <c r="IDP9" s="13"/>
      <c r="IDQ9" s="13"/>
      <c r="IDR9" s="13"/>
      <c r="IDS9" s="13"/>
      <c r="IDT9" s="13"/>
      <c r="IDU9" s="13"/>
      <c r="IDV9" s="13"/>
      <c r="IDW9" s="13"/>
      <c r="IDX9" s="13"/>
      <c r="IDY9" s="13"/>
      <c r="IDZ9" s="13"/>
      <c r="IEA9" s="13"/>
      <c r="IEB9" s="13"/>
      <c r="IEC9" s="13"/>
      <c r="IED9" s="13"/>
      <c r="IEE9" s="13"/>
      <c r="IEF9" s="13"/>
      <c r="IEG9" s="13"/>
      <c r="IEH9" s="13"/>
      <c r="IEI9" s="13"/>
      <c r="IEJ9" s="13"/>
      <c r="IEK9" s="13"/>
      <c r="IEL9" s="13"/>
      <c r="IEM9" s="13"/>
      <c r="IEN9" s="13"/>
      <c r="IEO9" s="13"/>
      <c r="IEP9" s="13"/>
      <c r="IEQ9" s="13"/>
      <c r="IER9" s="13"/>
      <c r="IES9" s="13"/>
      <c r="IET9" s="13"/>
      <c r="IEU9" s="13"/>
      <c r="IEV9" s="13"/>
      <c r="IEW9" s="13"/>
      <c r="IEX9" s="13"/>
      <c r="IEY9" s="13"/>
      <c r="IEZ9" s="13"/>
      <c r="IFA9" s="13"/>
      <c r="IFB9" s="13"/>
      <c r="IFC9" s="13"/>
      <c r="IFD9" s="13"/>
      <c r="IFE9" s="13"/>
      <c r="IFF9" s="13"/>
      <c r="IFG9" s="13"/>
      <c r="IFH9" s="13"/>
      <c r="IFI9" s="13"/>
      <c r="IFJ9" s="13"/>
      <c r="IFK9" s="13"/>
      <c r="IFL9" s="13"/>
      <c r="IFM9" s="13"/>
      <c r="IFN9" s="13"/>
      <c r="IFO9" s="13"/>
      <c r="IFP9" s="13"/>
      <c r="IFQ9" s="13"/>
      <c r="IFR9" s="13"/>
      <c r="IFS9" s="13"/>
      <c r="IFT9" s="13"/>
      <c r="IFU9" s="13"/>
      <c r="IFV9" s="13"/>
      <c r="IFW9" s="13"/>
      <c r="IFX9" s="13"/>
      <c r="IFY9" s="13"/>
      <c r="IFZ9" s="13"/>
      <c r="IGA9" s="13"/>
      <c r="IGB9" s="13"/>
      <c r="IGC9" s="13"/>
      <c r="IGD9" s="13"/>
      <c r="IGE9" s="13"/>
      <c r="IGF9" s="13"/>
      <c r="IGG9" s="13"/>
      <c r="IGH9" s="13"/>
      <c r="IGI9" s="13"/>
      <c r="IGJ9" s="13"/>
      <c r="IGK9" s="13"/>
      <c r="IGL9" s="13"/>
      <c r="IGM9" s="13"/>
      <c r="IGN9" s="13"/>
      <c r="IGO9" s="13"/>
      <c r="IGP9" s="13"/>
      <c r="IGQ9" s="13"/>
      <c r="IGR9" s="13"/>
      <c r="IGS9" s="13"/>
      <c r="IGT9" s="13"/>
      <c r="IGU9" s="13"/>
      <c r="IGV9" s="13"/>
      <c r="IGW9" s="13"/>
      <c r="IGX9" s="13"/>
      <c r="IGY9" s="13"/>
      <c r="IGZ9" s="13"/>
      <c r="IHA9" s="13"/>
      <c r="IHB9" s="13"/>
      <c r="IHC9" s="13"/>
      <c r="IHD9" s="13"/>
      <c r="IHE9" s="13"/>
      <c r="IHF9" s="13"/>
      <c r="IHG9" s="13"/>
      <c r="IHH9" s="13"/>
      <c r="IHI9" s="13"/>
      <c r="IHJ9" s="13"/>
      <c r="IHK9" s="13"/>
      <c r="IHL9" s="13"/>
      <c r="IHM9" s="13"/>
      <c r="IHN9" s="13"/>
      <c r="IHO9" s="13"/>
      <c r="IHP9" s="13"/>
      <c r="IHQ9" s="13"/>
      <c r="IHR9" s="13"/>
      <c r="IHS9" s="13"/>
      <c r="IHT9" s="13"/>
      <c r="IHU9" s="13"/>
      <c r="IHV9" s="13"/>
      <c r="IHW9" s="13"/>
      <c r="IHX9" s="13"/>
      <c r="IHY9" s="13"/>
      <c r="IHZ9" s="13"/>
      <c r="IIA9" s="13"/>
      <c r="IIB9" s="13"/>
      <c r="IIC9" s="13"/>
      <c r="IID9" s="13"/>
      <c r="IIE9" s="13"/>
      <c r="IIF9" s="13"/>
      <c r="IIG9" s="13"/>
      <c r="IIH9" s="13"/>
      <c r="III9" s="13"/>
      <c r="IIJ9" s="13"/>
      <c r="IIK9" s="13"/>
      <c r="IIL9" s="13"/>
      <c r="IIM9" s="13"/>
      <c r="IIN9" s="13"/>
      <c r="IIO9" s="13"/>
      <c r="IIP9" s="13"/>
      <c r="IIQ9" s="13"/>
      <c r="IIR9" s="13"/>
      <c r="IIS9" s="13"/>
      <c r="IIT9" s="13"/>
      <c r="IIU9" s="13"/>
      <c r="IIV9" s="13"/>
      <c r="IIW9" s="13"/>
      <c r="IIX9" s="13"/>
      <c r="IIY9" s="13"/>
      <c r="IIZ9" s="13"/>
      <c r="IJA9" s="13"/>
      <c r="IJB9" s="13"/>
      <c r="IJC9" s="13"/>
      <c r="IJD9" s="13"/>
      <c r="IJE9" s="13"/>
      <c r="IJF9" s="13"/>
      <c r="IJG9" s="13"/>
      <c r="IJH9" s="13"/>
      <c r="IJI9" s="13"/>
      <c r="IJJ9" s="13"/>
      <c r="IJK9" s="13"/>
      <c r="IJL9" s="13"/>
      <c r="IJM9" s="13"/>
      <c r="IJN9" s="13"/>
      <c r="IJO9" s="13"/>
      <c r="IJP9" s="13"/>
      <c r="IJQ9" s="13"/>
      <c r="IJR9" s="13"/>
      <c r="IJS9" s="13"/>
      <c r="IJT9" s="13"/>
      <c r="IJU9" s="13"/>
      <c r="IJV9" s="13"/>
      <c r="IJW9" s="13"/>
      <c r="IJX9" s="13"/>
      <c r="IJY9" s="13"/>
      <c r="IJZ9" s="13"/>
      <c r="IKA9" s="13"/>
      <c r="IKB9" s="13"/>
      <c r="IKC9" s="13"/>
      <c r="IKD9" s="13"/>
      <c r="IKE9" s="13"/>
      <c r="IKF9" s="13"/>
      <c r="IKG9" s="13"/>
      <c r="IKH9" s="13"/>
      <c r="IKI9" s="13"/>
      <c r="IKJ9" s="13"/>
      <c r="IKK9" s="13"/>
      <c r="IKL9" s="13"/>
      <c r="IKM9" s="13"/>
      <c r="IKN9" s="13"/>
      <c r="IKO9" s="13"/>
      <c r="IKP9" s="13"/>
      <c r="IKQ9" s="13"/>
      <c r="IKR9" s="13"/>
      <c r="IKS9" s="13"/>
      <c r="IKT9" s="13"/>
      <c r="IKU9" s="13"/>
      <c r="IKV9" s="13"/>
      <c r="IKW9" s="13"/>
      <c r="IKX9" s="13"/>
      <c r="IKY9" s="13"/>
      <c r="IKZ9" s="13"/>
      <c r="ILA9" s="13"/>
      <c r="ILB9" s="13"/>
      <c r="ILC9" s="13"/>
      <c r="ILD9" s="13"/>
      <c r="ILE9" s="13"/>
      <c r="ILF9" s="13"/>
      <c r="ILG9" s="13"/>
      <c r="ILH9" s="13"/>
      <c r="ILI9" s="13"/>
      <c r="ILJ9" s="13"/>
      <c r="ILK9" s="13"/>
      <c r="ILL9" s="13"/>
      <c r="ILM9" s="13"/>
      <c r="ILN9" s="13"/>
      <c r="ILO9" s="13"/>
      <c r="ILP9" s="13"/>
      <c r="ILQ9" s="13"/>
      <c r="ILR9" s="13"/>
      <c r="ILS9" s="13"/>
      <c r="ILT9" s="13"/>
      <c r="ILU9" s="13"/>
      <c r="ILV9" s="13"/>
      <c r="ILW9" s="13"/>
      <c r="ILX9" s="13"/>
      <c r="ILY9" s="13"/>
      <c r="ILZ9" s="13"/>
      <c r="IMA9" s="13"/>
      <c r="IMB9" s="13"/>
      <c r="IMC9" s="13"/>
      <c r="IMD9" s="13"/>
      <c r="IME9" s="13"/>
      <c r="IMF9" s="13"/>
      <c r="IMG9" s="13"/>
      <c r="IMH9" s="13"/>
      <c r="IMI9" s="13"/>
      <c r="IMJ9" s="13"/>
      <c r="IMK9" s="13"/>
      <c r="IML9" s="13"/>
      <c r="IMM9" s="13"/>
      <c r="IMN9" s="13"/>
      <c r="IMO9" s="13"/>
      <c r="IMP9" s="13"/>
      <c r="IMQ9" s="13"/>
      <c r="IMR9" s="13"/>
      <c r="IMS9" s="13"/>
      <c r="IMT9" s="13"/>
      <c r="IMU9" s="13"/>
      <c r="IMV9" s="13"/>
      <c r="IMW9" s="13"/>
      <c r="IMX9" s="13"/>
      <c r="IMY9" s="13"/>
      <c r="IMZ9" s="13"/>
      <c r="INA9" s="13"/>
      <c r="INB9" s="13"/>
      <c r="INC9" s="13"/>
      <c r="IND9" s="13"/>
      <c r="INE9" s="13"/>
      <c r="INF9" s="13"/>
      <c r="ING9" s="13"/>
      <c r="INH9" s="13"/>
      <c r="INI9" s="13"/>
      <c r="INJ9" s="13"/>
      <c r="INK9" s="13"/>
      <c r="INL9" s="13"/>
      <c r="INM9" s="13"/>
      <c r="INN9" s="13"/>
      <c r="INO9" s="13"/>
      <c r="INP9" s="13"/>
      <c r="INQ9" s="13"/>
      <c r="INR9" s="13"/>
      <c r="INS9" s="13"/>
      <c r="INT9" s="13"/>
      <c r="INU9" s="13"/>
      <c r="INV9" s="13"/>
      <c r="INW9" s="13"/>
      <c r="INX9" s="13"/>
      <c r="INY9" s="13"/>
      <c r="INZ9" s="13"/>
      <c r="IOA9" s="13"/>
      <c r="IOB9" s="13"/>
      <c r="IOC9" s="13"/>
      <c r="IOD9" s="13"/>
      <c r="IOE9" s="13"/>
      <c r="IOF9" s="13"/>
      <c r="IOG9" s="13"/>
      <c r="IOH9" s="13"/>
      <c r="IOI9" s="13"/>
      <c r="IOJ9" s="13"/>
      <c r="IOK9" s="13"/>
      <c r="IOL9" s="13"/>
      <c r="IOM9" s="13"/>
      <c r="ION9" s="13"/>
      <c r="IOO9" s="13"/>
      <c r="IOP9" s="13"/>
      <c r="IOQ9" s="13"/>
      <c r="IOR9" s="13"/>
      <c r="IOS9" s="13"/>
      <c r="IOT9" s="13"/>
      <c r="IOU9" s="13"/>
      <c r="IOV9" s="13"/>
      <c r="IOW9" s="13"/>
      <c r="IOX9" s="13"/>
      <c r="IOY9" s="13"/>
      <c r="IOZ9" s="13"/>
      <c r="IPA9" s="13"/>
      <c r="IPB9" s="13"/>
      <c r="IPC9" s="13"/>
      <c r="IPD9" s="13"/>
      <c r="IPE9" s="13"/>
      <c r="IPF9" s="13"/>
      <c r="IPG9" s="13"/>
      <c r="IPH9" s="13"/>
      <c r="IPI9" s="13"/>
      <c r="IPJ9" s="13"/>
      <c r="IPK9" s="13"/>
      <c r="IPL9" s="13"/>
      <c r="IPM9" s="13"/>
      <c r="IPN9" s="13"/>
      <c r="IPO9" s="13"/>
      <c r="IPP9" s="13"/>
      <c r="IPQ9" s="13"/>
      <c r="IPR9" s="13"/>
      <c r="IPS9" s="13"/>
      <c r="IPT9" s="13"/>
      <c r="IPU9" s="13"/>
      <c r="IPV9" s="13"/>
      <c r="IPW9" s="13"/>
      <c r="IPX9" s="13"/>
      <c r="IPY9" s="13"/>
      <c r="IPZ9" s="13"/>
      <c r="IQA9" s="13"/>
      <c r="IQB9" s="13"/>
      <c r="IQC9" s="13"/>
      <c r="IQD9" s="13"/>
      <c r="IQE9" s="13"/>
      <c r="IQF9" s="13"/>
      <c r="IQG9" s="13"/>
      <c r="IQH9" s="13"/>
      <c r="IQI9" s="13"/>
      <c r="IQJ9" s="13"/>
      <c r="IQK9" s="13"/>
      <c r="IQL9" s="13"/>
      <c r="IQM9" s="13"/>
      <c r="IQN9" s="13"/>
      <c r="IQO9" s="13"/>
      <c r="IQP9" s="13"/>
      <c r="IQQ9" s="13"/>
      <c r="IQR9" s="13"/>
      <c r="IQS9" s="13"/>
      <c r="IQT9" s="13"/>
      <c r="IQU9" s="13"/>
      <c r="IQV9" s="13"/>
      <c r="IQW9" s="13"/>
      <c r="IQX9" s="13"/>
      <c r="IQY9" s="13"/>
      <c r="IQZ9" s="13"/>
      <c r="IRA9" s="13"/>
      <c r="IRB9" s="13"/>
      <c r="IRC9" s="13"/>
      <c r="IRD9" s="13"/>
      <c r="IRE9" s="13"/>
      <c r="IRF9" s="13"/>
      <c r="IRG9" s="13"/>
      <c r="IRH9" s="13"/>
      <c r="IRI9" s="13"/>
      <c r="IRJ9" s="13"/>
      <c r="IRK9" s="13"/>
      <c r="IRL9" s="13"/>
      <c r="IRM9" s="13"/>
      <c r="IRN9" s="13"/>
      <c r="IRO9" s="13"/>
      <c r="IRP9" s="13"/>
      <c r="IRQ9" s="13"/>
      <c r="IRR9" s="13"/>
      <c r="IRS9" s="13"/>
      <c r="IRT9" s="13"/>
      <c r="IRU9" s="13"/>
      <c r="IRV9" s="13"/>
      <c r="IRW9" s="13"/>
      <c r="IRX9" s="13"/>
      <c r="IRY9" s="13"/>
      <c r="IRZ9" s="13"/>
      <c r="ISA9" s="13"/>
      <c r="ISB9" s="13"/>
      <c r="ISC9" s="13"/>
      <c r="ISD9" s="13"/>
      <c r="ISE9" s="13"/>
      <c r="ISF9" s="13"/>
      <c r="ISG9" s="13"/>
      <c r="ISH9" s="13"/>
      <c r="ISI9" s="13"/>
      <c r="ISJ9" s="13"/>
      <c r="ISK9" s="13"/>
      <c r="ISL9" s="13"/>
      <c r="ISM9" s="13"/>
      <c r="ISN9" s="13"/>
      <c r="ISO9" s="13"/>
      <c r="ISP9" s="13"/>
      <c r="ISQ9" s="13"/>
      <c r="ISR9" s="13"/>
      <c r="ISS9" s="13"/>
      <c r="IST9" s="13"/>
      <c r="ISU9" s="13"/>
      <c r="ISV9" s="13"/>
      <c r="ISW9" s="13"/>
      <c r="ISX9" s="13"/>
      <c r="ISY9" s="13"/>
      <c r="ISZ9" s="13"/>
      <c r="ITA9" s="13"/>
      <c r="ITB9" s="13"/>
      <c r="ITC9" s="13"/>
      <c r="ITD9" s="13"/>
      <c r="ITE9" s="13"/>
      <c r="ITF9" s="13"/>
      <c r="ITG9" s="13"/>
      <c r="ITH9" s="13"/>
      <c r="ITI9" s="13"/>
      <c r="ITJ9" s="13"/>
      <c r="ITK9" s="13"/>
      <c r="ITL9" s="13"/>
      <c r="ITM9" s="13"/>
      <c r="ITN9" s="13"/>
      <c r="ITO9" s="13"/>
      <c r="ITP9" s="13"/>
      <c r="ITQ9" s="13"/>
      <c r="ITR9" s="13"/>
      <c r="ITS9" s="13"/>
      <c r="ITT9" s="13"/>
      <c r="ITU9" s="13"/>
      <c r="ITV9" s="13"/>
      <c r="ITW9" s="13"/>
      <c r="ITX9" s="13"/>
      <c r="ITY9" s="13"/>
      <c r="ITZ9" s="13"/>
      <c r="IUA9" s="13"/>
      <c r="IUB9" s="13"/>
      <c r="IUC9" s="13"/>
      <c r="IUD9" s="13"/>
      <c r="IUE9" s="13"/>
      <c r="IUF9" s="13"/>
      <c r="IUG9" s="13"/>
      <c r="IUH9" s="13"/>
      <c r="IUI9" s="13"/>
      <c r="IUJ9" s="13"/>
      <c r="IUK9" s="13"/>
      <c r="IUL9" s="13"/>
      <c r="IUM9" s="13"/>
      <c r="IUN9" s="13"/>
      <c r="IUO9" s="13"/>
      <c r="IUP9" s="13"/>
      <c r="IUQ9" s="13"/>
      <c r="IUR9" s="13"/>
      <c r="IUS9" s="13"/>
      <c r="IUT9" s="13"/>
      <c r="IUU9" s="13"/>
      <c r="IUV9" s="13"/>
      <c r="IUW9" s="13"/>
      <c r="IUX9" s="13"/>
      <c r="IUY9" s="13"/>
      <c r="IUZ9" s="13"/>
      <c r="IVA9" s="13"/>
      <c r="IVB9" s="13"/>
      <c r="IVC9" s="13"/>
      <c r="IVD9" s="13"/>
      <c r="IVE9" s="13"/>
      <c r="IVF9" s="13"/>
      <c r="IVG9" s="13"/>
      <c r="IVH9" s="13"/>
      <c r="IVI9" s="13"/>
      <c r="IVJ9" s="13"/>
      <c r="IVK9" s="13"/>
      <c r="IVL9" s="13"/>
      <c r="IVM9" s="13"/>
      <c r="IVN9" s="13"/>
      <c r="IVO9" s="13"/>
      <c r="IVP9" s="13"/>
      <c r="IVQ9" s="13"/>
      <c r="IVR9" s="13"/>
      <c r="IVS9" s="13"/>
      <c r="IVT9" s="13"/>
      <c r="IVU9" s="13"/>
      <c r="IVV9" s="13"/>
      <c r="IVW9" s="13"/>
      <c r="IVX9" s="13"/>
      <c r="IVY9" s="13"/>
      <c r="IVZ9" s="13"/>
      <c r="IWA9" s="13"/>
      <c r="IWB9" s="13"/>
      <c r="IWC9" s="13"/>
      <c r="IWD9" s="13"/>
      <c r="IWE9" s="13"/>
      <c r="IWF9" s="13"/>
      <c r="IWG9" s="13"/>
      <c r="IWH9" s="13"/>
      <c r="IWI9" s="13"/>
      <c r="IWJ9" s="13"/>
      <c r="IWK9" s="13"/>
      <c r="IWL9" s="13"/>
      <c r="IWM9" s="13"/>
      <c r="IWN9" s="13"/>
      <c r="IWO9" s="13"/>
      <c r="IWP9" s="13"/>
      <c r="IWQ9" s="13"/>
      <c r="IWR9" s="13"/>
      <c r="IWS9" s="13"/>
      <c r="IWT9" s="13"/>
      <c r="IWU9" s="13"/>
      <c r="IWV9" s="13"/>
      <c r="IWW9" s="13"/>
      <c r="IWX9" s="13"/>
      <c r="IWY9" s="13"/>
      <c r="IWZ9" s="13"/>
      <c r="IXA9" s="13"/>
      <c r="IXB9" s="13"/>
      <c r="IXC9" s="13"/>
      <c r="IXD9" s="13"/>
      <c r="IXE9" s="13"/>
      <c r="IXF9" s="13"/>
      <c r="IXG9" s="13"/>
      <c r="IXH9" s="13"/>
      <c r="IXI9" s="13"/>
      <c r="IXJ9" s="13"/>
      <c r="IXK9" s="13"/>
      <c r="IXL9" s="13"/>
      <c r="IXM9" s="13"/>
      <c r="IXN9" s="13"/>
      <c r="IXO9" s="13"/>
      <c r="IXP9" s="13"/>
      <c r="IXQ9" s="13"/>
      <c r="IXR9" s="13"/>
      <c r="IXS9" s="13"/>
      <c r="IXT9" s="13"/>
      <c r="IXU9" s="13"/>
      <c r="IXV9" s="13"/>
      <c r="IXW9" s="13"/>
      <c r="IXX9" s="13"/>
      <c r="IXY9" s="13"/>
      <c r="IXZ9" s="13"/>
      <c r="IYA9" s="13"/>
      <c r="IYB9" s="13"/>
      <c r="IYC9" s="13"/>
      <c r="IYD9" s="13"/>
      <c r="IYE9" s="13"/>
      <c r="IYF9" s="13"/>
      <c r="IYG9" s="13"/>
      <c r="IYH9" s="13"/>
      <c r="IYI9" s="13"/>
      <c r="IYJ9" s="13"/>
      <c r="IYK9" s="13"/>
      <c r="IYL9" s="13"/>
      <c r="IYM9" s="13"/>
      <c r="IYN9" s="13"/>
      <c r="IYO9" s="13"/>
      <c r="IYP9" s="13"/>
      <c r="IYQ9" s="13"/>
      <c r="IYR9" s="13"/>
      <c r="IYS9" s="13"/>
      <c r="IYT9" s="13"/>
      <c r="IYU9" s="13"/>
      <c r="IYV9" s="13"/>
      <c r="IYW9" s="13"/>
      <c r="IYX9" s="13"/>
      <c r="IYY9" s="13"/>
      <c r="IYZ9" s="13"/>
      <c r="IZA9" s="13"/>
      <c r="IZB9" s="13"/>
      <c r="IZC9" s="13"/>
      <c r="IZD9" s="13"/>
      <c r="IZE9" s="13"/>
      <c r="IZF9" s="13"/>
      <c r="IZG9" s="13"/>
      <c r="IZH9" s="13"/>
      <c r="IZI9" s="13"/>
      <c r="IZJ9" s="13"/>
      <c r="IZK9" s="13"/>
      <c r="IZL9" s="13"/>
      <c r="IZM9" s="13"/>
      <c r="IZN9" s="13"/>
      <c r="IZO9" s="13"/>
      <c r="IZP9" s="13"/>
      <c r="IZQ9" s="13"/>
      <c r="IZR9" s="13"/>
      <c r="IZS9" s="13"/>
      <c r="IZT9" s="13"/>
      <c r="IZU9" s="13"/>
      <c r="IZV9" s="13"/>
      <c r="IZW9" s="13"/>
      <c r="IZX9" s="13"/>
      <c r="IZY9" s="13"/>
      <c r="IZZ9" s="13"/>
      <c r="JAA9" s="13"/>
      <c r="JAB9" s="13"/>
      <c r="JAC9" s="13"/>
      <c r="JAD9" s="13"/>
      <c r="JAE9" s="13"/>
      <c r="JAF9" s="13"/>
      <c r="JAG9" s="13"/>
      <c r="JAH9" s="13"/>
      <c r="JAI9" s="13"/>
      <c r="JAJ9" s="13"/>
      <c r="JAK9" s="13"/>
      <c r="JAL9" s="13"/>
      <c r="JAM9" s="13"/>
      <c r="JAN9" s="13"/>
      <c r="JAO9" s="13"/>
      <c r="JAP9" s="13"/>
      <c r="JAQ9" s="13"/>
      <c r="JAR9" s="13"/>
      <c r="JAS9" s="13"/>
      <c r="JAT9" s="13"/>
      <c r="JAU9" s="13"/>
      <c r="JAV9" s="13"/>
      <c r="JAW9" s="13"/>
      <c r="JAX9" s="13"/>
      <c r="JAY9" s="13"/>
      <c r="JAZ9" s="13"/>
      <c r="JBA9" s="13"/>
      <c r="JBB9" s="13"/>
      <c r="JBC9" s="13"/>
      <c r="JBD9" s="13"/>
      <c r="JBE9" s="13"/>
      <c r="JBF9" s="13"/>
      <c r="JBG9" s="13"/>
      <c r="JBH9" s="13"/>
      <c r="JBI9" s="13"/>
      <c r="JBJ9" s="13"/>
      <c r="JBK9" s="13"/>
      <c r="JBL9" s="13"/>
      <c r="JBM9" s="13"/>
      <c r="JBN9" s="13"/>
      <c r="JBO9" s="13"/>
      <c r="JBP9" s="13"/>
      <c r="JBQ9" s="13"/>
      <c r="JBR9" s="13"/>
      <c r="JBS9" s="13"/>
      <c r="JBT9" s="13"/>
      <c r="JBU9" s="13"/>
      <c r="JBV9" s="13"/>
      <c r="JBW9" s="13"/>
      <c r="JBX9" s="13"/>
      <c r="JBY9" s="13"/>
      <c r="JBZ9" s="13"/>
      <c r="JCA9" s="13"/>
      <c r="JCB9" s="13"/>
      <c r="JCC9" s="13"/>
      <c r="JCD9" s="13"/>
      <c r="JCE9" s="13"/>
      <c r="JCF9" s="13"/>
      <c r="JCG9" s="13"/>
      <c r="JCH9" s="13"/>
      <c r="JCI9" s="13"/>
      <c r="JCJ9" s="13"/>
      <c r="JCK9" s="13"/>
      <c r="JCL9" s="13"/>
      <c r="JCM9" s="13"/>
      <c r="JCN9" s="13"/>
      <c r="JCO9" s="13"/>
      <c r="JCP9" s="13"/>
      <c r="JCQ9" s="13"/>
      <c r="JCR9" s="13"/>
      <c r="JCS9" s="13"/>
      <c r="JCT9" s="13"/>
      <c r="JCU9" s="13"/>
      <c r="JCV9" s="13"/>
      <c r="JCW9" s="13"/>
      <c r="JCX9" s="13"/>
      <c r="JCY9" s="13"/>
      <c r="JCZ9" s="13"/>
      <c r="JDA9" s="13"/>
      <c r="JDB9" s="13"/>
      <c r="JDC9" s="13"/>
      <c r="JDD9" s="13"/>
      <c r="JDE9" s="13"/>
      <c r="JDF9" s="13"/>
      <c r="JDG9" s="13"/>
      <c r="JDH9" s="13"/>
      <c r="JDI9" s="13"/>
      <c r="JDJ9" s="13"/>
      <c r="JDK9" s="13"/>
      <c r="JDL9" s="13"/>
      <c r="JDM9" s="13"/>
      <c r="JDN9" s="13"/>
      <c r="JDO9" s="13"/>
      <c r="JDP9" s="13"/>
      <c r="JDQ9" s="13"/>
      <c r="JDR9" s="13"/>
      <c r="JDS9" s="13"/>
      <c r="JDT9" s="13"/>
      <c r="JDU9" s="13"/>
      <c r="JDV9" s="13"/>
      <c r="JDW9" s="13"/>
      <c r="JDX9" s="13"/>
      <c r="JDY9" s="13"/>
      <c r="JDZ9" s="13"/>
      <c r="JEA9" s="13"/>
      <c r="JEB9" s="13"/>
      <c r="JEC9" s="13"/>
      <c r="JED9" s="13"/>
      <c r="JEE9" s="13"/>
      <c r="JEF9" s="13"/>
      <c r="JEG9" s="13"/>
      <c r="JEH9" s="13"/>
      <c r="JEI9" s="13"/>
      <c r="JEJ9" s="13"/>
      <c r="JEK9" s="13"/>
      <c r="JEL9" s="13"/>
      <c r="JEM9" s="13"/>
      <c r="JEN9" s="13"/>
      <c r="JEO9" s="13"/>
      <c r="JEP9" s="13"/>
      <c r="JEQ9" s="13"/>
      <c r="JER9" s="13"/>
      <c r="JES9" s="13"/>
      <c r="JET9" s="13"/>
      <c r="JEU9" s="13"/>
      <c r="JEV9" s="13"/>
      <c r="JEW9" s="13"/>
      <c r="JEX9" s="13"/>
      <c r="JEY9" s="13"/>
      <c r="JEZ9" s="13"/>
      <c r="JFA9" s="13"/>
      <c r="JFB9" s="13"/>
      <c r="JFC9" s="13"/>
      <c r="JFD9" s="13"/>
      <c r="JFE9" s="13"/>
      <c r="JFF9" s="13"/>
      <c r="JFG9" s="13"/>
      <c r="JFH9" s="13"/>
      <c r="JFI9" s="13"/>
      <c r="JFJ9" s="13"/>
      <c r="JFK9" s="13"/>
      <c r="JFL9" s="13"/>
      <c r="JFM9" s="13"/>
      <c r="JFN9" s="13"/>
      <c r="JFO9" s="13"/>
      <c r="JFP9" s="13"/>
      <c r="JFQ9" s="13"/>
      <c r="JFR9" s="13"/>
      <c r="JFS9" s="13"/>
      <c r="JFT9" s="13"/>
      <c r="JFU9" s="13"/>
      <c r="JFV9" s="13"/>
      <c r="JFW9" s="13"/>
      <c r="JFX9" s="13"/>
      <c r="JFY9" s="13"/>
      <c r="JFZ9" s="13"/>
      <c r="JGA9" s="13"/>
      <c r="JGB9" s="13"/>
      <c r="JGC9" s="13"/>
      <c r="JGD9" s="13"/>
      <c r="JGE9" s="13"/>
      <c r="JGF9" s="13"/>
      <c r="JGG9" s="13"/>
      <c r="JGH9" s="13"/>
      <c r="JGI9" s="13"/>
      <c r="JGJ9" s="13"/>
      <c r="JGK9" s="13"/>
      <c r="JGL9" s="13"/>
      <c r="JGM9" s="13"/>
      <c r="JGN9" s="13"/>
      <c r="JGO9" s="13"/>
      <c r="JGP9" s="13"/>
      <c r="JGQ9" s="13"/>
      <c r="JGR9" s="13"/>
      <c r="JGS9" s="13"/>
      <c r="JGT9" s="13"/>
      <c r="JGU9" s="13"/>
      <c r="JGV9" s="13"/>
      <c r="JGW9" s="13"/>
      <c r="JGX9" s="13"/>
      <c r="JGY9" s="13"/>
      <c r="JGZ9" s="13"/>
      <c r="JHA9" s="13"/>
      <c r="JHB9" s="13"/>
      <c r="JHC9" s="13"/>
      <c r="JHD9" s="13"/>
      <c r="JHE9" s="13"/>
      <c r="JHF9" s="13"/>
      <c r="JHG9" s="13"/>
      <c r="JHH9" s="13"/>
      <c r="JHI9" s="13"/>
      <c r="JHJ9" s="13"/>
      <c r="JHK9" s="13"/>
      <c r="JHL9" s="13"/>
      <c r="JHM9" s="13"/>
      <c r="JHN9" s="13"/>
      <c r="JHO9" s="13"/>
      <c r="JHP9" s="13"/>
      <c r="JHQ9" s="13"/>
      <c r="JHR9" s="13"/>
      <c r="JHS9" s="13"/>
      <c r="JHT9" s="13"/>
      <c r="JHU9" s="13"/>
      <c r="JHV9" s="13"/>
      <c r="JHW9" s="13"/>
      <c r="JHX9" s="13"/>
      <c r="JHY9" s="13"/>
      <c r="JHZ9" s="13"/>
      <c r="JIA9" s="13"/>
      <c r="JIB9" s="13"/>
      <c r="JIC9" s="13"/>
      <c r="JID9" s="13"/>
      <c r="JIE9" s="13"/>
      <c r="JIF9" s="13"/>
      <c r="JIG9" s="13"/>
      <c r="JIH9" s="13"/>
      <c r="JII9" s="13"/>
      <c r="JIJ9" s="13"/>
      <c r="JIK9" s="13"/>
      <c r="JIL9" s="13"/>
      <c r="JIM9" s="13"/>
      <c r="JIN9" s="13"/>
      <c r="JIO9" s="13"/>
      <c r="JIP9" s="13"/>
      <c r="JIQ9" s="13"/>
      <c r="JIR9" s="13"/>
      <c r="JIS9" s="13"/>
      <c r="JIT9" s="13"/>
      <c r="JIU9" s="13"/>
      <c r="JIV9" s="13"/>
      <c r="JIW9" s="13"/>
      <c r="JIX9" s="13"/>
      <c r="JIY9" s="13"/>
      <c r="JIZ9" s="13"/>
      <c r="JJA9" s="13"/>
      <c r="JJB9" s="13"/>
      <c r="JJC9" s="13"/>
      <c r="JJD9" s="13"/>
      <c r="JJE9" s="13"/>
      <c r="JJF9" s="13"/>
      <c r="JJG9" s="13"/>
      <c r="JJH9" s="13"/>
      <c r="JJI9" s="13"/>
      <c r="JJJ9" s="13"/>
      <c r="JJK9" s="13"/>
      <c r="JJL9" s="13"/>
      <c r="JJM9" s="13"/>
      <c r="JJN9" s="13"/>
      <c r="JJO9" s="13"/>
      <c r="JJP9" s="13"/>
      <c r="JJQ9" s="13"/>
      <c r="JJR9" s="13"/>
      <c r="JJS9" s="13"/>
      <c r="JJT9" s="13"/>
      <c r="JJU9" s="13"/>
      <c r="JJV9" s="13"/>
      <c r="JJW9" s="13"/>
      <c r="JJX9" s="13"/>
      <c r="JJY9" s="13"/>
      <c r="JJZ9" s="13"/>
      <c r="JKA9" s="13"/>
      <c r="JKB9" s="13"/>
      <c r="JKC9" s="13"/>
      <c r="JKD9" s="13"/>
      <c r="JKE9" s="13"/>
      <c r="JKF9" s="13"/>
      <c r="JKG9" s="13"/>
      <c r="JKH9" s="13"/>
      <c r="JKI9" s="13"/>
      <c r="JKJ9" s="13"/>
      <c r="JKK9" s="13"/>
      <c r="JKL9" s="13"/>
      <c r="JKM9" s="13"/>
      <c r="JKN9" s="13"/>
      <c r="JKO9" s="13"/>
      <c r="JKP9" s="13"/>
      <c r="JKQ9" s="13"/>
      <c r="JKR9" s="13"/>
      <c r="JKS9" s="13"/>
      <c r="JKT9" s="13"/>
      <c r="JKU9" s="13"/>
      <c r="JKV9" s="13"/>
      <c r="JKW9" s="13"/>
      <c r="JKX9" s="13"/>
      <c r="JKY9" s="13"/>
      <c r="JKZ9" s="13"/>
      <c r="JLA9" s="13"/>
      <c r="JLB9" s="13"/>
      <c r="JLC9" s="13"/>
      <c r="JLD9" s="13"/>
      <c r="JLE9" s="13"/>
      <c r="JLF9" s="13"/>
      <c r="JLG9" s="13"/>
      <c r="JLH9" s="13"/>
      <c r="JLI9" s="13"/>
      <c r="JLJ9" s="13"/>
      <c r="JLK9" s="13"/>
      <c r="JLL9" s="13"/>
      <c r="JLM9" s="13"/>
      <c r="JLN9" s="13"/>
      <c r="JLO9" s="13"/>
      <c r="JLP9" s="13"/>
      <c r="JLQ9" s="13"/>
      <c r="JLR9" s="13"/>
      <c r="JLS9" s="13"/>
      <c r="JLT9" s="13"/>
      <c r="JLU9" s="13"/>
      <c r="JLV9" s="13"/>
      <c r="JLW9" s="13"/>
      <c r="JLX9" s="13"/>
      <c r="JLY9" s="13"/>
      <c r="JLZ9" s="13"/>
      <c r="JMA9" s="13"/>
      <c r="JMB9" s="13"/>
      <c r="JMC9" s="13"/>
      <c r="JMD9" s="13"/>
      <c r="JME9" s="13"/>
      <c r="JMF9" s="13"/>
      <c r="JMG9" s="13"/>
      <c r="JMH9" s="13"/>
      <c r="JMI9" s="13"/>
      <c r="JMJ9" s="13"/>
      <c r="JMK9" s="13"/>
      <c r="JML9" s="13"/>
      <c r="JMM9" s="13"/>
      <c r="JMN9" s="13"/>
      <c r="JMO9" s="13"/>
      <c r="JMP9" s="13"/>
      <c r="JMQ9" s="13"/>
      <c r="JMR9" s="13"/>
      <c r="JMS9" s="13"/>
      <c r="JMT9" s="13"/>
      <c r="JMU9" s="13"/>
      <c r="JMV9" s="13"/>
      <c r="JMW9" s="13"/>
      <c r="JMX9" s="13"/>
      <c r="JMY9" s="13"/>
      <c r="JMZ9" s="13"/>
      <c r="JNA9" s="13"/>
      <c r="JNB9" s="13"/>
      <c r="JNC9" s="13"/>
      <c r="JND9" s="13"/>
      <c r="JNE9" s="13"/>
      <c r="JNF9" s="13"/>
      <c r="JNG9" s="13"/>
      <c r="JNH9" s="13"/>
      <c r="JNI9" s="13"/>
      <c r="JNJ9" s="13"/>
      <c r="JNK9" s="13"/>
      <c r="JNL9" s="13"/>
      <c r="JNM9" s="13"/>
      <c r="JNN9" s="13"/>
      <c r="JNO9" s="13"/>
      <c r="JNP9" s="13"/>
      <c r="JNQ9" s="13"/>
      <c r="JNR9" s="13"/>
      <c r="JNS9" s="13"/>
      <c r="JNT9" s="13"/>
      <c r="JNU9" s="13"/>
      <c r="JNV9" s="13"/>
      <c r="JNW9" s="13"/>
      <c r="JNX9" s="13"/>
      <c r="JNY9" s="13"/>
      <c r="JNZ9" s="13"/>
      <c r="JOA9" s="13"/>
      <c r="JOB9" s="13"/>
      <c r="JOC9" s="13"/>
      <c r="JOD9" s="13"/>
      <c r="JOE9" s="13"/>
      <c r="JOF9" s="13"/>
      <c r="JOG9" s="13"/>
      <c r="JOH9" s="13"/>
      <c r="JOI9" s="13"/>
      <c r="JOJ9" s="13"/>
      <c r="JOK9" s="13"/>
      <c r="JOL9" s="13"/>
      <c r="JOM9" s="13"/>
      <c r="JON9" s="13"/>
      <c r="JOO9" s="13"/>
      <c r="JOP9" s="13"/>
      <c r="JOQ9" s="13"/>
      <c r="JOR9" s="13"/>
      <c r="JOS9" s="13"/>
      <c r="JOT9" s="13"/>
      <c r="JOU9" s="13"/>
      <c r="JOV9" s="13"/>
      <c r="JOW9" s="13"/>
      <c r="JOX9" s="13"/>
      <c r="JOY9" s="13"/>
      <c r="JOZ9" s="13"/>
      <c r="JPA9" s="13"/>
      <c r="JPB9" s="13"/>
      <c r="JPC9" s="13"/>
      <c r="JPD9" s="13"/>
      <c r="JPE9" s="13"/>
      <c r="JPF9" s="13"/>
      <c r="JPG9" s="13"/>
      <c r="JPH9" s="13"/>
      <c r="JPI9" s="13"/>
      <c r="JPJ9" s="13"/>
      <c r="JPK9" s="13"/>
      <c r="JPL9" s="13"/>
      <c r="JPM9" s="13"/>
      <c r="JPN9" s="13"/>
      <c r="JPO9" s="13"/>
      <c r="JPP9" s="13"/>
      <c r="JPQ9" s="13"/>
      <c r="JPR9" s="13"/>
      <c r="JPS9" s="13"/>
      <c r="JPT9" s="13"/>
      <c r="JPU9" s="13"/>
      <c r="JPV9" s="13"/>
      <c r="JPW9" s="13"/>
      <c r="JPX9" s="13"/>
      <c r="JPY9" s="13"/>
      <c r="JPZ9" s="13"/>
      <c r="JQA9" s="13"/>
      <c r="JQB9" s="13"/>
      <c r="JQC9" s="13"/>
      <c r="JQD9" s="13"/>
      <c r="JQE9" s="13"/>
      <c r="JQF9" s="13"/>
      <c r="JQG9" s="13"/>
      <c r="JQH9" s="13"/>
      <c r="JQI9" s="13"/>
      <c r="JQJ9" s="13"/>
      <c r="JQK9" s="13"/>
      <c r="JQL9" s="13"/>
      <c r="JQM9" s="13"/>
      <c r="JQN9" s="13"/>
      <c r="JQO9" s="13"/>
      <c r="JQP9" s="13"/>
      <c r="JQQ9" s="13"/>
      <c r="JQR9" s="13"/>
      <c r="JQS9" s="13"/>
      <c r="JQT9" s="13"/>
      <c r="JQU9" s="13"/>
      <c r="JQV9" s="13"/>
      <c r="JQW9" s="13"/>
      <c r="JQX9" s="13"/>
      <c r="JQY9" s="13"/>
      <c r="JQZ9" s="13"/>
      <c r="JRA9" s="13"/>
      <c r="JRB9" s="13"/>
      <c r="JRC9" s="13"/>
      <c r="JRD9" s="13"/>
      <c r="JRE9" s="13"/>
      <c r="JRF9" s="13"/>
      <c r="JRG9" s="13"/>
      <c r="JRH9" s="13"/>
      <c r="JRI9" s="13"/>
      <c r="JRJ9" s="13"/>
      <c r="JRK9" s="13"/>
      <c r="JRL9" s="13"/>
      <c r="JRM9" s="13"/>
      <c r="JRN9" s="13"/>
      <c r="JRO9" s="13"/>
      <c r="JRP9" s="13"/>
      <c r="JRQ9" s="13"/>
      <c r="JRR9" s="13"/>
      <c r="JRS9" s="13"/>
      <c r="JRT9" s="13"/>
      <c r="JRU9" s="13"/>
      <c r="JRV9" s="13"/>
      <c r="JRW9" s="13"/>
      <c r="JRX9" s="13"/>
      <c r="JRY9" s="13"/>
      <c r="JRZ9" s="13"/>
      <c r="JSA9" s="13"/>
      <c r="JSB9" s="13"/>
      <c r="JSC9" s="13"/>
      <c r="JSD9" s="13"/>
      <c r="JSE9" s="13"/>
      <c r="JSF9" s="13"/>
      <c r="JSG9" s="13"/>
      <c r="JSH9" s="13"/>
      <c r="JSI9" s="13"/>
      <c r="JSJ9" s="13"/>
      <c r="JSK9" s="13"/>
      <c r="JSL9" s="13"/>
      <c r="JSM9" s="13"/>
      <c r="JSN9" s="13"/>
      <c r="JSO9" s="13"/>
      <c r="JSP9" s="13"/>
      <c r="JSQ9" s="13"/>
      <c r="JSR9" s="13"/>
      <c r="JSS9" s="13"/>
      <c r="JST9" s="13"/>
      <c r="JSU9" s="13"/>
      <c r="JSV9" s="13"/>
      <c r="JSW9" s="13"/>
      <c r="JSX9" s="13"/>
      <c r="JSY9" s="13"/>
      <c r="JSZ9" s="13"/>
      <c r="JTA9" s="13"/>
      <c r="JTB9" s="13"/>
      <c r="JTC9" s="13"/>
      <c r="JTD9" s="13"/>
      <c r="JTE9" s="13"/>
      <c r="JTF9" s="13"/>
      <c r="JTG9" s="13"/>
      <c r="JTH9" s="13"/>
      <c r="JTI9" s="13"/>
      <c r="JTJ9" s="13"/>
      <c r="JTK9" s="13"/>
      <c r="JTL9" s="13"/>
      <c r="JTM9" s="13"/>
      <c r="JTN9" s="13"/>
      <c r="JTO9" s="13"/>
      <c r="JTP9" s="13"/>
      <c r="JTQ9" s="13"/>
      <c r="JTR9" s="13"/>
      <c r="JTS9" s="13"/>
      <c r="JTT9" s="13"/>
      <c r="JTU9" s="13"/>
      <c r="JTV9" s="13"/>
      <c r="JTW9" s="13"/>
      <c r="JTX9" s="13"/>
      <c r="JTY9" s="13"/>
      <c r="JTZ9" s="13"/>
      <c r="JUA9" s="13"/>
      <c r="JUB9" s="13"/>
      <c r="JUC9" s="13"/>
      <c r="JUD9" s="13"/>
      <c r="JUE9" s="13"/>
      <c r="JUF9" s="13"/>
      <c r="JUG9" s="13"/>
      <c r="JUH9" s="13"/>
      <c r="JUI9" s="13"/>
      <c r="JUJ9" s="13"/>
      <c r="JUK9" s="13"/>
      <c r="JUL9" s="13"/>
      <c r="JUM9" s="13"/>
      <c r="JUN9" s="13"/>
      <c r="JUO9" s="13"/>
      <c r="JUP9" s="13"/>
      <c r="JUQ9" s="13"/>
      <c r="JUR9" s="13"/>
      <c r="JUS9" s="13"/>
      <c r="JUT9" s="13"/>
      <c r="JUU9" s="13"/>
      <c r="JUV9" s="13"/>
      <c r="JUW9" s="13"/>
      <c r="JUX9" s="13"/>
      <c r="JUY9" s="13"/>
      <c r="JUZ9" s="13"/>
      <c r="JVA9" s="13"/>
      <c r="JVB9" s="13"/>
      <c r="JVC9" s="13"/>
      <c r="JVD9" s="13"/>
      <c r="JVE9" s="13"/>
      <c r="JVF9" s="13"/>
      <c r="JVG9" s="13"/>
      <c r="JVH9" s="13"/>
      <c r="JVI9" s="13"/>
      <c r="JVJ9" s="13"/>
      <c r="JVK9" s="13"/>
      <c r="JVL9" s="13"/>
      <c r="JVM9" s="13"/>
      <c r="JVN9" s="13"/>
      <c r="JVO9" s="13"/>
      <c r="JVP9" s="13"/>
      <c r="JVQ9" s="13"/>
      <c r="JVR9" s="13"/>
      <c r="JVS9" s="13"/>
      <c r="JVT9" s="13"/>
      <c r="JVU9" s="13"/>
      <c r="JVV9" s="13"/>
      <c r="JVW9" s="13"/>
      <c r="JVX9" s="13"/>
      <c r="JVY9" s="13"/>
      <c r="JVZ9" s="13"/>
      <c r="JWA9" s="13"/>
      <c r="JWB9" s="13"/>
      <c r="JWC9" s="13"/>
      <c r="JWD9" s="13"/>
      <c r="JWE9" s="13"/>
      <c r="JWF9" s="13"/>
      <c r="JWG9" s="13"/>
      <c r="JWH9" s="13"/>
      <c r="JWI9" s="13"/>
      <c r="JWJ9" s="13"/>
      <c r="JWK9" s="13"/>
      <c r="JWL9" s="13"/>
      <c r="JWM9" s="13"/>
      <c r="JWN9" s="13"/>
      <c r="JWO9" s="13"/>
      <c r="JWP9" s="13"/>
      <c r="JWQ9" s="13"/>
      <c r="JWR9" s="13"/>
      <c r="JWS9" s="13"/>
      <c r="JWT9" s="13"/>
      <c r="JWU9" s="13"/>
      <c r="JWV9" s="13"/>
      <c r="JWW9" s="13"/>
      <c r="JWX9" s="13"/>
      <c r="JWY9" s="13"/>
      <c r="JWZ9" s="13"/>
      <c r="JXA9" s="13"/>
      <c r="JXB9" s="13"/>
      <c r="JXC9" s="13"/>
      <c r="JXD9" s="13"/>
      <c r="JXE9" s="13"/>
      <c r="JXF9" s="13"/>
      <c r="JXG9" s="13"/>
      <c r="JXH9" s="13"/>
      <c r="JXI9" s="13"/>
      <c r="JXJ9" s="13"/>
      <c r="JXK9" s="13"/>
      <c r="JXL9" s="13"/>
      <c r="JXM9" s="13"/>
      <c r="JXN9" s="13"/>
      <c r="JXO9" s="13"/>
      <c r="JXP9" s="13"/>
      <c r="JXQ9" s="13"/>
      <c r="JXR9" s="13"/>
      <c r="JXS9" s="13"/>
      <c r="JXT9" s="13"/>
      <c r="JXU9" s="13"/>
      <c r="JXV9" s="13"/>
      <c r="JXW9" s="13"/>
      <c r="JXX9" s="13"/>
      <c r="JXY9" s="13"/>
      <c r="JXZ9" s="13"/>
      <c r="JYA9" s="13"/>
      <c r="JYB9" s="13"/>
      <c r="JYC9" s="13"/>
      <c r="JYD9" s="13"/>
      <c r="JYE9" s="13"/>
      <c r="JYF9" s="13"/>
      <c r="JYG9" s="13"/>
      <c r="JYH9" s="13"/>
      <c r="JYI9" s="13"/>
      <c r="JYJ9" s="13"/>
      <c r="JYK9" s="13"/>
      <c r="JYL9" s="13"/>
      <c r="JYM9" s="13"/>
      <c r="JYN9" s="13"/>
      <c r="JYO9" s="13"/>
      <c r="JYP9" s="13"/>
      <c r="JYQ9" s="13"/>
      <c r="JYR9" s="13"/>
      <c r="JYS9" s="13"/>
      <c r="JYT9" s="13"/>
      <c r="JYU9" s="13"/>
      <c r="JYV9" s="13"/>
      <c r="JYW9" s="13"/>
      <c r="JYX9" s="13"/>
      <c r="JYY9" s="13"/>
      <c r="JYZ9" s="13"/>
      <c r="JZA9" s="13"/>
      <c r="JZB9" s="13"/>
      <c r="JZC9" s="13"/>
      <c r="JZD9" s="13"/>
      <c r="JZE9" s="13"/>
      <c r="JZF9" s="13"/>
      <c r="JZG9" s="13"/>
      <c r="JZH9" s="13"/>
      <c r="JZI9" s="13"/>
      <c r="JZJ9" s="13"/>
      <c r="JZK9" s="13"/>
      <c r="JZL9" s="13"/>
      <c r="JZM9" s="13"/>
      <c r="JZN9" s="13"/>
      <c r="JZO9" s="13"/>
      <c r="JZP9" s="13"/>
      <c r="JZQ9" s="13"/>
      <c r="JZR9" s="13"/>
      <c r="JZS9" s="13"/>
      <c r="JZT9" s="13"/>
      <c r="JZU9" s="13"/>
      <c r="JZV9" s="13"/>
      <c r="JZW9" s="13"/>
      <c r="JZX9" s="13"/>
      <c r="JZY9" s="13"/>
      <c r="JZZ9" s="13"/>
      <c r="KAA9" s="13"/>
      <c r="KAB9" s="13"/>
      <c r="KAC9" s="13"/>
      <c r="KAD9" s="13"/>
      <c r="KAE9" s="13"/>
      <c r="KAF9" s="13"/>
      <c r="KAG9" s="13"/>
      <c r="KAH9" s="13"/>
      <c r="KAI9" s="13"/>
      <c r="KAJ9" s="13"/>
      <c r="KAK9" s="13"/>
      <c r="KAL9" s="13"/>
      <c r="KAM9" s="13"/>
      <c r="KAN9" s="13"/>
      <c r="KAO9" s="13"/>
      <c r="KAP9" s="13"/>
      <c r="KAQ9" s="13"/>
      <c r="KAR9" s="13"/>
      <c r="KAS9" s="13"/>
      <c r="KAT9" s="13"/>
      <c r="KAU9" s="13"/>
      <c r="KAV9" s="13"/>
      <c r="KAW9" s="13"/>
      <c r="KAX9" s="13"/>
      <c r="KAY9" s="13"/>
      <c r="KAZ9" s="13"/>
      <c r="KBA9" s="13"/>
      <c r="KBB9" s="13"/>
      <c r="KBC9" s="13"/>
      <c r="KBD9" s="13"/>
      <c r="KBE9" s="13"/>
      <c r="KBF9" s="13"/>
      <c r="KBG9" s="13"/>
      <c r="KBH9" s="13"/>
      <c r="KBI9" s="13"/>
      <c r="KBJ9" s="13"/>
      <c r="KBK9" s="13"/>
      <c r="KBL9" s="13"/>
      <c r="KBM9" s="13"/>
      <c r="KBN9" s="13"/>
      <c r="KBO9" s="13"/>
      <c r="KBP9" s="13"/>
      <c r="KBQ9" s="13"/>
      <c r="KBR9" s="13"/>
      <c r="KBS9" s="13"/>
      <c r="KBT9" s="13"/>
      <c r="KBU9" s="13"/>
      <c r="KBV9" s="13"/>
      <c r="KBW9" s="13"/>
      <c r="KBX9" s="13"/>
      <c r="KBY9" s="13"/>
      <c r="KBZ9" s="13"/>
      <c r="KCA9" s="13"/>
      <c r="KCB9" s="13"/>
      <c r="KCC9" s="13"/>
      <c r="KCD9" s="13"/>
      <c r="KCE9" s="13"/>
      <c r="KCF9" s="13"/>
      <c r="KCG9" s="13"/>
      <c r="KCH9" s="13"/>
      <c r="KCI9" s="13"/>
      <c r="KCJ9" s="13"/>
      <c r="KCK9" s="13"/>
      <c r="KCL9" s="13"/>
      <c r="KCM9" s="13"/>
      <c r="KCN9" s="13"/>
      <c r="KCO9" s="13"/>
      <c r="KCP9" s="13"/>
      <c r="KCQ9" s="13"/>
      <c r="KCR9" s="13"/>
      <c r="KCS9" s="13"/>
      <c r="KCT9" s="13"/>
      <c r="KCU9" s="13"/>
      <c r="KCV9" s="13"/>
      <c r="KCW9" s="13"/>
      <c r="KCX9" s="13"/>
      <c r="KCY9" s="13"/>
      <c r="KCZ9" s="13"/>
      <c r="KDA9" s="13"/>
      <c r="KDB9" s="13"/>
      <c r="KDC9" s="13"/>
      <c r="KDD9" s="13"/>
      <c r="KDE9" s="13"/>
      <c r="KDF9" s="13"/>
      <c r="KDG9" s="13"/>
      <c r="KDH9" s="13"/>
      <c r="KDI9" s="13"/>
      <c r="KDJ9" s="13"/>
      <c r="KDK9" s="13"/>
      <c r="KDL9" s="13"/>
      <c r="KDM9" s="13"/>
      <c r="KDN9" s="13"/>
      <c r="KDO9" s="13"/>
      <c r="KDP9" s="13"/>
      <c r="KDQ9" s="13"/>
      <c r="KDR9" s="13"/>
      <c r="KDS9" s="13"/>
      <c r="KDT9" s="13"/>
      <c r="KDU9" s="13"/>
      <c r="KDV9" s="13"/>
      <c r="KDW9" s="13"/>
      <c r="KDX9" s="13"/>
      <c r="KDY9" s="13"/>
      <c r="KDZ9" s="13"/>
      <c r="KEA9" s="13"/>
      <c r="KEB9" s="13"/>
      <c r="KEC9" s="13"/>
      <c r="KED9" s="13"/>
      <c r="KEE9" s="13"/>
      <c r="KEF9" s="13"/>
      <c r="KEG9" s="13"/>
      <c r="KEH9" s="13"/>
      <c r="KEI9" s="13"/>
      <c r="KEJ9" s="13"/>
      <c r="KEK9" s="13"/>
      <c r="KEL9" s="13"/>
      <c r="KEM9" s="13"/>
      <c r="KEN9" s="13"/>
      <c r="KEO9" s="13"/>
      <c r="KEP9" s="13"/>
      <c r="KEQ9" s="13"/>
      <c r="KER9" s="13"/>
      <c r="KES9" s="13"/>
      <c r="KET9" s="13"/>
      <c r="KEU9" s="13"/>
      <c r="KEV9" s="13"/>
      <c r="KEW9" s="13"/>
      <c r="KEX9" s="13"/>
      <c r="KEY9" s="13"/>
      <c r="KEZ9" s="13"/>
      <c r="KFA9" s="13"/>
      <c r="KFB9" s="13"/>
      <c r="KFC9" s="13"/>
      <c r="KFD9" s="13"/>
      <c r="KFE9" s="13"/>
      <c r="KFF9" s="13"/>
      <c r="KFG9" s="13"/>
      <c r="KFH9" s="13"/>
      <c r="KFI9" s="13"/>
      <c r="KFJ9" s="13"/>
      <c r="KFK9" s="13"/>
      <c r="KFL9" s="13"/>
      <c r="KFM9" s="13"/>
      <c r="KFN9" s="13"/>
      <c r="KFO9" s="13"/>
      <c r="KFP9" s="13"/>
      <c r="KFQ9" s="13"/>
      <c r="KFR9" s="13"/>
      <c r="KFS9" s="13"/>
      <c r="KFT9" s="13"/>
      <c r="KFU9" s="13"/>
      <c r="KFV9" s="13"/>
      <c r="KFW9" s="13"/>
      <c r="KFX9" s="13"/>
      <c r="KFY9" s="13"/>
      <c r="KFZ9" s="13"/>
      <c r="KGA9" s="13"/>
      <c r="KGB9" s="13"/>
      <c r="KGC9" s="13"/>
      <c r="KGD9" s="13"/>
      <c r="KGE9" s="13"/>
      <c r="KGF9" s="13"/>
      <c r="KGG9" s="13"/>
      <c r="KGH9" s="13"/>
      <c r="KGI9" s="13"/>
      <c r="KGJ9" s="13"/>
      <c r="KGK9" s="13"/>
      <c r="KGL9" s="13"/>
      <c r="KGM9" s="13"/>
      <c r="KGN9" s="13"/>
      <c r="KGO9" s="13"/>
      <c r="KGP9" s="13"/>
      <c r="KGQ9" s="13"/>
      <c r="KGR9" s="13"/>
      <c r="KGS9" s="13"/>
      <c r="KGT9" s="13"/>
      <c r="KGU9" s="13"/>
      <c r="KGV9" s="13"/>
      <c r="KGW9" s="13"/>
      <c r="KGX9" s="13"/>
      <c r="KGY9" s="13"/>
      <c r="KGZ9" s="13"/>
      <c r="KHA9" s="13"/>
      <c r="KHB9" s="13"/>
      <c r="KHC9" s="13"/>
      <c r="KHD9" s="13"/>
      <c r="KHE9" s="13"/>
      <c r="KHF9" s="13"/>
      <c r="KHG9" s="13"/>
      <c r="KHH9" s="13"/>
      <c r="KHI9" s="13"/>
      <c r="KHJ9" s="13"/>
      <c r="KHK9" s="13"/>
      <c r="KHL9" s="13"/>
      <c r="KHM9" s="13"/>
      <c r="KHN9" s="13"/>
      <c r="KHO9" s="13"/>
      <c r="KHP9" s="13"/>
      <c r="KHQ9" s="13"/>
      <c r="KHR9" s="13"/>
      <c r="KHS9" s="13"/>
      <c r="KHT9" s="13"/>
      <c r="KHU9" s="13"/>
      <c r="KHV9" s="13"/>
      <c r="KHW9" s="13"/>
      <c r="KHX9" s="13"/>
      <c r="KHY9" s="13"/>
      <c r="KHZ9" s="13"/>
      <c r="KIA9" s="13"/>
      <c r="KIB9" s="13"/>
      <c r="KIC9" s="13"/>
      <c r="KID9" s="13"/>
      <c r="KIE9" s="13"/>
      <c r="KIF9" s="13"/>
      <c r="KIG9" s="13"/>
      <c r="KIH9" s="13"/>
      <c r="KII9" s="13"/>
      <c r="KIJ9" s="13"/>
      <c r="KIK9" s="13"/>
      <c r="KIL9" s="13"/>
      <c r="KIM9" s="13"/>
      <c r="KIN9" s="13"/>
      <c r="KIO9" s="13"/>
      <c r="KIP9" s="13"/>
      <c r="KIQ9" s="13"/>
      <c r="KIR9" s="13"/>
      <c r="KIS9" s="13"/>
      <c r="KIT9" s="13"/>
      <c r="KIU9" s="13"/>
      <c r="KIV9" s="13"/>
      <c r="KIW9" s="13"/>
      <c r="KIX9" s="13"/>
      <c r="KIY9" s="13"/>
      <c r="KIZ9" s="13"/>
      <c r="KJA9" s="13"/>
      <c r="KJB9" s="13"/>
      <c r="KJC9" s="13"/>
      <c r="KJD9" s="13"/>
      <c r="KJE9" s="13"/>
      <c r="KJF9" s="13"/>
      <c r="KJG9" s="13"/>
      <c r="KJH9" s="13"/>
      <c r="KJI9" s="13"/>
      <c r="KJJ9" s="13"/>
      <c r="KJK9" s="13"/>
      <c r="KJL9" s="13"/>
      <c r="KJM9" s="13"/>
      <c r="KJN9" s="13"/>
      <c r="KJO9" s="13"/>
      <c r="KJP9" s="13"/>
      <c r="KJQ9" s="13"/>
      <c r="KJR9" s="13"/>
      <c r="KJS9" s="13"/>
      <c r="KJT9" s="13"/>
      <c r="KJU9" s="13"/>
      <c r="KJV9" s="13"/>
      <c r="KJW9" s="13"/>
      <c r="KJX9" s="13"/>
      <c r="KJY9" s="13"/>
      <c r="KJZ9" s="13"/>
      <c r="KKA9" s="13"/>
      <c r="KKB9" s="13"/>
      <c r="KKC9" s="13"/>
      <c r="KKD9" s="13"/>
      <c r="KKE9" s="13"/>
      <c r="KKF9" s="13"/>
      <c r="KKG9" s="13"/>
      <c r="KKH9" s="13"/>
      <c r="KKI9" s="13"/>
      <c r="KKJ9" s="13"/>
      <c r="KKK9" s="13"/>
      <c r="KKL9" s="13"/>
      <c r="KKM9" s="13"/>
      <c r="KKN9" s="13"/>
      <c r="KKO9" s="13"/>
      <c r="KKP9" s="13"/>
      <c r="KKQ9" s="13"/>
      <c r="KKR9" s="13"/>
      <c r="KKS9" s="13"/>
      <c r="KKT9" s="13"/>
      <c r="KKU9" s="13"/>
      <c r="KKV9" s="13"/>
      <c r="KKW9" s="13"/>
      <c r="KKX9" s="13"/>
      <c r="KKY9" s="13"/>
      <c r="KKZ9" s="13"/>
      <c r="KLA9" s="13"/>
      <c r="KLB9" s="13"/>
      <c r="KLC9" s="13"/>
      <c r="KLD9" s="13"/>
      <c r="KLE9" s="13"/>
      <c r="KLF9" s="13"/>
      <c r="KLG9" s="13"/>
      <c r="KLH9" s="13"/>
      <c r="KLI9" s="13"/>
      <c r="KLJ9" s="13"/>
      <c r="KLK9" s="13"/>
      <c r="KLL9" s="13"/>
      <c r="KLM9" s="13"/>
      <c r="KLN9" s="13"/>
      <c r="KLO9" s="13"/>
      <c r="KLP9" s="13"/>
      <c r="KLQ9" s="13"/>
      <c r="KLR9" s="13"/>
      <c r="KLS9" s="13"/>
      <c r="KLT9" s="13"/>
      <c r="KLU9" s="13"/>
      <c r="KLV9" s="13"/>
      <c r="KLW9" s="13"/>
      <c r="KLX9" s="13"/>
      <c r="KLY9" s="13"/>
      <c r="KLZ9" s="13"/>
      <c r="KMA9" s="13"/>
      <c r="KMB9" s="13"/>
      <c r="KMC9" s="13"/>
      <c r="KMD9" s="13"/>
      <c r="KME9" s="13"/>
      <c r="KMF9" s="13"/>
      <c r="KMG9" s="13"/>
      <c r="KMH9" s="13"/>
      <c r="KMI9" s="13"/>
      <c r="KMJ9" s="13"/>
      <c r="KMK9" s="13"/>
      <c r="KML9" s="13"/>
      <c r="KMM9" s="13"/>
      <c r="KMN9" s="13"/>
      <c r="KMO9" s="13"/>
      <c r="KMP9" s="13"/>
      <c r="KMQ9" s="13"/>
      <c r="KMR9" s="13"/>
      <c r="KMS9" s="13"/>
      <c r="KMT9" s="13"/>
      <c r="KMU9" s="13"/>
      <c r="KMV9" s="13"/>
      <c r="KMW9" s="13"/>
      <c r="KMX9" s="13"/>
      <c r="KMY9" s="13"/>
      <c r="KMZ9" s="13"/>
      <c r="KNA9" s="13"/>
      <c r="KNB9" s="13"/>
      <c r="KNC9" s="13"/>
      <c r="KND9" s="13"/>
      <c r="KNE9" s="13"/>
      <c r="KNF9" s="13"/>
      <c r="KNG9" s="13"/>
      <c r="KNH9" s="13"/>
      <c r="KNI9" s="13"/>
      <c r="KNJ9" s="13"/>
      <c r="KNK9" s="13"/>
      <c r="KNL9" s="13"/>
      <c r="KNM9" s="13"/>
      <c r="KNN9" s="13"/>
      <c r="KNO9" s="13"/>
      <c r="KNP9" s="13"/>
      <c r="KNQ9" s="13"/>
      <c r="KNR9" s="13"/>
      <c r="KNS9" s="13"/>
      <c r="KNT9" s="13"/>
      <c r="KNU9" s="13"/>
      <c r="KNV9" s="13"/>
      <c r="KNW9" s="13"/>
      <c r="KNX9" s="13"/>
      <c r="KNY9" s="13"/>
      <c r="KNZ9" s="13"/>
      <c r="KOA9" s="13"/>
      <c r="KOB9" s="13"/>
      <c r="KOC9" s="13"/>
      <c r="KOD9" s="13"/>
      <c r="KOE9" s="13"/>
      <c r="KOF9" s="13"/>
      <c r="KOG9" s="13"/>
      <c r="KOH9" s="13"/>
      <c r="KOI9" s="13"/>
      <c r="KOJ9" s="13"/>
      <c r="KOK9" s="13"/>
      <c r="KOL9" s="13"/>
      <c r="KOM9" s="13"/>
      <c r="KON9" s="13"/>
      <c r="KOO9" s="13"/>
      <c r="KOP9" s="13"/>
      <c r="KOQ9" s="13"/>
      <c r="KOR9" s="13"/>
      <c r="KOS9" s="13"/>
      <c r="KOT9" s="13"/>
      <c r="KOU9" s="13"/>
      <c r="KOV9" s="13"/>
      <c r="KOW9" s="13"/>
      <c r="KOX9" s="13"/>
      <c r="KOY9" s="13"/>
      <c r="KOZ9" s="13"/>
      <c r="KPA9" s="13"/>
      <c r="KPB9" s="13"/>
      <c r="KPC9" s="13"/>
      <c r="KPD9" s="13"/>
      <c r="KPE9" s="13"/>
      <c r="KPF9" s="13"/>
      <c r="KPG9" s="13"/>
      <c r="KPH9" s="13"/>
      <c r="KPI9" s="13"/>
      <c r="KPJ9" s="13"/>
      <c r="KPK9" s="13"/>
      <c r="KPL9" s="13"/>
      <c r="KPM9" s="13"/>
      <c r="KPN9" s="13"/>
      <c r="KPO9" s="13"/>
      <c r="KPP9" s="13"/>
      <c r="KPQ9" s="13"/>
      <c r="KPR9" s="13"/>
      <c r="KPS9" s="13"/>
      <c r="KPT9" s="13"/>
      <c r="KPU9" s="13"/>
      <c r="KPV9" s="13"/>
      <c r="KPW9" s="13"/>
      <c r="KPX9" s="13"/>
      <c r="KPY9" s="13"/>
      <c r="KPZ9" s="13"/>
      <c r="KQA9" s="13"/>
      <c r="KQB9" s="13"/>
      <c r="KQC9" s="13"/>
      <c r="KQD9" s="13"/>
      <c r="KQE9" s="13"/>
      <c r="KQF9" s="13"/>
      <c r="KQG9" s="13"/>
      <c r="KQH9" s="13"/>
      <c r="KQI9" s="13"/>
      <c r="KQJ9" s="13"/>
      <c r="KQK9" s="13"/>
      <c r="KQL9" s="13"/>
      <c r="KQM9" s="13"/>
      <c r="KQN9" s="13"/>
      <c r="KQO9" s="13"/>
      <c r="KQP9" s="13"/>
      <c r="KQQ9" s="13"/>
      <c r="KQR9" s="13"/>
      <c r="KQS9" s="13"/>
      <c r="KQT9" s="13"/>
      <c r="KQU9" s="13"/>
      <c r="KQV9" s="13"/>
      <c r="KQW9" s="13"/>
      <c r="KQX9" s="13"/>
      <c r="KQY9" s="13"/>
      <c r="KQZ9" s="13"/>
      <c r="KRA9" s="13"/>
      <c r="KRB9" s="13"/>
      <c r="KRC9" s="13"/>
      <c r="KRD9" s="13"/>
      <c r="KRE9" s="13"/>
      <c r="KRF9" s="13"/>
      <c r="KRG9" s="13"/>
      <c r="KRH9" s="13"/>
      <c r="KRI9" s="13"/>
      <c r="KRJ9" s="13"/>
      <c r="KRK9" s="13"/>
      <c r="KRL9" s="13"/>
      <c r="KRM9" s="13"/>
      <c r="KRN9" s="13"/>
      <c r="KRO9" s="13"/>
      <c r="KRP9" s="13"/>
      <c r="KRQ9" s="13"/>
      <c r="KRR9" s="13"/>
      <c r="KRS9" s="13"/>
      <c r="KRT9" s="13"/>
      <c r="KRU9" s="13"/>
      <c r="KRV9" s="13"/>
      <c r="KRW9" s="13"/>
      <c r="KRX9" s="13"/>
      <c r="KRY9" s="13"/>
      <c r="KRZ9" s="13"/>
      <c r="KSA9" s="13"/>
      <c r="KSB9" s="13"/>
      <c r="KSC9" s="13"/>
      <c r="KSD9" s="13"/>
      <c r="KSE9" s="13"/>
      <c r="KSF9" s="13"/>
      <c r="KSG9" s="13"/>
      <c r="KSH9" s="13"/>
      <c r="KSI9" s="13"/>
      <c r="KSJ9" s="13"/>
      <c r="KSK9" s="13"/>
      <c r="KSL9" s="13"/>
      <c r="KSM9" s="13"/>
      <c r="KSN9" s="13"/>
      <c r="KSO9" s="13"/>
      <c r="KSP9" s="13"/>
      <c r="KSQ9" s="13"/>
      <c r="KSR9" s="13"/>
      <c r="KSS9" s="13"/>
      <c r="KST9" s="13"/>
      <c r="KSU9" s="13"/>
      <c r="KSV9" s="13"/>
      <c r="KSW9" s="13"/>
      <c r="KSX9" s="13"/>
      <c r="KSY9" s="13"/>
      <c r="KSZ9" s="13"/>
      <c r="KTA9" s="13"/>
      <c r="KTB9" s="13"/>
      <c r="KTC9" s="13"/>
      <c r="KTD9" s="13"/>
      <c r="KTE9" s="13"/>
      <c r="KTF9" s="13"/>
      <c r="KTG9" s="13"/>
      <c r="KTH9" s="13"/>
      <c r="KTI9" s="13"/>
      <c r="KTJ9" s="13"/>
      <c r="KTK9" s="13"/>
      <c r="KTL9" s="13"/>
      <c r="KTM9" s="13"/>
      <c r="KTN9" s="13"/>
      <c r="KTO9" s="13"/>
      <c r="KTP9" s="13"/>
      <c r="KTQ9" s="13"/>
      <c r="KTR9" s="13"/>
      <c r="KTS9" s="13"/>
      <c r="KTT9" s="13"/>
      <c r="KTU9" s="13"/>
      <c r="KTV9" s="13"/>
      <c r="KTW9" s="13"/>
      <c r="KTX9" s="13"/>
      <c r="KTY9" s="13"/>
      <c r="KTZ9" s="13"/>
      <c r="KUA9" s="13"/>
      <c r="KUB9" s="13"/>
      <c r="KUC9" s="13"/>
      <c r="KUD9" s="13"/>
      <c r="KUE9" s="13"/>
      <c r="KUF9" s="13"/>
      <c r="KUG9" s="13"/>
      <c r="KUH9" s="13"/>
      <c r="KUI9" s="13"/>
      <c r="KUJ9" s="13"/>
      <c r="KUK9" s="13"/>
      <c r="KUL9" s="13"/>
      <c r="KUM9" s="13"/>
      <c r="KUN9" s="13"/>
      <c r="KUO9" s="13"/>
      <c r="KUP9" s="13"/>
      <c r="KUQ9" s="13"/>
      <c r="KUR9" s="13"/>
      <c r="KUS9" s="13"/>
      <c r="KUT9" s="13"/>
      <c r="KUU9" s="13"/>
      <c r="KUV9" s="13"/>
      <c r="KUW9" s="13"/>
      <c r="KUX9" s="13"/>
      <c r="KUY9" s="13"/>
      <c r="KUZ9" s="13"/>
      <c r="KVA9" s="13"/>
      <c r="KVB9" s="13"/>
      <c r="KVC9" s="13"/>
      <c r="KVD9" s="13"/>
      <c r="KVE9" s="13"/>
      <c r="KVF9" s="13"/>
      <c r="KVG9" s="13"/>
      <c r="KVH9" s="13"/>
      <c r="KVI9" s="13"/>
      <c r="KVJ9" s="13"/>
      <c r="KVK9" s="13"/>
      <c r="KVL9" s="13"/>
      <c r="KVM9" s="13"/>
      <c r="KVN9" s="13"/>
      <c r="KVO9" s="13"/>
      <c r="KVP9" s="13"/>
      <c r="KVQ9" s="13"/>
      <c r="KVR9" s="13"/>
      <c r="KVS9" s="13"/>
      <c r="KVT9" s="13"/>
      <c r="KVU9" s="13"/>
      <c r="KVV9" s="13"/>
      <c r="KVW9" s="13"/>
      <c r="KVX9" s="13"/>
      <c r="KVY9" s="13"/>
      <c r="KVZ9" s="13"/>
      <c r="KWA9" s="13"/>
      <c r="KWB9" s="13"/>
      <c r="KWC9" s="13"/>
      <c r="KWD9" s="13"/>
      <c r="KWE9" s="13"/>
      <c r="KWF9" s="13"/>
      <c r="KWG9" s="13"/>
      <c r="KWH9" s="13"/>
      <c r="KWI9" s="13"/>
      <c r="KWJ9" s="13"/>
      <c r="KWK9" s="13"/>
      <c r="KWL9" s="13"/>
      <c r="KWM9" s="13"/>
      <c r="KWN9" s="13"/>
      <c r="KWO9" s="13"/>
      <c r="KWP9" s="13"/>
      <c r="KWQ9" s="13"/>
      <c r="KWR9" s="13"/>
      <c r="KWS9" s="13"/>
      <c r="KWT9" s="13"/>
      <c r="KWU9" s="13"/>
      <c r="KWV9" s="13"/>
      <c r="KWW9" s="13"/>
      <c r="KWX9" s="13"/>
      <c r="KWY9" s="13"/>
      <c r="KWZ9" s="13"/>
      <c r="KXA9" s="13"/>
      <c r="KXB9" s="13"/>
      <c r="KXC9" s="13"/>
      <c r="KXD9" s="13"/>
      <c r="KXE9" s="13"/>
      <c r="KXF9" s="13"/>
      <c r="KXG9" s="13"/>
      <c r="KXH9" s="13"/>
      <c r="KXI9" s="13"/>
      <c r="KXJ9" s="13"/>
      <c r="KXK9" s="13"/>
      <c r="KXL9" s="13"/>
      <c r="KXM9" s="13"/>
      <c r="KXN9" s="13"/>
      <c r="KXO9" s="13"/>
      <c r="KXP9" s="13"/>
      <c r="KXQ9" s="13"/>
      <c r="KXR9" s="13"/>
      <c r="KXS9" s="13"/>
      <c r="KXT9" s="13"/>
      <c r="KXU9" s="13"/>
      <c r="KXV9" s="13"/>
      <c r="KXW9" s="13"/>
      <c r="KXX9" s="13"/>
      <c r="KXY9" s="13"/>
      <c r="KXZ9" s="13"/>
      <c r="KYA9" s="13"/>
      <c r="KYB9" s="13"/>
      <c r="KYC9" s="13"/>
      <c r="KYD9" s="13"/>
      <c r="KYE9" s="13"/>
      <c r="KYF9" s="13"/>
      <c r="KYG9" s="13"/>
      <c r="KYH9" s="13"/>
      <c r="KYI9" s="13"/>
      <c r="KYJ9" s="13"/>
      <c r="KYK9" s="13"/>
      <c r="KYL9" s="13"/>
      <c r="KYM9" s="13"/>
      <c r="KYN9" s="13"/>
      <c r="KYO9" s="13"/>
      <c r="KYP9" s="13"/>
      <c r="KYQ9" s="13"/>
      <c r="KYR9" s="13"/>
      <c r="KYS9" s="13"/>
      <c r="KYT9" s="13"/>
      <c r="KYU9" s="13"/>
      <c r="KYV9" s="13"/>
      <c r="KYW9" s="13"/>
      <c r="KYX9" s="13"/>
      <c r="KYY9" s="13"/>
      <c r="KYZ9" s="13"/>
      <c r="KZA9" s="13"/>
      <c r="KZB9" s="13"/>
      <c r="KZC9" s="13"/>
      <c r="KZD9" s="13"/>
      <c r="KZE9" s="13"/>
      <c r="KZF9" s="13"/>
      <c r="KZG9" s="13"/>
      <c r="KZH9" s="13"/>
      <c r="KZI9" s="13"/>
      <c r="KZJ9" s="13"/>
      <c r="KZK9" s="13"/>
      <c r="KZL9" s="13"/>
      <c r="KZM9" s="13"/>
      <c r="KZN9" s="13"/>
      <c r="KZO9" s="13"/>
      <c r="KZP9" s="13"/>
      <c r="KZQ9" s="13"/>
      <c r="KZR9" s="13"/>
      <c r="KZS9" s="13"/>
      <c r="KZT9" s="13"/>
      <c r="KZU9" s="13"/>
      <c r="KZV9" s="13"/>
      <c r="KZW9" s="13"/>
      <c r="KZX9" s="13"/>
      <c r="KZY9" s="13"/>
      <c r="KZZ9" s="13"/>
      <c r="LAA9" s="13"/>
      <c r="LAB9" s="13"/>
      <c r="LAC9" s="13"/>
      <c r="LAD9" s="13"/>
      <c r="LAE9" s="13"/>
      <c r="LAF9" s="13"/>
      <c r="LAG9" s="13"/>
      <c r="LAH9" s="13"/>
      <c r="LAI9" s="13"/>
      <c r="LAJ9" s="13"/>
      <c r="LAK9" s="13"/>
      <c r="LAL9" s="13"/>
      <c r="LAM9" s="13"/>
      <c r="LAN9" s="13"/>
      <c r="LAO9" s="13"/>
      <c r="LAP9" s="13"/>
      <c r="LAQ9" s="13"/>
      <c r="LAR9" s="13"/>
      <c r="LAS9" s="13"/>
      <c r="LAT9" s="13"/>
      <c r="LAU9" s="13"/>
      <c r="LAV9" s="13"/>
      <c r="LAW9" s="13"/>
      <c r="LAX9" s="13"/>
      <c r="LAY9" s="13"/>
      <c r="LAZ9" s="13"/>
      <c r="LBA9" s="13"/>
      <c r="LBB9" s="13"/>
      <c r="LBC9" s="13"/>
      <c r="LBD9" s="13"/>
      <c r="LBE9" s="13"/>
      <c r="LBF9" s="13"/>
      <c r="LBG9" s="13"/>
      <c r="LBH9" s="13"/>
      <c r="LBI9" s="13"/>
      <c r="LBJ9" s="13"/>
      <c r="LBK9" s="13"/>
      <c r="LBL9" s="13"/>
      <c r="LBM9" s="13"/>
      <c r="LBN9" s="13"/>
      <c r="LBO9" s="13"/>
      <c r="LBP9" s="13"/>
      <c r="LBQ9" s="13"/>
      <c r="LBR9" s="13"/>
      <c r="LBS9" s="13"/>
      <c r="LBT9" s="13"/>
      <c r="LBU9" s="13"/>
      <c r="LBV9" s="13"/>
      <c r="LBW9" s="13"/>
      <c r="LBX9" s="13"/>
      <c r="LBY9" s="13"/>
      <c r="LBZ9" s="13"/>
      <c r="LCA9" s="13"/>
      <c r="LCB9" s="13"/>
      <c r="LCC9" s="13"/>
      <c r="LCD9" s="13"/>
      <c r="LCE9" s="13"/>
      <c r="LCF9" s="13"/>
      <c r="LCG9" s="13"/>
      <c r="LCH9" s="13"/>
      <c r="LCI9" s="13"/>
      <c r="LCJ9" s="13"/>
      <c r="LCK9" s="13"/>
      <c r="LCL9" s="13"/>
      <c r="LCM9" s="13"/>
      <c r="LCN9" s="13"/>
      <c r="LCO9" s="13"/>
      <c r="LCP9" s="13"/>
      <c r="LCQ9" s="13"/>
      <c r="LCR9" s="13"/>
      <c r="LCS9" s="13"/>
      <c r="LCT9" s="13"/>
      <c r="LCU9" s="13"/>
      <c r="LCV9" s="13"/>
      <c r="LCW9" s="13"/>
      <c r="LCX9" s="13"/>
      <c r="LCY9" s="13"/>
      <c r="LCZ9" s="13"/>
      <c r="LDA9" s="13"/>
      <c r="LDB9" s="13"/>
      <c r="LDC9" s="13"/>
      <c r="LDD9" s="13"/>
      <c r="LDE9" s="13"/>
      <c r="LDF9" s="13"/>
      <c r="LDG9" s="13"/>
      <c r="LDH9" s="13"/>
      <c r="LDI9" s="13"/>
      <c r="LDJ9" s="13"/>
      <c r="LDK9" s="13"/>
      <c r="LDL9" s="13"/>
      <c r="LDM9" s="13"/>
      <c r="LDN9" s="13"/>
      <c r="LDO9" s="13"/>
      <c r="LDP9" s="13"/>
      <c r="LDQ9" s="13"/>
      <c r="LDR9" s="13"/>
      <c r="LDS9" s="13"/>
      <c r="LDT9" s="13"/>
      <c r="LDU9" s="13"/>
      <c r="LDV9" s="13"/>
      <c r="LDW9" s="13"/>
      <c r="LDX9" s="13"/>
      <c r="LDY9" s="13"/>
      <c r="LDZ9" s="13"/>
      <c r="LEA9" s="13"/>
      <c r="LEB9" s="13"/>
      <c r="LEC9" s="13"/>
      <c r="LED9" s="13"/>
      <c r="LEE9" s="13"/>
      <c r="LEF9" s="13"/>
      <c r="LEG9" s="13"/>
      <c r="LEH9" s="13"/>
      <c r="LEI9" s="13"/>
      <c r="LEJ9" s="13"/>
      <c r="LEK9" s="13"/>
      <c r="LEL9" s="13"/>
      <c r="LEM9" s="13"/>
      <c r="LEN9" s="13"/>
      <c r="LEO9" s="13"/>
      <c r="LEP9" s="13"/>
      <c r="LEQ9" s="13"/>
      <c r="LER9" s="13"/>
      <c r="LES9" s="13"/>
      <c r="LET9" s="13"/>
      <c r="LEU9" s="13"/>
      <c r="LEV9" s="13"/>
      <c r="LEW9" s="13"/>
      <c r="LEX9" s="13"/>
      <c r="LEY9" s="13"/>
      <c r="LEZ9" s="13"/>
      <c r="LFA9" s="13"/>
      <c r="LFB9" s="13"/>
      <c r="LFC9" s="13"/>
      <c r="LFD9" s="13"/>
      <c r="LFE9" s="13"/>
      <c r="LFF9" s="13"/>
      <c r="LFG9" s="13"/>
      <c r="LFH9" s="13"/>
      <c r="LFI9" s="13"/>
      <c r="LFJ9" s="13"/>
      <c r="LFK9" s="13"/>
      <c r="LFL9" s="13"/>
      <c r="LFM9" s="13"/>
      <c r="LFN9" s="13"/>
      <c r="LFO9" s="13"/>
      <c r="LFP9" s="13"/>
      <c r="LFQ9" s="13"/>
      <c r="LFR9" s="13"/>
      <c r="LFS9" s="13"/>
      <c r="LFT9" s="13"/>
      <c r="LFU9" s="13"/>
      <c r="LFV9" s="13"/>
      <c r="LFW9" s="13"/>
      <c r="LFX9" s="13"/>
      <c r="LFY9" s="13"/>
      <c r="LFZ9" s="13"/>
      <c r="LGA9" s="13"/>
      <c r="LGB9" s="13"/>
      <c r="LGC9" s="13"/>
      <c r="LGD9" s="13"/>
      <c r="LGE9" s="13"/>
      <c r="LGF9" s="13"/>
      <c r="LGG9" s="13"/>
      <c r="LGH9" s="13"/>
      <c r="LGI9" s="13"/>
      <c r="LGJ9" s="13"/>
      <c r="LGK9" s="13"/>
      <c r="LGL9" s="13"/>
      <c r="LGM9" s="13"/>
      <c r="LGN9" s="13"/>
      <c r="LGO9" s="13"/>
      <c r="LGP9" s="13"/>
      <c r="LGQ9" s="13"/>
      <c r="LGR9" s="13"/>
      <c r="LGS9" s="13"/>
      <c r="LGT9" s="13"/>
      <c r="LGU9" s="13"/>
      <c r="LGV9" s="13"/>
      <c r="LGW9" s="13"/>
      <c r="LGX9" s="13"/>
      <c r="LGY9" s="13"/>
      <c r="LGZ9" s="13"/>
      <c r="LHA9" s="13"/>
      <c r="LHB9" s="13"/>
      <c r="LHC9" s="13"/>
      <c r="LHD9" s="13"/>
      <c r="LHE9" s="13"/>
      <c r="LHF9" s="13"/>
      <c r="LHG9" s="13"/>
      <c r="LHH9" s="13"/>
      <c r="LHI9" s="13"/>
      <c r="LHJ9" s="13"/>
      <c r="LHK9" s="13"/>
      <c r="LHL9" s="13"/>
      <c r="LHM9" s="13"/>
      <c r="LHN9" s="13"/>
      <c r="LHO9" s="13"/>
      <c r="LHP9" s="13"/>
      <c r="LHQ9" s="13"/>
      <c r="LHR9" s="13"/>
      <c r="LHS9" s="13"/>
      <c r="LHT9" s="13"/>
      <c r="LHU9" s="13"/>
      <c r="LHV9" s="13"/>
      <c r="LHW9" s="13"/>
      <c r="LHX9" s="13"/>
      <c r="LHY9" s="13"/>
      <c r="LHZ9" s="13"/>
      <c r="LIA9" s="13"/>
      <c r="LIB9" s="13"/>
      <c r="LIC9" s="13"/>
      <c r="LID9" s="13"/>
      <c r="LIE9" s="13"/>
      <c r="LIF9" s="13"/>
      <c r="LIG9" s="13"/>
      <c r="LIH9" s="13"/>
      <c r="LII9" s="13"/>
      <c r="LIJ9" s="13"/>
      <c r="LIK9" s="13"/>
      <c r="LIL9" s="13"/>
      <c r="LIM9" s="13"/>
      <c r="LIN9" s="13"/>
      <c r="LIO9" s="13"/>
      <c r="LIP9" s="13"/>
      <c r="LIQ9" s="13"/>
      <c r="LIR9" s="13"/>
      <c r="LIS9" s="13"/>
      <c r="LIT9" s="13"/>
      <c r="LIU9" s="13"/>
      <c r="LIV9" s="13"/>
      <c r="LIW9" s="13"/>
      <c r="LIX9" s="13"/>
      <c r="LIY9" s="13"/>
      <c r="LIZ9" s="13"/>
      <c r="LJA9" s="13"/>
      <c r="LJB9" s="13"/>
      <c r="LJC9" s="13"/>
      <c r="LJD9" s="13"/>
      <c r="LJE9" s="13"/>
      <c r="LJF9" s="13"/>
      <c r="LJG9" s="13"/>
      <c r="LJH9" s="13"/>
      <c r="LJI9" s="13"/>
      <c r="LJJ9" s="13"/>
      <c r="LJK9" s="13"/>
      <c r="LJL9" s="13"/>
      <c r="LJM9" s="13"/>
      <c r="LJN9" s="13"/>
      <c r="LJO9" s="13"/>
      <c r="LJP9" s="13"/>
      <c r="LJQ9" s="13"/>
      <c r="LJR9" s="13"/>
      <c r="LJS9" s="13"/>
      <c r="LJT9" s="13"/>
      <c r="LJU9" s="13"/>
      <c r="LJV9" s="13"/>
      <c r="LJW9" s="13"/>
      <c r="LJX9" s="13"/>
      <c r="LJY9" s="13"/>
      <c r="LJZ9" s="13"/>
      <c r="LKA9" s="13"/>
      <c r="LKB9" s="13"/>
      <c r="LKC9" s="13"/>
      <c r="LKD9" s="13"/>
      <c r="LKE9" s="13"/>
      <c r="LKF9" s="13"/>
      <c r="LKG9" s="13"/>
      <c r="LKH9" s="13"/>
      <c r="LKI9" s="13"/>
      <c r="LKJ9" s="13"/>
      <c r="LKK9" s="13"/>
      <c r="LKL9" s="13"/>
      <c r="LKM9" s="13"/>
      <c r="LKN9" s="13"/>
      <c r="LKO9" s="13"/>
      <c r="LKP9" s="13"/>
      <c r="LKQ9" s="13"/>
      <c r="LKR9" s="13"/>
      <c r="LKS9" s="13"/>
      <c r="LKT9" s="13"/>
      <c r="LKU9" s="13"/>
      <c r="LKV9" s="13"/>
      <c r="LKW9" s="13"/>
      <c r="LKX9" s="13"/>
      <c r="LKY9" s="13"/>
      <c r="LKZ9" s="13"/>
      <c r="LLA9" s="13"/>
      <c r="LLB9" s="13"/>
      <c r="LLC9" s="13"/>
      <c r="LLD9" s="13"/>
      <c r="LLE9" s="13"/>
      <c r="LLF9" s="13"/>
      <c r="LLG9" s="13"/>
      <c r="LLH9" s="13"/>
      <c r="LLI9" s="13"/>
      <c r="LLJ9" s="13"/>
      <c r="LLK9" s="13"/>
      <c r="LLL9" s="13"/>
      <c r="LLM9" s="13"/>
      <c r="LLN9" s="13"/>
      <c r="LLO9" s="13"/>
      <c r="LLP9" s="13"/>
      <c r="LLQ9" s="13"/>
      <c r="LLR9" s="13"/>
      <c r="LLS9" s="13"/>
      <c r="LLT9" s="13"/>
      <c r="LLU9" s="13"/>
      <c r="LLV9" s="13"/>
      <c r="LLW9" s="13"/>
      <c r="LLX9" s="13"/>
      <c r="LLY9" s="13"/>
      <c r="LLZ9" s="13"/>
      <c r="LMA9" s="13"/>
      <c r="LMB9" s="13"/>
      <c r="LMC9" s="13"/>
      <c r="LMD9" s="13"/>
      <c r="LME9" s="13"/>
      <c r="LMF9" s="13"/>
      <c r="LMG9" s="13"/>
      <c r="LMH9" s="13"/>
      <c r="LMI9" s="13"/>
      <c r="LMJ9" s="13"/>
      <c r="LMK9" s="13"/>
      <c r="LML9" s="13"/>
      <c r="LMM9" s="13"/>
      <c r="LMN9" s="13"/>
      <c r="LMO9" s="13"/>
      <c r="LMP9" s="13"/>
      <c r="LMQ9" s="13"/>
      <c r="LMR9" s="13"/>
      <c r="LMS9" s="13"/>
      <c r="LMT9" s="13"/>
      <c r="LMU9" s="13"/>
      <c r="LMV9" s="13"/>
      <c r="LMW9" s="13"/>
      <c r="LMX9" s="13"/>
      <c r="LMY9" s="13"/>
      <c r="LMZ9" s="13"/>
      <c r="LNA9" s="13"/>
      <c r="LNB9" s="13"/>
      <c r="LNC9" s="13"/>
      <c r="LND9" s="13"/>
      <c r="LNE9" s="13"/>
      <c r="LNF9" s="13"/>
      <c r="LNG9" s="13"/>
      <c r="LNH9" s="13"/>
      <c r="LNI9" s="13"/>
      <c r="LNJ9" s="13"/>
      <c r="LNK9" s="13"/>
      <c r="LNL9" s="13"/>
      <c r="LNM9" s="13"/>
      <c r="LNN9" s="13"/>
      <c r="LNO9" s="13"/>
      <c r="LNP9" s="13"/>
      <c r="LNQ9" s="13"/>
      <c r="LNR9" s="13"/>
      <c r="LNS9" s="13"/>
      <c r="LNT9" s="13"/>
      <c r="LNU9" s="13"/>
      <c r="LNV9" s="13"/>
      <c r="LNW9" s="13"/>
      <c r="LNX9" s="13"/>
      <c r="LNY9" s="13"/>
      <c r="LNZ9" s="13"/>
      <c r="LOA9" s="13"/>
      <c r="LOB9" s="13"/>
      <c r="LOC9" s="13"/>
      <c r="LOD9" s="13"/>
      <c r="LOE9" s="13"/>
      <c r="LOF9" s="13"/>
      <c r="LOG9" s="13"/>
      <c r="LOH9" s="13"/>
      <c r="LOI9" s="13"/>
      <c r="LOJ9" s="13"/>
      <c r="LOK9" s="13"/>
      <c r="LOL9" s="13"/>
      <c r="LOM9" s="13"/>
      <c r="LON9" s="13"/>
      <c r="LOO9" s="13"/>
      <c r="LOP9" s="13"/>
      <c r="LOQ9" s="13"/>
      <c r="LOR9" s="13"/>
      <c r="LOS9" s="13"/>
      <c r="LOT9" s="13"/>
      <c r="LOU9" s="13"/>
      <c r="LOV9" s="13"/>
      <c r="LOW9" s="13"/>
      <c r="LOX9" s="13"/>
      <c r="LOY9" s="13"/>
      <c r="LOZ9" s="13"/>
      <c r="LPA9" s="13"/>
      <c r="LPB9" s="13"/>
      <c r="LPC9" s="13"/>
      <c r="LPD9" s="13"/>
      <c r="LPE9" s="13"/>
      <c r="LPF9" s="13"/>
      <c r="LPG9" s="13"/>
      <c r="LPH9" s="13"/>
      <c r="LPI9" s="13"/>
      <c r="LPJ9" s="13"/>
      <c r="LPK9" s="13"/>
      <c r="LPL9" s="13"/>
      <c r="LPM9" s="13"/>
      <c r="LPN9" s="13"/>
      <c r="LPO9" s="13"/>
      <c r="LPP9" s="13"/>
      <c r="LPQ9" s="13"/>
      <c r="LPR9" s="13"/>
      <c r="LPS9" s="13"/>
      <c r="LPT9" s="13"/>
      <c r="LPU9" s="13"/>
      <c r="LPV9" s="13"/>
      <c r="LPW9" s="13"/>
      <c r="LPX9" s="13"/>
      <c r="LPY9" s="13"/>
      <c r="LPZ9" s="13"/>
      <c r="LQA9" s="13"/>
      <c r="LQB9" s="13"/>
      <c r="LQC9" s="13"/>
      <c r="LQD9" s="13"/>
      <c r="LQE9" s="13"/>
      <c r="LQF9" s="13"/>
      <c r="LQG9" s="13"/>
      <c r="LQH9" s="13"/>
      <c r="LQI9" s="13"/>
      <c r="LQJ9" s="13"/>
      <c r="LQK9" s="13"/>
      <c r="LQL9" s="13"/>
      <c r="LQM9" s="13"/>
      <c r="LQN9" s="13"/>
      <c r="LQO9" s="13"/>
      <c r="LQP9" s="13"/>
      <c r="LQQ9" s="13"/>
      <c r="LQR9" s="13"/>
      <c r="LQS9" s="13"/>
      <c r="LQT9" s="13"/>
      <c r="LQU9" s="13"/>
      <c r="LQV9" s="13"/>
      <c r="LQW9" s="13"/>
      <c r="LQX9" s="13"/>
      <c r="LQY9" s="13"/>
      <c r="LQZ9" s="13"/>
      <c r="LRA9" s="13"/>
      <c r="LRB9" s="13"/>
      <c r="LRC9" s="13"/>
      <c r="LRD9" s="13"/>
      <c r="LRE9" s="13"/>
      <c r="LRF9" s="13"/>
      <c r="LRG9" s="13"/>
      <c r="LRH9" s="13"/>
      <c r="LRI9" s="13"/>
      <c r="LRJ9" s="13"/>
      <c r="LRK9" s="13"/>
      <c r="LRL9" s="13"/>
      <c r="LRM9" s="13"/>
      <c r="LRN9" s="13"/>
      <c r="LRO9" s="13"/>
      <c r="LRP9" s="13"/>
      <c r="LRQ9" s="13"/>
      <c r="LRR9" s="13"/>
      <c r="LRS9" s="13"/>
      <c r="LRT9" s="13"/>
      <c r="LRU9" s="13"/>
      <c r="LRV9" s="13"/>
      <c r="LRW9" s="13"/>
      <c r="LRX9" s="13"/>
      <c r="LRY9" s="13"/>
      <c r="LRZ9" s="13"/>
      <c r="LSA9" s="13"/>
      <c r="LSB9" s="13"/>
      <c r="LSC9" s="13"/>
      <c r="LSD9" s="13"/>
      <c r="LSE9" s="13"/>
      <c r="LSF9" s="13"/>
      <c r="LSG9" s="13"/>
      <c r="LSH9" s="13"/>
      <c r="LSI9" s="13"/>
      <c r="LSJ9" s="13"/>
      <c r="LSK9" s="13"/>
      <c r="LSL9" s="13"/>
      <c r="LSM9" s="13"/>
      <c r="LSN9" s="13"/>
      <c r="LSO9" s="13"/>
      <c r="LSP9" s="13"/>
      <c r="LSQ9" s="13"/>
      <c r="LSR9" s="13"/>
      <c r="LSS9" s="13"/>
      <c r="LST9" s="13"/>
      <c r="LSU9" s="13"/>
      <c r="LSV9" s="13"/>
      <c r="LSW9" s="13"/>
      <c r="LSX9" s="13"/>
      <c r="LSY9" s="13"/>
      <c r="LSZ9" s="13"/>
      <c r="LTA9" s="13"/>
      <c r="LTB9" s="13"/>
      <c r="LTC9" s="13"/>
      <c r="LTD9" s="13"/>
      <c r="LTE9" s="13"/>
      <c r="LTF9" s="13"/>
      <c r="LTG9" s="13"/>
      <c r="LTH9" s="13"/>
      <c r="LTI9" s="13"/>
      <c r="LTJ9" s="13"/>
      <c r="LTK9" s="13"/>
      <c r="LTL9" s="13"/>
      <c r="LTM9" s="13"/>
      <c r="LTN9" s="13"/>
      <c r="LTO9" s="13"/>
      <c r="LTP9" s="13"/>
      <c r="LTQ9" s="13"/>
      <c r="LTR9" s="13"/>
      <c r="LTS9" s="13"/>
      <c r="LTT9" s="13"/>
      <c r="LTU9" s="13"/>
      <c r="LTV9" s="13"/>
      <c r="LTW9" s="13"/>
      <c r="LTX9" s="13"/>
      <c r="LTY9" s="13"/>
      <c r="LTZ9" s="13"/>
      <c r="LUA9" s="13"/>
      <c r="LUB9" s="13"/>
      <c r="LUC9" s="13"/>
      <c r="LUD9" s="13"/>
      <c r="LUE9" s="13"/>
      <c r="LUF9" s="13"/>
      <c r="LUG9" s="13"/>
      <c r="LUH9" s="13"/>
      <c r="LUI9" s="13"/>
      <c r="LUJ9" s="13"/>
      <c r="LUK9" s="13"/>
      <c r="LUL9" s="13"/>
      <c r="LUM9" s="13"/>
      <c r="LUN9" s="13"/>
      <c r="LUO9" s="13"/>
      <c r="LUP9" s="13"/>
      <c r="LUQ9" s="13"/>
      <c r="LUR9" s="13"/>
      <c r="LUS9" s="13"/>
      <c r="LUT9" s="13"/>
      <c r="LUU9" s="13"/>
      <c r="LUV9" s="13"/>
      <c r="LUW9" s="13"/>
      <c r="LUX9" s="13"/>
      <c r="LUY9" s="13"/>
      <c r="LUZ9" s="13"/>
      <c r="LVA9" s="13"/>
      <c r="LVB9" s="13"/>
      <c r="LVC9" s="13"/>
      <c r="LVD9" s="13"/>
      <c r="LVE9" s="13"/>
      <c r="LVF9" s="13"/>
      <c r="LVG9" s="13"/>
      <c r="LVH9" s="13"/>
      <c r="LVI9" s="13"/>
      <c r="LVJ9" s="13"/>
      <c r="LVK9" s="13"/>
      <c r="LVL9" s="13"/>
      <c r="LVM9" s="13"/>
      <c r="LVN9" s="13"/>
      <c r="LVO9" s="13"/>
      <c r="LVP9" s="13"/>
      <c r="LVQ9" s="13"/>
      <c r="LVR9" s="13"/>
      <c r="LVS9" s="13"/>
      <c r="LVT9" s="13"/>
      <c r="LVU9" s="13"/>
      <c r="LVV9" s="13"/>
      <c r="LVW9" s="13"/>
      <c r="LVX9" s="13"/>
      <c r="LVY9" s="13"/>
      <c r="LVZ9" s="13"/>
      <c r="LWA9" s="13"/>
      <c r="LWB9" s="13"/>
      <c r="LWC9" s="13"/>
      <c r="LWD9" s="13"/>
      <c r="LWE9" s="13"/>
      <c r="LWF9" s="13"/>
      <c r="LWG9" s="13"/>
      <c r="LWH9" s="13"/>
      <c r="LWI9" s="13"/>
      <c r="LWJ9" s="13"/>
      <c r="LWK9" s="13"/>
      <c r="LWL9" s="13"/>
      <c r="LWM9" s="13"/>
      <c r="LWN9" s="13"/>
      <c r="LWO9" s="13"/>
      <c r="LWP9" s="13"/>
      <c r="LWQ9" s="13"/>
      <c r="LWR9" s="13"/>
      <c r="LWS9" s="13"/>
      <c r="LWT9" s="13"/>
      <c r="LWU9" s="13"/>
      <c r="LWV9" s="13"/>
      <c r="LWW9" s="13"/>
      <c r="LWX9" s="13"/>
      <c r="LWY9" s="13"/>
      <c r="LWZ9" s="13"/>
      <c r="LXA9" s="13"/>
      <c r="LXB9" s="13"/>
      <c r="LXC9" s="13"/>
      <c r="LXD9" s="13"/>
      <c r="LXE9" s="13"/>
      <c r="LXF9" s="13"/>
      <c r="LXG9" s="13"/>
      <c r="LXH9" s="13"/>
      <c r="LXI9" s="13"/>
      <c r="LXJ9" s="13"/>
      <c r="LXK9" s="13"/>
      <c r="LXL9" s="13"/>
      <c r="LXM9" s="13"/>
      <c r="LXN9" s="13"/>
      <c r="LXO9" s="13"/>
      <c r="LXP9" s="13"/>
      <c r="LXQ9" s="13"/>
      <c r="LXR9" s="13"/>
      <c r="LXS9" s="13"/>
      <c r="LXT9" s="13"/>
      <c r="LXU9" s="13"/>
      <c r="LXV9" s="13"/>
      <c r="LXW9" s="13"/>
      <c r="LXX9" s="13"/>
      <c r="LXY9" s="13"/>
      <c r="LXZ9" s="13"/>
      <c r="LYA9" s="13"/>
      <c r="LYB9" s="13"/>
      <c r="LYC9" s="13"/>
      <c r="LYD9" s="13"/>
      <c r="LYE9" s="13"/>
      <c r="LYF9" s="13"/>
      <c r="LYG9" s="13"/>
      <c r="LYH9" s="13"/>
      <c r="LYI9" s="13"/>
      <c r="LYJ9" s="13"/>
      <c r="LYK9" s="13"/>
      <c r="LYL9" s="13"/>
      <c r="LYM9" s="13"/>
      <c r="LYN9" s="13"/>
      <c r="LYO9" s="13"/>
      <c r="LYP9" s="13"/>
      <c r="LYQ9" s="13"/>
      <c r="LYR9" s="13"/>
      <c r="LYS9" s="13"/>
      <c r="LYT9" s="13"/>
      <c r="LYU9" s="13"/>
      <c r="LYV9" s="13"/>
      <c r="LYW9" s="13"/>
      <c r="LYX9" s="13"/>
      <c r="LYY9" s="13"/>
      <c r="LYZ9" s="13"/>
      <c r="LZA9" s="13"/>
      <c r="LZB9" s="13"/>
      <c r="LZC9" s="13"/>
      <c r="LZD9" s="13"/>
      <c r="LZE9" s="13"/>
      <c r="LZF9" s="13"/>
      <c r="LZG9" s="13"/>
      <c r="LZH9" s="13"/>
      <c r="LZI9" s="13"/>
      <c r="LZJ9" s="13"/>
      <c r="LZK9" s="13"/>
      <c r="LZL9" s="13"/>
      <c r="LZM9" s="13"/>
      <c r="LZN9" s="13"/>
      <c r="LZO9" s="13"/>
      <c r="LZP9" s="13"/>
      <c r="LZQ9" s="13"/>
      <c r="LZR9" s="13"/>
      <c r="LZS9" s="13"/>
      <c r="LZT9" s="13"/>
      <c r="LZU9" s="13"/>
      <c r="LZV9" s="13"/>
      <c r="LZW9" s="13"/>
      <c r="LZX9" s="13"/>
      <c r="LZY9" s="13"/>
      <c r="LZZ9" s="13"/>
      <c r="MAA9" s="13"/>
      <c r="MAB9" s="13"/>
      <c r="MAC9" s="13"/>
      <c r="MAD9" s="13"/>
      <c r="MAE9" s="13"/>
      <c r="MAF9" s="13"/>
      <c r="MAG9" s="13"/>
      <c r="MAH9" s="13"/>
      <c r="MAI9" s="13"/>
      <c r="MAJ9" s="13"/>
      <c r="MAK9" s="13"/>
      <c r="MAL9" s="13"/>
      <c r="MAM9" s="13"/>
      <c r="MAN9" s="13"/>
      <c r="MAO9" s="13"/>
      <c r="MAP9" s="13"/>
      <c r="MAQ9" s="13"/>
      <c r="MAR9" s="13"/>
      <c r="MAS9" s="13"/>
      <c r="MAT9" s="13"/>
      <c r="MAU9" s="13"/>
      <c r="MAV9" s="13"/>
      <c r="MAW9" s="13"/>
      <c r="MAX9" s="13"/>
      <c r="MAY9" s="13"/>
      <c r="MAZ9" s="13"/>
      <c r="MBA9" s="13"/>
      <c r="MBB9" s="13"/>
      <c r="MBC9" s="13"/>
      <c r="MBD9" s="13"/>
      <c r="MBE9" s="13"/>
      <c r="MBF9" s="13"/>
      <c r="MBG9" s="13"/>
      <c r="MBH9" s="13"/>
      <c r="MBI9" s="13"/>
      <c r="MBJ9" s="13"/>
      <c r="MBK9" s="13"/>
      <c r="MBL9" s="13"/>
      <c r="MBM9" s="13"/>
      <c r="MBN9" s="13"/>
      <c r="MBO9" s="13"/>
      <c r="MBP9" s="13"/>
      <c r="MBQ9" s="13"/>
      <c r="MBR9" s="13"/>
      <c r="MBS9" s="13"/>
      <c r="MBT9" s="13"/>
      <c r="MBU9" s="13"/>
      <c r="MBV9" s="13"/>
      <c r="MBW9" s="13"/>
      <c r="MBX9" s="13"/>
      <c r="MBY9" s="13"/>
      <c r="MBZ9" s="13"/>
      <c r="MCA9" s="13"/>
      <c r="MCB9" s="13"/>
      <c r="MCC9" s="13"/>
      <c r="MCD9" s="13"/>
      <c r="MCE9" s="13"/>
      <c r="MCF9" s="13"/>
      <c r="MCG9" s="13"/>
      <c r="MCH9" s="13"/>
      <c r="MCI9" s="13"/>
      <c r="MCJ9" s="13"/>
      <c r="MCK9" s="13"/>
      <c r="MCL9" s="13"/>
      <c r="MCM9" s="13"/>
      <c r="MCN9" s="13"/>
      <c r="MCO9" s="13"/>
      <c r="MCP9" s="13"/>
      <c r="MCQ9" s="13"/>
      <c r="MCR9" s="13"/>
      <c r="MCS9" s="13"/>
      <c r="MCT9" s="13"/>
      <c r="MCU9" s="13"/>
      <c r="MCV9" s="13"/>
      <c r="MCW9" s="13"/>
      <c r="MCX9" s="13"/>
      <c r="MCY9" s="13"/>
      <c r="MCZ9" s="13"/>
      <c r="MDA9" s="13"/>
      <c r="MDB9" s="13"/>
      <c r="MDC9" s="13"/>
      <c r="MDD9" s="13"/>
      <c r="MDE9" s="13"/>
      <c r="MDF9" s="13"/>
      <c r="MDG9" s="13"/>
      <c r="MDH9" s="13"/>
      <c r="MDI9" s="13"/>
      <c r="MDJ9" s="13"/>
      <c r="MDK9" s="13"/>
      <c r="MDL9" s="13"/>
      <c r="MDM9" s="13"/>
      <c r="MDN9" s="13"/>
      <c r="MDO9" s="13"/>
      <c r="MDP9" s="13"/>
      <c r="MDQ9" s="13"/>
      <c r="MDR9" s="13"/>
      <c r="MDS9" s="13"/>
      <c r="MDT9" s="13"/>
      <c r="MDU9" s="13"/>
      <c r="MDV9" s="13"/>
      <c r="MDW9" s="13"/>
      <c r="MDX9" s="13"/>
      <c r="MDY9" s="13"/>
      <c r="MDZ9" s="13"/>
      <c r="MEA9" s="13"/>
      <c r="MEB9" s="13"/>
      <c r="MEC9" s="13"/>
      <c r="MED9" s="13"/>
      <c r="MEE9" s="13"/>
      <c r="MEF9" s="13"/>
      <c r="MEG9" s="13"/>
      <c r="MEH9" s="13"/>
      <c r="MEI9" s="13"/>
      <c r="MEJ9" s="13"/>
      <c r="MEK9" s="13"/>
      <c r="MEL9" s="13"/>
      <c r="MEM9" s="13"/>
      <c r="MEN9" s="13"/>
      <c r="MEO9" s="13"/>
      <c r="MEP9" s="13"/>
      <c r="MEQ9" s="13"/>
      <c r="MER9" s="13"/>
      <c r="MES9" s="13"/>
      <c r="MET9" s="13"/>
      <c r="MEU9" s="13"/>
      <c r="MEV9" s="13"/>
      <c r="MEW9" s="13"/>
      <c r="MEX9" s="13"/>
      <c r="MEY9" s="13"/>
      <c r="MEZ9" s="13"/>
      <c r="MFA9" s="13"/>
      <c r="MFB9" s="13"/>
      <c r="MFC9" s="13"/>
      <c r="MFD9" s="13"/>
      <c r="MFE9" s="13"/>
      <c r="MFF9" s="13"/>
      <c r="MFG9" s="13"/>
      <c r="MFH9" s="13"/>
      <c r="MFI9" s="13"/>
      <c r="MFJ9" s="13"/>
      <c r="MFK9" s="13"/>
      <c r="MFL9" s="13"/>
      <c r="MFM9" s="13"/>
      <c r="MFN9" s="13"/>
      <c r="MFO9" s="13"/>
      <c r="MFP9" s="13"/>
      <c r="MFQ9" s="13"/>
      <c r="MFR9" s="13"/>
      <c r="MFS9" s="13"/>
      <c r="MFT9" s="13"/>
      <c r="MFU9" s="13"/>
      <c r="MFV9" s="13"/>
      <c r="MFW9" s="13"/>
      <c r="MFX9" s="13"/>
      <c r="MFY9" s="13"/>
      <c r="MFZ9" s="13"/>
      <c r="MGA9" s="13"/>
      <c r="MGB9" s="13"/>
      <c r="MGC9" s="13"/>
      <c r="MGD9" s="13"/>
      <c r="MGE9" s="13"/>
      <c r="MGF9" s="13"/>
      <c r="MGG9" s="13"/>
      <c r="MGH9" s="13"/>
      <c r="MGI9" s="13"/>
      <c r="MGJ9" s="13"/>
      <c r="MGK9" s="13"/>
      <c r="MGL9" s="13"/>
      <c r="MGM9" s="13"/>
      <c r="MGN9" s="13"/>
      <c r="MGO9" s="13"/>
      <c r="MGP9" s="13"/>
      <c r="MGQ9" s="13"/>
      <c r="MGR9" s="13"/>
      <c r="MGS9" s="13"/>
      <c r="MGT9" s="13"/>
      <c r="MGU9" s="13"/>
      <c r="MGV9" s="13"/>
      <c r="MGW9" s="13"/>
      <c r="MGX9" s="13"/>
      <c r="MGY9" s="13"/>
      <c r="MGZ9" s="13"/>
      <c r="MHA9" s="13"/>
      <c r="MHB9" s="13"/>
      <c r="MHC9" s="13"/>
      <c r="MHD9" s="13"/>
      <c r="MHE9" s="13"/>
      <c r="MHF9" s="13"/>
      <c r="MHG9" s="13"/>
      <c r="MHH9" s="13"/>
      <c r="MHI9" s="13"/>
      <c r="MHJ9" s="13"/>
      <c r="MHK9" s="13"/>
      <c r="MHL9" s="13"/>
      <c r="MHM9" s="13"/>
      <c r="MHN9" s="13"/>
      <c r="MHO9" s="13"/>
      <c r="MHP9" s="13"/>
      <c r="MHQ9" s="13"/>
      <c r="MHR9" s="13"/>
      <c r="MHS9" s="13"/>
      <c r="MHT9" s="13"/>
      <c r="MHU9" s="13"/>
      <c r="MHV9" s="13"/>
      <c r="MHW9" s="13"/>
      <c r="MHX9" s="13"/>
      <c r="MHY9" s="13"/>
      <c r="MHZ9" s="13"/>
      <c r="MIA9" s="13"/>
      <c r="MIB9" s="13"/>
      <c r="MIC9" s="13"/>
      <c r="MID9" s="13"/>
      <c r="MIE9" s="13"/>
      <c r="MIF9" s="13"/>
      <c r="MIG9" s="13"/>
      <c r="MIH9" s="13"/>
      <c r="MII9" s="13"/>
      <c r="MIJ9" s="13"/>
      <c r="MIK9" s="13"/>
      <c r="MIL9" s="13"/>
      <c r="MIM9" s="13"/>
      <c r="MIN9" s="13"/>
      <c r="MIO9" s="13"/>
      <c r="MIP9" s="13"/>
      <c r="MIQ9" s="13"/>
      <c r="MIR9" s="13"/>
      <c r="MIS9" s="13"/>
      <c r="MIT9" s="13"/>
      <c r="MIU9" s="13"/>
      <c r="MIV9" s="13"/>
      <c r="MIW9" s="13"/>
      <c r="MIX9" s="13"/>
      <c r="MIY9" s="13"/>
      <c r="MIZ9" s="13"/>
      <c r="MJA9" s="13"/>
      <c r="MJB9" s="13"/>
      <c r="MJC9" s="13"/>
      <c r="MJD9" s="13"/>
      <c r="MJE9" s="13"/>
      <c r="MJF9" s="13"/>
      <c r="MJG9" s="13"/>
      <c r="MJH9" s="13"/>
      <c r="MJI9" s="13"/>
      <c r="MJJ9" s="13"/>
      <c r="MJK9" s="13"/>
      <c r="MJL9" s="13"/>
      <c r="MJM9" s="13"/>
      <c r="MJN9" s="13"/>
      <c r="MJO9" s="13"/>
      <c r="MJP9" s="13"/>
      <c r="MJQ9" s="13"/>
      <c r="MJR9" s="13"/>
      <c r="MJS9" s="13"/>
      <c r="MJT9" s="13"/>
      <c r="MJU9" s="13"/>
      <c r="MJV9" s="13"/>
      <c r="MJW9" s="13"/>
      <c r="MJX9" s="13"/>
      <c r="MJY9" s="13"/>
      <c r="MJZ9" s="13"/>
      <c r="MKA9" s="13"/>
      <c r="MKB9" s="13"/>
      <c r="MKC9" s="13"/>
      <c r="MKD9" s="13"/>
      <c r="MKE9" s="13"/>
      <c r="MKF9" s="13"/>
      <c r="MKG9" s="13"/>
      <c r="MKH9" s="13"/>
      <c r="MKI9" s="13"/>
      <c r="MKJ9" s="13"/>
      <c r="MKK9" s="13"/>
      <c r="MKL9" s="13"/>
      <c r="MKM9" s="13"/>
      <c r="MKN9" s="13"/>
      <c r="MKO9" s="13"/>
      <c r="MKP9" s="13"/>
      <c r="MKQ9" s="13"/>
      <c r="MKR9" s="13"/>
      <c r="MKS9" s="13"/>
      <c r="MKT9" s="13"/>
      <c r="MKU9" s="13"/>
      <c r="MKV9" s="13"/>
      <c r="MKW9" s="13"/>
      <c r="MKX9" s="13"/>
      <c r="MKY9" s="13"/>
      <c r="MKZ9" s="13"/>
      <c r="MLA9" s="13"/>
      <c r="MLB9" s="13"/>
      <c r="MLC9" s="13"/>
      <c r="MLD9" s="13"/>
      <c r="MLE9" s="13"/>
      <c r="MLF9" s="13"/>
      <c r="MLG9" s="13"/>
      <c r="MLH9" s="13"/>
      <c r="MLI9" s="13"/>
      <c r="MLJ9" s="13"/>
      <c r="MLK9" s="13"/>
      <c r="MLL9" s="13"/>
      <c r="MLM9" s="13"/>
      <c r="MLN9" s="13"/>
      <c r="MLO9" s="13"/>
      <c r="MLP9" s="13"/>
      <c r="MLQ9" s="13"/>
      <c r="MLR9" s="13"/>
      <c r="MLS9" s="13"/>
      <c r="MLT9" s="13"/>
      <c r="MLU9" s="13"/>
      <c r="MLV9" s="13"/>
      <c r="MLW9" s="13"/>
      <c r="MLX9" s="13"/>
      <c r="MLY9" s="13"/>
      <c r="MLZ9" s="13"/>
      <c r="MMA9" s="13"/>
      <c r="MMB9" s="13"/>
      <c r="MMC9" s="13"/>
      <c r="MMD9" s="13"/>
      <c r="MME9" s="13"/>
      <c r="MMF9" s="13"/>
      <c r="MMG9" s="13"/>
      <c r="MMH9" s="13"/>
      <c r="MMI9" s="13"/>
      <c r="MMJ9" s="13"/>
      <c r="MMK9" s="13"/>
      <c r="MML9" s="13"/>
      <c r="MMM9" s="13"/>
      <c r="MMN9" s="13"/>
      <c r="MMO9" s="13"/>
      <c r="MMP9" s="13"/>
      <c r="MMQ9" s="13"/>
      <c r="MMR9" s="13"/>
      <c r="MMS9" s="13"/>
      <c r="MMT9" s="13"/>
      <c r="MMU9" s="13"/>
      <c r="MMV9" s="13"/>
      <c r="MMW9" s="13"/>
      <c r="MMX9" s="13"/>
      <c r="MMY9" s="13"/>
      <c r="MMZ9" s="13"/>
      <c r="MNA9" s="13"/>
      <c r="MNB9" s="13"/>
      <c r="MNC9" s="13"/>
      <c r="MND9" s="13"/>
      <c r="MNE9" s="13"/>
      <c r="MNF9" s="13"/>
      <c r="MNG9" s="13"/>
      <c r="MNH9" s="13"/>
      <c r="MNI9" s="13"/>
      <c r="MNJ9" s="13"/>
      <c r="MNK9" s="13"/>
      <c r="MNL9" s="13"/>
      <c r="MNM9" s="13"/>
      <c r="MNN9" s="13"/>
      <c r="MNO9" s="13"/>
      <c r="MNP9" s="13"/>
      <c r="MNQ9" s="13"/>
      <c r="MNR9" s="13"/>
      <c r="MNS9" s="13"/>
      <c r="MNT9" s="13"/>
      <c r="MNU9" s="13"/>
      <c r="MNV9" s="13"/>
      <c r="MNW9" s="13"/>
      <c r="MNX9" s="13"/>
      <c r="MNY9" s="13"/>
      <c r="MNZ9" s="13"/>
      <c r="MOA9" s="13"/>
      <c r="MOB9" s="13"/>
      <c r="MOC9" s="13"/>
      <c r="MOD9" s="13"/>
      <c r="MOE9" s="13"/>
      <c r="MOF9" s="13"/>
      <c r="MOG9" s="13"/>
      <c r="MOH9" s="13"/>
      <c r="MOI9" s="13"/>
      <c r="MOJ9" s="13"/>
      <c r="MOK9" s="13"/>
      <c r="MOL9" s="13"/>
      <c r="MOM9" s="13"/>
      <c r="MON9" s="13"/>
      <c r="MOO9" s="13"/>
      <c r="MOP9" s="13"/>
      <c r="MOQ9" s="13"/>
      <c r="MOR9" s="13"/>
      <c r="MOS9" s="13"/>
      <c r="MOT9" s="13"/>
      <c r="MOU9" s="13"/>
      <c r="MOV9" s="13"/>
      <c r="MOW9" s="13"/>
      <c r="MOX9" s="13"/>
      <c r="MOY9" s="13"/>
      <c r="MOZ9" s="13"/>
      <c r="MPA9" s="13"/>
      <c r="MPB9" s="13"/>
      <c r="MPC9" s="13"/>
      <c r="MPD9" s="13"/>
      <c r="MPE9" s="13"/>
      <c r="MPF9" s="13"/>
      <c r="MPG9" s="13"/>
      <c r="MPH9" s="13"/>
      <c r="MPI9" s="13"/>
      <c r="MPJ9" s="13"/>
      <c r="MPK9" s="13"/>
      <c r="MPL9" s="13"/>
      <c r="MPM9" s="13"/>
      <c r="MPN9" s="13"/>
      <c r="MPO9" s="13"/>
      <c r="MPP9" s="13"/>
      <c r="MPQ9" s="13"/>
      <c r="MPR9" s="13"/>
      <c r="MPS9" s="13"/>
      <c r="MPT9" s="13"/>
      <c r="MPU9" s="13"/>
      <c r="MPV9" s="13"/>
      <c r="MPW9" s="13"/>
      <c r="MPX9" s="13"/>
      <c r="MPY9" s="13"/>
      <c r="MPZ9" s="13"/>
      <c r="MQA9" s="13"/>
      <c r="MQB9" s="13"/>
      <c r="MQC9" s="13"/>
      <c r="MQD9" s="13"/>
      <c r="MQE9" s="13"/>
      <c r="MQF9" s="13"/>
      <c r="MQG9" s="13"/>
      <c r="MQH9" s="13"/>
      <c r="MQI9" s="13"/>
      <c r="MQJ9" s="13"/>
      <c r="MQK9" s="13"/>
      <c r="MQL9" s="13"/>
      <c r="MQM9" s="13"/>
      <c r="MQN9" s="13"/>
      <c r="MQO9" s="13"/>
      <c r="MQP9" s="13"/>
      <c r="MQQ9" s="13"/>
      <c r="MQR9" s="13"/>
      <c r="MQS9" s="13"/>
      <c r="MQT9" s="13"/>
      <c r="MQU9" s="13"/>
      <c r="MQV9" s="13"/>
      <c r="MQW9" s="13"/>
      <c r="MQX9" s="13"/>
      <c r="MQY9" s="13"/>
      <c r="MQZ9" s="13"/>
      <c r="MRA9" s="13"/>
      <c r="MRB9" s="13"/>
      <c r="MRC9" s="13"/>
      <c r="MRD9" s="13"/>
      <c r="MRE9" s="13"/>
      <c r="MRF9" s="13"/>
      <c r="MRG9" s="13"/>
      <c r="MRH9" s="13"/>
      <c r="MRI9" s="13"/>
      <c r="MRJ9" s="13"/>
      <c r="MRK9" s="13"/>
      <c r="MRL9" s="13"/>
      <c r="MRM9" s="13"/>
      <c r="MRN9" s="13"/>
      <c r="MRO9" s="13"/>
      <c r="MRP9" s="13"/>
      <c r="MRQ9" s="13"/>
      <c r="MRR9" s="13"/>
      <c r="MRS9" s="13"/>
      <c r="MRT9" s="13"/>
      <c r="MRU9" s="13"/>
      <c r="MRV9" s="13"/>
      <c r="MRW9" s="13"/>
      <c r="MRX9" s="13"/>
      <c r="MRY9" s="13"/>
      <c r="MRZ9" s="13"/>
      <c r="MSA9" s="13"/>
      <c r="MSB9" s="13"/>
      <c r="MSC9" s="13"/>
      <c r="MSD9" s="13"/>
      <c r="MSE9" s="13"/>
      <c r="MSF9" s="13"/>
      <c r="MSG9" s="13"/>
      <c r="MSH9" s="13"/>
      <c r="MSI9" s="13"/>
      <c r="MSJ9" s="13"/>
      <c r="MSK9" s="13"/>
      <c r="MSL9" s="13"/>
      <c r="MSM9" s="13"/>
      <c r="MSN9" s="13"/>
      <c r="MSO9" s="13"/>
      <c r="MSP9" s="13"/>
      <c r="MSQ9" s="13"/>
      <c r="MSR9" s="13"/>
      <c r="MSS9" s="13"/>
      <c r="MST9" s="13"/>
      <c r="MSU9" s="13"/>
      <c r="MSV9" s="13"/>
      <c r="MSW9" s="13"/>
      <c r="MSX9" s="13"/>
      <c r="MSY9" s="13"/>
      <c r="MSZ9" s="13"/>
      <c r="MTA9" s="13"/>
      <c r="MTB9" s="13"/>
      <c r="MTC9" s="13"/>
      <c r="MTD9" s="13"/>
      <c r="MTE9" s="13"/>
      <c r="MTF9" s="13"/>
      <c r="MTG9" s="13"/>
      <c r="MTH9" s="13"/>
      <c r="MTI9" s="13"/>
      <c r="MTJ9" s="13"/>
      <c r="MTK9" s="13"/>
      <c r="MTL9" s="13"/>
      <c r="MTM9" s="13"/>
      <c r="MTN9" s="13"/>
      <c r="MTO9" s="13"/>
      <c r="MTP9" s="13"/>
      <c r="MTQ9" s="13"/>
      <c r="MTR9" s="13"/>
      <c r="MTS9" s="13"/>
      <c r="MTT9" s="13"/>
      <c r="MTU9" s="13"/>
      <c r="MTV9" s="13"/>
      <c r="MTW9" s="13"/>
      <c r="MTX9" s="13"/>
      <c r="MTY9" s="13"/>
      <c r="MTZ9" s="13"/>
      <c r="MUA9" s="13"/>
      <c r="MUB9" s="13"/>
      <c r="MUC9" s="13"/>
      <c r="MUD9" s="13"/>
      <c r="MUE9" s="13"/>
      <c r="MUF9" s="13"/>
      <c r="MUG9" s="13"/>
      <c r="MUH9" s="13"/>
      <c r="MUI9" s="13"/>
      <c r="MUJ9" s="13"/>
      <c r="MUK9" s="13"/>
      <c r="MUL9" s="13"/>
      <c r="MUM9" s="13"/>
      <c r="MUN9" s="13"/>
      <c r="MUO9" s="13"/>
      <c r="MUP9" s="13"/>
      <c r="MUQ9" s="13"/>
      <c r="MUR9" s="13"/>
      <c r="MUS9" s="13"/>
      <c r="MUT9" s="13"/>
      <c r="MUU9" s="13"/>
      <c r="MUV9" s="13"/>
      <c r="MUW9" s="13"/>
      <c r="MUX9" s="13"/>
      <c r="MUY9" s="13"/>
      <c r="MUZ9" s="13"/>
      <c r="MVA9" s="13"/>
      <c r="MVB9" s="13"/>
      <c r="MVC9" s="13"/>
      <c r="MVD9" s="13"/>
      <c r="MVE9" s="13"/>
      <c r="MVF9" s="13"/>
      <c r="MVG9" s="13"/>
      <c r="MVH9" s="13"/>
      <c r="MVI9" s="13"/>
      <c r="MVJ9" s="13"/>
      <c r="MVK9" s="13"/>
      <c r="MVL9" s="13"/>
      <c r="MVM9" s="13"/>
      <c r="MVN9" s="13"/>
      <c r="MVO9" s="13"/>
      <c r="MVP9" s="13"/>
      <c r="MVQ9" s="13"/>
      <c r="MVR9" s="13"/>
      <c r="MVS9" s="13"/>
      <c r="MVT9" s="13"/>
      <c r="MVU9" s="13"/>
      <c r="MVV9" s="13"/>
      <c r="MVW9" s="13"/>
      <c r="MVX9" s="13"/>
      <c r="MVY9" s="13"/>
      <c r="MVZ9" s="13"/>
      <c r="MWA9" s="13"/>
      <c r="MWB9" s="13"/>
      <c r="MWC9" s="13"/>
      <c r="MWD9" s="13"/>
      <c r="MWE9" s="13"/>
      <c r="MWF9" s="13"/>
      <c r="MWG9" s="13"/>
      <c r="MWH9" s="13"/>
      <c r="MWI9" s="13"/>
      <c r="MWJ9" s="13"/>
      <c r="MWK9" s="13"/>
      <c r="MWL9" s="13"/>
      <c r="MWM9" s="13"/>
      <c r="MWN9" s="13"/>
      <c r="MWO9" s="13"/>
      <c r="MWP9" s="13"/>
      <c r="MWQ9" s="13"/>
      <c r="MWR9" s="13"/>
      <c r="MWS9" s="13"/>
      <c r="MWT9" s="13"/>
      <c r="MWU9" s="13"/>
      <c r="MWV9" s="13"/>
      <c r="MWW9" s="13"/>
      <c r="MWX9" s="13"/>
      <c r="MWY9" s="13"/>
      <c r="MWZ9" s="13"/>
      <c r="MXA9" s="13"/>
      <c r="MXB9" s="13"/>
      <c r="MXC9" s="13"/>
      <c r="MXD9" s="13"/>
      <c r="MXE9" s="13"/>
      <c r="MXF9" s="13"/>
      <c r="MXG9" s="13"/>
      <c r="MXH9" s="13"/>
      <c r="MXI9" s="13"/>
      <c r="MXJ9" s="13"/>
      <c r="MXK9" s="13"/>
      <c r="MXL9" s="13"/>
      <c r="MXM9" s="13"/>
      <c r="MXN9" s="13"/>
      <c r="MXO9" s="13"/>
      <c r="MXP9" s="13"/>
      <c r="MXQ9" s="13"/>
      <c r="MXR9" s="13"/>
      <c r="MXS9" s="13"/>
      <c r="MXT9" s="13"/>
      <c r="MXU9" s="13"/>
      <c r="MXV9" s="13"/>
      <c r="MXW9" s="13"/>
      <c r="MXX9" s="13"/>
      <c r="MXY9" s="13"/>
      <c r="MXZ9" s="13"/>
      <c r="MYA9" s="13"/>
      <c r="MYB9" s="13"/>
      <c r="MYC9" s="13"/>
      <c r="MYD9" s="13"/>
      <c r="MYE9" s="13"/>
      <c r="MYF9" s="13"/>
      <c r="MYG9" s="13"/>
      <c r="MYH9" s="13"/>
      <c r="MYI9" s="13"/>
      <c r="MYJ9" s="13"/>
      <c r="MYK9" s="13"/>
      <c r="MYL9" s="13"/>
      <c r="MYM9" s="13"/>
      <c r="MYN9" s="13"/>
      <c r="MYO9" s="13"/>
      <c r="MYP9" s="13"/>
      <c r="MYQ9" s="13"/>
      <c r="MYR9" s="13"/>
      <c r="MYS9" s="13"/>
      <c r="MYT9" s="13"/>
      <c r="MYU9" s="13"/>
      <c r="MYV9" s="13"/>
      <c r="MYW9" s="13"/>
      <c r="MYX9" s="13"/>
      <c r="MYY9" s="13"/>
      <c r="MYZ9" s="13"/>
      <c r="MZA9" s="13"/>
      <c r="MZB9" s="13"/>
      <c r="MZC9" s="13"/>
      <c r="MZD9" s="13"/>
      <c r="MZE9" s="13"/>
      <c r="MZF9" s="13"/>
      <c r="MZG9" s="13"/>
      <c r="MZH9" s="13"/>
      <c r="MZI9" s="13"/>
      <c r="MZJ9" s="13"/>
      <c r="MZK9" s="13"/>
      <c r="MZL9" s="13"/>
      <c r="MZM9" s="13"/>
      <c r="MZN9" s="13"/>
      <c r="MZO9" s="13"/>
      <c r="MZP9" s="13"/>
      <c r="MZQ9" s="13"/>
      <c r="MZR9" s="13"/>
      <c r="MZS9" s="13"/>
      <c r="MZT9" s="13"/>
      <c r="MZU9" s="13"/>
      <c r="MZV9" s="13"/>
      <c r="MZW9" s="13"/>
      <c r="MZX9" s="13"/>
      <c r="MZY9" s="13"/>
      <c r="MZZ9" s="13"/>
      <c r="NAA9" s="13"/>
      <c r="NAB9" s="13"/>
      <c r="NAC9" s="13"/>
      <c r="NAD9" s="13"/>
      <c r="NAE9" s="13"/>
      <c r="NAF9" s="13"/>
      <c r="NAG9" s="13"/>
      <c r="NAH9" s="13"/>
      <c r="NAI9" s="13"/>
      <c r="NAJ9" s="13"/>
      <c r="NAK9" s="13"/>
      <c r="NAL9" s="13"/>
      <c r="NAM9" s="13"/>
      <c r="NAN9" s="13"/>
      <c r="NAO9" s="13"/>
      <c r="NAP9" s="13"/>
      <c r="NAQ9" s="13"/>
      <c r="NAR9" s="13"/>
      <c r="NAS9" s="13"/>
      <c r="NAT9" s="13"/>
      <c r="NAU9" s="13"/>
      <c r="NAV9" s="13"/>
      <c r="NAW9" s="13"/>
      <c r="NAX9" s="13"/>
      <c r="NAY9" s="13"/>
      <c r="NAZ9" s="13"/>
      <c r="NBA9" s="13"/>
      <c r="NBB9" s="13"/>
      <c r="NBC9" s="13"/>
      <c r="NBD9" s="13"/>
      <c r="NBE9" s="13"/>
      <c r="NBF9" s="13"/>
      <c r="NBG9" s="13"/>
      <c r="NBH9" s="13"/>
      <c r="NBI9" s="13"/>
      <c r="NBJ9" s="13"/>
      <c r="NBK9" s="13"/>
      <c r="NBL9" s="13"/>
      <c r="NBM9" s="13"/>
      <c r="NBN9" s="13"/>
      <c r="NBO9" s="13"/>
      <c r="NBP9" s="13"/>
      <c r="NBQ9" s="13"/>
      <c r="NBR9" s="13"/>
      <c r="NBS9" s="13"/>
      <c r="NBT9" s="13"/>
      <c r="NBU9" s="13"/>
      <c r="NBV9" s="13"/>
      <c r="NBW9" s="13"/>
      <c r="NBX9" s="13"/>
      <c r="NBY9" s="13"/>
      <c r="NBZ9" s="13"/>
      <c r="NCA9" s="13"/>
      <c r="NCB9" s="13"/>
      <c r="NCC9" s="13"/>
      <c r="NCD9" s="13"/>
      <c r="NCE9" s="13"/>
      <c r="NCF9" s="13"/>
      <c r="NCG9" s="13"/>
      <c r="NCH9" s="13"/>
      <c r="NCI9" s="13"/>
      <c r="NCJ9" s="13"/>
      <c r="NCK9" s="13"/>
      <c r="NCL9" s="13"/>
      <c r="NCM9" s="13"/>
      <c r="NCN9" s="13"/>
      <c r="NCO9" s="13"/>
      <c r="NCP9" s="13"/>
      <c r="NCQ9" s="13"/>
      <c r="NCR9" s="13"/>
      <c r="NCS9" s="13"/>
      <c r="NCT9" s="13"/>
      <c r="NCU9" s="13"/>
      <c r="NCV9" s="13"/>
      <c r="NCW9" s="13"/>
      <c r="NCX9" s="13"/>
      <c r="NCY9" s="13"/>
      <c r="NCZ9" s="13"/>
      <c r="NDA9" s="13"/>
      <c r="NDB9" s="13"/>
      <c r="NDC9" s="13"/>
      <c r="NDD9" s="13"/>
      <c r="NDE9" s="13"/>
      <c r="NDF9" s="13"/>
      <c r="NDG9" s="13"/>
      <c r="NDH9" s="13"/>
      <c r="NDI9" s="13"/>
      <c r="NDJ9" s="13"/>
      <c r="NDK9" s="13"/>
      <c r="NDL9" s="13"/>
      <c r="NDM9" s="13"/>
      <c r="NDN9" s="13"/>
      <c r="NDO9" s="13"/>
      <c r="NDP9" s="13"/>
      <c r="NDQ9" s="13"/>
      <c r="NDR9" s="13"/>
      <c r="NDS9" s="13"/>
      <c r="NDT9" s="13"/>
      <c r="NDU9" s="13"/>
      <c r="NDV9" s="13"/>
      <c r="NDW9" s="13"/>
      <c r="NDX9" s="13"/>
      <c r="NDY9" s="13"/>
      <c r="NDZ9" s="13"/>
      <c r="NEA9" s="13"/>
      <c r="NEB9" s="13"/>
      <c r="NEC9" s="13"/>
      <c r="NED9" s="13"/>
      <c r="NEE9" s="13"/>
      <c r="NEF9" s="13"/>
      <c r="NEG9" s="13"/>
      <c r="NEH9" s="13"/>
      <c r="NEI9" s="13"/>
      <c r="NEJ9" s="13"/>
      <c r="NEK9" s="13"/>
      <c r="NEL9" s="13"/>
      <c r="NEM9" s="13"/>
      <c r="NEN9" s="13"/>
      <c r="NEO9" s="13"/>
      <c r="NEP9" s="13"/>
      <c r="NEQ9" s="13"/>
      <c r="NER9" s="13"/>
      <c r="NES9" s="13"/>
      <c r="NET9" s="13"/>
      <c r="NEU9" s="13"/>
      <c r="NEV9" s="13"/>
      <c r="NEW9" s="13"/>
      <c r="NEX9" s="13"/>
      <c r="NEY9" s="13"/>
      <c r="NEZ9" s="13"/>
      <c r="NFA9" s="13"/>
      <c r="NFB9" s="13"/>
      <c r="NFC9" s="13"/>
      <c r="NFD9" s="13"/>
      <c r="NFE9" s="13"/>
      <c r="NFF9" s="13"/>
      <c r="NFG9" s="13"/>
      <c r="NFH9" s="13"/>
      <c r="NFI9" s="13"/>
      <c r="NFJ9" s="13"/>
      <c r="NFK9" s="13"/>
      <c r="NFL9" s="13"/>
      <c r="NFM9" s="13"/>
      <c r="NFN9" s="13"/>
      <c r="NFO9" s="13"/>
      <c r="NFP9" s="13"/>
      <c r="NFQ9" s="13"/>
      <c r="NFR9" s="13"/>
      <c r="NFS9" s="13"/>
      <c r="NFT9" s="13"/>
      <c r="NFU9" s="13"/>
      <c r="NFV9" s="13"/>
      <c r="NFW9" s="13"/>
      <c r="NFX9" s="13"/>
      <c r="NFY9" s="13"/>
      <c r="NFZ9" s="13"/>
      <c r="NGA9" s="13"/>
      <c r="NGB9" s="13"/>
      <c r="NGC9" s="13"/>
      <c r="NGD9" s="13"/>
      <c r="NGE9" s="13"/>
      <c r="NGF9" s="13"/>
      <c r="NGG9" s="13"/>
      <c r="NGH9" s="13"/>
      <c r="NGI9" s="13"/>
      <c r="NGJ9" s="13"/>
      <c r="NGK9" s="13"/>
      <c r="NGL9" s="13"/>
      <c r="NGM9" s="13"/>
      <c r="NGN9" s="13"/>
      <c r="NGO9" s="13"/>
      <c r="NGP9" s="13"/>
      <c r="NGQ9" s="13"/>
      <c r="NGR9" s="13"/>
      <c r="NGS9" s="13"/>
      <c r="NGT9" s="13"/>
      <c r="NGU9" s="13"/>
      <c r="NGV9" s="13"/>
      <c r="NGW9" s="13"/>
      <c r="NGX9" s="13"/>
      <c r="NGY9" s="13"/>
      <c r="NGZ9" s="13"/>
      <c r="NHA9" s="13"/>
      <c r="NHB9" s="13"/>
      <c r="NHC9" s="13"/>
      <c r="NHD9" s="13"/>
      <c r="NHE9" s="13"/>
      <c r="NHF9" s="13"/>
      <c r="NHG9" s="13"/>
      <c r="NHH9" s="13"/>
      <c r="NHI9" s="13"/>
      <c r="NHJ9" s="13"/>
      <c r="NHK9" s="13"/>
      <c r="NHL9" s="13"/>
      <c r="NHM9" s="13"/>
      <c r="NHN9" s="13"/>
      <c r="NHO9" s="13"/>
      <c r="NHP9" s="13"/>
      <c r="NHQ9" s="13"/>
      <c r="NHR9" s="13"/>
      <c r="NHS9" s="13"/>
      <c r="NHT9" s="13"/>
      <c r="NHU9" s="13"/>
      <c r="NHV9" s="13"/>
      <c r="NHW9" s="13"/>
      <c r="NHX9" s="13"/>
      <c r="NHY9" s="13"/>
      <c r="NHZ9" s="13"/>
      <c r="NIA9" s="13"/>
      <c r="NIB9" s="13"/>
      <c r="NIC9" s="13"/>
      <c r="NID9" s="13"/>
      <c r="NIE9" s="13"/>
      <c r="NIF9" s="13"/>
      <c r="NIG9" s="13"/>
      <c r="NIH9" s="13"/>
      <c r="NII9" s="13"/>
      <c r="NIJ9" s="13"/>
      <c r="NIK9" s="13"/>
      <c r="NIL9" s="13"/>
      <c r="NIM9" s="13"/>
      <c r="NIN9" s="13"/>
      <c r="NIO9" s="13"/>
      <c r="NIP9" s="13"/>
      <c r="NIQ9" s="13"/>
      <c r="NIR9" s="13"/>
      <c r="NIS9" s="13"/>
      <c r="NIT9" s="13"/>
      <c r="NIU9" s="13"/>
      <c r="NIV9" s="13"/>
      <c r="NIW9" s="13"/>
      <c r="NIX9" s="13"/>
      <c r="NIY9" s="13"/>
      <c r="NIZ9" s="13"/>
      <c r="NJA9" s="13"/>
      <c r="NJB9" s="13"/>
      <c r="NJC9" s="13"/>
      <c r="NJD9" s="13"/>
      <c r="NJE9" s="13"/>
      <c r="NJF9" s="13"/>
      <c r="NJG9" s="13"/>
      <c r="NJH9" s="13"/>
      <c r="NJI9" s="13"/>
      <c r="NJJ9" s="13"/>
      <c r="NJK9" s="13"/>
      <c r="NJL9" s="13"/>
      <c r="NJM9" s="13"/>
      <c r="NJN9" s="13"/>
      <c r="NJO9" s="13"/>
      <c r="NJP9" s="13"/>
      <c r="NJQ9" s="13"/>
      <c r="NJR9" s="13"/>
      <c r="NJS9" s="13"/>
      <c r="NJT9" s="13"/>
      <c r="NJU9" s="13"/>
      <c r="NJV9" s="13"/>
      <c r="NJW9" s="13"/>
      <c r="NJX9" s="13"/>
      <c r="NJY9" s="13"/>
      <c r="NJZ9" s="13"/>
      <c r="NKA9" s="13"/>
      <c r="NKB9" s="13"/>
      <c r="NKC9" s="13"/>
      <c r="NKD9" s="13"/>
      <c r="NKE9" s="13"/>
      <c r="NKF9" s="13"/>
      <c r="NKG9" s="13"/>
      <c r="NKH9" s="13"/>
      <c r="NKI9" s="13"/>
      <c r="NKJ9" s="13"/>
      <c r="NKK9" s="13"/>
      <c r="NKL9" s="13"/>
      <c r="NKM9" s="13"/>
      <c r="NKN9" s="13"/>
      <c r="NKO9" s="13"/>
      <c r="NKP9" s="13"/>
      <c r="NKQ9" s="13"/>
      <c r="NKR9" s="13"/>
      <c r="NKS9" s="13"/>
      <c r="NKT9" s="13"/>
      <c r="NKU9" s="13"/>
      <c r="NKV9" s="13"/>
      <c r="NKW9" s="13"/>
      <c r="NKX9" s="13"/>
      <c r="NKY9" s="13"/>
      <c r="NKZ9" s="13"/>
      <c r="NLA9" s="13"/>
      <c r="NLB9" s="13"/>
      <c r="NLC9" s="13"/>
      <c r="NLD9" s="13"/>
      <c r="NLE9" s="13"/>
      <c r="NLF9" s="13"/>
      <c r="NLG9" s="13"/>
      <c r="NLH9" s="13"/>
      <c r="NLI9" s="13"/>
      <c r="NLJ9" s="13"/>
      <c r="NLK9" s="13"/>
      <c r="NLL9" s="13"/>
      <c r="NLM9" s="13"/>
      <c r="NLN9" s="13"/>
      <c r="NLO9" s="13"/>
      <c r="NLP9" s="13"/>
      <c r="NLQ9" s="13"/>
      <c r="NLR9" s="13"/>
      <c r="NLS9" s="13"/>
      <c r="NLT9" s="13"/>
      <c r="NLU9" s="13"/>
      <c r="NLV9" s="13"/>
      <c r="NLW9" s="13"/>
      <c r="NLX9" s="13"/>
      <c r="NLY9" s="13"/>
      <c r="NLZ9" s="13"/>
      <c r="NMA9" s="13"/>
      <c r="NMB9" s="13"/>
      <c r="NMC9" s="13"/>
      <c r="NMD9" s="13"/>
      <c r="NME9" s="13"/>
      <c r="NMF9" s="13"/>
      <c r="NMG9" s="13"/>
      <c r="NMH9" s="13"/>
      <c r="NMI9" s="13"/>
      <c r="NMJ9" s="13"/>
      <c r="NMK9" s="13"/>
      <c r="NML9" s="13"/>
      <c r="NMM9" s="13"/>
      <c r="NMN9" s="13"/>
      <c r="NMO9" s="13"/>
      <c r="NMP9" s="13"/>
      <c r="NMQ9" s="13"/>
      <c r="NMR9" s="13"/>
      <c r="NMS9" s="13"/>
      <c r="NMT9" s="13"/>
      <c r="NMU9" s="13"/>
      <c r="NMV9" s="13"/>
      <c r="NMW9" s="13"/>
      <c r="NMX9" s="13"/>
      <c r="NMY9" s="13"/>
      <c r="NMZ9" s="13"/>
      <c r="NNA9" s="13"/>
      <c r="NNB9" s="13"/>
      <c r="NNC9" s="13"/>
      <c r="NND9" s="13"/>
      <c r="NNE9" s="13"/>
      <c r="NNF9" s="13"/>
      <c r="NNG9" s="13"/>
      <c r="NNH9" s="13"/>
      <c r="NNI9" s="13"/>
      <c r="NNJ9" s="13"/>
      <c r="NNK9" s="13"/>
      <c r="NNL9" s="13"/>
      <c r="NNM9" s="13"/>
      <c r="NNN9" s="13"/>
      <c r="NNO9" s="13"/>
      <c r="NNP9" s="13"/>
      <c r="NNQ9" s="13"/>
      <c r="NNR9" s="13"/>
      <c r="NNS9" s="13"/>
      <c r="NNT9" s="13"/>
      <c r="NNU9" s="13"/>
      <c r="NNV9" s="13"/>
      <c r="NNW9" s="13"/>
      <c r="NNX9" s="13"/>
      <c r="NNY9" s="13"/>
      <c r="NNZ9" s="13"/>
      <c r="NOA9" s="13"/>
      <c r="NOB9" s="13"/>
      <c r="NOC9" s="13"/>
      <c r="NOD9" s="13"/>
      <c r="NOE9" s="13"/>
      <c r="NOF9" s="13"/>
      <c r="NOG9" s="13"/>
      <c r="NOH9" s="13"/>
      <c r="NOI9" s="13"/>
      <c r="NOJ9" s="13"/>
      <c r="NOK9" s="13"/>
      <c r="NOL9" s="13"/>
      <c r="NOM9" s="13"/>
      <c r="NON9" s="13"/>
      <c r="NOO9" s="13"/>
      <c r="NOP9" s="13"/>
      <c r="NOQ9" s="13"/>
      <c r="NOR9" s="13"/>
      <c r="NOS9" s="13"/>
      <c r="NOT9" s="13"/>
      <c r="NOU9" s="13"/>
      <c r="NOV9" s="13"/>
      <c r="NOW9" s="13"/>
      <c r="NOX9" s="13"/>
      <c r="NOY9" s="13"/>
      <c r="NOZ9" s="13"/>
      <c r="NPA9" s="13"/>
      <c r="NPB9" s="13"/>
      <c r="NPC9" s="13"/>
      <c r="NPD9" s="13"/>
      <c r="NPE9" s="13"/>
      <c r="NPF9" s="13"/>
      <c r="NPG9" s="13"/>
      <c r="NPH9" s="13"/>
      <c r="NPI9" s="13"/>
      <c r="NPJ9" s="13"/>
      <c r="NPK9" s="13"/>
      <c r="NPL9" s="13"/>
      <c r="NPM9" s="13"/>
      <c r="NPN9" s="13"/>
      <c r="NPO9" s="13"/>
      <c r="NPP9" s="13"/>
      <c r="NPQ9" s="13"/>
      <c r="NPR9" s="13"/>
      <c r="NPS9" s="13"/>
      <c r="NPT9" s="13"/>
      <c r="NPU9" s="13"/>
      <c r="NPV9" s="13"/>
      <c r="NPW9" s="13"/>
      <c r="NPX9" s="13"/>
      <c r="NPY9" s="13"/>
      <c r="NPZ9" s="13"/>
      <c r="NQA9" s="13"/>
      <c r="NQB9" s="13"/>
      <c r="NQC9" s="13"/>
      <c r="NQD9" s="13"/>
      <c r="NQE9" s="13"/>
      <c r="NQF9" s="13"/>
      <c r="NQG9" s="13"/>
      <c r="NQH9" s="13"/>
      <c r="NQI9" s="13"/>
      <c r="NQJ9" s="13"/>
      <c r="NQK9" s="13"/>
      <c r="NQL9" s="13"/>
      <c r="NQM9" s="13"/>
      <c r="NQN9" s="13"/>
      <c r="NQO9" s="13"/>
      <c r="NQP9" s="13"/>
      <c r="NQQ9" s="13"/>
      <c r="NQR9" s="13"/>
      <c r="NQS9" s="13"/>
      <c r="NQT9" s="13"/>
      <c r="NQU9" s="13"/>
      <c r="NQV9" s="13"/>
      <c r="NQW9" s="13"/>
      <c r="NQX9" s="13"/>
      <c r="NQY9" s="13"/>
      <c r="NQZ9" s="13"/>
      <c r="NRA9" s="13"/>
      <c r="NRB9" s="13"/>
      <c r="NRC9" s="13"/>
      <c r="NRD9" s="13"/>
      <c r="NRE9" s="13"/>
      <c r="NRF9" s="13"/>
      <c r="NRG9" s="13"/>
      <c r="NRH9" s="13"/>
      <c r="NRI9" s="13"/>
      <c r="NRJ9" s="13"/>
      <c r="NRK9" s="13"/>
      <c r="NRL9" s="13"/>
      <c r="NRM9" s="13"/>
      <c r="NRN9" s="13"/>
      <c r="NRO9" s="13"/>
      <c r="NRP9" s="13"/>
      <c r="NRQ9" s="13"/>
      <c r="NRR9" s="13"/>
      <c r="NRS9" s="13"/>
      <c r="NRT9" s="13"/>
      <c r="NRU9" s="13"/>
      <c r="NRV9" s="13"/>
      <c r="NRW9" s="13"/>
      <c r="NRX9" s="13"/>
      <c r="NRY9" s="13"/>
      <c r="NRZ9" s="13"/>
      <c r="NSA9" s="13"/>
      <c r="NSB9" s="13"/>
      <c r="NSC9" s="13"/>
      <c r="NSD9" s="13"/>
      <c r="NSE9" s="13"/>
      <c r="NSF9" s="13"/>
      <c r="NSG9" s="13"/>
      <c r="NSH9" s="13"/>
      <c r="NSI9" s="13"/>
      <c r="NSJ9" s="13"/>
      <c r="NSK9" s="13"/>
      <c r="NSL9" s="13"/>
      <c r="NSM9" s="13"/>
      <c r="NSN9" s="13"/>
      <c r="NSO9" s="13"/>
      <c r="NSP9" s="13"/>
      <c r="NSQ9" s="13"/>
      <c r="NSR9" s="13"/>
      <c r="NSS9" s="13"/>
      <c r="NST9" s="13"/>
      <c r="NSU9" s="13"/>
      <c r="NSV9" s="13"/>
      <c r="NSW9" s="13"/>
      <c r="NSX9" s="13"/>
      <c r="NSY9" s="13"/>
      <c r="NSZ9" s="13"/>
      <c r="NTA9" s="13"/>
      <c r="NTB9" s="13"/>
      <c r="NTC9" s="13"/>
      <c r="NTD9" s="13"/>
      <c r="NTE9" s="13"/>
      <c r="NTF9" s="13"/>
      <c r="NTG9" s="13"/>
      <c r="NTH9" s="13"/>
      <c r="NTI9" s="13"/>
      <c r="NTJ9" s="13"/>
      <c r="NTK9" s="13"/>
      <c r="NTL9" s="13"/>
      <c r="NTM9" s="13"/>
      <c r="NTN9" s="13"/>
      <c r="NTO9" s="13"/>
      <c r="NTP9" s="13"/>
      <c r="NTQ9" s="13"/>
      <c r="NTR9" s="13"/>
      <c r="NTS9" s="13"/>
      <c r="NTT9" s="13"/>
      <c r="NTU9" s="13"/>
      <c r="NTV9" s="13"/>
      <c r="NTW9" s="13"/>
      <c r="NTX9" s="13"/>
      <c r="NTY9" s="13"/>
      <c r="NTZ9" s="13"/>
      <c r="NUA9" s="13"/>
      <c r="NUB9" s="13"/>
      <c r="NUC9" s="13"/>
      <c r="NUD9" s="13"/>
      <c r="NUE9" s="13"/>
      <c r="NUF9" s="13"/>
      <c r="NUG9" s="13"/>
      <c r="NUH9" s="13"/>
      <c r="NUI9" s="13"/>
      <c r="NUJ9" s="13"/>
      <c r="NUK9" s="13"/>
      <c r="NUL9" s="13"/>
      <c r="NUM9" s="13"/>
      <c r="NUN9" s="13"/>
      <c r="NUO9" s="13"/>
      <c r="NUP9" s="13"/>
      <c r="NUQ9" s="13"/>
      <c r="NUR9" s="13"/>
      <c r="NUS9" s="13"/>
      <c r="NUT9" s="13"/>
      <c r="NUU9" s="13"/>
      <c r="NUV9" s="13"/>
      <c r="NUW9" s="13"/>
      <c r="NUX9" s="13"/>
      <c r="NUY9" s="13"/>
      <c r="NUZ9" s="13"/>
      <c r="NVA9" s="13"/>
      <c r="NVB9" s="13"/>
      <c r="NVC9" s="13"/>
      <c r="NVD9" s="13"/>
      <c r="NVE9" s="13"/>
      <c r="NVF9" s="13"/>
      <c r="NVG9" s="13"/>
      <c r="NVH9" s="13"/>
      <c r="NVI9" s="13"/>
      <c r="NVJ9" s="13"/>
      <c r="NVK9" s="13"/>
      <c r="NVL9" s="13"/>
      <c r="NVM9" s="13"/>
      <c r="NVN9" s="13"/>
      <c r="NVO9" s="13"/>
      <c r="NVP9" s="13"/>
      <c r="NVQ9" s="13"/>
      <c r="NVR9" s="13"/>
      <c r="NVS9" s="13"/>
      <c r="NVT9" s="13"/>
      <c r="NVU9" s="13"/>
      <c r="NVV9" s="13"/>
      <c r="NVW9" s="13"/>
      <c r="NVX9" s="13"/>
      <c r="NVY9" s="13"/>
      <c r="NVZ9" s="13"/>
      <c r="NWA9" s="13"/>
      <c r="NWB9" s="13"/>
      <c r="NWC9" s="13"/>
      <c r="NWD9" s="13"/>
      <c r="NWE9" s="13"/>
      <c r="NWF9" s="13"/>
      <c r="NWG9" s="13"/>
      <c r="NWH9" s="13"/>
      <c r="NWI9" s="13"/>
      <c r="NWJ9" s="13"/>
      <c r="NWK9" s="13"/>
      <c r="NWL9" s="13"/>
      <c r="NWM9" s="13"/>
      <c r="NWN9" s="13"/>
      <c r="NWO9" s="13"/>
      <c r="NWP9" s="13"/>
      <c r="NWQ9" s="13"/>
      <c r="NWR9" s="13"/>
      <c r="NWS9" s="13"/>
      <c r="NWT9" s="13"/>
      <c r="NWU9" s="13"/>
      <c r="NWV9" s="13"/>
      <c r="NWW9" s="13"/>
      <c r="NWX9" s="13"/>
      <c r="NWY9" s="13"/>
      <c r="NWZ9" s="13"/>
      <c r="NXA9" s="13"/>
      <c r="NXB9" s="13"/>
      <c r="NXC9" s="13"/>
      <c r="NXD9" s="13"/>
      <c r="NXE9" s="13"/>
      <c r="NXF9" s="13"/>
      <c r="NXG9" s="13"/>
      <c r="NXH9" s="13"/>
      <c r="NXI9" s="13"/>
      <c r="NXJ9" s="13"/>
      <c r="NXK9" s="13"/>
      <c r="NXL9" s="13"/>
      <c r="NXM9" s="13"/>
      <c r="NXN9" s="13"/>
      <c r="NXO9" s="13"/>
      <c r="NXP9" s="13"/>
      <c r="NXQ9" s="13"/>
      <c r="NXR9" s="13"/>
      <c r="NXS9" s="13"/>
      <c r="NXT9" s="13"/>
      <c r="NXU9" s="13"/>
      <c r="NXV9" s="13"/>
      <c r="NXW9" s="13"/>
      <c r="NXX9" s="13"/>
      <c r="NXY9" s="13"/>
      <c r="NXZ9" s="13"/>
      <c r="NYA9" s="13"/>
      <c r="NYB9" s="13"/>
      <c r="NYC9" s="13"/>
      <c r="NYD9" s="13"/>
      <c r="NYE9" s="13"/>
      <c r="NYF9" s="13"/>
      <c r="NYG9" s="13"/>
      <c r="NYH9" s="13"/>
      <c r="NYI9" s="13"/>
      <c r="NYJ9" s="13"/>
      <c r="NYK9" s="13"/>
      <c r="NYL9" s="13"/>
      <c r="NYM9" s="13"/>
      <c r="NYN9" s="13"/>
      <c r="NYO9" s="13"/>
      <c r="NYP9" s="13"/>
      <c r="NYQ9" s="13"/>
      <c r="NYR9" s="13"/>
      <c r="NYS9" s="13"/>
      <c r="NYT9" s="13"/>
      <c r="NYU9" s="13"/>
      <c r="NYV9" s="13"/>
      <c r="NYW9" s="13"/>
      <c r="NYX9" s="13"/>
      <c r="NYY9" s="13"/>
      <c r="NYZ9" s="13"/>
      <c r="NZA9" s="13"/>
      <c r="NZB9" s="13"/>
      <c r="NZC9" s="13"/>
      <c r="NZD9" s="13"/>
      <c r="NZE9" s="13"/>
      <c r="NZF9" s="13"/>
      <c r="NZG9" s="13"/>
      <c r="NZH9" s="13"/>
      <c r="NZI9" s="13"/>
      <c r="NZJ9" s="13"/>
      <c r="NZK9" s="13"/>
      <c r="NZL9" s="13"/>
      <c r="NZM9" s="13"/>
      <c r="NZN9" s="13"/>
      <c r="NZO9" s="13"/>
      <c r="NZP9" s="13"/>
      <c r="NZQ9" s="13"/>
      <c r="NZR9" s="13"/>
      <c r="NZS9" s="13"/>
      <c r="NZT9" s="13"/>
      <c r="NZU9" s="13"/>
      <c r="NZV9" s="13"/>
      <c r="NZW9" s="13"/>
      <c r="NZX9" s="13"/>
      <c r="NZY9" s="13"/>
      <c r="NZZ9" s="13"/>
      <c r="OAA9" s="13"/>
      <c r="OAB9" s="13"/>
      <c r="OAC9" s="13"/>
      <c r="OAD9" s="13"/>
      <c r="OAE9" s="13"/>
      <c r="OAF9" s="13"/>
      <c r="OAG9" s="13"/>
      <c r="OAH9" s="13"/>
      <c r="OAI9" s="13"/>
      <c r="OAJ9" s="13"/>
      <c r="OAK9" s="13"/>
      <c r="OAL9" s="13"/>
      <c r="OAM9" s="13"/>
      <c r="OAN9" s="13"/>
      <c r="OAO9" s="13"/>
      <c r="OAP9" s="13"/>
      <c r="OAQ9" s="13"/>
      <c r="OAR9" s="13"/>
      <c r="OAS9" s="13"/>
      <c r="OAT9" s="13"/>
      <c r="OAU9" s="13"/>
      <c r="OAV9" s="13"/>
      <c r="OAW9" s="13"/>
      <c r="OAX9" s="13"/>
      <c r="OAY9" s="13"/>
      <c r="OAZ9" s="13"/>
      <c r="OBA9" s="13"/>
      <c r="OBB9" s="13"/>
      <c r="OBC9" s="13"/>
      <c r="OBD9" s="13"/>
      <c r="OBE9" s="13"/>
      <c r="OBF9" s="13"/>
      <c r="OBG9" s="13"/>
      <c r="OBH9" s="13"/>
      <c r="OBI9" s="13"/>
      <c r="OBJ9" s="13"/>
      <c r="OBK9" s="13"/>
      <c r="OBL9" s="13"/>
      <c r="OBM9" s="13"/>
      <c r="OBN9" s="13"/>
      <c r="OBO9" s="13"/>
      <c r="OBP9" s="13"/>
      <c r="OBQ9" s="13"/>
      <c r="OBR9" s="13"/>
      <c r="OBS9" s="13"/>
      <c r="OBT9" s="13"/>
      <c r="OBU9" s="13"/>
      <c r="OBV9" s="13"/>
      <c r="OBW9" s="13"/>
      <c r="OBX9" s="13"/>
      <c r="OBY9" s="13"/>
      <c r="OBZ9" s="13"/>
      <c r="OCA9" s="13"/>
      <c r="OCB9" s="13"/>
      <c r="OCC9" s="13"/>
      <c r="OCD9" s="13"/>
      <c r="OCE9" s="13"/>
      <c r="OCF9" s="13"/>
      <c r="OCG9" s="13"/>
      <c r="OCH9" s="13"/>
      <c r="OCI9" s="13"/>
      <c r="OCJ9" s="13"/>
      <c r="OCK9" s="13"/>
      <c r="OCL9" s="13"/>
      <c r="OCM9" s="13"/>
      <c r="OCN9" s="13"/>
      <c r="OCO9" s="13"/>
      <c r="OCP9" s="13"/>
      <c r="OCQ9" s="13"/>
      <c r="OCR9" s="13"/>
      <c r="OCS9" s="13"/>
      <c r="OCT9" s="13"/>
      <c r="OCU9" s="13"/>
      <c r="OCV9" s="13"/>
      <c r="OCW9" s="13"/>
      <c r="OCX9" s="13"/>
      <c r="OCY9" s="13"/>
      <c r="OCZ9" s="13"/>
      <c r="ODA9" s="13"/>
      <c r="ODB9" s="13"/>
      <c r="ODC9" s="13"/>
      <c r="ODD9" s="13"/>
      <c r="ODE9" s="13"/>
      <c r="ODF9" s="13"/>
      <c r="ODG9" s="13"/>
      <c r="ODH9" s="13"/>
      <c r="ODI9" s="13"/>
      <c r="ODJ9" s="13"/>
      <c r="ODK9" s="13"/>
      <c r="ODL9" s="13"/>
      <c r="ODM9" s="13"/>
      <c r="ODN9" s="13"/>
      <c r="ODO9" s="13"/>
      <c r="ODP9" s="13"/>
      <c r="ODQ9" s="13"/>
      <c r="ODR9" s="13"/>
      <c r="ODS9" s="13"/>
      <c r="ODT9" s="13"/>
      <c r="ODU9" s="13"/>
      <c r="ODV9" s="13"/>
      <c r="ODW9" s="13"/>
      <c r="ODX9" s="13"/>
      <c r="ODY9" s="13"/>
      <c r="ODZ9" s="13"/>
      <c r="OEA9" s="13"/>
      <c r="OEB9" s="13"/>
      <c r="OEC9" s="13"/>
      <c r="OED9" s="13"/>
      <c r="OEE9" s="13"/>
      <c r="OEF9" s="13"/>
      <c r="OEG9" s="13"/>
      <c r="OEH9" s="13"/>
      <c r="OEI9" s="13"/>
      <c r="OEJ9" s="13"/>
      <c r="OEK9" s="13"/>
      <c r="OEL9" s="13"/>
      <c r="OEM9" s="13"/>
      <c r="OEN9" s="13"/>
      <c r="OEO9" s="13"/>
      <c r="OEP9" s="13"/>
      <c r="OEQ9" s="13"/>
      <c r="OER9" s="13"/>
      <c r="OES9" s="13"/>
      <c r="OET9" s="13"/>
      <c r="OEU9" s="13"/>
      <c r="OEV9" s="13"/>
      <c r="OEW9" s="13"/>
      <c r="OEX9" s="13"/>
      <c r="OEY9" s="13"/>
      <c r="OEZ9" s="13"/>
      <c r="OFA9" s="13"/>
      <c r="OFB9" s="13"/>
      <c r="OFC9" s="13"/>
      <c r="OFD9" s="13"/>
      <c r="OFE9" s="13"/>
      <c r="OFF9" s="13"/>
      <c r="OFG9" s="13"/>
      <c r="OFH9" s="13"/>
      <c r="OFI9" s="13"/>
      <c r="OFJ9" s="13"/>
      <c r="OFK9" s="13"/>
      <c r="OFL9" s="13"/>
      <c r="OFM9" s="13"/>
      <c r="OFN9" s="13"/>
      <c r="OFO9" s="13"/>
      <c r="OFP9" s="13"/>
      <c r="OFQ9" s="13"/>
      <c r="OFR9" s="13"/>
      <c r="OFS9" s="13"/>
      <c r="OFT9" s="13"/>
      <c r="OFU9" s="13"/>
      <c r="OFV9" s="13"/>
      <c r="OFW9" s="13"/>
      <c r="OFX9" s="13"/>
      <c r="OFY9" s="13"/>
      <c r="OFZ9" s="13"/>
      <c r="OGA9" s="13"/>
      <c r="OGB9" s="13"/>
      <c r="OGC9" s="13"/>
      <c r="OGD9" s="13"/>
      <c r="OGE9" s="13"/>
      <c r="OGF9" s="13"/>
      <c r="OGG9" s="13"/>
      <c r="OGH9" s="13"/>
      <c r="OGI9" s="13"/>
      <c r="OGJ9" s="13"/>
      <c r="OGK9" s="13"/>
      <c r="OGL9" s="13"/>
      <c r="OGM9" s="13"/>
      <c r="OGN9" s="13"/>
      <c r="OGO9" s="13"/>
      <c r="OGP9" s="13"/>
      <c r="OGQ9" s="13"/>
      <c r="OGR9" s="13"/>
      <c r="OGS9" s="13"/>
      <c r="OGT9" s="13"/>
      <c r="OGU9" s="13"/>
      <c r="OGV9" s="13"/>
      <c r="OGW9" s="13"/>
      <c r="OGX9" s="13"/>
      <c r="OGY9" s="13"/>
      <c r="OGZ9" s="13"/>
      <c r="OHA9" s="13"/>
      <c r="OHB9" s="13"/>
      <c r="OHC9" s="13"/>
      <c r="OHD9" s="13"/>
      <c r="OHE9" s="13"/>
      <c r="OHF9" s="13"/>
      <c r="OHG9" s="13"/>
      <c r="OHH9" s="13"/>
      <c r="OHI9" s="13"/>
      <c r="OHJ9" s="13"/>
      <c r="OHK9" s="13"/>
      <c r="OHL9" s="13"/>
      <c r="OHM9" s="13"/>
      <c r="OHN9" s="13"/>
      <c r="OHO9" s="13"/>
      <c r="OHP9" s="13"/>
      <c r="OHQ9" s="13"/>
      <c r="OHR9" s="13"/>
      <c r="OHS9" s="13"/>
      <c r="OHT9" s="13"/>
      <c r="OHU9" s="13"/>
      <c r="OHV9" s="13"/>
      <c r="OHW9" s="13"/>
      <c r="OHX9" s="13"/>
      <c r="OHY9" s="13"/>
      <c r="OHZ9" s="13"/>
      <c r="OIA9" s="13"/>
      <c r="OIB9" s="13"/>
      <c r="OIC9" s="13"/>
      <c r="OID9" s="13"/>
      <c r="OIE9" s="13"/>
      <c r="OIF9" s="13"/>
      <c r="OIG9" s="13"/>
      <c r="OIH9" s="13"/>
      <c r="OII9" s="13"/>
      <c r="OIJ9" s="13"/>
      <c r="OIK9" s="13"/>
      <c r="OIL9" s="13"/>
      <c r="OIM9" s="13"/>
      <c r="OIN9" s="13"/>
      <c r="OIO9" s="13"/>
      <c r="OIP9" s="13"/>
      <c r="OIQ9" s="13"/>
      <c r="OIR9" s="13"/>
      <c r="OIS9" s="13"/>
      <c r="OIT9" s="13"/>
      <c r="OIU9" s="13"/>
      <c r="OIV9" s="13"/>
      <c r="OIW9" s="13"/>
      <c r="OIX9" s="13"/>
      <c r="OIY9" s="13"/>
      <c r="OIZ9" s="13"/>
      <c r="OJA9" s="13"/>
      <c r="OJB9" s="13"/>
      <c r="OJC9" s="13"/>
      <c r="OJD9" s="13"/>
      <c r="OJE9" s="13"/>
      <c r="OJF9" s="13"/>
      <c r="OJG9" s="13"/>
      <c r="OJH9" s="13"/>
      <c r="OJI9" s="13"/>
      <c r="OJJ9" s="13"/>
      <c r="OJK9" s="13"/>
      <c r="OJL9" s="13"/>
      <c r="OJM9" s="13"/>
      <c r="OJN9" s="13"/>
      <c r="OJO9" s="13"/>
      <c r="OJP9" s="13"/>
      <c r="OJQ9" s="13"/>
      <c r="OJR9" s="13"/>
      <c r="OJS9" s="13"/>
      <c r="OJT9" s="13"/>
      <c r="OJU9" s="13"/>
      <c r="OJV9" s="13"/>
      <c r="OJW9" s="13"/>
      <c r="OJX9" s="13"/>
      <c r="OJY9" s="13"/>
      <c r="OJZ9" s="13"/>
      <c r="OKA9" s="13"/>
      <c r="OKB9" s="13"/>
      <c r="OKC9" s="13"/>
      <c r="OKD9" s="13"/>
      <c r="OKE9" s="13"/>
      <c r="OKF9" s="13"/>
      <c r="OKG9" s="13"/>
      <c r="OKH9" s="13"/>
      <c r="OKI9" s="13"/>
      <c r="OKJ9" s="13"/>
      <c r="OKK9" s="13"/>
      <c r="OKL9" s="13"/>
      <c r="OKM9" s="13"/>
      <c r="OKN9" s="13"/>
      <c r="OKO9" s="13"/>
      <c r="OKP9" s="13"/>
      <c r="OKQ9" s="13"/>
      <c r="OKR9" s="13"/>
      <c r="OKS9" s="13"/>
      <c r="OKT9" s="13"/>
      <c r="OKU9" s="13"/>
      <c r="OKV9" s="13"/>
      <c r="OKW9" s="13"/>
      <c r="OKX9" s="13"/>
      <c r="OKY9" s="13"/>
      <c r="OKZ9" s="13"/>
      <c r="OLA9" s="13"/>
      <c r="OLB9" s="13"/>
      <c r="OLC9" s="13"/>
      <c r="OLD9" s="13"/>
      <c r="OLE9" s="13"/>
      <c r="OLF9" s="13"/>
      <c r="OLG9" s="13"/>
      <c r="OLH9" s="13"/>
      <c r="OLI9" s="13"/>
      <c r="OLJ9" s="13"/>
      <c r="OLK9" s="13"/>
      <c r="OLL9" s="13"/>
      <c r="OLM9" s="13"/>
      <c r="OLN9" s="13"/>
      <c r="OLO9" s="13"/>
      <c r="OLP9" s="13"/>
      <c r="OLQ9" s="13"/>
      <c r="OLR9" s="13"/>
      <c r="OLS9" s="13"/>
      <c r="OLT9" s="13"/>
      <c r="OLU9" s="13"/>
      <c r="OLV9" s="13"/>
      <c r="OLW9" s="13"/>
      <c r="OLX9" s="13"/>
      <c r="OLY9" s="13"/>
      <c r="OLZ9" s="13"/>
      <c r="OMA9" s="13"/>
      <c r="OMB9" s="13"/>
      <c r="OMC9" s="13"/>
      <c r="OMD9" s="13"/>
      <c r="OME9" s="13"/>
      <c r="OMF9" s="13"/>
      <c r="OMG9" s="13"/>
      <c r="OMH9" s="13"/>
      <c r="OMI9" s="13"/>
      <c r="OMJ9" s="13"/>
      <c r="OMK9" s="13"/>
      <c r="OML9" s="13"/>
      <c r="OMM9" s="13"/>
      <c r="OMN9" s="13"/>
      <c r="OMO9" s="13"/>
      <c r="OMP9" s="13"/>
      <c r="OMQ9" s="13"/>
      <c r="OMR9" s="13"/>
      <c r="OMS9" s="13"/>
      <c r="OMT9" s="13"/>
      <c r="OMU9" s="13"/>
      <c r="OMV9" s="13"/>
      <c r="OMW9" s="13"/>
      <c r="OMX9" s="13"/>
      <c r="OMY9" s="13"/>
      <c r="OMZ9" s="13"/>
      <c r="ONA9" s="13"/>
      <c r="ONB9" s="13"/>
      <c r="ONC9" s="13"/>
      <c r="OND9" s="13"/>
      <c r="ONE9" s="13"/>
      <c r="ONF9" s="13"/>
      <c r="ONG9" s="13"/>
      <c r="ONH9" s="13"/>
      <c r="ONI9" s="13"/>
      <c r="ONJ9" s="13"/>
      <c r="ONK9" s="13"/>
      <c r="ONL9" s="13"/>
      <c r="ONM9" s="13"/>
      <c r="ONN9" s="13"/>
      <c r="ONO9" s="13"/>
      <c r="ONP9" s="13"/>
      <c r="ONQ9" s="13"/>
      <c r="ONR9" s="13"/>
      <c r="ONS9" s="13"/>
      <c r="ONT9" s="13"/>
      <c r="ONU9" s="13"/>
      <c r="ONV9" s="13"/>
      <c r="ONW9" s="13"/>
      <c r="ONX9" s="13"/>
      <c r="ONY9" s="13"/>
      <c r="ONZ9" s="13"/>
      <c r="OOA9" s="13"/>
      <c r="OOB9" s="13"/>
      <c r="OOC9" s="13"/>
      <c r="OOD9" s="13"/>
      <c r="OOE9" s="13"/>
      <c r="OOF9" s="13"/>
      <c r="OOG9" s="13"/>
      <c r="OOH9" s="13"/>
      <c r="OOI9" s="13"/>
      <c r="OOJ9" s="13"/>
      <c r="OOK9" s="13"/>
      <c r="OOL9" s="13"/>
      <c r="OOM9" s="13"/>
      <c r="OON9" s="13"/>
      <c r="OOO9" s="13"/>
      <c r="OOP9" s="13"/>
      <c r="OOQ9" s="13"/>
      <c r="OOR9" s="13"/>
      <c r="OOS9" s="13"/>
      <c r="OOT9" s="13"/>
      <c r="OOU9" s="13"/>
      <c r="OOV9" s="13"/>
      <c r="OOW9" s="13"/>
      <c r="OOX9" s="13"/>
      <c r="OOY9" s="13"/>
      <c r="OOZ9" s="13"/>
      <c r="OPA9" s="13"/>
      <c r="OPB9" s="13"/>
      <c r="OPC9" s="13"/>
      <c r="OPD9" s="13"/>
      <c r="OPE9" s="13"/>
      <c r="OPF9" s="13"/>
      <c r="OPG9" s="13"/>
      <c r="OPH9" s="13"/>
      <c r="OPI9" s="13"/>
      <c r="OPJ9" s="13"/>
      <c r="OPK9" s="13"/>
      <c r="OPL9" s="13"/>
      <c r="OPM9" s="13"/>
      <c r="OPN9" s="13"/>
      <c r="OPO9" s="13"/>
      <c r="OPP9" s="13"/>
      <c r="OPQ9" s="13"/>
      <c r="OPR9" s="13"/>
      <c r="OPS9" s="13"/>
      <c r="OPT9" s="13"/>
      <c r="OPU9" s="13"/>
      <c r="OPV9" s="13"/>
      <c r="OPW9" s="13"/>
      <c r="OPX9" s="13"/>
      <c r="OPY9" s="13"/>
      <c r="OPZ9" s="13"/>
      <c r="OQA9" s="13"/>
      <c r="OQB9" s="13"/>
      <c r="OQC9" s="13"/>
      <c r="OQD9" s="13"/>
      <c r="OQE9" s="13"/>
      <c r="OQF9" s="13"/>
      <c r="OQG9" s="13"/>
      <c r="OQH9" s="13"/>
      <c r="OQI9" s="13"/>
      <c r="OQJ9" s="13"/>
      <c r="OQK9" s="13"/>
      <c r="OQL9" s="13"/>
      <c r="OQM9" s="13"/>
      <c r="OQN9" s="13"/>
      <c r="OQO9" s="13"/>
      <c r="OQP9" s="13"/>
      <c r="OQQ9" s="13"/>
      <c r="OQR9" s="13"/>
      <c r="OQS9" s="13"/>
      <c r="OQT9" s="13"/>
      <c r="OQU9" s="13"/>
      <c r="OQV9" s="13"/>
      <c r="OQW9" s="13"/>
      <c r="OQX9" s="13"/>
      <c r="OQY9" s="13"/>
      <c r="OQZ9" s="13"/>
      <c r="ORA9" s="13"/>
      <c r="ORB9" s="13"/>
      <c r="ORC9" s="13"/>
      <c r="ORD9" s="13"/>
      <c r="ORE9" s="13"/>
      <c r="ORF9" s="13"/>
      <c r="ORG9" s="13"/>
      <c r="ORH9" s="13"/>
      <c r="ORI9" s="13"/>
      <c r="ORJ9" s="13"/>
      <c r="ORK9" s="13"/>
      <c r="ORL9" s="13"/>
      <c r="ORM9" s="13"/>
      <c r="ORN9" s="13"/>
      <c r="ORO9" s="13"/>
      <c r="ORP9" s="13"/>
      <c r="ORQ9" s="13"/>
      <c r="ORR9" s="13"/>
      <c r="ORS9" s="13"/>
      <c r="ORT9" s="13"/>
      <c r="ORU9" s="13"/>
      <c r="ORV9" s="13"/>
      <c r="ORW9" s="13"/>
      <c r="ORX9" s="13"/>
      <c r="ORY9" s="13"/>
      <c r="ORZ9" s="13"/>
      <c r="OSA9" s="13"/>
      <c r="OSB9" s="13"/>
      <c r="OSC9" s="13"/>
      <c r="OSD9" s="13"/>
      <c r="OSE9" s="13"/>
      <c r="OSF9" s="13"/>
      <c r="OSG9" s="13"/>
      <c r="OSH9" s="13"/>
      <c r="OSI9" s="13"/>
      <c r="OSJ9" s="13"/>
      <c r="OSK9" s="13"/>
      <c r="OSL9" s="13"/>
      <c r="OSM9" s="13"/>
      <c r="OSN9" s="13"/>
      <c r="OSO9" s="13"/>
      <c r="OSP9" s="13"/>
      <c r="OSQ9" s="13"/>
      <c r="OSR9" s="13"/>
      <c r="OSS9" s="13"/>
      <c r="OST9" s="13"/>
      <c r="OSU9" s="13"/>
      <c r="OSV9" s="13"/>
      <c r="OSW9" s="13"/>
      <c r="OSX9" s="13"/>
      <c r="OSY9" s="13"/>
      <c r="OSZ9" s="13"/>
      <c r="OTA9" s="13"/>
      <c r="OTB9" s="13"/>
      <c r="OTC9" s="13"/>
      <c r="OTD9" s="13"/>
      <c r="OTE9" s="13"/>
      <c r="OTF9" s="13"/>
      <c r="OTG9" s="13"/>
      <c r="OTH9" s="13"/>
      <c r="OTI9" s="13"/>
      <c r="OTJ9" s="13"/>
      <c r="OTK9" s="13"/>
      <c r="OTL9" s="13"/>
      <c r="OTM9" s="13"/>
      <c r="OTN9" s="13"/>
      <c r="OTO9" s="13"/>
      <c r="OTP9" s="13"/>
      <c r="OTQ9" s="13"/>
      <c r="OTR9" s="13"/>
      <c r="OTS9" s="13"/>
      <c r="OTT9" s="13"/>
      <c r="OTU9" s="13"/>
      <c r="OTV9" s="13"/>
      <c r="OTW9" s="13"/>
      <c r="OTX9" s="13"/>
      <c r="OTY9" s="13"/>
      <c r="OTZ9" s="13"/>
      <c r="OUA9" s="13"/>
      <c r="OUB9" s="13"/>
      <c r="OUC9" s="13"/>
      <c r="OUD9" s="13"/>
      <c r="OUE9" s="13"/>
      <c r="OUF9" s="13"/>
      <c r="OUG9" s="13"/>
      <c r="OUH9" s="13"/>
      <c r="OUI9" s="13"/>
      <c r="OUJ9" s="13"/>
      <c r="OUK9" s="13"/>
      <c r="OUL9" s="13"/>
      <c r="OUM9" s="13"/>
      <c r="OUN9" s="13"/>
      <c r="OUO9" s="13"/>
      <c r="OUP9" s="13"/>
      <c r="OUQ9" s="13"/>
      <c r="OUR9" s="13"/>
      <c r="OUS9" s="13"/>
      <c r="OUT9" s="13"/>
      <c r="OUU9" s="13"/>
      <c r="OUV9" s="13"/>
      <c r="OUW9" s="13"/>
      <c r="OUX9" s="13"/>
      <c r="OUY9" s="13"/>
      <c r="OUZ9" s="13"/>
      <c r="OVA9" s="13"/>
      <c r="OVB9" s="13"/>
      <c r="OVC9" s="13"/>
      <c r="OVD9" s="13"/>
      <c r="OVE9" s="13"/>
      <c r="OVF9" s="13"/>
      <c r="OVG9" s="13"/>
      <c r="OVH9" s="13"/>
      <c r="OVI9" s="13"/>
      <c r="OVJ9" s="13"/>
      <c r="OVK9" s="13"/>
      <c r="OVL9" s="13"/>
      <c r="OVM9" s="13"/>
      <c r="OVN9" s="13"/>
      <c r="OVO9" s="13"/>
      <c r="OVP9" s="13"/>
      <c r="OVQ9" s="13"/>
      <c r="OVR9" s="13"/>
      <c r="OVS9" s="13"/>
      <c r="OVT9" s="13"/>
      <c r="OVU9" s="13"/>
      <c r="OVV9" s="13"/>
      <c r="OVW9" s="13"/>
      <c r="OVX9" s="13"/>
      <c r="OVY9" s="13"/>
      <c r="OVZ9" s="13"/>
      <c r="OWA9" s="13"/>
      <c r="OWB9" s="13"/>
      <c r="OWC9" s="13"/>
      <c r="OWD9" s="13"/>
      <c r="OWE9" s="13"/>
      <c r="OWF9" s="13"/>
      <c r="OWG9" s="13"/>
      <c r="OWH9" s="13"/>
      <c r="OWI9" s="13"/>
      <c r="OWJ9" s="13"/>
      <c r="OWK9" s="13"/>
      <c r="OWL9" s="13"/>
      <c r="OWM9" s="13"/>
      <c r="OWN9" s="13"/>
      <c r="OWO9" s="13"/>
      <c r="OWP9" s="13"/>
      <c r="OWQ9" s="13"/>
      <c r="OWR9" s="13"/>
      <c r="OWS9" s="13"/>
      <c r="OWT9" s="13"/>
      <c r="OWU9" s="13"/>
      <c r="OWV9" s="13"/>
      <c r="OWW9" s="13"/>
      <c r="OWX9" s="13"/>
      <c r="OWY9" s="13"/>
      <c r="OWZ9" s="13"/>
      <c r="OXA9" s="13"/>
      <c r="OXB9" s="13"/>
      <c r="OXC9" s="13"/>
      <c r="OXD9" s="13"/>
      <c r="OXE9" s="13"/>
      <c r="OXF9" s="13"/>
      <c r="OXG9" s="13"/>
      <c r="OXH9" s="13"/>
      <c r="OXI9" s="13"/>
      <c r="OXJ9" s="13"/>
      <c r="OXK9" s="13"/>
      <c r="OXL9" s="13"/>
      <c r="OXM9" s="13"/>
      <c r="OXN9" s="13"/>
      <c r="OXO9" s="13"/>
      <c r="OXP9" s="13"/>
      <c r="OXQ9" s="13"/>
      <c r="OXR9" s="13"/>
      <c r="OXS9" s="13"/>
      <c r="OXT9" s="13"/>
      <c r="OXU9" s="13"/>
      <c r="OXV9" s="13"/>
      <c r="OXW9" s="13"/>
      <c r="OXX9" s="13"/>
      <c r="OXY9" s="13"/>
      <c r="OXZ9" s="13"/>
      <c r="OYA9" s="13"/>
      <c r="OYB9" s="13"/>
      <c r="OYC9" s="13"/>
      <c r="OYD9" s="13"/>
      <c r="OYE9" s="13"/>
      <c r="OYF9" s="13"/>
      <c r="OYG9" s="13"/>
      <c r="OYH9" s="13"/>
      <c r="OYI9" s="13"/>
      <c r="OYJ9" s="13"/>
      <c r="OYK9" s="13"/>
      <c r="OYL9" s="13"/>
      <c r="OYM9" s="13"/>
      <c r="OYN9" s="13"/>
      <c r="OYO9" s="13"/>
      <c r="OYP9" s="13"/>
      <c r="OYQ9" s="13"/>
      <c r="OYR9" s="13"/>
      <c r="OYS9" s="13"/>
      <c r="OYT9" s="13"/>
      <c r="OYU9" s="13"/>
      <c r="OYV9" s="13"/>
      <c r="OYW9" s="13"/>
      <c r="OYX9" s="13"/>
      <c r="OYY9" s="13"/>
      <c r="OYZ9" s="13"/>
      <c r="OZA9" s="13"/>
      <c r="OZB9" s="13"/>
      <c r="OZC9" s="13"/>
      <c r="OZD9" s="13"/>
      <c r="OZE9" s="13"/>
      <c r="OZF9" s="13"/>
      <c r="OZG9" s="13"/>
      <c r="OZH9" s="13"/>
      <c r="OZI9" s="13"/>
      <c r="OZJ9" s="13"/>
      <c r="OZK9" s="13"/>
      <c r="OZL9" s="13"/>
      <c r="OZM9" s="13"/>
      <c r="OZN9" s="13"/>
      <c r="OZO9" s="13"/>
      <c r="OZP9" s="13"/>
      <c r="OZQ9" s="13"/>
      <c r="OZR9" s="13"/>
      <c r="OZS9" s="13"/>
      <c r="OZT9" s="13"/>
      <c r="OZU9" s="13"/>
      <c r="OZV9" s="13"/>
      <c r="OZW9" s="13"/>
      <c r="OZX9" s="13"/>
      <c r="OZY9" s="13"/>
      <c r="OZZ9" s="13"/>
      <c r="PAA9" s="13"/>
      <c r="PAB9" s="13"/>
      <c r="PAC9" s="13"/>
      <c r="PAD9" s="13"/>
      <c r="PAE9" s="13"/>
      <c r="PAF9" s="13"/>
      <c r="PAG9" s="13"/>
      <c r="PAH9" s="13"/>
      <c r="PAI9" s="13"/>
      <c r="PAJ9" s="13"/>
      <c r="PAK9" s="13"/>
      <c r="PAL9" s="13"/>
      <c r="PAM9" s="13"/>
      <c r="PAN9" s="13"/>
      <c r="PAO9" s="13"/>
      <c r="PAP9" s="13"/>
      <c r="PAQ9" s="13"/>
      <c r="PAR9" s="13"/>
      <c r="PAS9" s="13"/>
      <c r="PAT9" s="13"/>
      <c r="PAU9" s="13"/>
      <c r="PAV9" s="13"/>
      <c r="PAW9" s="13"/>
      <c r="PAX9" s="13"/>
      <c r="PAY9" s="13"/>
      <c r="PAZ9" s="13"/>
      <c r="PBA9" s="13"/>
      <c r="PBB9" s="13"/>
      <c r="PBC9" s="13"/>
      <c r="PBD9" s="13"/>
      <c r="PBE9" s="13"/>
      <c r="PBF9" s="13"/>
      <c r="PBG9" s="13"/>
      <c r="PBH9" s="13"/>
      <c r="PBI9" s="13"/>
      <c r="PBJ9" s="13"/>
      <c r="PBK9" s="13"/>
      <c r="PBL9" s="13"/>
      <c r="PBM9" s="13"/>
      <c r="PBN9" s="13"/>
      <c r="PBO9" s="13"/>
      <c r="PBP9" s="13"/>
      <c r="PBQ9" s="13"/>
      <c r="PBR9" s="13"/>
      <c r="PBS9" s="13"/>
      <c r="PBT9" s="13"/>
      <c r="PBU9" s="13"/>
      <c r="PBV9" s="13"/>
      <c r="PBW9" s="13"/>
      <c r="PBX9" s="13"/>
      <c r="PBY9" s="13"/>
      <c r="PBZ9" s="13"/>
      <c r="PCA9" s="13"/>
      <c r="PCB9" s="13"/>
      <c r="PCC9" s="13"/>
      <c r="PCD9" s="13"/>
      <c r="PCE9" s="13"/>
      <c r="PCF9" s="13"/>
      <c r="PCG9" s="13"/>
      <c r="PCH9" s="13"/>
      <c r="PCI9" s="13"/>
      <c r="PCJ9" s="13"/>
      <c r="PCK9" s="13"/>
      <c r="PCL9" s="13"/>
      <c r="PCM9" s="13"/>
      <c r="PCN9" s="13"/>
      <c r="PCO9" s="13"/>
      <c r="PCP9" s="13"/>
      <c r="PCQ9" s="13"/>
      <c r="PCR9" s="13"/>
      <c r="PCS9" s="13"/>
      <c r="PCT9" s="13"/>
      <c r="PCU9" s="13"/>
      <c r="PCV9" s="13"/>
      <c r="PCW9" s="13"/>
      <c r="PCX9" s="13"/>
      <c r="PCY9" s="13"/>
      <c r="PCZ9" s="13"/>
      <c r="PDA9" s="13"/>
      <c r="PDB9" s="13"/>
      <c r="PDC9" s="13"/>
      <c r="PDD9" s="13"/>
      <c r="PDE9" s="13"/>
      <c r="PDF9" s="13"/>
      <c r="PDG9" s="13"/>
      <c r="PDH9" s="13"/>
      <c r="PDI9" s="13"/>
      <c r="PDJ9" s="13"/>
      <c r="PDK9" s="13"/>
      <c r="PDL9" s="13"/>
      <c r="PDM9" s="13"/>
      <c r="PDN9" s="13"/>
      <c r="PDO9" s="13"/>
      <c r="PDP9" s="13"/>
      <c r="PDQ9" s="13"/>
      <c r="PDR9" s="13"/>
      <c r="PDS9" s="13"/>
      <c r="PDT9" s="13"/>
      <c r="PDU9" s="13"/>
      <c r="PDV9" s="13"/>
      <c r="PDW9" s="13"/>
      <c r="PDX9" s="13"/>
      <c r="PDY9" s="13"/>
      <c r="PDZ9" s="13"/>
      <c r="PEA9" s="13"/>
      <c r="PEB9" s="13"/>
      <c r="PEC9" s="13"/>
      <c r="PED9" s="13"/>
      <c r="PEE9" s="13"/>
      <c r="PEF9" s="13"/>
      <c r="PEG9" s="13"/>
      <c r="PEH9" s="13"/>
      <c r="PEI9" s="13"/>
      <c r="PEJ9" s="13"/>
      <c r="PEK9" s="13"/>
      <c r="PEL9" s="13"/>
      <c r="PEM9" s="13"/>
      <c r="PEN9" s="13"/>
      <c r="PEO9" s="13"/>
      <c r="PEP9" s="13"/>
      <c r="PEQ9" s="13"/>
      <c r="PER9" s="13"/>
      <c r="PES9" s="13"/>
      <c r="PET9" s="13"/>
      <c r="PEU9" s="13"/>
      <c r="PEV9" s="13"/>
      <c r="PEW9" s="13"/>
      <c r="PEX9" s="13"/>
      <c r="PEY9" s="13"/>
      <c r="PEZ9" s="13"/>
      <c r="PFA9" s="13"/>
      <c r="PFB9" s="13"/>
      <c r="PFC9" s="13"/>
      <c r="PFD9" s="13"/>
      <c r="PFE9" s="13"/>
      <c r="PFF9" s="13"/>
      <c r="PFG9" s="13"/>
      <c r="PFH9" s="13"/>
      <c r="PFI9" s="13"/>
      <c r="PFJ9" s="13"/>
      <c r="PFK9" s="13"/>
      <c r="PFL9" s="13"/>
      <c r="PFM9" s="13"/>
      <c r="PFN9" s="13"/>
      <c r="PFO9" s="13"/>
      <c r="PFP9" s="13"/>
      <c r="PFQ9" s="13"/>
      <c r="PFR9" s="13"/>
      <c r="PFS9" s="13"/>
      <c r="PFT9" s="13"/>
      <c r="PFU9" s="13"/>
      <c r="PFV9" s="13"/>
      <c r="PFW9" s="13"/>
      <c r="PFX9" s="13"/>
      <c r="PFY9" s="13"/>
      <c r="PFZ9" s="13"/>
      <c r="PGA9" s="13"/>
      <c r="PGB9" s="13"/>
      <c r="PGC9" s="13"/>
      <c r="PGD9" s="13"/>
      <c r="PGE9" s="13"/>
      <c r="PGF9" s="13"/>
      <c r="PGG9" s="13"/>
      <c r="PGH9" s="13"/>
      <c r="PGI9" s="13"/>
      <c r="PGJ9" s="13"/>
      <c r="PGK9" s="13"/>
      <c r="PGL9" s="13"/>
      <c r="PGM9" s="13"/>
      <c r="PGN9" s="13"/>
      <c r="PGO9" s="13"/>
      <c r="PGP9" s="13"/>
      <c r="PGQ9" s="13"/>
      <c r="PGR9" s="13"/>
      <c r="PGS9" s="13"/>
      <c r="PGT9" s="13"/>
      <c r="PGU9" s="13"/>
      <c r="PGV9" s="13"/>
      <c r="PGW9" s="13"/>
      <c r="PGX9" s="13"/>
      <c r="PGY9" s="13"/>
      <c r="PGZ9" s="13"/>
      <c r="PHA9" s="13"/>
      <c r="PHB9" s="13"/>
      <c r="PHC9" s="13"/>
      <c r="PHD9" s="13"/>
      <c r="PHE9" s="13"/>
      <c r="PHF9" s="13"/>
      <c r="PHG9" s="13"/>
      <c r="PHH9" s="13"/>
      <c r="PHI9" s="13"/>
      <c r="PHJ9" s="13"/>
      <c r="PHK9" s="13"/>
      <c r="PHL9" s="13"/>
      <c r="PHM9" s="13"/>
      <c r="PHN9" s="13"/>
      <c r="PHO9" s="13"/>
      <c r="PHP9" s="13"/>
      <c r="PHQ9" s="13"/>
      <c r="PHR9" s="13"/>
      <c r="PHS9" s="13"/>
      <c r="PHT9" s="13"/>
      <c r="PHU9" s="13"/>
      <c r="PHV9" s="13"/>
      <c r="PHW9" s="13"/>
      <c r="PHX9" s="13"/>
      <c r="PHY9" s="13"/>
      <c r="PHZ9" s="13"/>
      <c r="PIA9" s="13"/>
      <c r="PIB9" s="13"/>
      <c r="PIC9" s="13"/>
      <c r="PID9" s="13"/>
      <c r="PIE9" s="13"/>
      <c r="PIF9" s="13"/>
      <c r="PIG9" s="13"/>
      <c r="PIH9" s="13"/>
      <c r="PII9" s="13"/>
      <c r="PIJ9" s="13"/>
      <c r="PIK9" s="13"/>
      <c r="PIL9" s="13"/>
      <c r="PIM9" s="13"/>
      <c r="PIN9" s="13"/>
      <c r="PIO9" s="13"/>
      <c r="PIP9" s="13"/>
      <c r="PIQ9" s="13"/>
      <c r="PIR9" s="13"/>
      <c r="PIS9" s="13"/>
      <c r="PIT9" s="13"/>
      <c r="PIU9" s="13"/>
      <c r="PIV9" s="13"/>
      <c r="PIW9" s="13"/>
      <c r="PIX9" s="13"/>
      <c r="PIY9" s="13"/>
      <c r="PIZ9" s="13"/>
      <c r="PJA9" s="13"/>
      <c r="PJB9" s="13"/>
      <c r="PJC9" s="13"/>
      <c r="PJD9" s="13"/>
      <c r="PJE9" s="13"/>
      <c r="PJF9" s="13"/>
      <c r="PJG9" s="13"/>
      <c r="PJH9" s="13"/>
      <c r="PJI9" s="13"/>
      <c r="PJJ9" s="13"/>
      <c r="PJK9" s="13"/>
      <c r="PJL9" s="13"/>
      <c r="PJM9" s="13"/>
      <c r="PJN9" s="13"/>
      <c r="PJO9" s="13"/>
      <c r="PJP9" s="13"/>
      <c r="PJQ9" s="13"/>
      <c r="PJR9" s="13"/>
      <c r="PJS9" s="13"/>
      <c r="PJT9" s="13"/>
      <c r="PJU9" s="13"/>
      <c r="PJV9" s="13"/>
      <c r="PJW9" s="13"/>
      <c r="PJX9" s="13"/>
      <c r="PJY9" s="13"/>
      <c r="PJZ9" s="13"/>
      <c r="PKA9" s="13"/>
      <c r="PKB9" s="13"/>
      <c r="PKC9" s="13"/>
      <c r="PKD9" s="13"/>
      <c r="PKE9" s="13"/>
      <c r="PKF9" s="13"/>
      <c r="PKG9" s="13"/>
      <c r="PKH9" s="13"/>
      <c r="PKI9" s="13"/>
      <c r="PKJ9" s="13"/>
      <c r="PKK9" s="13"/>
      <c r="PKL9" s="13"/>
      <c r="PKM9" s="13"/>
      <c r="PKN9" s="13"/>
      <c r="PKO9" s="13"/>
      <c r="PKP9" s="13"/>
      <c r="PKQ9" s="13"/>
      <c r="PKR9" s="13"/>
      <c r="PKS9" s="13"/>
      <c r="PKT9" s="13"/>
      <c r="PKU9" s="13"/>
      <c r="PKV9" s="13"/>
      <c r="PKW9" s="13"/>
      <c r="PKX9" s="13"/>
      <c r="PKY9" s="13"/>
      <c r="PKZ9" s="13"/>
      <c r="PLA9" s="13"/>
      <c r="PLB9" s="13"/>
      <c r="PLC9" s="13"/>
      <c r="PLD9" s="13"/>
      <c r="PLE9" s="13"/>
      <c r="PLF9" s="13"/>
      <c r="PLG9" s="13"/>
      <c r="PLH9" s="13"/>
      <c r="PLI9" s="13"/>
      <c r="PLJ9" s="13"/>
      <c r="PLK9" s="13"/>
      <c r="PLL9" s="13"/>
      <c r="PLM9" s="13"/>
      <c r="PLN9" s="13"/>
      <c r="PLO9" s="13"/>
      <c r="PLP9" s="13"/>
      <c r="PLQ9" s="13"/>
      <c r="PLR9" s="13"/>
      <c r="PLS9" s="13"/>
      <c r="PLT9" s="13"/>
      <c r="PLU9" s="13"/>
      <c r="PLV9" s="13"/>
      <c r="PLW9" s="13"/>
      <c r="PLX9" s="13"/>
      <c r="PLY9" s="13"/>
      <c r="PLZ9" s="13"/>
      <c r="PMA9" s="13"/>
      <c r="PMB9" s="13"/>
      <c r="PMC9" s="13"/>
      <c r="PMD9" s="13"/>
      <c r="PME9" s="13"/>
      <c r="PMF9" s="13"/>
      <c r="PMG9" s="13"/>
      <c r="PMH9" s="13"/>
      <c r="PMI9" s="13"/>
      <c r="PMJ9" s="13"/>
      <c r="PMK9" s="13"/>
      <c r="PML9" s="13"/>
      <c r="PMM9" s="13"/>
      <c r="PMN9" s="13"/>
      <c r="PMO9" s="13"/>
      <c r="PMP9" s="13"/>
      <c r="PMQ9" s="13"/>
      <c r="PMR9" s="13"/>
      <c r="PMS9" s="13"/>
      <c r="PMT9" s="13"/>
      <c r="PMU9" s="13"/>
      <c r="PMV9" s="13"/>
      <c r="PMW9" s="13"/>
      <c r="PMX9" s="13"/>
      <c r="PMY9" s="13"/>
      <c r="PMZ9" s="13"/>
      <c r="PNA9" s="13"/>
      <c r="PNB9" s="13"/>
      <c r="PNC9" s="13"/>
      <c r="PND9" s="13"/>
      <c r="PNE9" s="13"/>
      <c r="PNF9" s="13"/>
      <c r="PNG9" s="13"/>
      <c r="PNH9" s="13"/>
      <c r="PNI9" s="13"/>
      <c r="PNJ9" s="13"/>
      <c r="PNK9" s="13"/>
      <c r="PNL9" s="13"/>
      <c r="PNM9" s="13"/>
      <c r="PNN9" s="13"/>
      <c r="PNO9" s="13"/>
      <c r="PNP9" s="13"/>
      <c r="PNQ9" s="13"/>
      <c r="PNR9" s="13"/>
      <c r="PNS9" s="13"/>
      <c r="PNT9" s="13"/>
      <c r="PNU9" s="13"/>
      <c r="PNV9" s="13"/>
      <c r="PNW9" s="13"/>
      <c r="PNX9" s="13"/>
      <c r="PNY9" s="13"/>
      <c r="PNZ9" s="13"/>
      <c r="POA9" s="13"/>
      <c r="POB9" s="13"/>
      <c r="POC9" s="13"/>
      <c r="POD9" s="13"/>
      <c r="POE9" s="13"/>
      <c r="POF9" s="13"/>
      <c r="POG9" s="13"/>
      <c r="POH9" s="13"/>
      <c r="POI9" s="13"/>
      <c r="POJ9" s="13"/>
      <c r="POK9" s="13"/>
      <c r="POL9" s="13"/>
      <c r="POM9" s="13"/>
      <c r="PON9" s="13"/>
      <c r="POO9" s="13"/>
      <c r="POP9" s="13"/>
      <c r="POQ9" s="13"/>
      <c r="POR9" s="13"/>
      <c r="POS9" s="13"/>
      <c r="POT9" s="13"/>
      <c r="POU9" s="13"/>
      <c r="POV9" s="13"/>
      <c r="POW9" s="13"/>
      <c r="POX9" s="13"/>
      <c r="POY9" s="13"/>
      <c r="POZ9" s="13"/>
      <c r="PPA9" s="13"/>
      <c r="PPB9" s="13"/>
      <c r="PPC9" s="13"/>
      <c r="PPD9" s="13"/>
      <c r="PPE9" s="13"/>
      <c r="PPF9" s="13"/>
      <c r="PPG9" s="13"/>
      <c r="PPH9" s="13"/>
      <c r="PPI9" s="13"/>
      <c r="PPJ9" s="13"/>
      <c r="PPK9" s="13"/>
      <c r="PPL9" s="13"/>
      <c r="PPM9" s="13"/>
      <c r="PPN9" s="13"/>
      <c r="PPO9" s="13"/>
      <c r="PPP9" s="13"/>
      <c r="PPQ9" s="13"/>
      <c r="PPR9" s="13"/>
      <c r="PPS9" s="13"/>
      <c r="PPT9" s="13"/>
      <c r="PPU9" s="13"/>
      <c r="PPV9" s="13"/>
      <c r="PPW9" s="13"/>
      <c r="PPX9" s="13"/>
      <c r="PPY9" s="13"/>
      <c r="PPZ9" s="13"/>
      <c r="PQA9" s="13"/>
      <c r="PQB9" s="13"/>
      <c r="PQC9" s="13"/>
      <c r="PQD9" s="13"/>
      <c r="PQE9" s="13"/>
      <c r="PQF9" s="13"/>
      <c r="PQG9" s="13"/>
      <c r="PQH9" s="13"/>
      <c r="PQI9" s="13"/>
      <c r="PQJ9" s="13"/>
      <c r="PQK9" s="13"/>
      <c r="PQL9" s="13"/>
      <c r="PQM9" s="13"/>
      <c r="PQN9" s="13"/>
      <c r="PQO9" s="13"/>
      <c r="PQP9" s="13"/>
      <c r="PQQ9" s="13"/>
      <c r="PQR9" s="13"/>
      <c r="PQS9" s="13"/>
      <c r="PQT9" s="13"/>
      <c r="PQU9" s="13"/>
      <c r="PQV9" s="13"/>
      <c r="PQW9" s="13"/>
      <c r="PQX9" s="13"/>
      <c r="PQY9" s="13"/>
      <c r="PQZ9" s="13"/>
      <c r="PRA9" s="13"/>
      <c r="PRB9" s="13"/>
      <c r="PRC9" s="13"/>
      <c r="PRD9" s="13"/>
      <c r="PRE9" s="13"/>
      <c r="PRF9" s="13"/>
      <c r="PRG9" s="13"/>
      <c r="PRH9" s="13"/>
      <c r="PRI9" s="13"/>
      <c r="PRJ9" s="13"/>
      <c r="PRK9" s="13"/>
      <c r="PRL9" s="13"/>
      <c r="PRM9" s="13"/>
      <c r="PRN9" s="13"/>
      <c r="PRO9" s="13"/>
      <c r="PRP9" s="13"/>
      <c r="PRQ9" s="13"/>
      <c r="PRR9" s="13"/>
      <c r="PRS9" s="13"/>
      <c r="PRT9" s="13"/>
      <c r="PRU9" s="13"/>
      <c r="PRV9" s="13"/>
      <c r="PRW9" s="13"/>
      <c r="PRX9" s="13"/>
      <c r="PRY9" s="13"/>
      <c r="PRZ9" s="13"/>
      <c r="PSA9" s="13"/>
      <c r="PSB9" s="13"/>
      <c r="PSC9" s="13"/>
      <c r="PSD9" s="13"/>
      <c r="PSE9" s="13"/>
      <c r="PSF9" s="13"/>
      <c r="PSG9" s="13"/>
      <c r="PSH9" s="13"/>
      <c r="PSI9" s="13"/>
      <c r="PSJ9" s="13"/>
      <c r="PSK9" s="13"/>
      <c r="PSL9" s="13"/>
      <c r="PSM9" s="13"/>
      <c r="PSN9" s="13"/>
      <c r="PSO9" s="13"/>
      <c r="PSP9" s="13"/>
      <c r="PSQ9" s="13"/>
      <c r="PSR9" s="13"/>
      <c r="PSS9" s="13"/>
      <c r="PST9" s="13"/>
      <c r="PSU9" s="13"/>
      <c r="PSV9" s="13"/>
      <c r="PSW9" s="13"/>
      <c r="PSX9" s="13"/>
      <c r="PSY9" s="13"/>
      <c r="PSZ9" s="13"/>
      <c r="PTA9" s="13"/>
      <c r="PTB9" s="13"/>
      <c r="PTC9" s="13"/>
      <c r="PTD9" s="13"/>
      <c r="PTE9" s="13"/>
      <c r="PTF9" s="13"/>
      <c r="PTG9" s="13"/>
      <c r="PTH9" s="13"/>
      <c r="PTI9" s="13"/>
      <c r="PTJ9" s="13"/>
      <c r="PTK9" s="13"/>
      <c r="PTL9" s="13"/>
      <c r="PTM9" s="13"/>
      <c r="PTN9" s="13"/>
      <c r="PTO9" s="13"/>
      <c r="PTP9" s="13"/>
      <c r="PTQ9" s="13"/>
      <c r="PTR9" s="13"/>
      <c r="PTS9" s="13"/>
      <c r="PTT9" s="13"/>
      <c r="PTU9" s="13"/>
      <c r="PTV9" s="13"/>
      <c r="PTW9" s="13"/>
      <c r="PTX9" s="13"/>
      <c r="PTY9" s="13"/>
      <c r="PTZ9" s="13"/>
      <c r="PUA9" s="13"/>
      <c r="PUB9" s="13"/>
      <c r="PUC9" s="13"/>
      <c r="PUD9" s="13"/>
      <c r="PUE9" s="13"/>
      <c r="PUF9" s="13"/>
      <c r="PUG9" s="13"/>
      <c r="PUH9" s="13"/>
      <c r="PUI9" s="13"/>
      <c r="PUJ9" s="13"/>
      <c r="PUK9" s="13"/>
      <c r="PUL9" s="13"/>
      <c r="PUM9" s="13"/>
      <c r="PUN9" s="13"/>
      <c r="PUO9" s="13"/>
      <c r="PUP9" s="13"/>
      <c r="PUQ9" s="13"/>
      <c r="PUR9" s="13"/>
      <c r="PUS9" s="13"/>
      <c r="PUT9" s="13"/>
      <c r="PUU9" s="13"/>
      <c r="PUV9" s="13"/>
      <c r="PUW9" s="13"/>
      <c r="PUX9" s="13"/>
      <c r="PUY9" s="13"/>
      <c r="PUZ9" s="13"/>
      <c r="PVA9" s="13"/>
      <c r="PVB9" s="13"/>
      <c r="PVC9" s="13"/>
      <c r="PVD9" s="13"/>
      <c r="PVE9" s="13"/>
      <c r="PVF9" s="13"/>
      <c r="PVG9" s="13"/>
      <c r="PVH9" s="13"/>
      <c r="PVI9" s="13"/>
      <c r="PVJ9" s="13"/>
      <c r="PVK9" s="13"/>
      <c r="PVL9" s="13"/>
      <c r="PVM9" s="13"/>
      <c r="PVN9" s="13"/>
      <c r="PVO9" s="13"/>
      <c r="PVP9" s="13"/>
      <c r="PVQ9" s="13"/>
      <c r="PVR9" s="13"/>
      <c r="PVS9" s="13"/>
      <c r="PVT9" s="13"/>
      <c r="PVU9" s="13"/>
      <c r="PVV9" s="13"/>
      <c r="PVW9" s="13"/>
      <c r="PVX9" s="13"/>
      <c r="PVY9" s="13"/>
      <c r="PVZ9" s="13"/>
      <c r="PWA9" s="13"/>
      <c r="PWB9" s="13"/>
      <c r="PWC9" s="13"/>
      <c r="PWD9" s="13"/>
      <c r="PWE9" s="13"/>
      <c r="PWF9" s="13"/>
      <c r="PWG9" s="13"/>
      <c r="PWH9" s="13"/>
      <c r="PWI9" s="13"/>
      <c r="PWJ9" s="13"/>
      <c r="PWK9" s="13"/>
      <c r="PWL9" s="13"/>
      <c r="PWM9" s="13"/>
      <c r="PWN9" s="13"/>
      <c r="PWO9" s="13"/>
      <c r="PWP9" s="13"/>
      <c r="PWQ9" s="13"/>
      <c r="PWR9" s="13"/>
      <c r="PWS9" s="13"/>
      <c r="PWT9" s="13"/>
      <c r="PWU9" s="13"/>
      <c r="PWV9" s="13"/>
      <c r="PWW9" s="13"/>
      <c r="PWX9" s="13"/>
      <c r="PWY9" s="13"/>
      <c r="PWZ9" s="13"/>
      <c r="PXA9" s="13"/>
      <c r="PXB9" s="13"/>
      <c r="PXC9" s="13"/>
      <c r="PXD9" s="13"/>
      <c r="PXE9" s="13"/>
      <c r="PXF9" s="13"/>
      <c r="PXG9" s="13"/>
      <c r="PXH9" s="13"/>
      <c r="PXI9" s="13"/>
      <c r="PXJ9" s="13"/>
      <c r="PXK9" s="13"/>
      <c r="PXL9" s="13"/>
      <c r="PXM9" s="13"/>
      <c r="PXN9" s="13"/>
      <c r="PXO9" s="13"/>
      <c r="PXP9" s="13"/>
      <c r="PXQ9" s="13"/>
      <c r="PXR9" s="13"/>
      <c r="PXS9" s="13"/>
      <c r="PXT9" s="13"/>
      <c r="PXU9" s="13"/>
      <c r="PXV9" s="13"/>
      <c r="PXW9" s="13"/>
      <c r="PXX9" s="13"/>
      <c r="PXY9" s="13"/>
      <c r="PXZ9" s="13"/>
      <c r="PYA9" s="13"/>
      <c r="PYB9" s="13"/>
      <c r="PYC9" s="13"/>
      <c r="PYD9" s="13"/>
      <c r="PYE9" s="13"/>
      <c r="PYF9" s="13"/>
      <c r="PYG9" s="13"/>
      <c r="PYH9" s="13"/>
      <c r="PYI9" s="13"/>
      <c r="PYJ9" s="13"/>
      <c r="PYK9" s="13"/>
      <c r="PYL9" s="13"/>
      <c r="PYM9" s="13"/>
      <c r="PYN9" s="13"/>
      <c r="PYO9" s="13"/>
      <c r="PYP9" s="13"/>
      <c r="PYQ9" s="13"/>
      <c r="PYR9" s="13"/>
      <c r="PYS9" s="13"/>
      <c r="PYT9" s="13"/>
      <c r="PYU9" s="13"/>
      <c r="PYV9" s="13"/>
      <c r="PYW9" s="13"/>
      <c r="PYX9" s="13"/>
      <c r="PYY9" s="13"/>
      <c r="PYZ9" s="13"/>
      <c r="PZA9" s="13"/>
      <c r="PZB9" s="13"/>
      <c r="PZC9" s="13"/>
      <c r="PZD9" s="13"/>
      <c r="PZE9" s="13"/>
      <c r="PZF9" s="13"/>
      <c r="PZG9" s="13"/>
      <c r="PZH9" s="13"/>
      <c r="PZI9" s="13"/>
      <c r="PZJ9" s="13"/>
      <c r="PZK9" s="13"/>
      <c r="PZL9" s="13"/>
      <c r="PZM9" s="13"/>
      <c r="PZN9" s="13"/>
      <c r="PZO9" s="13"/>
      <c r="PZP9" s="13"/>
      <c r="PZQ9" s="13"/>
      <c r="PZR9" s="13"/>
      <c r="PZS9" s="13"/>
      <c r="PZT9" s="13"/>
      <c r="PZU9" s="13"/>
      <c r="PZV9" s="13"/>
      <c r="PZW9" s="13"/>
      <c r="PZX9" s="13"/>
      <c r="PZY9" s="13"/>
      <c r="PZZ9" s="13"/>
      <c r="QAA9" s="13"/>
      <c r="QAB9" s="13"/>
      <c r="QAC9" s="13"/>
      <c r="QAD9" s="13"/>
      <c r="QAE9" s="13"/>
      <c r="QAF9" s="13"/>
      <c r="QAG9" s="13"/>
      <c r="QAH9" s="13"/>
      <c r="QAI9" s="13"/>
      <c r="QAJ9" s="13"/>
      <c r="QAK9" s="13"/>
      <c r="QAL9" s="13"/>
      <c r="QAM9" s="13"/>
      <c r="QAN9" s="13"/>
      <c r="QAO9" s="13"/>
      <c r="QAP9" s="13"/>
      <c r="QAQ9" s="13"/>
      <c r="QAR9" s="13"/>
      <c r="QAS9" s="13"/>
      <c r="QAT9" s="13"/>
      <c r="QAU9" s="13"/>
      <c r="QAV9" s="13"/>
      <c r="QAW9" s="13"/>
      <c r="QAX9" s="13"/>
      <c r="QAY9" s="13"/>
      <c r="QAZ9" s="13"/>
      <c r="QBA9" s="13"/>
      <c r="QBB9" s="13"/>
      <c r="QBC9" s="13"/>
      <c r="QBD9" s="13"/>
      <c r="QBE9" s="13"/>
      <c r="QBF9" s="13"/>
      <c r="QBG9" s="13"/>
      <c r="QBH9" s="13"/>
      <c r="QBI9" s="13"/>
      <c r="QBJ9" s="13"/>
      <c r="QBK9" s="13"/>
      <c r="QBL9" s="13"/>
      <c r="QBM9" s="13"/>
      <c r="QBN9" s="13"/>
      <c r="QBO9" s="13"/>
      <c r="QBP9" s="13"/>
      <c r="QBQ9" s="13"/>
      <c r="QBR9" s="13"/>
      <c r="QBS9" s="13"/>
      <c r="QBT9" s="13"/>
      <c r="QBU9" s="13"/>
      <c r="QBV9" s="13"/>
      <c r="QBW9" s="13"/>
      <c r="QBX9" s="13"/>
      <c r="QBY9" s="13"/>
      <c r="QBZ9" s="13"/>
      <c r="QCA9" s="13"/>
      <c r="QCB9" s="13"/>
      <c r="QCC9" s="13"/>
      <c r="QCD9" s="13"/>
      <c r="QCE9" s="13"/>
      <c r="QCF9" s="13"/>
      <c r="QCG9" s="13"/>
      <c r="QCH9" s="13"/>
      <c r="QCI9" s="13"/>
      <c r="QCJ9" s="13"/>
      <c r="QCK9" s="13"/>
      <c r="QCL9" s="13"/>
      <c r="QCM9" s="13"/>
      <c r="QCN9" s="13"/>
      <c r="QCO9" s="13"/>
      <c r="QCP9" s="13"/>
      <c r="QCQ9" s="13"/>
      <c r="QCR9" s="13"/>
      <c r="QCS9" s="13"/>
      <c r="QCT9" s="13"/>
      <c r="QCU9" s="13"/>
      <c r="QCV9" s="13"/>
      <c r="QCW9" s="13"/>
      <c r="QCX9" s="13"/>
      <c r="QCY9" s="13"/>
      <c r="QCZ9" s="13"/>
      <c r="QDA9" s="13"/>
      <c r="QDB9" s="13"/>
      <c r="QDC9" s="13"/>
      <c r="QDD9" s="13"/>
      <c r="QDE9" s="13"/>
      <c r="QDF9" s="13"/>
      <c r="QDG9" s="13"/>
      <c r="QDH9" s="13"/>
      <c r="QDI9" s="13"/>
      <c r="QDJ9" s="13"/>
      <c r="QDK9" s="13"/>
      <c r="QDL9" s="13"/>
      <c r="QDM9" s="13"/>
      <c r="QDN9" s="13"/>
      <c r="QDO9" s="13"/>
      <c r="QDP9" s="13"/>
      <c r="QDQ9" s="13"/>
      <c r="QDR9" s="13"/>
      <c r="QDS9" s="13"/>
      <c r="QDT9" s="13"/>
      <c r="QDU9" s="13"/>
      <c r="QDV9" s="13"/>
      <c r="QDW9" s="13"/>
      <c r="QDX9" s="13"/>
      <c r="QDY9" s="13"/>
      <c r="QDZ9" s="13"/>
      <c r="QEA9" s="13"/>
      <c r="QEB9" s="13"/>
      <c r="QEC9" s="13"/>
      <c r="QED9" s="13"/>
      <c r="QEE9" s="13"/>
      <c r="QEF9" s="13"/>
      <c r="QEG9" s="13"/>
      <c r="QEH9" s="13"/>
      <c r="QEI9" s="13"/>
      <c r="QEJ9" s="13"/>
      <c r="QEK9" s="13"/>
      <c r="QEL9" s="13"/>
      <c r="QEM9" s="13"/>
      <c r="QEN9" s="13"/>
      <c r="QEO9" s="13"/>
      <c r="QEP9" s="13"/>
      <c r="QEQ9" s="13"/>
      <c r="QER9" s="13"/>
      <c r="QES9" s="13"/>
      <c r="QET9" s="13"/>
      <c r="QEU9" s="13"/>
      <c r="QEV9" s="13"/>
      <c r="QEW9" s="13"/>
      <c r="QEX9" s="13"/>
      <c r="QEY9" s="13"/>
      <c r="QEZ9" s="13"/>
      <c r="QFA9" s="13"/>
      <c r="QFB9" s="13"/>
      <c r="QFC9" s="13"/>
      <c r="QFD9" s="13"/>
      <c r="QFE9" s="13"/>
      <c r="QFF9" s="13"/>
      <c r="QFG9" s="13"/>
      <c r="QFH9" s="13"/>
      <c r="QFI9" s="13"/>
      <c r="QFJ9" s="13"/>
      <c r="QFK9" s="13"/>
      <c r="QFL9" s="13"/>
      <c r="QFM9" s="13"/>
      <c r="QFN9" s="13"/>
      <c r="QFO9" s="13"/>
      <c r="QFP9" s="13"/>
      <c r="QFQ9" s="13"/>
      <c r="QFR9" s="13"/>
      <c r="QFS9" s="13"/>
      <c r="QFT9" s="13"/>
      <c r="QFU9" s="13"/>
      <c r="QFV9" s="13"/>
      <c r="QFW9" s="13"/>
      <c r="QFX9" s="13"/>
      <c r="QFY9" s="13"/>
      <c r="QFZ9" s="13"/>
      <c r="QGA9" s="13"/>
      <c r="QGB9" s="13"/>
      <c r="QGC9" s="13"/>
      <c r="QGD9" s="13"/>
      <c r="QGE9" s="13"/>
      <c r="QGF9" s="13"/>
      <c r="QGG9" s="13"/>
      <c r="QGH9" s="13"/>
      <c r="QGI9" s="13"/>
      <c r="QGJ9" s="13"/>
      <c r="QGK9" s="13"/>
      <c r="QGL9" s="13"/>
      <c r="QGM9" s="13"/>
      <c r="QGN9" s="13"/>
      <c r="QGO9" s="13"/>
      <c r="QGP9" s="13"/>
      <c r="QGQ9" s="13"/>
      <c r="QGR9" s="13"/>
      <c r="QGS9" s="13"/>
      <c r="QGT9" s="13"/>
      <c r="QGU9" s="13"/>
      <c r="QGV9" s="13"/>
      <c r="QGW9" s="13"/>
      <c r="QGX9" s="13"/>
      <c r="QGY9" s="13"/>
      <c r="QGZ9" s="13"/>
      <c r="QHA9" s="13"/>
      <c r="QHB9" s="13"/>
      <c r="QHC9" s="13"/>
      <c r="QHD9" s="13"/>
      <c r="QHE9" s="13"/>
      <c r="QHF9" s="13"/>
      <c r="QHG9" s="13"/>
      <c r="QHH9" s="13"/>
      <c r="QHI9" s="13"/>
      <c r="QHJ9" s="13"/>
      <c r="QHK9" s="13"/>
      <c r="QHL9" s="13"/>
      <c r="QHM9" s="13"/>
      <c r="QHN9" s="13"/>
      <c r="QHO9" s="13"/>
      <c r="QHP9" s="13"/>
      <c r="QHQ9" s="13"/>
      <c r="QHR9" s="13"/>
      <c r="QHS9" s="13"/>
      <c r="QHT9" s="13"/>
      <c r="QHU9" s="13"/>
      <c r="QHV9" s="13"/>
      <c r="QHW9" s="13"/>
      <c r="QHX9" s="13"/>
      <c r="QHY9" s="13"/>
      <c r="QHZ9" s="13"/>
      <c r="QIA9" s="13"/>
      <c r="QIB9" s="13"/>
      <c r="QIC9" s="13"/>
      <c r="QID9" s="13"/>
      <c r="QIE9" s="13"/>
      <c r="QIF9" s="13"/>
      <c r="QIG9" s="13"/>
      <c r="QIH9" s="13"/>
      <c r="QII9" s="13"/>
      <c r="QIJ9" s="13"/>
      <c r="QIK9" s="13"/>
      <c r="QIL9" s="13"/>
      <c r="QIM9" s="13"/>
      <c r="QIN9" s="13"/>
      <c r="QIO9" s="13"/>
      <c r="QIP9" s="13"/>
      <c r="QIQ9" s="13"/>
      <c r="QIR9" s="13"/>
      <c r="QIS9" s="13"/>
      <c r="QIT9" s="13"/>
      <c r="QIU9" s="13"/>
      <c r="QIV9" s="13"/>
      <c r="QIW9" s="13"/>
      <c r="QIX9" s="13"/>
      <c r="QIY9" s="13"/>
      <c r="QIZ9" s="13"/>
      <c r="QJA9" s="13"/>
      <c r="QJB9" s="13"/>
      <c r="QJC9" s="13"/>
      <c r="QJD9" s="13"/>
      <c r="QJE9" s="13"/>
      <c r="QJF9" s="13"/>
      <c r="QJG9" s="13"/>
      <c r="QJH9" s="13"/>
      <c r="QJI9" s="13"/>
      <c r="QJJ9" s="13"/>
      <c r="QJK9" s="13"/>
      <c r="QJL9" s="13"/>
      <c r="QJM9" s="13"/>
      <c r="QJN9" s="13"/>
      <c r="QJO9" s="13"/>
      <c r="QJP9" s="13"/>
      <c r="QJQ9" s="13"/>
      <c r="QJR9" s="13"/>
      <c r="QJS9" s="13"/>
      <c r="QJT9" s="13"/>
      <c r="QJU9" s="13"/>
      <c r="QJV9" s="13"/>
      <c r="QJW9" s="13"/>
      <c r="QJX9" s="13"/>
      <c r="QJY9" s="13"/>
      <c r="QJZ9" s="13"/>
      <c r="QKA9" s="13"/>
      <c r="QKB9" s="13"/>
      <c r="QKC9" s="13"/>
      <c r="QKD9" s="13"/>
      <c r="QKE9" s="13"/>
      <c r="QKF9" s="13"/>
      <c r="QKG9" s="13"/>
      <c r="QKH9" s="13"/>
      <c r="QKI9" s="13"/>
      <c r="QKJ9" s="13"/>
      <c r="QKK9" s="13"/>
      <c r="QKL9" s="13"/>
      <c r="QKM9" s="13"/>
      <c r="QKN9" s="13"/>
      <c r="QKO9" s="13"/>
      <c r="QKP9" s="13"/>
      <c r="QKQ9" s="13"/>
      <c r="QKR9" s="13"/>
      <c r="QKS9" s="13"/>
      <c r="QKT9" s="13"/>
      <c r="QKU9" s="13"/>
      <c r="QKV9" s="13"/>
      <c r="QKW9" s="13"/>
      <c r="QKX9" s="13"/>
      <c r="QKY9" s="13"/>
      <c r="QKZ9" s="13"/>
      <c r="QLA9" s="13"/>
      <c r="QLB9" s="13"/>
      <c r="QLC9" s="13"/>
      <c r="QLD9" s="13"/>
      <c r="QLE9" s="13"/>
      <c r="QLF9" s="13"/>
      <c r="QLG9" s="13"/>
      <c r="QLH9" s="13"/>
      <c r="QLI9" s="13"/>
      <c r="QLJ9" s="13"/>
      <c r="QLK9" s="13"/>
      <c r="QLL9" s="13"/>
      <c r="QLM9" s="13"/>
      <c r="QLN9" s="13"/>
      <c r="QLO9" s="13"/>
      <c r="QLP9" s="13"/>
      <c r="QLQ9" s="13"/>
      <c r="QLR9" s="13"/>
      <c r="QLS9" s="13"/>
      <c r="QLT9" s="13"/>
      <c r="QLU9" s="13"/>
      <c r="QLV9" s="13"/>
      <c r="QLW9" s="13"/>
      <c r="QLX9" s="13"/>
      <c r="QLY9" s="13"/>
      <c r="QLZ9" s="13"/>
      <c r="QMA9" s="13"/>
      <c r="QMB9" s="13"/>
      <c r="QMC9" s="13"/>
      <c r="QMD9" s="13"/>
      <c r="QME9" s="13"/>
      <c r="QMF9" s="13"/>
      <c r="QMG9" s="13"/>
      <c r="QMH9" s="13"/>
      <c r="QMI9" s="13"/>
      <c r="QMJ9" s="13"/>
      <c r="QMK9" s="13"/>
      <c r="QML9" s="13"/>
      <c r="QMM9" s="13"/>
      <c r="QMN9" s="13"/>
      <c r="QMO9" s="13"/>
      <c r="QMP9" s="13"/>
      <c r="QMQ9" s="13"/>
      <c r="QMR9" s="13"/>
      <c r="QMS9" s="13"/>
      <c r="QMT9" s="13"/>
      <c r="QMU9" s="13"/>
      <c r="QMV9" s="13"/>
      <c r="QMW9" s="13"/>
      <c r="QMX9" s="13"/>
      <c r="QMY9" s="13"/>
      <c r="QMZ9" s="13"/>
      <c r="QNA9" s="13"/>
      <c r="QNB9" s="13"/>
      <c r="QNC9" s="13"/>
      <c r="QND9" s="13"/>
      <c r="QNE9" s="13"/>
      <c r="QNF9" s="13"/>
      <c r="QNG9" s="13"/>
      <c r="QNH9" s="13"/>
      <c r="QNI9" s="13"/>
      <c r="QNJ9" s="13"/>
      <c r="QNK9" s="13"/>
      <c r="QNL9" s="13"/>
      <c r="QNM9" s="13"/>
      <c r="QNN9" s="13"/>
      <c r="QNO9" s="13"/>
      <c r="QNP9" s="13"/>
      <c r="QNQ9" s="13"/>
      <c r="QNR9" s="13"/>
      <c r="QNS9" s="13"/>
      <c r="QNT9" s="13"/>
      <c r="QNU9" s="13"/>
      <c r="QNV9" s="13"/>
      <c r="QNW9" s="13"/>
      <c r="QNX9" s="13"/>
      <c r="QNY9" s="13"/>
      <c r="QNZ9" s="13"/>
      <c r="QOA9" s="13"/>
      <c r="QOB9" s="13"/>
      <c r="QOC9" s="13"/>
      <c r="QOD9" s="13"/>
      <c r="QOE9" s="13"/>
      <c r="QOF9" s="13"/>
      <c r="QOG9" s="13"/>
      <c r="QOH9" s="13"/>
      <c r="QOI9" s="13"/>
      <c r="QOJ9" s="13"/>
      <c r="QOK9" s="13"/>
      <c r="QOL9" s="13"/>
      <c r="QOM9" s="13"/>
      <c r="QON9" s="13"/>
      <c r="QOO9" s="13"/>
      <c r="QOP9" s="13"/>
      <c r="QOQ9" s="13"/>
      <c r="QOR9" s="13"/>
      <c r="QOS9" s="13"/>
      <c r="QOT9" s="13"/>
      <c r="QOU9" s="13"/>
      <c r="QOV9" s="13"/>
      <c r="QOW9" s="13"/>
      <c r="QOX9" s="13"/>
      <c r="QOY9" s="13"/>
      <c r="QOZ9" s="13"/>
      <c r="QPA9" s="13"/>
      <c r="QPB9" s="13"/>
      <c r="QPC9" s="13"/>
      <c r="QPD9" s="13"/>
      <c r="QPE9" s="13"/>
      <c r="QPF9" s="13"/>
      <c r="QPG9" s="13"/>
      <c r="QPH9" s="13"/>
      <c r="QPI9" s="13"/>
      <c r="QPJ9" s="13"/>
      <c r="QPK9" s="13"/>
      <c r="QPL9" s="13"/>
      <c r="QPM9" s="13"/>
      <c r="QPN9" s="13"/>
      <c r="QPO9" s="13"/>
      <c r="QPP9" s="13"/>
      <c r="QPQ9" s="13"/>
      <c r="QPR9" s="13"/>
      <c r="QPS9" s="13"/>
      <c r="QPT9" s="13"/>
      <c r="QPU9" s="13"/>
      <c r="QPV9" s="13"/>
      <c r="QPW9" s="13"/>
      <c r="QPX9" s="13"/>
      <c r="QPY9" s="13"/>
      <c r="QPZ9" s="13"/>
      <c r="QQA9" s="13"/>
      <c r="QQB9" s="13"/>
      <c r="QQC9" s="13"/>
      <c r="QQD9" s="13"/>
      <c r="QQE9" s="13"/>
      <c r="QQF9" s="13"/>
      <c r="QQG9" s="13"/>
      <c r="QQH9" s="13"/>
      <c r="QQI9" s="13"/>
      <c r="QQJ9" s="13"/>
      <c r="QQK9" s="13"/>
      <c r="QQL9" s="13"/>
      <c r="QQM9" s="13"/>
      <c r="QQN9" s="13"/>
      <c r="QQO9" s="13"/>
      <c r="QQP9" s="13"/>
      <c r="QQQ9" s="13"/>
      <c r="QQR9" s="13"/>
      <c r="QQS9" s="13"/>
      <c r="QQT9" s="13"/>
      <c r="QQU9" s="13"/>
      <c r="QQV9" s="13"/>
      <c r="QQW9" s="13"/>
      <c r="QQX9" s="13"/>
      <c r="QQY9" s="13"/>
      <c r="QQZ9" s="13"/>
      <c r="QRA9" s="13"/>
      <c r="QRB9" s="13"/>
      <c r="QRC9" s="13"/>
      <c r="QRD9" s="13"/>
      <c r="QRE9" s="13"/>
      <c r="QRF9" s="13"/>
      <c r="QRG9" s="13"/>
      <c r="QRH9" s="13"/>
      <c r="QRI9" s="13"/>
      <c r="QRJ9" s="13"/>
      <c r="QRK9" s="13"/>
      <c r="QRL9" s="13"/>
      <c r="QRM9" s="13"/>
      <c r="QRN9" s="13"/>
      <c r="QRO9" s="13"/>
      <c r="QRP9" s="13"/>
      <c r="QRQ9" s="13"/>
      <c r="QRR9" s="13"/>
      <c r="QRS9" s="13"/>
      <c r="QRT9" s="13"/>
      <c r="QRU9" s="13"/>
      <c r="QRV9" s="13"/>
      <c r="QRW9" s="13"/>
      <c r="QRX9" s="13"/>
      <c r="QRY9" s="13"/>
      <c r="QRZ9" s="13"/>
      <c r="QSA9" s="13"/>
      <c r="QSB9" s="13"/>
      <c r="QSC9" s="13"/>
      <c r="QSD9" s="13"/>
      <c r="QSE9" s="13"/>
      <c r="QSF9" s="13"/>
      <c r="QSG9" s="13"/>
      <c r="QSH9" s="13"/>
      <c r="QSI9" s="13"/>
      <c r="QSJ9" s="13"/>
      <c r="QSK9" s="13"/>
      <c r="QSL9" s="13"/>
      <c r="QSM9" s="13"/>
      <c r="QSN9" s="13"/>
      <c r="QSO9" s="13"/>
      <c r="QSP9" s="13"/>
      <c r="QSQ9" s="13"/>
      <c r="QSR9" s="13"/>
      <c r="QSS9" s="13"/>
      <c r="QST9" s="13"/>
      <c r="QSU9" s="13"/>
      <c r="QSV9" s="13"/>
      <c r="QSW9" s="13"/>
      <c r="QSX9" s="13"/>
      <c r="QSY9" s="13"/>
      <c r="QSZ9" s="13"/>
      <c r="QTA9" s="13"/>
      <c r="QTB9" s="13"/>
      <c r="QTC9" s="13"/>
      <c r="QTD9" s="13"/>
      <c r="QTE9" s="13"/>
      <c r="QTF9" s="13"/>
      <c r="QTG9" s="13"/>
      <c r="QTH9" s="13"/>
      <c r="QTI9" s="13"/>
      <c r="QTJ9" s="13"/>
      <c r="QTK9" s="13"/>
      <c r="QTL9" s="13"/>
      <c r="QTM9" s="13"/>
      <c r="QTN9" s="13"/>
      <c r="QTO9" s="13"/>
      <c r="QTP9" s="13"/>
      <c r="QTQ9" s="13"/>
      <c r="QTR9" s="13"/>
      <c r="QTS9" s="13"/>
      <c r="QTT9" s="13"/>
      <c r="QTU9" s="13"/>
      <c r="QTV9" s="13"/>
      <c r="QTW9" s="13"/>
      <c r="QTX9" s="13"/>
      <c r="QTY9" s="13"/>
      <c r="QTZ9" s="13"/>
      <c r="QUA9" s="13"/>
      <c r="QUB9" s="13"/>
      <c r="QUC9" s="13"/>
      <c r="QUD9" s="13"/>
      <c r="QUE9" s="13"/>
      <c r="QUF9" s="13"/>
      <c r="QUG9" s="13"/>
      <c r="QUH9" s="13"/>
      <c r="QUI9" s="13"/>
      <c r="QUJ9" s="13"/>
      <c r="QUK9" s="13"/>
      <c r="QUL9" s="13"/>
      <c r="QUM9" s="13"/>
      <c r="QUN9" s="13"/>
      <c r="QUO9" s="13"/>
      <c r="QUP9" s="13"/>
      <c r="QUQ9" s="13"/>
      <c r="QUR9" s="13"/>
      <c r="QUS9" s="13"/>
      <c r="QUT9" s="13"/>
      <c r="QUU9" s="13"/>
      <c r="QUV9" s="13"/>
      <c r="QUW9" s="13"/>
      <c r="QUX9" s="13"/>
      <c r="QUY9" s="13"/>
      <c r="QUZ9" s="13"/>
      <c r="QVA9" s="13"/>
      <c r="QVB9" s="13"/>
      <c r="QVC9" s="13"/>
      <c r="QVD9" s="13"/>
      <c r="QVE9" s="13"/>
      <c r="QVF9" s="13"/>
      <c r="QVG9" s="13"/>
      <c r="QVH9" s="13"/>
      <c r="QVI9" s="13"/>
      <c r="QVJ9" s="13"/>
      <c r="QVK9" s="13"/>
      <c r="QVL9" s="13"/>
      <c r="QVM9" s="13"/>
      <c r="QVN9" s="13"/>
      <c r="QVO9" s="13"/>
      <c r="QVP9" s="13"/>
      <c r="QVQ9" s="13"/>
      <c r="QVR9" s="13"/>
      <c r="QVS9" s="13"/>
      <c r="QVT9" s="13"/>
      <c r="QVU9" s="13"/>
      <c r="QVV9" s="13"/>
      <c r="QVW9" s="13"/>
      <c r="QVX9" s="13"/>
      <c r="QVY9" s="13"/>
      <c r="QVZ9" s="13"/>
      <c r="QWA9" s="13"/>
      <c r="QWB9" s="13"/>
      <c r="QWC9" s="13"/>
      <c r="QWD9" s="13"/>
      <c r="QWE9" s="13"/>
      <c r="QWF9" s="13"/>
      <c r="QWG9" s="13"/>
      <c r="QWH9" s="13"/>
      <c r="QWI9" s="13"/>
      <c r="QWJ9" s="13"/>
      <c r="QWK9" s="13"/>
      <c r="QWL9" s="13"/>
      <c r="QWM9" s="13"/>
      <c r="QWN9" s="13"/>
      <c r="QWO9" s="13"/>
      <c r="QWP9" s="13"/>
      <c r="QWQ9" s="13"/>
      <c r="QWR9" s="13"/>
      <c r="QWS9" s="13"/>
      <c r="QWT9" s="13"/>
      <c r="QWU9" s="13"/>
      <c r="QWV9" s="13"/>
      <c r="QWW9" s="13"/>
      <c r="QWX9" s="13"/>
      <c r="QWY9" s="13"/>
      <c r="QWZ9" s="13"/>
      <c r="QXA9" s="13"/>
      <c r="QXB9" s="13"/>
      <c r="QXC9" s="13"/>
      <c r="QXD9" s="13"/>
      <c r="QXE9" s="13"/>
      <c r="QXF9" s="13"/>
      <c r="QXG9" s="13"/>
      <c r="QXH9" s="13"/>
      <c r="QXI9" s="13"/>
      <c r="QXJ9" s="13"/>
      <c r="QXK9" s="13"/>
      <c r="QXL9" s="13"/>
      <c r="QXM9" s="13"/>
      <c r="QXN9" s="13"/>
      <c r="QXO9" s="13"/>
      <c r="QXP9" s="13"/>
      <c r="QXQ9" s="13"/>
      <c r="QXR9" s="13"/>
      <c r="QXS9" s="13"/>
      <c r="QXT9" s="13"/>
      <c r="QXU9" s="13"/>
      <c r="QXV9" s="13"/>
      <c r="QXW9" s="13"/>
      <c r="QXX9" s="13"/>
      <c r="QXY9" s="13"/>
      <c r="QXZ9" s="13"/>
      <c r="QYA9" s="13"/>
      <c r="QYB9" s="13"/>
      <c r="QYC9" s="13"/>
      <c r="QYD9" s="13"/>
      <c r="QYE9" s="13"/>
      <c r="QYF9" s="13"/>
      <c r="QYG9" s="13"/>
      <c r="QYH9" s="13"/>
      <c r="QYI9" s="13"/>
      <c r="QYJ9" s="13"/>
      <c r="QYK9" s="13"/>
      <c r="QYL9" s="13"/>
      <c r="QYM9" s="13"/>
      <c r="QYN9" s="13"/>
      <c r="QYO9" s="13"/>
      <c r="QYP9" s="13"/>
      <c r="QYQ9" s="13"/>
      <c r="QYR9" s="13"/>
      <c r="QYS9" s="13"/>
      <c r="QYT9" s="13"/>
      <c r="QYU9" s="13"/>
      <c r="QYV9" s="13"/>
      <c r="QYW9" s="13"/>
      <c r="QYX9" s="13"/>
      <c r="QYY9" s="13"/>
      <c r="QYZ9" s="13"/>
      <c r="QZA9" s="13"/>
      <c r="QZB9" s="13"/>
      <c r="QZC9" s="13"/>
      <c r="QZD9" s="13"/>
      <c r="QZE9" s="13"/>
      <c r="QZF9" s="13"/>
      <c r="QZG9" s="13"/>
      <c r="QZH9" s="13"/>
      <c r="QZI9" s="13"/>
      <c r="QZJ9" s="13"/>
      <c r="QZK9" s="13"/>
      <c r="QZL9" s="13"/>
      <c r="QZM9" s="13"/>
      <c r="QZN9" s="13"/>
      <c r="QZO9" s="13"/>
      <c r="QZP9" s="13"/>
      <c r="QZQ9" s="13"/>
      <c r="QZR9" s="13"/>
      <c r="QZS9" s="13"/>
      <c r="QZT9" s="13"/>
      <c r="QZU9" s="13"/>
      <c r="QZV9" s="13"/>
      <c r="QZW9" s="13"/>
      <c r="QZX9" s="13"/>
      <c r="QZY9" s="13"/>
      <c r="QZZ9" s="13"/>
      <c r="RAA9" s="13"/>
      <c r="RAB9" s="13"/>
      <c r="RAC9" s="13"/>
      <c r="RAD9" s="13"/>
      <c r="RAE9" s="13"/>
      <c r="RAF9" s="13"/>
      <c r="RAG9" s="13"/>
      <c r="RAH9" s="13"/>
      <c r="RAI9" s="13"/>
      <c r="RAJ9" s="13"/>
      <c r="RAK9" s="13"/>
      <c r="RAL9" s="13"/>
      <c r="RAM9" s="13"/>
      <c r="RAN9" s="13"/>
      <c r="RAO9" s="13"/>
      <c r="RAP9" s="13"/>
      <c r="RAQ9" s="13"/>
      <c r="RAR9" s="13"/>
      <c r="RAS9" s="13"/>
      <c r="RAT9" s="13"/>
      <c r="RAU9" s="13"/>
      <c r="RAV9" s="13"/>
      <c r="RAW9" s="13"/>
      <c r="RAX9" s="13"/>
      <c r="RAY9" s="13"/>
      <c r="RAZ9" s="13"/>
      <c r="RBA9" s="13"/>
      <c r="RBB9" s="13"/>
      <c r="RBC9" s="13"/>
      <c r="RBD9" s="13"/>
      <c r="RBE9" s="13"/>
      <c r="RBF9" s="13"/>
      <c r="RBG9" s="13"/>
      <c r="RBH9" s="13"/>
      <c r="RBI9" s="13"/>
      <c r="RBJ9" s="13"/>
      <c r="RBK9" s="13"/>
      <c r="RBL9" s="13"/>
      <c r="RBM9" s="13"/>
      <c r="RBN9" s="13"/>
      <c r="RBO9" s="13"/>
      <c r="RBP9" s="13"/>
      <c r="RBQ9" s="13"/>
      <c r="RBR9" s="13"/>
      <c r="RBS9" s="13"/>
      <c r="RBT9" s="13"/>
      <c r="RBU9" s="13"/>
      <c r="RBV9" s="13"/>
      <c r="RBW9" s="13"/>
      <c r="RBX9" s="13"/>
      <c r="RBY9" s="13"/>
      <c r="RBZ9" s="13"/>
      <c r="RCA9" s="13"/>
      <c r="RCB9" s="13"/>
      <c r="RCC9" s="13"/>
      <c r="RCD9" s="13"/>
      <c r="RCE9" s="13"/>
      <c r="RCF9" s="13"/>
      <c r="RCG9" s="13"/>
      <c r="RCH9" s="13"/>
      <c r="RCI9" s="13"/>
      <c r="RCJ9" s="13"/>
      <c r="RCK9" s="13"/>
      <c r="RCL9" s="13"/>
      <c r="RCM9" s="13"/>
      <c r="RCN9" s="13"/>
      <c r="RCO9" s="13"/>
      <c r="RCP9" s="13"/>
      <c r="RCQ9" s="13"/>
      <c r="RCR9" s="13"/>
      <c r="RCS9" s="13"/>
      <c r="RCT9" s="13"/>
      <c r="RCU9" s="13"/>
      <c r="RCV9" s="13"/>
      <c r="RCW9" s="13"/>
      <c r="RCX9" s="13"/>
      <c r="RCY9" s="13"/>
      <c r="RCZ9" s="13"/>
      <c r="RDA9" s="13"/>
      <c r="RDB9" s="13"/>
      <c r="RDC9" s="13"/>
      <c r="RDD9" s="13"/>
      <c r="RDE9" s="13"/>
      <c r="RDF9" s="13"/>
      <c r="RDG9" s="13"/>
      <c r="RDH9" s="13"/>
      <c r="RDI9" s="13"/>
      <c r="RDJ9" s="13"/>
      <c r="RDK9" s="13"/>
      <c r="RDL9" s="13"/>
      <c r="RDM9" s="13"/>
      <c r="RDN9" s="13"/>
      <c r="RDO9" s="13"/>
      <c r="RDP9" s="13"/>
      <c r="RDQ9" s="13"/>
      <c r="RDR9" s="13"/>
      <c r="RDS9" s="13"/>
      <c r="RDT9" s="13"/>
      <c r="RDU9" s="13"/>
      <c r="RDV9" s="13"/>
      <c r="RDW9" s="13"/>
      <c r="RDX9" s="13"/>
      <c r="RDY9" s="13"/>
      <c r="RDZ9" s="13"/>
      <c r="REA9" s="13"/>
      <c r="REB9" s="13"/>
      <c r="REC9" s="13"/>
      <c r="RED9" s="13"/>
      <c r="REE9" s="13"/>
      <c r="REF9" s="13"/>
      <c r="REG9" s="13"/>
      <c r="REH9" s="13"/>
      <c r="REI9" s="13"/>
      <c r="REJ9" s="13"/>
      <c r="REK9" s="13"/>
      <c r="REL9" s="13"/>
      <c r="REM9" s="13"/>
      <c r="REN9" s="13"/>
      <c r="REO9" s="13"/>
      <c r="REP9" s="13"/>
      <c r="REQ9" s="13"/>
      <c r="RER9" s="13"/>
      <c r="RES9" s="13"/>
      <c r="RET9" s="13"/>
      <c r="REU9" s="13"/>
      <c r="REV9" s="13"/>
      <c r="REW9" s="13"/>
      <c r="REX9" s="13"/>
      <c r="REY9" s="13"/>
      <c r="REZ9" s="13"/>
      <c r="RFA9" s="13"/>
      <c r="RFB9" s="13"/>
      <c r="RFC9" s="13"/>
      <c r="RFD9" s="13"/>
      <c r="RFE9" s="13"/>
      <c r="RFF9" s="13"/>
      <c r="RFG9" s="13"/>
      <c r="RFH9" s="13"/>
      <c r="RFI9" s="13"/>
      <c r="RFJ9" s="13"/>
      <c r="RFK9" s="13"/>
      <c r="RFL9" s="13"/>
      <c r="RFM9" s="13"/>
      <c r="RFN9" s="13"/>
      <c r="RFO9" s="13"/>
      <c r="RFP9" s="13"/>
      <c r="RFQ9" s="13"/>
      <c r="RFR9" s="13"/>
      <c r="RFS9" s="13"/>
      <c r="RFT9" s="13"/>
      <c r="RFU9" s="13"/>
      <c r="RFV9" s="13"/>
      <c r="RFW9" s="13"/>
      <c r="RFX9" s="13"/>
      <c r="RFY9" s="13"/>
      <c r="RFZ9" s="13"/>
      <c r="RGA9" s="13"/>
      <c r="RGB9" s="13"/>
      <c r="RGC9" s="13"/>
      <c r="RGD9" s="13"/>
      <c r="RGE9" s="13"/>
      <c r="RGF9" s="13"/>
      <c r="RGG9" s="13"/>
      <c r="RGH9" s="13"/>
      <c r="RGI9" s="13"/>
      <c r="RGJ9" s="13"/>
      <c r="RGK9" s="13"/>
      <c r="RGL9" s="13"/>
      <c r="RGM9" s="13"/>
      <c r="RGN9" s="13"/>
      <c r="RGO9" s="13"/>
      <c r="RGP9" s="13"/>
      <c r="RGQ9" s="13"/>
      <c r="RGR9" s="13"/>
      <c r="RGS9" s="13"/>
      <c r="RGT9" s="13"/>
      <c r="RGU9" s="13"/>
      <c r="RGV9" s="13"/>
      <c r="RGW9" s="13"/>
      <c r="RGX9" s="13"/>
      <c r="RGY9" s="13"/>
      <c r="RGZ9" s="13"/>
      <c r="RHA9" s="13"/>
      <c r="RHB9" s="13"/>
      <c r="RHC9" s="13"/>
      <c r="RHD9" s="13"/>
      <c r="RHE9" s="13"/>
      <c r="RHF9" s="13"/>
      <c r="RHG9" s="13"/>
      <c r="RHH9" s="13"/>
      <c r="RHI9" s="13"/>
      <c r="RHJ9" s="13"/>
      <c r="RHK9" s="13"/>
      <c r="RHL9" s="13"/>
      <c r="RHM9" s="13"/>
      <c r="RHN9" s="13"/>
      <c r="RHO9" s="13"/>
      <c r="RHP9" s="13"/>
      <c r="RHQ9" s="13"/>
      <c r="RHR9" s="13"/>
      <c r="RHS9" s="13"/>
      <c r="RHT9" s="13"/>
      <c r="RHU9" s="13"/>
      <c r="RHV9" s="13"/>
      <c r="RHW9" s="13"/>
      <c r="RHX9" s="13"/>
      <c r="RHY9" s="13"/>
      <c r="RHZ9" s="13"/>
      <c r="RIA9" s="13"/>
      <c r="RIB9" s="13"/>
      <c r="RIC9" s="13"/>
      <c r="RID9" s="13"/>
      <c r="RIE9" s="13"/>
      <c r="RIF9" s="13"/>
      <c r="RIG9" s="13"/>
      <c r="RIH9" s="13"/>
      <c r="RII9" s="13"/>
      <c r="RIJ9" s="13"/>
      <c r="RIK9" s="13"/>
      <c r="RIL9" s="13"/>
      <c r="RIM9" s="13"/>
      <c r="RIN9" s="13"/>
      <c r="RIO9" s="13"/>
      <c r="RIP9" s="13"/>
      <c r="RIQ9" s="13"/>
      <c r="RIR9" s="13"/>
      <c r="RIS9" s="13"/>
      <c r="RIT9" s="13"/>
      <c r="RIU9" s="13"/>
      <c r="RIV9" s="13"/>
      <c r="RIW9" s="13"/>
      <c r="RIX9" s="13"/>
      <c r="RIY9" s="13"/>
      <c r="RIZ9" s="13"/>
      <c r="RJA9" s="13"/>
      <c r="RJB9" s="13"/>
      <c r="RJC9" s="13"/>
      <c r="RJD9" s="13"/>
      <c r="RJE9" s="13"/>
      <c r="RJF9" s="13"/>
      <c r="RJG9" s="13"/>
      <c r="RJH9" s="13"/>
      <c r="RJI9" s="13"/>
      <c r="RJJ9" s="13"/>
      <c r="RJK9" s="13"/>
      <c r="RJL9" s="13"/>
      <c r="RJM9" s="13"/>
      <c r="RJN9" s="13"/>
      <c r="RJO9" s="13"/>
      <c r="RJP9" s="13"/>
      <c r="RJQ9" s="13"/>
      <c r="RJR9" s="13"/>
      <c r="RJS9" s="13"/>
      <c r="RJT9" s="13"/>
      <c r="RJU9" s="13"/>
      <c r="RJV9" s="13"/>
      <c r="RJW9" s="13"/>
      <c r="RJX9" s="13"/>
      <c r="RJY9" s="13"/>
      <c r="RJZ9" s="13"/>
      <c r="RKA9" s="13"/>
      <c r="RKB9" s="13"/>
      <c r="RKC9" s="13"/>
      <c r="RKD9" s="13"/>
      <c r="RKE9" s="13"/>
      <c r="RKF9" s="13"/>
      <c r="RKG9" s="13"/>
      <c r="RKH9" s="13"/>
      <c r="RKI9" s="13"/>
      <c r="RKJ9" s="13"/>
      <c r="RKK9" s="13"/>
      <c r="RKL9" s="13"/>
      <c r="RKM9" s="13"/>
      <c r="RKN9" s="13"/>
      <c r="RKO9" s="13"/>
      <c r="RKP9" s="13"/>
      <c r="RKQ9" s="13"/>
      <c r="RKR9" s="13"/>
      <c r="RKS9" s="13"/>
      <c r="RKT9" s="13"/>
      <c r="RKU9" s="13"/>
      <c r="RKV9" s="13"/>
      <c r="RKW9" s="13"/>
      <c r="RKX9" s="13"/>
      <c r="RKY9" s="13"/>
      <c r="RKZ9" s="13"/>
      <c r="RLA9" s="13"/>
      <c r="RLB9" s="13"/>
      <c r="RLC9" s="13"/>
      <c r="RLD9" s="13"/>
      <c r="RLE9" s="13"/>
      <c r="RLF9" s="13"/>
      <c r="RLG9" s="13"/>
      <c r="RLH9" s="13"/>
      <c r="RLI9" s="13"/>
      <c r="RLJ9" s="13"/>
      <c r="RLK9" s="13"/>
      <c r="RLL9" s="13"/>
      <c r="RLM9" s="13"/>
      <c r="RLN9" s="13"/>
      <c r="RLO9" s="13"/>
      <c r="RLP9" s="13"/>
      <c r="RLQ9" s="13"/>
      <c r="RLR9" s="13"/>
      <c r="RLS9" s="13"/>
      <c r="RLT9" s="13"/>
      <c r="RLU9" s="13"/>
      <c r="RLV9" s="13"/>
      <c r="RLW9" s="13"/>
      <c r="RLX9" s="13"/>
      <c r="RLY9" s="13"/>
      <c r="RLZ9" s="13"/>
      <c r="RMA9" s="13"/>
      <c r="RMB9" s="13"/>
      <c r="RMC9" s="13"/>
      <c r="RMD9" s="13"/>
      <c r="RME9" s="13"/>
      <c r="RMF9" s="13"/>
      <c r="RMG9" s="13"/>
      <c r="RMH9" s="13"/>
      <c r="RMI9" s="13"/>
      <c r="RMJ9" s="13"/>
      <c r="RMK9" s="13"/>
      <c r="RML9" s="13"/>
      <c r="RMM9" s="13"/>
      <c r="RMN9" s="13"/>
      <c r="RMO9" s="13"/>
      <c r="RMP9" s="13"/>
      <c r="RMQ9" s="13"/>
      <c r="RMR9" s="13"/>
      <c r="RMS9" s="13"/>
      <c r="RMT9" s="13"/>
      <c r="RMU9" s="13"/>
      <c r="RMV9" s="13"/>
      <c r="RMW9" s="13"/>
      <c r="RMX9" s="13"/>
      <c r="RMY9" s="13"/>
      <c r="RMZ9" s="13"/>
      <c r="RNA9" s="13"/>
      <c r="RNB9" s="13"/>
      <c r="RNC9" s="13"/>
      <c r="RND9" s="13"/>
      <c r="RNE9" s="13"/>
      <c r="RNF9" s="13"/>
      <c r="RNG9" s="13"/>
      <c r="RNH9" s="13"/>
      <c r="RNI9" s="13"/>
      <c r="RNJ9" s="13"/>
      <c r="RNK9" s="13"/>
      <c r="RNL9" s="13"/>
      <c r="RNM9" s="13"/>
      <c r="RNN9" s="13"/>
      <c r="RNO9" s="13"/>
      <c r="RNP9" s="13"/>
      <c r="RNQ9" s="13"/>
      <c r="RNR9" s="13"/>
      <c r="RNS9" s="13"/>
      <c r="RNT9" s="13"/>
      <c r="RNU9" s="13"/>
      <c r="RNV9" s="13"/>
      <c r="RNW9" s="13"/>
      <c r="RNX9" s="13"/>
      <c r="RNY9" s="13"/>
      <c r="RNZ9" s="13"/>
      <c r="ROA9" s="13"/>
      <c r="ROB9" s="13"/>
      <c r="ROC9" s="13"/>
      <c r="ROD9" s="13"/>
      <c r="ROE9" s="13"/>
      <c r="ROF9" s="13"/>
      <c r="ROG9" s="13"/>
      <c r="ROH9" s="13"/>
      <c r="ROI9" s="13"/>
      <c r="ROJ9" s="13"/>
      <c r="ROK9" s="13"/>
      <c r="ROL9" s="13"/>
      <c r="ROM9" s="13"/>
      <c r="RON9" s="13"/>
      <c r="ROO9" s="13"/>
      <c r="ROP9" s="13"/>
      <c r="ROQ9" s="13"/>
      <c r="ROR9" s="13"/>
      <c r="ROS9" s="13"/>
      <c r="ROT9" s="13"/>
      <c r="ROU9" s="13"/>
      <c r="ROV9" s="13"/>
      <c r="ROW9" s="13"/>
      <c r="ROX9" s="13"/>
      <c r="ROY9" s="13"/>
      <c r="ROZ9" s="13"/>
      <c r="RPA9" s="13"/>
      <c r="RPB9" s="13"/>
      <c r="RPC9" s="13"/>
      <c r="RPD9" s="13"/>
      <c r="RPE9" s="13"/>
      <c r="RPF9" s="13"/>
      <c r="RPG9" s="13"/>
      <c r="RPH9" s="13"/>
      <c r="RPI9" s="13"/>
      <c r="RPJ9" s="13"/>
      <c r="RPK9" s="13"/>
      <c r="RPL9" s="13"/>
      <c r="RPM9" s="13"/>
      <c r="RPN9" s="13"/>
      <c r="RPO9" s="13"/>
      <c r="RPP9" s="13"/>
      <c r="RPQ9" s="13"/>
      <c r="RPR9" s="13"/>
      <c r="RPS9" s="13"/>
      <c r="RPT9" s="13"/>
      <c r="RPU9" s="13"/>
      <c r="RPV9" s="13"/>
      <c r="RPW9" s="13"/>
      <c r="RPX9" s="13"/>
      <c r="RPY9" s="13"/>
      <c r="RPZ9" s="13"/>
      <c r="RQA9" s="13"/>
      <c r="RQB9" s="13"/>
      <c r="RQC9" s="13"/>
      <c r="RQD9" s="13"/>
      <c r="RQE9" s="13"/>
      <c r="RQF9" s="13"/>
      <c r="RQG9" s="13"/>
      <c r="RQH9" s="13"/>
      <c r="RQI9" s="13"/>
      <c r="RQJ9" s="13"/>
      <c r="RQK9" s="13"/>
      <c r="RQL9" s="13"/>
      <c r="RQM9" s="13"/>
      <c r="RQN9" s="13"/>
      <c r="RQO9" s="13"/>
      <c r="RQP9" s="13"/>
      <c r="RQQ9" s="13"/>
      <c r="RQR9" s="13"/>
      <c r="RQS9" s="13"/>
      <c r="RQT9" s="13"/>
      <c r="RQU9" s="13"/>
      <c r="RQV9" s="13"/>
      <c r="RQW9" s="13"/>
      <c r="RQX9" s="13"/>
      <c r="RQY9" s="13"/>
      <c r="RQZ9" s="13"/>
      <c r="RRA9" s="13"/>
      <c r="RRB9" s="13"/>
      <c r="RRC9" s="13"/>
      <c r="RRD9" s="13"/>
      <c r="RRE9" s="13"/>
      <c r="RRF9" s="13"/>
      <c r="RRG9" s="13"/>
      <c r="RRH9" s="13"/>
      <c r="RRI9" s="13"/>
      <c r="RRJ9" s="13"/>
      <c r="RRK9" s="13"/>
      <c r="RRL9" s="13"/>
      <c r="RRM9" s="13"/>
      <c r="RRN9" s="13"/>
      <c r="RRO9" s="13"/>
      <c r="RRP9" s="13"/>
      <c r="RRQ9" s="13"/>
      <c r="RRR9" s="13"/>
      <c r="RRS9" s="13"/>
      <c r="RRT9" s="13"/>
      <c r="RRU9" s="13"/>
      <c r="RRV9" s="13"/>
      <c r="RRW9" s="13"/>
      <c r="RRX9" s="13"/>
      <c r="RRY9" s="13"/>
      <c r="RRZ9" s="13"/>
      <c r="RSA9" s="13"/>
      <c r="RSB9" s="13"/>
      <c r="RSC9" s="13"/>
      <c r="RSD9" s="13"/>
      <c r="RSE9" s="13"/>
      <c r="RSF9" s="13"/>
      <c r="RSG9" s="13"/>
      <c r="RSH9" s="13"/>
      <c r="RSI9" s="13"/>
      <c r="RSJ9" s="13"/>
      <c r="RSK9" s="13"/>
      <c r="RSL9" s="13"/>
      <c r="RSM9" s="13"/>
      <c r="RSN9" s="13"/>
      <c r="RSO9" s="13"/>
      <c r="RSP9" s="13"/>
      <c r="RSQ9" s="13"/>
      <c r="RSR9" s="13"/>
      <c r="RSS9" s="13"/>
      <c r="RST9" s="13"/>
      <c r="RSU9" s="13"/>
      <c r="RSV9" s="13"/>
      <c r="RSW9" s="13"/>
      <c r="RSX9" s="13"/>
      <c r="RSY9" s="13"/>
      <c r="RSZ9" s="13"/>
      <c r="RTA9" s="13"/>
      <c r="RTB9" s="13"/>
      <c r="RTC9" s="13"/>
      <c r="RTD9" s="13"/>
      <c r="RTE9" s="13"/>
      <c r="RTF9" s="13"/>
      <c r="RTG9" s="13"/>
      <c r="RTH9" s="13"/>
      <c r="RTI9" s="13"/>
      <c r="RTJ9" s="13"/>
      <c r="RTK9" s="13"/>
      <c r="RTL9" s="13"/>
      <c r="RTM9" s="13"/>
      <c r="RTN9" s="13"/>
      <c r="RTO9" s="13"/>
      <c r="RTP9" s="13"/>
      <c r="RTQ9" s="13"/>
      <c r="RTR9" s="13"/>
      <c r="RTS9" s="13"/>
      <c r="RTT9" s="13"/>
      <c r="RTU9" s="13"/>
      <c r="RTV9" s="13"/>
      <c r="RTW9" s="13"/>
      <c r="RTX9" s="13"/>
      <c r="RTY9" s="13"/>
      <c r="RTZ9" s="13"/>
      <c r="RUA9" s="13"/>
      <c r="RUB9" s="13"/>
      <c r="RUC9" s="13"/>
      <c r="RUD9" s="13"/>
      <c r="RUE9" s="13"/>
      <c r="RUF9" s="13"/>
      <c r="RUG9" s="13"/>
      <c r="RUH9" s="13"/>
      <c r="RUI9" s="13"/>
      <c r="RUJ9" s="13"/>
      <c r="RUK9" s="13"/>
      <c r="RUL9" s="13"/>
      <c r="RUM9" s="13"/>
      <c r="RUN9" s="13"/>
      <c r="RUO9" s="13"/>
      <c r="RUP9" s="13"/>
      <c r="RUQ9" s="13"/>
      <c r="RUR9" s="13"/>
      <c r="RUS9" s="13"/>
      <c r="RUT9" s="13"/>
      <c r="RUU9" s="13"/>
      <c r="RUV9" s="13"/>
      <c r="RUW9" s="13"/>
      <c r="RUX9" s="13"/>
      <c r="RUY9" s="13"/>
      <c r="RUZ9" s="13"/>
      <c r="RVA9" s="13"/>
      <c r="RVB9" s="13"/>
      <c r="RVC9" s="13"/>
      <c r="RVD9" s="13"/>
      <c r="RVE9" s="13"/>
      <c r="RVF9" s="13"/>
      <c r="RVG9" s="13"/>
      <c r="RVH9" s="13"/>
      <c r="RVI9" s="13"/>
      <c r="RVJ9" s="13"/>
      <c r="RVK9" s="13"/>
      <c r="RVL9" s="13"/>
      <c r="RVM9" s="13"/>
      <c r="RVN9" s="13"/>
      <c r="RVO9" s="13"/>
      <c r="RVP9" s="13"/>
      <c r="RVQ9" s="13"/>
      <c r="RVR9" s="13"/>
      <c r="RVS9" s="13"/>
      <c r="RVT9" s="13"/>
      <c r="RVU9" s="13"/>
      <c r="RVV9" s="13"/>
      <c r="RVW9" s="13"/>
      <c r="RVX9" s="13"/>
      <c r="RVY9" s="13"/>
      <c r="RVZ9" s="13"/>
      <c r="RWA9" s="13"/>
      <c r="RWB9" s="13"/>
      <c r="RWC9" s="13"/>
      <c r="RWD9" s="13"/>
      <c r="RWE9" s="13"/>
      <c r="RWF9" s="13"/>
      <c r="RWG9" s="13"/>
      <c r="RWH9" s="13"/>
      <c r="RWI9" s="13"/>
      <c r="RWJ9" s="13"/>
      <c r="RWK9" s="13"/>
      <c r="RWL9" s="13"/>
      <c r="RWM9" s="13"/>
      <c r="RWN9" s="13"/>
      <c r="RWO9" s="13"/>
      <c r="RWP9" s="13"/>
      <c r="RWQ9" s="13"/>
      <c r="RWR9" s="13"/>
      <c r="RWS9" s="13"/>
      <c r="RWT9" s="13"/>
      <c r="RWU9" s="13"/>
      <c r="RWV9" s="13"/>
      <c r="RWW9" s="13"/>
      <c r="RWX9" s="13"/>
      <c r="RWY9" s="13"/>
      <c r="RWZ9" s="13"/>
      <c r="RXA9" s="13"/>
      <c r="RXB9" s="13"/>
      <c r="RXC9" s="13"/>
      <c r="RXD9" s="13"/>
      <c r="RXE9" s="13"/>
      <c r="RXF9" s="13"/>
      <c r="RXG9" s="13"/>
      <c r="RXH9" s="13"/>
      <c r="RXI9" s="13"/>
      <c r="RXJ9" s="13"/>
      <c r="RXK9" s="13"/>
      <c r="RXL9" s="13"/>
      <c r="RXM9" s="13"/>
      <c r="RXN9" s="13"/>
      <c r="RXO9" s="13"/>
      <c r="RXP9" s="13"/>
      <c r="RXQ9" s="13"/>
      <c r="RXR9" s="13"/>
      <c r="RXS9" s="13"/>
      <c r="RXT9" s="13"/>
      <c r="RXU9" s="13"/>
      <c r="RXV9" s="13"/>
      <c r="RXW9" s="13"/>
      <c r="RXX9" s="13"/>
      <c r="RXY9" s="13"/>
      <c r="RXZ9" s="13"/>
      <c r="RYA9" s="13"/>
      <c r="RYB9" s="13"/>
      <c r="RYC9" s="13"/>
      <c r="RYD9" s="13"/>
      <c r="RYE9" s="13"/>
      <c r="RYF9" s="13"/>
      <c r="RYG9" s="13"/>
      <c r="RYH9" s="13"/>
      <c r="RYI9" s="13"/>
      <c r="RYJ9" s="13"/>
      <c r="RYK9" s="13"/>
      <c r="RYL9" s="13"/>
      <c r="RYM9" s="13"/>
      <c r="RYN9" s="13"/>
      <c r="RYO9" s="13"/>
      <c r="RYP9" s="13"/>
      <c r="RYQ9" s="13"/>
      <c r="RYR9" s="13"/>
      <c r="RYS9" s="13"/>
      <c r="RYT9" s="13"/>
      <c r="RYU9" s="13"/>
      <c r="RYV9" s="13"/>
      <c r="RYW9" s="13"/>
      <c r="RYX9" s="13"/>
      <c r="RYY9" s="13"/>
      <c r="RYZ9" s="13"/>
      <c r="RZA9" s="13"/>
      <c r="RZB9" s="13"/>
      <c r="RZC9" s="13"/>
      <c r="RZD9" s="13"/>
      <c r="RZE9" s="13"/>
      <c r="RZF9" s="13"/>
      <c r="RZG9" s="13"/>
      <c r="RZH9" s="13"/>
      <c r="RZI9" s="13"/>
      <c r="RZJ9" s="13"/>
      <c r="RZK9" s="13"/>
      <c r="RZL9" s="13"/>
      <c r="RZM9" s="13"/>
      <c r="RZN9" s="13"/>
      <c r="RZO9" s="13"/>
      <c r="RZP9" s="13"/>
      <c r="RZQ9" s="13"/>
      <c r="RZR9" s="13"/>
      <c r="RZS9" s="13"/>
      <c r="RZT9" s="13"/>
      <c r="RZU9" s="13"/>
      <c r="RZV9" s="13"/>
      <c r="RZW9" s="13"/>
      <c r="RZX9" s="13"/>
      <c r="RZY9" s="13"/>
      <c r="RZZ9" s="13"/>
      <c r="SAA9" s="13"/>
      <c r="SAB9" s="13"/>
      <c r="SAC9" s="13"/>
      <c r="SAD9" s="13"/>
      <c r="SAE9" s="13"/>
      <c r="SAF9" s="13"/>
      <c r="SAG9" s="13"/>
      <c r="SAH9" s="13"/>
      <c r="SAI9" s="13"/>
      <c r="SAJ9" s="13"/>
      <c r="SAK9" s="13"/>
      <c r="SAL9" s="13"/>
      <c r="SAM9" s="13"/>
      <c r="SAN9" s="13"/>
      <c r="SAO9" s="13"/>
      <c r="SAP9" s="13"/>
      <c r="SAQ9" s="13"/>
      <c r="SAR9" s="13"/>
      <c r="SAS9" s="13"/>
      <c r="SAT9" s="13"/>
      <c r="SAU9" s="13"/>
      <c r="SAV9" s="13"/>
      <c r="SAW9" s="13"/>
      <c r="SAX9" s="13"/>
      <c r="SAY9" s="13"/>
      <c r="SAZ9" s="13"/>
      <c r="SBA9" s="13"/>
      <c r="SBB9" s="13"/>
      <c r="SBC9" s="13"/>
      <c r="SBD9" s="13"/>
      <c r="SBE9" s="13"/>
      <c r="SBF9" s="13"/>
      <c r="SBG9" s="13"/>
      <c r="SBH9" s="13"/>
      <c r="SBI9" s="13"/>
      <c r="SBJ9" s="13"/>
      <c r="SBK9" s="13"/>
      <c r="SBL9" s="13"/>
      <c r="SBM9" s="13"/>
      <c r="SBN9" s="13"/>
      <c r="SBO9" s="13"/>
      <c r="SBP9" s="13"/>
      <c r="SBQ9" s="13"/>
      <c r="SBR9" s="13"/>
      <c r="SBS9" s="13"/>
      <c r="SBT9" s="13"/>
      <c r="SBU9" s="13"/>
      <c r="SBV9" s="13"/>
      <c r="SBW9" s="13"/>
      <c r="SBX9" s="13"/>
      <c r="SBY9" s="13"/>
      <c r="SBZ9" s="13"/>
      <c r="SCA9" s="13"/>
      <c r="SCB9" s="13"/>
      <c r="SCC9" s="13"/>
      <c r="SCD9" s="13"/>
      <c r="SCE9" s="13"/>
      <c r="SCF9" s="13"/>
      <c r="SCG9" s="13"/>
      <c r="SCH9" s="13"/>
      <c r="SCI9" s="13"/>
      <c r="SCJ9" s="13"/>
      <c r="SCK9" s="13"/>
      <c r="SCL9" s="13"/>
      <c r="SCM9" s="13"/>
      <c r="SCN9" s="13"/>
      <c r="SCO9" s="13"/>
      <c r="SCP9" s="13"/>
      <c r="SCQ9" s="13"/>
      <c r="SCR9" s="13"/>
      <c r="SCS9" s="13"/>
      <c r="SCT9" s="13"/>
      <c r="SCU9" s="13"/>
      <c r="SCV9" s="13"/>
      <c r="SCW9" s="13"/>
      <c r="SCX9" s="13"/>
      <c r="SCY9" s="13"/>
      <c r="SCZ9" s="13"/>
      <c r="SDA9" s="13"/>
      <c r="SDB9" s="13"/>
      <c r="SDC9" s="13"/>
      <c r="SDD9" s="13"/>
      <c r="SDE9" s="13"/>
      <c r="SDF9" s="13"/>
      <c r="SDG9" s="13"/>
      <c r="SDH9" s="13"/>
      <c r="SDI9" s="13"/>
      <c r="SDJ9" s="13"/>
      <c r="SDK9" s="13"/>
      <c r="SDL9" s="13"/>
      <c r="SDM9" s="13"/>
      <c r="SDN9" s="13"/>
      <c r="SDO9" s="13"/>
      <c r="SDP9" s="13"/>
      <c r="SDQ9" s="13"/>
      <c r="SDR9" s="13"/>
      <c r="SDS9" s="13"/>
      <c r="SDT9" s="13"/>
      <c r="SDU9" s="13"/>
      <c r="SDV9" s="13"/>
      <c r="SDW9" s="13"/>
      <c r="SDX9" s="13"/>
      <c r="SDY9" s="13"/>
      <c r="SDZ9" s="13"/>
      <c r="SEA9" s="13"/>
      <c r="SEB9" s="13"/>
      <c r="SEC9" s="13"/>
      <c r="SED9" s="13"/>
      <c r="SEE9" s="13"/>
      <c r="SEF9" s="13"/>
      <c r="SEG9" s="13"/>
      <c r="SEH9" s="13"/>
      <c r="SEI9" s="13"/>
      <c r="SEJ9" s="13"/>
      <c r="SEK9" s="13"/>
      <c r="SEL9" s="13"/>
      <c r="SEM9" s="13"/>
      <c r="SEN9" s="13"/>
      <c r="SEO9" s="13"/>
      <c r="SEP9" s="13"/>
      <c r="SEQ9" s="13"/>
      <c r="SER9" s="13"/>
      <c r="SES9" s="13"/>
      <c r="SET9" s="13"/>
      <c r="SEU9" s="13"/>
      <c r="SEV9" s="13"/>
      <c r="SEW9" s="13"/>
      <c r="SEX9" s="13"/>
      <c r="SEY9" s="13"/>
      <c r="SEZ9" s="13"/>
      <c r="SFA9" s="13"/>
      <c r="SFB9" s="13"/>
      <c r="SFC9" s="13"/>
      <c r="SFD9" s="13"/>
      <c r="SFE9" s="13"/>
      <c r="SFF9" s="13"/>
      <c r="SFG9" s="13"/>
      <c r="SFH9" s="13"/>
      <c r="SFI9" s="13"/>
      <c r="SFJ9" s="13"/>
      <c r="SFK9" s="13"/>
      <c r="SFL9" s="13"/>
      <c r="SFM9" s="13"/>
      <c r="SFN9" s="13"/>
      <c r="SFO9" s="13"/>
      <c r="SFP9" s="13"/>
      <c r="SFQ9" s="13"/>
      <c r="SFR9" s="13"/>
      <c r="SFS9" s="13"/>
      <c r="SFT9" s="13"/>
      <c r="SFU9" s="13"/>
      <c r="SFV9" s="13"/>
      <c r="SFW9" s="13"/>
      <c r="SFX9" s="13"/>
      <c r="SFY9" s="13"/>
      <c r="SFZ9" s="13"/>
      <c r="SGA9" s="13"/>
      <c r="SGB9" s="13"/>
      <c r="SGC9" s="13"/>
      <c r="SGD9" s="13"/>
      <c r="SGE9" s="13"/>
      <c r="SGF9" s="13"/>
      <c r="SGG9" s="13"/>
      <c r="SGH9" s="13"/>
      <c r="SGI9" s="13"/>
      <c r="SGJ9" s="13"/>
      <c r="SGK9" s="13"/>
      <c r="SGL9" s="13"/>
      <c r="SGM9" s="13"/>
      <c r="SGN9" s="13"/>
      <c r="SGO9" s="13"/>
      <c r="SGP9" s="13"/>
      <c r="SGQ9" s="13"/>
      <c r="SGR9" s="13"/>
      <c r="SGS9" s="13"/>
      <c r="SGT9" s="13"/>
      <c r="SGU9" s="13"/>
      <c r="SGV9" s="13"/>
      <c r="SGW9" s="13"/>
      <c r="SGX9" s="13"/>
      <c r="SGY9" s="13"/>
      <c r="SGZ9" s="13"/>
      <c r="SHA9" s="13"/>
      <c r="SHB9" s="13"/>
      <c r="SHC9" s="13"/>
      <c r="SHD9" s="13"/>
      <c r="SHE9" s="13"/>
      <c r="SHF9" s="13"/>
      <c r="SHG9" s="13"/>
      <c r="SHH9" s="13"/>
      <c r="SHI9" s="13"/>
      <c r="SHJ9" s="13"/>
      <c r="SHK9" s="13"/>
      <c r="SHL9" s="13"/>
      <c r="SHM9" s="13"/>
      <c r="SHN9" s="13"/>
      <c r="SHO9" s="13"/>
      <c r="SHP9" s="13"/>
      <c r="SHQ9" s="13"/>
      <c r="SHR9" s="13"/>
      <c r="SHS9" s="13"/>
      <c r="SHT9" s="13"/>
      <c r="SHU9" s="13"/>
      <c r="SHV9" s="13"/>
      <c r="SHW9" s="13"/>
      <c r="SHX9" s="13"/>
      <c r="SHY9" s="13"/>
      <c r="SHZ9" s="13"/>
      <c r="SIA9" s="13"/>
      <c r="SIB9" s="13"/>
      <c r="SIC9" s="13"/>
      <c r="SID9" s="13"/>
      <c r="SIE9" s="13"/>
      <c r="SIF9" s="13"/>
      <c r="SIG9" s="13"/>
      <c r="SIH9" s="13"/>
      <c r="SII9" s="13"/>
      <c r="SIJ9" s="13"/>
      <c r="SIK9" s="13"/>
      <c r="SIL9" s="13"/>
      <c r="SIM9" s="13"/>
      <c r="SIN9" s="13"/>
      <c r="SIO9" s="13"/>
      <c r="SIP9" s="13"/>
      <c r="SIQ9" s="13"/>
      <c r="SIR9" s="13"/>
      <c r="SIS9" s="13"/>
      <c r="SIT9" s="13"/>
      <c r="SIU9" s="13"/>
      <c r="SIV9" s="13"/>
      <c r="SIW9" s="13"/>
      <c r="SIX9" s="13"/>
      <c r="SIY9" s="13"/>
      <c r="SIZ9" s="13"/>
      <c r="SJA9" s="13"/>
      <c r="SJB9" s="13"/>
      <c r="SJC9" s="13"/>
      <c r="SJD9" s="13"/>
      <c r="SJE9" s="13"/>
      <c r="SJF9" s="13"/>
      <c r="SJG9" s="13"/>
      <c r="SJH9" s="13"/>
      <c r="SJI9" s="13"/>
      <c r="SJJ9" s="13"/>
      <c r="SJK9" s="13"/>
      <c r="SJL9" s="13"/>
      <c r="SJM9" s="13"/>
      <c r="SJN9" s="13"/>
      <c r="SJO9" s="13"/>
      <c r="SJP9" s="13"/>
      <c r="SJQ9" s="13"/>
      <c r="SJR9" s="13"/>
      <c r="SJS9" s="13"/>
      <c r="SJT9" s="13"/>
      <c r="SJU9" s="13"/>
      <c r="SJV9" s="13"/>
      <c r="SJW9" s="13"/>
      <c r="SJX9" s="13"/>
      <c r="SJY9" s="13"/>
      <c r="SJZ9" s="13"/>
      <c r="SKA9" s="13"/>
      <c r="SKB9" s="13"/>
      <c r="SKC9" s="13"/>
      <c r="SKD9" s="13"/>
      <c r="SKE9" s="13"/>
      <c r="SKF9" s="13"/>
      <c r="SKG9" s="13"/>
      <c r="SKH9" s="13"/>
      <c r="SKI9" s="13"/>
      <c r="SKJ9" s="13"/>
      <c r="SKK9" s="13"/>
      <c r="SKL9" s="13"/>
      <c r="SKM9" s="13"/>
      <c r="SKN9" s="13"/>
      <c r="SKO9" s="13"/>
      <c r="SKP9" s="13"/>
      <c r="SKQ9" s="13"/>
      <c r="SKR9" s="13"/>
      <c r="SKS9" s="13"/>
      <c r="SKT9" s="13"/>
      <c r="SKU9" s="13"/>
      <c r="SKV9" s="13"/>
      <c r="SKW9" s="13"/>
      <c r="SKX9" s="13"/>
      <c r="SKY9" s="13"/>
      <c r="SKZ9" s="13"/>
      <c r="SLA9" s="13"/>
      <c r="SLB9" s="13"/>
      <c r="SLC9" s="13"/>
      <c r="SLD9" s="13"/>
      <c r="SLE9" s="13"/>
      <c r="SLF9" s="13"/>
      <c r="SLG9" s="13"/>
      <c r="SLH9" s="13"/>
      <c r="SLI9" s="13"/>
      <c r="SLJ9" s="13"/>
      <c r="SLK9" s="13"/>
      <c r="SLL9" s="13"/>
      <c r="SLM9" s="13"/>
      <c r="SLN9" s="13"/>
      <c r="SLO9" s="13"/>
      <c r="SLP9" s="13"/>
      <c r="SLQ9" s="13"/>
      <c r="SLR9" s="13"/>
      <c r="SLS9" s="13"/>
      <c r="SLT9" s="13"/>
      <c r="SLU9" s="13"/>
      <c r="SLV9" s="13"/>
      <c r="SLW9" s="13"/>
      <c r="SLX9" s="13"/>
      <c r="SLY9" s="13"/>
      <c r="SLZ9" s="13"/>
      <c r="SMA9" s="13"/>
      <c r="SMB9" s="13"/>
      <c r="SMC9" s="13"/>
      <c r="SMD9" s="13"/>
      <c r="SME9" s="13"/>
      <c r="SMF9" s="13"/>
      <c r="SMG9" s="13"/>
      <c r="SMH9" s="13"/>
      <c r="SMI9" s="13"/>
      <c r="SMJ9" s="13"/>
      <c r="SMK9" s="13"/>
      <c r="SML9" s="13"/>
      <c r="SMM9" s="13"/>
      <c r="SMN9" s="13"/>
      <c r="SMO9" s="13"/>
      <c r="SMP9" s="13"/>
      <c r="SMQ9" s="13"/>
      <c r="SMR9" s="13"/>
      <c r="SMS9" s="13"/>
      <c r="SMT9" s="13"/>
      <c r="SMU9" s="13"/>
      <c r="SMV9" s="13"/>
      <c r="SMW9" s="13"/>
      <c r="SMX9" s="13"/>
      <c r="SMY9" s="13"/>
      <c r="SMZ9" s="13"/>
      <c r="SNA9" s="13"/>
      <c r="SNB9" s="13"/>
      <c r="SNC9" s="13"/>
      <c r="SND9" s="13"/>
      <c r="SNE9" s="13"/>
      <c r="SNF9" s="13"/>
      <c r="SNG9" s="13"/>
      <c r="SNH9" s="13"/>
      <c r="SNI9" s="13"/>
      <c r="SNJ9" s="13"/>
      <c r="SNK9" s="13"/>
      <c r="SNL9" s="13"/>
      <c r="SNM9" s="13"/>
      <c r="SNN9" s="13"/>
      <c r="SNO9" s="13"/>
      <c r="SNP9" s="13"/>
      <c r="SNQ9" s="13"/>
      <c r="SNR9" s="13"/>
      <c r="SNS9" s="13"/>
      <c r="SNT9" s="13"/>
      <c r="SNU9" s="13"/>
      <c r="SNV9" s="13"/>
      <c r="SNW9" s="13"/>
      <c r="SNX9" s="13"/>
      <c r="SNY9" s="13"/>
      <c r="SNZ9" s="13"/>
      <c r="SOA9" s="13"/>
      <c r="SOB9" s="13"/>
      <c r="SOC9" s="13"/>
      <c r="SOD9" s="13"/>
      <c r="SOE9" s="13"/>
      <c r="SOF9" s="13"/>
      <c r="SOG9" s="13"/>
      <c r="SOH9" s="13"/>
      <c r="SOI9" s="13"/>
      <c r="SOJ9" s="13"/>
      <c r="SOK9" s="13"/>
      <c r="SOL9" s="13"/>
      <c r="SOM9" s="13"/>
      <c r="SON9" s="13"/>
      <c r="SOO9" s="13"/>
      <c r="SOP9" s="13"/>
      <c r="SOQ9" s="13"/>
      <c r="SOR9" s="13"/>
      <c r="SOS9" s="13"/>
      <c r="SOT9" s="13"/>
      <c r="SOU9" s="13"/>
      <c r="SOV9" s="13"/>
      <c r="SOW9" s="13"/>
      <c r="SOX9" s="13"/>
      <c r="SOY9" s="13"/>
      <c r="SOZ9" s="13"/>
      <c r="SPA9" s="13"/>
      <c r="SPB9" s="13"/>
      <c r="SPC9" s="13"/>
      <c r="SPD9" s="13"/>
      <c r="SPE9" s="13"/>
      <c r="SPF9" s="13"/>
      <c r="SPG9" s="13"/>
      <c r="SPH9" s="13"/>
      <c r="SPI9" s="13"/>
      <c r="SPJ9" s="13"/>
      <c r="SPK9" s="13"/>
      <c r="SPL9" s="13"/>
      <c r="SPM9" s="13"/>
      <c r="SPN9" s="13"/>
      <c r="SPO9" s="13"/>
      <c r="SPP9" s="13"/>
      <c r="SPQ9" s="13"/>
      <c r="SPR9" s="13"/>
      <c r="SPS9" s="13"/>
      <c r="SPT9" s="13"/>
      <c r="SPU9" s="13"/>
      <c r="SPV9" s="13"/>
      <c r="SPW9" s="13"/>
      <c r="SPX9" s="13"/>
      <c r="SPY9" s="13"/>
      <c r="SPZ9" s="13"/>
      <c r="SQA9" s="13"/>
      <c r="SQB9" s="13"/>
      <c r="SQC9" s="13"/>
      <c r="SQD9" s="13"/>
      <c r="SQE9" s="13"/>
      <c r="SQF9" s="13"/>
      <c r="SQG9" s="13"/>
      <c r="SQH9" s="13"/>
      <c r="SQI9" s="13"/>
      <c r="SQJ9" s="13"/>
      <c r="SQK9" s="13"/>
      <c r="SQL9" s="13"/>
      <c r="SQM9" s="13"/>
      <c r="SQN9" s="13"/>
      <c r="SQO9" s="13"/>
      <c r="SQP9" s="13"/>
      <c r="SQQ9" s="13"/>
      <c r="SQR9" s="13"/>
      <c r="SQS9" s="13"/>
      <c r="SQT9" s="13"/>
      <c r="SQU9" s="13"/>
      <c r="SQV9" s="13"/>
      <c r="SQW9" s="13"/>
      <c r="SQX9" s="13"/>
      <c r="SQY9" s="13"/>
      <c r="SQZ9" s="13"/>
      <c r="SRA9" s="13"/>
      <c r="SRB9" s="13"/>
      <c r="SRC9" s="13"/>
      <c r="SRD9" s="13"/>
      <c r="SRE9" s="13"/>
      <c r="SRF9" s="13"/>
      <c r="SRG9" s="13"/>
      <c r="SRH9" s="13"/>
      <c r="SRI9" s="13"/>
      <c r="SRJ9" s="13"/>
      <c r="SRK9" s="13"/>
      <c r="SRL9" s="13"/>
      <c r="SRM9" s="13"/>
      <c r="SRN9" s="13"/>
      <c r="SRO9" s="13"/>
      <c r="SRP9" s="13"/>
      <c r="SRQ9" s="13"/>
      <c r="SRR9" s="13"/>
      <c r="SRS9" s="13"/>
      <c r="SRT9" s="13"/>
      <c r="SRU9" s="13"/>
      <c r="SRV9" s="13"/>
      <c r="SRW9" s="13"/>
      <c r="SRX9" s="13"/>
      <c r="SRY9" s="13"/>
      <c r="SRZ9" s="13"/>
      <c r="SSA9" s="13"/>
      <c r="SSB9" s="13"/>
      <c r="SSC9" s="13"/>
      <c r="SSD9" s="13"/>
      <c r="SSE9" s="13"/>
      <c r="SSF9" s="13"/>
      <c r="SSG9" s="13"/>
      <c r="SSH9" s="13"/>
      <c r="SSI9" s="13"/>
      <c r="SSJ9" s="13"/>
      <c r="SSK9" s="13"/>
      <c r="SSL9" s="13"/>
      <c r="SSM9" s="13"/>
      <c r="SSN9" s="13"/>
      <c r="SSO9" s="13"/>
      <c r="SSP9" s="13"/>
      <c r="SSQ9" s="13"/>
      <c r="SSR9" s="13"/>
      <c r="SSS9" s="13"/>
      <c r="SST9" s="13"/>
      <c r="SSU9" s="13"/>
      <c r="SSV9" s="13"/>
      <c r="SSW9" s="13"/>
      <c r="SSX9" s="13"/>
      <c r="SSY9" s="13"/>
      <c r="SSZ9" s="13"/>
      <c r="STA9" s="13"/>
      <c r="STB9" s="13"/>
      <c r="STC9" s="13"/>
      <c r="STD9" s="13"/>
      <c r="STE9" s="13"/>
      <c r="STF9" s="13"/>
      <c r="STG9" s="13"/>
      <c r="STH9" s="13"/>
      <c r="STI9" s="13"/>
      <c r="STJ9" s="13"/>
      <c r="STK9" s="13"/>
      <c r="STL9" s="13"/>
      <c r="STM9" s="13"/>
      <c r="STN9" s="13"/>
      <c r="STO9" s="13"/>
      <c r="STP9" s="13"/>
      <c r="STQ9" s="13"/>
      <c r="STR9" s="13"/>
      <c r="STS9" s="13"/>
      <c r="STT9" s="13"/>
      <c r="STU9" s="13"/>
      <c r="STV9" s="13"/>
      <c r="STW9" s="13"/>
      <c r="STX9" s="13"/>
      <c r="STY9" s="13"/>
      <c r="STZ9" s="13"/>
      <c r="SUA9" s="13"/>
      <c r="SUB9" s="13"/>
      <c r="SUC9" s="13"/>
      <c r="SUD9" s="13"/>
      <c r="SUE9" s="13"/>
      <c r="SUF9" s="13"/>
      <c r="SUG9" s="13"/>
      <c r="SUH9" s="13"/>
      <c r="SUI9" s="13"/>
      <c r="SUJ9" s="13"/>
      <c r="SUK9" s="13"/>
      <c r="SUL9" s="13"/>
      <c r="SUM9" s="13"/>
      <c r="SUN9" s="13"/>
      <c r="SUO9" s="13"/>
      <c r="SUP9" s="13"/>
      <c r="SUQ9" s="13"/>
      <c r="SUR9" s="13"/>
      <c r="SUS9" s="13"/>
      <c r="SUT9" s="13"/>
      <c r="SUU9" s="13"/>
      <c r="SUV9" s="13"/>
      <c r="SUW9" s="13"/>
      <c r="SUX9" s="13"/>
      <c r="SUY9" s="13"/>
      <c r="SUZ9" s="13"/>
      <c r="SVA9" s="13"/>
      <c r="SVB9" s="13"/>
      <c r="SVC9" s="13"/>
      <c r="SVD9" s="13"/>
      <c r="SVE9" s="13"/>
      <c r="SVF9" s="13"/>
      <c r="SVG9" s="13"/>
      <c r="SVH9" s="13"/>
      <c r="SVI9" s="13"/>
      <c r="SVJ9" s="13"/>
      <c r="SVK9" s="13"/>
      <c r="SVL9" s="13"/>
      <c r="SVM9" s="13"/>
      <c r="SVN9" s="13"/>
      <c r="SVO9" s="13"/>
      <c r="SVP9" s="13"/>
      <c r="SVQ9" s="13"/>
      <c r="SVR9" s="13"/>
      <c r="SVS9" s="13"/>
      <c r="SVT9" s="13"/>
      <c r="SVU9" s="13"/>
      <c r="SVV9" s="13"/>
      <c r="SVW9" s="13"/>
      <c r="SVX9" s="13"/>
      <c r="SVY9" s="13"/>
      <c r="SVZ9" s="13"/>
      <c r="SWA9" s="13"/>
      <c r="SWB9" s="13"/>
      <c r="SWC9" s="13"/>
      <c r="SWD9" s="13"/>
      <c r="SWE9" s="13"/>
      <c r="SWF9" s="13"/>
      <c r="SWG9" s="13"/>
      <c r="SWH9" s="13"/>
      <c r="SWI9" s="13"/>
      <c r="SWJ9" s="13"/>
      <c r="SWK9" s="13"/>
      <c r="SWL9" s="13"/>
      <c r="SWM9" s="13"/>
      <c r="SWN9" s="13"/>
      <c r="SWO9" s="13"/>
      <c r="SWP9" s="13"/>
      <c r="SWQ9" s="13"/>
      <c r="SWR9" s="13"/>
      <c r="SWS9" s="13"/>
      <c r="SWT9" s="13"/>
      <c r="SWU9" s="13"/>
      <c r="SWV9" s="13"/>
      <c r="SWW9" s="13"/>
      <c r="SWX9" s="13"/>
      <c r="SWY9" s="13"/>
      <c r="SWZ9" s="13"/>
      <c r="SXA9" s="13"/>
      <c r="SXB9" s="13"/>
      <c r="SXC9" s="13"/>
      <c r="SXD9" s="13"/>
      <c r="SXE9" s="13"/>
      <c r="SXF9" s="13"/>
      <c r="SXG9" s="13"/>
      <c r="SXH9" s="13"/>
      <c r="SXI9" s="13"/>
      <c r="SXJ9" s="13"/>
      <c r="SXK9" s="13"/>
      <c r="SXL9" s="13"/>
      <c r="SXM9" s="13"/>
      <c r="SXN9" s="13"/>
      <c r="SXO9" s="13"/>
      <c r="SXP9" s="13"/>
      <c r="SXQ9" s="13"/>
      <c r="SXR9" s="13"/>
      <c r="SXS9" s="13"/>
      <c r="SXT9" s="13"/>
      <c r="SXU9" s="13"/>
      <c r="SXV9" s="13"/>
      <c r="SXW9" s="13"/>
      <c r="SXX9" s="13"/>
      <c r="SXY9" s="13"/>
      <c r="SXZ9" s="13"/>
      <c r="SYA9" s="13"/>
      <c r="SYB9" s="13"/>
      <c r="SYC9" s="13"/>
      <c r="SYD9" s="13"/>
      <c r="SYE9" s="13"/>
      <c r="SYF9" s="13"/>
      <c r="SYG9" s="13"/>
      <c r="SYH9" s="13"/>
      <c r="SYI9" s="13"/>
      <c r="SYJ9" s="13"/>
      <c r="SYK9" s="13"/>
      <c r="SYL9" s="13"/>
      <c r="SYM9" s="13"/>
      <c r="SYN9" s="13"/>
      <c r="SYO9" s="13"/>
      <c r="SYP9" s="13"/>
      <c r="SYQ9" s="13"/>
      <c r="SYR9" s="13"/>
      <c r="SYS9" s="13"/>
      <c r="SYT9" s="13"/>
      <c r="SYU9" s="13"/>
      <c r="SYV9" s="13"/>
      <c r="SYW9" s="13"/>
      <c r="SYX9" s="13"/>
      <c r="SYY9" s="13"/>
      <c r="SYZ9" s="13"/>
      <c r="SZA9" s="13"/>
      <c r="SZB9" s="13"/>
      <c r="SZC9" s="13"/>
      <c r="SZD9" s="13"/>
      <c r="SZE9" s="13"/>
      <c r="SZF9" s="13"/>
      <c r="SZG9" s="13"/>
      <c r="SZH9" s="13"/>
      <c r="SZI9" s="13"/>
      <c r="SZJ9" s="13"/>
      <c r="SZK9" s="13"/>
      <c r="SZL9" s="13"/>
      <c r="SZM9" s="13"/>
      <c r="SZN9" s="13"/>
      <c r="SZO9" s="13"/>
      <c r="SZP9" s="13"/>
      <c r="SZQ9" s="13"/>
      <c r="SZR9" s="13"/>
      <c r="SZS9" s="13"/>
      <c r="SZT9" s="13"/>
      <c r="SZU9" s="13"/>
      <c r="SZV9" s="13"/>
      <c r="SZW9" s="13"/>
      <c r="SZX9" s="13"/>
      <c r="SZY9" s="13"/>
      <c r="SZZ9" s="13"/>
      <c r="TAA9" s="13"/>
      <c r="TAB9" s="13"/>
      <c r="TAC9" s="13"/>
      <c r="TAD9" s="13"/>
      <c r="TAE9" s="13"/>
      <c r="TAF9" s="13"/>
      <c r="TAG9" s="13"/>
      <c r="TAH9" s="13"/>
      <c r="TAI9" s="13"/>
      <c r="TAJ9" s="13"/>
      <c r="TAK9" s="13"/>
      <c r="TAL9" s="13"/>
      <c r="TAM9" s="13"/>
      <c r="TAN9" s="13"/>
      <c r="TAO9" s="13"/>
      <c r="TAP9" s="13"/>
      <c r="TAQ9" s="13"/>
      <c r="TAR9" s="13"/>
      <c r="TAS9" s="13"/>
      <c r="TAT9" s="13"/>
      <c r="TAU9" s="13"/>
      <c r="TAV9" s="13"/>
      <c r="TAW9" s="13"/>
      <c r="TAX9" s="13"/>
      <c r="TAY9" s="13"/>
      <c r="TAZ9" s="13"/>
      <c r="TBA9" s="13"/>
      <c r="TBB9" s="13"/>
      <c r="TBC9" s="13"/>
      <c r="TBD9" s="13"/>
      <c r="TBE9" s="13"/>
      <c r="TBF9" s="13"/>
      <c r="TBG9" s="13"/>
      <c r="TBH9" s="13"/>
      <c r="TBI9" s="13"/>
      <c r="TBJ9" s="13"/>
      <c r="TBK9" s="13"/>
      <c r="TBL9" s="13"/>
      <c r="TBM9" s="13"/>
      <c r="TBN9" s="13"/>
      <c r="TBO9" s="13"/>
      <c r="TBP9" s="13"/>
      <c r="TBQ9" s="13"/>
      <c r="TBR9" s="13"/>
      <c r="TBS9" s="13"/>
      <c r="TBT9" s="13"/>
      <c r="TBU9" s="13"/>
      <c r="TBV9" s="13"/>
      <c r="TBW9" s="13"/>
      <c r="TBX9" s="13"/>
      <c r="TBY9" s="13"/>
      <c r="TBZ9" s="13"/>
      <c r="TCA9" s="13"/>
      <c r="TCB9" s="13"/>
      <c r="TCC9" s="13"/>
      <c r="TCD9" s="13"/>
      <c r="TCE9" s="13"/>
      <c r="TCF9" s="13"/>
      <c r="TCG9" s="13"/>
      <c r="TCH9" s="13"/>
      <c r="TCI9" s="13"/>
      <c r="TCJ9" s="13"/>
      <c r="TCK9" s="13"/>
      <c r="TCL9" s="13"/>
      <c r="TCM9" s="13"/>
      <c r="TCN9" s="13"/>
      <c r="TCO9" s="13"/>
      <c r="TCP9" s="13"/>
      <c r="TCQ9" s="13"/>
      <c r="TCR9" s="13"/>
      <c r="TCS9" s="13"/>
      <c r="TCT9" s="13"/>
      <c r="TCU9" s="13"/>
      <c r="TCV9" s="13"/>
      <c r="TCW9" s="13"/>
      <c r="TCX9" s="13"/>
      <c r="TCY9" s="13"/>
      <c r="TCZ9" s="13"/>
      <c r="TDA9" s="13"/>
      <c r="TDB9" s="13"/>
      <c r="TDC9" s="13"/>
      <c r="TDD9" s="13"/>
      <c r="TDE9" s="13"/>
      <c r="TDF9" s="13"/>
      <c r="TDG9" s="13"/>
      <c r="TDH9" s="13"/>
      <c r="TDI9" s="13"/>
      <c r="TDJ9" s="13"/>
      <c r="TDK9" s="13"/>
      <c r="TDL9" s="13"/>
      <c r="TDM9" s="13"/>
      <c r="TDN9" s="13"/>
      <c r="TDO9" s="13"/>
      <c r="TDP9" s="13"/>
      <c r="TDQ9" s="13"/>
      <c r="TDR9" s="13"/>
      <c r="TDS9" s="13"/>
      <c r="TDT9" s="13"/>
      <c r="TDU9" s="13"/>
      <c r="TDV9" s="13"/>
      <c r="TDW9" s="13"/>
      <c r="TDX9" s="13"/>
      <c r="TDY9" s="13"/>
      <c r="TDZ9" s="13"/>
      <c r="TEA9" s="13"/>
      <c r="TEB9" s="13"/>
      <c r="TEC9" s="13"/>
      <c r="TED9" s="13"/>
      <c r="TEE9" s="13"/>
      <c r="TEF9" s="13"/>
      <c r="TEG9" s="13"/>
      <c r="TEH9" s="13"/>
      <c r="TEI9" s="13"/>
      <c r="TEJ9" s="13"/>
      <c r="TEK9" s="13"/>
      <c r="TEL9" s="13"/>
      <c r="TEM9" s="13"/>
      <c r="TEN9" s="13"/>
      <c r="TEO9" s="13"/>
      <c r="TEP9" s="13"/>
      <c r="TEQ9" s="13"/>
      <c r="TER9" s="13"/>
      <c r="TES9" s="13"/>
      <c r="TET9" s="13"/>
      <c r="TEU9" s="13"/>
      <c r="TEV9" s="13"/>
      <c r="TEW9" s="13"/>
      <c r="TEX9" s="13"/>
      <c r="TEY9" s="13"/>
      <c r="TEZ9" s="13"/>
      <c r="TFA9" s="13"/>
      <c r="TFB9" s="13"/>
      <c r="TFC9" s="13"/>
      <c r="TFD9" s="13"/>
      <c r="TFE9" s="13"/>
      <c r="TFF9" s="13"/>
      <c r="TFG9" s="13"/>
      <c r="TFH9" s="13"/>
      <c r="TFI9" s="13"/>
      <c r="TFJ9" s="13"/>
      <c r="TFK9" s="13"/>
      <c r="TFL9" s="13"/>
      <c r="TFM9" s="13"/>
      <c r="TFN9" s="13"/>
      <c r="TFO9" s="13"/>
      <c r="TFP9" s="13"/>
      <c r="TFQ9" s="13"/>
      <c r="TFR9" s="13"/>
      <c r="TFS9" s="13"/>
      <c r="TFT9" s="13"/>
      <c r="TFU9" s="13"/>
      <c r="TFV9" s="13"/>
      <c r="TFW9" s="13"/>
      <c r="TFX9" s="13"/>
      <c r="TFY9" s="13"/>
      <c r="TFZ9" s="13"/>
      <c r="TGA9" s="13"/>
      <c r="TGB9" s="13"/>
      <c r="TGC9" s="13"/>
      <c r="TGD9" s="13"/>
      <c r="TGE9" s="13"/>
      <c r="TGF9" s="13"/>
      <c r="TGG9" s="13"/>
      <c r="TGH9" s="13"/>
      <c r="TGI9" s="13"/>
      <c r="TGJ9" s="13"/>
      <c r="TGK9" s="13"/>
      <c r="TGL9" s="13"/>
      <c r="TGM9" s="13"/>
      <c r="TGN9" s="13"/>
      <c r="TGO9" s="13"/>
      <c r="TGP9" s="13"/>
      <c r="TGQ9" s="13"/>
      <c r="TGR9" s="13"/>
      <c r="TGS9" s="13"/>
      <c r="TGT9" s="13"/>
      <c r="TGU9" s="13"/>
      <c r="TGV9" s="13"/>
      <c r="TGW9" s="13"/>
      <c r="TGX9" s="13"/>
      <c r="TGY9" s="13"/>
      <c r="TGZ9" s="13"/>
      <c r="THA9" s="13"/>
      <c r="THB9" s="13"/>
      <c r="THC9" s="13"/>
      <c r="THD9" s="13"/>
      <c r="THE9" s="13"/>
      <c r="THF9" s="13"/>
      <c r="THG9" s="13"/>
      <c r="THH9" s="13"/>
      <c r="THI9" s="13"/>
      <c r="THJ9" s="13"/>
      <c r="THK9" s="13"/>
      <c r="THL9" s="13"/>
      <c r="THM9" s="13"/>
      <c r="THN9" s="13"/>
      <c r="THO9" s="13"/>
      <c r="THP9" s="13"/>
      <c r="THQ9" s="13"/>
      <c r="THR9" s="13"/>
      <c r="THS9" s="13"/>
      <c r="THT9" s="13"/>
      <c r="THU9" s="13"/>
      <c r="THV9" s="13"/>
      <c r="THW9" s="13"/>
      <c r="THX9" s="13"/>
      <c r="THY9" s="13"/>
      <c r="THZ9" s="13"/>
      <c r="TIA9" s="13"/>
      <c r="TIB9" s="13"/>
      <c r="TIC9" s="13"/>
      <c r="TID9" s="13"/>
      <c r="TIE9" s="13"/>
      <c r="TIF9" s="13"/>
      <c r="TIG9" s="13"/>
      <c r="TIH9" s="13"/>
      <c r="TII9" s="13"/>
      <c r="TIJ9" s="13"/>
      <c r="TIK9" s="13"/>
      <c r="TIL9" s="13"/>
      <c r="TIM9" s="13"/>
      <c r="TIN9" s="13"/>
      <c r="TIO9" s="13"/>
      <c r="TIP9" s="13"/>
      <c r="TIQ9" s="13"/>
      <c r="TIR9" s="13"/>
      <c r="TIS9" s="13"/>
      <c r="TIT9" s="13"/>
      <c r="TIU9" s="13"/>
      <c r="TIV9" s="13"/>
      <c r="TIW9" s="13"/>
      <c r="TIX9" s="13"/>
      <c r="TIY9" s="13"/>
      <c r="TIZ9" s="13"/>
      <c r="TJA9" s="13"/>
      <c r="TJB9" s="13"/>
      <c r="TJC9" s="13"/>
      <c r="TJD9" s="13"/>
      <c r="TJE9" s="13"/>
      <c r="TJF9" s="13"/>
      <c r="TJG9" s="13"/>
      <c r="TJH9" s="13"/>
      <c r="TJI9" s="13"/>
      <c r="TJJ9" s="13"/>
      <c r="TJK9" s="13"/>
      <c r="TJL9" s="13"/>
      <c r="TJM9" s="13"/>
      <c r="TJN9" s="13"/>
      <c r="TJO9" s="13"/>
      <c r="TJP9" s="13"/>
      <c r="TJQ9" s="13"/>
      <c r="TJR9" s="13"/>
      <c r="TJS9" s="13"/>
      <c r="TJT9" s="13"/>
      <c r="TJU9" s="13"/>
      <c r="TJV9" s="13"/>
      <c r="TJW9" s="13"/>
      <c r="TJX9" s="13"/>
      <c r="TJY9" s="13"/>
      <c r="TJZ9" s="13"/>
      <c r="TKA9" s="13"/>
      <c r="TKB9" s="13"/>
      <c r="TKC9" s="13"/>
      <c r="TKD9" s="13"/>
      <c r="TKE9" s="13"/>
      <c r="TKF9" s="13"/>
      <c r="TKG9" s="13"/>
      <c r="TKH9" s="13"/>
      <c r="TKI9" s="13"/>
      <c r="TKJ9" s="13"/>
      <c r="TKK9" s="13"/>
      <c r="TKL9" s="13"/>
      <c r="TKM9" s="13"/>
      <c r="TKN9" s="13"/>
      <c r="TKO9" s="13"/>
      <c r="TKP9" s="13"/>
      <c r="TKQ9" s="13"/>
      <c r="TKR9" s="13"/>
      <c r="TKS9" s="13"/>
      <c r="TKT9" s="13"/>
      <c r="TKU9" s="13"/>
      <c r="TKV9" s="13"/>
      <c r="TKW9" s="13"/>
      <c r="TKX9" s="13"/>
      <c r="TKY9" s="13"/>
      <c r="TKZ9" s="13"/>
      <c r="TLA9" s="13"/>
      <c r="TLB9" s="13"/>
      <c r="TLC9" s="13"/>
      <c r="TLD9" s="13"/>
      <c r="TLE9" s="13"/>
      <c r="TLF9" s="13"/>
      <c r="TLG9" s="13"/>
      <c r="TLH9" s="13"/>
      <c r="TLI9" s="13"/>
      <c r="TLJ9" s="13"/>
      <c r="TLK9" s="13"/>
      <c r="TLL9" s="13"/>
      <c r="TLM9" s="13"/>
      <c r="TLN9" s="13"/>
      <c r="TLO9" s="13"/>
      <c r="TLP9" s="13"/>
      <c r="TLQ9" s="13"/>
      <c r="TLR9" s="13"/>
      <c r="TLS9" s="13"/>
      <c r="TLT9" s="13"/>
      <c r="TLU9" s="13"/>
      <c r="TLV9" s="13"/>
      <c r="TLW9" s="13"/>
      <c r="TLX9" s="13"/>
      <c r="TLY9" s="13"/>
      <c r="TLZ9" s="13"/>
      <c r="TMA9" s="13"/>
      <c r="TMB9" s="13"/>
      <c r="TMC9" s="13"/>
      <c r="TMD9" s="13"/>
      <c r="TME9" s="13"/>
      <c r="TMF9" s="13"/>
      <c r="TMG9" s="13"/>
      <c r="TMH9" s="13"/>
      <c r="TMI9" s="13"/>
      <c r="TMJ9" s="13"/>
      <c r="TMK9" s="13"/>
      <c r="TML9" s="13"/>
      <c r="TMM9" s="13"/>
      <c r="TMN9" s="13"/>
      <c r="TMO9" s="13"/>
      <c r="TMP9" s="13"/>
      <c r="TMQ9" s="13"/>
      <c r="TMR9" s="13"/>
      <c r="TMS9" s="13"/>
      <c r="TMT9" s="13"/>
      <c r="TMU9" s="13"/>
      <c r="TMV9" s="13"/>
      <c r="TMW9" s="13"/>
      <c r="TMX9" s="13"/>
      <c r="TMY9" s="13"/>
      <c r="TMZ9" s="13"/>
      <c r="TNA9" s="13"/>
      <c r="TNB9" s="13"/>
      <c r="TNC9" s="13"/>
      <c r="TND9" s="13"/>
      <c r="TNE9" s="13"/>
      <c r="TNF9" s="13"/>
      <c r="TNG9" s="13"/>
      <c r="TNH9" s="13"/>
      <c r="TNI9" s="13"/>
      <c r="TNJ9" s="13"/>
      <c r="TNK9" s="13"/>
      <c r="TNL9" s="13"/>
      <c r="TNM9" s="13"/>
      <c r="TNN9" s="13"/>
      <c r="TNO9" s="13"/>
      <c r="TNP9" s="13"/>
      <c r="TNQ9" s="13"/>
      <c r="TNR9" s="13"/>
      <c r="TNS9" s="13"/>
      <c r="TNT9" s="13"/>
      <c r="TNU9" s="13"/>
      <c r="TNV9" s="13"/>
      <c r="TNW9" s="13"/>
      <c r="TNX9" s="13"/>
      <c r="TNY9" s="13"/>
      <c r="TNZ9" s="13"/>
      <c r="TOA9" s="13"/>
      <c r="TOB9" s="13"/>
      <c r="TOC9" s="13"/>
      <c r="TOD9" s="13"/>
      <c r="TOE9" s="13"/>
      <c r="TOF9" s="13"/>
      <c r="TOG9" s="13"/>
      <c r="TOH9" s="13"/>
      <c r="TOI9" s="13"/>
      <c r="TOJ9" s="13"/>
      <c r="TOK9" s="13"/>
      <c r="TOL9" s="13"/>
      <c r="TOM9" s="13"/>
      <c r="TON9" s="13"/>
      <c r="TOO9" s="13"/>
      <c r="TOP9" s="13"/>
      <c r="TOQ9" s="13"/>
      <c r="TOR9" s="13"/>
      <c r="TOS9" s="13"/>
      <c r="TOT9" s="13"/>
      <c r="TOU9" s="13"/>
      <c r="TOV9" s="13"/>
      <c r="TOW9" s="13"/>
      <c r="TOX9" s="13"/>
      <c r="TOY9" s="13"/>
      <c r="TOZ9" s="13"/>
      <c r="TPA9" s="13"/>
      <c r="TPB9" s="13"/>
      <c r="TPC9" s="13"/>
      <c r="TPD9" s="13"/>
      <c r="TPE9" s="13"/>
      <c r="TPF9" s="13"/>
      <c r="TPG9" s="13"/>
      <c r="TPH9" s="13"/>
      <c r="TPI9" s="13"/>
      <c r="TPJ9" s="13"/>
      <c r="TPK9" s="13"/>
      <c r="TPL9" s="13"/>
      <c r="TPM9" s="13"/>
      <c r="TPN9" s="13"/>
      <c r="TPO9" s="13"/>
      <c r="TPP9" s="13"/>
      <c r="TPQ9" s="13"/>
      <c r="TPR9" s="13"/>
      <c r="TPS9" s="13"/>
      <c r="TPT9" s="13"/>
      <c r="TPU9" s="13"/>
      <c r="TPV9" s="13"/>
      <c r="TPW9" s="13"/>
      <c r="TPX9" s="13"/>
      <c r="TPY9" s="13"/>
      <c r="TPZ9" s="13"/>
      <c r="TQA9" s="13"/>
      <c r="TQB9" s="13"/>
      <c r="TQC9" s="13"/>
      <c r="TQD9" s="13"/>
      <c r="TQE9" s="13"/>
      <c r="TQF9" s="13"/>
      <c r="TQG9" s="13"/>
      <c r="TQH9" s="13"/>
      <c r="TQI9" s="13"/>
      <c r="TQJ9" s="13"/>
      <c r="TQK9" s="13"/>
      <c r="TQL9" s="13"/>
      <c r="TQM9" s="13"/>
      <c r="TQN9" s="13"/>
      <c r="TQO9" s="13"/>
      <c r="TQP9" s="13"/>
      <c r="TQQ9" s="13"/>
      <c r="TQR9" s="13"/>
      <c r="TQS9" s="13"/>
      <c r="TQT9" s="13"/>
      <c r="TQU9" s="13"/>
      <c r="TQV9" s="13"/>
      <c r="TQW9" s="13"/>
      <c r="TQX9" s="13"/>
      <c r="TQY9" s="13"/>
      <c r="TQZ9" s="13"/>
      <c r="TRA9" s="13"/>
      <c r="TRB9" s="13"/>
      <c r="TRC9" s="13"/>
      <c r="TRD9" s="13"/>
      <c r="TRE9" s="13"/>
      <c r="TRF9" s="13"/>
      <c r="TRG9" s="13"/>
      <c r="TRH9" s="13"/>
      <c r="TRI9" s="13"/>
      <c r="TRJ9" s="13"/>
      <c r="TRK9" s="13"/>
      <c r="TRL9" s="13"/>
      <c r="TRM9" s="13"/>
      <c r="TRN9" s="13"/>
      <c r="TRO9" s="13"/>
      <c r="TRP9" s="13"/>
      <c r="TRQ9" s="13"/>
      <c r="TRR9" s="13"/>
      <c r="TRS9" s="13"/>
      <c r="TRT9" s="13"/>
      <c r="TRU9" s="13"/>
      <c r="TRV9" s="13"/>
      <c r="TRW9" s="13"/>
      <c r="TRX9" s="13"/>
      <c r="TRY9" s="13"/>
      <c r="TRZ9" s="13"/>
      <c r="TSA9" s="13"/>
      <c r="TSB9" s="13"/>
      <c r="TSC9" s="13"/>
      <c r="TSD9" s="13"/>
      <c r="TSE9" s="13"/>
      <c r="TSF9" s="13"/>
      <c r="TSG9" s="13"/>
      <c r="TSH9" s="13"/>
      <c r="TSI9" s="13"/>
      <c r="TSJ9" s="13"/>
      <c r="TSK9" s="13"/>
      <c r="TSL9" s="13"/>
      <c r="TSM9" s="13"/>
      <c r="TSN9" s="13"/>
      <c r="TSO9" s="13"/>
      <c r="TSP9" s="13"/>
      <c r="TSQ9" s="13"/>
      <c r="TSR9" s="13"/>
      <c r="TSS9" s="13"/>
      <c r="TST9" s="13"/>
      <c r="TSU9" s="13"/>
      <c r="TSV9" s="13"/>
      <c r="TSW9" s="13"/>
      <c r="TSX9" s="13"/>
      <c r="TSY9" s="13"/>
      <c r="TSZ9" s="13"/>
      <c r="TTA9" s="13"/>
      <c r="TTB9" s="13"/>
      <c r="TTC9" s="13"/>
      <c r="TTD9" s="13"/>
      <c r="TTE9" s="13"/>
      <c r="TTF9" s="13"/>
      <c r="TTG9" s="13"/>
      <c r="TTH9" s="13"/>
      <c r="TTI9" s="13"/>
      <c r="TTJ9" s="13"/>
      <c r="TTK9" s="13"/>
      <c r="TTL9" s="13"/>
      <c r="TTM9" s="13"/>
      <c r="TTN9" s="13"/>
      <c r="TTO9" s="13"/>
      <c r="TTP9" s="13"/>
      <c r="TTQ9" s="13"/>
      <c r="TTR9" s="13"/>
      <c r="TTS9" s="13"/>
      <c r="TTT9" s="13"/>
      <c r="TTU9" s="13"/>
      <c r="TTV9" s="13"/>
      <c r="TTW9" s="13"/>
      <c r="TTX9" s="13"/>
      <c r="TTY9" s="13"/>
      <c r="TTZ9" s="13"/>
      <c r="TUA9" s="13"/>
      <c r="TUB9" s="13"/>
      <c r="TUC9" s="13"/>
      <c r="TUD9" s="13"/>
      <c r="TUE9" s="13"/>
      <c r="TUF9" s="13"/>
      <c r="TUG9" s="13"/>
      <c r="TUH9" s="13"/>
      <c r="TUI9" s="13"/>
      <c r="TUJ9" s="13"/>
      <c r="TUK9" s="13"/>
      <c r="TUL9" s="13"/>
      <c r="TUM9" s="13"/>
      <c r="TUN9" s="13"/>
      <c r="TUO9" s="13"/>
      <c r="TUP9" s="13"/>
      <c r="TUQ9" s="13"/>
      <c r="TUR9" s="13"/>
      <c r="TUS9" s="13"/>
      <c r="TUT9" s="13"/>
      <c r="TUU9" s="13"/>
      <c r="TUV9" s="13"/>
      <c r="TUW9" s="13"/>
      <c r="TUX9" s="13"/>
      <c r="TUY9" s="13"/>
      <c r="TUZ9" s="13"/>
      <c r="TVA9" s="13"/>
      <c r="TVB9" s="13"/>
      <c r="TVC9" s="13"/>
      <c r="TVD9" s="13"/>
      <c r="TVE9" s="13"/>
      <c r="TVF9" s="13"/>
      <c r="TVG9" s="13"/>
      <c r="TVH9" s="13"/>
      <c r="TVI9" s="13"/>
      <c r="TVJ9" s="13"/>
      <c r="TVK9" s="13"/>
      <c r="TVL9" s="13"/>
      <c r="TVM9" s="13"/>
      <c r="TVN9" s="13"/>
      <c r="TVO9" s="13"/>
      <c r="TVP9" s="13"/>
      <c r="TVQ9" s="13"/>
      <c r="TVR9" s="13"/>
      <c r="TVS9" s="13"/>
      <c r="TVT9" s="13"/>
      <c r="TVU9" s="13"/>
      <c r="TVV9" s="13"/>
      <c r="TVW9" s="13"/>
      <c r="TVX9" s="13"/>
      <c r="TVY9" s="13"/>
      <c r="TVZ9" s="13"/>
      <c r="TWA9" s="13"/>
      <c r="TWB9" s="13"/>
      <c r="TWC9" s="13"/>
      <c r="TWD9" s="13"/>
      <c r="TWE9" s="13"/>
      <c r="TWF9" s="13"/>
      <c r="TWG9" s="13"/>
      <c r="TWH9" s="13"/>
      <c r="TWI9" s="13"/>
      <c r="TWJ9" s="13"/>
      <c r="TWK9" s="13"/>
      <c r="TWL9" s="13"/>
      <c r="TWM9" s="13"/>
      <c r="TWN9" s="13"/>
      <c r="TWO9" s="13"/>
      <c r="TWP9" s="13"/>
      <c r="TWQ9" s="13"/>
      <c r="TWR9" s="13"/>
      <c r="TWS9" s="13"/>
      <c r="TWT9" s="13"/>
      <c r="TWU9" s="13"/>
      <c r="TWV9" s="13"/>
      <c r="TWW9" s="13"/>
      <c r="TWX9" s="13"/>
      <c r="TWY9" s="13"/>
      <c r="TWZ9" s="13"/>
      <c r="TXA9" s="13"/>
      <c r="TXB9" s="13"/>
      <c r="TXC9" s="13"/>
      <c r="TXD9" s="13"/>
      <c r="TXE9" s="13"/>
      <c r="TXF9" s="13"/>
      <c r="TXG9" s="13"/>
      <c r="TXH9" s="13"/>
      <c r="TXI9" s="13"/>
      <c r="TXJ9" s="13"/>
      <c r="TXK9" s="13"/>
      <c r="TXL9" s="13"/>
      <c r="TXM9" s="13"/>
      <c r="TXN9" s="13"/>
      <c r="TXO9" s="13"/>
      <c r="TXP9" s="13"/>
      <c r="TXQ9" s="13"/>
      <c r="TXR9" s="13"/>
      <c r="TXS9" s="13"/>
      <c r="TXT9" s="13"/>
      <c r="TXU9" s="13"/>
      <c r="TXV9" s="13"/>
      <c r="TXW9" s="13"/>
      <c r="TXX9" s="13"/>
      <c r="TXY9" s="13"/>
      <c r="TXZ9" s="13"/>
      <c r="TYA9" s="13"/>
      <c r="TYB9" s="13"/>
      <c r="TYC9" s="13"/>
      <c r="TYD9" s="13"/>
      <c r="TYE9" s="13"/>
      <c r="TYF9" s="13"/>
      <c r="TYG9" s="13"/>
      <c r="TYH9" s="13"/>
      <c r="TYI9" s="13"/>
      <c r="TYJ9" s="13"/>
      <c r="TYK9" s="13"/>
      <c r="TYL9" s="13"/>
      <c r="TYM9" s="13"/>
      <c r="TYN9" s="13"/>
      <c r="TYO9" s="13"/>
      <c r="TYP9" s="13"/>
      <c r="TYQ9" s="13"/>
      <c r="TYR9" s="13"/>
      <c r="TYS9" s="13"/>
      <c r="TYT9" s="13"/>
      <c r="TYU9" s="13"/>
      <c r="TYV9" s="13"/>
      <c r="TYW9" s="13"/>
      <c r="TYX9" s="13"/>
      <c r="TYY9" s="13"/>
      <c r="TYZ9" s="13"/>
      <c r="TZA9" s="13"/>
      <c r="TZB9" s="13"/>
      <c r="TZC9" s="13"/>
      <c r="TZD9" s="13"/>
      <c r="TZE9" s="13"/>
      <c r="TZF9" s="13"/>
      <c r="TZG9" s="13"/>
      <c r="TZH9" s="13"/>
      <c r="TZI9" s="13"/>
      <c r="TZJ9" s="13"/>
      <c r="TZK9" s="13"/>
      <c r="TZL9" s="13"/>
      <c r="TZM9" s="13"/>
      <c r="TZN9" s="13"/>
      <c r="TZO9" s="13"/>
      <c r="TZP9" s="13"/>
      <c r="TZQ9" s="13"/>
      <c r="TZR9" s="13"/>
      <c r="TZS9" s="13"/>
      <c r="TZT9" s="13"/>
      <c r="TZU9" s="13"/>
      <c r="TZV9" s="13"/>
      <c r="TZW9" s="13"/>
      <c r="TZX9" s="13"/>
      <c r="TZY9" s="13"/>
      <c r="TZZ9" s="13"/>
      <c r="UAA9" s="13"/>
      <c r="UAB9" s="13"/>
      <c r="UAC9" s="13"/>
      <c r="UAD9" s="13"/>
      <c r="UAE9" s="13"/>
      <c r="UAF9" s="13"/>
      <c r="UAG9" s="13"/>
      <c r="UAH9" s="13"/>
      <c r="UAI9" s="13"/>
      <c r="UAJ9" s="13"/>
      <c r="UAK9" s="13"/>
      <c r="UAL9" s="13"/>
      <c r="UAM9" s="13"/>
      <c r="UAN9" s="13"/>
      <c r="UAO9" s="13"/>
      <c r="UAP9" s="13"/>
      <c r="UAQ9" s="13"/>
      <c r="UAR9" s="13"/>
      <c r="UAS9" s="13"/>
      <c r="UAT9" s="13"/>
      <c r="UAU9" s="13"/>
      <c r="UAV9" s="13"/>
      <c r="UAW9" s="13"/>
      <c r="UAX9" s="13"/>
      <c r="UAY9" s="13"/>
      <c r="UAZ9" s="13"/>
      <c r="UBA9" s="13"/>
      <c r="UBB9" s="13"/>
      <c r="UBC9" s="13"/>
      <c r="UBD9" s="13"/>
      <c r="UBE9" s="13"/>
      <c r="UBF9" s="13"/>
      <c r="UBG9" s="13"/>
      <c r="UBH9" s="13"/>
      <c r="UBI9" s="13"/>
      <c r="UBJ9" s="13"/>
      <c r="UBK9" s="13"/>
      <c r="UBL9" s="13"/>
      <c r="UBM9" s="13"/>
      <c r="UBN9" s="13"/>
      <c r="UBO9" s="13"/>
      <c r="UBP9" s="13"/>
      <c r="UBQ9" s="13"/>
      <c r="UBR9" s="13"/>
      <c r="UBS9" s="13"/>
      <c r="UBT9" s="13"/>
      <c r="UBU9" s="13"/>
      <c r="UBV9" s="13"/>
      <c r="UBW9" s="13"/>
      <c r="UBX9" s="13"/>
      <c r="UBY9" s="13"/>
      <c r="UBZ9" s="13"/>
      <c r="UCA9" s="13"/>
      <c r="UCB9" s="13"/>
      <c r="UCC9" s="13"/>
      <c r="UCD9" s="13"/>
      <c r="UCE9" s="13"/>
      <c r="UCF9" s="13"/>
      <c r="UCG9" s="13"/>
      <c r="UCH9" s="13"/>
      <c r="UCI9" s="13"/>
      <c r="UCJ9" s="13"/>
      <c r="UCK9" s="13"/>
      <c r="UCL9" s="13"/>
      <c r="UCM9" s="13"/>
      <c r="UCN9" s="13"/>
      <c r="UCO9" s="13"/>
      <c r="UCP9" s="13"/>
      <c r="UCQ9" s="13"/>
      <c r="UCR9" s="13"/>
      <c r="UCS9" s="13"/>
      <c r="UCT9" s="13"/>
      <c r="UCU9" s="13"/>
      <c r="UCV9" s="13"/>
      <c r="UCW9" s="13"/>
      <c r="UCX9" s="13"/>
      <c r="UCY9" s="13"/>
      <c r="UCZ9" s="13"/>
      <c r="UDA9" s="13"/>
      <c r="UDB9" s="13"/>
      <c r="UDC9" s="13"/>
      <c r="UDD9" s="13"/>
      <c r="UDE9" s="13"/>
      <c r="UDF9" s="13"/>
      <c r="UDG9" s="13"/>
      <c r="UDH9" s="13"/>
      <c r="UDI9" s="13"/>
      <c r="UDJ9" s="13"/>
      <c r="UDK9" s="13"/>
      <c r="UDL9" s="13"/>
      <c r="UDM9" s="13"/>
      <c r="UDN9" s="13"/>
      <c r="UDO9" s="13"/>
      <c r="UDP9" s="13"/>
      <c r="UDQ9" s="13"/>
      <c r="UDR9" s="13"/>
      <c r="UDS9" s="13"/>
      <c r="UDT9" s="13"/>
      <c r="UDU9" s="13"/>
      <c r="UDV9" s="13"/>
      <c r="UDW9" s="13"/>
      <c r="UDX9" s="13"/>
      <c r="UDY9" s="13"/>
      <c r="UDZ9" s="13"/>
      <c r="UEA9" s="13"/>
      <c r="UEB9" s="13"/>
      <c r="UEC9" s="13"/>
      <c r="UED9" s="13"/>
      <c r="UEE9" s="13"/>
      <c r="UEF9" s="13"/>
      <c r="UEG9" s="13"/>
      <c r="UEH9" s="13"/>
      <c r="UEI9" s="13"/>
      <c r="UEJ9" s="13"/>
      <c r="UEK9" s="13"/>
      <c r="UEL9" s="13"/>
      <c r="UEM9" s="13"/>
      <c r="UEN9" s="13"/>
      <c r="UEO9" s="13"/>
      <c r="UEP9" s="13"/>
      <c r="UEQ9" s="13"/>
      <c r="UER9" s="13"/>
      <c r="UES9" s="13"/>
      <c r="UET9" s="13"/>
      <c r="UEU9" s="13"/>
      <c r="UEV9" s="13"/>
      <c r="UEW9" s="13"/>
      <c r="UEX9" s="13"/>
      <c r="UEY9" s="13"/>
      <c r="UEZ9" s="13"/>
      <c r="UFA9" s="13"/>
      <c r="UFB9" s="13"/>
      <c r="UFC9" s="13"/>
      <c r="UFD9" s="13"/>
      <c r="UFE9" s="13"/>
      <c r="UFF9" s="13"/>
      <c r="UFG9" s="13"/>
      <c r="UFH9" s="13"/>
      <c r="UFI9" s="13"/>
      <c r="UFJ9" s="13"/>
      <c r="UFK9" s="13"/>
      <c r="UFL9" s="13"/>
      <c r="UFM9" s="13"/>
      <c r="UFN9" s="13"/>
      <c r="UFO9" s="13"/>
      <c r="UFP9" s="13"/>
      <c r="UFQ9" s="13"/>
      <c r="UFR9" s="13"/>
      <c r="UFS9" s="13"/>
      <c r="UFT9" s="13"/>
      <c r="UFU9" s="13"/>
      <c r="UFV9" s="13"/>
      <c r="UFW9" s="13"/>
      <c r="UFX9" s="13"/>
      <c r="UFY9" s="13"/>
      <c r="UFZ9" s="13"/>
      <c r="UGA9" s="13"/>
      <c r="UGB9" s="13"/>
      <c r="UGC9" s="13"/>
      <c r="UGD9" s="13"/>
      <c r="UGE9" s="13"/>
      <c r="UGF9" s="13"/>
      <c r="UGG9" s="13"/>
      <c r="UGH9" s="13"/>
      <c r="UGI9" s="13"/>
      <c r="UGJ9" s="13"/>
      <c r="UGK9" s="13"/>
      <c r="UGL9" s="13"/>
      <c r="UGM9" s="13"/>
      <c r="UGN9" s="13"/>
      <c r="UGO9" s="13"/>
      <c r="UGP9" s="13"/>
      <c r="UGQ9" s="13"/>
      <c r="UGR9" s="13"/>
      <c r="UGS9" s="13"/>
      <c r="UGT9" s="13"/>
      <c r="UGU9" s="13"/>
      <c r="UGV9" s="13"/>
      <c r="UGW9" s="13"/>
      <c r="UGX9" s="13"/>
      <c r="UGY9" s="13"/>
      <c r="UGZ9" s="13"/>
      <c r="UHA9" s="13"/>
      <c r="UHB9" s="13"/>
      <c r="UHC9" s="13"/>
      <c r="UHD9" s="13"/>
      <c r="UHE9" s="13"/>
      <c r="UHF9" s="13"/>
      <c r="UHG9" s="13"/>
      <c r="UHH9" s="13"/>
      <c r="UHI9" s="13"/>
      <c r="UHJ9" s="13"/>
      <c r="UHK9" s="13"/>
      <c r="UHL9" s="13"/>
      <c r="UHM9" s="13"/>
      <c r="UHN9" s="13"/>
      <c r="UHO9" s="13"/>
      <c r="UHP9" s="13"/>
      <c r="UHQ9" s="13"/>
      <c r="UHR9" s="13"/>
      <c r="UHS9" s="13"/>
      <c r="UHT9" s="13"/>
      <c r="UHU9" s="13"/>
      <c r="UHV9" s="13"/>
      <c r="UHW9" s="13"/>
      <c r="UHX9" s="13"/>
      <c r="UHY9" s="13"/>
      <c r="UHZ9" s="13"/>
      <c r="UIA9" s="13"/>
      <c r="UIB9" s="13"/>
      <c r="UIC9" s="13"/>
      <c r="UID9" s="13"/>
      <c r="UIE9" s="13"/>
      <c r="UIF9" s="13"/>
      <c r="UIG9" s="13"/>
      <c r="UIH9" s="13"/>
      <c r="UII9" s="13"/>
      <c r="UIJ9" s="13"/>
      <c r="UIK9" s="13"/>
      <c r="UIL9" s="13"/>
      <c r="UIM9" s="13"/>
      <c r="UIN9" s="13"/>
      <c r="UIO9" s="13"/>
      <c r="UIP9" s="13"/>
      <c r="UIQ9" s="13"/>
      <c r="UIR9" s="13"/>
      <c r="UIS9" s="13"/>
      <c r="UIT9" s="13"/>
      <c r="UIU9" s="13"/>
      <c r="UIV9" s="13"/>
      <c r="UIW9" s="13"/>
      <c r="UIX9" s="13"/>
      <c r="UIY9" s="13"/>
      <c r="UIZ9" s="13"/>
      <c r="UJA9" s="13"/>
      <c r="UJB9" s="13"/>
      <c r="UJC9" s="13"/>
      <c r="UJD9" s="13"/>
      <c r="UJE9" s="13"/>
      <c r="UJF9" s="13"/>
      <c r="UJG9" s="13"/>
      <c r="UJH9" s="13"/>
      <c r="UJI9" s="13"/>
      <c r="UJJ9" s="13"/>
      <c r="UJK9" s="13"/>
      <c r="UJL9" s="13"/>
      <c r="UJM9" s="13"/>
      <c r="UJN9" s="13"/>
      <c r="UJO9" s="13"/>
      <c r="UJP9" s="13"/>
      <c r="UJQ9" s="13"/>
      <c r="UJR9" s="13"/>
      <c r="UJS9" s="13"/>
      <c r="UJT9" s="13"/>
      <c r="UJU9" s="13"/>
      <c r="UJV9" s="13"/>
      <c r="UJW9" s="13"/>
      <c r="UJX9" s="13"/>
      <c r="UJY9" s="13"/>
      <c r="UJZ9" s="13"/>
      <c r="UKA9" s="13"/>
      <c r="UKB9" s="13"/>
      <c r="UKC9" s="13"/>
      <c r="UKD9" s="13"/>
      <c r="UKE9" s="13"/>
      <c r="UKF9" s="13"/>
      <c r="UKG9" s="13"/>
      <c r="UKH9" s="13"/>
      <c r="UKI9" s="13"/>
      <c r="UKJ9" s="13"/>
      <c r="UKK9" s="13"/>
      <c r="UKL9" s="13"/>
      <c r="UKM9" s="13"/>
      <c r="UKN9" s="13"/>
      <c r="UKO9" s="13"/>
      <c r="UKP9" s="13"/>
      <c r="UKQ9" s="13"/>
      <c r="UKR9" s="13"/>
      <c r="UKS9" s="13"/>
      <c r="UKT9" s="13"/>
      <c r="UKU9" s="13"/>
      <c r="UKV9" s="13"/>
      <c r="UKW9" s="13"/>
      <c r="UKX9" s="13"/>
      <c r="UKY9" s="13"/>
      <c r="UKZ9" s="13"/>
      <c r="ULA9" s="13"/>
      <c r="ULB9" s="13"/>
      <c r="ULC9" s="13"/>
      <c r="ULD9" s="13"/>
      <c r="ULE9" s="13"/>
      <c r="ULF9" s="13"/>
      <c r="ULG9" s="13"/>
      <c r="ULH9" s="13"/>
      <c r="ULI9" s="13"/>
      <c r="ULJ9" s="13"/>
      <c r="ULK9" s="13"/>
      <c r="ULL9" s="13"/>
      <c r="ULM9" s="13"/>
      <c r="ULN9" s="13"/>
      <c r="ULO9" s="13"/>
      <c r="ULP9" s="13"/>
      <c r="ULQ9" s="13"/>
      <c r="ULR9" s="13"/>
      <c r="ULS9" s="13"/>
      <c r="ULT9" s="13"/>
      <c r="ULU9" s="13"/>
      <c r="ULV9" s="13"/>
      <c r="ULW9" s="13"/>
      <c r="ULX9" s="13"/>
      <c r="ULY9" s="13"/>
      <c r="ULZ9" s="13"/>
      <c r="UMA9" s="13"/>
      <c r="UMB9" s="13"/>
      <c r="UMC9" s="13"/>
      <c r="UMD9" s="13"/>
      <c r="UME9" s="13"/>
      <c r="UMF9" s="13"/>
      <c r="UMG9" s="13"/>
      <c r="UMH9" s="13"/>
      <c r="UMI9" s="13"/>
      <c r="UMJ9" s="13"/>
      <c r="UMK9" s="13"/>
      <c r="UML9" s="13"/>
      <c r="UMM9" s="13"/>
      <c r="UMN9" s="13"/>
      <c r="UMO9" s="13"/>
      <c r="UMP9" s="13"/>
      <c r="UMQ9" s="13"/>
      <c r="UMR9" s="13"/>
      <c r="UMS9" s="13"/>
      <c r="UMT9" s="13"/>
      <c r="UMU9" s="13"/>
      <c r="UMV9" s="13"/>
      <c r="UMW9" s="13"/>
      <c r="UMX9" s="13"/>
      <c r="UMY9" s="13"/>
      <c r="UMZ9" s="13"/>
      <c r="UNA9" s="13"/>
      <c r="UNB9" s="13"/>
      <c r="UNC9" s="13"/>
      <c r="UND9" s="13"/>
      <c r="UNE9" s="13"/>
      <c r="UNF9" s="13"/>
      <c r="UNG9" s="13"/>
      <c r="UNH9" s="13"/>
      <c r="UNI9" s="13"/>
      <c r="UNJ9" s="13"/>
      <c r="UNK9" s="13"/>
      <c r="UNL9" s="13"/>
      <c r="UNM9" s="13"/>
      <c r="UNN9" s="13"/>
      <c r="UNO9" s="13"/>
      <c r="UNP9" s="13"/>
      <c r="UNQ9" s="13"/>
      <c r="UNR9" s="13"/>
      <c r="UNS9" s="13"/>
      <c r="UNT9" s="13"/>
      <c r="UNU9" s="13"/>
      <c r="UNV9" s="13"/>
      <c r="UNW9" s="13"/>
      <c r="UNX9" s="13"/>
      <c r="UNY9" s="13"/>
      <c r="UNZ9" s="13"/>
      <c r="UOA9" s="13"/>
      <c r="UOB9" s="13"/>
      <c r="UOC9" s="13"/>
      <c r="UOD9" s="13"/>
      <c r="UOE9" s="13"/>
      <c r="UOF9" s="13"/>
      <c r="UOG9" s="13"/>
      <c r="UOH9" s="13"/>
      <c r="UOI9" s="13"/>
      <c r="UOJ9" s="13"/>
      <c r="UOK9" s="13"/>
      <c r="UOL9" s="13"/>
      <c r="UOM9" s="13"/>
      <c r="UON9" s="13"/>
      <c r="UOO9" s="13"/>
      <c r="UOP9" s="13"/>
      <c r="UOQ9" s="13"/>
      <c r="UOR9" s="13"/>
      <c r="UOS9" s="13"/>
      <c r="UOT9" s="13"/>
      <c r="UOU9" s="13"/>
      <c r="UOV9" s="13"/>
      <c r="UOW9" s="13"/>
      <c r="UOX9" s="13"/>
      <c r="UOY9" s="13"/>
      <c r="UOZ9" s="13"/>
      <c r="UPA9" s="13"/>
      <c r="UPB9" s="13"/>
      <c r="UPC9" s="13"/>
      <c r="UPD9" s="13"/>
      <c r="UPE9" s="13"/>
      <c r="UPF9" s="13"/>
      <c r="UPG9" s="13"/>
      <c r="UPH9" s="13"/>
      <c r="UPI9" s="13"/>
      <c r="UPJ9" s="13"/>
      <c r="UPK9" s="13"/>
      <c r="UPL9" s="13"/>
      <c r="UPM9" s="13"/>
      <c r="UPN9" s="13"/>
      <c r="UPO9" s="13"/>
      <c r="UPP9" s="13"/>
      <c r="UPQ9" s="13"/>
      <c r="UPR9" s="13"/>
      <c r="UPS9" s="13"/>
      <c r="UPT9" s="13"/>
      <c r="UPU9" s="13"/>
      <c r="UPV9" s="13"/>
      <c r="UPW9" s="13"/>
      <c r="UPX9" s="13"/>
      <c r="UPY9" s="13"/>
      <c r="UPZ9" s="13"/>
      <c r="UQA9" s="13"/>
      <c r="UQB9" s="13"/>
      <c r="UQC9" s="13"/>
      <c r="UQD9" s="13"/>
      <c r="UQE9" s="13"/>
      <c r="UQF9" s="13"/>
      <c r="UQG9" s="13"/>
      <c r="UQH9" s="13"/>
      <c r="UQI9" s="13"/>
      <c r="UQJ9" s="13"/>
      <c r="UQK9" s="13"/>
      <c r="UQL9" s="13"/>
      <c r="UQM9" s="13"/>
      <c r="UQN9" s="13"/>
      <c r="UQO9" s="13"/>
      <c r="UQP9" s="13"/>
      <c r="UQQ9" s="13"/>
      <c r="UQR9" s="13"/>
      <c r="UQS9" s="13"/>
      <c r="UQT9" s="13"/>
      <c r="UQU9" s="13"/>
      <c r="UQV9" s="13"/>
      <c r="UQW9" s="13"/>
      <c r="UQX9" s="13"/>
      <c r="UQY9" s="13"/>
      <c r="UQZ9" s="13"/>
      <c r="URA9" s="13"/>
      <c r="URB9" s="13"/>
      <c r="URC9" s="13"/>
      <c r="URD9" s="13"/>
      <c r="URE9" s="13"/>
      <c r="URF9" s="13"/>
      <c r="URG9" s="13"/>
      <c r="URH9" s="13"/>
      <c r="URI9" s="13"/>
      <c r="URJ9" s="13"/>
      <c r="URK9" s="13"/>
      <c r="URL9" s="13"/>
      <c r="URM9" s="13"/>
      <c r="URN9" s="13"/>
      <c r="URO9" s="13"/>
      <c r="URP9" s="13"/>
      <c r="URQ9" s="13"/>
      <c r="URR9" s="13"/>
      <c r="URS9" s="13"/>
      <c r="URT9" s="13"/>
      <c r="URU9" s="13"/>
      <c r="URV9" s="13"/>
      <c r="URW9" s="13"/>
      <c r="URX9" s="13"/>
      <c r="URY9" s="13"/>
      <c r="URZ9" s="13"/>
      <c r="USA9" s="13"/>
      <c r="USB9" s="13"/>
      <c r="USC9" s="13"/>
      <c r="USD9" s="13"/>
      <c r="USE9" s="13"/>
      <c r="USF9" s="13"/>
      <c r="USG9" s="13"/>
      <c r="USH9" s="13"/>
      <c r="USI9" s="13"/>
      <c r="USJ9" s="13"/>
      <c r="USK9" s="13"/>
      <c r="USL9" s="13"/>
      <c r="USM9" s="13"/>
      <c r="USN9" s="13"/>
      <c r="USO9" s="13"/>
      <c r="USP9" s="13"/>
      <c r="USQ9" s="13"/>
      <c r="USR9" s="13"/>
      <c r="USS9" s="13"/>
      <c r="UST9" s="13"/>
      <c r="USU9" s="13"/>
      <c r="USV9" s="13"/>
      <c r="USW9" s="13"/>
      <c r="USX9" s="13"/>
      <c r="USY9" s="13"/>
      <c r="USZ9" s="13"/>
      <c r="UTA9" s="13"/>
      <c r="UTB9" s="13"/>
      <c r="UTC9" s="13"/>
      <c r="UTD9" s="13"/>
      <c r="UTE9" s="13"/>
      <c r="UTF9" s="13"/>
      <c r="UTG9" s="13"/>
      <c r="UTH9" s="13"/>
      <c r="UTI9" s="13"/>
      <c r="UTJ9" s="13"/>
      <c r="UTK9" s="13"/>
      <c r="UTL9" s="13"/>
      <c r="UTM9" s="13"/>
      <c r="UTN9" s="13"/>
      <c r="UTO9" s="13"/>
      <c r="UTP9" s="13"/>
      <c r="UTQ9" s="13"/>
      <c r="UTR9" s="13"/>
      <c r="UTS9" s="13"/>
      <c r="UTT9" s="13"/>
      <c r="UTU9" s="13"/>
      <c r="UTV9" s="13"/>
      <c r="UTW9" s="13"/>
      <c r="UTX9" s="13"/>
      <c r="UTY9" s="13"/>
      <c r="UTZ9" s="13"/>
      <c r="UUA9" s="13"/>
      <c r="UUB9" s="13"/>
      <c r="UUC9" s="13"/>
      <c r="UUD9" s="13"/>
      <c r="UUE9" s="13"/>
      <c r="UUF9" s="13"/>
      <c r="UUG9" s="13"/>
      <c r="UUH9" s="13"/>
      <c r="UUI9" s="13"/>
      <c r="UUJ9" s="13"/>
      <c r="UUK9" s="13"/>
      <c r="UUL9" s="13"/>
      <c r="UUM9" s="13"/>
      <c r="UUN9" s="13"/>
      <c r="UUO9" s="13"/>
      <c r="UUP9" s="13"/>
      <c r="UUQ9" s="13"/>
      <c r="UUR9" s="13"/>
      <c r="UUS9" s="13"/>
      <c r="UUT9" s="13"/>
      <c r="UUU9" s="13"/>
      <c r="UUV9" s="13"/>
      <c r="UUW9" s="13"/>
      <c r="UUX9" s="13"/>
      <c r="UUY9" s="13"/>
      <c r="UUZ9" s="13"/>
      <c r="UVA9" s="13"/>
      <c r="UVB9" s="13"/>
      <c r="UVC9" s="13"/>
      <c r="UVD9" s="13"/>
      <c r="UVE9" s="13"/>
      <c r="UVF9" s="13"/>
      <c r="UVG9" s="13"/>
      <c r="UVH9" s="13"/>
      <c r="UVI9" s="13"/>
      <c r="UVJ9" s="13"/>
      <c r="UVK9" s="13"/>
      <c r="UVL9" s="13"/>
      <c r="UVM9" s="13"/>
      <c r="UVN9" s="13"/>
      <c r="UVO9" s="13"/>
      <c r="UVP9" s="13"/>
      <c r="UVQ9" s="13"/>
      <c r="UVR9" s="13"/>
      <c r="UVS9" s="13"/>
      <c r="UVT9" s="13"/>
      <c r="UVU9" s="13"/>
      <c r="UVV9" s="13"/>
      <c r="UVW9" s="13"/>
      <c r="UVX9" s="13"/>
      <c r="UVY9" s="13"/>
      <c r="UVZ9" s="13"/>
      <c r="UWA9" s="13"/>
      <c r="UWB9" s="13"/>
      <c r="UWC9" s="13"/>
      <c r="UWD9" s="13"/>
      <c r="UWE9" s="13"/>
      <c r="UWF9" s="13"/>
      <c r="UWG9" s="13"/>
      <c r="UWH9" s="13"/>
      <c r="UWI9" s="13"/>
      <c r="UWJ9" s="13"/>
      <c r="UWK9" s="13"/>
      <c r="UWL9" s="13"/>
      <c r="UWM9" s="13"/>
      <c r="UWN9" s="13"/>
      <c r="UWO9" s="13"/>
      <c r="UWP9" s="13"/>
      <c r="UWQ9" s="13"/>
      <c r="UWR9" s="13"/>
      <c r="UWS9" s="13"/>
      <c r="UWT9" s="13"/>
      <c r="UWU9" s="13"/>
      <c r="UWV9" s="13"/>
      <c r="UWW9" s="13"/>
      <c r="UWX9" s="13"/>
      <c r="UWY9" s="13"/>
      <c r="UWZ9" s="13"/>
      <c r="UXA9" s="13"/>
      <c r="UXB9" s="13"/>
      <c r="UXC9" s="13"/>
      <c r="UXD9" s="13"/>
      <c r="UXE9" s="13"/>
      <c r="UXF9" s="13"/>
      <c r="UXG9" s="13"/>
      <c r="UXH9" s="13"/>
      <c r="UXI9" s="13"/>
      <c r="UXJ9" s="13"/>
      <c r="UXK9" s="13"/>
      <c r="UXL9" s="13"/>
      <c r="UXM9" s="13"/>
      <c r="UXN9" s="13"/>
      <c r="UXO9" s="13"/>
      <c r="UXP9" s="13"/>
      <c r="UXQ9" s="13"/>
      <c r="UXR9" s="13"/>
      <c r="UXS9" s="13"/>
      <c r="UXT9" s="13"/>
      <c r="UXU9" s="13"/>
      <c r="UXV9" s="13"/>
      <c r="UXW9" s="13"/>
      <c r="UXX9" s="13"/>
      <c r="UXY9" s="13"/>
      <c r="UXZ9" s="13"/>
      <c r="UYA9" s="13"/>
      <c r="UYB9" s="13"/>
      <c r="UYC9" s="13"/>
      <c r="UYD9" s="13"/>
      <c r="UYE9" s="13"/>
      <c r="UYF9" s="13"/>
      <c r="UYG9" s="13"/>
      <c r="UYH9" s="13"/>
      <c r="UYI9" s="13"/>
      <c r="UYJ9" s="13"/>
      <c r="UYK9" s="13"/>
      <c r="UYL9" s="13"/>
      <c r="UYM9" s="13"/>
      <c r="UYN9" s="13"/>
      <c r="UYO9" s="13"/>
      <c r="UYP9" s="13"/>
      <c r="UYQ9" s="13"/>
      <c r="UYR9" s="13"/>
      <c r="UYS9" s="13"/>
      <c r="UYT9" s="13"/>
      <c r="UYU9" s="13"/>
      <c r="UYV9" s="13"/>
      <c r="UYW9" s="13"/>
      <c r="UYX9" s="13"/>
      <c r="UYY9" s="13"/>
      <c r="UYZ9" s="13"/>
      <c r="UZA9" s="13"/>
      <c r="UZB9" s="13"/>
      <c r="UZC9" s="13"/>
      <c r="UZD9" s="13"/>
      <c r="UZE9" s="13"/>
      <c r="UZF9" s="13"/>
      <c r="UZG9" s="13"/>
      <c r="UZH9" s="13"/>
      <c r="UZI9" s="13"/>
      <c r="UZJ9" s="13"/>
      <c r="UZK9" s="13"/>
      <c r="UZL9" s="13"/>
      <c r="UZM9" s="13"/>
      <c r="UZN9" s="13"/>
      <c r="UZO9" s="13"/>
      <c r="UZP9" s="13"/>
      <c r="UZQ9" s="13"/>
      <c r="UZR9" s="13"/>
      <c r="UZS9" s="13"/>
      <c r="UZT9" s="13"/>
      <c r="UZU9" s="13"/>
      <c r="UZV9" s="13"/>
      <c r="UZW9" s="13"/>
      <c r="UZX9" s="13"/>
      <c r="UZY9" s="13"/>
      <c r="UZZ9" s="13"/>
      <c r="VAA9" s="13"/>
      <c r="VAB9" s="13"/>
      <c r="VAC9" s="13"/>
      <c r="VAD9" s="13"/>
      <c r="VAE9" s="13"/>
      <c r="VAF9" s="13"/>
      <c r="VAG9" s="13"/>
      <c r="VAH9" s="13"/>
      <c r="VAI9" s="13"/>
      <c r="VAJ9" s="13"/>
      <c r="VAK9" s="13"/>
      <c r="VAL9" s="13"/>
      <c r="VAM9" s="13"/>
      <c r="VAN9" s="13"/>
      <c r="VAO9" s="13"/>
      <c r="VAP9" s="13"/>
      <c r="VAQ9" s="13"/>
      <c r="VAR9" s="13"/>
      <c r="VAS9" s="13"/>
      <c r="VAT9" s="13"/>
      <c r="VAU9" s="13"/>
      <c r="VAV9" s="13"/>
      <c r="VAW9" s="13"/>
      <c r="VAX9" s="13"/>
      <c r="VAY9" s="13"/>
      <c r="VAZ9" s="13"/>
      <c r="VBA9" s="13"/>
      <c r="VBB9" s="13"/>
      <c r="VBC9" s="13"/>
      <c r="VBD9" s="13"/>
      <c r="VBE9" s="13"/>
      <c r="VBF9" s="13"/>
      <c r="VBG9" s="13"/>
      <c r="VBH9" s="13"/>
      <c r="VBI9" s="13"/>
      <c r="VBJ9" s="13"/>
      <c r="VBK9" s="13"/>
      <c r="VBL9" s="13"/>
      <c r="VBM9" s="13"/>
      <c r="VBN9" s="13"/>
      <c r="VBO9" s="13"/>
      <c r="VBP9" s="13"/>
      <c r="VBQ9" s="13"/>
      <c r="VBR9" s="13"/>
      <c r="VBS9" s="13"/>
      <c r="VBT9" s="13"/>
      <c r="VBU9" s="13"/>
      <c r="VBV9" s="13"/>
      <c r="VBW9" s="13"/>
      <c r="VBX9" s="13"/>
      <c r="VBY9" s="13"/>
      <c r="VBZ9" s="13"/>
      <c r="VCA9" s="13"/>
      <c r="VCB9" s="13"/>
      <c r="VCC9" s="13"/>
      <c r="VCD9" s="13"/>
      <c r="VCE9" s="13"/>
      <c r="VCF9" s="13"/>
      <c r="VCG9" s="13"/>
      <c r="VCH9" s="13"/>
      <c r="VCI9" s="13"/>
      <c r="VCJ9" s="13"/>
      <c r="VCK9" s="13"/>
      <c r="VCL9" s="13"/>
      <c r="VCM9" s="13"/>
      <c r="VCN9" s="13"/>
      <c r="VCO9" s="13"/>
      <c r="VCP9" s="13"/>
      <c r="VCQ9" s="13"/>
      <c r="VCR9" s="13"/>
      <c r="VCS9" s="13"/>
      <c r="VCT9" s="13"/>
      <c r="VCU9" s="13"/>
      <c r="VCV9" s="13"/>
      <c r="VCW9" s="13"/>
      <c r="VCX9" s="13"/>
      <c r="VCY9" s="13"/>
      <c r="VCZ9" s="13"/>
      <c r="VDA9" s="13"/>
      <c r="VDB9" s="13"/>
      <c r="VDC9" s="13"/>
      <c r="VDD9" s="13"/>
      <c r="VDE9" s="13"/>
      <c r="VDF9" s="13"/>
      <c r="VDG9" s="13"/>
      <c r="VDH9" s="13"/>
      <c r="VDI9" s="13"/>
      <c r="VDJ9" s="13"/>
      <c r="VDK9" s="13"/>
      <c r="VDL9" s="13"/>
      <c r="VDM9" s="13"/>
      <c r="VDN9" s="13"/>
      <c r="VDO9" s="13"/>
      <c r="VDP9" s="13"/>
      <c r="VDQ9" s="13"/>
      <c r="VDR9" s="13"/>
      <c r="VDS9" s="13"/>
      <c r="VDT9" s="13"/>
      <c r="VDU9" s="13"/>
      <c r="VDV9" s="13"/>
      <c r="VDW9" s="13"/>
      <c r="VDX9" s="13"/>
      <c r="VDY9" s="13"/>
      <c r="VDZ9" s="13"/>
      <c r="VEA9" s="13"/>
      <c r="VEB9" s="13"/>
      <c r="VEC9" s="13"/>
      <c r="VED9" s="13"/>
      <c r="VEE9" s="13"/>
      <c r="VEF9" s="13"/>
      <c r="VEG9" s="13"/>
      <c r="VEH9" s="13"/>
      <c r="VEI9" s="13"/>
      <c r="VEJ9" s="13"/>
      <c r="VEK9" s="13"/>
      <c r="VEL9" s="13"/>
      <c r="VEM9" s="13"/>
      <c r="VEN9" s="13"/>
      <c r="VEO9" s="13"/>
      <c r="VEP9" s="13"/>
      <c r="VEQ9" s="13"/>
      <c r="VER9" s="13"/>
      <c r="VES9" s="13"/>
      <c r="VET9" s="13"/>
      <c r="VEU9" s="13"/>
      <c r="VEV9" s="13"/>
      <c r="VEW9" s="13"/>
      <c r="VEX9" s="13"/>
      <c r="VEY9" s="13"/>
      <c r="VEZ9" s="13"/>
      <c r="VFA9" s="13"/>
      <c r="VFB9" s="13"/>
      <c r="VFC9" s="13"/>
      <c r="VFD9" s="13"/>
      <c r="VFE9" s="13"/>
      <c r="VFF9" s="13"/>
      <c r="VFG9" s="13"/>
      <c r="VFH9" s="13"/>
      <c r="VFI9" s="13"/>
      <c r="VFJ9" s="13"/>
      <c r="VFK9" s="13"/>
      <c r="VFL9" s="13"/>
      <c r="VFM9" s="13"/>
      <c r="VFN9" s="13"/>
      <c r="VFO9" s="13"/>
      <c r="VFP9" s="13"/>
      <c r="VFQ9" s="13"/>
      <c r="VFR9" s="13"/>
      <c r="VFS9" s="13"/>
      <c r="VFT9" s="13"/>
      <c r="VFU9" s="13"/>
      <c r="VFV9" s="13"/>
      <c r="VFW9" s="13"/>
      <c r="VFX9" s="13"/>
      <c r="VFY9" s="13"/>
      <c r="VFZ9" s="13"/>
      <c r="VGA9" s="13"/>
      <c r="VGB9" s="13"/>
      <c r="VGC9" s="13"/>
      <c r="VGD9" s="13"/>
      <c r="VGE9" s="13"/>
      <c r="VGF9" s="13"/>
      <c r="VGG9" s="13"/>
      <c r="VGH9" s="13"/>
      <c r="VGI9" s="13"/>
      <c r="VGJ9" s="13"/>
      <c r="VGK9" s="13"/>
      <c r="VGL9" s="13"/>
      <c r="VGM9" s="13"/>
      <c r="VGN9" s="13"/>
      <c r="VGO9" s="13"/>
      <c r="VGP9" s="13"/>
      <c r="VGQ9" s="13"/>
      <c r="VGR9" s="13"/>
      <c r="VGS9" s="13"/>
      <c r="VGT9" s="13"/>
      <c r="VGU9" s="13"/>
      <c r="VGV9" s="13"/>
      <c r="VGW9" s="13"/>
      <c r="VGX9" s="13"/>
      <c r="VGY9" s="13"/>
      <c r="VGZ9" s="13"/>
      <c r="VHA9" s="13"/>
      <c r="VHB9" s="13"/>
      <c r="VHC9" s="13"/>
      <c r="VHD9" s="13"/>
      <c r="VHE9" s="13"/>
      <c r="VHF9" s="13"/>
      <c r="VHG9" s="13"/>
      <c r="VHH9" s="13"/>
      <c r="VHI9" s="13"/>
      <c r="VHJ9" s="13"/>
      <c r="VHK9" s="13"/>
      <c r="VHL9" s="13"/>
      <c r="VHM9" s="13"/>
      <c r="VHN9" s="13"/>
      <c r="VHO9" s="13"/>
      <c r="VHP9" s="13"/>
      <c r="VHQ9" s="13"/>
      <c r="VHR9" s="13"/>
      <c r="VHS9" s="13"/>
      <c r="VHT9" s="13"/>
      <c r="VHU9" s="13"/>
      <c r="VHV9" s="13"/>
      <c r="VHW9" s="13"/>
      <c r="VHX9" s="13"/>
      <c r="VHY9" s="13"/>
      <c r="VHZ9" s="13"/>
      <c r="VIA9" s="13"/>
      <c r="VIB9" s="13"/>
      <c r="VIC9" s="13"/>
      <c r="VID9" s="13"/>
      <c r="VIE9" s="13"/>
      <c r="VIF9" s="13"/>
      <c r="VIG9" s="13"/>
      <c r="VIH9" s="13"/>
      <c r="VII9" s="13"/>
      <c r="VIJ9" s="13"/>
      <c r="VIK9" s="13"/>
      <c r="VIL9" s="13"/>
      <c r="VIM9" s="13"/>
      <c r="VIN9" s="13"/>
      <c r="VIO9" s="13"/>
      <c r="VIP9" s="13"/>
      <c r="VIQ9" s="13"/>
      <c r="VIR9" s="13"/>
      <c r="VIS9" s="13"/>
      <c r="VIT9" s="13"/>
      <c r="VIU9" s="13"/>
      <c r="VIV9" s="13"/>
      <c r="VIW9" s="13"/>
      <c r="VIX9" s="13"/>
      <c r="VIY9" s="13"/>
      <c r="VIZ9" s="13"/>
      <c r="VJA9" s="13"/>
      <c r="VJB9" s="13"/>
      <c r="VJC9" s="13"/>
      <c r="VJD9" s="13"/>
      <c r="VJE9" s="13"/>
      <c r="VJF9" s="13"/>
      <c r="VJG9" s="13"/>
      <c r="VJH9" s="13"/>
      <c r="VJI9" s="13"/>
      <c r="VJJ9" s="13"/>
      <c r="VJK9" s="13"/>
      <c r="VJL9" s="13"/>
      <c r="VJM9" s="13"/>
      <c r="VJN9" s="13"/>
      <c r="VJO9" s="13"/>
      <c r="VJP9" s="13"/>
      <c r="VJQ9" s="13"/>
      <c r="VJR9" s="13"/>
      <c r="VJS9" s="13"/>
      <c r="VJT9" s="13"/>
      <c r="VJU9" s="13"/>
      <c r="VJV9" s="13"/>
      <c r="VJW9" s="13"/>
      <c r="VJX9" s="13"/>
      <c r="VJY9" s="13"/>
      <c r="VJZ9" s="13"/>
      <c r="VKA9" s="13"/>
      <c r="VKB9" s="13"/>
      <c r="VKC9" s="13"/>
      <c r="VKD9" s="13"/>
      <c r="VKE9" s="13"/>
      <c r="VKF9" s="13"/>
      <c r="VKG9" s="13"/>
      <c r="VKH9" s="13"/>
      <c r="VKI9" s="13"/>
      <c r="VKJ9" s="13"/>
      <c r="VKK9" s="13"/>
      <c r="VKL9" s="13"/>
      <c r="VKM9" s="13"/>
      <c r="VKN9" s="13"/>
      <c r="VKO9" s="13"/>
      <c r="VKP9" s="13"/>
      <c r="VKQ9" s="13"/>
      <c r="VKR9" s="13"/>
      <c r="VKS9" s="13"/>
      <c r="VKT9" s="13"/>
      <c r="VKU9" s="13"/>
      <c r="VKV9" s="13"/>
      <c r="VKW9" s="13"/>
      <c r="VKX9" s="13"/>
      <c r="VKY9" s="13"/>
      <c r="VKZ9" s="13"/>
      <c r="VLA9" s="13"/>
      <c r="VLB9" s="13"/>
      <c r="VLC9" s="13"/>
      <c r="VLD9" s="13"/>
      <c r="VLE9" s="13"/>
      <c r="VLF9" s="13"/>
      <c r="VLG9" s="13"/>
      <c r="VLH9" s="13"/>
      <c r="VLI9" s="13"/>
      <c r="VLJ9" s="13"/>
      <c r="VLK9" s="13"/>
      <c r="VLL9" s="13"/>
      <c r="VLM9" s="13"/>
      <c r="VLN9" s="13"/>
      <c r="VLO9" s="13"/>
      <c r="VLP9" s="13"/>
      <c r="VLQ9" s="13"/>
      <c r="VLR9" s="13"/>
      <c r="VLS9" s="13"/>
      <c r="VLT9" s="13"/>
      <c r="VLU9" s="13"/>
      <c r="VLV9" s="13"/>
      <c r="VLW9" s="13"/>
      <c r="VLX9" s="13"/>
      <c r="VLY9" s="13"/>
      <c r="VLZ9" s="13"/>
      <c r="VMA9" s="13"/>
      <c r="VMB9" s="13"/>
      <c r="VMC9" s="13"/>
      <c r="VMD9" s="13"/>
      <c r="VME9" s="13"/>
      <c r="VMF9" s="13"/>
      <c r="VMG9" s="13"/>
      <c r="VMH9" s="13"/>
      <c r="VMI9" s="13"/>
      <c r="VMJ9" s="13"/>
      <c r="VMK9" s="13"/>
      <c r="VML9" s="13"/>
      <c r="VMM9" s="13"/>
      <c r="VMN9" s="13"/>
      <c r="VMO9" s="13"/>
      <c r="VMP9" s="13"/>
      <c r="VMQ9" s="13"/>
      <c r="VMR9" s="13"/>
      <c r="VMS9" s="13"/>
      <c r="VMT9" s="13"/>
      <c r="VMU9" s="13"/>
      <c r="VMV9" s="13"/>
      <c r="VMW9" s="13"/>
      <c r="VMX9" s="13"/>
      <c r="VMY9" s="13"/>
      <c r="VMZ9" s="13"/>
      <c r="VNA9" s="13"/>
      <c r="VNB9" s="13"/>
      <c r="VNC9" s="13"/>
      <c r="VND9" s="13"/>
      <c r="VNE9" s="13"/>
      <c r="VNF9" s="13"/>
      <c r="VNG9" s="13"/>
      <c r="VNH9" s="13"/>
      <c r="VNI9" s="13"/>
      <c r="VNJ9" s="13"/>
      <c r="VNK9" s="13"/>
      <c r="VNL9" s="13"/>
      <c r="VNM9" s="13"/>
      <c r="VNN9" s="13"/>
      <c r="VNO9" s="13"/>
      <c r="VNP9" s="13"/>
      <c r="VNQ9" s="13"/>
      <c r="VNR9" s="13"/>
      <c r="VNS9" s="13"/>
      <c r="VNT9" s="13"/>
      <c r="VNU9" s="13"/>
      <c r="VNV9" s="13"/>
      <c r="VNW9" s="13"/>
      <c r="VNX9" s="13"/>
      <c r="VNY9" s="13"/>
      <c r="VNZ9" s="13"/>
      <c r="VOA9" s="13"/>
      <c r="VOB9" s="13"/>
      <c r="VOC9" s="13"/>
      <c r="VOD9" s="13"/>
      <c r="VOE9" s="13"/>
      <c r="VOF9" s="13"/>
      <c r="VOG9" s="13"/>
      <c r="VOH9" s="13"/>
      <c r="VOI9" s="13"/>
      <c r="VOJ9" s="13"/>
      <c r="VOK9" s="13"/>
      <c r="VOL9" s="13"/>
      <c r="VOM9" s="13"/>
      <c r="VON9" s="13"/>
      <c r="VOO9" s="13"/>
      <c r="VOP9" s="13"/>
      <c r="VOQ9" s="13"/>
      <c r="VOR9" s="13"/>
      <c r="VOS9" s="13"/>
      <c r="VOT9" s="13"/>
      <c r="VOU9" s="13"/>
      <c r="VOV9" s="13"/>
      <c r="VOW9" s="13"/>
      <c r="VOX9" s="13"/>
      <c r="VOY9" s="13"/>
      <c r="VOZ9" s="13"/>
      <c r="VPA9" s="13"/>
      <c r="VPB9" s="13"/>
      <c r="VPC9" s="13"/>
      <c r="VPD9" s="13"/>
      <c r="VPE9" s="13"/>
      <c r="VPF9" s="13"/>
      <c r="VPG9" s="13"/>
      <c r="VPH9" s="13"/>
      <c r="VPI9" s="13"/>
      <c r="VPJ9" s="13"/>
      <c r="VPK9" s="13"/>
      <c r="VPL9" s="13"/>
      <c r="VPM9" s="13"/>
      <c r="VPN9" s="13"/>
      <c r="VPO9" s="13"/>
      <c r="VPP9" s="13"/>
      <c r="VPQ9" s="13"/>
      <c r="VPR9" s="13"/>
      <c r="VPS9" s="13"/>
      <c r="VPT9" s="13"/>
      <c r="VPU9" s="13"/>
      <c r="VPV9" s="13"/>
      <c r="VPW9" s="13"/>
      <c r="VPX9" s="13"/>
      <c r="VPY9" s="13"/>
      <c r="VPZ9" s="13"/>
      <c r="VQA9" s="13"/>
      <c r="VQB9" s="13"/>
      <c r="VQC9" s="13"/>
      <c r="VQD9" s="13"/>
      <c r="VQE9" s="13"/>
      <c r="VQF9" s="13"/>
      <c r="VQG9" s="13"/>
      <c r="VQH9" s="13"/>
      <c r="VQI9" s="13"/>
      <c r="VQJ9" s="13"/>
      <c r="VQK9" s="13"/>
      <c r="VQL9" s="13"/>
      <c r="VQM9" s="13"/>
      <c r="VQN9" s="13"/>
      <c r="VQO9" s="13"/>
      <c r="VQP9" s="13"/>
      <c r="VQQ9" s="13"/>
      <c r="VQR9" s="13"/>
      <c r="VQS9" s="13"/>
      <c r="VQT9" s="13"/>
      <c r="VQU9" s="13"/>
      <c r="VQV9" s="13"/>
      <c r="VQW9" s="13"/>
      <c r="VQX9" s="13"/>
      <c r="VQY9" s="13"/>
      <c r="VQZ9" s="13"/>
      <c r="VRA9" s="13"/>
      <c r="VRB9" s="13"/>
      <c r="VRC9" s="13"/>
      <c r="VRD9" s="13"/>
      <c r="VRE9" s="13"/>
      <c r="VRF9" s="13"/>
      <c r="VRG9" s="13"/>
      <c r="VRH9" s="13"/>
      <c r="VRI9" s="13"/>
      <c r="VRJ9" s="13"/>
      <c r="VRK9" s="13"/>
      <c r="VRL9" s="13"/>
      <c r="VRM9" s="13"/>
      <c r="VRN9" s="13"/>
      <c r="VRO9" s="13"/>
      <c r="VRP9" s="13"/>
      <c r="VRQ9" s="13"/>
      <c r="VRR9" s="13"/>
      <c r="VRS9" s="13"/>
      <c r="VRT9" s="13"/>
      <c r="VRU9" s="13"/>
      <c r="VRV9" s="13"/>
      <c r="VRW9" s="13"/>
      <c r="VRX9" s="13"/>
      <c r="VRY9" s="13"/>
      <c r="VRZ9" s="13"/>
      <c r="VSA9" s="13"/>
      <c r="VSB9" s="13"/>
      <c r="VSC9" s="13"/>
      <c r="VSD9" s="13"/>
      <c r="VSE9" s="13"/>
      <c r="VSF9" s="13"/>
      <c r="VSG9" s="13"/>
      <c r="VSH9" s="13"/>
      <c r="VSI9" s="13"/>
      <c r="VSJ9" s="13"/>
      <c r="VSK9" s="13"/>
      <c r="VSL9" s="13"/>
      <c r="VSM9" s="13"/>
      <c r="VSN9" s="13"/>
      <c r="VSO9" s="13"/>
      <c r="VSP9" s="13"/>
      <c r="VSQ9" s="13"/>
      <c r="VSR9" s="13"/>
      <c r="VSS9" s="13"/>
      <c r="VST9" s="13"/>
      <c r="VSU9" s="13"/>
      <c r="VSV9" s="13"/>
      <c r="VSW9" s="13"/>
      <c r="VSX9" s="13"/>
      <c r="VSY9" s="13"/>
      <c r="VSZ9" s="13"/>
      <c r="VTA9" s="13"/>
      <c r="VTB9" s="13"/>
      <c r="VTC9" s="13"/>
      <c r="VTD9" s="13"/>
      <c r="VTE9" s="13"/>
      <c r="VTF9" s="13"/>
      <c r="VTG9" s="13"/>
      <c r="VTH9" s="13"/>
      <c r="VTI9" s="13"/>
      <c r="VTJ9" s="13"/>
      <c r="VTK9" s="13"/>
      <c r="VTL9" s="13"/>
      <c r="VTM9" s="13"/>
      <c r="VTN9" s="13"/>
      <c r="VTO9" s="13"/>
      <c r="VTP9" s="13"/>
      <c r="VTQ9" s="13"/>
      <c r="VTR9" s="13"/>
      <c r="VTS9" s="13"/>
      <c r="VTT9" s="13"/>
      <c r="VTU9" s="13"/>
      <c r="VTV9" s="13"/>
      <c r="VTW9" s="13"/>
      <c r="VTX9" s="13"/>
      <c r="VTY9" s="13"/>
      <c r="VTZ9" s="13"/>
      <c r="VUA9" s="13"/>
      <c r="VUB9" s="13"/>
      <c r="VUC9" s="13"/>
      <c r="VUD9" s="13"/>
      <c r="VUE9" s="13"/>
      <c r="VUF9" s="13"/>
      <c r="VUG9" s="13"/>
      <c r="VUH9" s="13"/>
      <c r="VUI9" s="13"/>
      <c r="VUJ9" s="13"/>
      <c r="VUK9" s="13"/>
      <c r="VUL9" s="13"/>
      <c r="VUM9" s="13"/>
      <c r="VUN9" s="13"/>
      <c r="VUO9" s="13"/>
      <c r="VUP9" s="13"/>
      <c r="VUQ9" s="13"/>
      <c r="VUR9" s="13"/>
      <c r="VUS9" s="13"/>
      <c r="VUT9" s="13"/>
      <c r="VUU9" s="13"/>
      <c r="VUV9" s="13"/>
      <c r="VUW9" s="13"/>
      <c r="VUX9" s="13"/>
      <c r="VUY9" s="13"/>
      <c r="VUZ9" s="13"/>
      <c r="VVA9" s="13"/>
      <c r="VVB9" s="13"/>
      <c r="VVC9" s="13"/>
      <c r="VVD9" s="13"/>
      <c r="VVE9" s="13"/>
      <c r="VVF9" s="13"/>
      <c r="VVG9" s="13"/>
      <c r="VVH9" s="13"/>
      <c r="VVI9" s="13"/>
      <c r="VVJ9" s="13"/>
      <c r="VVK9" s="13"/>
      <c r="VVL9" s="13"/>
      <c r="VVM9" s="13"/>
      <c r="VVN9" s="13"/>
      <c r="VVO9" s="13"/>
      <c r="VVP9" s="13"/>
      <c r="VVQ9" s="13"/>
      <c r="VVR9" s="13"/>
      <c r="VVS9" s="13"/>
      <c r="VVT9" s="13"/>
      <c r="VVU9" s="13"/>
      <c r="VVV9" s="13"/>
      <c r="VVW9" s="13"/>
      <c r="VVX9" s="13"/>
      <c r="VVY9" s="13"/>
      <c r="VVZ9" s="13"/>
      <c r="VWA9" s="13"/>
      <c r="VWB9" s="13"/>
      <c r="VWC9" s="13"/>
      <c r="VWD9" s="13"/>
      <c r="VWE9" s="13"/>
      <c r="VWF9" s="13"/>
      <c r="VWG9" s="13"/>
      <c r="VWH9" s="13"/>
      <c r="VWI9" s="13"/>
      <c r="VWJ9" s="13"/>
      <c r="VWK9" s="13"/>
      <c r="VWL9" s="13"/>
      <c r="VWM9" s="13"/>
      <c r="VWN9" s="13"/>
      <c r="VWO9" s="13"/>
      <c r="VWP9" s="13"/>
      <c r="VWQ9" s="13"/>
      <c r="VWR9" s="13"/>
      <c r="VWS9" s="13"/>
      <c r="VWT9" s="13"/>
      <c r="VWU9" s="13"/>
      <c r="VWV9" s="13"/>
      <c r="VWW9" s="13"/>
      <c r="VWX9" s="13"/>
      <c r="VWY9" s="13"/>
      <c r="VWZ9" s="13"/>
      <c r="VXA9" s="13"/>
      <c r="VXB9" s="13"/>
      <c r="VXC9" s="13"/>
      <c r="VXD9" s="13"/>
      <c r="VXE9" s="13"/>
      <c r="VXF9" s="13"/>
      <c r="VXG9" s="13"/>
      <c r="VXH9" s="13"/>
      <c r="VXI9" s="13"/>
      <c r="VXJ9" s="13"/>
      <c r="VXK9" s="13"/>
      <c r="VXL9" s="13"/>
      <c r="VXM9" s="13"/>
      <c r="VXN9" s="13"/>
      <c r="VXO9" s="13"/>
      <c r="VXP9" s="13"/>
      <c r="VXQ9" s="13"/>
      <c r="VXR9" s="13"/>
      <c r="VXS9" s="13"/>
      <c r="VXT9" s="13"/>
      <c r="VXU9" s="13"/>
      <c r="VXV9" s="13"/>
      <c r="VXW9" s="13"/>
      <c r="VXX9" s="13"/>
      <c r="VXY9" s="13"/>
      <c r="VXZ9" s="13"/>
      <c r="VYA9" s="13"/>
      <c r="VYB9" s="13"/>
      <c r="VYC9" s="13"/>
      <c r="VYD9" s="13"/>
      <c r="VYE9" s="13"/>
      <c r="VYF9" s="13"/>
      <c r="VYG9" s="13"/>
      <c r="VYH9" s="13"/>
      <c r="VYI9" s="13"/>
      <c r="VYJ9" s="13"/>
      <c r="VYK9" s="13"/>
      <c r="VYL9" s="13"/>
      <c r="VYM9" s="13"/>
      <c r="VYN9" s="13"/>
      <c r="VYO9" s="13"/>
      <c r="VYP9" s="13"/>
      <c r="VYQ9" s="13"/>
      <c r="VYR9" s="13"/>
      <c r="VYS9" s="13"/>
      <c r="VYT9" s="13"/>
      <c r="VYU9" s="13"/>
      <c r="VYV9" s="13"/>
      <c r="VYW9" s="13"/>
      <c r="VYX9" s="13"/>
      <c r="VYY9" s="13"/>
      <c r="VYZ9" s="13"/>
      <c r="VZA9" s="13"/>
      <c r="VZB9" s="13"/>
      <c r="VZC9" s="13"/>
      <c r="VZD9" s="13"/>
      <c r="VZE9" s="13"/>
      <c r="VZF9" s="13"/>
      <c r="VZG9" s="13"/>
      <c r="VZH9" s="13"/>
      <c r="VZI9" s="13"/>
      <c r="VZJ9" s="13"/>
      <c r="VZK9" s="13"/>
      <c r="VZL9" s="13"/>
      <c r="VZM9" s="13"/>
      <c r="VZN9" s="13"/>
      <c r="VZO9" s="13"/>
      <c r="VZP9" s="13"/>
      <c r="VZQ9" s="13"/>
      <c r="VZR9" s="13"/>
      <c r="VZS9" s="13"/>
      <c r="VZT9" s="13"/>
      <c r="VZU9" s="13"/>
      <c r="VZV9" s="13"/>
      <c r="VZW9" s="13"/>
      <c r="VZX9" s="13"/>
      <c r="VZY9" s="13"/>
      <c r="VZZ9" s="13"/>
      <c r="WAA9" s="13"/>
      <c r="WAB9" s="13"/>
      <c r="WAC9" s="13"/>
      <c r="WAD9" s="13"/>
      <c r="WAE9" s="13"/>
      <c r="WAF9" s="13"/>
      <c r="WAG9" s="13"/>
      <c r="WAH9" s="13"/>
      <c r="WAI9" s="13"/>
      <c r="WAJ9" s="13"/>
      <c r="WAK9" s="13"/>
      <c r="WAL9" s="13"/>
      <c r="WAM9" s="13"/>
      <c r="WAN9" s="13"/>
      <c r="WAO9" s="13"/>
      <c r="WAP9" s="13"/>
      <c r="WAQ9" s="13"/>
      <c r="WAR9" s="13"/>
      <c r="WAS9" s="13"/>
      <c r="WAT9" s="13"/>
      <c r="WAU9" s="13"/>
      <c r="WAV9" s="13"/>
      <c r="WAW9" s="13"/>
      <c r="WAX9" s="13"/>
      <c r="WAY9" s="13"/>
      <c r="WAZ9" s="13"/>
      <c r="WBA9" s="13"/>
      <c r="WBB9" s="13"/>
      <c r="WBC9" s="13"/>
      <c r="WBD9" s="13"/>
      <c r="WBE9" s="13"/>
      <c r="WBF9" s="13"/>
      <c r="WBG9" s="13"/>
      <c r="WBH9" s="13"/>
      <c r="WBI9" s="13"/>
      <c r="WBJ9" s="13"/>
      <c r="WBK9" s="13"/>
      <c r="WBL9" s="13"/>
      <c r="WBM9" s="13"/>
      <c r="WBN9" s="13"/>
      <c r="WBO9" s="13"/>
      <c r="WBP9" s="13"/>
      <c r="WBQ9" s="13"/>
      <c r="WBR9" s="13"/>
      <c r="WBS9" s="13"/>
      <c r="WBT9" s="13"/>
      <c r="WBU9" s="13"/>
      <c r="WBV9" s="13"/>
      <c r="WBW9" s="13"/>
      <c r="WBX9" s="13"/>
      <c r="WBY9" s="13"/>
      <c r="WBZ9" s="13"/>
      <c r="WCA9" s="13"/>
      <c r="WCB9" s="13"/>
      <c r="WCC9" s="13"/>
      <c r="WCD9" s="13"/>
      <c r="WCE9" s="13"/>
      <c r="WCF9" s="13"/>
      <c r="WCG9" s="13"/>
      <c r="WCH9" s="13"/>
      <c r="WCI9" s="13"/>
      <c r="WCJ9" s="13"/>
      <c r="WCK9" s="13"/>
      <c r="WCL9" s="13"/>
      <c r="WCM9" s="13"/>
      <c r="WCN9" s="13"/>
      <c r="WCO9" s="13"/>
      <c r="WCP9" s="13"/>
      <c r="WCQ9" s="13"/>
      <c r="WCR9" s="13"/>
      <c r="WCS9" s="13"/>
      <c r="WCT9" s="13"/>
      <c r="WCU9" s="13"/>
      <c r="WCV9" s="13"/>
      <c r="WCW9" s="13"/>
      <c r="WCX9" s="13"/>
      <c r="WCY9" s="13"/>
      <c r="WCZ9" s="13"/>
      <c r="WDA9" s="13"/>
      <c r="WDB9" s="13"/>
      <c r="WDC9" s="13"/>
      <c r="WDD9" s="13"/>
      <c r="WDE9" s="13"/>
      <c r="WDF9" s="13"/>
      <c r="WDG9" s="13"/>
      <c r="WDH9" s="13"/>
      <c r="WDI9" s="13"/>
      <c r="WDJ9" s="13"/>
      <c r="WDK9" s="13"/>
      <c r="WDL9" s="13"/>
      <c r="WDM9" s="13"/>
      <c r="WDN9" s="13"/>
      <c r="WDO9" s="13"/>
      <c r="WDP9" s="13"/>
      <c r="WDQ9" s="13"/>
      <c r="WDR9" s="13"/>
      <c r="WDS9" s="13"/>
      <c r="WDT9" s="13"/>
      <c r="WDU9" s="13"/>
      <c r="WDV9" s="13"/>
      <c r="WDW9" s="13"/>
      <c r="WDX9" s="13"/>
      <c r="WDY9" s="13"/>
      <c r="WDZ9" s="13"/>
      <c r="WEA9" s="13"/>
      <c r="WEB9" s="13"/>
      <c r="WEC9" s="13"/>
      <c r="WED9" s="13"/>
      <c r="WEE9" s="13"/>
      <c r="WEF9" s="13"/>
      <c r="WEG9" s="13"/>
      <c r="WEH9" s="13"/>
      <c r="WEI9" s="13"/>
      <c r="WEJ9" s="13"/>
      <c r="WEK9" s="13"/>
      <c r="WEL9" s="13"/>
      <c r="WEM9" s="13"/>
      <c r="WEN9" s="13"/>
      <c r="WEO9" s="13"/>
      <c r="WEP9" s="13"/>
      <c r="WEQ9" s="13"/>
      <c r="WER9" s="13"/>
      <c r="WES9" s="13"/>
      <c r="WET9" s="13"/>
      <c r="WEU9" s="13"/>
      <c r="WEV9" s="13"/>
      <c r="WEW9" s="13"/>
      <c r="WEX9" s="13"/>
      <c r="WEY9" s="13"/>
      <c r="WEZ9" s="13"/>
      <c r="WFA9" s="13"/>
      <c r="WFB9" s="13"/>
      <c r="WFC9" s="13"/>
      <c r="WFD9" s="13"/>
      <c r="WFE9" s="13"/>
      <c r="WFF9" s="13"/>
      <c r="WFG9" s="13"/>
      <c r="WFH9" s="13"/>
      <c r="WFI9" s="13"/>
      <c r="WFJ9" s="13"/>
      <c r="WFK9" s="13"/>
      <c r="WFL9" s="13"/>
      <c r="WFM9" s="13"/>
      <c r="WFN9" s="13"/>
      <c r="WFO9" s="13"/>
      <c r="WFP9" s="13"/>
      <c r="WFQ9" s="13"/>
      <c r="WFR9" s="13"/>
      <c r="WFS9" s="13"/>
      <c r="WFT9" s="13"/>
      <c r="WFU9" s="13"/>
      <c r="WFV9" s="13"/>
      <c r="WFW9" s="13"/>
      <c r="WFX9" s="13"/>
      <c r="WFY9" s="13"/>
      <c r="WFZ9" s="13"/>
      <c r="WGA9" s="13"/>
      <c r="WGB9" s="13"/>
      <c r="WGC9" s="13"/>
      <c r="WGD9" s="13"/>
      <c r="WGE9" s="13"/>
      <c r="WGF9" s="13"/>
      <c r="WGG9" s="13"/>
      <c r="WGH9" s="13"/>
      <c r="WGI9" s="13"/>
      <c r="WGJ9" s="13"/>
      <c r="WGK9" s="13"/>
      <c r="WGL9" s="13"/>
      <c r="WGM9" s="13"/>
      <c r="WGN9" s="13"/>
      <c r="WGO9" s="13"/>
      <c r="WGP9" s="13"/>
      <c r="WGQ9" s="13"/>
      <c r="WGR9" s="13"/>
      <c r="WGS9" s="13"/>
      <c r="WGT9" s="13"/>
      <c r="WGU9" s="13"/>
      <c r="WGV9" s="13"/>
      <c r="WGW9" s="13"/>
      <c r="WGX9" s="13"/>
      <c r="WGY9" s="13"/>
      <c r="WGZ9" s="13"/>
      <c r="WHA9" s="13"/>
      <c r="WHB9" s="13"/>
      <c r="WHC9" s="13"/>
      <c r="WHD9" s="13"/>
      <c r="WHE9" s="13"/>
      <c r="WHF9" s="13"/>
      <c r="WHG9" s="13"/>
      <c r="WHH9" s="13"/>
      <c r="WHI9" s="13"/>
      <c r="WHJ9" s="13"/>
      <c r="WHK9" s="13"/>
      <c r="WHL9" s="13"/>
      <c r="WHM9" s="13"/>
      <c r="WHN9" s="13"/>
      <c r="WHO9" s="13"/>
      <c r="WHP9" s="13"/>
      <c r="WHQ9" s="13"/>
      <c r="WHR9" s="13"/>
      <c r="WHS9" s="13"/>
      <c r="WHT9" s="13"/>
      <c r="WHU9" s="13"/>
      <c r="WHV9" s="13"/>
      <c r="WHW9" s="13"/>
      <c r="WHX9" s="13"/>
      <c r="WHY9" s="13"/>
      <c r="WHZ9" s="13"/>
      <c r="WIA9" s="13"/>
      <c r="WIB9" s="13"/>
      <c r="WIC9" s="13"/>
      <c r="WID9" s="13"/>
      <c r="WIE9" s="13"/>
      <c r="WIF9" s="13"/>
      <c r="WIG9" s="13"/>
      <c r="WIH9" s="13"/>
      <c r="WII9" s="13"/>
      <c r="WIJ9" s="13"/>
      <c r="WIK9" s="13"/>
      <c r="WIL9" s="13"/>
      <c r="WIM9" s="13"/>
      <c r="WIN9" s="13"/>
      <c r="WIO9" s="13"/>
      <c r="WIP9" s="13"/>
      <c r="WIQ9" s="13"/>
      <c r="WIR9" s="13"/>
      <c r="WIS9" s="13"/>
      <c r="WIT9" s="13"/>
      <c r="WIU9" s="13"/>
      <c r="WIV9" s="13"/>
      <c r="WIW9" s="13"/>
      <c r="WIX9" s="13"/>
      <c r="WIY9" s="13"/>
      <c r="WIZ9" s="13"/>
      <c r="WJA9" s="13"/>
      <c r="WJB9" s="13"/>
      <c r="WJC9" s="13"/>
      <c r="WJD9" s="13"/>
      <c r="WJE9" s="13"/>
      <c r="WJF9" s="13"/>
      <c r="WJG9" s="13"/>
      <c r="WJH9" s="13"/>
      <c r="WJI9" s="13"/>
      <c r="WJJ9" s="13"/>
      <c r="WJK9" s="13"/>
      <c r="WJL9" s="13"/>
      <c r="WJM9" s="13"/>
      <c r="WJN9" s="13"/>
      <c r="WJO9" s="13"/>
      <c r="WJP9" s="13"/>
      <c r="WJQ9" s="13"/>
      <c r="WJR9" s="13"/>
      <c r="WJS9" s="13"/>
      <c r="WJT9" s="13"/>
      <c r="WJU9" s="13"/>
      <c r="WJV9" s="13"/>
      <c r="WJW9" s="13"/>
      <c r="WJX9" s="13"/>
      <c r="WJY9" s="13"/>
      <c r="WJZ9" s="13"/>
      <c r="WKA9" s="13"/>
      <c r="WKB9" s="13"/>
      <c r="WKC9" s="13"/>
      <c r="WKD9" s="13"/>
      <c r="WKE9" s="13"/>
      <c r="WKF9" s="13"/>
      <c r="WKG9" s="13"/>
      <c r="WKH9" s="13"/>
      <c r="WKI9" s="13"/>
      <c r="WKJ9" s="13"/>
      <c r="WKK9" s="13"/>
      <c r="WKL9" s="13"/>
      <c r="WKM9" s="13"/>
      <c r="WKN9" s="13"/>
      <c r="WKO9" s="13"/>
      <c r="WKP9" s="13"/>
      <c r="WKQ9" s="13"/>
      <c r="WKR9" s="13"/>
      <c r="WKS9" s="13"/>
      <c r="WKT9" s="13"/>
      <c r="WKU9" s="13"/>
      <c r="WKV9" s="13"/>
      <c r="WKW9" s="13"/>
      <c r="WKX9" s="13"/>
      <c r="WKY9" s="13"/>
      <c r="WKZ9" s="13"/>
      <c r="WLA9" s="13"/>
      <c r="WLB9" s="13"/>
      <c r="WLC9" s="13"/>
      <c r="WLD9" s="13"/>
      <c r="WLE9" s="13"/>
      <c r="WLF9" s="13"/>
      <c r="WLG9" s="13"/>
      <c r="WLH9" s="13"/>
      <c r="WLI9" s="13"/>
      <c r="WLJ9" s="13"/>
      <c r="WLK9" s="13"/>
      <c r="WLL9" s="13"/>
      <c r="WLM9" s="13"/>
      <c r="WLN9" s="13"/>
      <c r="WLO9" s="13"/>
      <c r="WLP9" s="13"/>
      <c r="WLQ9" s="13"/>
      <c r="WLR9" s="13"/>
      <c r="WLS9" s="13"/>
      <c r="WLT9" s="13"/>
      <c r="WLU9" s="13"/>
      <c r="WLV9" s="13"/>
      <c r="WLW9" s="13"/>
      <c r="WLX9" s="13"/>
      <c r="WLY9" s="13"/>
      <c r="WLZ9" s="13"/>
      <c r="WMA9" s="13"/>
      <c r="WMB9" s="13"/>
      <c r="WMC9" s="13"/>
      <c r="WMD9" s="13"/>
      <c r="WME9" s="13"/>
      <c r="WMF9" s="13"/>
      <c r="WMG9" s="13"/>
      <c r="WMH9" s="13"/>
      <c r="WMI9" s="13"/>
      <c r="WMJ9" s="13"/>
      <c r="WMK9" s="13"/>
      <c r="WML9" s="13"/>
      <c r="WMM9" s="13"/>
      <c r="WMN9" s="13"/>
      <c r="WMO9" s="13"/>
      <c r="WMP9" s="13"/>
      <c r="WMQ9" s="13"/>
      <c r="WMR9" s="13"/>
      <c r="WMS9" s="13"/>
      <c r="WMT9" s="13"/>
      <c r="WMU9" s="13"/>
      <c r="WMV9" s="13"/>
      <c r="WMW9" s="13"/>
      <c r="WMX9" s="13"/>
      <c r="WMY9" s="13"/>
      <c r="WMZ9" s="13"/>
      <c r="WNA9" s="13"/>
      <c r="WNB9" s="13"/>
      <c r="WNC9" s="13"/>
      <c r="WND9" s="13"/>
      <c r="WNE9" s="13"/>
      <c r="WNF9" s="13"/>
      <c r="WNG9" s="13"/>
      <c r="WNH9" s="13"/>
      <c r="WNI9" s="13"/>
      <c r="WNJ9" s="13"/>
      <c r="WNK9" s="13"/>
      <c r="WNL9" s="13"/>
      <c r="WNM9" s="13"/>
      <c r="WNN9" s="13"/>
      <c r="WNO9" s="13"/>
      <c r="WNP9" s="13"/>
      <c r="WNQ9" s="13"/>
      <c r="WNR9" s="13"/>
      <c r="WNS9" s="13"/>
      <c r="WNT9" s="13"/>
      <c r="WNU9" s="13"/>
      <c r="WNV9" s="13"/>
      <c r="WNW9" s="13"/>
      <c r="WNX9" s="13"/>
      <c r="WNY9" s="13"/>
      <c r="WNZ9" s="13"/>
      <c r="WOA9" s="13"/>
      <c r="WOB9" s="13"/>
      <c r="WOC9" s="13"/>
      <c r="WOD9" s="13"/>
      <c r="WOE9" s="13"/>
      <c r="WOF9" s="13"/>
      <c r="WOG9" s="13"/>
      <c r="WOH9" s="13"/>
      <c r="WOI9" s="13"/>
      <c r="WOJ9" s="13"/>
      <c r="WOK9" s="13"/>
      <c r="WOL9" s="13"/>
      <c r="WOM9" s="13"/>
      <c r="WON9" s="13"/>
      <c r="WOO9" s="13"/>
      <c r="WOP9" s="13"/>
      <c r="WOQ9" s="13"/>
      <c r="WOR9" s="13"/>
      <c r="WOS9" s="13"/>
      <c r="WOT9" s="13"/>
      <c r="WOU9" s="13"/>
      <c r="WOV9" s="13"/>
      <c r="WOW9" s="13"/>
      <c r="WOX9" s="13"/>
      <c r="WOY9" s="13"/>
      <c r="WOZ9" s="13"/>
      <c r="WPA9" s="13"/>
      <c r="WPB9" s="13"/>
      <c r="WPC9" s="13"/>
      <c r="WPD9" s="13"/>
      <c r="WPE9" s="13"/>
      <c r="WPF9" s="13"/>
      <c r="WPG9" s="13"/>
      <c r="WPH9" s="13"/>
      <c r="WPI9" s="13"/>
      <c r="WPJ9" s="13"/>
      <c r="WPK9" s="13"/>
      <c r="WPL9" s="13"/>
      <c r="WPM9" s="13"/>
      <c r="WPN9" s="13"/>
      <c r="WPO9" s="13"/>
      <c r="WPP9" s="13"/>
      <c r="WPQ9" s="13"/>
      <c r="WPR9" s="13"/>
      <c r="WPS9" s="13"/>
      <c r="WPT9" s="13"/>
      <c r="WPU9" s="13"/>
      <c r="WPV9" s="13"/>
      <c r="WPW9" s="13"/>
      <c r="WPX9" s="13"/>
      <c r="WPY9" s="13"/>
      <c r="WPZ9" s="13"/>
      <c r="WQA9" s="13"/>
      <c r="WQB9" s="13"/>
      <c r="WQC9" s="13"/>
      <c r="WQD9" s="13"/>
      <c r="WQE9" s="13"/>
      <c r="WQF9" s="13"/>
      <c r="WQG9" s="13"/>
      <c r="WQH9" s="13"/>
      <c r="WQI9" s="13"/>
      <c r="WQJ9" s="13"/>
      <c r="WQK9" s="13"/>
      <c r="WQL9" s="13"/>
      <c r="WQM9" s="13"/>
      <c r="WQN9" s="13"/>
      <c r="WQO9" s="13"/>
      <c r="WQP9" s="13"/>
      <c r="WQQ9" s="13"/>
      <c r="WQR9" s="13"/>
      <c r="WQS9" s="13"/>
      <c r="WQT9" s="13"/>
      <c r="WQU9" s="13"/>
      <c r="WQV9" s="13"/>
      <c r="WQW9" s="13"/>
      <c r="WQX9" s="13"/>
      <c r="WQY9" s="13"/>
      <c r="WQZ9" s="13"/>
      <c r="WRA9" s="13"/>
      <c r="WRB9" s="13"/>
      <c r="WRC9" s="13"/>
      <c r="WRD9" s="13"/>
      <c r="WRE9" s="13"/>
      <c r="WRF9" s="13"/>
      <c r="WRG9" s="13"/>
      <c r="WRH9" s="13"/>
      <c r="WRI9" s="13"/>
      <c r="WRJ9" s="13"/>
      <c r="WRK9" s="13"/>
      <c r="WRL9" s="13"/>
      <c r="WRM9" s="13"/>
      <c r="WRN9" s="13"/>
      <c r="WRO9" s="13"/>
      <c r="WRP9" s="13"/>
      <c r="WRQ9" s="13"/>
      <c r="WRR9" s="13"/>
      <c r="WRS9" s="13"/>
      <c r="WRT9" s="13"/>
      <c r="WRU9" s="13"/>
      <c r="WRV9" s="13"/>
      <c r="WRW9" s="13"/>
      <c r="WRX9" s="13"/>
      <c r="WRY9" s="13"/>
      <c r="WRZ9" s="13"/>
      <c r="WSA9" s="13"/>
      <c r="WSB9" s="13"/>
      <c r="WSC9" s="13"/>
      <c r="WSD9" s="13"/>
      <c r="WSE9" s="13"/>
      <c r="WSF9" s="13"/>
      <c r="WSG9" s="13"/>
      <c r="WSH9" s="13"/>
      <c r="WSI9" s="13"/>
      <c r="WSJ9" s="13"/>
      <c r="WSK9" s="13"/>
      <c r="WSL9" s="13"/>
      <c r="WSM9" s="13"/>
      <c r="WSN9" s="13"/>
      <c r="WSO9" s="13"/>
      <c r="WSP9" s="13"/>
      <c r="WSQ9" s="13"/>
      <c r="WSR9" s="13"/>
      <c r="WSS9" s="13"/>
      <c r="WST9" s="13"/>
      <c r="WSU9" s="13"/>
      <c r="WSV9" s="13"/>
      <c r="WSW9" s="13"/>
      <c r="WSX9" s="13"/>
      <c r="WSY9" s="13"/>
      <c r="WSZ9" s="13"/>
      <c r="WTA9" s="13"/>
      <c r="WTB9" s="13"/>
      <c r="WTC9" s="13"/>
      <c r="WTD9" s="13"/>
      <c r="WTE9" s="13"/>
      <c r="WTF9" s="13"/>
      <c r="WTG9" s="13"/>
      <c r="WTH9" s="13"/>
      <c r="WTI9" s="13"/>
      <c r="WTJ9" s="13"/>
      <c r="WTK9" s="13"/>
      <c r="WTL9" s="13"/>
      <c r="WTM9" s="13"/>
      <c r="WTN9" s="13"/>
      <c r="WTO9" s="13"/>
      <c r="WTP9" s="13"/>
      <c r="WTQ9" s="13"/>
      <c r="WTR9" s="13"/>
      <c r="WTS9" s="13"/>
      <c r="WTT9" s="13"/>
      <c r="WTU9" s="13"/>
      <c r="WTV9" s="13"/>
      <c r="WTW9" s="13"/>
      <c r="WTX9" s="13"/>
      <c r="WTY9" s="13"/>
      <c r="WTZ9" s="13"/>
      <c r="WUA9" s="13"/>
      <c r="WUB9" s="13"/>
      <c r="WUC9" s="13"/>
      <c r="WUD9" s="13"/>
      <c r="WUE9" s="13"/>
      <c r="WUF9" s="13"/>
      <c r="WUG9" s="13"/>
      <c r="WUH9" s="13"/>
      <c r="WUI9" s="13"/>
      <c r="WUJ9" s="13"/>
      <c r="WUK9" s="13"/>
      <c r="WUL9" s="13"/>
      <c r="WUM9" s="13"/>
      <c r="WUN9" s="13"/>
      <c r="WUO9" s="13"/>
      <c r="WUP9" s="13"/>
      <c r="WUQ9" s="13"/>
      <c r="WUR9" s="13"/>
      <c r="WUS9" s="13"/>
      <c r="WUT9" s="13"/>
      <c r="WUU9" s="13"/>
      <c r="WUV9" s="13"/>
      <c r="WUW9" s="13"/>
      <c r="WUX9" s="13"/>
      <c r="WUY9" s="13"/>
      <c r="WUZ9" s="13"/>
      <c r="WVA9" s="13"/>
      <c r="WVB9" s="13"/>
      <c r="WVC9" s="13"/>
      <c r="WVD9" s="13"/>
      <c r="WVE9" s="13"/>
      <c r="WVF9" s="13"/>
      <c r="WVG9" s="13"/>
      <c r="WVH9" s="13"/>
      <c r="WVI9" s="13"/>
      <c r="WVJ9" s="13"/>
      <c r="WVK9" s="13"/>
      <c r="WVL9" s="13"/>
      <c r="WVM9" s="13"/>
      <c r="WVN9" s="13"/>
      <c r="WVO9" s="13"/>
      <c r="WVP9" s="13"/>
      <c r="WVQ9" s="13"/>
      <c r="WVR9" s="13"/>
      <c r="WVS9" s="13"/>
      <c r="WVT9" s="13"/>
      <c r="WVU9" s="13"/>
      <c r="WVV9" s="13"/>
      <c r="WVW9" s="13"/>
      <c r="WVX9" s="13"/>
      <c r="WVY9" s="13"/>
      <c r="WVZ9" s="13"/>
      <c r="WWA9" s="13"/>
      <c r="WWB9" s="13"/>
      <c r="WWC9" s="13"/>
      <c r="WWD9" s="13"/>
      <c r="WWE9" s="13"/>
      <c r="WWF9" s="13"/>
      <c r="WWG9" s="13"/>
      <c r="WWH9" s="13"/>
      <c r="WWI9" s="13"/>
      <c r="WWJ9" s="13"/>
      <c r="WWK9" s="13"/>
      <c r="WWL9" s="13"/>
      <c r="WWM9" s="13"/>
      <c r="WWN9" s="13"/>
      <c r="WWO9" s="13"/>
      <c r="WWP9" s="13"/>
      <c r="WWQ9" s="13"/>
      <c r="WWR9" s="13"/>
      <c r="WWS9" s="13"/>
      <c r="WWT9" s="13"/>
      <c r="WWU9" s="13"/>
      <c r="WWV9" s="13"/>
      <c r="WWW9" s="13"/>
      <c r="WWX9" s="13"/>
      <c r="WWY9" s="13"/>
      <c r="WWZ9" s="13"/>
      <c r="WXA9" s="13"/>
      <c r="WXB9" s="13"/>
      <c r="WXC9" s="13"/>
      <c r="WXD9" s="13"/>
      <c r="WXE9" s="13"/>
      <c r="WXF9" s="13"/>
      <c r="WXG9" s="13"/>
      <c r="WXH9" s="13"/>
      <c r="WXI9" s="13"/>
      <c r="WXJ9" s="13"/>
      <c r="WXK9" s="13"/>
      <c r="WXL9" s="13"/>
      <c r="WXM9" s="13"/>
      <c r="WXN9" s="13"/>
      <c r="WXO9" s="13"/>
      <c r="WXP9" s="13"/>
      <c r="WXQ9" s="13"/>
      <c r="WXR9" s="13"/>
      <c r="WXS9" s="13"/>
      <c r="WXT9" s="13"/>
      <c r="WXU9" s="13"/>
      <c r="WXV9" s="13"/>
      <c r="WXW9" s="13"/>
      <c r="WXX9" s="13"/>
      <c r="WXY9" s="13"/>
      <c r="WXZ9" s="13"/>
      <c r="WYA9" s="13"/>
      <c r="WYB9" s="13"/>
      <c r="WYC9" s="13"/>
      <c r="WYD9" s="13"/>
      <c r="WYE9" s="13"/>
      <c r="WYF9" s="13"/>
      <c r="WYG9" s="13"/>
      <c r="WYH9" s="13"/>
      <c r="WYI9" s="13"/>
      <c r="WYJ9" s="13"/>
      <c r="WYK9" s="13"/>
      <c r="WYL9" s="13"/>
      <c r="WYM9" s="13"/>
      <c r="WYN9" s="13"/>
      <c r="WYO9" s="13"/>
      <c r="WYP9" s="13"/>
      <c r="WYQ9" s="13"/>
      <c r="WYR9" s="13"/>
      <c r="WYS9" s="13"/>
      <c r="WYT9" s="13"/>
      <c r="WYU9" s="13"/>
      <c r="WYV9" s="13"/>
      <c r="WYW9" s="13"/>
      <c r="WYX9" s="13"/>
      <c r="WYY9" s="13"/>
      <c r="WYZ9" s="13"/>
      <c r="WZA9" s="13"/>
      <c r="WZB9" s="13"/>
      <c r="WZC9" s="13"/>
      <c r="WZD9" s="13"/>
      <c r="WZE9" s="13"/>
      <c r="WZF9" s="13"/>
      <c r="WZG9" s="13"/>
      <c r="WZH9" s="13"/>
      <c r="WZI9" s="13"/>
      <c r="WZJ9" s="13"/>
      <c r="WZK9" s="13"/>
      <c r="WZL9" s="13"/>
      <c r="WZM9" s="13"/>
      <c r="WZN9" s="13"/>
      <c r="WZO9" s="13"/>
      <c r="WZP9" s="13"/>
      <c r="WZQ9" s="13"/>
      <c r="WZR9" s="13"/>
      <c r="WZS9" s="13"/>
      <c r="WZT9" s="13"/>
      <c r="WZU9" s="13"/>
      <c r="WZV9" s="13"/>
      <c r="WZW9" s="13"/>
      <c r="WZX9" s="13"/>
      <c r="WZY9" s="13"/>
      <c r="WZZ9" s="13"/>
      <c r="XAA9" s="13"/>
      <c r="XAB9" s="13"/>
      <c r="XAC9" s="13"/>
      <c r="XAD9" s="13"/>
      <c r="XAE9" s="13"/>
      <c r="XAF9" s="13"/>
      <c r="XAG9" s="13"/>
      <c r="XAH9" s="13"/>
      <c r="XAI9" s="13"/>
      <c r="XAJ9" s="13"/>
      <c r="XAK9" s="13"/>
      <c r="XAL9" s="13"/>
      <c r="XAM9" s="13"/>
      <c r="XAN9" s="13"/>
      <c r="XAO9" s="13"/>
      <c r="XAP9" s="13"/>
      <c r="XAQ9" s="13"/>
      <c r="XAR9" s="13"/>
      <c r="XAS9" s="13"/>
      <c r="XAT9" s="13"/>
      <c r="XAU9" s="13"/>
      <c r="XAV9" s="13"/>
      <c r="XAW9" s="13"/>
      <c r="XAX9" s="13"/>
      <c r="XAY9" s="13"/>
      <c r="XAZ9" s="13"/>
      <c r="XBA9" s="13"/>
      <c r="XBB9" s="13"/>
      <c r="XBC9" s="13"/>
      <c r="XBD9" s="13"/>
      <c r="XBE9" s="13"/>
      <c r="XBF9" s="13"/>
      <c r="XBG9" s="13"/>
      <c r="XBH9" s="13"/>
      <c r="XBI9" s="13"/>
      <c r="XBJ9" s="13"/>
      <c r="XBK9" s="13"/>
      <c r="XBL9" s="13"/>
      <c r="XBM9" s="13"/>
      <c r="XBN9" s="13"/>
      <c r="XBO9" s="13"/>
      <c r="XBP9" s="13"/>
      <c r="XBQ9" s="13"/>
      <c r="XBR9" s="13"/>
      <c r="XBS9" s="13"/>
      <c r="XBT9" s="13"/>
      <c r="XBU9" s="13"/>
      <c r="XBV9" s="13"/>
      <c r="XBW9" s="13"/>
      <c r="XBX9" s="13"/>
      <c r="XBY9" s="13"/>
      <c r="XBZ9" s="13"/>
      <c r="XCA9" s="13"/>
      <c r="XCB9" s="13"/>
      <c r="XCC9" s="13"/>
      <c r="XCD9" s="13"/>
      <c r="XCE9" s="13"/>
      <c r="XCF9" s="13"/>
      <c r="XCG9" s="13"/>
      <c r="XCH9" s="13"/>
      <c r="XCI9" s="13"/>
      <c r="XCJ9" s="13"/>
      <c r="XCK9" s="13"/>
      <c r="XCL9" s="13"/>
      <c r="XCM9" s="13"/>
      <c r="XCN9" s="13"/>
      <c r="XCO9" s="13"/>
      <c r="XCP9" s="13"/>
      <c r="XCQ9" s="13"/>
      <c r="XCR9" s="13"/>
      <c r="XCS9" s="13"/>
      <c r="XCT9" s="13"/>
      <c r="XCU9" s="13"/>
      <c r="XCV9" s="13"/>
      <c r="XCW9" s="13"/>
      <c r="XCX9" s="13"/>
      <c r="XCY9" s="13"/>
      <c r="XCZ9" s="13"/>
      <c r="XDA9" s="13"/>
      <c r="XDB9" s="13"/>
      <c r="XDC9" s="13"/>
      <c r="XDD9" s="13"/>
      <c r="XDE9" s="13"/>
      <c r="XDF9" s="13"/>
      <c r="XDG9" s="13"/>
      <c r="XDH9" s="13"/>
      <c r="XDI9" s="13"/>
      <c r="XDJ9" s="13"/>
      <c r="XDK9" s="13"/>
      <c r="XDL9" s="13"/>
      <c r="XDM9" s="13"/>
      <c r="XDN9" s="13"/>
      <c r="XDO9" s="13"/>
      <c r="XDP9" s="13"/>
      <c r="XDQ9" s="13"/>
      <c r="XDR9" s="13"/>
      <c r="XDS9" s="13"/>
      <c r="XDT9" s="13"/>
      <c r="XDU9" s="13"/>
      <c r="XDV9" s="13"/>
      <c r="XDW9" s="13"/>
      <c r="XDX9" s="13"/>
      <c r="XDY9" s="13"/>
      <c r="XDZ9" s="13"/>
      <c r="XEA9" s="13"/>
      <c r="XEB9" s="13"/>
      <c r="XEC9" s="13"/>
      <c r="XED9" s="13"/>
      <c r="XEE9" s="13"/>
      <c r="XEF9" s="13"/>
      <c r="XEG9" s="13"/>
      <c r="XEH9" s="13"/>
      <c r="XEI9" s="13"/>
      <c r="XEJ9" s="13"/>
      <c r="XEK9" s="13"/>
      <c r="XEL9" s="13"/>
      <c r="XEM9" s="13"/>
      <c r="XEN9" s="13"/>
      <c r="XEO9" s="13"/>
      <c r="XEP9" s="13"/>
      <c r="XEQ9" s="13"/>
      <c r="XER9" s="13"/>
      <c r="XES9" s="13"/>
      <c r="XET9" s="13"/>
      <c r="XEU9" s="13"/>
      <c r="XEV9" s="13"/>
      <c r="XEW9" s="13"/>
      <c r="XEX9" s="13"/>
      <c r="XEY9" s="13"/>
      <c r="XEZ9" s="13"/>
      <c r="XFA9" s="13"/>
      <c r="XFB9" s="13"/>
      <c r="XFC9" s="13"/>
      <c r="XFD9" s="13"/>
    </row>
    <row r="10" spans="1:16384" ht="15.75">
      <c r="A10" s="65" t="s">
        <v>79</v>
      </c>
      <c r="B10" s="65"/>
      <c r="C10" s="65"/>
      <c r="D10" s="65"/>
      <c r="E10" s="67"/>
      <c r="F10" s="67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65"/>
      <c r="IP10" s="65"/>
      <c r="IQ10" s="65"/>
      <c r="IR10" s="65"/>
      <c r="IS10" s="65"/>
      <c r="IT10" s="65"/>
      <c r="IU10" s="65"/>
      <c r="IV10" s="65"/>
      <c r="IW10" s="65"/>
      <c r="IX10" s="65"/>
      <c r="IY10" s="65"/>
      <c r="IZ10" s="65"/>
      <c r="JA10" s="65"/>
      <c r="JB10" s="65"/>
      <c r="JC10" s="65"/>
      <c r="JD10" s="65"/>
      <c r="JE10" s="65"/>
      <c r="JF10" s="65"/>
      <c r="JG10" s="65"/>
      <c r="JH10" s="65"/>
      <c r="JI10" s="65"/>
      <c r="JJ10" s="65"/>
      <c r="JK10" s="65"/>
      <c r="JL10" s="65"/>
      <c r="JM10" s="65"/>
      <c r="JN10" s="65"/>
      <c r="JO10" s="65"/>
      <c r="JP10" s="65"/>
      <c r="JQ10" s="65"/>
      <c r="JR10" s="65"/>
      <c r="JS10" s="65"/>
      <c r="JT10" s="65"/>
      <c r="JU10" s="65"/>
      <c r="JV10" s="65"/>
      <c r="JW10" s="65"/>
      <c r="JX10" s="65"/>
      <c r="JY10" s="65"/>
      <c r="JZ10" s="65"/>
      <c r="KA10" s="65"/>
      <c r="KB10" s="65"/>
      <c r="KC10" s="65"/>
      <c r="KD10" s="65"/>
      <c r="KE10" s="65"/>
      <c r="KF10" s="65"/>
      <c r="KG10" s="65"/>
      <c r="KH10" s="65"/>
      <c r="KI10" s="65"/>
      <c r="KJ10" s="65"/>
      <c r="KK10" s="65"/>
      <c r="KL10" s="65"/>
      <c r="KM10" s="65"/>
      <c r="KN10" s="65"/>
      <c r="KO10" s="65"/>
      <c r="KP10" s="65"/>
      <c r="KQ10" s="65"/>
      <c r="KR10" s="65"/>
      <c r="KS10" s="65"/>
      <c r="KT10" s="65"/>
      <c r="KU10" s="65"/>
      <c r="KV10" s="65"/>
      <c r="KW10" s="65"/>
      <c r="KX10" s="65"/>
      <c r="KY10" s="65"/>
      <c r="KZ10" s="65"/>
      <c r="LA10" s="65"/>
      <c r="LB10" s="65"/>
      <c r="LC10" s="65"/>
      <c r="LD10" s="65"/>
      <c r="LE10" s="65"/>
      <c r="LF10" s="65"/>
      <c r="LG10" s="65"/>
      <c r="LH10" s="65"/>
      <c r="LI10" s="65"/>
      <c r="LJ10" s="65"/>
      <c r="LK10" s="65"/>
      <c r="LL10" s="65"/>
      <c r="LM10" s="65"/>
      <c r="LN10" s="65"/>
      <c r="LO10" s="65"/>
      <c r="LP10" s="65"/>
      <c r="LQ10" s="65"/>
      <c r="LR10" s="65"/>
      <c r="LS10" s="65"/>
      <c r="LT10" s="65"/>
      <c r="LU10" s="65"/>
      <c r="LV10" s="65"/>
      <c r="LW10" s="65"/>
      <c r="LX10" s="65"/>
      <c r="LY10" s="65"/>
      <c r="LZ10" s="65"/>
      <c r="MA10" s="65"/>
      <c r="MB10" s="65"/>
      <c r="MC10" s="65"/>
      <c r="MD10" s="65"/>
      <c r="ME10" s="65"/>
      <c r="MF10" s="65"/>
      <c r="MG10" s="65"/>
      <c r="MH10" s="65"/>
      <c r="MI10" s="65"/>
      <c r="MJ10" s="65"/>
      <c r="MK10" s="65"/>
      <c r="ML10" s="65"/>
      <c r="MM10" s="65"/>
      <c r="MN10" s="65"/>
      <c r="MO10" s="65"/>
      <c r="MP10" s="65"/>
      <c r="MQ10" s="65"/>
      <c r="MR10" s="65"/>
      <c r="MS10" s="65"/>
      <c r="MT10" s="65"/>
      <c r="MU10" s="65"/>
      <c r="MV10" s="65"/>
      <c r="MW10" s="65"/>
      <c r="MX10" s="65"/>
      <c r="MY10" s="65"/>
      <c r="MZ10" s="65"/>
      <c r="NA10" s="65"/>
      <c r="NB10" s="65"/>
      <c r="NC10" s="65"/>
      <c r="ND10" s="65"/>
      <c r="NE10" s="65"/>
      <c r="NF10" s="65"/>
      <c r="NG10" s="65"/>
      <c r="NH10" s="65"/>
      <c r="NI10" s="65"/>
      <c r="NJ10" s="65"/>
      <c r="NK10" s="65"/>
      <c r="NL10" s="65"/>
      <c r="NM10" s="65"/>
      <c r="NN10" s="65"/>
      <c r="NO10" s="65"/>
      <c r="NP10" s="65"/>
      <c r="NQ10" s="65"/>
      <c r="NR10" s="65"/>
      <c r="NS10" s="65"/>
      <c r="NT10" s="65"/>
      <c r="NU10" s="65"/>
      <c r="NV10" s="65"/>
      <c r="NW10" s="65"/>
      <c r="NX10" s="65"/>
      <c r="NY10" s="65"/>
      <c r="NZ10" s="65"/>
      <c r="OA10" s="65"/>
      <c r="OB10" s="65"/>
      <c r="OC10" s="65"/>
      <c r="OD10" s="65"/>
      <c r="OE10" s="65"/>
      <c r="OF10" s="65"/>
      <c r="OG10" s="65"/>
      <c r="OH10" s="65"/>
      <c r="OI10" s="65"/>
      <c r="OJ10" s="65"/>
      <c r="OK10" s="65"/>
      <c r="OL10" s="65"/>
      <c r="OM10" s="65"/>
      <c r="ON10" s="65"/>
      <c r="OO10" s="65"/>
      <c r="OP10" s="65"/>
      <c r="OQ10" s="65"/>
      <c r="OR10" s="65"/>
      <c r="OS10" s="65"/>
      <c r="OT10" s="65"/>
      <c r="OU10" s="65"/>
      <c r="OV10" s="65"/>
      <c r="OW10" s="65"/>
      <c r="OX10" s="65"/>
      <c r="OY10" s="65"/>
      <c r="OZ10" s="65"/>
      <c r="PA10" s="65"/>
      <c r="PB10" s="65"/>
      <c r="PC10" s="65"/>
      <c r="PD10" s="65"/>
      <c r="PE10" s="65"/>
      <c r="PF10" s="65"/>
      <c r="PG10" s="65"/>
      <c r="PH10" s="65"/>
      <c r="PI10" s="65"/>
      <c r="PJ10" s="65"/>
      <c r="PK10" s="65"/>
      <c r="PL10" s="65"/>
      <c r="PM10" s="65"/>
      <c r="PN10" s="65"/>
      <c r="PO10" s="65"/>
      <c r="PP10" s="65"/>
      <c r="PQ10" s="65"/>
      <c r="PR10" s="65"/>
      <c r="PS10" s="65"/>
      <c r="PT10" s="65"/>
      <c r="PU10" s="65"/>
      <c r="PV10" s="65"/>
      <c r="PW10" s="65"/>
      <c r="PX10" s="65"/>
      <c r="PY10" s="65"/>
      <c r="PZ10" s="65"/>
      <c r="QA10" s="65"/>
      <c r="QB10" s="65"/>
      <c r="QC10" s="65"/>
      <c r="QD10" s="65"/>
      <c r="QE10" s="65"/>
      <c r="QF10" s="65"/>
      <c r="QG10" s="65"/>
      <c r="QH10" s="65"/>
      <c r="QI10" s="65"/>
      <c r="QJ10" s="65"/>
      <c r="QK10" s="65"/>
      <c r="QL10" s="65"/>
      <c r="QM10" s="65"/>
      <c r="QN10" s="65"/>
      <c r="QO10" s="65"/>
      <c r="QP10" s="65"/>
      <c r="QQ10" s="65"/>
      <c r="QR10" s="65"/>
      <c r="QS10" s="65"/>
      <c r="QT10" s="65"/>
      <c r="QU10" s="65"/>
      <c r="QV10" s="65"/>
      <c r="QW10" s="65"/>
      <c r="QX10" s="65"/>
      <c r="QY10" s="65"/>
      <c r="QZ10" s="65"/>
      <c r="RA10" s="65"/>
      <c r="RB10" s="65"/>
      <c r="RC10" s="65"/>
      <c r="RD10" s="65"/>
      <c r="RE10" s="65"/>
      <c r="RF10" s="65"/>
      <c r="RG10" s="65"/>
      <c r="RH10" s="65"/>
      <c r="RI10" s="65"/>
      <c r="RJ10" s="65"/>
      <c r="RK10" s="65"/>
      <c r="RL10" s="65"/>
      <c r="RM10" s="65"/>
      <c r="RN10" s="65"/>
      <c r="RO10" s="65"/>
      <c r="RP10" s="65"/>
      <c r="RQ10" s="65"/>
      <c r="RR10" s="65"/>
      <c r="RS10" s="65"/>
      <c r="RT10" s="65"/>
      <c r="RU10" s="65"/>
      <c r="RV10" s="65"/>
      <c r="RW10" s="65"/>
      <c r="RX10" s="65"/>
      <c r="RY10" s="65"/>
      <c r="RZ10" s="65"/>
      <c r="SA10" s="65"/>
      <c r="SB10" s="65"/>
      <c r="SC10" s="65"/>
      <c r="SD10" s="65"/>
      <c r="SE10" s="65"/>
      <c r="SF10" s="65"/>
      <c r="SG10" s="65"/>
      <c r="SH10" s="65"/>
      <c r="SI10" s="65"/>
      <c r="SJ10" s="65"/>
      <c r="SK10" s="65"/>
      <c r="SL10" s="65"/>
      <c r="SM10" s="65"/>
      <c r="SN10" s="65"/>
      <c r="SO10" s="65"/>
      <c r="SP10" s="65"/>
      <c r="SQ10" s="65"/>
      <c r="SR10" s="65"/>
      <c r="SS10" s="65"/>
      <c r="ST10" s="65"/>
      <c r="SU10" s="65"/>
      <c r="SV10" s="65"/>
      <c r="SW10" s="65"/>
      <c r="SX10" s="65"/>
      <c r="SY10" s="65"/>
      <c r="SZ10" s="65"/>
      <c r="TA10" s="65"/>
      <c r="TB10" s="65"/>
      <c r="TC10" s="65"/>
      <c r="TD10" s="65"/>
      <c r="TE10" s="65"/>
      <c r="TF10" s="65"/>
      <c r="TG10" s="65"/>
      <c r="TH10" s="65"/>
      <c r="TI10" s="65"/>
      <c r="TJ10" s="65"/>
      <c r="TK10" s="65"/>
      <c r="TL10" s="65"/>
      <c r="TM10" s="65"/>
      <c r="TN10" s="65"/>
      <c r="TO10" s="65"/>
      <c r="TP10" s="65"/>
      <c r="TQ10" s="65"/>
      <c r="TR10" s="65"/>
      <c r="TS10" s="65"/>
      <c r="TT10" s="65"/>
      <c r="TU10" s="65"/>
      <c r="TV10" s="65"/>
      <c r="TW10" s="65"/>
      <c r="TX10" s="65"/>
      <c r="TY10" s="65"/>
      <c r="TZ10" s="65"/>
      <c r="UA10" s="65"/>
      <c r="UB10" s="65"/>
      <c r="UC10" s="65"/>
      <c r="UD10" s="65"/>
      <c r="UE10" s="65"/>
      <c r="UF10" s="65"/>
      <c r="UG10" s="65"/>
      <c r="UH10" s="65"/>
      <c r="UI10" s="65"/>
      <c r="UJ10" s="65"/>
      <c r="UK10" s="65"/>
      <c r="UL10" s="65"/>
      <c r="UM10" s="65"/>
      <c r="UN10" s="65"/>
      <c r="UO10" s="65"/>
      <c r="UP10" s="65"/>
      <c r="UQ10" s="65"/>
      <c r="UR10" s="65"/>
      <c r="US10" s="65"/>
      <c r="UT10" s="65"/>
      <c r="UU10" s="65"/>
      <c r="UV10" s="65"/>
      <c r="UW10" s="65"/>
      <c r="UX10" s="65"/>
      <c r="UY10" s="65"/>
      <c r="UZ10" s="65"/>
      <c r="VA10" s="65"/>
      <c r="VB10" s="65"/>
      <c r="VC10" s="65"/>
      <c r="VD10" s="65"/>
      <c r="VE10" s="65"/>
      <c r="VF10" s="65"/>
      <c r="VG10" s="65"/>
      <c r="VH10" s="65"/>
      <c r="VI10" s="65"/>
      <c r="VJ10" s="65"/>
      <c r="VK10" s="65"/>
      <c r="VL10" s="65"/>
      <c r="VM10" s="65"/>
      <c r="VN10" s="65"/>
      <c r="VO10" s="65"/>
      <c r="VP10" s="65"/>
      <c r="VQ10" s="65"/>
      <c r="VR10" s="65"/>
      <c r="VS10" s="65"/>
      <c r="VT10" s="65"/>
      <c r="VU10" s="65"/>
      <c r="VV10" s="65"/>
      <c r="VW10" s="65"/>
      <c r="VX10" s="65"/>
      <c r="VY10" s="65"/>
      <c r="VZ10" s="65"/>
      <c r="WA10" s="65"/>
      <c r="WB10" s="65"/>
      <c r="WC10" s="65"/>
      <c r="WD10" s="65"/>
      <c r="WE10" s="65"/>
      <c r="WF10" s="65"/>
      <c r="WG10" s="65"/>
      <c r="WH10" s="65"/>
      <c r="WI10" s="65"/>
      <c r="WJ10" s="65"/>
      <c r="WK10" s="65"/>
      <c r="WL10" s="65"/>
      <c r="WM10" s="65"/>
      <c r="WN10" s="65"/>
      <c r="WO10" s="65"/>
      <c r="WP10" s="65"/>
      <c r="WQ10" s="65"/>
      <c r="WR10" s="65"/>
      <c r="WS10" s="65"/>
      <c r="WT10" s="65"/>
      <c r="WU10" s="65"/>
      <c r="WV10" s="65"/>
      <c r="WW10" s="65"/>
      <c r="WX10" s="65"/>
      <c r="WY10" s="65"/>
      <c r="WZ10" s="65"/>
      <c r="XA10" s="65"/>
      <c r="XB10" s="65"/>
      <c r="XC10" s="65"/>
      <c r="XD10" s="65"/>
      <c r="XE10" s="65"/>
      <c r="XF10" s="65"/>
      <c r="XG10" s="65"/>
      <c r="XH10" s="65"/>
      <c r="XI10" s="65"/>
      <c r="XJ10" s="65"/>
      <c r="XK10" s="65"/>
      <c r="XL10" s="65"/>
      <c r="XM10" s="65"/>
      <c r="XN10" s="65"/>
      <c r="XO10" s="65"/>
      <c r="XP10" s="65"/>
      <c r="XQ10" s="65"/>
      <c r="XR10" s="65"/>
      <c r="XS10" s="65"/>
      <c r="XT10" s="65"/>
      <c r="XU10" s="65"/>
      <c r="XV10" s="65"/>
      <c r="XW10" s="65"/>
      <c r="XX10" s="65"/>
      <c r="XY10" s="65"/>
      <c r="XZ10" s="65"/>
      <c r="YA10" s="65"/>
      <c r="YB10" s="65"/>
      <c r="YC10" s="65"/>
      <c r="YD10" s="65"/>
      <c r="YE10" s="65"/>
      <c r="YF10" s="65"/>
      <c r="YG10" s="65"/>
      <c r="YH10" s="65"/>
      <c r="YI10" s="65"/>
      <c r="YJ10" s="65"/>
      <c r="YK10" s="65"/>
      <c r="YL10" s="65"/>
      <c r="YM10" s="65"/>
      <c r="YN10" s="65"/>
      <c r="YO10" s="65"/>
      <c r="YP10" s="65"/>
      <c r="YQ10" s="65"/>
      <c r="YR10" s="65"/>
      <c r="YS10" s="65"/>
      <c r="YT10" s="65"/>
      <c r="YU10" s="65"/>
      <c r="YV10" s="65"/>
      <c r="YW10" s="65"/>
      <c r="YX10" s="65"/>
      <c r="YY10" s="65"/>
      <c r="YZ10" s="65"/>
      <c r="ZA10" s="65"/>
      <c r="ZB10" s="65"/>
      <c r="ZC10" s="65"/>
      <c r="ZD10" s="65"/>
      <c r="ZE10" s="65"/>
      <c r="ZF10" s="65"/>
      <c r="ZG10" s="65"/>
      <c r="ZH10" s="65"/>
      <c r="ZI10" s="65"/>
      <c r="ZJ10" s="65"/>
      <c r="ZK10" s="65"/>
      <c r="ZL10" s="65"/>
      <c r="ZM10" s="65"/>
      <c r="ZN10" s="65"/>
      <c r="ZO10" s="65"/>
      <c r="ZP10" s="65"/>
      <c r="ZQ10" s="65"/>
      <c r="ZR10" s="65"/>
      <c r="ZS10" s="65"/>
      <c r="ZT10" s="65"/>
      <c r="ZU10" s="65"/>
      <c r="ZV10" s="65"/>
      <c r="ZW10" s="65"/>
      <c r="ZX10" s="65"/>
      <c r="ZY10" s="65"/>
      <c r="ZZ10" s="65"/>
      <c r="AAA10" s="65"/>
      <c r="AAB10" s="65"/>
      <c r="AAC10" s="65"/>
      <c r="AAD10" s="65"/>
      <c r="AAE10" s="65"/>
      <c r="AAF10" s="65"/>
      <c r="AAG10" s="65"/>
      <c r="AAH10" s="65"/>
      <c r="AAI10" s="65"/>
      <c r="AAJ10" s="65"/>
      <c r="AAK10" s="65"/>
      <c r="AAL10" s="65"/>
      <c r="AAM10" s="65"/>
      <c r="AAN10" s="65"/>
      <c r="AAO10" s="65"/>
      <c r="AAP10" s="65"/>
      <c r="AAQ10" s="65"/>
      <c r="AAR10" s="65"/>
      <c r="AAS10" s="65"/>
      <c r="AAT10" s="65"/>
      <c r="AAU10" s="65"/>
      <c r="AAV10" s="65"/>
      <c r="AAW10" s="65"/>
      <c r="AAX10" s="65"/>
      <c r="AAY10" s="65"/>
      <c r="AAZ10" s="65"/>
      <c r="ABA10" s="65"/>
      <c r="ABB10" s="65"/>
      <c r="ABC10" s="65"/>
      <c r="ABD10" s="65"/>
      <c r="ABE10" s="65"/>
      <c r="ABF10" s="65"/>
      <c r="ABG10" s="65"/>
      <c r="ABH10" s="65"/>
      <c r="ABI10" s="65"/>
      <c r="ABJ10" s="65"/>
      <c r="ABK10" s="65"/>
      <c r="ABL10" s="65"/>
      <c r="ABM10" s="65"/>
      <c r="ABN10" s="65"/>
      <c r="ABO10" s="65"/>
      <c r="ABP10" s="65"/>
      <c r="ABQ10" s="65"/>
      <c r="ABR10" s="65"/>
      <c r="ABS10" s="65"/>
      <c r="ABT10" s="65"/>
      <c r="ABU10" s="65"/>
      <c r="ABV10" s="65"/>
      <c r="ABW10" s="65"/>
      <c r="ABX10" s="65"/>
      <c r="ABY10" s="65"/>
      <c r="ABZ10" s="65"/>
      <c r="ACA10" s="65"/>
      <c r="ACB10" s="65"/>
      <c r="ACC10" s="65"/>
      <c r="ACD10" s="65"/>
      <c r="ACE10" s="65"/>
      <c r="ACF10" s="65"/>
      <c r="ACG10" s="65"/>
      <c r="ACH10" s="65"/>
      <c r="ACI10" s="65"/>
      <c r="ACJ10" s="65"/>
      <c r="ACK10" s="65"/>
      <c r="ACL10" s="65"/>
      <c r="ACM10" s="65"/>
      <c r="ACN10" s="65"/>
      <c r="ACO10" s="65"/>
      <c r="ACP10" s="65"/>
      <c r="ACQ10" s="65"/>
      <c r="ACR10" s="65"/>
      <c r="ACS10" s="65"/>
      <c r="ACT10" s="65"/>
      <c r="ACU10" s="65"/>
      <c r="ACV10" s="65"/>
      <c r="ACW10" s="65"/>
      <c r="ACX10" s="65"/>
      <c r="ACY10" s="65"/>
      <c r="ACZ10" s="65"/>
      <c r="ADA10" s="65"/>
      <c r="ADB10" s="65"/>
      <c r="ADC10" s="65"/>
      <c r="ADD10" s="65"/>
      <c r="ADE10" s="65"/>
      <c r="ADF10" s="65"/>
      <c r="ADG10" s="65"/>
      <c r="ADH10" s="65"/>
      <c r="ADI10" s="65"/>
      <c r="ADJ10" s="65"/>
      <c r="ADK10" s="65"/>
      <c r="ADL10" s="65"/>
      <c r="ADM10" s="65"/>
      <c r="ADN10" s="65"/>
      <c r="ADO10" s="65"/>
      <c r="ADP10" s="65"/>
      <c r="ADQ10" s="65"/>
      <c r="ADR10" s="65"/>
      <c r="ADS10" s="65"/>
      <c r="ADT10" s="65"/>
      <c r="ADU10" s="65"/>
      <c r="ADV10" s="65"/>
      <c r="ADW10" s="65"/>
      <c r="ADX10" s="65"/>
      <c r="ADY10" s="65"/>
      <c r="ADZ10" s="65"/>
      <c r="AEA10" s="65"/>
      <c r="AEB10" s="65"/>
      <c r="AEC10" s="65"/>
      <c r="AED10" s="65"/>
      <c r="AEE10" s="65"/>
      <c r="AEF10" s="65"/>
      <c r="AEG10" s="65"/>
      <c r="AEH10" s="65"/>
      <c r="AEI10" s="65"/>
      <c r="AEJ10" s="65"/>
      <c r="AEK10" s="65"/>
      <c r="AEL10" s="65"/>
      <c r="AEM10" s="65"/>
      <c r="AEN10" s="65"/>
      <c r="AEO10" s="65"/>
      <c r="AEP10" s="65"/>
      <c r="AEQ10" s="65"/>
      <c r="AER10" s="65"/>
      <c r="AES10" s="65"/>
      <c r="AET10" s="65"/>
      <c r="AEU10" s="65"/>
      <c r="AEV10" s="65"/>
      <c r="AEW10" s="65"/>
      <c r="AEX10" s="65"/>
      <c r="AEY10" s="65"/>
      <c r="AEZ10" s="65"/>
      <c r="AFA10" s="65"/>
      <c r="AFB10" s="65"/>
      <c r="AFC10" s="65"/>
      <c r="AFD10" s="65"/>
      <c r="AFE10" s="65"/>
      <c r="AFF10" s="65"/>
      <c r="AFG10" s="65"/>
      <c r="AFH10" s="65"/>
      <c r="AFI10" s="65"/>
      <c r="AFJ10" s="65"/>
      <c r="AFK10" s="65"/>
      <c r="AFL10" s="65"/>
      <c r="AFM10" s="65"/>
      <c r="AFN10" s="65"/>
      <c r="AFO10" s="65"/>
      <c r="AFP10" s="65"/>
      <c r="AFQ10" s="65"/>
      <c r="AFR10" s="65"/>
      <c r="AFS10" s="65"/>
      <c r="AFT10" s="65"/>
      <c r="AFU10" s="65"/>
      <c r="AFV10" s="65"/>
      <c r="AFW10" s="65"/>
      <c r="AFX10" s="65"/>
      <c r="AFY10" s="65"/>
      <c r="AFZ10" s="65"/>
      <c r="AGA10" s="65"/>
      <c r="AGB10" s="65"/>
      <c r="AGC10" s="65"/>
      <c r="AGD10" s="65"/>
      <c r="AGE10" s="65"/>
      <c r="AGF10" s="65"/>
      <c r="AGG10" s="65"/>
      <c r="AGH10" s="65"/>
      <c r="AGI10" s="65"/>
      <c r="AGJ10" s="65"/>
      <c r="AGK10" s="65"/>
      <c r="AGL10" s="65"/>
      <c r="AGM10" s="65"/>
      <c r="AGN10" s="65"/>
      <c r="AGO10" s="65"/>
      <c r="AGP10" s="65"/>
      <c r="AGQ10" s="65"/>
      <c r="AGR10" s="65"/>
      <c r="AGS10" s="65"/>
      <c r="AGT10" s="65"/>
      <c r="AGU10" s="65"/>
      <c r="AGV10" s="65"/>
      <c r="AGW10" s="65"/>
      <c r="AGX10" s="65"/>
      <c r="AGY10" s="65"/>
      <c r="AGZ10" s="65"/>
      <c r="AHA10" s="65"/>
      <c r="AHB10" s="65"/>
      <c r="AHC10" s="65"/>
      <c r="AHD10" s="65"/>
      <c r="AHE10" s="65"/>
      <c r="AHF10" s="65"/>
      <c r="AHG10" s="65"/>
      <c r="AHH10" s="65"/>
      <c r="AHI10" s="65"/>
      <c r="AHJ10" s="65"/>
      <c r="AHK10" s="65"/>
      <c r="AHL10" s="65"/>
      <c r="AHM10" s="65"/>
      <c r="AHN10" s="65"/>
      <c r="AHO10" s="65"/>
      <c r="AHP10" s="65"/>
      <c r="AHQ10" s="65"/>
      <c r="AHR10" s="65"/>
      <c r="AHS10" s="65"/>
      <c r="AHT10" s="65"/>
      <c r="AHU10" s="65"/>
      <c r="AHV10" s="65"/>
      <c r="AHW10" s="65"/>
      <c r="AHX10" s="65"/>
      <c r="AHY10" s="65"/>
      <c r="AHZ10" s="65"/>
      <c r="AIA10" s="65"/>
      <c r="AIB10" s="65"/>
      <c r="AIC10" s="65"/>
      <c r="AID10" s="65"/>
      <c r="AIE10" s="65"/>
      <c r="AIF10" s="65"/>
      <c r="AIG10" s="65"/>
      <c r="AIH10" s="65"/>
      <c r="AII10" s="65"/>
      <c r="AIJ10" s="65"/>
      <c r="AIK10" s="65"/>
      <c r="AIL10" s="65"/>
      <c r="AIM10" s="65"/>
      <c r="AIN10" s="65"/>
      <c r="AIO10" s="65"/>
      <c r="AIP10" s="65"/>
      <c r="AIQ10" s="65"/>
      <c r="AIR10" s="65"/>
      <c r="AIS10" s="65"/>
      <c r="AIT10" s="65"/>
      <c r="AIU10" s="65"/>
      <c r="AIV10" s="65"/>
      <c r="AIW10" s="65"/>
      <c r="AIX10" s="65"/>
      <c r="AIY10" s="65"/>
      <c r="AIZ10" s="65"/>
      <c r="AJA10" s="65"/>
      <c r="AJB10" s="65"/>
      <c r="AJC10" s="65"/>
      <c r="AJD10" s="65"/>
      <c r="AJE10" s="65"/>
      <c r="AJF10" s="65"/>
      <c r="AJG10" s="65"/>
      <c r="AJH10" s="65"/>
      <c r="AJI10" s="65"/>
      <c r="AJJ10" s="65"/>
      <c r="AJK10" s="65"/>
      <c r="AJL10" s="65"/>
      <c r="AJM10" s="65"/>
      <c r="AJN10" s="65"/>
      <c r="AJO10" s="65"/>
      <c r="AJP10" s="65"/>
      <c r="AJQ10" s="65"/>
      <c r="AJR10" s="65"/>
      <c r="AJS10" s="65"/>
      <c r="AJT10" s="65"/>
      <c r="AJU10" s="65"/>
      <c r="AJV10" s="65"/>
      <c r="AJW10" s="65"/>
      <c r="AJX10" s="65"/>
      <c r="AJY10" s="65"/>
      <c r="AJZ10" s="65"/>
      <c r="AKA10" s="65"/>
      <c r="AKB10" s="65"/>
      <c r="AKC10" s="65"/>
      <c r="AKD10" s="65"/>
      <c r="AKE10" s="65"/>
      <c r="AKF10" s="65"/>
      <c r="AKG10" s="65"/>
      <c r="AKH10" s="65"/>
      <c r="AKI10" s="65"/>
      <c r="AKJ10" s="65"/>
      <c r="AKK10" s="65"/>
      <c r="AKL10" s="65"/>
      <c r="AKM10" s="65"/>
      <c r="AKN10" s="65"/>
      <c r="AKO10" s="65"/>
      <c r="AKP10" s="65"/>
      <c r="AKQ10" s="65"/>
      <c r="AKR10" s="65"/>
      <c r="AKS10" s="65"/>
      <c r="AKT10" s="65"/>
      <c r="AKU10" s="65"/>
      <c r="AKV10" s="65"/>
      <c r="AKW10" s="65"/>
      <c r="AKX10" s="65"/>
      <c r="AKY10" s="65"/>
      <c r="AKZ10" s="65"/>
      <c r="ALA10" s="65"/>
      <c r="ALB10" s="65"/>
      <c r="ALC10" s="65"/>
      <c r="ALD10" s="65"/>
      <c r="ALE10" s="65"/>
      <c r="ALF10" s="65"/>
      <c r="ALG10" s="65"/>
      <c r="ALH10" s="65"/>
      <c r="ALI10" s="65"/>
      <c r="ALJ10" s="65"/>
      <c r="ALK10" s="65"/>
      <c r="ALL10" s="65"/>
      <c r="ALM10" s="65"/>
      <c r="ALN10" s="65"/>
      <c r="ALO10" s="65"/>
      <c r="ALP10" s="65"/>
      <c r="ALQ10" s="65"/>
      <c r="ALR10" s="65"/>
      <c r="ALS10" s="65"/>
      <c r="ALT10" s="65"/>
      <c r="ALU10" s="65"/>
      <c r="ALV10" s="65"/>
      <c r="ALW10" s="65"/>
      <c r="ALX10" s="65"/>
      <c r="ALY10" s="65"/>
      <c r="ALZ10" s="65"/>
      <c r="AMA10" s="65"/>
      <c r="AMB10" s="65"/>
      <c r="AMC10" s="65"/>
      <c r="AMD10" s="65"/>
      <c r="AME10" s="65"/>
      <c r="AMF10" s="65"/>
      <c r="AMG10" s="65"/>
      <c r="AMH10" s="65"/>
      <c r="AMI10" s="65"/>
      <c r="AMJ10" s="65"/>
      <c r="AMK10" s="65"/>
      <c r="AML10" s="65"/>
      <c r="AMM10" s="65"/>
      <c r="AMN10" s="65"/>
      <c r="AMO10" s="65"/>
      <c r="AMP10" s="65"/>
      <c r="AMQ10" s="65"/>
      <c r="AMR10" s="65"/>
      <c r="AMS10" s="65"/>
      <c r="AMT10" s="65"/>
      <c r="AMU10" s="65"/>
      <c r="AMV10" s="65"/>
      <c r="AMW10" s="65"/>
      <c r="AMX10" s="65"/>
      <c r="AMY10" s="65"/>
      <c r="AMZ10" s="65"/>
      <c r="ANA10" s="65"/>
      <c r="ANB10" s="65"/>
      <c r="ANC10" s="65"/>
      <c r="AND10" s="65"/>
      <c r="ANE10" s="65"/>
      <c r="ANF10" s="65"/>
      <c r="ANG10" s="65"/>
      <c r="ANH10" s="65"/>
      <c r="ANI10" s="65"/>
      <c r="ANJ10" s="65"/>
      <c r="ANK10" s="65"/>
      <c r="ANL10" s="65"/>
      <c r="ANM10" s="65"/>
      <c r="ANN10" s="65"/>
      <c r="ANO10" s="65"/>
      <c r="ANP10" s="65"/>
      <c r="ANQ10" s="65"/>
      <c r="ANR10" s="65"/>
      <c r="ANS10" s="65"/>
      <c r="ANT10" s="65"/>
      <c r="ANU10" s="65"/>
      <c r="ANV10" s="65"/>
      <c r="ANW10" s="65"/>
      <c r="ANX10" s="65"/>
      <c r="ANY10" s="65"/>
      <c r="ANZ10" s="65"/>
      <c r="AOA10" s="65"/>
      <c r="AOB10" s="65"/>
      <c r="AOC10" s="65"/>
      <c r="AOD10" s="65"/>
      <c r="AOE10" s="65"/>
      <c r="AOF10" s="65"/>
      <c r="AOG10" s="65"/>
      <c r="AOH10" s="65"/>
      <c r="AOI10" s="65"/>
      <c r="AOJ10" s="65"/>
      <c r="AOK10" s="65"/>
      <c r="AOL10" s="65"/>
      <c r="AOM10" s="65"/>
      <c r="AON10" s="65"/>
      <c r="AOO10" s="65"/>
      <c r="AOP10" s="65"/>
      <c r="AOQ10" s="65"/>
      <c r="AOR10" s="65"/>
      <c r="AOS10" s="65"/>
      <c r="AOT10" s="65"/>
      <c r="AOU10" s="65"/>
      <c r="AOV10" s="65"/>
      <c r="AOW10" s="65"/>
      <c r="AOX10" s="65"/>
      <c r="AOY10" s="65"/>
      <c r="AOZ10" s="65"/>
      <c r="APA10" s="65"/>
      <c r="APB10" s="65"/>
      <c r="APC10" s="65"/>
      <c r="APD10" s="65"/>
      <c r="APE10" s="65"/>
      <c r="APF10" s="65"/>
      <c r="APG10" s="65"/>
      <c r="APH10" s="65"/>
      <c r="API10" s="65"/>
      <c r="APJ10" s="65"/>
      <c r="APK10" s="65"/>
      <c r="APL10" s="65"/>
      <c r="APM10" s="65"/>
      <c r="APN10" s="65"/>
      <c r="APO10" s="65"/>
      <c r="APP10" s="65"/>
      <c r="APQ10" s="65"/>
      <c r="APR10" s="65"/>
      <c r="APS10" s="65"/>
      <c r="APT10" s="65"/>
      <c r="APU10" s="65"/>
      <c r="APV10" s="65"/>
      <c r="APW10" s="65"/>
      <c r="APX10" s="65"/>
      <c r="APY10" s="65"/>
      <c r="APZ10" s="65"/>
      <c r="AQA10" s="65"/>
      <c r="AQB10" s="65"/>
      <c r="AQC10" s="65"/>
      <c r="AQD10" s="65"/>
      <c r="AQE10" s="65"/>
      <c r="AQF10" s="65"/>
      <c r="AQG10" s="65"/>
      <c r="AQH10" s="65"/>
      <c r="AQI10" s="65"/>
      <c r="AQJ10" s="65"/>
      <c r="AQK10" s="65"/>
      <c r="AQL10" s="65"/>
      <c r="AQM10" s="65"/>
      <c r="AQN10" s="65"/>
      <c r="AQO10" s="65"/>
      <c r="AQP10" s="65"/>
      <c r="AQQ10" s="65"/>
      <c r="AQR10" s="65"/>
      <c r="AQS10" s="65"/>
      <c r="AQT10" s="65"/>
      <c r="AQU10" s="65"/>
      <c r="AQV10" s="65"/>
      <c r="AQW10" s="65"/>
      <c r="AQX10" s="65"/>
      <c r="AQY10" s="65"/>
      <c r="AQZ10" s="65"/>
      <c r="ARA10" s="65"/>
      <c r="ARB10" s="65"/>
      <c r="ARC10" s="65"/>
      <c r="ARD10" s="65"/>
      <c r="ARE10" s="65"/>
      <c r="ARF10" s="65"/>
      <c r="ARG10" s="65"/>
      <c r="ARH10" s="65"/>
      <c r="ARI10" s="65"/>
      <c r="ARJ10" s="65"/>
      <c r="ARK10" s="65"/>
      <c r="ARL10" s="65"/>
      <c r="ARM10" s="65"/>
      <c r="ARN10" s="65"/>
      <c r="ARO10" s="65"/>
      <c r="ARP10" s="65"/>
      <c r="ARQ10" s="65"/>
      <c r="ARR10" s="65"/>
      <c r="ARS10" s="65"/>
      <c r="ART10" s="65"/>
      <c r="ARU10" s="65"/>
      <c r="ARV10" s="65"/>
      <c r="ARW10" s="65"/>
      <c r="ARX10" s="65"/>
      <c r="ARY10" s="65"/>
      <c r="ARZ10" s="65"/>
      <c r="ASA10" s="65"/>
      <c r="ASB10" s="65"/>
      <c r="ASC10" s="65"/>
      <c r="ASD10" s="65"/>
      <c r="ASE10" s="65"/>
      <c r="ASF10" s="65"/>
      <c r="ASG10" s="65"/>
      <c r="ASH10" s="65"/>
      <c r="ASI10" s="65"/>
      <c r="ASJ10" s="65"/>
      <c r="ASK10" s="65"/>
      <c r="ASL10" s="65"/>
      <c r="ASM10" s="65"/>
      <c r="ASN10" s="65"/>
      <c r="ASO10" s="65"/>
      <c r="ASP10" s="65"/>
      <c r="ASQ10" s="65"/>
      <c r="ASR10" s="65"/>
      <c r="ASS10" s="65"/>
      <c r="AST10" s="65"/>
      <c r="ASU10" s="65"/>
      <c r="ASV10" s="65"/>
      <c r="ASW10" s="65"/>
      <c r="ASX10" s="65"/>
      <c r="ASY10" s="65"/>
      <c r="ASZ10" s="65"/>
      <c r="ATA10" s="65"/>
      <c r="ATB10" s="65"/>
      <c r="ATC10" s="65"/>
      <c r="ATD10" s="65"/>
      <c r="ATE10" s="65"/>
      <c r="ATF10" s="65"/>
      <c r="ATG10" s="65"/>
      <c r="ATH10" s="65"/>
      <c r="ATI10" s="65"/>
      <c r="ATJ10" s="65"/>
      <c r="ATK10" s="65"/>
      <c r="ATL10" s="65"/>
      <c r="ATM10" s="65"/>
      <c r="ATN10" s="65"/>
      <c r="ATO10" s="65"/>
      <c r="ATP10" s="65"/>
      <c r="ATQ10" s="65"/>
      <c r="ATR10" s="65"/>
      <c r="ATS10" s="65"/>
      <c r="ATT10" s="65"/>
      <c r="ATU10" s="65"/>
      <c r="ATV10" s="65"/>
      <c r="ATW10" s="65"/>
      <c r="ATX10" s="65"/>
      <c r="ATY10" s="65"/>
      <c r="ATZ10" s="65"/>
      <c r="AUA10" s="65"/>
      <c r="AUB10" s="65"/>
      <c r="AUC10" s="65"/>
      <c r="AUD10" s="65"/>
      <c r="AUE10" s="65"/>
      <c r="AUF10" s="65"/>
      <c r="AUG10" s="65"/>
      <c r="AUH10" s="65"/>
      <c r="AUI10" s="65"/>
      <c r="AUJ10" s="65"/>
      <c r="AUK10" s="65"/>
      <c r="AUL10" s="65"/>
      <c r="AUM10" s="65"/>
      <c r="AUN10" s="65"/>
      <c r="AUO10" s="65"/>
      <c r="AUP10" s="65"/>
      <c r="AUQ10" s="65"/>
      <c r="AUR10" s="65"/>
      <c r="AUS10" s="65"/>
      <c r="AUT10" s="65"/>
      <c r="AUU10" s="65"/>
      <c r="AUV10" s="65"/>
      <c r="AUW10" s="65"/>
      <c r="AUX10" s="65"/>
      <c r="AUY10" s="65"/>
      <c r="AUZ10" s="65"/>
      <c r="AVA10" s="65"/>
      <c r="AVB10" s="65"/>
      <c r="AVC10" s="65"/>
      <c r="AVD10" s="65"/>
      <c r="AVE10" s="65"/>
      <c r="AVF10" s="65"/>
      <c r="AVG10" s="65"/>
      <c r="AVH10" s="65"/>
      <c r="AVI10" s="65"/>
      <c r="AVJ10" s="65"/>
      <c r="AVK10" s="65"/>
      <c r="AVL10" s="65"/>
      <c r="AVM10" s="65"/>
      <c r="AVN10" s="65"/>
      <c r="AVO10" s="65"/>
      <c r="AVP10" s="65"/>
      <c r="AVQ10" s="65"/>
      <c r="AVR10" s="65"/>
      <c r="AVS10" s="65"/>
      <c r="AVT10" s="65"/>
      <c r="AVU10" s="65"/>
      <c r="AVV10" s="65"/>
      <c r="AVW10" s="65"/>
      <c r="AVX10" s="65"/>
      <c r="AVY10" s="65"/>
      <c r="AVZ10" s="65"/>
      <c r="AWA10" s="65"/>
      <c r="AWB10" s="65"/>
      <c r="AWC10" s="65"/>
      <c r="AWD10" s="65"/>
      <c r="AWE10" s="65"/>
      <c r="AWF10" s="65"/>
      <c r="AWG10" s="65"/>
      <c r="AWH10" s="65"/>
      <c r="AWI10" s="65"/>
      <c r="AWJ10" s="65"/>
      <c r="AWK10" s="65"/>
      <c r="AWL10" s="65"/>
      <c r="AWM10" s="65"/>
      <c r="AWN10" s="65"/>
      <c r="AWO10" s="65"/>
      <c r="AWP10" s="65"/>
      <c r="AWQ10" s="65"/>
      <c r="AWR10" s="65"/>
      <c r="AWS10" s="65"/>
      <c r="AWT10" s="65"/>
      <c r="AWU10" s="65"/>
      <c r="AWV10" s="65"/>
      <c r="AWW10" s="65"/>
      <c r="AWX10" s="65"/>
      <c r="AWY10" s="65"/>
      <c r="AWZ10" s="65"/>
      <c r="AXA10" s="65"/>
      <c r="AXB10" s="65"/>
      <c r="AXC10" s="65"/>
      <c r="AXD10" s="65"/>
      <c r="AXE10" s="65"/>
      <c r="AXF10" s="65"/>
      <c r="AXG10" s="65"/>
      <c r="AXH10" s="65"/>
      <c r="AXI10" s="65"/>
      <c r="AXJ10" s="65"/>
      <c r="AXK10" s="65"/>
      <c r="AXL10" s="65"/>
      <c r="AXM10" s="65"/>
      <c r="AXN10" s="65"/>
      <c r="AXO10" s="65"/>
      <c r="AXP10" s="65"/>
      <c r="AXQ10" s="65"/>
      <c r="AXR10" s="65"/>
      <c r="AXS10" s="65"/>
      <c r="AXT10" s="65"/>
      <c r="AXU10" s="65"/>
      <c r="AXV10" s="65"/>
      <c r="AXW10" s="65"/>
      <c r="AXX10" s="65"/>
      <c r="AXY10" s="65"/>
      <c r="AXZ10" s="65"/>
      <c r="AYA10" s="65"/>
      <c r="AYB10" s="65"/>
      <c r="AYC10" s="65"/>
      <c r="AYD10" s="65"/>
      <c r="AYE10" s="65"/>
      <c r="AYF10" s="65"/>
      <c r="AYG10" s="65"/>
      <c r="AYH10" s="65"/>
      <c r="AYI10" s="65"/>
      <c r="AYJ10" s="65"/>
      <c r="AYK10" s="65"/>
      <c r="AYL10" s="65"/>
      <c r="AYM10" s="65"/>
      <c r="AYN10" s="65"/>
      <c r="AYO10" s="65"/>
      <c r="AYP10" s="65"/>
      <c r="AYQ10" s="65"/>
      <c r="AYR10" s="65"/>
      <c r="AYS10" s="65"/>
      <c r="AYT10" s="65"/>
      <c r="AYU10" s="65"/>
      <c r="AYV10" s="65"/>
      <c r="AYW10" s="65"/>
      <c r="AYX10" s="65"/>
      <c r="AYY10" s="65"/>
      <c r="AYZ10" s="65"/>
      <c r="AZA10" s="65"/>
      <c r="AZB10" s="65"/>
      <c r="AZC10" s="65"/>
      <c r="AZD10" s="65"/>
      <c r="AZE10" s="65"/>
      <c r="AZF10" s="65"/>
      <c r="AZG10" s="65"/>
      <c r="AZH10" s="65"/>
      <c r="AZI10" s="65"/>
      <c r="AZJ10" s="65"/>
      <c r="AZK10" s="65"/>
      <c r="AZL10" s="65"/>
      <c r="AZM10" s="65"/>
      <c r="AZN10" s="65"/>
      <c r="AZO10" s="65"/>
      <c r="AZP10" s="65"/>
      <c r="AZQ10" s="65"/>
      <c r="AZR10" s="65"/>
      <c r="AZS10" s="65"/>
      <c r="AZT10" s="65"/>
      <c r="AZU10" s="65"/>
      <c r="AZV10" s="65"/>
      <c r="AZW10" s="65"/>
      <c r="AZX10" s="65"/>
      <c r="AZY10" s="65"/>
      <c r="AZZ10" s="65"/>
      <c r="BAA10" s="65"/>
      <c r="BAB10" s="65"/>
      <c r="BAC10" s="65"/>
      <c r="BAD10" s="65"/>
      <c r="BAE10" s="65"/>
      <c r="BAF10" s="65"/>
      <c r="BAG10" s="65"/>
      <c r="BAH10" s="65"/>
      <c r="BAI10" s="65"/>
      <c r="BAJ10" s="65"/>
      <c r="BAK10" s="65"/>
      <c r="BAL10" s="65"/>
      <c r="BAM10" s="65"/>
      <c r="BAN10" s="65"/>
      <c r="BAO10" s="65"/>
      <c r="BAP10" s="65"/>
      <c r="BAQ10" s="65"/>
      <c r="BAR10" s="65"/>
      <c r="BAS10" s="65"/>
      <c r="BAT10" s="65"/>
      <c r="BAU10" s="65"/>
      <c r="BAV10" s="65"/>
      <c r="BAW10" s="65"/>
      <c r="BAX10" s="65"/>
      <c r="BAY10" s="65"/>
      <c r="BAZ10" s="65"/>
      <c r="BBA10" s="65"/>
      <c r="BBB10" s="65"/>
      <c r="BBC10" s="65"/>
      <c r="BBD10" s="65"/>
      <c r="BBE10" s="65"/>
      <c r="BBF10" s="65"/>
      <c r="BBG10" s="65"/>
      <c r="BBH10" s="65"/>
      <c r="BBI10" s="65"/>
      <c r="BBJ10" s="65"/>
      <c r="BBK10" s="65"/>
      <c r="BBL10" s="65"/>
      <c r="BBM10" s="65"/>
      <c r="BBN10" s="65"/>
      <c r="BBO10" s="65"/>
      <c r="BBP10" s="65"/>
      <c r="BBQ10" s="65"/>
      <c r="BBR10" s="65"/>
      <c r="BBS10" s="65"/>
      <c r="BBT10" s="65"/>
      <c r="BBU10" s="65"/>
      <c r="BBV10" s="65"/>
      <c r="BBW10" s="65"/>
      <c r="BBX10" s="65"/>
      <c r="BBY10" s="65"/>
      <c r="BBZ10" s="65"/>
      <c r="BCA10" s="65"/>
      <c r="BCB10" s="65"/>
      <c r="BCC10" s="65"/>
      <c r="BCD10" s="65"/>
      <c r="BCE10" s="65"/>
      <c r="BCF10" s="65"/>
      <c r="BCG10" s="65"/>
      <c r="BCH10" s="65"/>
      <c r="BCI10" s="65"/>
      <c r="BCJ10" s="65"/>
      <c r="BCK10" s="65"/>
      <c r="BCL10" s="65"/>
      <c r="BCM10" s="65"/>
      <c r="BCN10" s="65"/>
      <c r="BCO10" s="65"/>
      <c r="BCP10" s="65"/>
      <c r="BCQ10" s="65"/>
      <c r="BCR10" s="65"/>
      <c r="BCS10" s="65"/>
      <c r="BCT10" s="65"/>
      <c r="BCU10" s="65"/>
      <c r="BCV10" s="65"/>
      <c r="BCW10" s="65"/>
      <c r="BCX10" s="65"/>
      <c r="BCY10" s="65"/>
      <c r="BCZ10" s="65"/>
      <c r="BDA10" s="65"/>
      <c r="BDB10" s="65"/>
      <c r="BDC10" s="65"/>
      <c r="BDD10" s="65"/>
      <c r="BDE10" s="65"/>
      <c r="BDF10" s="65"/>
      <c r="BDG10" s="65"/>
      <c r="BDH10" s="65"/>
      <c r="BDI10" s="65"/>
      <c r="BDJ10" s="65"/>
      <c r="BDK10" s="65"/>
      <c r="BDL10" s="65"/>
      <c r="BDM10" s="65"/>
      <c r="BDN10" s="65"/>
      <c r="BDO10" s="65"/>
      <c r="BDP10" s="65"/>
      <c r="BDQ10" s="65"/>
      <c r="BDR10" s="65"/>
      <c r="BDS10" s="65"/>
      <c r="BDT10" s="65"/>
      <c r="BDU10" s="65"/>
      <c r="BDV10" s="65"/>
      <c r="BDW10" s="65"/>
      <c r="BDX10" s="65"/>
      <c r="BDY10" s="65"/>
      <c r="BDZ10" s="65"/>
      <c r="BEA10" s="65"/>
      <c r="BEB10" s="65"/>
      <c r="BEC10" s="65"/>
      <c r="BED10" s="65"/>
      <c r="BEE10" s="65"/>
      <c r="BEF10" s="65"/>
      <c r="BEG10" s="65"/>
      <c r="BEH10" s="65"/>
      <c r="BEI10" s="65"/>
      <c r="BEJ10" s="65"/>
      <c r="BEK10" s="65"/>
      <c r="BEL10" s="65"/>
      <c r="BEM10" s="65"/>
      <c r="BEN10" s="65"/>
      <c r="BEO10" s="65"/>
      <c r="BEP10" s="65"/>
      <c r="BEQ10" s="65"/>
      <c r="BER10" s="65"/>
      <c r="BES10" s="65"/>
      <c r="BET10" s="65"/>
      <c r="BEU10" s="65"/>
      <c r="BEV10" s="65"/>
      <c r="BEW10" s="65"/>
      <c r="BEX10" s="65"/>
      <c r="BEY10" s="65"/>
      <c r="BEZ10" s="65"/>
      <c r="BFA10" s="65"/>
      <c r="BFB10" s="65"/>
      <c r="BFC10" s="65"/>
      <c r="BFD10" s="65"/>
      <c r="BFE10" s="65"/>
      <c r="BFF10" s="65"/>
      <c r="BFG10" s="65"/>
      <c r="BFH10" s="65"/>
      <c r="BFI10" s="65"/>
      <c r="BFJ10" s="65"/>
      <c r="BFK10" s="65"/>
      <c r="BFL10" s="65"/>
      <c r="BFM10" s="65"/>
      <c r="BFN10" s="65"/>
      <c r="BFO10" s="65"/>
      <c r="BFP10" s="65"/>
      <c r="BFQ10" s="65"/>
      <c r="BFR10" s="65"/>
      <c r="BFS10" s="65"/>
      <c r="BFT10" s="65"/>
      <c r="BFU10" s="65"/>
      <c r="BFV10" s="65"/>
      <c r="BFW10" s="65"/>
      <c r="BFX10" s="65"/>
      <c r="BFY10" s="65"/>
      <c r="BFZ10" s="65"/>
      <c r="BGA10" s="65"/>
      <c r="BGB10" s="65"/>
      <c r="BGC10" s="65"/>
      <c r="BGD10" s="65"/>
      <c r="BGE10" s="65"/>
      <c r="BGF10" s="65"/>
      <c r="BGG10" s="65"/>
      <c r="BGH10" s="65"/>
      <c r="BGI10" s="65"/>
      <c r="BGJ10" s="65"/>
      <c r="BGK10" s="65"/>
      <c r="BGL10" s="65"/>
      <c r="BGM10" s="65"/>
      <c r="BGN10" s="65"/>
      <c r="BGO10" s="65"/>
      <c r="BGP10" s="65"/>
      <c r="BGQ10" s="65"/>
      <c r="BGR10" s="65"/>
      <c r="BGS10" s="65"/>
      <c r="BGT10" s="65"/>
      <c r="BGU10" s="65"/>
      <c r="BGV10" s="65"/>
      <c r="BGW10" s="65"/>
      <c r="BGX10" s="65"/>
      <c r="BGY10" s="65"/>
      <c r="BGZ10" s="65"/>
      <c r="BHA10" s="65"/>
      <c r="BHB10" s="65"/>
      <c r="BHC10" s="65"/>
      <c r="BHD10" s="65"/>
      <c r="BHE10" s="65"/>
      <c r="BHF10" s="65"/>
      <c r="BHG10" s="65"/>
      <c r="BHH10" s="65"/>
      <c r="BHI10" s="65"/>
      <c r="BHJ10" s="65"/>
      <c r="BHK10" s="65"/>
      <c r="BHL10" s="65"/>
      <c r="BHM10" s="65"/>
      <c r="BHN10" s="65"/>
      <c r="BHO10" s="65"/>
      <c r="BHP10" s="65"/>
      <c r="BHQ10" s="65"/>
      <c r="BHR10" s="65"/>
      <c r="BHS10" s="65"/>
      <c r="BHT10" s="65"/>
      <c r="BHU10" s="65"/>
      <c r="BHV10" s="65"/>
      <c r="BHW10" s="65"/>
      <c r="BHX10" s="65"/>
      <c r="BHY10" s="65"/>
      <c r="BHZ10" s="65"/>
      <c r="BIA10" s="65"/>
      <c r="BIB10" s="65"/>
      <c r="BIC10" s="65"/>
      <c r="BID10" s="65"/>
      <c r="BIE10" s="65"/>
      <c r="BIF10" s="65"/>
      <c r="BIG10" s="65"/>
      <c r="BIH10" s="65"/>
      <c r="BII10" s="65"/>
      <c r="BIJ10" s="65"/>
      <c r="BIK10" s="65"/>
      <c r="BIL10" s="65"/>
      <c r="BIM10" s="65"/>
      <c r="BIN10" s="65"/>
      <c r="BIO10" s="65"/>
      <c r="BIP10" s="65"/>
      <c r="BIQ10" s="65"/>
      <c r="BIR10" s="65"/>
      <c r="BIS10" s="65"/>
      <c r="BIT10" s="65"/>
      <c r="BIU10" s="65"/>
      <c r="BIV10" s="65"/>
      <c r="BIW10" s="65"/>
      <c r="BIX10" s="65"/>
      <c r="BIY10" s="65"/>
      <c r="BIZ10" s="65"/>
      <c r="BJA10" s="65"/>
      <c r="BJB10" s="65"/>
      <c r="BJC10" s="65"/>
      <c r="BJD10" s="65"/>
      <c r="BJE10" s="65"/>
      <c r="BJF10" s="65"/>
      <c r="BJG10" s="65"/>
      <c r="BJH10" s="65"/>
      <c r="BJI10" s="65"/>
      <c r="BJJ10" s="65"/>
      <c r="BJK10" s="65"/>
      <c r="BJL10" s="65"/>
      <c r="BJM10" s="65"/>
      <c r="BJN10" s="65"/>
      <c r="BJO10" s="65"/>
      <c r="BJP10" s="65"/>
      <c r="BJQ10" s="65"/>
      <c r="BJR10" s="65"/>
      <c r="BJS10" s="65"/>
      <c r="BJT10" s="65"/>
      <c r="BJU10" s="65"/>
      <c r="BJV10" s="65"/>
      <c r="BJW10" s="65"/>
      <c r="BJX10" s="65"/>
      <c r="BJY10" s="65"/>
      <c r="BJZ10" s="65"/>
      <c r="BKA10" s="65"/>
      <c r="BKB10" s="65"/>
      <c r="BKC10" s="65"/>
      <c r="BKD10" s="65"/>
      <c r="BKE10" s="65"/>
      <c r="BKF10" s="65"/>
      <c r="BKG10" s="65"/>
      <c r="BKH10" s="65"/>
      <c r="BKI10" s="65"/>
      <c r="BKJ10" s="65"/>
      <c r="BKK10" s="65"/>
      <c r="BKL10" s="65"/>
      <c r="BKM10" s="65"/>
      <c r="BKN10" s="65"/>
      <c r="BKO10" s="65"/>
      <c r="BKP10" s="65"/>
      <c r="BKQ10" s="65"/>
      <c r="BKR10" s="65"/>
      <c r="BKS10" s="65"/>
      <c r="BKT10" s="65"/>
      <c r="BKU10" s="65"/>
      <c r="BKV10" s="65"/>
      <c r="BKW10" s="65"/>
      <c r="BKX10" s="65"/>
      <c r="BKY10" s="65"/>
      <c r="BKZ10" s="65"/>
      <c r="BLA10" s="65"/>
      <c r="BLB10" s="65"/>
      <c r="BLC10" s="65"/>
      <c r="BLD10" s="65"/>
      <c r="BLE10" s="65"/>
      <c r="BLF10" s="65"/>
      <c r="BLG10" s="65"/>
      <c r="BLH10" s="65"/>
      <c r="BLI10" s="65"/>
      <c r="BLJ10" s="65"/>
      <c r="BLK10" s="65"/>
      <c r="BLL10" s="65"/>
      <c r="BLM10" s="65"/>
      <c r="BLN10" s="65"/>
      <c r="BLO10" s="65"/>
      <c r="BLP10" s="65"/>
      <c r="BLQ10" s="65"/>
      <c r="BLR10" s="65"/>
      <c r="BLS10" s="65"/>
      <c r="BLT10" s="65"/>
      <c r="BLU10" s="65"/>
      <c r="BLV10" s="65"/>
      <c r="BLW10" s="65"/>
      <c r="BLX10" s="65"/>
      <c r="BLY10" s="65"/>
      <c r="BLZ10" s="65"/>
      <c r="BMA10" s="65"/>
      <c r="BMB10" s="65"/>
      <c r="BMC10" s="65"/>
      <c r="BMD10" s="65"/>
      <c r="BME10" s="65"/>
      <c r="BMF10" s="65"/>
      <c r="BMG10" s="65"/>
      <c r="BMH10" s="65"/>
      <c r="BMI10" s="65"/>
      <c r="BMJ10" s="65"/>
      <c r="BMK10" s="65"/>
      <c r="BML10" s="65"/>
      <c r="BMM10" s="65"/>
      <c r="BMN10" s="65"/>
      <c r="BMO10" s="65"/>
      <c r="BMP10" s="65"/>
      <c r="BMQ10" s="65"/>
      <c r="BMR10" s="65"/>
      <c r="BMS10" s="65"/>
      <c r="BMT10" s="65"/>
      <c r="BMU10" s="65"/>
      <c r="BMV10" s="65"/>
      <c r="BMW10" s="65"/>
      <c r="BMX10" s="65"/>
      <c r="BMY10" s="65"/>
      <c r="BMZ10" s="65"/>
      <c r="BNA10" s="65"/>
      <c r="BNB10" s="65"/>
      <c r="BNC10" s="65"/>
      <c r="BND10" s="65"/>
      <c r="BNE10" s="65"/>
      <c r="BNF10" s="65"/>
      <c r="BNG10" s="65"/>
      <c r="BNH10" s="65"/>
      <c r="BNI10" s="65"/>
      <c r="BNJ10" s="65"/>
      <c r="BNK10" s="65"/>
      <c r="BNL10" s="65"/>
      <c r="BNM10" s="65"/>
      <c r="BNN10" s="65"/>
      <c r="BNO10" s="65"/>
      <c r="BNP10" s="65"/>
      <c r="BNQ10" s="65"/>
      <c r="BNR10" s="65"/>
      <c r="BNS10" s="65"/>
      <c r="BNT10" s="65"/>
      <c r="BNU10" s="65"/>
      <c r="BNV10" s="65"/>
      <c r="BNW10" s="65"/>
      <c r="BNX10" s="65"/>
      <c r="BNY10" s="65"/>
      <c r="BNZ10" s="65"/>
      <c r="BOA10" s="65"/>
      <c r="BOB10" s="65"/>
      <c r="BOC10" s="65"/>
      <c r="BOD10" s="65"/>
      <c r="BOE10" s="65"/>
      <c r="BOF10" s="65"/>
      <c r="BOG10" s="65"/>
      <c r="BOH10" s="65"/>
      <c r="BOI10" s="65"/>
      <c r="BOJ10" s="65"/>
      <c r="BOK10" s="65"/>
      <c r="BOL10" s="65"/>
      <c r="BOM10" s="65"/>
      <c r="BON10" s="65"/>
      <c r="BOO10" s="65"/>
      <c r="BOP10" s="65"/>
      <c r="BOQ10" s="65"/>
      <c r="BOR10" s="65"/>
      <c r="BOS10" s="65"/>
      <c r="BOT10" s="65"/>
      <c r="BOU10" s="65"/>
      <c r="BOV10" s="65"/>
      <c r="BOW10" s="65"/>
      <c r="BOX10" s="65"/>
      <c r="BOY10" s="65"/>
      <c r="BOZ10" s="65"/>
      <c r="BPA10" s="65"/>
      <c r="BPB10" s="65"/>
      <c r="BPC10" s="65"/>
      <c r="BPD10" s="65"/>
      <c r="BPE10" s="65"/>
      <c r="BPF10" s="65"/>
      <c r="BPG10" s="65"/>
      <c r="BPH10" s="65"/>
      <c r="BPI10" s="65"/>
      <c r="BPJ10" s="65"/>
      <c r="BPK10" s="65"/>
      <c r="BPL10" s="65"/>
      <c r="BPM10" s="65"/>
      <c r="BPN10" s="65"/>
      <c r="BPO10" s="65"/>
      <c r="BPP10" s="65"/>
      <c r="BPQ10" s="65"/>
      <c r="BPR10" s="65"/>
      <c r="BPS10" s="65"/>
      <c r="BPT10" s="65"/>
      <c r="BPU10" s="65"/>
      <c r="BPV10" s="65"/>
      <c r="BPW10" s="65"/>
      <c r="BPX10" s="65"/>
      <c r="BPY10" s="65"/>
      <c r="BPZ10" s="65"/>
      <c r="BQA10" s="65"/>
      <c r="BQB10" s="65"/>
      <c r="BQC10" s="65"/>
      <c r="BQD10" s="65"/>
      <c r="BQE10" s="65"/>
      <c r="BQF10" s="65"/>
      <c r="BQG10" s="65"/>
      <c r="BQH10" s="65"/>
      <c r="BQI10" s="65"/>
      <c r="BQJ10" s="65"/>
      <c r="BQK10" s="65"/>
      <c r="BQL10" s="65"/>
      <c r="BQM10" s="65"/>
      <c r="BQN10" s="65"/>
      <c r="BQO10" s="65"/>
      <c r="BQP10" s="65"/>
      <c r="BQQ10" s="65"/>
      <c r="BQR10" s="65"/>
      <c r="BQS10" s="65"/>
      <c r="BQT10" s="65"/>
      <c r="BQU10" s="65"/>
      <c r="BQV10" s="65"/>
      <c r="BQW10" s="65"/>
      <c r="BQX10" s="65"/>
      <c r="BQY10" s="65"/>
      <c r="BQZ10" s="65"/>
      <c r="BRA10" s="65"/>
      <c r="BRB10" s="65"/>
      <c r="BRC10" s="65"/>
      <c r="BRD10" s="65"/>
      <c r="BRE10" s="65"/>
      <c r="BRF10" s="65"/>
      <c r="BRG10" s="65"/>
      <c r="BRH10" s="65"/>
      <c r="BRI10" s="65"/>
      <c r="BRJ10" s="65"/>
      <c r="BRK10" s="65"/>
      <c r="BRL10" s="65"/>
      <c r="BRM10" s="65"/>
      <c r="BRN10" s="65"/>
      <c r="BRO10" s="65"/>
      <c r="BRP10" s="65"/>
      <c r="BRQ10" s="65"/>
      <c r="BRR10" s="65"/>
      <c r="BRS10" s="65"/>
      <c r="BRT10" s="65"/>
      <c r="BRU10" s="65"/>
      <c r="BRV10" s="65"/>
      <c r="BRW10" s="65"/>
      <c r="BRX10" s="65"/>
      <c r="BRY10" s="65"/>
      <c r="BRZ10" s="65"/>
      <c r="BSA10" s="65"/>
      <c r="BSB10" s="65"/>
      <c r="BSC10" s="65"/>
      <c r="BSD10" s="65"/>
      <c r="BSE10" s="65"/>
      <c r="BSF10" s="65"/>
      <c r="BSG10" s="65"/>
      <c r="BSH10" s="65"/>
      <c r="BSI10" s="65"/>
      <c r="BSJ10" s="65"/>
      <c r="BSK10" s="65"/>
      <c r="BSL10" s="65"/>
      <c r="BSM10" s="65"/>
      <c r="BSN10" s="65"/>
      <c r="BSO10" s="65"/>
      <c r="BSP10" s="65"/>
      <c r="BSQ10" s="65"/>
      <c r="BSR10" s="65"/>
      <c r="BSS10" s="65"/>
      <c r="BST10" s="65"/>
      <c r="BSU10" s="65"/>
      <c r="BSV10" s="65"/>
      <c r="BSW10" s="65"/>
      <c r="BSX10" s="65"/>
      <c r="BSY10" s="65"/>
      <c r="BSZ10" s="65"/>
      <c r="BTA10" s="65"/>
      <c r="BTB10" s="65"/>
      <c r="BTC10" s="65"/>
      <c r="BTD10" s="65"/>
      <c r="BTE10" s="65"/>
      <c r="BTF10" s="65"/>
      <c r="BTG10" s="65"/>
      <c r="BTH10" s="65"/>
      <c r="BTI10" s="65"/>
      <c r="BTJ10" s="65"/>
      <c r="BTK10" s="65"/>
      <c r="BTL10" s="65"/>
      <c r="BTM10" s="65"/>
      <c r="BTN10" s="65"/>
      <c r="BTO10" s="65"/>
      <c r="BTP10" s="65"/>
      <c r="BTQ10" s="65"/>
      <c r="BTR10" s="65"/>
      <c r="BTS10" s="65"/>
      <c r="BTT10" s="65"/>
      <c r="BTU10" s="65"/>
      <c r="BTV10" s="65"/>
      <c r="BTW10" s="65"/>
      <c r="BTX10" s="65"/>
      <c r="BTY10" s="65"/>
      <c r="BTZ10" s="65"/>
      <c r="BUA10" s="65"/>
      <c r="BUB10" s="65"/>
      <c r="BUC10" s="65"/>
      <c r="BUD10" s="65"/>
      <c r="BUE10" s="65"/>
      <c r="BUF10" s="65"/>
      <c r="BUG10" s="65"/>
      <c r="BUH10" s="65"/>
      <c r="BUI10" s="65"/>
      <c r="BUJ10" s="65"/>
      <c r="BUK10" s="65"/>
      <c r="BUL10" s="65"/>
      <c r="BUM10" s="65"/>
      <c r="BUN10" s="65"/>
      <c r="BUO10" s="65"/>
      <c r="BUP10" s="65"/>
      <c r="BUQ10" s="65"/>
      <c r="BUR10" s="65"/>
      <c r="BUS10" s="65"/>
      <c r="BUT10" s="65"/>
      <c r="BUU10" s="65"/>
      <c r="BUV10" s="65"/>
      <c r="BUW10" s="65"/>
      <c r="BUX10" s="65"/>
      <c r="BUY10" s="65"/>
      <c r="BUZ10" s="65"/>
      <c r="BVA10" s="65"/>
      <c r="BVB10" s="65"/>
      <c r="BVC10" s="65"/>
      <c r="BVD10" s="65"/>
      <c r="BVE10" s="65"/>
      <c r="BVF10" s="65"/>
      <c r="BVG10" s="65"/>
      <c r="BVH10" s="65"/>
      <c r="BVI10" s="65"/>
      <c r="BVJ10" s="65"/>
      <c r="BVK10" s="65"/>
      <c r="BVL10" s="65"/>
      <c r="BVM10" s="65"/>
      <c r="BVN10" s="65"/>
      <c r="BVO10" s="65"/>
      <c r="BVP10" s="65"/>
      <c r="BVQ10" s="65"/>
      <c r="BVR10" s="65"/>
      <c r="BVS10" s="65"/>
      <c r="BVT10" s="65"/>
      <c r="BVU10" s="65"/>
      <c r="BVV10" s="65"/>
      <c r="BVW10" s="65"/>
      <c r="BVX10" s="65"/>
      <c r="BVY10" s="65"/>
      <c r="BVZ10" s="65"/>
      <c r="BWA10" s="65"/>
      <c r="BWB10" s="65"/>
      <c r="BWC10" s="65"/>
      <c r="BWD10" s="65"/>
      <c r="BWE10" s="65"/>
      <c r="BWF10" s="65"/>
      <c r="BWG10" s="65"/>
      <c r="BWH10" s="65"/>
      <c r="BWI10" s="65"/>
      <c r="BWJ10" s="65"/>
      <c r="BWK10" s="65"/>
      <c r="BWL10" s="65"/>
      <c r="BWM10" s="65"/>
      <c r="BWN10" s="65"/>
      <c r="BWO10" s="65"/>
      <c r="BWP10" s="65"/>
      <c r="BWQ10" s="65"/>
      <c r="BWR10" s="65"/>
      <c r="BWS10" s="65"/>
      <c r="BWT10" s="65"/>
      <c r="BWU10" s="65"/>
      <c r="BWV10" s="65"/>
      <c r="BWW10" s="65"/>
      <c r="BWX10" s="65"/>
      <c r="BWY10" s="65"/>
      <c r="BWZ10" s="65"/>
      <c r="BXA10" s="65"/>
      <c r="BXB10" s="65"/>
      <c r="BXC10" s="65"/>
      <c r="BXD10" s="65"/>
      <c r="BXE10" s="65"/>
      <c r="BXF10" s="65"/>
      <c r="BXG10" s="65"/>
      <c r="BXH10" s="65"/>
      <c r="BXI10" s="65"/>
      <c r="BXJ10" s="65"/>
      <c r="BXK10" s="65"/>
      <c r="BXL10" s="65"/>
      <c r="BXM10" s="65"/>
      <c r="BXN10" s="65"/>
      <c r="BXO10" s="65"/>
      <c r="BXP10" s="65"/>
      <c r="BXQ10" s="65"/>
      <c r="BXR10" s="65"/>
      <c r="BXS10" s="65"/>
      <c r="BXT10" s="65"/>
      <c r="BXU10" s="65"/>
      <c r="BXV10" s="65"/>
      <c r="BXW10" s="65"/>
      <c r="BXX10" s="65"/>
      <c r="BXY10" s="65"/>
      <c r="BXZ10" s="65"/>
      <c r="BYA10" s="65"/>
      <c r="BYB10" s="65"/>
      <c r="BYC10" s="65"/>
      <c r="BYD10" s="65"/>
      <c r="BYE10" s="65"/>
      <c r="BYF10" s="65"/>
      <c r="BYG10" s="65"/>
      <c r="BYH10" s="65"/>
      <c r="BYI10" s="65"/>
      <c r="BYJ10" s="65"/>
      <c r="BYK10" s="65"/>
      <c r="BYL10" s="65"/>
      <c r="BYM10" s="65"/>
      <c r="BYN10" s="65"/>
      <c r="BYO10" s="65"/>
      <c r="BYP10" s="65"/>
      <c r="BYQ10" s="65"/>
      <c r="BYR10" s="65"/>
      <c r="BYS10" s="65"/>
      <c r="BYT10" s="65"/>
      <c r="BYU10" s="65"/>
      <c r="BYV10" s="65"/>
      <c r="BYW10" s="65"/>
      <c r="BYX10" s="65"/>
      <c r="BYY10" s="65"/>
      <c r="BYZ10" s="65"/>
      <c r="BZA10" s="65"/>
      <c r="BZB10" s="65"/>
      <c r="BZC10" s="65"/>
      <c r="BZD10" s="65"/>
      <c r="BZE10" s="65"/>
      <c r="BZF10" s="65"/>
      <c r="BZG10" s="65"/>
      <c r="BZH10" s="65"/>
      <c r="BZI10" s="65"/>
      <c r="BZJ10" s="65"/>
      <c r="BZK10" s="65"/>
      <c r="BZL10" s="65"/>
      <c r="BZM10" s="65"/>
      <c r="BZN10" s="65"/>
      <c r="BZO10" s="65"/>
      <c r="BZP10" s="65"/>
      <c r="BZQ10" s="65"/>
      <c r="BZR10" s="65"/>
      <c r="BZS10" s="65"/>
      <c r="BZT10" s="65"/>
      <c r="BZU10" s="65"/>
      <c r="BZV10" s="65"/>
      <c r="BZW10" s="65"/>
      <c r="BZX10" s="65"/>
      <c r="BZY10" s="65"/>
      <c r="BZZ10" s="65"/>
      <c r="CAA10" s="65"/>
      <c r="CAB10" s="65"/>
      <c r="CAC10" s="65"/>
      <c r="CAD10" s="65"/>
      <c r="CAE10" s="65"/>
      <c r="CAF10" s="65"/>
      <c r="CAG10" s="65"/>
      <c r="CAH10" s="65"/>
      <c r="CAI10" s="65"/>
      <c r="CAJ10" s="65"/>
      <c r="CAK10" s="65"/>
      <c r="CAL10" s="65"/>
      <c r="CAM10" s="65"/>
      <c r="CAN10" s="65"/>
      <c r="CAO10" s="65"/>
      <c r="CAP10" s="65"/>
      <c r="CAQ10" s="65"/>
      <c r="CAR10" s="65"/>
      <c r="CAS10" s="65"/>
      <c r="CAT10" s="65"/>
      <c r="CAU10" s="65"/>
      <c r="CAV10" s="65"/>
      <c r="CAW10" s="65"/>
      <c r="CAX10" s="65"/>
      <c r="CAY10" s="65"/>
      <c r="CAZ10" s="65"/>
      <c r="CBA10" s="65"/>
      <c r="CBB10" s="65"/>
      <c r="CBC10" s="65"/>
      <c r="CBD10" s="65"/>
      <c r="CBE10" s="65"/>
      <c r="CBF10" s="65"/>
      <c r="CBG10" s="65"/>
      <c r="CBH10" s="65"/>
      <c r="CBI10" s="65"/>
      <c r="CBJ10" s="65"/>
      <c r="CBK10" s="65"/>
      <c r="CBL10" s="65"/>
      <c r="CBM10" s="65"/>
      <c r="CBN10" s="65"/>
      <c r="CBO10" s="65"/>
      <c r="CBP10" s="65"/>
      <c r="CBQ10" s="65"/>
      <c r="CBR10" s="65"/>
      <c r="CBS10" s="65"/>
      <c r="CBT10" s="65"/>
      <c r="CBU10" s="65"/>
      <c r="CBV10" s="65"/>
      <c r="CBW10" s="65"/>
      <c r="CBX10" s="65"/>
      <c r="CBY10" s="65"/>
      <c r="CBZ10" s="65"/>
      <c r="CCA10" s="65"/>
      <c r="CCB10" s="65"/>
      <c r="CCC10" s="65"/>
      <c r="CCD10" s="65"/>
      <c r="CCE10" s="65"/>
      <c r="CCF10" s="65"/>
      <c r="CCG10" s="65"/>
      <c r="CCH10" s="65"/>
      <c r="CCI10" s="65"/>
      <c r="CCJ10" s="65"/>
      <c r="CCK10" s="65"/>
      <c r="CCL10" s="65"/>
      <c r="CCM10" s="65"/>
      <c r="CCN10" s="65"/>
      <c r="CCO10" s="65"/>
      <c r="CCP10" s="65"/>
      <c r="CCQ10" s="65"/>
      <c r="CCR10" s="65"/>
      <c r="CCS10" s="65"/>
      <c r="CCT10" s="65"/>
      <c r="CCU10" s="65"/>
      <c r="CCV10" s="65"/>
      <c r="CCW10" s="65"/>
      <c r="CCX10" s="65"/>
      <c r="CCY10" s="65"/>
      <c r="CCZ10" s="65"/>
      <c r="CDA10" s="65"/>
      <c r="CDB10" s="65"/>
      <c r="CDC10" s="65"/>
      <c r="CDD10" s="65"/>
      <c r="CDE10" s="65"/>
      <c r="CDF10" s="65"/>
      <c r="CDG10" s="65"/>
      <c r="CDH10" s="65"/>
      <c r="CDI10" s="65"/>
      <c r="CDJ10" s="65"/>
      <c r="CDK10" s="65"/>
      <c r="CDL10" s="65"/>
      <c r="CDM10" s="65"/>
      <c r="CDN10" s="65"/>
      <c r="CDO10" s="65"/>
      <c r="CDP10" s="65"/>
      <c r="CDQ10" s="65"/>
      <c r="CDR10" s="65"/>
      <c r="CDS10" s="65"/>
      <c r="CDT10" s="65"/>
      <c r="CDU10" s="65"/>
      <c r="CDV10" s="65"/>
      <c r="CDW10" s="65"/>
      <c r="CDX10" s="65"/>
      <c r="CDY10" s="65"/>
      <c r="CDZ10" s="65"/>
      <c r="CEA10" s="65"/>
      <c r="CEB10" s="65"/>
      <c r="CEC10" s="65"/>
      <c r="CED10" s="65"/>
      <c r="CEE10" s="65"/>
      <c r="CEF10" s="65"/>
      <c r="CEG10" s="65"/>
      <c r="CEH10" s="65"/>
      <c r="CEI10" s="65"/>
      <c r="CEJ10" s="65"/>
      <c r="CEK10" s="65"/>
      <c r="CEL10" s="65"/>
      <c r="CEM10" s="65"/>
      <c r="CEN10" s="65"/>
      <c r="CEO10" s="65"/>
      <c r="CEP10" s="65"/>
      <c r="CEQ10" s="65"/>
      <c r="CER10" s="65"/>
      <c r="CES10" s="65"/>
      <c r="CET10" s="65"/>
      <c r="CEU10" s="65"/>
      <c r="CEV10" s="65"/>
      <c r="CEW10" s="65"/>
      <c r="CEX10" s="65"/>
      <c r="CEY10" s="65"/>
      <c r="CEZ10" s="65"/>
      <c r="CFA10" s="65"/>
      <c r="CFB10" s="65"/>
      <c r="CFC10" s="65"/>
      <c r="CFD10" s="65"/>
      <c r="CFE10" s="65"/>
      <c r="CFF10" s="65"/>
      <c r="CFG10" s="65"/>
      <c r="CFH10" s="65"/>
      <c r="CFI10" s="65"/>
      <c r="CFJ10" s="65"/>
      <c r="CFK10" s="65"/>
      <c r="CFL10" s="65"/>
      <c r="CFM10" s="65"/>
      <c r="CFN10" s="65"/>
      <c r="CFO10" s="65"/>
      <c r="CFP10" s="65"/>
      <c r="CFQ10" s="65"/>
      <c r="CFR10" s="65"/>
      <c r="CFS10" s="65"/>
      <c r="CFT10" s="65"/>
      <c r="CFU10" s="65"/>
      <c r="CFV10" s="65"/>
      <c r="CFW10" s="65"/>
      <c r="CFX10" s="65"/>
      <c r="CFY10" s="65"/>
      <c r="CFZ10" s="65"/>
      <c r="CGA10" s="65"/>
      <c r="CGB10" s="65"/>
      <c r="CGC10" s="65"/>
      <c r="CGD10" s="65"/>
      <c r="CGE10" s="65"/>
      <c r="CGF10" s="65"/>
      <c r="CGG10" s="65"/>
      <c r="CGH10" s="65"/>
      <c r="CGI10" s="65"/>
      <c r="CGJ10" s="65"/>
      <c r="CGK10" s="65"/>
      <c r="CGL10" s="65"/>
      <c r="CGM10" s="65"/>
      <c r="CGN10" s="65"/>
      <c r="CGO10" s="65"/>
      <c r="CGP10" s="65"/>
      <c r="CGQ10" s="65"/>
      <c r="CGR10" s="65"/>
      <c r="CGS10" s="65"/>
      <c r="CGT10" s="65"/>
      <c r="CGU10" s="65"/>
      <c r="CGV10" s="65"/>
      <c r="CGW10" s="65"/>
      <c r="CGX10" s="65"/>
      <c r="CGY10" s="65"/>
      <c r="CGZ10" s="65"/>
      <c r="CHA10" s="65"/>
      <c r="CHB10" s="65"/>
      <c r="CHC10" s="65"/>
      <c r="CHD10" s="65"/>
      <c r="CHE10" s="65"/>
      <c r="CHF10" s="65"/>
      <c r="CHG10" s="65"/>
      <c r="CHH10" s="65"/>
      <c r="CHI10" s="65"/>
      <c r="CHJ10" s="65"/>
      <c r="CHK10" s="65"/>
      <c r="CHL10" s="65"/>
      <c r="CHM10" s="65"/>
      <c r="CHN10" s="65"/>
      <c r="CHO10" s="65"/>
      <c r="CHP10" s="65"/>
      <c r="CHQ10" s="65"/>
      <c r="CHR10" s="65"/>
      <c r="CHS10" s="65"/>
      <c r="CHT10" s="65"/>
      <c r="CHU10" s="65"/>
      <c r="CHV10" s="65"/>
      <c r="CHW10" s="65"/>
      <c r="CHX10" s="65"/>
      <c r="CHY10" s="65"/>
      <c r="CHZ10" s="65"/>
      <c r="CIA10" s="65"/>
      <c r="CIB10" s="65"/>
      <c r="CIC10" s="65"/>
      <c r="CID10" s="65"/>
      <c r="CIE10" s="65"/>
      <c r="CIF10" s="65"/>
      <c r="CIG10" s="65"/>
      <c r="CIH10" s="65"/>
      <c r="CII10" s="65"/>
      <c r="CIJ10" s="65"/>
      <c r="CIK10" s="65"/>
      <c r="CIL10" s="65"/>
      <c r="CIM10" s="65"/>
      <c r="CIN10" s="65"/>
      <c r="CIO10" s="65"/>
      <c r="CIP10" s="65"/>
      <c r="CIQ10" s="65"/>
      <c r="CIR10" s="65"/>
      <c r="CIS10" s="65"/>
      <c r="CIT10" s="65"/>
      <c r="CIU10" s="65"/>
      <c r="CIV10" s="65"/>
      <c r="CIW10" s="65"/>
      <c r="CIX10" s="65"/>
      <c r="CIY10" s="65"/>
      <c r="CIZ10" s="65"/>
      <c r="CJA10" s="65"/>
      <c r="CJB10" s="65"/>
      <c r="CJC10" s="65"/>
      <c r="CJD10" s="65"/>
      <c r="CJE10" s="65"/>
      <c r="CJF10" s="65"/>
      <c r="CJG10" s="65"/>
      <c r="CJH10" s="65"/>
      <c r="CJI10" s="65"/>
      <c r="CJJ10" s="65"/>
      <c r="CJK10" s="65"/>
      <c r="CJL10" s="65"/>
      <c r="CJM10" s="65"/>
      <c r="CJN10" s="65"/>
      <c r="CJO10" s="65"/>
      <c r="CJP10" s="65"/>
      <c r="CJQ10" s="65"/>
      <c r="CJR10" s="65"/>
      <c r="CJS10" s="65"/>
      <c r="CJT10" s="65"/>
      <c r="CJU10" s="65"/>
      <c r="CJV10" s="65"/>
      <c r="CJW10" s="65"/>
      <c r="CJX10" s="65"/>
      <c r="CJY10" s="65"/>
      <c r="CJZ10" s="65"/>
      <c r="CKA10" s="65"/>
      <c r="CKB10" s="65"/>
      <c r="CKC10" s="65"/>
      <c r="CKD10" s="65"/>
      <c r="CKE10" s="65"/>
      <c r="CKF10" s="65"/>
      <c r="CKG10" s="65"/>
      <c r="CKH10" s="65"/>
      <c r="CKI10" s="65"/>
      <c r="CKJ10" s="65"/>
      <c r="CKK10" s="65"/>
      <c r="CKL10" s="65"/>
      <c r="CKM10" s="65"/>
      <c r="CKN10" s="65"/>
      <c r="CKO10" s="65"/>
      <c r="CKP10" s="65"/>
      <c r="CKQ10" s="65"/>
      <c r="CKR10" s="65"/>
      <c r="CKS10" s="65"/>
      <c r="CKT10" s="65"/>
      <c r="CKU10" s="65"/>
      <c r="CKV10" s="65"/>
      <c r="CKW10" s="65"/>
      <c r="CKX10" s="65"/>
      <c r="CKY10" s="65"/>
      <c r="CKZ10" s="65"/>
      <c r="CLA10" s="65"/>
      <c r="CLB10" s="65"/>
      <c r="CLC10" s="65"/>
      <c r="CLD10" s="65"/>
      <c r="CLE10" s="65"/>
      <c r="CLF10" s="65"/>
      <c r="CLG10" s="65"/>
      <c r="CLH10" s="65"/>
      <c r="CLI10" s="65"/>
      <c r="CLJ10" s="65"/>
      <c r="CLK10" s="65"/>
      <c r="CLL10" s="65"/>
      <c r="CLM10" s="65"/>
      <c r="CLN10" s="65"/>
      <c r="CLO10" s="65"/>
      <c r="CLP10" s="65"/>
      <c r="CLQ10" s="65"/>
      <c r="CLR10" s="65"/>
      <c r="CLS10" s="65"/>
      <c r="CLT10" s="65"/>
      <c r="CLU10" s="65"/>
      <c r="CLV10" s="65"/>
      <c r="CLW10" s="65"/>
      <c r="CLX10" s="65"/>
      <c r="CLY10" s="65"/>
      <c r="CLZ10" s="65"/>
      <c r="CMA10" s="65"/>
      <c r="CMB10" s="65"/>
      <c r="CMC10" s="65"/>
      <c r="CMD10" s="65"/>
      <c r="CME10" s="65"/>
      <c r="CMF10" s="65"/>
      <c r="CMG10" s="65"/>
      <c r="CMH10" s="65"/>
      <c r="CMI10" s="65"/>
      <c r="CMJ10" s="65"/>
      <c r="CMK10" s="65"/>
      <c r="CML10" s="65"/>
      <c r="CMM10" s="65"/>
      <c r="CMN10" s="65"/>
      <c r="CMO10" s="65"/>
      <c r="CMP10" s="65"/>
      <c r="CMQ10" s="65"/>
      <c r="CMR10" s="65"/>
      <c r="CMS10" s="65"/>
      <c r="CMT10" s="65"/>
      <c r="CMU10" s="65"/>
      <c r="CMV10" s="65"/>
      <c r="CMW10" s="65"/>
      <c r="CMX10" s="65"/>
      <c r="CMY10" s="65"/>
      <c r="CMZ10" s="65"/>
      <c r="CNA10" s="65"/>
      <c r="CNB10" s="65"/>
      <c r="CNC10" s="65"/>
      <c r="CND10" s="65"/>
      <c r="CNE10" s="65"/>
      <c r="CNF10" s="65"/>
      <c r="CNG10" s="65"/>
      <c r="CNH10" s="65"/>
      <c r="CNI10" s="65"/>
      <c r="CNJ10" s="65"/>
      <c r="CNK10" s="65"/>
      <c r="CNL10" s="65"/>
      <c r="CNM10" s="65"/>
      <c r="CNN10" s="65"/>
      <c r="CNO10" s="65"/>
      <c r="CNP10" s="65"/>
      <c r="CNQ10" s="65"/>
      <c r="CNR10" s="65"/>
      <c r="CNS10" s="65"/>
      <c r="CNT10" s="65"/>
      <c r="CNU10" s="65"/>
      <c r="CNV10" s="65"/>
      <c r="CNW10" s="65"/>
      <c r="CNX10" s="65"/>
      <c r="CNY10" s="65"/>
      <c r="CNZ10" s="65"/>
      <c r="COA10" s="65"/>
      <c r="COB10" s="65"/>
      <c r="COC10" s="65"/>
      <c r="COD10" s="65"/>
      <c r="COE10" s="65"/>
      <c r="COF10" s="65"/>
      <c r="COG10" s="65"/>
      <c r="COH10" s="65"/>
      <c r="COI10" s="65"/>
      <c r="COJ10" s="65"/>
      <c r="COK10" s="65"/>
      <c r="COL10" s="65"/>
      <c r="COM10" s="65"/>
      <c r="CON10" s="65"/>
      <c r="COO10" s="65"/>
      <c r="COP10" s="65"/>
      <c r="COQ10" s="65"/>
      <c r="COR10" s="65"/>
      <c r="COS10" s="65"/>
      <c r="COT10" s="65"/>
      <c r="COU10" s="65"/>
      <c r="COV10" s="65"/>
      <c r="COW10" s="65"/>
      <c r="COX10" s="65"/>
      <c r="COY10" s="65"/>
      <c r="COZ10" s="65"/>
      <c r="CPA10" s="65"/>
      <c r="CPB10" s="65"/>
      <c r="CPC10" s="65"/>
      <c r="CPD10" s="65"/>
      <c r="CPE10" s="65"/>
      <c r="CPF10" s="65"/>
      <c r="CPG10" s="65"/>
      <c r="CPH10" s="65"/>
      <c r="CPI10" s="65"/>
      <c r="CPJ10" s="65"/>
      <c r="CPK10" s="65"/>
      <c r="CPL10" s="65"/>
      <c r="CPM10" s="65"/>
      <c r="CPN10" s="65"/>
      <c r="CPO10" s="65"/>
      <c r="CPP10" s="65"/>
      <c r="CPQ10" s="65"/>
      <c r="CPR10" s="65"/>
      <c r="CPS10" s="65"/>
      <c r="CPT10" s="65"/>
      <c r="CPU10" s="65"/>
      <c r="CPV10" s="65"/>
      <c r="CPW10" s="65"/>
      <c r="CPX10" s="65"/>
      <c r="CPY10" s="65"/>
      <c r="CPZ10" s="65"/>
      <c r="CQA10" s="65"/>
      <c r="CQB10" s="65"/>
      <c r="CQC10" s="65"/>
      <c r="CQD10" s="65"/>
      <c r="CQE10" s="65"/>
      <c r="CQF10" s="65"/>
      <c r="CQG10" s="65"/>
      <c r="CQH10" s="65"/>
      <c r="CQI10" s="65"/>
      <c r="CQJ10" s="65"/>
      <c r="CQK10" s="65"/>
      <c r="CQL10" s="65"/>
      <c r="CQM10" s="65"/>
      <c r="CQN10" s="65"/>
      <c r="CQO10" s="65"/>
      <c r="CQP10" s="65"/>
      <c r="CQQ10" s="65"/>
      <c r="CQR10" s="65"/>
      <c r="CQS10" s="65"/>
      <c r="CQT10" s="65"/>
      <c r="CQU10" s="65"/>
      <c r="CQV10" s="65"/>
      <c r="CQW10" s="65"/>
      <c r="CQX10" s="65"/>
      <c r="CQY10" s="65"/>
      <c r="CQZ10" s="65"/>
      <c r="CRA10" s="65"/>
      <c r="CRB10" s="65"/>
      <c r="CRC10" s="65"/>
      <c r="CRD10" s="65"/>
      <c r="CRE10" s="65"/>
      <c r="CRF10" s="65"/>
      <c r="CRG10" s="65"/>
      <c r="CRH10" s="65"/>
      <c r="CRI10" s="65"/>
      <c r="CRJ10" s="65"/>
      <c r="CRK10" s="65"/>
      <c r="CRL10" s="65"/>
      <c r="CRM10" s="65"/>
      <c r="CRN10" s="65"/>
      <c r="CRO10" s="65"/>
      <c r="CRP10" s="65"/>
      <c r="CRQ10" s="65"/>
      <c r="CRR10" s="65"/>
      <c r="CRS10" s="65"/>
      <c r="CRT10" s="65"/>
      <c r="CRU10" s="65"/>
      <c r="CRV10" s="65"/>
      <c r="CRW10" s="65"/>
      <c r="CRX10" s="65"/>
      <c r="CRY10" s="65"/>
      <c r="CRZ10" s="65"/>
      <c r="CSA10" s="65"/>
      <c r="CSB10" s="65"/>
      <c r="CSC10" s="65"/>
      <c r="CSD10" s="65"/>
      <c r="CSE10" s="65"/>
      <c r="CSF10" s="65"/>
      <c r="CSG10" s="65"/>
      <c r="CSH10" s="65"/>
      <c r="CSI10" s="65"/>
      <c r="CSJ10" s="65"/>
      <c r="CSK10" s="65"/>
      <c r="CSL10" s="65"/>
      <c r="CSM10" s="65"/>
      <c r="CSN10" s="65"/>
      <c r="CSO10" s="65"/>
      <c r="CSP10" s="65"/>
      <c r="CSQ10" s="65"/>
      <c r="CSR10" s="65"/>
      <c r="CSS10" s="65"/>
      <c r="CST10" s="65"/>
      <c r="CSU10" s="65"/>
      <c r="CSV10" s="65"/>
      <c r="CSW10" s="65"/>
      <c r="CSX10" s="65"/>
      <c r="CSY10" s="65"/>
      <c r="CSZ10" s="65"/>
      <c r="CTA10" s="65"/>
      <c r="CTB10" s="65"/>
      <c r="CTC10" s="65"/>
      <c r="CTD10" s="65"/>
      <c r="CTE10" s="65"/>
      <c r="CTF10" s="65"/>
      <c r="CTG10" s="65"/>
      <c r="CTH10" s="65"/>
      <c r="CTI10" s="65"/>
      <c r="CTJ10" s="65"/>
      <c r="CTK10" s="65"/>
      <c r="CTL10" s="65"/>
      <c r="CTM10" s="65"/>
      <c r="CTN10" s="65"/>
      <c r="CTO10" s="65"/>
      <c r="CTP10" s="65"/>
      <c r="CTQ10" s="65"/>
      <c r="CTR10" s="65"/>
      <c r="CTS10" s="65"/>
      <c r="CTT10" s="65"/>
      <c r="CTU10" s="65"/>
      <c r="CTV10" s="65"/>
      <c r="CTW10" s="65"/>
      <c r="CTX10" s="65"/>
      <c r="CTY10" s="65"/>
      <c r="CTZ10" s="65"/>
      <c r="CUA10" s="65"/>
      <c r="CUB10" s="65"/>
      <c r="CUC10" s="65"/>
      <c r="CUD10" s="65"/>
      <c r="CUE10" s="65"/>
      <c r="CUF10" s="65"/>
      <c r="CUG10" s="65"/>
      <c r="CUH10" s="65"/>
      <c r="CUI10" s="65"/>
      <c r="CUJ10" s="65"/>
      <c r="CUK10" s="65"/>
      <c r="CUL10" s="65"/>
      <c r="CUM10" s="65"/>
      <c r="CUN10" s="65"/>
      <c r="CUO10" s="65"/>
      <c r="CUP10" s="65"/>
      <c r="CUQ10" s="65"/>
      <c r="CUR10" s="65"/>
      <c r="CUS10" s="65"/>
      <c r="CUT10" s="65"/>
      <c r="CUU10" s="65"/>
      <c r="CUV10" s="65"/>
      <c r="CUW10" s="65"/>
      <c r="CUX10" s="65"/>
      <c r="CUY10" s="65"/>
      <c r="CUZ10" s="65"/>
      <c r="CVA10" s="65"/>
      <c r="CVB10" s="65"/>
      <c r="CVC10" s="65"/>
      <c r="CVD10" s="65"/>
      <c r="CVE10" s="65"/>
      <c r="CVF10" s="65"/>
      <c r="CVG10" s="65"/>
      <c r="CVH10" s="65"/>
      <c r="CVI10" s="65"/>
      <c r="CVJ10" s="65"/>
      <c r="CVK10" s="65"/>
      <c r="CVL10" s="65"/>
      <c r="CVM10" s="65"/>
      <c r="CVN10" s="65"/>
      <c r="CVO10" s="65"/>
      <c r="CVP10" s="65"/>
      <c r="CVQ10" s="65"/>
      <c r="CVR10" s="65"/>
      <c r="CVS10" s="65"/>
      <c r="CVT10" s="65"/>
      <c r="CVU10" s="65"/>
      <c r="CVV10" s="65"/>
      <c r="CVW10" s="65"/>
      <c r="CVX10" s="65"/>
      <c r="CVY10" s="65"/>
      <c r="CVZ10" s="65"/>
      <c r="CWA10" s="65"/>
      <c r="CWB10" s="65"/>
      <c r="CWC10" s="65"/>
      <c r="CWD10" s="65"/>
      <c r="CWE10" s="65"/>
      <c r="CWF10" s="65"/>
      <c r="CWG10" s="65"/>
      <c r="CWH10" s="65"/>
      <c r="CWI10" s="65"/>
      <c r="CWJ10" s="65"/>
      <c r="CWK10" s="65"/>
      <c r="CWL10" s="65"/>
      <c r="CWM10" s="65"/>
      <c r="CWN10" s="65"/>
      <c r="CWO10" s="65"/>
      <c r="CWP10" s="65"/>
      <c r="CWQ10" s="65"/>
      <c r="CWR10" s="65"/>
      <c r="CWS10" s="65"/>
      <c r="CWT10" s="65"/>
      <c r="CWU10" s="65"/>
      <c r="CWV10" s="65"/>
      <c r="CWW10" s="65"/>
      <c r="CWX10" s="65"/>
      <c r="CWY10" s="65"/>
      <c r="CWZ10" s="65"/>
      <c r="CXA10" s="65"/>
      <c r="CXB10" s="65"/>
      <c r="CXC10" s="65"/>
      <c r="CXD10" s="65"/>
      <c r="CXE10" s="65"/>
      <c r="CXF10" s="65"/>
      <c r="CXG10" s="65"/>
      <c r="CXH10" s="65"/>
      <c r="CXI10" s="65"/>
      <c r="CXJ10" s="65"/>
      <c r="CXK10" s="65"/>
      <c r="CXL10" s="65"/>
      <c r="CXM10" s="65"/>
      <c r="CXN10" s="65"/>
      <c r="CXO10" s="65"/>
      <c r="CXP10" s="65"/>
      <c r="CXQ10" s="65"/>
      <c r="CXR10" s="65"/>
      <c r="CXS10" s="65"/>
      <c r="CXT10" s="65"/>
      <c r="CXU10" s="65"/>
      <c r="CXV10" s="65"/>
      <c r="CXW10" s="65"/>
      <c r="CXX10" s="65"/>
      <c r="CXY10" s="65"/>
      <c r="CXZ10" s="65"/>
      <c r="CYA10" s="65"/>
      <c r="CYB10" s="65"/>
      <c r="CYC10" s="65"/>
      <c r="CYD10" s="65"/>
      <c r="CYE10" s="65"/>
      <c r="CYF10" s="65"/>
      <c r="CYG10" s="65"/>
      <c r="CYH10" s="65"/>
      <c r="CYI10" s="65"/>
      <c r="CYJ10" s="65"/>
      <c r="CYK10" s="65"/>
      <c r="CYL10" s="65"/>
      <c r="CYM10" s="65"/>
      <c r="CYN10" s="65"/>
      <c r="CYO10" s="65"/>
      <c r="CYP10" s="65"/>
      <c r="CYQ10" s="65"/>
      <c r="CYR10" s="65"/>
      <c r="CYS10" s="65"/>
      <c r="CYT10" s="65"/>
      <c r="CYU10" s="65"/>
      <c r="CYV10" s="65"/>
      <c r="CYW10" s="65"/>
      <c r="CYX10" s="65"/>
      <c r="CYY10" s="65"/>
      <c r="CYZ10" s="65"/>
      <c r="CZA10" s="65"/>
      <c r="CZB10" s="65"/>
      <c r="CZC10" s="65"/>
      <c r="CZD10" s="65"/>
      <c r="CZE10" s="65"/>
      <c r="CZF10" s="65"/>
      <c r="CZG10" s="65"/>
      <c r="CZH10" s="65"/>
      <c r="CZI10" s="65"/>
      <c r="CZJ10" s="65"/>
      <c r="CZK10" s="65"/>
      <c r="CZL10" s="65"/>
      <c r="CZM10" s="65"/>
      <c r="CZN10" s="65"/>
      <c r="CZO10" s="65"/>
      <c r="CZP10" s="65"/>
      <c r="CZQ10" s="65"/>
      <c r="CZR10" s="65"/>
      <c r="CZS10" s="65"/>
      <c r="CZT10" s="65"/>
      <c r="CZU10" s="65"/>
      <c r="CZV10" s="65"/>
      <c r="CZW10" s="65"/>
      <c r="CZX10" s="65"/>
      <c r="CZY10" s="65"/>
      <c r="CZZ10" s="65"/>
      <c r="DAA10" s="65"/>
      <c r="DAB10" s="65"/>
      <c r="DAC10" s="65"/>
      <c r="DAD10" s="65"/>
      <c r="DAE10" s="65"/>
      <c r="DAF10" s="65"/>
      <c r="DAG10" s="65"/>
      <c r="DAH10" s="65"/>
      <c r="DAI10" s="65"/>
      <c r="DAJ10" s="65"/>
      <c r="DAK10" s="65"/>
      <c r="DAL10" s="65"/>
      <c r="DAM10" s="65"/>
      <c r="DAN10" s="65"/>
      <c r="DAO10" s="65"/>
      <c r="DAP10" s="65"/>
      <c r="DAQ10" s="65"/>
      <c r="DAR10" s="65"/>
      <c r="DAS10" s="65"/>
      <c r="DAT10" s="65"/>
      <c r="DAU10" s="65"/>
      <c r="DAV10" s="65"/>
      <c r="DAW10" s="65"/>
      <c r="DAX10" s="65"/>
      <c r="DAY10" s="65"/>
      <c r="DAZ10" s="65"/>
      <c r="DBA10" s="65"/>
      <c r="DBB10" s="65"/>
      <c r="DBC10" s="65"/>
      <c r="DBD10" s="65"/>
      <c r="DBE10" s="65"/>
      <c r="DBF10" s="65"/>
      <c r="DBG10" s="65"/>
      <c r="DBH10" s="65"/>
      <c r="DBI10" s="65"/>
      <c r="DBJ10" s="65"/>
      <c r="DBK10" s="65"/>
      <c r="DBL10" s="65"/>
      <c r="DBM10" s="65"/>
      <c r="DBN10" s="65"/>
      <c r="DBO10" s="65"/>
      <c r="DBP10" s="65"/>
      <c r="DBQ10" s="65"/>
      <c r="DBR10" s="65"/>
      <c r="DBS10" s="65"/>
      <c r="DBT10" s="65"/>
      <c r="DBU10" s="65"/>
      <c r="DBV10" s="65"/>
      <c r="DBW10" s="65"/>
      <c r="DBX10" s="65"/>
      <c r="DBY10" s="65"/>
      <c r="DBZ10" s="65"/>
      <c r="DCA10" s="65"/>
      <c r="DCB10" s="65"/>
      <c r="DCC10" s="65"/>
      <c r="DCD10" s="65"/>
      <c r="DCE10" s="65"/>
      <c r="DCF10" s="65"/>
      <c r="DCG10" s="65"/>
      <c r="DCH10" s="65"/>
      <c r="DCI10" s="65"/>
      <c r="DCJ10" s="65"/>
      <c r="DCK10" s="65"/>
      <c r="DCL10" s="65"/>
      <c r="DCM10" s="65"/>
      <c r="DCN10" s="65"/>
      <c r="DCO10" s="65"/>
      <c r="DCP10" s="65"/>
      <c r="DCQ10" s="65"/>
      <c r="DCR10" s="65"/>
      <c r="DCS10" s="65"/>
      <c r="DCT10" s="65"/>
      <c r="DCU10" s="65"/>
      <c r="DCV10" s="65"/>
      <c r="DCW10" s="65"/>
      <c r="DCX10" s="65"/>
      <c r="DCY10" s="65"/>
      <c r="DCZ10" s="65"/>
      <c r="DDA10" s="65"/>
      <c r="DDB10" s="65"/>
      <c r="DDC10" s="65"/>
      <c r="DDD10" s="65"/>
      <c r="DDE10" s="65"/>
      <c r="DDF10" s="65"/>
      <c r="DDG10" s="65"/>
      <c r="DDH10" s="65"/>
      <c r="DDI10" s="65"/>
      <c r="DDJ10" s="65"/>
      <c r="DDK10" s="65"/>
      <c r="DDL10" s="65"/>
      <c r="DDM10" s="65"/>
      <c r="DDN10" s="65"/>
      <c r="DDO10" s="65"/>
      <c r="DDP10" s="65"/>
      <c r="DDQ10" s="65"/>
      <c r="DDR10" s="65"/>
      <c r="DDS10" s="65"/>
      <c r="DDT10" s="65"/>
      <c r="DDU10" s="65"/>
      <c r="DDV10" s="65"/>
      <c r="DDW10" s="65"/>
      <c r="DDX10" s="65"/>
      <c r="DDY10" s="65"/>
      <c r="DDZ10" s="65"/>
      <c r="DEA10" s="65"/>
      <c r="DEB10" s="65"/>
      <c r="DEC10" s="65"/>
      <c r="DED10" s="65"/>
      <c r="DEE10" s="65"/>
      <c r="DEF10" s="65"/>
      <c r="DEG10" s="65"/>
      <c r="DEH10" s="65"/>
      <c r="DEI10" s="65"/>
      <c r="DEJ10" s="65"/>
      <c r="DEK10" s="65"/>
      <c r="DEL10" s="65"/>
      <c r="DEM10" s="65"/>
      <c r="DEN10" s="65"/>
      <c r="DEO10" s="65"/>
      <c r="DEP10" s="65"/>
      <c r="DEQ10" s="65"/>
      <c r="DER10" s="65"/>
      <c r="DES10" s="65"/>
      <c r="DET10" s="65"/>
      <c r="DEU10" s="65"/>
      <c r="DEV10" s="65"/>
      <c r="DEW10" s="65"/>
      <c r="DEX10" s="65"/>
      <c r="DEY10" s="65"/>
      <c r="DEZ10" s="65"/>
      <c r="DFA10" s="65"/>
      <c r="DFB10" s="65"/>
      <c r="DFC10" s="65"/>
      <c r="DFD10" s="65"/>
      <c r="DFE10" s="65"/>
      <c r="DFF10" s="65"/>
      <c r="DFG10" s="65"/>
      <c r="DFH10" s="65"/>
      <c r="DFI10" s="65"/>
      <c r="DFJ10" s="65"/>
      <c r="DFK10" s="65"/>
      <c r="DFL10" s="65"/>
      <c r="DFM10" s="65"/>
      <c r="DFN10" s="65"/>
      <c r="DFO10" s="65"/>
      <c r="DFP10" s="65"/>
      <c r="DFQ10" s="65"/>
      <c r="DFR10" s="65"/>
      <c r="DFS10" s="65"/>
      <c r="DFT10" s="65"/>
      <c r="DFU10" s="65"/>
      <c r="DFV10" s="65"/>
      <c r="DFW10" s="65"/>
      <c r="DFX10" s="65"/>
      <c r="DFY10" s="65"/>
      <c r="DFZ10" s="65"/>
      <c r="DGA10" s="65"/>
      <c r="DGB10" s="65"/>
      <c r="DGC10" s="65"/>
      <c r="DGD10" s="65"/>
      <c r="DGE10" s="65"/>
      <c r="DGF10" s="65"/>
      <c r="DGG10" s="65"/>
      <c r="DGH10" s="65"/>
      <c r="DGI10" s="65"/>
      <c r="DGJ10" s="65"/>
      <c r="DGK10" s="65"/>
      <c r="DGL10" s="65"/>
      <c r="DGM10" s="65"/>
      <c r="DGN10" s="65"/>
      <c r="DGO10" s="65"/>
      <c r="DGP10" s="65"/>
      <c r="DGQ10" s="65"/>
      <c r="DGR10" s="65"/>
      <c r="DGS10" s="65"/>
      <c r="DGT10" s="65"/>
      <c r="DGU10" s="65"/>
      <c r="DGV10" s="65"/>
      <c r="DGW10" s="65"/>
      <c r="DGX10" s="65"/>
      <c r="DGY10" s="65"/>
      <c r="DGZ10" s="65"/>
      <c r="DHA10" s="65"/>
      <c r="DHB10" s="65"/>
      <c r="DHC10" s="65"/>
      <c r="DHD10" s="65"/>
      <c r="DHE10" s="65"/>
      <c r="DHF10" s="65"/>
      <c r="DHG10" s="65"/>
      <c r="DHH10" s="65"/>
      <c r="DHI10" s="65"/>
      <c r="DHJ10" s="65"/>
      <c r="DHK10" s="65"/>
      <c r="DHL10" s="65"/>
      <c r="DHM10" s="65"/>
      <c r="DHN10" s="65"/>
      <c r="DHO10" s="65"/>
      <c r="DHP10" s="65"/>
      <c r="DHQ10" s="65"/>
      <c r="DHR10" s="65"/>
      <c r="DHS10" s="65"/>
      <c r="DHT10" s="65"/>
      <c r="DHU10" s="65"/>
      <c r="DHV10" s="65"/>
      <c r="DHW10" s="65"/>
      <c r="DHX10" s="65"/>
      <c r="DHY10" s="65"/>
      <c r="DHZ10" s="65"/>
      <c r="DIA10" s="65"/>
      <c r="DIB10" s="65"/>
      <c r="DIC10" s="65"/>
      <c r="DID10" s="65"/>
      <c r="DIE10" s="65"/>
      <c r="DIF10" s="65"/>
      <c r="DIG10" s="65"/>
      <c r="DIH10" s="65"/>
      <c r="DII10" s="65"/>
      <c r="DIJ10" s="65"/>
      <c r="DIK10" s="65"/>
      <c r="DIL10" s="65"/>
      <c r="DIM10" s="65"/>
      <c r="DIN10" s="65"/>
      <c r="DIO10" s="65"/>
      <c r="DIP10" s="65"/>
      <c r="DIQ10" s="65"/>
      <c r="DIR10" s="65"/>
      <c r="DIS10" s="65"/>
      <c r="DIT10" s="65"/>
      <c r="DIU10" s="65"/>
      <c r="DIV10" s="65"/>
      <c r="DIW10" s="65"/>
      <c r="DIX10" s="65"/>
      <c r="DIY10" s="65"/>
      <c r="DIZ10" s="65"/>
      <c r="DJA10" s="65"/>
      <c r="DJB10" s="65"/>
      <c r="DJC10" s="65"/>
      <c r="DJD10" s="65"/>
      <c r="DJE10" s="65"/>
      <c r="DJF10" s="65"/>
      <c r="DJG10" s="65"/>
      <c r="DJH10" s="65"/>
      <c r="DJI10" s="65"/>
      <c r="DJJ10" s="65"/>
      <c r="DJK10" s="65"/>
      <c r="DJL10" s="65"/>
      <c r="DJM10" s="65"/>
      <c r="DJN10" s="65"/>
      <c r="DJO10" s="65"/>
      <c r="DJP10" s="65"/>
      <c r="DJQ10" s="65"/>
      <c r="DJR10" s="65"/>
      <c r="DJS10" s="65"/>
      <c r="DJT10" s="65"/>
      <c r="DJU10" s="65"/>
      <c r="DJV10" s="65"/>
      <c r="DJW10" s="65"/>
      <c r="DJX10" s="65"/>
      <c r="DJY10" s="65"/>
      <c r="DJZ10" s="65"/>
      <c r="DKA10" s="65"/>
      <c r="DKB10" s="65"/>
      <c r="DKC10" s="65"/>
      <c r="DKD10" s="65"/>
      <c r="DKE10" s="65"/>
      <c r="DKF10" s="65"/>
      <c r="DKG10" s="65"/>
      <c r="DKH10" s="65"/>
      <c r="DKI10" s="65"/>
      <c r="DKJ10" s="65"/>
      <c r="DKK10" s="65"/>
      <c r="DKL10" s="65"/>
      <c r="DKM10" s="65"/>
      <c r="DKN10" s="65"/>
      <c r="DKO10" s="65"/>
      <c r="DKP10" s="65"/>
      <c r="DKQ10" s="65"/>
      <c r="DKR10" s="65"/>
      <c r="DKS10" s="65"/>
      <c r="DKT10" s="65"/>
      <c r="DKU10" s="65"/>
      <c r="DKV10" s="65"/>
      <c r="DKW10" s="65"/>
      <c r="DKX10" s="65"/>
      <c r="DKY10" s="65"/>
      <c r="DKZ10" s="65"/>
      <c r="DLA10" s="65"/>
      <c r="DLB10" s="65"/>
      <c r="DLC10" s="65"/>
      <c r="DLD10" s="65"/>
      <c r="DLE10" s="65"/>
      <c r="DLF10" s="65"/>
      <c r="DLG10" s="65"/>
      <c r="DLH10" s="65"/>
      <c r="DLI10" s="65"/>
      <c r="DLJ10" s="65"/>
      <c r="DLK10" s="65"/>
      <c r="DLL10" s="65"/>
      <c r="DLM10" s="65"/>
      <c r="DLN10" s="65"/>
      <c r="DLO10" s="65"/>
      <c r="DLP10" s="65"/>
      <c r="DLQ10" s="65"/>
      <c r="DLR10" s="65"/>
      <c r="DLS10" s="65"/>
      <c r="DLT10" s="65"/>
      <c r="DLU10" s="65"/>
      <c r="DLV10" s="65"/>
      <c r="DLW10" s="65"/>
      <c r="DLX10" s="65"/>
      <c r="DLY10" s="65"/>
      <c r="DLZ10" s="65"/>
      <c r="DMA10" s="65"/>
      <c r="DMB10" s="65"/>
      <c r="DMC10" s="65"/>
      <c r="DMD10" s="65"/>
      <c r="DME10" s="65"/>
      <c r="DMF10" s="65"/>
      <c r="DMG10" s="65"/>
      <c r="DMH10" s="65"/>
      <c r="DMI10" s="65"/>
      <c r="DMJ10" s="65"/>
      <c r="DMK10" s="65"/>
      <c r="DML10" s="65"/>
      <c r="DMM10" s="65"/>
      <c r="DMN10" s="65"/>
      <c r="DMO10" s="65"/>
      <c r="DMP10" s="65"/>
      <c r="DMQ10" s="65"/>
      <c r="DMR10" s="65"/>
      <c r="DMS10" s="65"/>
      <c r="DMT10" s="65"/>
      <c r="DMU10" s="65"/>
      <c r="DMV10" s="65"/>
      <c r="DMW10" s="65"/>
      <c r="DMX10" s="65"/>
      <c r="DMY10" s="65"/>
      <c r="DMZ10" s="65"/>
      <c r="DNA10" s="65"/>
      <c r="DNB10" s="65"/>
      <c r="DNC10" s="65"/>
      <c r="DND10" s="65"/>
      <c r="DNE10" s="65"/>
      <c r="DNF10" s="65"/>
      <c r="DNG10" s="65"/>
      <c r="DNH10" s="65"/>
      <c r="DNI10" s="65"/>
      <c r="DNJ10" s="65"/>
      <c r="DNK10" s="65"/>
      <c r="DNL10" s="65"/>
      <c r="DNM10" s="65"/>
      <c r="DNN10" s="65"/>
      <c r="DNO10" s="65"/>
      <c r="DNP10" s="65"/>
      <c r="DNQ10" s="65"/>
      <c r="DNR10" s="65"/>
      <c r="DNS10" s="65"/>
      <c r="DNT10" s="65"/>
      <c r="DNU10" s="65"/>
      <c r="DNV10" s="65"/>
      <c r="DNW10" s="65"/>
      <c r="DNX10" s="65"/>
      <c r="DNY10" s="65"/>
      <c r="DNZ10" s="65"/>
      <c r="DOA10" s="65"/>
      <c r="DOB10" s="65"/>
      <c r="DOC10" s="65"/>
      <c r="DOD10" s="65"/>
      <c r="DOE10" s="65"/>
      <c r="DOF10" s="65"/>
      <c r="DOG10" s="65"/>
      <c r="DOH10" s="65"/>
      <c r="DOI10" s="65"/>
      <c r="DOJ10" s="65"/>
      <c r="DOK10" s="65"/>
      <c r="DOL10" s="65"/>
      <c r="DOM10" s="65"/>
      <c r="DON10" s="65"/>
      <c r="DOO10" s="65"/>
      <c r="DOP10" s="65"/>
      <c r="DOQ10" s="65"/>
      <c r="DOR10" s="65"/>
      <c r="DOS10" s="65"/>
      <c r="DOT10" s="65"/>
      <c r="DOU10" s="65"/>
      <c r="DOV10" s="65"/>
      <c r="DOW10" s="65"/>
      <c r="DOX10" s="65"/>
      <c r="DOY10" s="65"/>
      <c r="DOZ10" s="65"/>
      <c r="DPA10" s="65"/>
      <c r="DPB10" s="65"/>
      <c r="DPC10" s="65"/>
      <c r="DPD10" s="65"/>
      <c r="DPE10" s="65"/>
      <c r="DPF10" s="65"/>
      <c r="DPG10" s="65"/>
      <c r="DPH10" s="65"/>
      <c r="DPI10" s="65"/>
      <c r="DPJ10" s="65"/>
      <c r="DPK10" s="65"/>
      <c r="DPL10" s="65"/>
      <c r="DPM10" s="65"/>
      <c r="DPN10" s="65"/>
      <c r="DPO10" s="65"/>
      <c r="DPP10" s="65"/>
      <c r="DPQ10" s="65"/>
      <c r="DPR10" s="65"/>
      <c r="DPS10" s="65"/>
      <c r="DPT10" s="65"/>
      <c r="DPU10" s="65"/>
      <c r="DPV10" s="65"/>
      <c r="DPW10" s="65"/>
      <c r="DPX10" s="65"/>
      <c r="DPY10" s="65"/>
      <c r="DPZ10" s="65"/>
      <c r="DQA10" s="65"/>
      <c r="DQB10" s="65"/>
      <c r="DQC10" s="65"/>
      <c r="DQD10" s="65"/>
      <c r="DQE10" s="65"/>
      <c r="DQF10" s="65"/>
      <c r="DQG10" s="65"/>
      <c r="DQH10" s="65"/>
      <c r="DQI10" s="65"/>
      <c r="DQJ10" s="65"/>
      <c r="DQK10" s="65"/>
      <c r="DQL10" s="65"/>
      <c r="DQM10" s="65"/>
      <c r="DQN10" s="65"/>
      <c r="DQO10" s="65"/>
      <c r="DQP10" s="65"/>
      <c r="DQQ10" s="65"/>
      <c r="DQR10" s="65"/>
      <c r="DQS10" s="65"/>
      <c r="DQT10" s="65"/>
      <c r="DQU10" s="65"/>
      <c r="DQV10" s="65"/>
      <c r="DQW10" s="65"/>
      <c r="DQX10" s="65"/>
      <c r="DQY10" s="65"/>
      <c r="DQZ10" s="65"/>
      <c r="DRA10" s="65"/>
      <c r="DRB10" s="65"/>
      <c r="DRC10" s="65"/>
      <c r="DRD10" s="65"/>
      <c r="DRE10" s="65"/>
      <c r="DRF10" s="65"/>
      <c r="DRG10" s="65"/>
      <c r="DRH10" s="65"/>
      <c r="DRI10" s="65"/>
      <c r="DRJ10" s="65"/>
      <c r="DRK10" s="65"/>
      <c r="DRL10" s="65"/>
      <c r="DRM10" s="65"/>
      <c r="DRN10" s="65"/>
      <c r="DRO10" s="65"/>
      <c r="DRP10" s="65"/>
      <c r="DRQ10" s="65"/>
      <c r="DRR10" s="65"/>
      <c r="DRS10" s="65"/>
      <c r="DRT10" s="65"/>
      <c r="DRU10" s="65"/>
      <c r="DRV10" s="65"/>
      <c r="DRW10" s="65"/>
      <c r="DRX10" s="65"/>
      <c r="DRY10" s="65"/>
      <c r="DRZ10" s="65"/>
      <c r="DSA10" s="65"/>
      <c r="DSB10" s="65"/>
      <c r="DSC10" s="65"/>
      <c r="DSD10" s="65"/>
      <c r="DSE10" s="65"/>
      <c r="DSF10" s="65"/>
      <c r="DSG10" s="65"/>
      <c r="DSH10" s="65"/>
      <c r="DSI10" s="65"/>
      <c r="DSJ10" s="65"/>
      <c r="DSK10" s="65"/>
      <c r="DSL10" s="65"/>
      <c r="DSM10" s="65"/>
      <c r="DSN10" s="65"/>
      <c r="DSO10" s="65"/>
      <c r="DSP10" s="65"/>
      <c r="DSQ10" s="65"/>
      <c r="DSR10" s="65"/>
      <c r="DSS10" s="65"/>
      <c r="DST10" s="65"/>
      <c r="DSU10" s="65"/>
      <c r="DSV10" s="65"/>
      <c r="DSW10" s="65"/>
      <c r="DSX10" s="65"/>
      <c r="DSY10" s="65"/>
      <c r="DSZ10" s="65"/>
      <c r="DTA10" s="65"/>
      <c r="DTB10" s="65"/>
      <c r="DTC10" s="65"/>
      <c r="DTD10" s="65"/>
      <c r="DTE10" s="65"/>
      <c r="DTF10" s="65"/>
      <c r="DTG10" s="65"/>
      <c r="DTH10" s="65"/>
      <c r="DTI10" s="65"/>
      <c r="DTJ10" s="65"/>
      <c r="DTK10" s="65"/>
      <c r="DTL10" s="65"/>
      <c r="DTM10" s="65"/>
      <c r="DTN10" s="65"/>
      <c r="DTO10" s="65"/>
      <c r="DTP10" s="65"/>
      <c r="DTQ10" s="65"/>
      <c r="DTR10" s="65"/>
      <c r="DTS10" s="65"/>
      <c r="DTT10" s="65"/>
      <c r="DTU10" s="65"/>
      <c r="DTV10" s="65"/>
      <c r="DTW10" s="65"/>
      <c r="DTX10" s="65"/>
      <c r="DTY10" s="65"/>
      <c r="DTZ10" s="65"/>
      <c r="DUA10" s="65"/>
      <c r="DUB10" s="65"/>
      <c r="DUC10" s="65"/>
      <c r="DUD10" s="65"/>
      <c r="DUE10" s="65"/>
      <c r="DUF10" s="65"/>
      <c r="DUG10" s="65"/>
      <c r="DUH10" s="65"/>
      <c r="DUI10" s="65"/>
      <c r="DUJ10" s="65"/>
      <c r="DUK10" s="65"/>
      <c r="DUL10" s="65"/>
      <c r="DUM10" s="65"/>
      <c r="DUN10" s="65"/>
      <c r="DUO10" s="65"/>
      <c r="DUP10" s="65"/>
      <c r="DUQ10" s="65"/>
      <c r="DUR10" s="65"/>
      <c r="DUS10" s="65"/>
      <c r="DUT10" s="65"/>
      <c r="DUU10" s="65"/>
      <c r="DUV10" s="65"/>
      <c r="DUW10" s="65"/>
      <c r="DUX10" s="65"/>
      <c r="DUY10" s="65"/>
      <c r="DUZ10" s="65"/>
      <c r="DVA10" s="65"/>
      <c r="DVB10" s="65"/>
      <c r="DVC10" s="65"/>
      <c r="DVD10" s="65"/>
      <c r="DVE10" s="65"/>
      <c r="DVF10" s="65"/>
      <c r="DVG10" s="65"/>
      <c r="DVH10" s="65"/>
      <c r="DVI10" s="65"/>
      <c r="DVJ10" s="65"/>
      <c r="DVK10" s="65"/>
      <c r="DVL10" s="65"/>
      <c r="DVM10" s="65"/>
      <c r="DVN10" s="65"/>
      <c r="DVO10" s="65"/>
      <c r="DVP10" s="65"/>
      <c r="DVQ10" s="65"/>
      <c r="DVR10" s="65"/>
      <c r="DVS10" s="65"/>
      <c r="DVT10" s="65"/>
      <c r="DVU10" s="65"/>
      <c r="DVV10" s="65"/>
      <c r="DVW10" s="65"/>
      <c r="DVX10" s="65"/>
      <c r="DVY10" s="65"/>
      <c r="DVZ10" s="65"/>
      <c r="DWA10" s="65"/>
      <c r="DWB10" s="65"/>
      <c r="DWC10" s="65"/>
      <c r="DWD10" s="65"/>
      <c r="DWE10" s="65"/>
      <c r="DWF10" s="65"/>
      <c r="DWG10" s="65"/>
      <c r="DWH10" s="65"/>
      <c r="DWI10" s="65"/>
      <c r="DWJ10" s="65"/>
      <c r="DWK10" s="65"/>
      <c r="DWL10" s="65"/>
      <c r="DWM10" s="65"/>
      <c r="DWN10" s="65"/>
      <c r="DWO10" s="65"/>
      <c r="DWP10" s="65"/>
      <c r="DWQ10" s="65"/>
      <c r="DWR10" s="65"/>
      <c r="DWS10" s="65"/>
      <c r="DWT10" s="65"/>
      <c r="DWU10" s="65"/>
      <c r="DWV10" s="65"/>
      <c r="DWW10" s="65"/>
      <c r="DWX10" s="65"/>
      <c r="DWY10" s="65"/>
      <c r="DWZ10" s="65"/>
      <c r="DXA10" s="65"/>
      <c r="DXB10" s="65"/>
      <c r="DXC10" s="65"/>
      <c r="DXD10" s="65"/>
      <c r="DXE10" s="65"/>
      <c r="DXF10" s="65"/>
      <c r="DXG10" s="65"/>
      <c r="DXH10" s="65"/>
      <c r="DXI10" s="65"/>
      <c r="DXJ10" s="65"/>
      <c r="DXK10" s="65"/>
      <c r="DXL10" s="65"/>
      <c r="DXM10" s="65"/>
      <c r="DXN10" s="65"/>
      <c r="DXO10" s="65"/>
      <c r="DXP10" s="65"/>
      <c r="DXQ10" s="65"/>
      <c r="DXR10" s="65"/>
      <c r="DXS10" s="65"/>
      <c r="DXT10" s="65"/>
      <c r="DXU10" s="65"/>
      <c r="DXV10" s="65"/>
      <c r="DXW10" s="65"/>
      <c r="DXX10" s="65"/>
      <c r="DXY10" s="65"/>
      <c r="DXZ10" s="65"/>
      <c r="DYA10" s="65"/>
      <c r="DYB10" s="65"/>
      <c r="DYC10" s="65"/>
      <c r="DYD10" s="65"/>
      <c r="DYE10" s="65"/>
      <c r="DYF10" s="65"/>
      <c r="DYG10" s="65"/>
      <c r="DYH10" s="65"/>
      <c r="DYI10" s="65"/>
      <c r="DYJ10" s="65"/>
      <c r="DYK10" s="65"/>
      <c r="DYL10" s="65"/>
      <c r="DYM10" s="65"/>
      <c r="DYN10" s="65"/>
      <c r="DYO10" s="65"/>
      <c r="DYP10" s="65"/>
      <c r="DYQ10" s="65"/>
      <c r="DYR10" s="65"/>
      <c r="DYS10" s="65"/>
      <c r="DYT10" s="65"/>
      <c r="DYU10" s="65"/>
      <c r="DYV10" s="65"/>
      <c r="DYW10" s="65"/>
      <c r="DYX10" s="65"/>
      <c r="DYY10" s="65"/>
      <c r="DYZ10" s="65"/>
      <c r="DZA10" s="65"/>
      <c r="DZB10" s="65"/>
      <c r="DZC10" s="65"/>
      <c r="DZD10" s="65"/>
      <c r="DZE10" s="65"/>
      <c r="DZF10" s="65"/>
      <c r="DZG10" s="65"/>
      <c r="DZH10" s="65"/>
      <c r="DZI10" s="65"/>
      <c r="DZJ10" s="65"/>
      <c r="DZK10" s="65"/>
      <c r="DZL10" s="65"/>
      <c r="DZM10" s="65"/>
      <c r="DZN10" s="65"/>
      <c r="DZO10" s="65"/>
      <c r="DZP10" s="65"/>
      <c r="DZQ10" s="65"/>
      <c r="DZR10" s="65"/>
      <c r="DZS10" s="65"/>
      <c r="DZT10" s="65"/>
      <c r="DZU10" s="65"/>
      <c r="DZV10" s="65"/>
      <c r="DZW10" s="65"/>
      <c r="DZX10" s="65"/>
      <c r="DZY10" s="65"/>
      <c r="DZZ10" s="65"/>
      <c r="EAA10" s="65"/>
      <c r="EAB10" s="65"/>
      <c r="EAC10" s="65"/>
      <c r="EAD10" s="65"/>
      <c r="EAE10" s="65"/>
      <c r="EAF10" s="65"/>
      <c r="EAG10" s="65"/>
      <c r="EAH10" s="65"/>
      <c r="EAI10" s="65"/>
      <c r="EAJ10" s="65"/>
      <c r="EAK10" s="65"/>
      <c r="EAL10" s="65"/>
      <c r="EAM10" s="65"/>
      <c r="EAN10" s="65"/>
      <c r="EAO10" s="65"/>
      <c r="EAP10" s="65"/>
      <c r="EAQ10" s="65"/>
      <c r="EAR10" s="65"/>
      <c r="EAS10" s="65"/>
      <c r="EAT10" s="65"/>
      <c r="EAU10" s="65"/>
      <c r="EAV10" s="65"/>
      <c r="EAW10" s="65"/>
      <c r="EAX10" s="65"/>
      <c r="EAY10" s="65"/>
      <c r="EAZ10" s="65"/>
      <c r="EBA10" s="65"/>
      <c r="EBB10" s="65"/>
      <c r="EBC10" s="65"/>
      <c r="EBD10" s="65"/>
      <c r="EBE10" s="65"/>
      <c r="EBF10" s="65"/>
      <c r="EBG10" s="65"/>
      <c r="EBH10" s="65"/>
      <c r="EBI10" s="65"/>
      <c r="EBJ10" s="65"/>
      <c r="EBK10" s="65"/>
      <c r="EBL10" s="65"/>
      <c r="EBM10" s="65"/>
      <c r="EBN10" s="65"/>
      <c r="EBO10" s="65"/>
      <c r="EBP10" s="65"/>
      <c r="EBQ10" s="65"/>
      <c r="EBR10" s="65"/>
      <c r="EBS10" s="65"/>
      <c r="EBT10" s="65"/>
      <c r="EBU10" s="65"/>
      <c r="EBV10" s="65"/>
      <c r="EBW10" s="65"/>
      <c r="EBX10" s="65"/>
      <c r="EBY10" s="65"/>
      <c r="EBZ10" s="65"/>
      <c r="ECA10" s="65"/>
      <c r="ECB10" s="65"/>
      <c r="ECC10" s="65"/>
      <c r="ECD10" s="65"/>
      <c r="ECE10" s="65"/>
      <c r="ECF10" s="65"/>
      <c r="ECG10" s="65"/>
      <c r="ECH10" s="65"/>
      <c r="ECI10" s="65"/>
      <c r="ECJ10" s="65"/>
      <c r="ECK10" s="65"/>
      <c r="ECL10" s="65"/>
      <c r="ECM10" s="65"/>
      <c r="ECN10" s="65"/>
      <c r="ECO10" s="65"/>
      <c r="ECP10" s="65"/>
      <c r="ECQ10" s="65"/>
      <c r="ECR10" s="65"/>
      <c r="ECS10" s="65"/>
      <c r="ECT10" s="65"/>
      <c r="ECU10" s="65"/>
      <c r="ECV10" s="65"/>
      <c r="ECW10" s="65"/>
      <c r="ECX10" s="65"/>
      <c r="ECY10" s="65"/>
      <c r="ECZ10" s="65"/>
      <c r="EDA10" s="65"/>
      <c r="EDB10" s="65"/>
      <c r="EDC10" s="65"/>
      <c r="EDD10" s="65"/>
      <c r="EDE10" s="65"/>
      <c r="EDF10" s="65"/>
      <c r="EDG10" s="65"/>
      <c r="EDH10" s="65"/>
      <c r="EDI10" s="65"/>
      <c r="EDJ10" s="65"/>
      <c r="EDK10" s="65"/>
      <c r="EDL10" s="65"/>
      <c r="EDM10" s="65"/>
      <c r="EDN10" s="65"/>
      <c r="EDO10" s="65"/>
      <c r="EDP10" s="65"/>
      <c r="EDQ10" s="65"/>
      <c r="EDR10" s="65"/>
      <c r="EDS10" s="65"/>
      <c r="EDT10" s="65"/>
      <c r="EDU10" s="65"/>
      <c r="EDV10" s="65"/>
      <c r="EDW10" s="65"/>
      <c r="EDX10" s="65"/>
      <c r="EDY10" s="65"/>
      <c r="EDZ10" s="65"/>
      <c r="EEA10" s="65"/>
      <c r="EEB10" s="65"/>
      <c r="EEC10" s="65"/>
      <c r="EED10" s="65"/>
      <c r="EEE10" s="65"/>
      <c r="EEF10" s="65"/>
      <c r="EEG10" s="65"/>
      <c r="EEH10" s="65"/>
      <c r="EEI10" s="65"/>
      <c r="EEJ10" s="65"/>
      <c r="EEK10" s="65"/>
      <c r="EEL10" s="65"/>
      <c r="EEM10" s="65"/>
      <c r="EEN10" s="65"/>
      <c r="EEO10" s="65"/>
      <c r="EEP10" s="65"/>
      <c r="EEQ10" s="65"/>
      <c r="EER10" s="65"/>
      <c r="EES10" s="65"/>
      <c r="EET10" s="65"/>
      <c r="EEU10" s="65"/>
      <c r="EEV10" s="65"/>
      <c r="EEW10" s="65"/>
      <c r="EEX10" s="65"/>
      <c r="EEY10" s="65"/>
      <c r="EEZ10" s="65"/>
      <c r="EFA10" s="65"/>
      <c r="EFB10" s="65"/>
      <c r="EFC10" s="65"/>
      <c r="EFD10" s="65"/>
      <c r="EFE10" s="65"/>
      <c r="EFF10" s="65"/>
      <c r="EFG10" s="65"/>
      <c r="EFH10" s="65"/>
      <c r="EFI10" s="65"/>
      <c r="EFJ10" s="65"/>
      <c r="EFK10" s="65"/>
      <c r="EFL10" s="65"/>
      <c r="EFM10" s="65"/>
      <c r="EFN10" s="65"/>
      <c r="EFO10" s="65"/>
      <c r="EFP10" s="65"/>
      <c r="EFQ10" s="65"/>
      <c r="EFR10" s="65"/>
      <c r="EFS10" s="65"/>
      <c r="EFT10" s="65"/>
      <c r="EFU10" s="65"/>
      <c r="EFV10" s="65"/>
      <c r="EFW10" s="65"/>
      <c r="EFX10" s="65"/>
      <c r="EFY10" s="65"/>
      <c r="EFZ10" s="65"/>
      <c r="EGA10" s="65"/>
      <c r="EGB10" s="65"/>
      <c r="EGC10" s="65"/>
      <c r="EGD10" s="65"/>
      <c r="EGE10" s="65"/>
      <c r="EGF10" s="65"/>
      <c r="EGG10" s="65"/>
      <c r="EGH10" s="65"/>
      <c r="EGI10" s="65"/>
      <c r="EGJ10" s="65"/>
      <c r="EGK10" s="65"/>
      <c r="EGL10" s="65"/>
      <c r="EGM10" s="65"/>
      <c r="EGN10" s="65"/>
      <c r="EGO10" s="65"/>
      <c r="EGP10" s="65"/>
      <c r="EGQ10" s="65"/>
      <c r="EGR10" s="65"/>
      <c r="EGS10" s="65"/>
      <c r="EGT10" s="65"/>
      <c r="EGU10" s="65"/>
      <c r="EGV10" s="65"/>
      <c r="EGW10" s="65"/>
      <c r="EGX10" s="65"/>
      <c r="EGY10" s="65"/>
      <c r="EGZ10" s="65"/>
      <c r="EHA10" s="65"/>
      <c r="EHB10" s="65"/>
      <c r="EHC10" s="65"/>
      <c r="EHD10" s="65"/>
      <c r="EHE10" s="65"/>
      <c r="EHF10" s="65"/>
      <c r="EHG10" s="65"/>
      <c r="EHH10" s="65"/>
      <c r="EHI10" s="65"/>
      <c r="EHJ10" s="65"/>
      <c r="EHK10" s="65"/>
      <c r="EHL10" s="65"/>
      <c r="EHM10" s="65"/>
      <c r="EHN10" s="65"/>
      <c r="EHO10" s="65"/>
      <c r="EHP10" s="65"/>
      <c r="EHQ10" s="65"/>
      <c r="EHR10" s="65"/>
      <c r="EHS10" s="65"/>
      <c r="EHT10" s="65"/>
      <c r="EHU10" s="65"/>
      <c r="EHV10" s="65"/>
      <c r="EHW10" s="65"/>
      <c r="EHX10" s="65"/>
      <c r="EHY10" s="65"/>
      <c r="EHZ10" s="65"/>
      <c r="EIA10" s="65"/>
      <c r="EIB10" s="65"/>
      <c r="EIC10" s="65"/>
      <c r="EID10" s="65"/>
      <c r="EIE10" s="65"/>
      <c r="EIF10" s="65"/>
      <c r="EIG10" s="65"/>
      <c r="EIH10" s="65"/>
      <c r="EII10" s="65"/>
      <c r="EIJ10" s="65"/>
      <c r="EIK10" s="65"/>
      <c r="EIL10" s="65"/>
      <c r="EIM10" s="65"/>
      <c r="EIN10" s="65"/>
      <c r="EIO10" s="65"/>
      <c r="EIP10" s="65"/>
      <c r="EIQ10" s="65"/>
      <c r="EIR10" s="65"/>
      <c r="EIS10" s="65"/>
      <c r="EIT10" s="65"/>
      <c r="EIU10" s="65"/>
      <c r="EIV10" s="65"/>
      <c r="EIW10" s="65"/>
      <c r="EIX10" s="65"/>
      <c r="EIY10" s="65"/>
      <c r="EIZ10" s="65"/>
      <c r="EJA10" s="65"/>
      <c r="EJB10" s="65"/>
      <c r="EJC10" s="65"/>
      <c r="EJD10" s="65"/>
      <c r="EJE10" s="65"/>
      <c r="EJF10" s="65"/>
      <c r="EJG10" s="65"/>
      <c r="EJH10" s="65"/>
      <c r="EJI10" s="65"/>
      <c r="EJJ10" s="65"/>
      <c r="EJK10" s="65"/>
      <c r="EJL10" s="65"/>
      <c r="EJM10" s="65"/>
      <c r="EJN10" s="65"/>
      <c r="EJO10" s="65"/>
      <c r="EJP10" s="65"/>
      <c r="EJQ10" s="65"/>
      <c r="EJR10" s="65"/>
      <c r="EJS10" s="65"/>
      <c r="EJT10" s="65"/>
      <c r="EJU10" s="65"/>
      <c r="EJV10" s="65"/>
      <c r="EJW10" s="65"/>
      <c r="EJX10" s="65"/>
      <c r="EJY10" s="65"/>
      <c r="EJZ10" s="65"/>
      <c r="EKA10" s="65"/>
      <c r="EKB10" s="65"/>
      <c r="EKC10" s="65"/>
      <c r="EKD10" s="65"/>
      <c r="EKE10" s="65"/>
      <c r="EKF10" s="65"/>
      <c r="EKG10" s="65"/>
      <c r="EKH10" s="65"/>
      <c r="EKI10" s="65"/>
      <c r="EKJ10" s="65"/>
      <c r="EKK10" s="65"/>
      <c r="EKL10" s="65"/>
      <c r="EKM10" s="65"/>
      <c r="EKN10" s="65"/>
      <c r="EKO10" s="65"/>
      <c r="EKP10" s="65"/>
      <c r="EKQ10" s="65"/>
      <c r="EKR10" s="65"/>
      <c r="EKS10" s="65"/>
      <c r="EKT10" s="65"/>
      <c r="EKU10" s="65"/>
      <c r="EKV10" s="65"/>
      <c r="EKW10" s="65"/>
      <c r="EKX10" s="65"/>
      <c r="EKY10" s="65"/>
      <c r="EKZ10" s="65"/>
      <c r="ELA10" s="65"/>
      <c r="ELB10" s="65"/>
      <c r="ELC10" s="65"/>
      <c r="ELD10" s="65"/>
      <c r="ELE10" s="65"/>
      <c r="ELF10" s="65"/>
      <c r="ELG10" s="65"/>
      <c r="ELH10" s="65"/>
      <c r="ELI10" s="65"/>
      <c r="ELJ10" s="65"/>
      <c r="ELK10" s="65"/>
      <c r="ELL10" s="65"/>
      <c r="ELM10" s="65"/>
      <c r="ELN10" s="65"/>
      <c r="ELO10" s="65"/>
      <c r="ELP10" s="65"/>
      <c r="ELQ10" s="65"/>
      <c r="ELR10" s="65"/>
      <c r="ELS10" s="65"/>
      <c r="ELT10" s="65"/>
      <c r="ELU10" s="65"/>
      <c r="ELV10" s="65"/>
      <c r="ELW10" s="65"/>
      <c r="ELX10" s="65"/>
      <c r="ELY10" s="65"/>
      <c r="ELZ10" s="65"/>
      <c r="EMA10" s="65"/>
      <c r="EMB10" s="65"/>
      <c r="EMC10" s="65"/>
      <c r="EMD10" s="65"/>
      <c r="EME10" s="65"/>
      <c r="EMF10" s="65"/>
      <c r="EMG10" s="65"/>
      <c r="EMH10" s="65"/>
      <c r="EMI10" s="65"/>
      <c r="EMJ10" s="65"/>
      <c r="EMK10" s="65"/>
      <c r="EML10" s="65"/>
      <c r="EMM10" s="65"/>
      <c r="EMN10" s="65"/>
      <c r="EMO10" s="65"/>
      <c r="EMP10" s="65"/>
      <c r="EMQ10" s="65"/>
      <c r="EMR10" s="65"/>
      <c r="EMS10" s="65"/>
      <c r="EMT10" s="65"/>
      <c r="EMU10" s="65"/>
      <c r="EMV10" s="65"/>
      <c r="EMW10" s="65"/>
      <c r="EMX10" s="65"/>
      <c r="EMY10" s="65"/>
      <c r="EMZ10" s="65"/>
      <c r="ENA10" s="65"/>
      <c r="ENB10" s="65"/>
      <c r="ENC10" s="65"/>
      <c r="END10" s="65"/>
      <c r="ENE10" s="65"/>
      <c r="ENF10" s="65"/>
      <c r="ENG10" s="65"/>
      <c r="ENH10" s="65"/>
      <c r="ENI10" s="65"/>
      <c r="ENJ10" s="65"/>
      <c r="ENK10" s="65"/>
      <c r="ENL10" s="65"/>
      <c r="ENM10" s="65"/>
      <c r="ENN10" s="65"/>
      <c r="ENO10" s="65"/>
      <c r="ENP10" s="65"/>
      <c r="ENQ10" s="65"/>
      <c r="ENR10" s="65"/>
      <c r="ENS10" s="65"/>
      <c r="ENT10" s="65"/>
      <c r="ENU10" s="65"/>
      <c r="ENV10" s="65"/>
      <c r="ENW10" s="65"/>
      <c r="ENX10" s="65"/>
      <c r="ENY10" s="65"/>
      <c r="ENZ10" s="65"/>
      <c r="EOA10" s="65"/>
      <c r="EOB10" s="65"/>
      <c r="EOC10" s="65"/>
      <c r="EOD10" s="65"/>
      <c r="EOE10" s="65"/>
      <c r="EOF10" s="65"/>
      <c r="EOG10" s="65"/>
      <c r="EOH10" s="65"/>
      <c r="EOI10" s="65"/>
      <c r="EOJ10" s="65"/>
      <c r="EOK10" s="65"/>
      <c r="EOL10" s="65"/>
      <c r="EOM10" s="65"/>
      <c r="EON10" s="65"/>
      <c r="EOO10" s="65"/>
      <c r="EOP10" s="65"/>
      <c r="EOQ10" s="65"/>
      <c r="EOR10" s="65"/>
      <c r="EOS10" s="65"/>
      <c r="EOT10" s="65"/>
      <c r="EOU10" s="65"/>
      <c r="EOV10" s="65"/>
      <c r="EOW10" s="65"/>
      <c r="EOX10" s="65"/>
      <c r="EOY10" s="65"/>
      <c r="EOZ10" s="65"/>
      <c r="EPA10" s="65"/>
      <c r="EPB10" s="65"/>
      <c r="EPC10" s="65"/>
      <c r="EPD10" s="65"/>
      <c r="EPE10" s="65"/>
      <c r="EPF10" s="65"/>
      <c r="EPG10" s="65"/>
      <c r="EPH10" s="65"/>
      <c r="EPI10" s="65"/>
      <c r="EPJ10" s="65"/>
      <c r="EPK10" s="65"/>
      <c r="EPL10" s="65"/>
      <c r="EPM10" s="65"/>
      <c r="EPN10" s="65"/>
      <c r="EPO10" s="65"/>
      <c r="EPP10" s="65"/>
      <c r="EPQ10" s="65"/>
      <c r="EPR10" s="65"/>
      <c r="EPS10" s="65"/>
      <c r="EPT10" s="65"/>
      <c r="EPU10" s="65"/>
      <c r="EPV10" s="65"/>
      <c r="EPW10" s="65"/>
      <c r="EPX10" s="65"/>
      <c r="EPY10" s="65"/>
      <c r="EPZ10" s="65"/>
      <c r="EQA10" s="65"/>
      <c r="EQB10" s="65"/>
      <c r="EQC10" s="65"/>
      <c r="EQD10" s="65"/>
      <c r="EQE10" s="65"/>
      <c r="EQF10" s="65"/>
      <c r="EQG10" s="65"/>
      <c r="EQH10" s="65"/>
      <c r="EQI10" s="65"/>
      <c r="EQJ10" s="65"/>
      <c r="EQK10" s="65"/>
      <c r="EQL10" s="65"/>
      <c r="EQM10" s="65"/>
      <c r="EQN10" s="65"/>
      <c r="EQO10" s="65"/>
      <c r="EQP10" s="65"/>
      <c r="EQQ10" s="65"/>
      <c r="EQR10" s="65"/>
      <c r="EQS10" s="65"/>
      <c r="EQT10" s="65"/>
      <c r="EQU10" s="65"/>
      <c r="EQV10" s="65"/>
      <c r="EQW10" s="65"/>
      <c r="EQX10" s="65"/>
      <c r="EQY10" s="65"/>
      <c r="EQZ10" s="65"/>
      <c r="ERA10" s="65"/>
      <c r="ERB10" s="65"/>
      <c r="ERC10" s="65"/>
      <c r="ERD10" s="65"/>
      <c r="ERE10" s="65"/>
      <c r="ERF10" s="65"/>
      <c r="ERG10" s="65"/>
      <c r="ERH10" s="65"/>
      <c r="ERI10" s="65"/>
      <c r="ERJ10" s="65"/>
      <c r="ERK10" s="65"/>
      <c r="ERL10" s="65"/>
      <c r="ERM10" s="65"/>
      <c r="ERN10" s="65"/>
      <c r="ERO10" s="65"/>
      <c r="ERP10" s="65"/>
      <c r="ERQ10" s="65"/>
      <c r="ERR10" s="65"/>
      <c r="ERS10" s="65"/>
      <c r="ERT10" s="65"/>
      <c r="ERU10" s="65"/>
      <c r="ERV10" s="65"/>
      <c r="ERW10" s="65"/>
      <c r="ERX10" s="65"/>
      <c r="ERY10" s="65"/>
      <c r="ERZ10" s="65"/>
      <c r="ESA10" s="65"/>
      <c r="ESB10" s="65"/>
      <c r="ESC10" s="65"/>
      <c r="ESD10" s="65"/>
      <c r="ESE10" s="65"/>
      <c r="ESF10" s="65"/>
      <c r="ESG10" s="65"/>
      <c r="ESH10" s="65"/>
      <c r="ESI10" s="65"/>
      <c r="ESJ10" s="65"/>
      <c r="ESK10" s="65"/>
      <c r="ESL10" s="65"/>
      <c r="ESM10" s="65"/>
      <c r="ESN10" s="65"/>
      <c r="ESO10" s="65"/>
      <c r="ESP10" s="65"/>
      <c r="ESQ10" s="65"/>
      <c r="ESR10" s="65"/>
      <c r="ESS10" s="65"/>
      <c r="EST10" s="65"/>
      <c r="ESU10" s="65"/>
      <c r="ESV10" s="65"/>
      <c r="ESW10" s="65"/>
      <c r="ESX10" s="65"/>
      <c r="ESY10" s="65"/>
      <c r="ESZ10" s="65"/>
      <c r="ETA10" s="65"/>
      <c r="ETB10" s="65"/>
      <c r="ETC10" s="65"/>
      <c r="ETD10" s="65"/>
      <c r="ETE10" s="65"/>
      <c r="ETF10" s="65"/>
      <c r="ETG10" s="65"/>
      <c r="ETH10" s="65"/>
      <c r="ETI10" s="65"/>
      <c r="ETJ10" s="65"/>
      <c r="ETK10" s="65"/>
      <c r="ETL10" s="65"/>
      <c r="ETM10" s="65"/>
      <c r="ETN10" s="65"/>
      <c r="ETO10" s="65"/>
      <c r="ETP10" s="65"/>
      <c r="ETQ10" s="65"/>
      <c r="ETR10" s="65"/>
      <c r="ETS10" s="65"/>
      <c r="ETT10" s="65"/>
      <c r="ETU10" s="65"/>
      <c r="ETV10" s="65"/>
      <c r="ETW10" s="65"/>
      <c r="ETX10" s="65"/>
      <c r="ETY10" s="65"/>
      <c r="ETZ10" s="65"/>
      <c r="EUA10" s="65"/>
      <c r="EUB10" s="65"/>
      <c r="EUC10" s="65"/>
      <c r="EUD10" s="65"/>
      <c r="EUE10" s="65"/>
      <c r="EUF10" s="65"/>
      <c r="EUG10" s="65"/>
      <c r="EUH10" s="65"/>
      <c r="EUI10" s="65"/>
      <c r="EUJ10" s="65"/>
      <c r="EUK10" s="65"/>
      <c r="EUL10" s="65"/>
      <c r="EUM10" s="65"/>
      <c r="EUN10" s="65"/>
      <c r="EUO10" s="65"/>
      <c r="EUP10" s="65"/>
      <c r="EUQ10" s="65"/>
      <c r="EUR10" s="65"/>
      <c r="EUS10" s="65"/>
      <c r="EUT10" s="65"/>
      <c r="EUU10" s="65"/>
      <c r="EUV10" s="65"/>
      <c r="EUW10" s="65"/>
      <c r="EUX10" s="65"/>
      <c r="EUY10" s="65"/>
      <c r="EUZ10" s="65"/>
      <c r="EVA10" s="65"/>
      <c r="EVB10" s="65"/>
      <c r="EVC10" s="65"/>
      <c r="EVD10" s="65"/>
      <c r="EVE10" s="65"/>
      <c r="EVF10" s="65"/>
      <c r="EVG10" s="65"/>
      <c r="EVH10" s="65"/>
      <c r="EVI10" s="65"/>
      <c r="EVJ10" s="65"/>
      <c r="EVK10" s="65"/>
      <c r="EVL10" s="65"/>
      <c r="EVM10" s="65"/>
      <c r="EVN10" s="65"/>
      <c r="EVO10" s="65"/>
      <c r="EVP10" s="65"/>
      <c r="EVQ10" s="65"/>
      <c r="EVR10" s="65"/>
      <c r="EVS10" s="65"/>
      <c r="EVT10" s="65"/>
      <c r="EVU10" s="65"/>
      <c r="EVV10" s="65"/>
      <c r="EVW10" s="65"/>
      <c r="EVX10" s="65"/>
      <c r="EVY10" s="65"/>
      <c r="EVZ10" s="65"/>
      <c r="EWA10" s="65"/>
      <c r="EWB10" s="65"/>
      <c r="EWC10" s="65"/>
      <c r="EWD10" s="65"/>
      <c r="EWE10" s="65"/>
      <c r="EWF10" s="65"/>
      <c r="EWG10" s="65"/>
      <c r="EWH10" s="65"/>
      <c r="EWI10" s="65"/>
      <c r="EWJ10" s="65"/>
      <c r="EWK10" s="65"/>
      <c r="EWL10" s="65"/>
      <c r="EWM10" s="65"/>
      <c r="EWN10" s="65"/>
      <c r="EWO10" s="65"/>
      <c r="EWP10" s="65"/>
      <c r="EWQ10" s="65"/>
      <c r="EWR10" s="65"/>
      <c r="EWS10" s="65"/>
      <c r="EWT10" s="65"/>
      <c r="EWU10" s="65"/>
      <c r="EWV10" s="65"/>
      <c r="EWW10" s="65"/>
      <c r="EWX10" s="65"/>
      <c r="EWY10" s="65"/>
      <c r="EWZ10" s="65"/>
      <c r="EXA10" s="65"/>
      <c r="EXB10" s="65"/>
      <c r="EXC10" s="65"/>
      <c r="EXD10" s="65"/>
      <c r="EXE10" s="65"/>
      <c r="EXF10" s="65"/>
      <c r="EXG10" s="65"/>
      <c r="EXH10" s="65"/>
      <c r="EXI10" s="65"/>
      <c r="EXJ10" s="65"/>
      <c r="EXK10" s="65"/>
      <c r="EXL10" s="65"/>
      <c r="EXM10" s="65"/>
      <c r="EXN10" s="65"/>
      <c r="EXO10" s="65"/>
      <c r="EXP10" s="65"/>
      <c r="EXQ10" s="65"/>
      <c r="EXR10" s="65"/>
      <c r="EXS10" s="65"/>
      <c r="EXT10" s="65"/>
      <c r="EXU10" s="65"/>
      <c r="EXV10" s="65"/>
      <c r="EXW10" s="65"/>
      <c r="EXX10" s="65"/>
      <c r="EXY10" s="65"/>
      <c r="EXZ10" s="65"/>
      <c r="EYA10" s="65"/>
      <c r="EYB10" s="65"/>
      <c r="EYC10" s="65"/>
      <c r="EYD10" s="65"/>
      <c r="EYE10" s="65"/>
      <c r="EYF10" s="65"/>
      <c r="EYG10" s="65"/>
      <c r="EYH10" s="65"/>
      <c r="EYI10" s="65"/>
      <c r="EYJ10" s="65"/>
      <c r="EYK10" s="65"/>
      <c r="EYL10" s="65"/>
      <c r="EYM10" s="65"/>
      <c r="EYN10" s="65"/>
      <c r="EYO10" s="65"/>
      <c r="EYP10" s="65"/>
      <c r="EYQ10" s="65"/>
      <c r="EYR10" s="65"/>
      <c r="EYS10" s="65"/>
      <c r="EYT10" s="65"/>
      <c r="EYU10" s="65"/>
      <c r="EYV10" s="65"/>
      <c r="EYW10" s="65"/>
      <c r="EYX10" s="65"/>
      <c r="EYY10" s="65"/>
      <c r="EYZ10" s="65"/>
      <c r="EZA10" s="65"/>
      <c r="EZB10" s="65"/>
      <c r="EZC10" s="65"/>
      <c r="EZD10" s="65"/>
      <c r="EZE10" s="65"/>
      <c r="EZF10" s="65"/>
      <c r="EZG10" s="65"/>
      <c r="EZH10" s="65"/>
      <c r="EZI10" s="65"/>
      <c r="EZJ10" s="65"/>
      <c r="EZK10" s="65"/>
      <c r="EZL10" s="65"/>
      <c r="EZM10" s="65"/>
      <c r="EZN10" s="65"/>
      <c r="EZO10" s="65"/>
      <c r="EZP10" s="65"/>
      <c r="EZQ10" s="65"/>
      <c r="EZR10" s="65"/>
      <c r="EZS10" s="65"/>
      <c r="EZT10" s="65"/>
      <c r="EZU10" s="65"/>
      <c r="EZV10" s="65"/>
      <c r="EZW10" s="65"/>
      <c r="EZX10" s="65"/>
      <c r="EZY10" s="65"/>
      <c r="EZZ10" s="65"/>
      <c r="FAA10" s="65"/>
      <c r="FAB10" s="65"/>
      <c r="FAC10" s="65"/>
      <c r="FAD10" s="65"/>
      <c r="FAE10" s="65"/>
      <c r="FAF10" s="65"/>
      <c r="FAG10" s="65"/>
      <c r="FAH10" s="65"/>
      <c r="FAI10" s="65"/>
      <c r="FAJ10" s="65"/>
      <c r="FAK10" s="65"/>
      <c r="FAL10" s="65"/>
      <c r="FAM10" s="65"/>
      <c r="FAN10" s="65"/>
      <c r="FAO10" s="65"/>
      <c r="FAP10" s="65"/>
      <c r="FAQ10" s="65"/>
      <c r="FAR10" s="65"/>
      <c r="FAS10" s="65"/>
      <c r="FAT10" s="65"/>
      <c r="FAU10" s="65"/>
      <c r="FAV10" s="65"/>
      <c r="FAW10" s="65"/>
      <c r="FAX10" s="65"/>
      <c r="FAY10" s="65"/>
      <c r="FAZ10" s="65"/>
      <c r="FBA10" s="65"/>
      <c r="FBB10" s="65"/>
      <c r="FBC10" s="65"/>
      <c r="FBD10" s="65"/>
      <c r="FBE10" s="65"/>
      <c r="FBF10" s="65"/>
      <c r="FBG10" s="65"/>
      <c r="FBH10" s="65"/>
      <c r="FBI10" s="65"/>
      <c r="FBJ10" s="65"/>
      <c r="FBK10" s="65"/>
      <c r="FBL10" s="65"/>
      <c r="FBM10" s="65"/>
      <c r="FBN10" s="65"/>
      <c r="FBO10" s="65"/>
      <c r="FBP10" s="65"/>
      <c r="FBQ10" s="65"/>
      <c r="FBR10" s="65"/>
      <c r="FBS10" s="65"/>
      <c r="FBT10" s="65"/>
      <c r="FBU10" s="65"/>
      <c r="FBV10" s="65"/>
      <c r="FBW10" s="65"/>
      <c r="FBX10" s="65"/>
      <c r="FBY10" s="65"/>
      <c r="FBZ10" s="65"/>
      <c r="FCA10" s="65"/>
      <c r="FCB10" s="65"/>
      <c r="FCC10" s="65"/>
      <c r="FCD10" s="65"/>
      <c r="FCE10" s="65"/>
      <c r="FCF10" s="65"/>
      <c r="FCG10" s="65"/>
      <c r="FCH10" s="65"/>
      <c r="FCI10" s="65"/>
      <c r="FCJ10" s="65"/>
      <c r="FCK10" s="65"/>
      <c r="FCL10" s="65"/>
      <c r="FCM10" s="65"/>
      <c r="FCN10" s="65"/>
      <c r="FCO10" s="65"/>
      <c r="FCP10" s="65"/>
      <c r="FCQ10" s="65"/>
      <c r="FCR10" s="65"/>
      <c r="FCS10" s="65"/>
      <c r="FCT10" s="65"/>
      <c r="FCU10" s="65"/>
      <c r="FCV10" s="65"/>
      <c r="FCW10" s="65"/>
      <c r="FCX10" s="65"/>
      <c r="FCY10" s="65"/>
      <c r="FCZ10" s="65"/>
      <c r="FDA10" s="65"/>
      <c r="FDB10" s="65"/>
      <c r="FDC10" s="65"/>
      <c r="FDD10" s="65"/>
      <c r="FDE10" s="65"/>
      <c r="FDF10" s="65"/>
      <c r="FDG10" s="65"/>
      <c r="FDH10" s="65"/>
      <c r="FDI10" s="65"/>
      <c r="FDJ10" s="65"/>
      <c r="FDK10" s="65"/>
      <c r="FDL10" s="65"/>
      <c r="FDM10" s="65"/>
      <c r="FDN10" s="65"/>
      <c r="FDO10" s="65"/>
      <c r="FDP10" s="65"/>
      <c r="FDQ10" s="65"/>
      <c r="FDR10" s="65"/>
      <c r="FDS10" s="65"/>
      <c r="FDT10" s="65"/>
      <c r="FDU10" s="65"/>
      <c r="FDV10" s="65"/>
      <c r="FDW10" s="65"/>
      <c r="FDX10" s="65"/>
      <c r="FDY10" s="65"/>
      <c r="FDZ10" s="65"/>
      <c r="FEA10" s="65"/>
      <c r="FEB10" s="65"/>
      <c r="FEC10" s="65"/>
      <c r="FED10" s="65"/>
      <c r="FEE10" s="65"/>
      <c r="FEF10" s="65"/>
      <c r="FEG10" s="65"/>
      <c r="FEH10" s="65"/>
      <c r="FEI10" s="65"/>
      <c r="FEJ10" s="65"/>
      <c r="FEK10" s="65"/>
      <c r="FEL10" s="65"/>
      <c r="FEM10" s="65"/>
      <c r="FEN10" s="65"/>
      <c r="FEO10" s="65"/>
      <c r="FEP10" s="65"/>
      <c r="FEQ10" s="65"/>
      <c r="FER10" s="65"/>
      <c r="FES10" s="65"/>
      <c r="FET10" s="65"/>
      <c r="FEU10" s="65"/>
      <c r="FEV10" s="65"/>
      <c r="FEW10" s="65"/>
      <c r="FEX10" s="65"/>
      <c r="FEY10" s="65"/>
      <c r="FEZ10" s="65"/>
      <c r="FFA10" s="65"/>
      <c r="FFB10" s="65"/>
      <c r="FFC10" s="65"/>
      <c r="FFD10" s="65"/>
      <c r="FFE10" s="65"/>
      <c r="FFF10" s="65"/>
      <c r="FFG10" s="65"/>
      <c r="FFH10" s="65"/>
      <c r="FFI10" s="65"/>
      <c r="FFJ10" s="65"/>
      <c r="FFK10" s="65"/>
      <c r="FFL10" s="65"/>
      <c r="FFM10" s="65"/>
      <c r="FFN10" s="65"/>
      <c r="FFO10" s="65"/>
      <c r="FFP10" s="65"/>
      <c r="FFQ10" s="65"/>
      <c r="FFR10" s="65"/>
      <c r="FFS10" s="65"/>
      <c r="FFT10" s="65"/>
      <c r="FFU10" s="65"/>
      <c r="FFV10" s="65"/>
      <c r="FFW10" s="65"/>
      <c r="FFX10" s="65"/>
      <c r="FFY10" s="65"/>
      <c r="FFZ10" s="65"/>
      <c r="FGA10" s="65"/>
      <c r="FGB10" s="65"/>
      <c r="FGC10" s="65"/>
      <c r="FGD10" s="65"/>
      <c r="FGE10" s="65"/>
      <c r="FGF10" s="65"/>
      <c r="FGG10" s="65"/>
      <c r="FGH10" s="65"/>
      <c r="FGI10" s="65"/>
      <c r="FGJ10" s="65"/>
      <c r="FGK10" s="65"/>
      <c r="FGL10" s="65"/>
      <c r="FGM10" s="65"/>
      <c r="FGN10" s="65"/>
      <c r="FGO10" s="65"/>
      <c r="FGP10" s="65"/>
      <c r="FGQ10" s="65"/>
      <c r="FGR10" s="65"/>
      <c r="FGS10" s="65"/>
      <c r="FGT10" s="65"/>
      <c r="FGU10" s="65"/>
      <c r="FGV10" s="65"/>
      <c r="FGW10" s="65"/>
      <c r="FGX10" s="65"/>
      <c r="FGY10" s="65"/>
      <c r="FGZ10" s="65"/>
      <c r="FHA10" s="65"/>
      <c r="FHB10" s="65"/>
      <c r="FHC10" s="65"/>
      <c r="FHD10" s="65"/>
      <c r="FHE10" s="65"/>
      <c r="FHF10" s="65"/>
      <c r="FHG10" s="65"/>
      <c r="FHH10" s="65"/>
      <c r="FHI10" s="65"/>
      <c r="FHJ10" s="65"/>
      <c r="FHK10" s="65"/>
      <c r="FHL10" s="65"/>
      <c r="FHM10" s="65"/>
      <c r="FHN10" s="65"/>
      <c r="FHO10" s="65"/>
      <c r="FHP10" s="65"/>
      <c r="FHQ10" s="65"/>
      <c r="FHR10" s="65"/>
      <c r="FHS10" s="65"/>
      <c r="FHT10" s="65"/>
      <c r="FHU10" s="65"/>
      <c r="FHV10" s="65"/>
      <c r="FHW10" s="65"/>
      <c r="FHX10" s="65"/>
      <c r="FHY10" s="65"/>
      <c r="FHZ10" s="65"/>
      <c r="FIA10" s="65"/>
      <c r="FIB10" s="65"/>
      <c r="FIC10" s="65"/>
      <c r="FID10" s="65"/>
      <c r="FIE10" s="65"/>
      <c r="FIF10" s="65"/>
      <c r="FIG10" s="65"/>
      <c r="FIH10" s="65"/>
      <c r="FII10" s="65"/>
      <c r="FIJ10" s="65"/>
      <c r="FIK10" s="65"/>
      <c r="FIL10" s="65"/>
      <c r="FIM10" s="65"/>
      <c r="FIN10" s="65"/>
      <c r="FIO10" s="65"/>
      <c r="FIP10" s="65"/>
      <c r="FIQ10" s="65"/>
      <c r="FIR10" s="65"/>
      <c r="FIS10" s="65"/>
      <c r="FIT10" s="65"/>
      <c r="FIU10" s="65"/>
      <c r="FIV10" s="65"/>
      <c r="FIW10" s="65"/>
      <c r="FIX10" s="65"/>
      <c r="FIY10" s="65"/>
      <c r="FIZ10" s="65"/>
      <c r="FJA10" s="65"/>
      <c r="FJB10" s="65"/>
      <c r="FJC10" s="65"/>
      <c r="FJD10" s="65"/>
      <c r="FJE10" s="65"/>
      <c r="FJF10" s="65"/>
      <c r="FJG10" s="65"/>
      <c r="FJH10" s="65"/>
      <c r="FJI10" s="65"/>
      <c r="FJJ10" s="65"/>
      <c r="FJK10" s="65"/>
      <c r="FJL10" s="65"/>
      <c r="FJM10" s="65"/>
      <c r="FJN10" s="65"/>
      <c r="FJO10" s="65"/>
      <c r="FJP10" s="65"/>
      <c r="FJQ10" s="65"/>
      <c r="FJR10" s="65"/>
      <c r="FJS10" s="65"/>
      <c r="FJT10" s="65"/>
      <c r="FJU10" s="65"/>
      <c r="FJV10" s="65"/>
      <c r="FJW10" s="65"/>
      <c r="FJX10" s="65"/>
      <c r="FJY10" s="65"/>
      <c r="FJZ10" s="65"/>
      <c r="FKA10" s="65"/>
      <c r="FKB10" s="65"/>
      <c r="FKC10" s="65"/>
      <c r="FKD10" s="65"/>
      <c r="FKE10" s="65"/>
      <c r="FKF10" s="65"/>
      <c r="FKG10" s="65"/>
      <c r="FKH10" s="65"/>
      <c r="FKI10" s="65"/>
      <c r="FKJ10" s="65"/>
      <c r="FKK10" s="65"/>
      <c r="FKL10" s="65"/>
      <c r="FKM10" s="65"/>
      <c r="FKN10" s="65"/>
      <c r="FKO10" s="65"/>
      <c r="FKP10" s="65"/>
      <c r="FKQ10" s="65"/>
      <c r="FKR10" s="65"/>
      <c r="FKS10" s="65"/>
      <c r="FKT10" s="65"/>
      <c r="FKU10" s="65"/>
      <c r="FKV10" s="65"/>
      <c r="FKW10" s="65"/>
      <c r="FKX10" s="65"/>
      <c r="FKY10" s="65"/>
      <c r="FKZ10" s="65"/>
      <c r="FLA10" s="65"/>
      <c r="FLB10" s="65"/>
      <c r="FLC10" s="65"/>
      <c r="FLD10" s="65"/>
      <c r="FLE10" s="65"/>
      <c r="FLF10" s="65"/>
      <c r="FLG10" s="65"/>
      <c r="FLH10" s="65"/>
      <c r="FLI10" s="65"/>
      <c r="FLJ10" s="65"/>
      <c r="FLK10" s="65"/>
      <c r="FLL10" s="65"/>
      <c r="FLM10" s="65"/>
      <c r="FLN10" s="65"/>
      <c r="FLO10" s="65"/>
      <c r="FLP10" s="65"/>
      <c r="FLQ10" s="65"/>
      <c r="FLR10" s="65"/>
      <c r="FLS10" s="65"/>
      <c r="FLT10" s="65"/>
      <c r="FLU10" s="65"/>
      <c r="FLV10" s="65"/>
      <c r="FLW10" s="65"/>
      <c r="FLX10" s="65"/>
      <c r="FLY10" s="65"/>
      <c r="FLZ10" s="65"/>
      <c r="FMA10" s="65"/>
      <c r="FMB10" s="65"/>
      <c r="FMC10" s="65"/>
      <c r="FMD10" s="65"/>
      <c r="FME10" s="65"/>
      <c r="FMF10" s="65"/>
      <c r="FMG10" s="65"/>
      <c r="FMH10" s="65"/>
      <c r="FMI10" s="65"/>
      <c r="FMJ10" s="65"/>
      <c r="FMK10" s="65"/>
      <c r="FML10" s="65"/>
      <c r="FMM10" s="65"/>
      <c r="FMN10" s="65"/>
      <c r="FMO10" s="65"/>
      <c r="FMP10" s="65"/>
      <c r="FMQ10" s="65"/>
      <c r="FMR10" s="65"/>
      <c r="FMS10" s="65"/>
      <c r="FMT10" s="65"/>
      <c r="FMU10" s="65"/>
      <c r="FMV10" s="65"/>
      <c r="FMW10" s="65"/>
      <c r="FMX10" s="65"/>
      <c r="FMY10" s="65"/>
      <c r="FMZ10" s="65"/>
      <c r="FNA10" s="65"/>
      <c r="FNB10" s="65"/>
      <c r="FNC10" s="65"/>
      <c r="FND10" s="65"/>
      <c r="FNE10" s="65"/>
      <c r="FNF10" s="65"/>
      <c r="FNG10" s="65"/>
      <c r="FNH10" s="65"/>
      <c r="FNI10" s="65"/>
      <c r="FNJ10" s="65"/>
      <c r="FNK10" s="65"/>
      <c r="FNL10" s="65"/>
      <c r="FNM10" s="65"/>
      <c r="FNN10" s="65"/>
      <c r="FNO10" s="65"/>
      <c r="FNP10" s="65"/>
      <c r="FNQ10" s="65"/>
      <c r="FNR10" s="65"/>
      <c r="FNS10" s="65"/>
      <c r="FNT10" s="65"/>
      <c r="FNU10" s="65"/>
      <c r="FNV10" s="65"/>
      <c r="FNW10" s="65"/>
      <c r="FNX10" s="65"/>
      <c r="FNY10" s="65"/>
      <c r="FNZ10" s="65"/>
      <c r="FOA10" s="65"/>
      <c r="FOB10" s="65"/>
      <c r="FOC10" s="65"/>
      <c r="FOD10" s="65"/>
      <c r="FOE10" s="65"/>
      <c r="FOF10" s="65"/>
      <c r="FOG10" s="65"/>
      <c r="FOH10" s="65"/>
      <c r="FOI10" s="65"/>
      <c r="FOJ10" s="65"/>
      <c r="FOK10" s="65"/>
      <c r="FOL10" s="65"/>
      <c r="FOM10" s="65"/>
      <c r="FON10" s="65"/>
      <c r="FOO10" s="65"/>
      <c r="FOP10" s="65"/>
      <c r="FOQ10" s="65"/>
      <c r="FOR10" s="65"/>
      <c r="FOS10" s="65"/>
      <c r="FOT10" s="65"/>
      <c r="FOU10" s="65"/>
      <c r="FOV10" s="65"/>
      <c r="FOW10" s="65"/>
      <c r="FOX10" s="65"/>
      <c r="FOY10" s="65"/>
      <c r="FOZ10" s="65"/>
      <c r="FPA10" s="65"/>
      <c r="FPB10" s="65"/>
      <c r="FPC10" s="65"/>
      <c r="FPD10" s="65"/>
      <c r="FPE10" s="65"/>
      <c r="FPF10" s="65"/>
      <c r="FPG10" s="65"/>
      <c r="FPH10" s="65"/>
      <c r="FPI10" s="65"/>
      <c r="FPJ10" s="65"/>
      <c r="FPK10" s="65"/>
      <c r="FPL10" s="65"/>
      <c r="FPM10" s="65"/>
      <c r="FPN10" s="65"/>
      <c r="FPO10" s="65"/>
      <c r="FPP10" s="65"/>
      <c r="FPQ10" s="65"/>
      <c r="FPR10" s="65"/>
      <c r="FPS10" s="65"/>
      <c r="FPT10" s="65"/>
      <c r="FPU10" s="65"/>
      <c r="FPV10" s="65"/>
      <c r="FPW10" s="65"/>
      <c r="FPX10" s="65"/>
      <c r="FPY10" s="65"/>
      <c r="FPZ10" s="65"/>
      <c r="FQA10" s="65"/>
      <c r="FQB10" s="65"/>
      <c r="FQC10" s="65"/>
      <c r="FQD10" s="65"/>
      <c r="FQE10" s="65"/>
      <c r="FQF10" s="65"/>
      <c r="FQG10" s="65"/>
      <c r="FQH10" s="65"/>
      <c r="FQI10" s="65"/>
      <c r="FQJ10" s="65"/>
      <c r="FQK10" s="65"/>
      <c r="FQL10" s="65"/>
      <c r="FQM10" s="65"/>
      <c r="FQN10" s="65"/>
      <c r="FQO10" s="65"/>
      <c r="FQP10" s="65"/>
      <c r="FQQ10" s="65"/>
      <c r="FQR10" s="65"/>
      <c r="FQS10" s="65"/>
      <c r="FQT10" s="65"/>
      <c r="FQU10" s="65"/>
      <c r="FQV10" s="65"/>
      <c r="FQW10" s="65"/>
      <c r="FQX10" s="65"/>
      <c r="FQY10" s="65"/>
      <c r="FQZ10" s="65"/>
      <c r="FRA10" s="65"/>
      <c r="FRB10" s="65"/>
      <c r="FRC10" s="65"/>
      <c r="FRD10" s="65"/>
      <c r="FRE10" s="65"/>
      <c r="FRF10" s="65"/>
      <c r="FRG10" s="65"/>
      <c r="FRH10" s="65"/>
      <c r="FRI10" s="65"/>
      <c r="FRJ10" s="65"/>
      <c r="FRK10" s="65"/>
      <c r="FRL10" s="65"/>
      <c r="FRM10" s="65"/>
      <c r="FRN10" s="65"/>
      <c r="FRO10" s="65"/>
      <c r="FRP10" s="65"/>
      <c r="FRQ10" s="65"/>
      <c r="FRR10" s="65"/>
      <c r="FRS10" s="65"/>
      <c r="FRT10" s="65"/>
      <c r="FRU10" s="65"/>
      <c r="FRV10" s="65"/>
      <c r="FRW10" s="65"/>
      <c r="FRX10" s="65"/>
      <c r="FRY10" s="65"/>
      <c r="FRZ10" s="65"/>
      <c r="FSA10" s="65"/>
      <c r="FSB10" s="65"/>
      <c r="FSC10" s="65"/>
      <c r="FSD10" s="65"/>
      <c r="FSE10" s="65"/>
      <c r="FSF10" s="65"/>
      <c r="FSG10" s="65"/>
      <c r="FSH10" s="65"/>
      <c r="FSI10" s="65"/>
      <c r="FSJ10" s="65"/>
      <c r="FSK10" s="65"/>
      <c r="FSL10" s="65"/>
      <c r="FSM10" s="65"/>
      <c r="FSN10" s="65"/>
      <c r="FSO10" s="65"/>
      <c r="FSP10" s="65"/>
      <c r="FSQ10" s="65"/>
      <c r="FSR10" s="65"/>
      <c r="FSS10" s="65"/>
      <c r="FST10" s="65"/>
      <c r="FSU10" s="65"/>
      <c r="FSV10" s="65"/>
      <c r="FSW10" s="65"/>
      <c r="FSX10" s="65"/>
      <c r="FSY10" s="65"/>
      <c r="FSZ10" s="65"/>
      <c r="FTA10" s="65"/>
      <c r="FTB10" s="65"/>
      <c r="FTC10" s="65"/>
      <c r="FTD10" s="65"/>
      <c r="FTE10" s="65"/>
      <c r="FTF10" s="65"/>
      <c r="FTG10" s="65"/>
      <c r="FTH10" s="65"/>
      <c r="FTI10" s="65"/>
      <c r="FTJ10" s="65"/>
      <c r="FTK10" s="65"/>
      <c r="FTL10" s="65"/>
      <c r="FTM10" s="65"/>
      <c r="FTN10" s="65"/>
      <c r="FTO10" s="65"/>
      <c r="FTP10" s="65"/>
      <c r="FTQ10" s="65"/>
      <c r="FTR10" s="65"/>
      <c r="FTS10" s="65"/>
      <c r="FTT10" s="65"/>
      <c r="FTU10" s="65"/>
      <c r="FTV10" s="65"/>
      <c r="FTW10" s="65"/>
      <c r="FTX10" s="65"/>
      <c r="FTY10" s="65"/>
      <c r="FTZ10" s="65"/>
      <c r="FUA10" s="65"/>
      <c r="FUB10" s="65"/>
      <c r="FUC10" s="65"/>
      <c r="FUD10" s="65"/>
      <c r="FUE10" s="65"/>
      <c r="FUF10" s="65"/>
      <c r="FUG10" s="65"/>
      <c r="FUH10" s="65"/>
      <c r="FUI10" s="65"/>
      <c r="FUJ10" s="65"/>
      <c r="FUK10" s="65"/>
      <c r="FUL10" s="65"/>
      <c r="FUM10" s="65"/>
      <c r="FUN10" s="65"/>
      <c r="FUO10" s="65"/>
      <c r="FUP10" s="65"/>
      <c r="FUQ10" s="65"/>
      <c r="FUR10" s="65"/>
      <c r="FUS10" s="65"/>
      <c r="FUT10" s="65"/>
      <c r="FUU10" s="65"/>
      <c r="FUV10" s="65"/>
      <c r="FUW10" s="65"/>
      <c r="FUX10" s="65"/>
      <c r="FUY10" s="65"/>
      <c r="FUZ10" s="65"/>
      <c r="FVA10" s="65"/>
      <c r="FVB10" s="65"/>
      <c r="FVC10" s="65"/>
      <c r="FVD10" s="65"/>
      <c r="FVE10" s="65"/>
      <c r="FVF10" s="65"/>
      <c r="FVG10" s="65"/>
      <c r="FVH10" s="65"/>
      <c r="FVI10" s="65"/>
      <c r="FVJ10" s="65"/>
      <c r="FVK10" s="65"/>
      <c r="FVL10" s="65"/>
      <c r="FVM10" s="65"/>
      <c r="FVN10" s="65"/>
      <c r="FVO10" s="65"/>
      <c r="FVP10" s="65"/>
      <c r="FVQ10" s="65"/>
      <c r="FVR10" s="65"/>
      <c r="FVS10" s="65"/>
      <c r="FVT10" s="65"/>
      <c r="FVU10" s="65"/>
      <c r="FVV10" s="65"/>
      <c r="FVW10" s="65"/>
      <c r="FVX10" s="65"/>
      <c r="FVY10" s="65"/>
      <c r="FVZ10" s="65"/>
      <c r="FWA10" s="65"/>
      <c r="FWB10" s="65"/>
      <c r="FWC10" s="65"/>
      <c r="FWD10" s="65"/>
      <c r="FWE10" s="65"/>
      <c r="FWF10" s="65"/>
      <c r="FWG10" s="65"/>
      <c r="FWH10" s="65"/>
      <c r="FWI10" s="65"/>
      <c r="FWJ10" s="65"/>
      <c r="FWK10" s="65"/>
      <c r="FWL10" s="65"/>
      <c r="FWM10" s="65"/>
      <c r="FWN10" s="65"/>
      <c r="FWO10" s="65"/>
      <c r="FWP10" s="65"/>
      <c r="FWQ10" s="65"/>
      <c r="FWR10" s="65"/>
      <c r="FWS10" s="65"/>
      <c r="FWT10" s="65"/>
      <c r="FWU10" s="65"/>
      <c r="FWV10" s="65"/>
      <c r="FWW10" s="65"/>
      <c r="FWX10" s="65"/>
      <c r="FWY10" s="65"/>
      <c r="FWZ10" s="65"/>
      <c r="FXA10" s="65"/>
      <c r="FXB10" s="65"/>
      <c r="FXC10" s="65"/>
      <c r="FXD10" s="65"/>
      <c r="FXE10" s="65"/>
      <c r="FXF10" s="65"/>
      <c r="FXG10" s="65"/>
      <c r="FXH10" s="65"/>
      <c r="FXI10" s="65"/>
      <c r="FXJ10" s="65"/>
      <c r="FXK10" s="65"/>
      <c r="FXL10" s="65"/>
      <c r="FXM10" s="65"/>
      <c r="FXN10" s="65"/>
      <c r="FXO10" s="65"/>
      <c r="FXP10" s="65"/>
      <c r="FXQ10" s="65"/>
      <c r="FXR10" s="65"/>
      <c r="FXS10" s="65"/>
      <c r="FXT10" s="65"/>
      <c r="FXU10" s="65"/>
      <c r="FXV10" s="65"/>
      <c r="FXW10" s="65"/>
      <c r="FXX10" s="65"/>
      <c r="FXY10" s="65"/>
      <c r="FXZ10" s="65"/>
      <c r="FYA10" s="65"/>
      <c r="FYB10" s="65"/>
      <c r="FYC10" s="65"/>
      <c r="FYD10" s="65"/>
      <c r="FYE10" s="65"/>
      <c r="FYF10" s="65"/>
      <c r="FYG10" s="65"/>
      <c r="FYH10" s="65"/>
      <c r="FYI10" s="65"/>
      <c r="FYJ10" s="65"/>
      <c r="FYK10" s="65"/>
      <c r="FYL10" s="65"/>
      <c r="FYM10" s="65"/>
      <c r="FYN10" s="65"/>
      <c r="FYO10" s="65"/>
      <c r="FYP10" s="65"/>
      <c r="FYQ10" s="65"/>
      <c r="FYR10" s="65"/>
      <c r="FYS10" s="65"/>
      <c r="FYT10" s="65"/>
      <c r="FYU10" s="65"/>
      <c r="FYV10" s="65"/>
      <c r="FYW10" s="65"/>
      <c r="FYX10" s="65"/>
      <c r="FYY10" s="65"/>
      <c r="FYZ10" s="65"/>
      <c r="FZA10" s="65"/>
      <c r="FZB10" s="65"/>
      <c r="FZC10" s="65"/>
      <c r="FZD10" s="65"/>
      <c r="FZE10" s="65"/>
      <c r="FZF10" s="65"/>
      <c r="FZG10" s="65"/>
      <c r="FZH10" s="65"/>
      <c r="FZI10" s="65"/>
      <c r="FZJ10" s="65"/>
      <c r="FZK10" s="65"/>
      <c r="FZL10" s="65"/>
      <c r="FZM10" s="65"/>
      <c r="FZN10" s="65"/>
      <c r="FZO10" s="65"/>
      <c r="FZP10" s="65"/>
      <c r="FZQ10" s="65"/>
      <c r="FZR10" s="65"/>
      <c r="FZS10" s="65"/>
      <c r="FZT10" s="65"/>
      <c r="FZU10" s="65"/>
      <c r="FZV10" s="65"/>
      <c r="FZW10" s="65"/>
      <c r="FZX10" s="65"/>
      <c r="FZY10" s="65"/>
      <c r="FZZ10" s="65"/>
      <c r="GAA10" s="65"/>
      <c r="GAB10" s="65"/>
      <c r="GAC10" s="65"/>
      <c r="GAD10" s="65"/>
      <c r="GAE10" s="65"/>
      <c r="GAF10" s="65"/>
      <c r="GAG10" s="65"/>
      <c r="GAH10" s="65"/>
      <c r="GAI10" s="65"/>
      <c r="GAJ10" s="65"/>
      <c r="GAK10" s="65"/>
      <c r="GAL10" s="65"/>
      <c r="GAM10" s="65"/>
      <c r="GAN10" s="65"/>
      <c r="GAO10" s="65"/>
      <c r="GAP10" s="65"/>
      <c r="GAQ10" s="65"/>
      <c r="GAR10" s="65"/>
      <c r="GAS10" s="65"/>
      <c r="GAT10" s="65"/>
      <c r="GAU10" s="65"/>
      <c r="GAV10" s="65"/>
      <c r="GAW10" s="65"/>
      <c r="GAX10" s="65"/>
      <c r="GAY10" s="65"/>
      <c r="GAZ10" s="65"/>
      <c r="GBA10" s="65"/>
      <c r="GBB10" s="65"/>
      <c r="GBC10" s="65"/>
      <c r="GBD10" s="65"/>
      <c r="GBE10" s="65"/>
      <c r="GBF10" s="65"/>
      <c r="GBG10" s="65"/>
      <c r="GBH10" s="65"/>
      <c r="GBI10" s="65"/>
      <c r="GBJ10" s="65"/>
      <c r="GBK10" s="65"/>
      <c r="GBL10" s="65"/>
      <c r="GBM10" s="65"/>
      <c r="GBN10" s="65"/>
      <c r="GBO10" s="65"/>
      <c r="GBP10" s="65"/>
      <c r="GBQ10" s="65"/>
      <c r="GBR10" s="65"/>
      <c r="GBS10" s="65"/>
      <c r="GBT10" s="65"/>
      <c r="GBU10" s="65"/>
      <c r="GBV10" s="65"/>
      <c r="GBW10" s="65"/>
      <c r="GBX10" s="65"/>
      <c r="GBY10" s="65"/>
      <c r="GBZ10" s="65"/>
      <c r="GCA10" s="65"/>
      <c r="GCB10" s="65"/>
      <c r="GCC10" s="65"/>
      <c r="GCD10" s="65"/>
      <c r="GCE10" s="65"/>
      <c r="GCF10" s="65"/>
      <c r="GCG10" s="65"/>
      <c r="GCH10" s="65"/>
      <c r="GCI10" s="65"/>
      <c r="GCJ10" s="65"/>
      <c r="GCK10" s="65"/>
      <c r="GCL10" s="65"/>
      <c r="GCM10" s="65"/>
      <c r="GCN10" s="65"/>
      <c r="GCO10" s="65"/>
      <c r="GCP10" s="65"/>
      <c r="GCQ10" s="65"/>
      <c r="GCR10" s="65"/>
      <c r="GCS10" s="65"/>
      <c r="GCT10" s="65"/>
      <c r="GCU10" s="65"/>
      <c r="GCV10" s="65"/>
      <c r="GCW10" s="65"/>
      <c r="GCX10" s="65"/>
      <c r="GCY10" s="65"/>
      <c r="GCZ10" s="65"/>
      <c r="GDA10" s="65"/>
      <c r="GDB10" s="65"/>
      <c r="GDC10" s="65"/>
      <c r="GDD10" s="65"/>
      <c r="GDE10" s="65"/>
      <c r="GDF10" s="65"/>
      <c r="GDG10" s="65"/>
      <c r="GDH10" s="65"/>
      <c r="GDI10" s="65"/>
      <c r="GDJ10" s="65"/>
      <c r="GDK10" s="65"/>
      <c r="GDL10" s="65"/>
      <c r="GDM10" s="65"/>
      <c r="GDN10" s="65"/>
      <c r="GDO10" s="65"/>
      <c r="GDP10" s="65"/>
      <c r="GDQ10" s="65"/>
      <c r="GDR10" s="65"/>
      <c r="GDS10" s="65"/>
      <c r="GDT10" s="65"/>
      <c r="GDU10" s="65"/>
      <c r="GDV10" s="65"/>
      <c r="GDW10" s="65"/>
      <c r="GDX10" s="65"/>
      <c r="GDY10" s="65"/>
      <c r="GDZ10" s="65"/>
      <c r="GEA10" s="65"/>
      <c r="GEB10" s="65"/>
      <c r="GEC10" s="65"/>
      <c r="GED10" s="65"/>
      <c r="GEE10" s="65"/>
      <c r="GEF10" s="65"/>
      <c r="GEG10" s="65"/>
      <c r="GEH10" s="65"/>
      <c r="GEI10" s="65"/>
      <c r="GEJ10" s="65"/>
      <c r="GEK10" s="65"/>
      <c r="GEL10" s="65"/>
      <c r="GEM10" s="65"/>
      <c r="GEN10" s="65"/>
      <c r="GEO10" s="65"/>
      <c r="GEP10" s="65"/>
      <c r="GEQ10" s="65"/>
      <c r="GER10" s="65"/>
      <c r="GES10" s="65"/>
      <c r="GET10" s="65"/>
      <c r="GEU10" s="65"/>
      <c r="GEV10" s="65"/>
      <c r="GEW10" s="65"/>
      <c r="GEX10" s="65"/>
      <c r="GEY10" s="65"/>
      <c r="GEZ10" s="65"/>
      <c r="GFA10" s="65"/>
      <c r="GFB10" s="65"/>
      <c r="GFC10" s="65"/>
      <c r="GFD10" s="65"/>
      <c r="GFE10" s="65"/>
      <c r="GFF10" s="65"/>
      <c r="GFG10" s="65"/>
      <c r="GFH10" s="65"/>
      <c r="GFI10" s="65"/>
      <c r="GFJ10" s="65"/>
      <c r="GFK10" s="65"/>
      <c r="GFL10" s="65"/>
      <c r="GFM10" s="65"/>
      <c r="GFN10" s="65"/>
      <c r="GFO10" s="65"/>
      <c r="GFP10" s="65"/>
      <c r="GFQ10" s="65"/>
      <c r="GFR10" s="65"/>
      <c r="GFS10" s="65"/>
      <c r="GFT10" s="65"/>
      <c r="GFU10" s="65"/>
      <c r="GFV10" s="65"/>
      <c r="GFW10" s="65"/>
      <c r="GFX10" s="65"/>
      <c r="GFY10" s="65"/>
      <c r="GFZ10" s="65"/>
      <c r="GGA10" s="65"/>
      <c r="GGB10" s="65"/>
      <c r="GGC10" s="65"/>
      <c r="GGD10" s="65"/>
      <c r="GGE10" s="65"/>
      <c r="GGF10" s="65"/>
      <c r="GGG10" s="65"/>
      <c r="GGH10" s="65"/>
      <c r="GGI10" s="65"/>
      <c r="GGJ10" s="65"/>
      <c r="GGK10" s="65"/>
      <c r="GGL10" s="65"/>
      <c r="GGM10" s="65"/>
      <c r="GGN10" s="65"/>
      <c r="GGO10" s="65"/>
      <c r="GGP10" s="65"/>
      <c r="GGQ10" s="65"/>
      <c r="GGR10" s="65"/>
      <c r="GGS10" s="65"/>
      <c r="GGT10" s="65"/>
      <c r="GGU10" s="65"/>
      <c r="GGV10" s="65"/>
      <c r="GGW10" s="65"/>
      <c r="GGX10" s="65"/>
      <c r="GGY10" s="65"/>
      <c r="GGZ10" s="65"/>
      <c r="GHA10" s="65"/>
      <c r="GHB10" s="65"/>
      <c r="GHC10" s="65"/>
      <c r="GHD10" s="65"/>
      <c r="GHE10" s="65"/>
      <c r="GHF10" s="65"/>
      <c r="GHG10" s="65"/>
      <c r="GHH10" s="65"/>
      <c r="GHI10" s="65"/>
      <c r="GHJ10" s="65"/>
      <c r="GHK10" s="65"/>
      <c r="GHL10" s="65"/>
      <c r="GHM10" s="65"/>
      <c r="GHN10" s="65"/>
      <c r="GHO10" s="65"/>
      <c r="GHP10" s="65"/>
      <c r="GHQ10" s="65"/>
      <c r="GHR10" s="65"/>
      <c r="GHS10" s="65"/>
      <c r="GHT10" s="65"/>
      <c r="GHU10" s="65"/>
      <c r="GHV10" s="65"/>
      <c r="GHW10" s="65"/>
      <c r="GHX10" s="65"/>
      <c r="GHY10" s="65"/>
      <c r="GHZ10" s="65"/>
      <c r="GIA10" s="65"/>
      <c r="GIB10" s="65"/>
      <c r="GIC10" s="65"/>
      <c r="GID10" s="65"/>
      <c r="GIE10" s="65"/>
      <c r="GIF10" s="65"/>
      <c r="GIG10" s="65"/>
      <c r="GIH10" s="65"/>
      <c r="GII10" s="65"/>
      <c r="GIJ10" s="65"/>
      <c r="GIK10" s="65"/>
      <c r="GIL10" s="65"/>
      <c r="GIM10" s="65"/>
      <c r="GIN10" s="65"/>
      <c r="GIO10" s="65"/>
      <c r="GIP10" s="65"/>
      <c r="GIQ10" s="65"/>
      <c r="GIR10" s="65"/>
      <c r="GIS10" s="65"/>
      <c r="GIT10" s="65"/>
      <c r="GIU10" s="65"/>
      <c r="GIV10" s="65"/>
      <c r="GIW10" s="65"/>
      <c r="GIX10" s="65"/>
      <c r="GIY10" s="65"/>
      <c r="GIZ10" s="65"/>
      <c r="GJA10" s="65"/>
      <c r="GJB10" s="65"/>
      <c r="GJC10" s="65"/>
      <c r="GJD10" s="65"/>
      <c r="GJE10" s="65"/>
      <c r="GJF10" s="65"/>
      <c r="GJG10" s="65"/>
      <c r="GJH10" s="65"/>
      <c r="GJI10" s="65"/>
      <c r="GJJ10" s="65"/>
      <c r="GJK10" s="65"/>
      <c r="GJL10" s="65"/>
      <c r="GJM10" s="65"/>
      <c r="GJN10" s="65"/>
      <c r="GJO10" s="65"/>
      <c r="GJP10" s="65"/>
      <c r="GJQ10" s="65"/>
      <c r="GJR10" s="65"/>
      <c r="GJS10" s="65"/>
      <c r="GJT10" s="65"/>
      <c r="GJU10" s="65"/>
      <c r="GJV10" s="65"/>
      <c r="GJW10" s="65"/>
      <c r="GJX10" s="65"/>
      <c r="GJY10" s="65"/>
      <c r="GJZ10" s="65"/>
      <c r="GKA10" s="65"/>
      <c r="GKB10" s="65"/>
      <c r="GKC10" s="65"/>
      <c r="GKD10" s="65"/>
      <c r="GKE10" s="65"/>
      <c r="GKF10" s="65"/>
      <c r="GKG10" s="65"/>
      <c r="GKH10" s="65"/>
      <c r="GKI10" s="65"/>
      <c r="GKJ10" s="65"/>
      <c r="GKK10" s="65"/>
      <c r="GKL10" s="65"/>
      <c r="GKM10" s="65"/>
      <c r="GKN10" s="65"/>
      <c r="GKO10" s="65"/>
      <c r="GKP10" s="65"/>
      <c r="GKQ10" s="65"/>
      <c r="GKR10" s="65"/>
      <c r="GKS10" s="65"/>
      <c r="GKT10" s="65"/>
      <c r="GKU10" s="65"/>
      <c r="GKV10" s="65"/>
      <c r="GKW10" s="65"/>
      <c r="GKX10" s="65"/>
      <c r="GKY10" s="65"/>
      <c r="GKZ10" s="65"/>
      <c r="GLA10" s="65"/>
      <c r="GLB10" s="65"/>
      <c r="GLC10" s="65"/>
      <c r="GLD10" s="65"/>
      <c r="GLE10" s="65"/>
      <c r="GLF10" s="65"/>
      <c r="GLG10" s="65"/>
      <c r="GLH10" s="65"/>
      <c r="GLI10" s="65"/>
      <c r="GLJ10" s="65"/>
      <c r="GLK10" s="65"/>
      <c r="GLL10" s="65"/>
      <c r="GLM10" s="65"/>
      <c r="GLN10" s="65"/>
      <c r="GLO10" s="65"/>
      <c r="GLP10" s="65"/>
      <c r="GLQ10" s="65"/>
      <c r="GLR10" s="65"/>
      <c r="GLS10" s="65"/>
      <c r="GLT10" s="65"/>
      <c r="GLU10" s="65"/>
      <c r="GLV10" s="65"/>
      <c r="GLW10" s="65"/>
      <c r="GLX10" s="65"/>
      <c r="GLY10" s="65"/>
      <c r="GLZ10" s="65"/>
      <c r="GMA10" s="65"/>
      <c r="GMB10" s="65"/>
      <c r="GMC10" s="65"/>
      <c r="GMD10" s="65"/>
      <c r="GME10" s="65"/>
      <c r="GMF10" s="65"/>
      <c r="GMG10" s="65"/>
      <c r="GMH10" s="65"/>
      <c r="GMI10" s="65"/>
      <c r="GMJ10" s="65"/>
      <c r="GMK10" s="65"/>
      <c r="GML10" s="65"/>
      <c r="GMM10" s="65"/>
      <c r="GMN10" s="65"/>
      <c r="GMO10" s="65"/>
      <c r="GMP10" s="65"/>
      <c r="GMQ10" s="65"/>
      <c r="GMR10" s="65"/>
      <c r="GMS10" s="65"/>
      <c r="GMT10" s="65"/>
      <c r="GMU10" s="65"/>
      <c r="GMV10" s="65"/>
      <c r="GMW10" s="65"/>
      <c r="GMX10" s="65"/>
      <c r="GMY10" s="65"/>
      <c r="GMZ10" s="65"/>
      <c r="GNA10" s="65"/>
      <c r="GNB10" s="65"/>
      <c r="GNC10" s="65"/>
      <c r="GND10" s="65"/>
      <c r="GNE10" s="65"/>
      <c r="GNF10" s="65"/>
      <c r="GNG10" s="65"/>
      <c r="GNH10" s="65"/>
      <c r="GNI10" s="65"/>
      <c r="GNJ10" s="65"/>
      <c r="GNK10" s="65"/>
      <c r="GNL10" s="65"/>
      <c r="GNM10" s="65"/>
      <c r="GNN10" s="65"/>
      <c r="GNO10" s="65"/>
      <c r="GNP10" s="65"/>
      <c r="GNQ10" s="65"/>
      <c r="GNR10" s="65"/>
      <c r="GNS10" s="65"/>
      <c r="GNT10" s="65"/>
      <c r="GNU10" s="65"/>
      <c r="GNV10" s="65"/>
      <c r="GNW10" s="65"/>
      <c r="GNX10" s="65"/>
      <c r="GNY10" s="65"/>
      <c r="GNZ10" s="65"/>
      <c r="GOA10" s="65"/>
      <c r="GOB10" s="65"/>
      <c r="GOC10" s="65"/>
      <c r="GOD10" s="65"/>
      <c r="GOE10" s="65"/>
      <c r="GOF10" s="65"/>
      <c r="GOG10" s="65"/>
      <c r="GOH10" s="65"/>
      <c r="GOI10" s="65"/>
      <c r="GOJ10" s="65"/>
      <c r="GOK10" s="65"/>
      <c r="GOL10" s="65"/>
      <c r="GOM10" s="65"/>
      <c r="GON10" s="65"/>
      <c r="GOO10" s="65"/>
      <c r="GOP10" s="65"/>
      <c r="GOQ10" s="65"/>
      <c r="GOR10" s="65"/>
      <c r="GOS10" s="65"/>
      <c r="GOT10" s="65"/>
      <c r="GOU10" s="65"/>
      <c r="GOV10" s="65"/>
      <c r="GOW10" s="65"/>
      <c r="GOX10" s="65"/>
      <c r="GOY10" s="65"/>
      <c r="GOZ10" s="65"/>
      <c r="GPA10" s="65"/>
      <c r="GPB10" s="65"/>
      <c r="GPC10" s="65"/>
      <c r="GPD10" s="65"/>
      <c r="GPE10" s="65"/>
      <c r="GPF10" s="65"/>
      <c r="GPG10" s="65"/>
      <c r="GPH10" s="65"/>
      <c r="GPI10" s="65"/>
      <c r="GPJ10" s="65"/>
      <c r="GPK10" s="65"/>
      <c r="GPL10" s="65"/>
      <c r="GPM10" s="65"/>
      <c r="GPN10" s="65"/>
      <c r="GPO10" s="65"/>
      <c r="GPP10" s="65"/>
      <c r="GPQ10" s="65"/>
      <c r="GPR10" s="65"/>
      <c r="GPS10" s="65"/>
      <c r="GPT10" s="65"/>
      <c r="GPU10" s="65"/>
      <c r="GPV10" s="65"/>
      <c r="GPW10" s="65"/>
      <c r="GPX10" s="65"/>
      <c r="GPY10" s="65"/>
      <c r="GPZ10" s="65"/>
      <c r="GQA10" s="65"/>
      <c r="GQB10" s="65"/>
      <c r="GQC10" s="65"/>
      <c r="GQD10" s="65"/>
      <c r="GQE10" s="65"/>
      <c r="GQF10" s="65"/>
      <c r="GQG10" s="65"/>
      <c r="GQH10" s="65"/>
      <c r="GQI10" s="65"/>
      <c r="GQJ10" s="65"/>
      <c r="GQK10" s="65"/>
      <c r="GQL10" s="65"/>
      <c r="GQM10" s="65"/>
      <c r="GQN10" s="65"/>
      <c r="GQO10" s="65"/>
      <c r="GQP10" s="65"/>
      <c r="GQQ10" s="65"/>
      <c r="GQR10" s="65"/>
      <c r="GQS10" s="65"/>
      <c r="GQT10" s="65"/>
      <c r="GQU10" s="65"/>
      <c r="GQV10" s="65"/>
      <c r="GQW10" s="65"/>
      <c r="GQX10" s="65"/>
      <c r="GQY10" s="65"/>
      <c r="GQZ10" s="65"/>
      <c r="GRA10" s="65"/>
      <c r="GRB10" s="65"/>
      <c r="GRC10" s="65"/>
      <c r="GRD10" s="65"/>
      <c r="GRE10" s="65"/>
      <c r="GRF10" s="65"/>
      <c r="GRG10" s="65"/>
      <c r="GRH10" s="65"/>
      <c r="GRI10" s="65"/>
      <c r="GRJ10" s="65"/>
      <c r="GRK10" s="65"/>
      <c r="GRL10" s="65"/>
      <c r="GRM10" s="65"/>
      <c r="GRN10" s="65"/>
      <c r="GRO10" s="65"/>
      <c r="GRP10" s="65"/>
      <c r="GRQ10" s="65"/>
      <c r="GRR10" s="65"/>
      <c r="GRS10" s="65"/>
      <c r="GRT10" s="65"/>
      <c r="GRU10" s="65"/>
      <c r="GRV10" s="65"/>
      <c r="GRW10" s="65"/>
      <c r="GRX10" s="65"/>
      <c r="GRY10" s="65"/>
      <c r="GRZ10" s="65"/>
      <c r="GSA10" s="65"/>
      <c r="GSB10" s="65"/>
      <c r="GSC10" s="65"/>
      <c r="GSD10" s="65"/>
      <c r="GSE10" s="65"/>
      <c r="GSF10" s="65"/>
      <c r="GSG10" s="65"/>
      <c r="GSH10" s="65"/>
      <c r="GSI10" s="65"/>
      <c r="GSJ10" s="65"/>
      <c r="GSK10" s="65"/>
      <c r="GSL10" s="65"/>
      <c r="GSM10" s="65"/>
      <c r="GSN10" s="65"/>
      <c r="GSO10" s="65"/>
      <c r="GSP10" s="65"/>
      <c r="GSQ10" s="65"/>
      <c r="GSR10" s="65"/>
      <c r="GSS10" s="65"/>
      <c r="GST10" s="65"/>
      <c r="GSU10" s="65"/>
      <c r="GSV10" s="65"/>
      <c r="GSW10" s="65"/>
      <c r="GSX10" s="65"/>
      <c r="GSY10" s="65"/>
      <c r="GSZ10" s="65"/>
      <c r="GTA10" s="65"/>
      <c r="GTB10" s="65"/>
      <c r="GTC10" s="65"/>
      <c r="GTD10" s="65"/>
      <c r="GTE10" s="65"/>
      <c r="GTF10" s="65"/>
      <c r="GTG10" s="65"/>
      <c r="GTH10" s="65"/>
      <c r="GTI10" s="65"/>
      <c r="GTJ10" s="65"/>
      <c r="GTK10" s="65"/>
      <c r="GTL10" s="65"/>
      <c r="GTM10" s="65"/>
      <c r="GTN10" s="65"/>
      <c r="GTO10" s="65"/>
      <c r="GTP10" s="65"/>
      <c r="GTQ10" s="65"/>
      <c r="GTR10" s="65"/>
      <c r="GTS10" s="65"/>
      <c r="GTT10" s="65"/>
      <c r="GTU10" s="65"/>
      <c r="GTV10" s="65"/>
      <c r="GTW10" s="65"/>
      <c r="GTX10" s="65"/>
      <c r="GTY10" s="65"/>
      <c r="GTZ10" s="65"/>
      <c r="GUA10" s="65"/>
      <c r="GUB10" s="65"/>
      <c r="GUC10" s="65"/>
      <c r="GUD10" s="65"/>
      <c r="GUE10" s="65"/>
      <c r="GUF10" s="65"/>
      <c r="GUG10" s="65"/>
      <c r="GUH10" s="65"/>
      <c r="GUI10" s="65"/>
      <c r="GUJ10" s="65"/>
      <c r="GUK10" s="65"/>
      <c r="GUL10" s="65"/>
      <c r="GUM10" s="65"/>
      <c r="GUN10" s="65"/>
      <c r="GUO10" s="65"/>
      <c r="GUP10" s="65"/>
      <c r="GUQ10" s="65"/>
      <c r="GUR10" s="65"/>
      <c r="GUS10" s="65"/>
      <c r="GUT10" s="65"/>
      <c r="GUU10" s="65"/>
      <c r="GUV10" s="65"/>
      <c r="GUW10" s="65"/>
      <c r="GUX10" s="65"/>
      <c r="GUY10" s="65"/>
      <c r="GUZ10" s="65"/>
      <c r="GVA10" s="65"/>
      <c r="GVB10" s="65"/>
      <c r="GVC10" s="65"/>
      <c r="GVD10" s="65"/>
      <c r="GVE10" s="65"/>
      <c r="GVF10" s="65"/>
      <c r="GVG10" s="65"/>
      <c r="GVH10" s="65"/>
      <c r="GVI10" s="65"/>
      <c r="GVJ10" s="65"/>
      <c r="GVK10" s="65"/>
      <c r="GVL10" s="65"/>
      <c r="GVM10" s="65"/>
      <c r="GVN10" s="65"/>
      <c r="GVO10" s="65"/>
      <c r="GVP10" s="65"/>
      <c r="GVQ10" s="65"/>
      <c r="GVR10" s="65"/>
      <c r="GVS10" s="65"/>
      <c r="GVT10" s="65"/>
      <c r="GVU10" s="65"/>
      <c r="GVV10" s="65"/>
      <c r="GVW10" s="65"/>
      <c r="GVX10" s="65"/>
      <c r="GVY10" s="65"/>
      <c r="GVZ10" s="65"/>
      <c r="GWA10" s="65"/>
      <c r="GWB10" s="65"/>
      <c r="GWC10" s="65"/>
      <c r="GWD10" s="65"/>
      <c r="GWE10" s="65"/>
      <c r="GWF10" s="65"/>
      <c r="GWG10" s="65"/>
      <c r="GWH10" s="65"/>
      <c r="GWI10" s="65"/>
      <c r="GWJ10" s="65"/>
      <c r="GWK10" s="65"/>
      <c r="GWL10" s="65"/>
      <c r="GWM10" s="65"/>
      <c r="GWN10" s="65"/>
      <c r="GWO10" s="65"/>
      <c r="GWP10" s="65"/>
      <c r="GWQ10" s="65"/>
      <c r="GWR10" s="65"/>
      <c r="GWS10" s="65"/>
      <c r="GWT10" s="65"/>
      <c r="GWU10" s="65"/>
      <c r="GWV10" s="65"/>
      <c r="GWW10" s="65"/>
      <c r="GWX10" s="65"/>
      <c r="GWY10" s="65"/>
      <c r="GWZ10" s="65"/>
      <c r="GXA10" s="65"/>
      <c r="GXB10" s="65"/>
      <c r="GXC10" s="65"/>
      <c r="GXD10" s="65"/>
      <c r="GXE10" s="65"/>
      <c r="GXF10" s="65"/>
      <c r="GXG10" s="65"/>
      <c r="GXH10" s="65"/>
      <c r="GXI10" s="65"/>
      <c r="GXJ10" s="65"/>
      <c r="GXK10" s="65"/>
      <c r="GXL10" s="65"/>
      <c r="GXM10" s="65"/>
      <c r="GXN10" s="65"/>
      <c r="GXO10" s="65"/>
      <c r="GXP10" s="65"/>
      <c r="GXQ10" s="65"/>
      <c r="GXR10" s="65"/>
      <c r="GXS10" s="65"/>
      <c r="GXT10" s="65"/>
      <c r="GXU10" s="65"/>
      <c r="GXV10" s="65"/>
      <c r="GXW10" s="65"/>
      <c r="GXX10" s="65"/>
      <c r="GXY10" s="65"/>
      <c r="GXZ10" s="65"/>
      <c r="GYA10" s="65"/>
      <c r="GYB10" s="65"/>
      <c r="GYC10" s="65"/>
      <c r="GYD10" s="65"/>
      <c r="GYE10" s="65"/>
      <c r="GYF10" s="65"/>
      <c r="GYG10" s="65"/>
      <c r="GYH10" s="65"/>
      <c r="GYI10" s="65"/>
      <c r="GYJ10" s="65"/>
      <c r="GYK10" s="65"/>
      <c r="GYL10" s="65"/>
      <c r="GYM10" s="65"/>
      <c r="GYN10" s="65"/>
      <c r="GYO10" s="65"/>
      <c r="GYP10" s="65"/>
      <c r="GYQ10" s="65"/>
      <c r="GYR10" s="65"/>
      <c r="GYS10" s="65"/>
      <c r="GYT10" s="65"/>
      <c r="GYU10" s="65"/>
      <c r="GYV10" s="65"/>
      <c r="GYW10" s="65"/>
      <c r="GYX10" s="65"/>
      <c r="GYY10" s="65"/>
      <c r="GYZ10" s="65"/>
      <c r="GZA10" s="65"/>
      <c r="GZB10" s="65"/>
      <c r="GZC10" s="65"/>
      <c r="GZD10" s="65"/>
      <c r="GZE10" s="65"/>
      <c r="GZF10" s="65"/>
      <c r="GZG10" s="65"/>
      <c r="GZH10" s="65"/>
      <c r="GZI10" s="65"/>
      <c r="GZJ10" s="65"/>
      <c r="GZK10" s="65"/>
      <c r="GZL10" s="65"/>
      <c r="GZM10" s="65"/>
      <c r="GZN10" s="65"/>
      <c r="GZO10" s="65"/>
      <c r="GZP10" s="65"/>
      <c r="GZQ10" s="65"/>
      <c r="GZR10" s="65"/>
      <c r="GZS10" s="65"/>
      <c r="GZT10" s="65"/>
      <c r="GZU10" s="65"/>
      <c r="GZV10" s="65"/>
      <c r="GZW10" s="65"/>
      <c r="GZX10" s="65"/>
      <c r="GZY10" s="65"/>
      <c r="GZZ10" s="65"/>
      <c r="HAA10" s="65"/>
      <c r="HAB10" s="65"/>
      <c r="HAC10" s="65"/>
      <c r="HAD10" s="65"/>
      <c r="HAE10" s="65"/>
      <c r="HAF10" s="65"/>
      <c r="HAG10" s="65"/>
      <c r="HAH10" s="65"/>
      <c r="HAI10" s="65"/>
      <c r="HAJ10" s="65"/>
      <c r="HAK10" s="65"/>
      <c r="HAL10" s="65"/>
      <c r="HAM10" s="65"/>
      <c r="HAN10" s="65"/>
      <c r="HAO10" s="65"/>
      <c r="HAP10" s="65"/>
      <c r="HAQ10" s="65"/>
      <c r="HAR10" s="65"/>
      <c r="HAS10" s="65"/>
      <c r="HAT10" s="65"/>
      <c r="HAU10" s="65"/>
      <c r="HAV10" s="65"/>
      <c r="HAW10" s="65"/>
      <c r="HAX10" s="65"/>
      <c r="HAY10" s="65"/>
      <c r="HAZ10" s="65"/>
      <c r="HBA10" s="65"/>
      <c r="HBB10" s="65"/>
      <c r="HBC10" s="65"/>
      <c r="HBD10" s="65"/>
      <c r="HBE10" s="65"/>
      <c r="HBF10" s="65"/>
      <c r="HBG10" s="65"/>
      <c r="HBH10" s="65"/>
      <c r="HBI10" s="65"/>
      <c r="HBJ10" s="65"/>
      <c r="HBK10" s="65"/>
      <c r="HBL10" s="65"/>
      <c r="HBM10" s="65"/>
      <c r="HBN10" s="65"/>
      <c r="HBO10" s="65"/>
      <c r="HBP10" s="65"/>
      <c r="HBQ10" s="65"/>
      <c r="HBR10" s="65"/>
      <c r="HBS10" s="65"/>
      <c r="HBT10" s="65"/>
      <c r="HBU10" s="65"/>
      <c r="HBV10" s="65"/>
      <c r="HBW10" s="65"/>
      <c r="HBX10" s="65"/>
      <c r="HBY10" s="65"/>
      <c r="HBZ10" s="65"/>
      <c r="HCA10" s="65"/>
      <c r="HCB10" s="65"/>
      <c r="HCC10" s="65"/>
      <c r="HCD10" s="65"/>
      <c r="HCE10" s="65"/>
      <c r="HCF10" s="65"/>
      <c r="HCG10" s="65"/>
      <c r="HCH10" s="65"/>
      <c r="HCI10" s="65"/>
      <c r="HCJ10" s="65"/>
      <c r="HCK10" s="65"/>
      <c r="HCL10" s="65"/>
      <c r="HCM10" s="65"/>
      <c r="HCN10" s="65"/>
      <c r="HCO10" s="65"/>
      <c r="HCP10" s="65"/>
      <c r="HCQ10" s="65"/>
      <c r="HCR10" s="65"/>
      <c r="HCS10" s="65"/>
      <c r="HCT10" s="65"/>
      <c r="HCU10" s="65"/>
      <c r="HCV10" s="65"/>
      <c r="HCW10" s="65"/>
      <c r="HCX10" s="65"/>
      <c r="HCY10" s="65"/>
      <c r="HCZ10" s="65"/>
      <c r="HDA10" s="65"/>
      <c r="HDB10" s="65"/>
      <c r="HDC10" s="65"/>
      <c r="HDD10" s="65"/>
      <c r="HDE10" s="65"/>
      <c r="HDF10" s="65"/>
      <c r="HDG10" s="65"/>
      <c r="HDH10" s="65"/>
      <c r="HDI10" s="65"/>
      <c r="HDJ10" s="65"/>
      <c r="HDK10" s="65"/>
      <c r="HDL10" s="65"/>
      <c r="HDM10" s="65"/>
      <c r="HDN10" s="65"/>
      <c r="HDO10" s="65"/>
      <c r="HDP10" s="65"/>
      <c r="HDQ10" s="65"/>
      <c r="HDR10" s="65"/>
      <c r="HDS10" s="65"/>
      <c r="HDT10" s="65"/>
      <c r="HDU10" s="65"/>
      <c r="HDV10" s="65"/>
      <c r="HDW10" s="65"/>
      <c r="HDX10" s="65"/>
      <c r="HDY10" s="65"/>
      <c r="HDZ10" s="65"/>
      <c r="HEA10" s="65"/>
      <c r="HEB10" s="65"/>
      <c r="HEC10" s="65"/>
      <c r="HED10" s="65"/>
      <c r="HEE10" s="65"/>
      <c r="HEF10" s="65"/>
      <c r="HEG10" s="65"/>
      <c r="HEH10" s="65"/>
      <c r="HEI10" s="65"/>
      <c r="HEJ10" s="65"/>
      <c r="HEK10" s="65"/>
      <c r="HEL10" s="65"/>
      <c r="HEM10" s="65"/>
      <c r="HEN10" s="65"/>
      <c r="HEO10" s="65"/>
      <c r="HEP10" s="65"/>
      <c r="HEQ10" s="65"/>
      <c r="HER10" s="65"/>
      <c r="HES10" s="65"/>
      <c r="HET10" s="65"/>
      <c r="HEU10" s="65"/>
      <c r="HEV10" s="65"/>
      <c r="HEW10" s="65"/>
      <c r="HEX10" s="65"/>
      <c r="HEY10" s="65"/>
      <c r="HEZ10" s="65"/>
      <c r="HFA10" s="65"/>
      <c r="HFB10" s="65"/>
      <c r="HFC10" s="65"/>
      <c r="HFD10" s="65"/>
      <c r="HFE10" s="65"/>
      <c r="HFF10" s="65"/>
      <c r="HFG10" s="65"/>
      <c r="HFH10" s="65"/>
      <c r="HFI10" s="65"/>
      <c r="HFJ10" s="65"/>
      <c r="HFK10" s="65"/>
      <c r="HFL10" s="65"/>
      <c r="HFM10" s="65"/>
      <c r="HFN10" s="65"/>
      <c r="HFO10" s="65"/>
      <c r="HFP10" s="65"/>
      <c r="HFQ10" s="65"/>
      <c r="HFR10" s="65"/>
      <c r="HFS10" s="65"/>
      <c r="HFT10" s="65"/>
      <c r="HFU10" s="65"/>
      <c r="HFV10" s="65"/>
      <c r="HFW10" s="65"/>
      <c r="HFX10" s="65"/>
      <c r="HFY10" s="65"/>
      <c r="HFZ10" s="65"/>
      <c r="HGA10" s="65"/>
      <c r="HGB10" s="65"/>
      <c r="HGC10" s="65"/>
      <c r="HGD10" s="65"/>
      <c r="HGE10" s="65"/>
      <c r="HGF10" s="65"/>
      <c r="HGG10" s="65"/>
      <c r="HGH10" s="65"/>
      <c r="HGI10" s="65"/>
      <c r="HGJ10" s="65"/>
      <c r="HGK10" s="65"/>
      <c r="HGL10" s="65"/>
      <c r="HGM10" s="65"/>
      <c r="HGN10" s="65"/>
      <c r="HGO10" s="65"/>
      <c r="HGP10" s="65"/>
      <c r="HGQ10" s="65"/>
      <c r="HGR10" s="65"/>
      <c r="HGS10" s="65"/>
      <c r="HGT10" s="65"/>
      <c r="HGU10" s="65"/>
      <c r="HGV10" s="65"/>
      <c r="HGW10" s="65"/>
      <c r="HGX10" s="65"/>
      <c r="HGY10" s="65"/>
      <c r="HGZ10" s="65"/>
      <c r="HHA10" s="65"/>
      <c r="HHB10" s="65"/>
      <c r="HHC10" s="65"/>
      <c r="HHD10" s="65"/>
      <c r="HHE10" s="65"/>
      <c r="HHF10" s="65"/>
      <c r="HHG10" s="65"/>
      <c r="HHH10" s="65"/>
      <c r="HHI10" s="65"/>
      <c r="HHJ10" s="65"/>
      <c r="HHK10" s="65"/>
      <c r="HHL10" s="65"/>
      <c r="HHM10" s="65"/>
      <c r="HHN10" s="65"/>
      <c r="HHO10" s="65"/>
      <c r="HHP10" s="65"/>
      <c r="HHQ10" s="65"/>
      <c r="HHR10" s="65"/>
      <c r="HHS10" s="65"/>
      <c r="HHT10" s="65"/>
      <c r="HHU10" s="65"/>
      <c r="HHV10" s="65"/>
      <c r="HHW10" s="65"/>
      <c r="HHX10" s="65"/>
      <c r="HHY10" s="65"/>
      <c r="HHZ10" s="65"/>
      <c r="HIA10" s="65"/>
      <c r="HIB10" s="65"/>
      <c r="HIC10" s="65"/>
      <c r="HID10" s="65"/>
      <c r="HIE10" s="65"/>
      <c r="HIF10" s="65"/>
      <c r="HIG10" s="65"/>
      <c r="HIH10" s="65"/>
      <c r="HII10" s="65"/>
      <c r="HIJ10" s="65"/>
      <c r="HIK10" s="65"/>
      <c r="HIL10" s="65"/>
      <c r="HIM10" s="65"/>
      <c r="HIN10" s="65"/>
      <c r="HIO10" s="65"/>
      <c r="HIP10" s="65"/>
      <c r="HIQ10" s="65"/>
      <c r="HIR10" s="65"/>
      <c r="HIS10" s="65"/>
      <c r="HIT10" s="65"/>
      <c r="HIU10" s="65"/>
      <c r="HIV10" s="65"/>
      <c r="HIW10" s="65"/>
      <c r="HIX10" s="65"/>
      <c r="HIY10" s="65"/>
      <c r="HIZ10" s="65"/>
      <c r="HJA10" s="65"/>
      <c r="HJB10" s="65"/>
      <c r="HJC10" s="65"/>
      <c r="HJD10" s="65"/>
      <c r="HJE10" s="65"/>
      <c r="HJF10" s="65"/>
      <c r="HJG10" s="65"/>
      <c r="HJH10" s="65"/>
      <c r="HJI10" s="65"/>
      <c r="HJJ10" s="65"/>
      <c r="HJK10" s="65"/>
      <c r="HJL10" s="65"/>
      <c r="HJM10" s="65"/>
      <c r="HJN10" s="65"/>
      <c r="HJO10" s="65"/>
      <c r="HJP10" s="65"/>
      <c r="HJQ10" s="65"/>
      <c r="HJR10" s="65"/>
      <c r="HJS10" s="65"/>
      <c r="HJT10" s="65"/>
      <c r="HJU10" s="65"/>
      <c r="HJV10" s="65"/>
      <c r="HJW10" s="65"/>
      <c r="HJX10" s="65"/>
      <c r="HJY10" s="65"/>
      <c r="HJZ10" s="65"/>
      <c r="HKA10" s="65"/>
      <c r="HKB10" s="65"/>
      <c r="HKC10" s="65"/>
      <c r="HKD10" s="65"/>
      <c r="HKE10" s="65"/>
      <c r="HKF10" s="65"/>
      <c r="HKG10" s="65"/>
      <c r="HKH10" s="65"/>
      <c r="HKI10" s="65"/>
      <c r="HKJ10" s="65"/>
      <c r="HKK10" s="65"/>
      <c r="HKL10" s="65"/>
      <c r="HKM10" s="65"/>
      <c r="HKN10" s="65"/>
      <c r="HKO10" s="65"/>
      <c r="HKP10" s="65"/>
      <c r="HKQ10" s="65"/>
      <c r="HKR10" s="65"/>
      <c r="HKS10" s="65"/>
      <c r="HKT10" s="65"/>
      <c r="HKU10" s="65"/>
      <c r="HKV10" s="65"/>
      <c r="HKW10" s="65"/>
      <c r="HKX10" s="65"/>
      <c r="HKY10" s="65"/>
      <c r="HKZ10" s="65"/>
      <c r="HLA10" s="65"/>
      <c r="HLB10" s="65"/>
      <c r="HLC10" s="65"/>
      <c r="HLD10" s="65"/>
      <c r="HLE10" s="65"/>
      <c r="HLF10" s="65"/>
      <c r="HLG10" s="65"/>
      <c r="HLH10" s="65"/>
      <c r="HLI10" s="65"/>
      <c r="HLJ10" s="65"/>
      <c r="HLK10" s="65"/>
      <c r="HLL10" s="65"/>
      <c r="HLM10" s="65"/>
      <c r="HLN10" s="65"/>
      <c r="HLO10" s="65"/>
      <c r="HLP10" s="65"/>
      <c r="HLQ10" s="65"/>
      <c r="HLR10" s="65"/>
      <c r="HLS10" s="65"/>
      <c r="HLT10" s="65"/>
      <c r="HLU10" s="65"/>
      <c r="HLV10" s="65"/>
      <c r="HLW10" s="65"/>
      <c r="HLX10" s="65"/>
      <c r="HLY10" s="65"/>
      <c r="HLZ10" s="65"/>
      <c r="HMA10" s="65"/>
      <c r="HMB10" s="65"/>
      <c r="HMC10" s="65"/>
      <c r="HMD10" s="65"/>
      <c r="HME10" s="65"/>
      <c r="HMF10" s="65"/>
      <c r="HMG10" s="65"/>
      <c r="HMH10" s="65"/>
      <c r="HMI10" s="65"/>
      <c r="HMJ10" s="65"/>
      <c r="HMK10" s="65"/>
      <c r="HML10" s="65"/>
      <c r="HMM10" s="65"/>
      <c r="HMN10" s="65"/>
      <c r="HMO10" s="65"/>
      <c r="HMP10" s="65"/>
      <c r="HMQ10" s="65"/>
      <c r="HMR10" s="65"/>
      <c r="HMS10" s="65"/>
      <c r="HMT10" s="65"/>
      <c r="HMU10" s="65"/>
      <c r="HMV10" s="65"/>
      <c r="HMW10" s="65"/>
      <c r="HMX10" s="65"/>
      <c r="HMY10" s="65"/>
      <c r="HMZ10" s="65"/>
      <c r="HNA10" s="65"/>
      <c r="HNB10" s="65"/>
      <c r="HNC10" s="65"/>
      <c r="HND10" s="65"/>
      <c r="HNE10" s="65"/>
      <c r="HNF10" s="65"/>
      <c r="HNG10" s="65"/>
      <c r="HNH10" s="65"/>
      <c r="HNI10" s="65"/>
      <c r="HNJ10" s="65"/>
      <c r="HNK10" s="65"/>
      <c r="HNL10" s="65"/>
      <c r="HNM10" s="65"/>
      <c r="HNN10" s="65"/>
      <c r="HNO10" s="65"/>
      <c r="HNP10" s="65"/>
      <c r="HNQ10" s="65"/>
      <c r="HNR10" s="65"/>
      <c r="HNS10" s="65"/>
      <c r="HNT10" s="65"/>
      <c r="HNU10" s="65"/>
      <c r="HNV10" s="65"/>
      <c r="HNW10" s="65"/>
      <c r="HNX10" s="65"/>
      <c r="HNY10" s="65"/>
      <c r="HNZ10" s="65"/>
      <c r="HOA10" s="65"/>
      <c r="HOB10" s="65"/>
      <c r="HOC10" s="65"/>
      <c r="HOD10" s="65"/>
      <c r="HOE10" s="65"/>
      <c r="HOF10" s="65"/>
      <c r="HOG10" s="65"/>
      <c r="HOH10" s="65"/>
      <c r="HOI10" s="65"/>
      <c r="HOJ10" s="65"/>
      <c r="HOK10" s="65"/>
      <c r="HOL10" s="65"/>
      <c r="HOM10" s="65"/>
      <c r="HON10" s="65"/>
      <c r="HOO10" s="65"/>
      <c r="HOP10" s="65"/>
      <c r="HOQ10" s="65"/>
      <c r="HOR10" s="65"/>
      <c r="HOS10" s="65"/>
      <c r="HOT10" s="65"/>
      <c r="HOU10" s="65"/>
      <c r="HOV10" s="65"/>
      <c r="HOW10" s="65"/>
      <c r="HOX10" s="65"/>
      <c r="HOY10" s="65"/>
      <c r="HOZ10" s="65"/>
      <c r="HPA10" s="65"/>
      <c r="HPB10" s="65"/>
      <c r="HPC10" s="65"/>
      <c r="HPD10" s="65"/>
      <c r="HPE10" s="65"/>
      <c r="HPF10" s="65"/>
      <c r="HPG10" s="65"/>
      <c r="HPH10" s="65"/>
      <c r="HPI10" s="65"/>
      <c r="HPJ10" s="65"/>
      <c r="HPK10" s="65"/>
      <c r="HPL10" s="65"/>
      <c r="HPM10" s="65"/>
      <c r="HPN10" s="65"/>
      <c r="HPO10" s="65"/>
      <c r="HPP10" s="65"/>
      <c r="HPQ10" s="65"/>
      <c r="HPR10" s="65"/>
      <c r="HPS10" s="65"/>
      <c r="HPT10" s="65"/>
      <c r="HPU10" s="65"/>
      <c r="HPV10" s="65"/>
      <c r="HPW10" s="65"/>
      <c r="HPX10" s="65"/>
      <c r="HPY10" s="65"/>
      <c r="HPZ10" s="65"/>
      <c r="HQA10" s="65"/>
      <c r="HQB10" s="65"/>
      <c r="HQC10" s="65"/>
      <c r="HQD10" s="65"/>
      <c r="HQE10" s="65"/>
      <c r="HQF10" s="65"/>
      <c r="HQG10" s="65"/>
      <c r="HQH10" s="65"/>
      <c r="HQI10" s="65"/>
      <c r="HQJ10" s="65"/>
      <c r="HQK10" s="65"/>
      <c r="HQL10" s="65"/>
      <c r="HQM10" s="65"/>
      <c r="HQN10" s="65"/>
      <c r="HQO10" s="65"/>
      <c r="HQP10" s="65"/>
      <c r="HQQ10" s="65"/>
      <c r="HQR10" s="65"/>
      <c r="HQS10" s="65"/>
      <c r="HQT10" s="65"/>
      <c r="HQU10" s="65"/>
      <c r="HQV10" s="65"/>
      <c r="HQW10" s="65"/>
      <c r="HQX10" s="65"/>
      <c r="HQY10" s="65"/>
      <c r="HQZ10" s="65"/>
      <c r="HRA10" s="65"/>
      <c r="HRB10" s="65"/>
      <c r="HRC10" s="65"/>
      <c r="HRD10" s="65"/>
      <c r="HRE10" s="65"/>
      <c r="HRF10" s="65"/>
      <c r="HRG10" s="65"/>
      <c r="HRH10" s="65"/>
      <c r="HRI10" s="65"/>
      <c r="HRJ10" s="65"/>
      <c r="HRK10" s="65"/>
      <c r="HRL10" s="65"/>
      <c r="HRM10" s="65"/>
      <c r="HRN10" s="65"/>
      <c r="HRO10" s="65"/>
      <c r="HRP10" s="65"/>
      <c r="HRQ10" s="65"/>
      <c r="HRR10" s="65"/>
      <c r="HRS10" s="65"/>
      <c r="HRT10" s="65"/>
      <c r="HRU10" s="65"/>
      <c r="HRV10" s="65"/>
      <c r="HRW10" s="65"/>
      <c r="HRX10" s="65"/>
      <c r="HRY10" s="65"/>
      <c r="HRZ10" s="65"/>
      <c r="HSA10" s="65"/>
      <c r="HSB10" s="65"/>
      <c r="HSC10" s="65"/>
      <c r="HSD10" s="65"/>
      <c r="HSE10" s="65"/>
      <c r="HSF10" s="65"/>
      <c r="HSG10" s="65"/>
      <c r="HSH10" s="65"/>
      <c r="HSI10" s="65"/>
      <c r="HSJ10" s="65"/>
      <c r="HSK10" s="65"/>
      <c r="HSL10" s="65"/>
      <c r="HSM10" s="65"/>
      <c r="HSN10" s="65"/>
      <c r="HSO10" s="65"/>
      <c r="HSP10" s="65"/>
      <c r="HSQ10" s="65"/>
      <c r="HSR10" s="65"/>
      <c r="HSS10" s="65"/>
      <c r="HST10" s="65"/>
      <c r="HSU10" s="65"/>
      <c r="HSV10" s="65"/>
      <c r="HSW10" s="65"/>
      <c r="HSX10" s="65"/>
      <c r="HSY10" s="65"/>
      <c r="HSZ10" s="65"/>
      <c r="HTA10" s="65"/>
      <c r="HTB10" s="65"/>
      <c r="HTC10" s="65"/>
      <c r="HTD10" s="65"/>
      <c r="HTE10" s="65"/>
      <c r="HTF10" s="65"/>
      <c r="HTG10" s="65"/>
      <c r="HTH10" s="65"/>
      <c r="HTI10" s="65"/>
      <c r="HTJ10" s="65"/>
      <c r="HTK10" s="65"/>
      <c r="HTL10" s="65"/>
      <c r="HTM10" s="65"/>
      <c r="HTN10" s="65"/>
      <c r="HTO10" s="65"/>
      <c r="HTP10" s="65"/>
      <c r="HTQ10" s="65"/>
      <c r="HTR10" s="65"/>
      <c r="HTS10" s="65"/>
      <c r="HTT10" s="65"/>
      <c r="HTU10" s="65"/>
      <c r="HTV10" s="65"/>
      <c r="HTW10" s="65"/>
      <c r="HTX10" s="65"/>
      <c r="HTY10" s="65"/>
      <c r="HTZ10" s="65"/>
      <c r="HUA10" s="65"/>
      <c r="HUB10" s="65"/>
      <c r="HUC10" s="65"/>
      <c r="HUD10" s="65"/>
      <c r="HUE10" s="65"/>
      <c r="HUF10" s="65"/>
      <c r="HUG10" s="65"/>
      <c r="HUH10" s="65"/>
      <c r="HUI10" s="65"/>
      <c r="HUJ10" s="65"/>
      <c r="HUK10" s="65"/>
      <c r="HUL10" s="65"/>
      <c r="HUM10" s="65"/>
      <c r="HUN10" s="65"/>
      <c r="HUO10" s="65"/>
      <c r="HUP10" s="65"/>
      <c r="HUQ10" s="65"/>
      <c r="HUR10" s="65"/>
      <c r="HUS10" s="65"/>
      <c r="HUT10" s="65"/>
      <c r="HUU10" s="65"/>
      <c r="HUV10" s="65"/>
      <c r="HUW10" s="65"/>
      <c r="HUX10" s="65"/>
      <c r="HUY10" s="65"/>
      <c r="HUZ10" s="65"/>
      <c r="HVA10" s="65"/>
      <c r="HVB10" s="65"/>
      <c r="HVC10" s="65"/>
      <c r="HVD10" s="65"/>
      <c r="HVE10" s="65"/>
      <c r="HVF10" s="65"/>
      <c r="HVG10" s="65"/>
      <c r="HVH10" s="65"/>
      <c r="HVI10" s="65"/>
      <c r="HVJ10" s="65"/>
      <c r="HVK10" s="65"/>
      <c r="HVL10" s="65"/>
      <c r="HVM10" s="65"/>
      <c r="HVN10" s="65"/>
      <c r="HVO10" s="65"/>
      <c r="HVP10" s="65"/>
      <c r="HVQ10" s="65"/>
      <c r="HVR10" s="65"/>
      <c r="HVS10" s="65"/>
      <c r="HVT10" s="65"/>
      <c r="HVU10" s="65"/>
      <c r="HVV10" s="65"/>
      <c r="HVW10" s="65"/>
      <c r="HVX10" s="65"/>
      <c r="HVY10" s="65"/>
      <c r="HVZ10" s="65"/>
      <c r="HWA10" s="65"/>
      <c r="HWB10" s="65"/>
      <c r="HWC10" s="65"/>
      <c r="HWD10" s="65"/>
      <c r="HWE10" s="65"/>
      <c r="HWF10" s="65"/>
      <c r="HWG10" s="65"/>
      <c r="HWH10" s="65"/>
      <c r="HWI10" s="65"/>
      <c r="HWJ10" s="65"/>
      <c r="HWK10" s="65"/>
      <c r="HWL10" s="65"/>
      <c r="HWM10" s="65"/>
      <c r="HWN10" s="65"/>
      <c r="HWO10" s="65"/>
      <c r="HWP10" s="65"/>
      <c r="HWQ10" s="65"/>
      <c r="HWR10" s="65"/>
      <c r="HWS10" s="65"/>
      <c r="HWT10" s="65"/>
      <c r="HWU10" s="65"/>
      <c r="HWV10" s="65"/>
      <c r="HWW10" s="65"/>
      <c r="HWX10" s="65"/>
      <c r="HWY10" s="65"/>
      <c r="HWZ10" s="65"/>
      <c r="HXA10" s="65"/>
      <c r="HXB10" s="65"/>
      <c r="HXC10" s="65"/>
      <c r="HXD10" s="65"/>
      <c r="HXE10" s="65"/>
      <c r="HXF10" s="65"/>
      <c r="HXG10" s="65"/>
      <c r="HXH10" s="65"/>
      <c r="HXI10" s="65"/>
      <c r="HXJ10" s="65"/>
      <c r="HXK10" s="65"/>
      <c r="HXL10" s="65"/>
      <c r="HXM10" s="65"/>
      <c r="HXN10" s="65"/>
      <c r="HXO10" s="65"/>
      <c r="HXP10" s="65"/>
      <c r="HXQ10" s="65"/>
      <c r="HXR10" s="65"/>
      <c r="HXS10" s="65"/>
      <c r="HXT10" s="65"/>
      <c r="HXU10" s="65"/>
      <c r="HXV10" s="65"/>
      <c r="HXW10" s="65"/>
      <c r="HXX10" s="65"/>
      <c r="HXY10" s="65"/>
      <c r="HXZ10" s="65"/>
      <c r="HYA10" s="65"/>
      <c r="HYB10" s="65"/>
      <c r="HYC10" s="65"/>
      <c r="HYD10" s="65"/>
      <c r="HYE10" s="65"/>
      <c r="HYF10" s="65"/>
      <c r="HYG10" s="65"/>
      <c r="HYH10" s="65"/>
      <c r="HYI10" s="65"/>
      <c r="HYJ10" s="65"/>
      <c r="HYK10" s="65"/>
      <c r="HYL10" s="65"/>
      <c r="HYM10" s="65"/>
      <c r="HYN10" s="65"/>
      <c r="HYO10" s="65"/>
      <c r="HYP10" s="65"/>
      <c r="HYQ10" s="65"/>
      <c r="HYR10" s="65"/>
      <c r="HYS10" s="65"/>
      <c r="HYT10" s="65"/>
      <c r="HYU10" s="65"/>
      <c r="HYV10" s="65"/>
      <c r="HYW10" s="65"/>
      <c r="HYX10" s="65"/>
      <c r="HYY10" s="65"/>
      <c r="HYZ10" s="65"/>
      <c r="HZA10" s="65"/>
      <c r="HZB10" s="65"/>
      <c r="HZC10" s="65"/>
      <c r="HZD10" s="65"/>
      <c r="HZE10" s="65"/>
      <c r="HZF10" s="65"/>
      <c r="HZG10" s="65"/>
      <c r="HZH10" s="65"/>
      <c r="HZI10" s="65"/>
      <c r="HZJ10" s="65"/>
      <c r="HZK10" s="65"/>
      <c r="HZL10" s="65"/>
      <c r="HZM10" s="65"/>
      <c r="HZN10" s="65"/>
      <c r="HZO10" s="65"/>
      <c r="HZP10" s="65"/>
      <c r="HZQ10" s="65"/>
      <c r="HZR10" s="65"/>
      <c r="HZS10" s="65"/>
      <c r="HZT10" s="65"/>
      <c r="HZU10" s="65"/>
      <c r="HZV10" s="65"/>
      <c r="HZW10" s="65"/>
      <c r="HZX10" s="65"/>
      <c r="HZY10" s="65"/>
      <c r="HZZ10" s="65"/>
      <c r="IAA10" s="65"/>
      <c r="IAB10" s="65"/>
      <c r="IAC10" s="65"/>
      <c r="IAD10" s="65"/>
      <c r="IAE10" s="65"/>
      <c r="IAF10" s="65"/>
      <c r="IAG10" s="65"/>
      <c r="IAH10" s="65"/>
      <c r="IAI10" s="65"/>
      <c r="IAJ10" s="65"/>
      <c r="IAK10" s="65"/>
      <c r="IAL10" s="65"/>
      <c r="IAM10" s="65"/>
      <c r="IAN10" s="65"/>
      <c r="IAO10" s="65"/>
      <c r="IAP10" s="65"/>
      <c r="IAQ10" s="65"/>
      <c r="IAR10" s="65"/>
      <c r="IAS10" s="65"/>
      <c r="IAT10" s="65"/>
      <c r="IAU10" s="65"/>
      <c r="IAV10" s="65"/>
      <c r="IAW10" s="65"/>
      <c r="IAX10" s="65"/>
      <c r="IAY10" s="65"/>
      <c r="IAZ10" s="65"/>
      <c r="IBA10" s="65"/>
      <c r="IBB10" s="65"/>
      <c r="IBC10" s="65"/>
      <c r="IBD10" s="65"/>
      <c r="IBE10" s="65"/>
      <c r="IBF10" s="65"/>
      <c r="IBG10" s="65"/>
      <c r="IBH10" s="65"/>
      <c r="IBI10" s="65"/>
      <c r="IBJ10" s="65"/>
      <c r="IBK10" s="65"/>
      <c r="IBL10" s="65"/>
      <c r="IBM10" s="65"/>
      <c r="IBN10" s="65"/>
      <c r="IBO10" s="65"/>
      <c r="IBP10" s="65"/>
      <c r="IBQ10" s="65"/>
      <c r="IBR10" s="65"/>
      <c r="IBS10" s="65"/>
      <c r="IBT10" s="65"/>
      <c r="IBU10" s="65"/>
      <c r="IBV10" s="65"/>
      <c r="IBW10" s="65"/>
      <c r="IBX10" s="65"/>
      <c r="IBY10" s="65"/>
      <c r="IBZ10" s="65"/>
      <c r="ICA10" s="65"/>
      <c r="ICB10" s="65"/>
      <c r="ICC10" s="65"/>
      <c r="ICD10" s="65"/>
      <c r="ICE10" s="65"/>
      <c r="ICF10" s="65"/>
      <c r="ICG10" s="65"/>
      <c r="ICH10" s="65"/>
      <c r="ICI10" s="65"/>
      <c r="ICJ10" s="65"/>
      <c r="ICK10" s="65"/>
      <c r="ICL10" s="65"/>
      <c r="ICM10" s="65"/>
      <c r="ICN10" s="65"/>
      <c r="ICO10" s="65"/>
      <c r="ICP10" s="65"/>
      <c r="ICQ10" s="65"/>
      <c r="ICR10" s="65"/>
      <c r="ICS10" s="65"/>
      <c r="ICT10" s="65"/>
      <c r="ICU10" s="65"/>
      <c r="ICV10" s="65"/>
      <c r="ICW10" s="65"/>
      <c r="ICX10" s="65"/>
      <c r="ICY10" s="65"/>
      <c r="ICZ10" s="65"/>
      <c r="IDA10" s="65"/>
      <c r="IDB10" s="65"/>
      <c r="IDC10" s="65"/>
      <c r="IDD10" s="65"/>
      <c r="IDE10" s="65"/>
      <c r="IDF10" s="65"/>
      <c r="IDG10" s="65"/>
      <c r="IDH10" s="65"/>
      <c r="IDI10" s="65"/>
      <c r="IDJ10" s="65"/>
      <c r="IDK10" s="65"/>
      <c r="IDL10" s="65"/>
      <c r="IDM10" s="65"/>
      <c r="IDN10" s="65"/>
      <c r="IDO10" s="65"/>
      <c r="IDP10" s="65"/>
      <c r="IDQ10" s="65"/>
      <c r="IDR10" s="65"/>
      <c r="IDS10" s="65"/>
      <c r="IDT10" s="65"/>
      <c r="IDU10" s="65"/>
      <c r="IDV10" s="65"/>
      <c r="IDW10" s="65"/>
      <c r="IDX10" s="65"/>
      <c r="IDY10" s="65"/>
      <c r="IDZ10" s="65"/>
      <c r="IEA10" s="65"/>
      <c r="IEB10" s="65"/>
      <c r="IEC10" s="65"/>
      <c r="IED10" s="65"/>
      <c r="IEE10" s="65"/>
      <c r="IEF10" s="65"/>
      <c r="IEG10" s="65"/>
      <c r="IEH10" s="65"/>
      <c r="IEI10" s="65"/>
      <c r="IEJ10" s="65"/>
      <c r="IEK10" s="65"/>
      <c r="IEL10" s="65"/>
      <c r="IEM10" s="65"/>
      <c r="IEN10" s="65"/>
      <c r="IEO10" s="65"/>
      <c r="IEP10" s="65"/>
      <c r="IEQ10" s="65"/>
      <c r="IER10" s="65"/>
      <c r="IES10" s="65"/>
      <c r="IET10" s="65"/>
      <c r="IEU10" s="65"/>
      <c r="IEV10" s="65"/>
      <c r="IEW10" s="65"/>
      <c r="IEX10" s="65"/>
      <c r="IEY10" s="65"/>
      <c r="IEZ10" s="65"/>
      <c r="IFA10" s="65"/>
      <c r="IFB10" s="65"/>
      <c r="IFC10" s="65"/>
      <c r="IFD10" s="65"/>
      <c r="IFE10" s="65"/>
      <c r="IFF10" s="65"/>
      <c r="IFG10" s="65"/>
      <c r="IFH10" s="65"/>
      <c r="IFI10" s="65"/>
      <c r="IFJ10" s="65"/>
      <c r="IFK10" s="65"/>
      <c r="IFL10" s="65"/>
      <c r="IFM10" s="65"/>
      <c r="IFN10" s="65"/>
      <c r="IFO10" s="65"/>
      <c r="IFP10" s="65"/>
      <c r="IFQ10" s="65"/>
      <c r="IFR10" s="65"/>
      <c r="IFS10" s="65"/>
      <c r="IFT10" s="65"/>
      <c r="IFU10" s="65"/>
      <c r="IFV10" s="65"/>
      <c r="IFW10" s="65"/>
      <c r="IFX10" s="65"/>
      <c r="IFY10" s="65"/>
      <c r="IFZ10" s="65"/>
      <c r="IGA10" s="65"/>
      <c r="IGB10" s="65"/>
      <c r="IGC10" s="65"/>
      <c r="IGD10" s="65"/>
      <c r="IGE10" s="65"/>
      <c r="IGF10" s="65"/>
      <c r="IGG10" s="65"/>
      <c r="IGH10" s="65"/>
      <c r="IGI10" s="65"/>
      <c r="IGJ10" s="65"/>
      <c r="IGK10" s="65"/>
      <c r="IGL10" s="65"/>
      <c r="IGM10" s="65"/>
      <c r="IGN10" s="65"/>
      <c r="IGO10" s="65"/>
      <c r="IGP10" s="65"/>
      <c r="IGQ10" s="65"/>
      <c r="IGR10" s="65"/>
      <c r="IGS10" s="65"/>
      <c r="IGT10" s="65"/>
      <c r="IGU10" s="65"/>
      <c r="IGV10" s="65"/>
      <c r="IGW10" s="65"/>
      <c r="IGX10" s="65"/>
      <c r="IGY10" s="65"/>
      <c r="IGZ10" s="65"/>
      <c r="IHA10" s="65"/>
      <c r="IHB10" s="65"/>
      <c r="IHC10" s="65"/>
      <c r="IHD10" s="65"/>
      <c r="IHE10" s="65"/>
      <c r="IHF10" s="65"/>
      <c r="IHG10" s="65"/>
      <c r="IHH10" s="65"/>
      <c r="IHI10" s="65"/>
      <c r="IHJ10" s="65"/>
      <c r="IHK10" s="65"/>
      <c r="IHL10" s="65"/>
      <c r="IHM10" s="65"/>
      <c r="IHN10" s="65"/>
      <c r="IHO10" s="65"/>
      <c r="IHP10" s="65"/>
      <c r="IHQ10" s="65"/>
      <c r="IHR10" s="65"/>
      <c r="IHS10" s="65"/>
      <c r="IHT10" s="65"/>
      <c r="IHU10" s="65"/>
      <c r="IHV10" s="65"/>
      <c r="IHW10" s="65"/>
      <c r="IHX10" s="65"/>
      <c r="IHY10" s="65"/>
      <c r="IHZ10" s="65"/>
      <c r="IIA10" s="65"/>
      <c r="IIB10" s="65"/>
      <c r="IIC10" s="65"/>
      <c r="IID10" s="65"/>
      <c r="IIE10" s="65"/>
      <c r="IIF10" s="65"/>
      <c r="IIG10" s="65"/>
      <c r="IIH10" s="65"/>
      <c r="III10" s="65"/>
      <c r="IIJ10" s="65"/>
      <c r="IIK10" s="65"/>
      <c r="IIL10" s="65"/>
      <c r="IIM10" s="65"/>
      <c r="IIN10" s="65"/>
      <c r="IIO10" s="65"/>
      <c r="IIP10" s="65"/>
      <c r="IIQ10" s="65"/>
      <c r="IIR10" s="65"/>
      <c r="IIS10" s="65"/>
      <c r="IIT10" s="65"/>
      <c r="IIU10" s="65"/>
      <c r="IIV10" s="65"/>
      <c r="IIW10" s="65"/>
      <c r="IIX10" s="65"/>
      <c r="IIY10" s="65"/>
      <c r="IIZ10" s="65"/>
      <c r="IJA10" s="65"/>
      <c r="IJB10" s="65"/>
      <c r="IJC10" s="65"/>
      <c r="IJD10" s="65"/>
      <c r="IJE10" s="65"/>
      <c r="IJF10" s="65"/>
      <c r="IJG10" s="65"/>
      <c r="IJH10" s="65"/>
      <c r="IJI10" s="65"/>
      <c r="IJJ10" s="65"/>
      <c r="IJK10" s="65"/>
      <c r="IJL10" s="65"/>
      <c r="IJM10" s="65"/>
      <c r="IJN10" s="65"/>
      <c r="IJO10" s="65"/>
      <c r="IJP10" s="65"/>
      <c r="IJQ10" s="65"/>
      <c r="IJR10" s="65"/>
      <c r="IJS10" s="65"/>
      <c r="IJT10" s="65"/>
      <c r="IJU10" s="65"/>
      <c r="IJV10" s="65"/>
      <c r="IJW10" s="65"/>
      <c r="IJX10" s="65"/>
      <c r="IJY10" s="65"/>
      <c r="IJZ10" s="65"/>
      <c r="IKA10" s="65"/>
      <c r="IKB10" s="65"/>
      <c r="IKC10" s="65"/>
      <c r="IKD10" s="65"/>
      <c r="IKE10" s="65"/>
      <c r="IKF10" s="65"/>
      <c r="IKG10" s="65"/>
      <c r="IKH10" s="65"/>
      <c r="IKI10" s="65"/>
      <c r="IKJ10" s="65"/>
      <c r="IKK10" s="65"/>
      <c r="IKL10" s="65"/>
      <c r="IKM10" s="65"/>
      <c r="IKN10" s="65"/>
      <c r="IKO10" s="65"/>
      <c r="IKP10" s="65"/>
      <c r="IKQ10" s="65"/>
      <c r="IKR10" s="65"/>
      <c r="IKS10" s="65"/>
      <c r="IKT10" s="65"/>
      <c r="IKU10" s="65"/>
      <c r="IKV10" s="65"/>
      <c r="IKW10" s="65"/>
      <c r="IKX10" s="65"/>
      <c r="IKY10" s="65"/>
      <c r="IKZ10" s="65"/>
      <c r="ILA10" s="65"/>
      <c r="ILB10" s="65"/>
      <c r="ILC10" s="65"/>
      <c r="ILD10" s="65"/>
      <c r="ILE10" s="65"/>
      <c r="ILF10" s="65"/>
      <c r="ILG10" s="65"/>
      <c r="ILH10" s="65"/>
      <c r="ILI10" s="65"/>
      <c r="ILJ10" s="65"/>
      <c r="ILK10" s="65"/>
      <c r="ILL10" s="65"/>
      <c r="ILM10" s="65"/>
      <c r="ILN10" s="65"/>
      <c r="ILO10" s="65"/>
      <c r="ILP10" s="65"/>
      <c r="ILQ10" s="65"/>
      <c r="ILR10" s="65"/>
      <c r="ILS10" s="65"/>
      <c r="ILT10" s="65"/>
      <c r="ILU10" s="65"/>
      <c r="ILV10" s="65"/>
      <c r="ILW10" s="65"/>
      <c r="ILX10" s="65"/>
      <c r="ILY10" s="65"/>
      <c r="ILZ10" s="65"/>
      <c r="IMA10" s="65"/>
      <c r="IMB10" s="65"/>
      <c r="IMC10" s="65"/>
      <c r="IMD10" s="65"/>
      <c r="IME10" s="65"/>
      <c r="IMF10" s="65"/>
      <c r="IMG10" s="65"/>
      <c r="IMH10" s="65"/>
      <c r="IMI10" s="65"/>
      <c r="IMJ10" s="65"/>
      <c r="IMK10" s="65"/>
      <c r="IML10" s="65"/>
      <c r="IMM10" s="65"/>
      <c r="IMN10" s="65"/>
      <c r="IMO10" s="65"/>
      <c r="IMP10" s="65"/>
      <c r="IMQ10" s="65"/>
      <c r="IMR10" s="65"/>
      <c r="IMS10" s="65"/>
      <c r="IMT10" s="65"/>
      <c r="IMU10" s="65"/>
      <c r="IMV10" s="65"/>
      <c r="IMW10" s="65"/>
      <c r="IMX10" s="65"/>
      <c r="IMY10" s="65"/>
      <c r="IMZ10" s="65"/>
      <c r="INA10" s="65"/>
      <c r="INB10" s="65"/>
      <c r="INC10" s="65"/>
      <c r="IND10" s="65"/>
      <c r="INE10" s="65"/>
      <c r="INF10" s="65"/>
      <c r="ING10" s="65"/>
      <c r="INH10" s="65"/>
      <c r="INI10" s="65"/>
      <c r="INJ10" s="65"/>
      <c r="INK10" s="65"/>
      <c r="INL10" s="65"/>
      <c r="INM10" s="65"/>
      <c r="INN10" s="65"/>
      <c r="INO10" s="65"/>
      <c r="INP10" s="65"/>
      <c r="INQ10" s="65"/>
      <c r="INR10" s="65"/>
      <c r="INS10" s="65"/>
      <c r="INT10" s="65"/>
      <c r="INU10" s="65"/>
      <c r="INV10" s="65"/>
      <c r="INW10" s="65"/>
      <c r="INX10" s="65"/>
      <c r="INY10" s="65"/>
      <c r="INZ10" s="65"/>
      <c r="IOA10" s="65"/>
      <c r="IOB10" s="65"/>
      <c r="IOC10" s="65"/>
      <c r="IOD10" s="65"/>
      <c r="IOE10" s="65"/>
      <c r="IOF10" s="65"/>
      <c r="IOG10" s="65"/>
      <c r="IOH10" s="65"/>
      <c r="IOI10" s="65"/>
      <c r="IOJ10" s="65"/>
      <c r="IOK10" s="65"/>
      <c r="IOL10" s="65"/>
      <c r="IOM10" s="65"/>
      <c r="ION10" s="65"/>
      <c r="IOO10" s="65"/>
      <c r="IOP10" s="65"/>
      <c r="IOQ10" s="65"/>
      <c r="IOR10" s="65"/>
      <c r="IOS10" s="65"/>
      <c r="IOT10" s="65"/>
      <c r="IOU10" s="65"/>
      <c r="IOV10" s="65"/>
      <c r="IOW10" s="65"/>
      <c r="IOX10" s="65"/>
      <c r="IOY10" s="65"/>
      <c r="IOZ10" s="65"/>
      <c r="IPA10" s="65"/>
      <c r="IPB10" s="65"/>
      <c r="IPC10" s="65"/>
      <c r="IPD10" s="65"/>
      <c r="IPE10" s="65"/>
      <c r="IPF10" s="65"/>
      <c r="IPG10" s="65"/>
      <c r="IPH10" s="65"/>
      <c r="IPI10" s="65"/>
      <c r="IPJ10" s="65"/>
      <c r="IPK10" s="65"/>
      <c r="IPL10" s="65"/>
      <c r="IPM10" s="65"/>
      <c r="IPN10" s="65"/>
      <c r="IPO10" s="65"/>
      <c r="IPP10" s="65"/>
      <c r="IPQ10" s="65"/>
      <c r="IPR10" s="65"/>
      <c r="IPS10" s="65"/>
      <c r="IPT10" s="65"/>
      <c r="IPU10" s="65"/>
      <c r="IPV10" s="65"/>
      <c r="IPW10" s="65"/>
      <c r="IPX10" s="65"/>
      <c r="IPY10" s="65"/>
      <c r="IPZ10" s="65"/>
      <c r="IQA10" s="65"/>
      <c r="IQB10" s="65"/>
      <c r="IQC10" s="65"/>
      <c r="IQD10" s="65"/>
      <c r="IQE10" s="65"/>
      <c r="IQF10" s="65"/>
      <c r="IQG10" s="65"/>
      <c r="IQH10" s="65"/>
      <c r="IQI10" s="65"/>
      <c r="IQJ10" s="65"/>
      <c r="IQK10" s="65"/>
      <c r="IQL10" s="65"/>
      <c r="IQM10" s="65"/>
      <c r="IQN10" s="65"/>
      <c r="IQO10" s="65"/>
      <c r="IQP10" s="65"/>
      <c r="IQQ10" s="65"/>
      <c r="IQR10" s="65"/>
      <c r="IQS10" s="65"/>
      <c r="IQT10" s="65"/>
      <c r="IQU10" s="65"/>
      <c r="IQV10" s="65"/>
      <c r="IQW10" s="65"/>
      <c r="IQX10" s="65"/>
      <c r="IQY10" s="65"/>
      <c r="IQZ10" s="65"/>
      <c r="IRA10" s="65"/>
      <c r="IRB10" s="65"/>
      <c r="IRC10" s="65"/>
      <c r="IRD10" s="65"/>
      <c r="IRE10" s="65"/>
      <c r="IRF10" s="65"/>
      <c r="IRG10" s="65"/>
      <c r="IRH10" s="65"/>
      <c r="IRI10" s="65"/>
      <c r="IRJ10" s="65"/>
      <c r="IRK10" s="65"/>
      <c r="IRL10" s="65"/>
      <c r="IRM10" s="65"/>
      <c r="IRN10" s="65"/>
      <c r="IRO10" s="65"/>
      <c r="IRP10" s="65"/>
      <c r="IRQ10" s="65"/>
      <c r="IRR10" s="65"/>
      <c r="IRS10" s="65"/>
      <c r="IRT10" s="65"/>
      <c r="IRU10" s="65"/>
      <c r="IRV10" s="65"/>
      <c r="IRW10" s="65"/>
      <c r="IRX10" s="65"/>
      <c r="IRY10" s="65"/>
      <c r="IRZ10" s="65"/>
      <c r="ISA10" s="65"/>
      <c r="ISB10" s="65"/>
      <c r="ISC10" s="65"/>
      <c r="ISD10" s="65"/>
      <c r="ISE10" s="65"/>
      <c r="ISF10" s="65"/>
      <c r="ISG10" s="65"/>
      <c r="ISH10" s="65"/>
      <c r="ISI10" s="65"/>
      <c r="ISJ10" s="65"/>
      <c r="ISK10" s="65"/>
      <c r="ISL10" s="65"/>
      <c r="ISM10" s="65"/>
      <c r="ISN10" s="65"/>
      <c r="ISO10" s="65"/>
      <c r="ISP10" s="65"/>
      <c r="ISQ10" s="65"/>
      <c r="ISR10" s="65"/>
      <c r="ISS10" s="65"/>
      <c r="IST10" s="65"/>
      <c r="ISU10" s="65"/>
      <c r="ISV10" s="65"/>
      <c r="ISW10" s="65"/>
      <c r="ISX10" s="65"/>
      <c r="ISY10" s="65"/>
      <c r="ISZ10" s="65"/>
      <c r="ITA10" s="65"/>
      <c r="ITB10" s="65"/>
      <c r="ITC10" s="65"/>
      <c r="ITD10" s="65"/>
      <c r="ITE10" s="65"/>
      <c r="ITF10" s="65"/>
      <c r="ITG10" s="65"/>
      <c r="ITH10" s="65"/>
      <c r="ITI10" s="65"/>
      <c r="ITJ10" s="65"/>
      <c r="ITK10" s="65"/>
      <c r="ITL10" s="65"/>
      <c r="ITM10" s="65"/>
      <c r="ITN10" s="65"/>
      <c r="ITO10" s="65"/>
      <c r="ITP10" s="65"/>
      <c r="ITQ10" s="65"/>
      <c r="ITR10" s="65"/>
      <c r="ITS10" s="65"/>
      <c r="ITT10" s="65"/>
      <c r="ITU10" s="65"/>
      <c r="ITV10" s="65"/>
      <c r="ITW10" s="65"/>
      <c r="ITX10" s="65"/>
      <c r="ITY10" s="65"/>
      <c r="ITZ10" s="65"/>
      <c r="IUA10" s="65"/>
      <c r="IUB10" s="65"/>
      <c r="IUC10" s="65"/>
      <c r="IUD10" s="65"/>
      <c r="IUE10" s="65"/>
      <c r="IUF10" s="65"/>
      <c r="IUG10" s="65"/>
      <c r="IUH10" s="65"/>
      <c r="IUI10" s="65"/>
      <c r="IUJ10" s="65"/>
      <c r="IUK10" s="65"/>
      <c r="IUL10" s="65"/>
      <c r="IUM10" s="65"/>
      <c r="IUN10" s="65"/>
      <c r="IUO10" s="65"/>
      <c r="IUP10" s="65"/>
      <c r="IUQ10" s="65"/>
      <c r="IUR10" s="65"/>
      <c r="IUS10" s="65"/>
      <c r="IUT10" s="65"/>
      <c r="IUU10" s="65"/>
      <c r="IUV10" s="65"/>
      <c r="IUW10" s="65"/>
      <c r="IUX10" s="65"/>
      <c r="IUY10" s="65"/>
      <c r="IUZ10" s="65"/>
      <c r="IVA10" s="65"/>
      <c r="IVB10" s="65"/>
      <c r="IVC10" s="65"/>
      <c r="IVD10" s="65"/>
      <c r="IVE10" s="65"/>
      <c r="IVF10" s="65"/>
      <c r="IVG10" s="65"/>
      <c r="IVH10" s="65"/>
      <c r="IVI10" s="65"/>
      <c r="IVJ10" s="65"/>
      <c r="IVK10" s="65"/>
      <c r="IVL10" s="65"/>
      <c r="IVM10" s="65"/>
      <c r="IVN10" s="65"/>
      <c r="IVO10" s="65"/>
      <c r="IVP10" s="65"/>
      <c r="IVQ10" s="65"/>
      <c r="IVR10" s="65"/>
      <c r="IVS10" s="65"/>
      <c r="IVT10" s="65"/>
      <c r="IVU10" s="65"/>
      <c r="IVV10" s="65"/>
      <c r="IVW10" s="65"/>
      <c r="IVX10" s="65"/>
      <c r="IVY10" s="65"/>
      <c r="IVZ10" s="65"/>
      <c r="IWA10" s="65"/>
      <c r="IWB10" s="65"/>
      <c r="IWC10" s="65"/>
      <c r="IWD10" s="65"/>
      <c r="IWE10" s="65"/>
      <c r="IWF10" s="65"/>
      <c r="IWG10" s="65"/>
      <c r="IWH10" s="65"/>
      <c r="IWI10" s="65"/>
      <c r="IWJ10" s="65"/>
      <c r="IWK10" s="65"/>
      <c r="IWL10" s="65"/>
      <c r="IWM10" s="65"/>
      <c r="IWN10" s="65"/>
      <c r="IWO10" s="65"/>
      <c r="IWP10" s="65"/>
      <c r="IWQ10" s="65"/>
      <c r="IWR10" s="65"/>
      <c r="IWS10" s="65"/>
      <c r="IWT10" s="65"/>
      <c r="IWU10" s="65"/>
      <c r="IWV10" s="65"/>
      <c r="IWW10" s="65"/>
      <c r="IWX10" s="65"/>
      <c r="IWY10" s="65"/>
      <c r="IWZ10" s="65"/>
      <c r="IXA10" s="65"/>
      <c r="IXB10" s="65"/>
      <c r="IXC10" s="65"/>
      <c r="IXD10" s="65"/>
      <c r="IXE10" s="65"/>
      <c r="IXF10" s="65"/>
      <c r="IXG10" s="65"/>
      <c r="IXH10" s="65"/>
      <c r="IXI10" s="65"/>
      <c r="IXJ10" s="65"/>
      <c r="IXK10" s="65"/>
      <c r="IXL10" s="65"/>
      <c r="IXM10" s="65"/>
      <c r="IXN10" s="65"/>
      <c r="IXO10" s="65"/>
      <c r="IXP10" s="65"/>
      <c r="IXQ10" s="65"/>
      <c r="IXR10" s="65"/>
      <c r="IXS10" s="65"/>
      <c r="IXT10" s="65"/>
      <c r="IXU10" s="65"/>
      <c r="IXV10" s="65"/>
      <c r="IXW10" s="65"/>
      <c r="IXX10" s="65"/>
      <c r="IXY10" s="65"/>
      <c r="IXZ10" s="65"/>
      <c r="IYA10" s="65"/>
      <c r="IYB10" s="65"/>
      <c r="IYC10" s="65"/>
      <c r="IYD10" s="65"/>
      <c r="IYE10" s="65"/>
      <c r="IYF10" s="65"/>
      <c r="IYG10" s="65"/>
      <c r="IYH10" s="65"/>
      <c r="IYI10" s="65"/>
      <c r="IYJ10" s="65"/>
      <c r="IYK10" s="65"/>
      <c r="IYL10" s="65"/>
      <c r="IYM10" s="65"/>
      <c r="IYN10" s="65"/>
      <c r="IYO10" s="65"/>
      <c r="IYP10" s="65"/>
      <c r="IYQ10" s="65"/>
      <c r="IYR10" s="65"/>
      <c r="IYS10" s="65"/>
      <c r="IYT10" s="65"/>
      <c r="IYU10" s="65"/>
      <c r="IYV10" s="65"/>
      <c r="IYW10" s="65"/>
      <c r="IYX10" s="65"/>
      <c r="IYY10" s="65"/>
      <c r="IYZ10" s="65"/>
      <c r="IZA10" s="65"/>
      <c r="IZB10" s="65"/>
      <c r="IZC10" s="65"/>
      <c r="IZD10" s="65"/>
      <c r="IZE10" s="65"/>
      <c r="IZF10" s="65"/>
      <c r="IZG10" s="65"/>
      <c r="IZH10" s="65"/>
      <c r="IZI10" s="65"/>
      <c r="IZJ10" s="65"/>
      <c r="IZK10" s="65"/>
      <c r="IZL10" s="65"/>
      <c r="IZM10" s="65"/>
      <c r="IZN10" s="65"/>
      <c r="IZO10" s="65"/>
      <c r="IZP10" s="65"/>
      <c r="IZQ10" s="65"/>
      <c r="IZR10" s="65"/>
      <c r="IZS10" s="65"/>
      <c r="IZT10" s="65"/>
      <c r="IZU10" s="65"/>
      <c r="IZV10" s="65"/>
      <c r="IZW10" s="65"/>
      <c r="IZX10" s="65"/>
      <c r="IZY10" s="65"/>
      <c r="IZZ10" s="65"/>
      <c r="JAA10" s="65"/>
      <c r="JAB10" s="65"/>
      <c r="JAC10" s="65"/>
      <c r="JAD10" s="65"/>
      <c r="JAE10" s="65"/>
      <c r="JAF10" s="65"/>
      <c r="JAG10" s="65"/>
      <c r="JAH10" s="65"/>
      <c r="JAI10" s="65"/>
      <c r="JAJ10" s="65"/>
      <c r="JAK10" s="65"/>
      <c r="JAL10" s="65"/>
      <c r="JAM10" s="65"/>
      <c r="JAN10" s="65"/>
      <c r="JAO10" s="65"/>
      <c r="JAP10" s="65"/>
      <c r="JAQ10" s="65"/>
      <c r="JAR10" s="65"/>
      <c r="JAS10" s="65"/>
      <c r="JAT10" s="65"/>
      <c r="JAU10" s="65"/>
      <c r="JAV10" s="65"/>
      <c r="JAW10" s="65"/>
      <c r="JAX10" s="65"/>
      <c r="JAY10" s="65"/>
      <c r="JAZ10" s="65"/>
      <c r="JBA10" s="65"/>
      <c r="JBB10" s="65"/>
      <c r="JBC10" s="65"/>
      <c r="JBD10" s="65"/>
      <c r="JBE10" s="65"/>
      <c r="JBF10" s="65"/>
      <c r="JBG10" s="65"/>
      <c r="JBH10" s="65"/>
      <c r="JBI10" s="65"/>
      <c r="JBJ10" s="65"/>
      <c r="JBK10" s="65"/>
      <c r="JBL10" s="65"/>
      <c r="JBM10" s="65"/>
      <c r="JBN10" s="65"/>
      <c r="JBO10" s="65"/>
      <c r="JBP10" s="65"/>
      <c r="JBQ10" s="65"/>
      <c r="JBR10" s="65"/>
      <c r="JBS10" s="65"/>
      <c r="JBT10" s="65"/>
      <c r="JBU10" s="65"/>
      <c r="JBV10" s="65"/>
      <c r="JBW10" s="65"/>
      <c r="JBX10" s="65"/>
      <c r="JBY10" s="65"/>
      <c r="JBZ10" s="65"/>
      <c r="JCA10" s="65"/>
      <c r="JCB10" s="65"/>
      <c r="JCC10" s="65"/>
      <c r="JCD10" s="65"/>
      <c r="JCE10" s="65"/>
      <c r="JCF10" s="65"/>
      <c r="JCG10" s="65"/>
      <c r="JCH10" s="65"/>
      <c r="JCI10" s="65"/>
      <c r="JCJ10" s="65"/>
      <c r="JCK10" s="65"/>
      <c r="JCL10" s="65"/>
      <c r="JCM10" s="65"/>
      <c r="JCN10" s="65"/>
      <c r="JCO10" s="65"/>
      <c r="JCP10" s="65"/>
      <c r="JCQ10" s="65"/>
      <c r="JCR10" s="65"/>
      <c r="JCS10" s="65"/>
      <c r="JCT10" s="65"/>
      <c r="JCU10" s="65"/>
      <c r="JCV10" s="65"/>
      <c r="JCW10" s="65"/>
      <c r="JCX10" s="65"/>
      <c r="JCY10" s="65"/>
      <c r="JCZ10" s="65"/>
      <c r="JDA10" s="65"/>
      <c r="JDB10" s="65"/>
      <c r="JDC10" s="65"/>
      <c r="JDD10" s="65"/>
      <c r="JDE10" s="65"/>
      <c r="JDF10" s="65"/>
      <c r="JDG10" s="65"/>
      <c r="JDH10" s="65"/>
      <c r="JDI10" s="65"/>
      <c r="JDJ10" s="65"/>
      <c r="JDK10" s="65"/>
      <c r="JDL10" s="65"/>
      <c r="JDM10" s="65"/>
      <c r="JDN10" s="65"/>
      <c r="JDO10" s="65"/>
      <c r="JDP10" s="65"/>
      <c r="JDQ10" s="65"/>
      <c r="JDR10" s="65"/>
      <c r="JDS10" s="65"/>
      <c r="JDT10" s="65"/>
      <c r="JDU10" s="65"/>
      <c r="JDV10" s="65"/>
      <c r="JDW10" s="65"/>
      <c r="JDX10" s="65"/>
      <c r="JDY10" s="65"/>
      <c r="JDZ10" s="65"/>
      <c r="JEA10" s="65"/>
      <c r="JEB10" s="65"/>
      <c r="JEC10" s="65"/>
      <c r="JED10" s="65"/>
      <c r="JEE10" s="65"/>
      <c r="JEF10" s="65"/>
      <c r="JEG10" s="65"/>
      <c r="JEH10" s="65"/>
      <c r="JEI10" s="65"/>
      <c r="JEJ10" s="65"/>
      <c r="JEK10" s="65"/>
      <c r="JEL10" s="65"/>
      <c r="JEM10" s="65"/>
      <c r="JEN10" s="65"/>
      <c r="JEO10" s="65"/>
      <c r="JEP10" s="65"/>
      <c r="JEQ10" s="65"/>
      <c r="JER10" s="65"/>
      <c r="JES10" s="65"/>
      <c r="JET10" s="65"/>
      <c r="JEU10" s="65"/>
      <c r="JEV10" s="65"/>
      <c r="JEW10" s="65"/>
      <c r="JEX10" s="65"/>
      <c r="JEY10" s="65"/>
      <c r="JEZ10" s="65"/>
      <c r="JFA10" s="65"/>
      <c r="JFB10" s="65"/>
      <c r="JFC10" s="65"/>
      <c r="JFD10" s="65"/>
      <c r="JFE10" s="65"/>
      <c r="JFF10" s="65"/>
      <c r="JFG10" s="65"/>
      <c r="JFH10" s="65"/>
      <c r="JFI10" s="65"/>
      <c r="JFJ10" s="65"/>
      <c r="JFK10" s="65"/>
      <c r="JFL10" s="65"/>
      <c r="JFM10" s="65"/>
      <c r="JFN10" s="65"/>
      <c r="JFO10" s="65"/>
      <c r="JFP10" s="65"/>
      <c r="JFQ10" s="65"/>
      <c r="JFR10" s="65"/>
      <c r="JFS10" s="65"/>
      <c r="JFT10" s="65"/>
      <c r="JFU10" s="65"/>
      <c r="JFV10" s="65"/>
      <c r="JFW10" s="65"/>
      <c r="JFX10" s="65"/>
      <c r="JFY10" s="65"/>
      <c r="JFZ10" s="65"/>
      <c r="JGA10" s="65"/>
      <c r="JGB10" s="65"/>
      <c r="JGC10" s="65"/>
      <c r="JGD10" s="65"/>
      <c r="JGE10" s="65"/>
      <c r="JGF10" s="65"/>
      <c r="JGG10" s="65"/>
      <c r="JGH10" s="65"/>
      <c r="JGI10" s="65"/>
      <c r="JGJ10" s="65"/>
      <c r="JGK10" s="65"/>
      <c r="JGL10" s="65"/>
      <c r="JGM10" s="65"/>
      <c r="JGN10" s="65"/>
      <c r="JGO10" s="65"/>
      <c r="JGP10" s="65"/>
      <c r="JGQ10" s="65"/>
      <c r="JGR10" s="65"/>
      <c r="JGS10" s="65"/>
      <c r="JGT10" s="65"/>
      <c r="JGU10" s="65"/>
      <c r="JGV10" s="65"/>
      <c r="JGW10" s="65"/>
      <c r="JGX10" s="65"/>
      <c r="JGY10" s="65"/>
      <c r="JGZ10" s="65"/>
      <c r="JHA10" s="65"/>
      <c r="JHB10" s="65"/>
      <c r="JHC10" s="65"/>
      <c r="JHD10" s="65"/>
      <c r="JHE10" s="65"/>
      <c r="JHF10" s="65"/>
      <c r="JHG10" s="65"/>
      <c r="JHH10" s="65"/>
      <c r="JHI10" s="65"/>
      <c r="JHJ10" s="65"/>
      <c r="JHK10" s="65"/>
      <c r="JHL10" s="65"/>
      <c r="JHM10" s="65"/>
      <c r="JHN10" s="65"/>
      <c r="JHO10" s="65"/>
      <c r="JHP10" s="65"/>
      <c r="JHQ10" s="65"/>
      <c r="JHR10" s="65"/>
      <c r="JHS10" s="65"/>
      <c r="JHT10" s="65"/>
      <c r="JHU10" s="65"/>
      <c r="JHV10" s="65"/>
      <c r="JHW10" s="65"/>
      <c r="JHX10" s="65"/>
      <c r="JHY10" s="65"/>
      <c r="JHZ10" s="65"/>
      <c r="JIA10" s="65"/>
      <c r="JIB10" s="65"/>
      <c r="JIC10" s="65"/>
      <c r="JID10" s="65"/>
      <c r="JIE10" s="65"/>
      <c r="JIF10" s="65"/>
      <c r="JIG10" s="65"/>
      <c r="JIH10" s="65"/>
      <c r="JII10" s="65"/>
      <c r="JIJ10" s="65"/>
      <c r="JIK10" s="65"/>
      <c r="JIL10" s="65"/>
      <c r="JIM10" s="65"/>
      <c r="JIN10" s="65"/>
      <c r="JIO10" s="65"/>
      <c r="JIP10" s="65"/>
      <c r="JIQ10" s="65"/>
      <c r="JIR10" s="65"/>
      <c r="JIS10" s="65"/>
      <c r="JIT10" s="65"/>
      <c r="JIU10" s="65"/>
      <c r="JIV10" s="65"/>
      <c r="JIW10" s="65"/>
      <c r="JIX10" s="65"/>
      <c r="JIY10" s="65"/>
      <c r="JIZ10" s="65"/>
      <c r="JJA10" s="65"/>
      <c r="JJB10" s="65"/>
      <c r="JJC10" s="65"/>
      <c r="JJD10" s="65"/>
      <c r="JJE10" s="65"/>
      <c r="JJF10" s="65"/>
      <c r="JJG10" s="65"/>
      <c r="JJH10" s="65"/>
      <c r="JJI10" s="65"/>
      <c r="JJJ10" s="65"/>
      <c r="JJK10" s="65"/>
      <c r="JJL10" s="65"/>
      <c r="JJM10" s="65"/>
      <c r="JJN10" s="65"/>
      <c r="JJO10" s="65"/>
      <c r="JJP10" s="65"/>
      <c r="JJQ10" s="65"/>
      <c r="JJR10" s="65"/>
      <c r="JJS10" s="65"/>
      <c r="JJT10" s="65"/>
      <c r="JJU10" s="65"/>
      <c r="JJV10" s="65"/>
      <c r="JJW10" s="65"/>
      <c r="JJX10" s="65"/>
      <c r="JJY10" s="65"/>
      <c r="JJZ10" s="65"/>
      <c r="JKA10" s="65"/>
      <c r="JKB10" s="65"/>
      <c r="JKC10" s="65"/>
      <c r="JKD10" s="65"/>
      <c r="JKE10" s="65"/>
      <c r="JKF10" s="65"/>
      <c r="JKG10" s="65"/>
      <c r="JKH10" s="65"/>
      <c r="JKI10" s="65"/>
      <c r="JKJ10" s="65"/>
      <c r="JKK10" s="65"/>
      <c r="JKL10" s="65"/>
      <c r="JKM10" s="65"/>
      <c r="JKN10" s="65"/>
      <c r="JKO10" s="65"/>
      <c r="JKP10" s="65"/>
      <c r="JKQ10" s="65"/>
      <c r="JKR10" s="65"/>
      <c r="JKS10" s="65"/>
      <c r="JKT10" s="65"/>
      <c r="JKU10" s="65"/>
      <c r="JKV10" s="65"/>
      <c r="JKW10" s="65"/>
      <c r="JKX10" s="65"/>
      <c r="JKY10" s="65"/>
      <c r="JKZ10" s="65"/>
      <c r="JLA10" s="65"/>
      <c r="JLB10" s="65"/>
      <c r="JLC10" s="65"/>
      <c r="JLD10" s="65"/>
      <c r="JLE10" s="65"/>
      <c r="JLF10" s="65"/>
      <c r="JLG10" s="65"/>
      <c r="JLH10" s="65"/>
      <c r="JLI10" s="65"/>
      <c r="JLJ10" s="65"/>
      <c r="JLK10" s="65"/>
      <c r="JLL10" s="65"/>
      <c r="JLM10" s="65"/>
      <c r="JLN10" s="65"/>
      <c r="JLO10" s="65"/>
      <c r="JLP10" s="65"/>
      <c r="JLQ10" s="65"/>
      <c r="JLR10" s="65"/>
      <c r="JLS10" s="65"/>
      <c r="JLT10" s="65"/>
      <c r="JLU10" s="65"/>
      <c r="JLV10" s="65"/>
      <c r="JLW10" s="65"/>
      <c r="JLX10" s="65"/>
      <c r="JLY10" s="65"/>
      <c r="JLZ10" s="65"/>
      <c r="JMA10" s="65"/>
      <c r="JMB10" s="65"/>
      <c r="JMC10" s="65"/>
      <c r="JMD10" s="65"/>
      <c r="JME10" s="65"/>
      <c r="JMF10" s="65"/>
      <c r="JMG10" s="65"/>
      <c r="JMH10" s="65"/>
      <c r="JMI10" s="65"/>
      <c r="JMJ10" s="65"/>
      <c r="JMK10" s="65"/>
      <c r="JML10" s="65"/>
      <c r="JMM10" s="65"/>
      <c r="JMN10" s="65"/>
      <c r="JMO10" s="65"/>
      <c r="JMP10" s="65"/>
      <c r="JMQ10" s="65"/>
      <c r="JMR10" s="65"/>
      <c r="JMS10" s="65"/>
      <c r="JMT10" s="65"/>
      <c r="JMU10" s="65"/>
      <c r="JMV10" s="65"/>
      <c r="JMW10" s="65"/>
      <c r="JMX10" s="65"/>
      <c r="JMY10" s="65"/>
      <c r="JMZ10" s="65"/>
      <c r="JNA10" s="65"/>
      <c r="JNB10" s="65"/>
      <c r="JNC10" s="65"/>
      <c r="JND10" s="65"/>
      <c r="JNE10" s="65"/>
      <c r="JNF10" s="65"/>
      <c r="JNG10" s="65"/>
      <c r="JNH10" s="65"/>
      <c r="JNI10" s="65"/>
      <c r="JNJ10" s="65"/>
      <c r="JNK10" s="65"/>
      <c r="JNL10" s="65"/>
      <c r="JNM10" s="65"/>
      <c r="JNN10" s="65"/>
      <c r="JNO10" s="65"/>
      <c r="JNP10" s="65"/>
      <c r="JNQ10" s="65"/>
      <c r="JNR10" s="65"/>
      <c r="JNS10" s="65"/>
      <c r="JNT10" s="65"/>
      <c r="JNU10" s="65"/>
      <c r="JNV10" s="65"/>
      <c r="JNW10" s="65"/>
      <c r="JNX10" s="65"/>
      <c r="JNY10" s="65"/>
      <c r="JNZ10" s="65"/>
      <c r="JOA10" s="65"/>
      <c r="JOB10" s="65"/>
      <c r="JOC10" s="65"/>
      <c r="JOD10" s="65"/>
      <c r="JOE10" s="65"/>
      <c r="JOF10" s="65"/>
      <c r="JOG10" s="65"/>
      <c r="JOH10" s="65"/>
      <c r="JOI10" s="65"/>
      <c r="JOJ10" s="65"/>
      <c r="JOK10" s="65"/>
      <c r="JOL10" s="65"/>
      <c r="JOM10" s="65"/>
      <c r="JON10" s="65"/>
      <c r="JOO10" s="65"/>
      <c r="JOP10" s="65"/>
      <c r="JOQ10" s="65"/>
      <c r="JOR10" s="65"/>
      <c r="JOS10" s="65"/>
      <c r="JOT10" s="65"/>
      <c r="JOU10" s="65"/>
      <c r="JOV10" s="65"/>
      <c r="JOW10" s="65"/>
      <c r="JOX10" s="65"/>
      <c r="JOY10" s="65"/>
      <c r="JOZ10" s="65"/>
      <c r="JPA10" s="65"/>
      <c r="JPB10" s="65"/>
      <c r="JPC10" s="65"/>
      <c r="JPD10" s="65"/>
      <c r="JPE10" s="65"/>
      <c r="JPF10" s="65"/>
      <c r="JPG10" s="65"/>
      <c r="JPH10" s="65"/>
      <c r="JPI10" s="65"/>
      <c r="JPJ10" s="65"/>
      <c r="JPK10" s="65"/>
      <c r="JPL10" s="65"/>
      <c r="JPM10" s="65"/>
      <c r="JPN10" s="65"/>
      <c r="JPO10" s="65"/>
      <c r="JPP10" s="65"/>
      <c r="JPQ10" s="65"/>
      <c r="JPR10" s="65"/>
      <c r="JPS10" s="65"/>
      <c r="JPT10" s="65"/>
      <c r="JPU10" s="65"/>
      <c r="JPV10" s="65"/>
      <c r="JPW10" s="65"/>
      <c r="JPX10" s="65"/>
      <c r="JPY10" s="65"/>
      <c r="JPZ10" s="65"/>
      <c r="JQA10" s="65"/>
      <c r="JQB10" s="65"/>
      <c r="JQC10" s="65"/>
      <c r="JQD10" s="65"/>
      <c r="JQE10" s="65"/>
      <c r="JQF10" s="65"/>
      <c r="JQG10" s="65"/>
      <c r="JQH10" s="65"/>
      <c r="JQI10" s="65"/>
      <c r="JQJ10" s="65"/>
      <c r="JQK10" s="65"/>
      <c r="JQL10" s="65"/>
      <c r="JQM10" s="65"/>
      <c r="JQN10" s="65"/>
      <c r="JQO10" s="65"/>
      <c r="JQP10" s="65"/>
      <c r="JQQ10" s="65"/>
      <c r="JQR10" s="65"/>
      <c r="JQS10" s="65"/>
      <c r="JQT10" s="65"/>
      <c r="JQU10" s="65"/>
      <c r="JQV10" s="65"/>
      <c r="JQW10" s="65"/>
      <c r="JQX10" s="65"/>
      <c r="JQY10" s="65"/>
      <c r="JQZ10" s="65"/>
      <c r="JRA10" s="65"/>
      <c r="JRB10" s="65"/>
      <c r="JRC10" s="65"/>
      <c r="JRD10" s="65"/>
      <c r="JRE10" s="65"/>
      <c r="JRF10" s="65"/>
      <c r="JRG10" s="65"/>
      <c r="JRH10" s="65"/>
      <c r="JRI10" s="65"/>
      <c r="JRJ10" s="65"/>
      <c r="JRK10" s="65"/>
      <c r="JRL10" s="65"/>
      <c r="JRM10" s="65"/>
      <c r="JRN10" s="65"/>
      <c r="JRO10" s="65"/>
      <c r="JRP10" s="65"/>
      <c r="JRQ10" s="65"/>
      <c r="JRR10" s="65"/>
      <c r="JRS10" s="65"/>
      <c r="JRT10" s="65"/>
      <c r="JRU10" s="65"/>
      <c r="JRV10" s="65"/>
      <c r="JRW10" s="65"/>
      <c r="JRX10" s="65"/>
      <c r="JRY10" s="65"/>
      <c r="JRZ10" s="65"/>
      <c r="JSA10" s="65"/>
      <c r="JSB10" s="65"/>
      <c r="JSC10" s="65"/>
      <c r="JSD10" s="65"/>
      <c r="JSE10" s="65"/>
      <c r="JSF10" s="65"/>
      <c r="JSG10" s="65"/>
      <c r="JSH10" s="65"/>
      <c r="JSI10" s="65"/>
      <c r="JSJ10" s="65"/>
      <c r="JSK10" s="65"/>
      <c r="JSL10" s="65"/>
      <c r="JSM10" s="65"/>
      <c r="JSN10" s="65"/>
      <c r="JSO10" s="65"/>
      <c r="JSP10" s="65"/>
      <c r="JSQ10" s="65"/>
      <c r="JSR10" s="65"/>
      <c r="JSS10" s="65"/>
      <c r="JST10" s="65"/>
      <c r="JSU10" s="65"/>
      <c r="JSV10" s="65"/>
      <c r="JSW10" s="65"/>
      <c r="JSX10" s="65"/>
      <c r="JSY10" s="65"/>
      <c r="JSZ10" s="65"/>
      <c r="JTA10" s="65"/>
      <c r="JTB10" s="65"/>
      <c r="JTC10" s="65"/>
      <c r="JTD10" s="65"/>
      <c r="JTE10" s="65"/>
      <c r="JTF10" s="65"/>
      <c r="JTG10" s="65"/>
      <c r="JTH10" s="65"/>
      <c r="JTI10" s="65"/>
      <c r="JTJ10" s="65"/>
      <c r="JTK10" s="65"/>
      <c r="JTL10" s="65"/>
      <c r="JTM10" s="65"/>
      <c r="JTN10" s="65"/>
      <c r="JTO10" s="65"/>
      <c r="JTP10" s="65"/>
      <c r="JTQ10" s="65"/>
      <c r="JTR10" s="65"/>
      <c r="JTS10" s="65"/>
      <c r="JTT10" s="65"/>
      <c r="JTU10" s="65"/>
      <c r="JTV10" s="65"/>
      <c r="JTW10" s="65"/>
      <c r="JTX10" s="65"/>
      <c r="JTY10" s="65"/>
      <c r="JTZ10" s="65"/>
      <c r="JUA10" s="65"/>
      <c r="JUB10" s="65"/>
      <c r="JUC10" s="65"/>
      <c r="JUD10" s="65"/>
      <c r="JUE10" s="65"/>
      <c r="JUF10" s="65"/>
      <c r="JUG10" s="65"/>
      <c r="JUH10" s="65"/>
      <c r="JUI10" s="65"/>
      <c r="JUJ10" s="65"/>
      <c r="JUK10" s="65"/>
      <c r="JUL10" s="65"/>
      <c r="JUM10" s="65"/>
      <c r="JUN10" s="65"/>
      <c r="JUO10" s="65"/>
      <c r="JUP10" s="65"/>
      <c r="JUQ10" s="65"/>
      <c r="JUR10" s="65"/>
      <c r="JUS10" s="65"/>
      <c r="JUT10" s="65"/>
      <c r="JUU10" s="65"/>
      <c r="JUV10" s="65"/>
      <c r="JUW10" s="65"/>
      <c r="JUX10" s="65"/>
      <c r="JUY10" s="65"/>
      <c r="JUZ10" s="65"/>
      <c r="JVA10" s="65"/>
      <c r="JVB10" s="65"/>
      <c r="JVC10" s="65"/>
      <c r="JVD10" s="65"/>
      <c r="JVE10" s="65"/>
      <c r="JVF10" s="65"/>
      <c r="JVG10" s="65"/>
      <c r="JVH10" s="65"/>
      <c r="JVI10" s="65"/>
      <c r="JVJ10" s="65"/>
      <c r="JVK10" s="65"/>
      <c r="JVL10" s="65"/>
      <c r="JVM10" s="65"/>
      <c r="JVN10" s="65"/>
      <c r="JVO10" s="65"/>
      <c r="JVP10" s="65"/>
      <c r="JVQ10" s="65"/>
      <c r="JVR10" s="65"/>
      <c r="JVS10" s="65"/>
      <c r="JVT10" s="65"/>
      <c r="JVU10" s="65"/>
      <c r="JVV10" s="65"/>
      <c r="JVW10" s="65"/>
      <c r="JVX10" s="65"/>
      <c r="JVY10" s="65"/>
      <c r="JVZ10" s="65"/>
      <c r="JWA10" s="65"/>
      <c r="JWB10" s="65"/>
      <c r="JWC10" s="65"/>
      <c r="JWD10" s="65"/>
      <c r="JWE10" s="65"/>
      <c r="JWF10" s="65"/>
      <c r="JWG10" s="65"/>
      <c r="JWH10" s="65"/>
      <c r="JWI10" s="65"/>
      <c r="JWJ10" s="65"/>
      <c r="JWK10" s="65"/>
      <c r="JWL10" s="65"/>
      <c r="JWM10" s="65"/>
      <c r="JWN10" s="65"/>
      <c r="JWO10" s="65"/>
      <c r="JWP10" s="65"/>
      <c r="JWQ10" s="65"/>
      <c r="JWR10" s="65"/>
      <c r="JWS10" s="65"/>
      <c r="JWT10" s="65"/>
      <c r="JWU10" s="65"/>
      <c r="JWV10" s="65"/>
      <c r="JWW10" s="65"/>
      <c r="JWX10" s="65"/>
      <c r="JWY10" s="65"/>
      <c r="JWZ10" s="65"/>
      <c r="JXA10" s="65"/>
      <c r="JXB10" s="65"/>
      <c r="JXC10" s="65"/>
      <c r="JXD10" s="65"/>
      <c r="JXE10" s="65"/>
      <c r="JXF10" s="65"/>
      <c r="JXG10" s="65"/>
      <c r="JXH10" s="65"/>
      <c r="JXI10" s="65"/>
      <c r="JXJ10" s="65"/>
      <c r="JXK10" s="65"/>
      <c r="JXL10" s="65"/>
      <c r="JXM10" s="65"/>
      <c r="JXN10" s="65"/>
      <c r="JXO10" s="65"/>
      <c r="JXP10" s="65"/>
      <c r="JXQ10" s="65"/>
      <c r="JXR10" s="65"/>
      <c r="JXS10" s="65"/>
      <c r="JXT10" s="65"/>
      <c r="JXU10" s="65"/>
      <c r="JXV10" s="65"/>
      <c r="JXW10" s="65"/>
      <c r="JXX10" s="65"/>
      <c r="JXY10" s="65"/>
      <c r="JXZ10" s="65"/>
      <c r="JYA10" s="65"/>
      <c r="JYB10" s="65"/>
      <c r="JYC10" s="65"/>
      <c r="JYD10" s="65"/>
      <c r="JYE10" s="65"/>
      <c r="JYF10" s="65"/>
      <c r="JYG10" s="65"/>
      <c r="JYH10" s="65"/>
      <c r="JYI10" s="65"/>
      <c r="JYJ10" s="65"/>
      <c r="JYK10" s="65"/>
      <c r="JYL10" s="65"/>
      <c r="JYM10" s="65"/>
      <c r="JYN10" s="65"/>
      <c r="JYO10" s="65"/>
      <c r="JYP10" s="65"/>
      <c r="JYQ10" s="65"/>
      <c r="JYR10" s="65"/>
      <c r="JYS10" s="65"/>
      <c r="JYT10" s="65"/>
      <c r="JYU10" s="65"/>
      <c r="JYV10" s="65"/>
      <c r="JYW10" s="65"/>
      <c r="JYX10" s="65"/>
      <c r="JYY10" s="65"/>
      <c r="JYZ10" s="65"/>
      <c r="JZA10" s="65"/>
      <c r="JZB10" s="65"/>
      <c r="JZC10" s="65"/>
      <c r="JZD10" s="65"/>
      <c r="JZE10" s="65"/>
      <c r="JZF10" s="65"/>
      <c r="JZG10" s="65"/>
      <c r="JZH10" s="65"/>
      <c r="JZI10" s="65"/>
      <c r="JZJ10" s="65"/>
      <c r="JZK10" s="65"/>
      <c r="JZL10" s="65"/>
      <c r="JZM10" s="65"/>
      <c r="JZN10" s="65"/>
      <c r="JZO10" s="65"/>
      <c r="JZP10" s="65"/>
      <c r="JZQ10" s="65"/>
      <c r="JZR10" s="65"/>
      <c r="JZS10" s="65"/>
      <c r="JZT10" s="65"/>
      <c r="JZU10" s="65"/>
      <c r="JZV10" s="65"/>
      <c r="JZW10" s="65"/>
      <c r="JZX10" s="65"/>
      <c r="JZY10" s="65"/>
      <c r="JZZ10" s="65"/>
      <c r="KAA10" s="65"/>
      <c r="KAB10" s="65"/>
      <c r="KAC10" s="65"/>
      <c r="KAD10" s="65"/>
      <c r="KAE10" s="65"/>
      <c r="KAF10" s="65"/>
      <c r="KAG10" s="65"/>
      <c r="KAH10" s="65"/>
      <c r="KAI10" s="65"/>
      <c r="KAJ10" s="65"/>
      <c r="KAK10" s="65"/>
      <c r="KAL10" s="65"/>
      <c r="KAM10" s="65"/>
      <c r="KAN10" s="65"/>
      <c r="KAO10" s="65"/>
      <c r="KAP10" s="65"/>
      <c r="KAQ10" s="65"/>
      <c r="KAR10" s="65"/>
      <c r="KAS10" s="65"/>
      <c r="KAT10" s="65"/>
      <c r="KAU10" s="65"/>
      <c r="KAV10" s="65"/>
      <c r="KAW10" s="65"/>
      <c r="KAX10" s="65"/>
      <c r="KAY10" s="65"/>
      <c r="KAZ10" s="65"/>
      <c r="KBA10" s="65"/>
      <c r="KBB10" s="65"/>
      <c r="KBC10" s="65"/>
      <c r="KBD10" s="65"/>
      <c r="KBE10" s="65"/>
      <c r="KBF10" s="65"/>
      <c r="KBG10" s="65"/>
      <c r="KBH10" s="65"/>
      <c r="KBI10" s="65"/>
      <c r="KBJ10" s="65"/>
      <c r="KBK10" s="65"/>
      <c r="KBL10" s="65"/>
      <c r="KBM10" s="65"/>
      <c r="KBN10" s="65"/>
      <c r="KBO10" s="65"/>
      <c r="KBP10" s="65"/>
      <c r="KBQ10" s="65"/>
      <c r="KBR10" s="65"/>
      <c r="KBS10" s="65"/>
      <c r="KBT10" s="65"/>
      <c r="KBU10" s="65"/>
      <c r="KBV10" s="65"/>
      <c r="KBW10" s="65"/>
      <c r="KBX10" s="65"/>
      <c r="KBY10" s="65"/>
      <c r="KBZ10" s="65"/>
      <c r="KCA10" s="65"/>
      <c r="KCB10" s="65"/>
      <c r="KCC10" s="65"/>
      <c r="KCD10" s="65"/>
      <c r="KCE10" s="65"/>
      <c r="KCF10" s="65"/>
      <c r="KCG10" s="65"/>
      <c r="KCH10" s="65"/>
      <c r="KCI10" s="65"/>
      <c r="KCJ10" s="65"/>
      <c r="KCK10" s="65"/>
      <c r="KCL10" s="65"/>
      <c r="KCM10" s="65"/>
      <c r="KCN10" s="65"/>
      <c r="KCO10" s="65"/>
      <c r="KCP10" s="65"/>
      <c r="KCQ10" s="65"/>
      <c r="KCR10" s="65"/>
      <c r="KCS10" s="65"/>
      <c r="KCT10" s="65"/>
      <c r="KCU10" s="65"/>
      <c r="KCV10" s="65"/>
      <c r="KCW10" s="65"/>
      <c r="KCX10" s="65"/>
      <c r="KCY10" s="65"/>
      <c r="KCZ10" s="65"/>
      <c r="KDA10" s="65"/>
      <c r="KDB10" s="65"/>
      <c r="KDC10" s="65"/>
      <c r="KDD10" s="65"/>
      <c r="KDE10" s="65"/>
      <c r="KDF10" s="65"/>
      <c r="KDG10" s="65"/>
      <c r="KDH10" s="65"/>
      <c r="KDI10" s="65"/>
      <c r="KDJ10" s="65"/>
      <c r="KDK10" s="65"/>
      <c r="KDL10" s="65"/>
      <c r="KDM10" s="65"/>
      <c r="KDN10" s="65"/>
      <c r="KDO10" s="65"/>
      <c r="KDP10" s="65"/>
      <c r="KDQ10" s="65"/>
      <c r="KDR10" s="65"/>
      <c r="KDS10" s="65"/>
      <c r="KDT10" s="65"/>
      <c r="KDU10" s="65"/>
      <c r="KDV10" s="65"/>
      <c r="KDW10" s="65"/>
      <c r="KDX10" s="65"/>
      <c r="KDY10" s="65"/>
      <c r="KDZ10" s="65"/>
      <c r="KEA10" s="65"/>
      <c r="KEB10" s="65"/>
      <c r="KEC10" s="65"/>
      <c r="KED10" s="65"/>
      <c r="KEE10" s="65"/>
      <c r="KEF10" s="65"/>
      <c r="KEG10" s="65"/>
      <c r="KEH10" s="65"/>
      <c r="KEI10" s="65"/>
      <c r="KEJ10" s="65"/>
      <c r="KEK10" s="65"/>
      <c r="KEL10" s="65"/>
      <c r="KEM10" s="65"/>
      <c r="KEN10" s="65"/>
      <c r="KEO10" s="65"/>
      <c r="KEP10" s="65"/>
      <c r="KEQ10" s="65"/>
      <c r="KER10" s="65"/>
      <c r="KES10" s="65"/>
      <c r="KET10" s="65"/>
      <c r="KEU10" s="65"/>
      <c r="KEV10" s="65"/>
      <c r="KEW10" s="65"/>
      <c r="KEX10" s="65"/>
      <c r="KEY10" s="65"/>
      <c r="KEZ10" s="65"/>
      <c r="KFA10" s="65"/>
      <c r="KFB10" s="65"/>
      <c r="KFC10" s="65"/>
      <c r="KFD10" s="65"/>
      <c r="KFE10" s="65"/>
      <c r="KFF10" s="65"/>
      <c r="KFG10" s="65"/>
      <c r="KFH10" s="65"/>
      <c r="KFI10" s="65"/>
      <c r="KFJ10" s="65"/>
      <c r="KFK10" s="65"/>
      <c r="KFL10" s="65"/>
      <c r="KFM10" s="65"/>
      <c r="KFN10" s="65"/>
      <c r="KFO10" s="65"/>
      <c r="KFP10" s="65"/>
      <c r="KFQ10" s="65"/>
      <c r="KFR10" s="65"/>
      <c r="KFS10" s="65"/>
      <c r="KFT10" s="65"/>
      <c r="KFU10" s="65"/>
      <c r="KFV10" s="65"/>
      <c r="KFW10" s="65"/>
      <c r="KFX10" s="65"/>
      <c r="KFY10" s="65"/>
      <c r="KFZ10" s="65"/>
      <c r="KGA10" s="65"/>
      <c r="KGB10" s="65"/>
      <c r="KGC10" s="65"/>
      <c r="KGD10" s="65"/>
      <c r="KGE10" s="65"/>
      <c r="KGF10" s="65"/>
      <c r="KGG10" s="65"/>
      <c r="KGH10" s="65"/>
      <c r="KGI10" s="65"/>
      <c r="KGJ10" s="65"/>
      <c r="KGK10" s="65"/>
      <c r="KGL10" s="65"/>
      <c r="KGM10" s="65"/>
      <c r="KGN10" s="65"/>
      <c r="KGO10" s="65"/>
      <c r="KGP10" s="65"/>
      <c r="KGQ10" s="65"/>
      <c r="KGR10" s="65"/>
      <c r="KGS10" s="65"/>
      <c r="KGT10" s="65"/>
      <c r="KGU10" s="65"/>
      <c r="KGV10" s="65"/>
      <c r="KGW10" s="65"/>
      <c r="KGX10" s="65"/>
      <c r="KGY10" s="65"/>
      <c r="KGZ10" s="65"/>
      <c r="KHA10" s="65"/>
      <c r="KHB10" s="65"/>
      <c r="KHC10" s="65"/>
      <c r="KHD10" s="65"/>
      <c r="KHE10" s="65"/>
      <c r="KHF10" s="65"/>
      <c r="KHG10" s="65"/>
      <c r="KHH10" s="65"/>
      <c r="KHI10" s="65"/>
      <c r="KHJ10" s="65"/>
      <c r="KHK10" s="65"/>
      <c r="KHL10" s="65"/>
      <c r="KHM10" s="65"/>
      <c r="KHN10" s="65"/>
      <c r="KHO10" s="65"/>
      <c r="KHP10" s="65"/>
      <c r="KHQ10" s="65"/>
      <c r="KHR10" s="65"/>
      <c r="KHS10" s="65"/>
      <c r="KHT10" s="65"/>
      <c r="KHU10" s="65"/>
      <c r="KHV10" s="65"/>
      <c r="KHW10" s="65"/>
      <c r="KHX10" s="65"/>
      <c r="KHY10" s="65"/>
      <c r="KHZ10" s="65"/>
      <c r="KIA10" s="65"/>
      <c r="KIB10" s="65"/>
      <c r="KIC10" s="65"/>
      <c r="KID10" s="65"/>
      <c r="KIE10" s="65"/>
      <c r="KIF10" s="65"/>
      <c r="KIG10" s="65"/>
      <c r="KIH10" s="65"/>
      <c r="KII10" s="65"/>
      <c r="KIJ10" s="65"/>
      <c r="KIK10" s="65"/>
      <c r="KIL10" s="65"/>
      <c r="KIM10" s="65"/>
      <c r="KIN10" s="65"/>
      <c r="KIO10" s="65"/>
      <c r="KIP10" s="65"/>
      <c r="KIQ10" s="65"/>
      <c r="KIR10" s="65"/>
      <c r="KIS10" s="65"/>
      <c r="KIT10" s="65"/>
      <c r="KIU10" s="65"/>
      <c r="KIV10" s="65"/>
      <c r="KIW10" s="65"/>
      <c r="KIX10" s="65"/>
      <c r="KIY10" s="65"/>
      <c r="KIZ10" s="65"/>
      <c r="KJA10" s="65"/>
      <c r="KJB10" s="65"/>
      <c r="KJC10" s="65"/>
      <c r="KJD10" s="65"/>
      <c r="KJE10" s="65"/>
      <c r="KJF10" s="65"/>
      <c r="KJG10" s="65"/>
      <c r="KJH10" s="65"/>
      <c r="KJI10" s="65"/>
      <c r="KJJ10" s="65"/>
      <c r="KJK10" s="65"/>
      <c r="KJL10" s="65"/>
      <c r="KJM10" s="65"/>
      <c r="KJN10" s="65"/>
      <c r="KJO10" s="65"/>
      <c r="KJP10" s="65"/>
      <c r="KJQ10" s="65"/>
      <c r="KJR10" s="65"/>
      <c r="KJS10" s="65"/>
      <c r="KJT10" s="65"/>
      <c r="KJU10" s="65"/>
      <c r="KJV10" s="65"/>
      <c r="KJW10" s="65"/>
      <c r="KJX10" s="65"/>
      <c r="KJY10" s="65"/>
      <c r="KJZ10" s="65"/>
      <c r="KKA10" s="65"/>
      <c r="KKB10" s="65"/>
      <c r="KKC10" s="65"/>
      <c r="KKD10" s="65"/>
      <c r="KKE10" s="65"/>
      <c r="KKF10" s="65"/>
      <c r="KKG10" s="65"/>
      <c r="KKH10" s="65"/>
      <c r="KKI10" s="65"/>
      <c r="KKJ10" s="65"/>
      <c r="KKK10" s="65"/>
      <c r="KKL10" s="65"/>
      <c r="KKM10" s="65"/>
      <c r="KKN10" s="65"/>
      <c r="KKO10" s="65"/>
      <c r="KKP10" s="65"/>
      <c r="KKQ10" s="65"/>
      <c r="KKR10" s="65"/>
      <c r="KKS10" s="65"/>
      <c r="KKT10" s="65"/>
      <c r="KKU10" s="65"/>
      <c r="KKV10" s="65"/>
      <c r="KKW10" s="65"/>
      <c r="KKX10" s="65"/>
      <c r="KKY10" s="65"/>
      <c r="KKZ10" s="65"/>
      <c r="KLA10" s="65"/>
      <c r="KLB10" s="65"/>
      <c r="KLC10" s="65"/>
      <c r="KLD10" s="65"/>
      <c r="KLE10" s="65"/>
      <c r="KLF10" s="65"/>
      <c r="KLG10" s="65"/>
      <c r="KLH10" s="65"/>
      <c r="KLI10" s="65"/>
      <c r="KLJ10" s="65"/>
      <c r="KLK10" s="65"/>
      <c r="KLL10" s="65"/>
      <c r="KLM10" s="65"/>
      <c r="KLN10" s="65"/>
      <c r="KLO10" s="65"/>
      <c r="KLP10" s="65"/>
      <c r="KLQ10" s="65"/>
      <c r="KLR10" s="65"/>
      <c r="KLS10" s="65"/>
      <c r="KLT10" s="65"/>
      <c r="KLU10" s="65"/>
      <c r="KLV10" s="65"/>
      <c r="KLW10" s="65"/>
      <c r="KLX10" s="65"/>
      <c r="KLY10" s="65"/>
      <c r="KLZ10" s="65"/>
      <c r="KMA10" s="65"/>
      <c r="KMB10" s="65"/>
      <c r="KMC10" s="65"/>
      <c r="KMD10" s="65"/>
      <c r="KME10" s="65"/>
      <c r="KMF10" s="65"/>
      <c r="KMG10" s="65"/>
      <c r="KMH10" s="65"/>
      <c r="KMI10" s="65"/>
      <c r="KMJ10" s="65"/>
      <c r="KMK10" s="65"/>
      <c r="KML10" s="65"/>
      <c r="KMM10" s="65"/>
      <c r="KMN10" s="65"/>
      <c r="KMO10" s="65"/>
      <c r="KMP10" s="65"/>
      <c r="KMQ10" s="65"/>
      <c r="KMR10" s="65"/>
      <c r="KMS10" s="65"/>
      <c r="KMT10" s="65"/>
      <c r="KMU10" s="65"/>
      <c r="KMV10" s="65"/>
      <c r="KMW10" s="65"/>
      <c r="KMX10" s="65"/>
      <c r="KMY10" s="65"/>
      <c r="KMZ10" s="65"/>
      <c r="KNA10" s="65"/>
      <c r="KNB10" s="65"/>
      <c r="KNC10" s="65"/>
      <c r="KND10" s="65"/>
      <c r="KNE10" s="65"/>
      <c r="KNF10" s="65"/>
      <c r="KNG10" s="65"/>
      <c r="KNH10" s="65"/>
      <c r="KNI10" s="65"/>
      <c r="KNJ10" s="65"/>
      <c r="KNK10" s="65"/>
      <c r="KNL10" s="65"/>
      <c r="KNM10" s="65"/>
      <c r="KNN10" s="65"/>
      <c r="KNO10" s="65"/>
      <c r="KNP10" s="65"/>
      <c r="KNQ10" s="65"/>
      <c r="KNR10" s="65"/>
      <c r="KNS10" s="65"/>
      <c r="KNT10" s="65"/>
      <c r="KNU10" s="65"/>
      <c r="KNV10" s="65"/>
      <c r="KNW10" s="65"/>
      <c r="KNX10" s="65"/>
      <c r="KNY10" s="65"/>
      <c r="KNZ10" s="65"/>
      <c r="KOA10" s="65"/>
      <c r="KOB10" s="65"/>
      <c r="KOC10" s="65"/>
      <c r="KOD10" s="65"/>
      <c r="KOE10" s="65"/>
      <c r="KOF10" s="65"/>
      <c r="KOG10" s="65"/>
      <c r="KOH10" s="65"/>
      <c r="KOI10" s="65"/>
      <c r="KOJ10" s="65"/>
      <c r="KOK10" s="65"/>
      <c r="KOL10" s="65"/>
      <c r="KOM10" s="65"/>
      <c r="KON10" s="65"/>
      <c r="KOO10" s="65"/>
      <c r="KOP10" s="65"/>
      <c r="KOQ10" s="65"/>
      <c r="KOR10" s="65"/>
      <c r="KOS10" s="65"/>
      <c r="KOT10" s="65"/>
      <c r="KOU10" s="65"/>
      <c r="KOV10" s="65"/>
      <c r="KOW10" s="65"/>
      <c r="KOX10" s="65"/>
      <c r="KOY10" s="65"/>
      <c r="KOZ10" s="65"/>
      <c r="KPA10" s="65"/>
      <c r="KPB10" s="65"/>
      <c r="KPC10" s="65"/>
      <c r="KPD10" s="65"/>
      <c r="KPE10" s="65"/>
      <c r="KPF10" s="65"/>
      <c r="KPG10" s="65"/>
      <c r="KPH10" s="65"/>
      <c r="KPI10" s="65"/>
      <c r="KPJ10" s="65"/>
      <c r="KPK10" s="65"/>
      <c r="KPL10" s="65"/>
      <c r="KPM10" s="65"/>
      <c r="KPN10" s="65"/>
      <c r="KPO10" s="65"/>
      <c r="KPP10" s="65"/>
      <c r="KPQ10" s="65"/>
      <c r="KPR10" s="65"/>
      <c r="KPS10" s="65"/>
      <c r="KPT10" s="65"/>
      <c r="KPU10" s="65"/>
      <c r="KPV10" s="65"/>
      <c r="KPW10" s="65"/>
      <c r="KPX10" s="65"/>
      <c r="KPY10" s="65"/>
      <c r="KPZ10" s="65"/>
      <c r="KQA10" s="65"/>
      <c r="KQB10" s="65"/>
      <c r="KQC10" s="65"/>
      <c r="KQD10" s="65"/>
      <c r="KQE10" s="65"/>
      <c r="KQF10" s="65"/>
      <c r="KQG10" s="65"/>
      <c r="KQH10" s="65"/>
      <c r="KQI10" s="65"/>
      <c r="KQJ10" s="65"/>
      <c r="KQK10" s="65"/>
      <c r="KQL10" s="65"/>
      <c r="KQM10" s="65"/>
      <c r="KQN10" s="65"/>
      <c r="KQO10" s="65"/>
      <c r="KQP10" s="65"/>
      <c r="KQQ10" s="65"/>
      <c r="KQR10" s="65"/>
      <c r="KQS10" s="65"/>
      <c r="KQT10" s="65"/>
      <c r="KQU10" s="65"/>
      <c r="KQV10" s="65"/>
      <c r="KQW10" s="65"/>
      <c r="KQX10" s="65"/>
      <c r="KQY10" s="65"/>
      <c r="KQZ10" s="65"/>
      <c r="KRA10" s="65"/>
      <c r="KRB10" s="65"/>
      <c r="KRC10" s="65"/>
      <c r="KRD10" s="65"/>
      <c r="KRE10" s="65"/>
      <c r="KRF10" s="65"/>
      <c r="KRG10" s="65"/>
      <c r="KRH10" s="65"/>
      <c r="KRI10" s="65"/>
      <c r="KRJ10" s="65"/>
      <c r="KRK10" s="65"/>
      <c r="KRL10" s="65"/>
      <c r="KRM10" s="65"/>
      <c r="KRN10" s="65"/>
      <c r="KRO10" s="65"/>
      <c r="KRP10" s="65"/>
      <c r="KRQ10" s="65"/>
      <c r="KRR10" s="65"/>
      <c r="KRS10" s="65"/>
      <c r="KRT10" s="65"/>
      <c r="KRU10" s="65"/>
      <c r="KRV10" s="65"/>
      <c r="KRW10" s="65"/>
      <c r="KRX10" s="65"/>
      <c r="KRY10" s="65"/>
      <c r="KRZ10" s="65"/>
      <c r="KSA10" s="65"/>
      <c r="KSB10" s="65"/>
      <c r="KSC10" s="65"/>
      <c r="KSD10" s="65"/>
      <c r="KSE10" s="65"/>
      <c r="KSF10" s="65"/>
      <c r="KSG10" s="65"/>
      <c r="KSH10" s="65"/>
      <c r="KSI10" s="65"/>
      <c r="KSJ10" s="65"/>
      <c r="KSK10" s="65"/>
      <c r="KSL10" s="65"/>
      <c r="KSM10" s="65"/>
      <c r="KSN10" s="65"/>
      <c r="KSO10" s="65"/>
      <c r="KSP10" s="65"/>
      <c r="KSQ10" s="65"/>
      <c r="KSR10" s="65"/>
      <c r="KSS10" s="65"/>
      <c r="KST10" s="65"/>
      <c r="KSU10" s="65"/>
      <c r="KSV10" s="65"/>
      <c r="KSW10" s="65"/>
      <c r="KSX10" s="65"/>
      <c r="KSY10" s="65"/>
      <c r="KSZ10" s="65"/>
      <c r="KTA10" s="65"/>
      <c r="KTB10" s="65"/>
      <c r="KTC10" s="65"/>
      <c r="KTD10" s="65"/>
      <c r="KTE10" s="65"/>
      <c r="KTF10" s="65"/>
      <c r="KTG10" s="65"/>
      <c r="KTH10" s="65"/>
      <c r="KTI10" s="65"/>
      <c r="KTJ10" s="65"/>
      <c r="KTK10" s="65"/>
      <c r="KTL10" s="65"/>
      <c r="KTM10" s="65"/>
      <c r="KTN10" s="65"/>
      <c r="KTO10" s="65"/>
      <c r="KTP10" s="65"/>
      <c r="KTQ10" s="65"/>
      <c r="KTR10" s="65"/>
      <c r="KTS10" s="65"/>
      <c r="KTT10" s="65"/>
      <c r="KTU10" s="65"/>
      <c r="KTV10" s="65"/>
      <c r="KTW10" s="65"/>
      <c r="KTX10" s="65"/>
      <c r="KTY10" s="65"/>
      <c r="KTZ10" s="65"/>
      <c r="KUA10" s="65"/>
      <c r="KUB10" s="65"/>
      <c r="KUC10" s="65"/>
      <c r="KUD10" s="65"/>
      <c r="KUE10" s="65"/>
      <c r="KUF10" s="65"/>
      <c r="KUG10" s="65"/>
      <c r="KUH10" s="65"/>
      <c r="KUI10" s="65"/>
      <c r="KUJ10" s="65"/>
      <c r="KUK10" s="65"/>
      <c r="KUL10" s="65"/>
      <c r="KUM10" s="65"/>
      <c r="KUN10" s="65"/>
      <c r="KUO10" s="65"/>
      <c r="KUP10" s="65"/>
      <c r="KUQ10" s="65"/>
      <c r="KUR10" s="65"/>
      <c r="KUS10" s="65"/>
      <c r="KUT10" s="65"/>
      <c r="KUU10" s="65"/>
      <c r="KUV10" s="65"/>
      <c r="KUW10" s="65"/>
      <c r="KUX10" s="65"/>
      <c r="KUY10" s="65"/>
      <c r="KUZ10" s="65"/>
      <c r="KVA10" s="65"/>
      <c r="KVB10" s="65"/>
      <c r="KVC10" s="65"/>
      <c r="KVD10" s="65"/>
      <c r="KVE10" s="65"/>
      <c r="KVF10" s="65"/>
      <c r="KVG10" s="65"/>
      <c r="KVH10" s="65"/>
      <c r="KVI10" s="65"/>
      <c r="KVJ10" s="65"/>
      <c r="KVK10" s="65"/>
      <c r="KVL10" s="65"/>
      <c r="KVM10" s="65"/>
      <c r="KVN10" s="65"/>
      <c r="KVO10" s="65"/>
      <c r="KVP10" s="65"/>
      <c r="KVQ10" s="65"/>
      <c r="KVR10" s="65"/>
      <c r="KVS10" s="65"/>
      <c r="KVT10" s="65"/>
      <c r="KVU10" s="65"/>
      <c r="KVV10" s="65"/>
      <c r="KVW10" s="65"/>
      <c r="KVX10" s="65"/>
      <c r="KVY10" s="65"/>
      <c r="KVZ10" s="65"/>
      <c r="KWA10" s="65"/>
      <c r="KWB10" s="65"/>
      <c r="KWC10" s="65"/>
      <c r="KWD10" s="65"/>
      <c r="KWE10" s="65"/>
      <c r="KWF10" s="65"/>
      <c r="KWG10" s="65"/>
      <c r="KWH10" s="65"/>
      <c r="KWI10" s="65"/>
      <c r="KWJ10" s="65"/>
      <c r="KWK10" s="65"/>
      <c r="KWL10" s="65"/>
      <c r="KWM10" s="65"/>
      <c r="KWN10" s="65"/>
      <c r="KWO10" s="65"/>
      <c r="KWP10" s="65"/>
      <c r="KWQ10" s="65"/>
      <c r="KWR10" s="65"/>
      <c r="KWS10" s="65"/>
      <c r="KWT10" s="65"/>
      <c r="KWU10" s="65"/>
      <c r="KWV10" s="65"/>
      <c r="KWW10" s="65"/>
      <c r="KWX10" s="65"/>
      <c r="KWY10" s="65"/>
      <c r="KWZ10" s="65"/>
      <c r="KXA10" s="65"/>
      <c r="KXB10" s="65"/>
      <c r="KXC10" s="65"/>
      <c r="KXD10" s="65"/>
      <c r="KXE10" s="65"/>
      <c r="KXF10" s="65"/>
      <c r="KXG10" s="65"/>
      <c r="KXH10" s="65"/>
      <c r="KXI10" s="65"/>
      <c r="KXJ10" s="65"/>
      <c r="KXK10" s="65"/>
      <c r="KXL10" s="65"/>
      <c r="KXM10" s="65"/>
      <c r="KXN10" s="65"/>
      <c r="KXO10" s="65"/>
      <c r="KXP10" s="65"/>
      <c r="KXQ10" s="65"/>
      <c r="KXR10" s="65"/>
      <c r="KXS10" s="65"/>
      <c r="KXT10" s="65"/>
      <c r="KXU10" s="65"/>
      <c r="KXV10" s="65"/>
      <c r="KXW10" s="65"/>
      <c r="KXX10" s="65"/>
      <c r="KXY10" s="65"/>
      <c r="KXZ10" s="65"/>
      <c r="KYA10" s="65"/>
      <c r="KYB10" s="65"/>
      <c r="KYC10" s="65"/>
      <c r="KYD10" s="65"/>
      <c r="KYE10" s="65"/>
      <c r="KYF10" s="65"/>
      <c r="KYG10" s="65"/>
      <c r="KYH10" s="65"/>
      <c r="KYI10" s="65"/>
      <c r="KYJ10" s="65"/>
      <c r="KYK10" s="65"/>
      <c r="KYL10" s="65"/>
      <c r="KYM10" s="65"/>
      <c r="KYN10" s="65"/>
      <c r="KYO10" s="65"/>
      <c r="KYP10" s="65"/>
      <c r="KYQ10" s="65"/>
      <c r="KYR10" s="65"/>
      <c r="KYS10" s="65"/>
      <c r="KYT10" s="65"/>
      <c r="KYU10" s="65"/>
      <c r="KYV10" s="65"/>
      <c r="KYW10" s="65"/>
      <c r="KYX10" s="65"/>
      <c r="KYY10" s="65"/>
      <c r="KYZ10" s="65"/>
      <c r="KZA10" s="65"/>
      <c r="KZB10" s="65"/>
      <c r="KZC10" s="65"/>
      <c r="KZD10" s="65"/>
      <c r="KZE10" s="65"/>
      <c r="KZF10" s="65"/>
      <c r="KZG10" s="65"/>
      <c r="KZH10" s="65"/>
      <c r="KZI10" s="65"/>
      <c r="KZJ10" s="65"/>
      <c r="KZK10" s="65"/>
      <c r="KZL10" s="65"/>
      <c r="KZM10" s="65"/>
      <c r="KZN10" s="65"/>
      <c r="KZO10" s="65"/>
      <c r="KZP10" s="65"/>
      <c r="KZQ10" s="65"/>
      <c r="KZR10" s="65"/>
      <c r="KZS10" s="65"/>
      <c r="KZT10" s="65"/>
      <c r="KZU10" s="65"/>
      <c r="KZV10" s="65"/>
      <c r="KZW10" s="65"/>
      <c r="KZX10" s="65"/>
      <c r="KZY10" s="65"/>
      <c r="KZZ10" s="65"/>
      <c r="LAA10" s="65"/>
      <c r="LAB10" s="65"/>
      <c r="LAC10" s="65"/>
      <c r="LAD10" s="65"/>
      <c r="LAE10" s="65"/>
      <c r="LAF10" s="65"/>
      <c r="LAG10" s="65"/>
      <c r="LAH10" s="65"/>
      <c r="LAI10" s="65"/>
      <c r="LAJ10" s="65"/>
      <c r="LAK10" s="65"/>
      <c r="LAL10" s="65"/>
      <c r="LAM10" s="65"/>
      <c r="LAN10" s="65"/>
      <c r="LAO10" s="65"/>
      <c r="LAP10" s="65"/>
      <c r="LAQ10" s="65"/>
      <c r="LAR10" s="65"/>
      <c r="LAS10" s="65"/>
      <c r="LAT10" s="65"/>
      <c r="LAU10" s="65"/>
      <c r="LAV10" s="65"/>
      <c r="LAW10" s="65"/>
      <c r="LAX10" s="65"/>
      <c r="LAY10" s="65"/>
      <c r="LAZ10" s="65"/>
      <c r="LBA10" s="65"/>
      <c r="LBB10" s="65"/>
      <c r="LBC10" s="65"/>
      <c r="LBD10" s="65"/>
      <c r="LBE10" s="65"/>
      <c r="LBF10" s="65"/>
      <c r="LBG10" s="65"/>
      <c r="LBH10" s="65"/>
      <c r="LBI10" s="65"/>
      <c r="LBJ10" s="65"/>
      <c r="LBK10" s="65"/>
      <c r="LBL10" s="65"/>
      <c r="LBM10" s="65"/>
      <c r="LBN10" s="65"/>
      <c r="LBO10" s="65"/>
      <c r="LBP10" s="65"/>
      <c r="LBQ10" s="65"/>
      <c r="LBR10" s="65"/>
      <c r="LBS10" s="65"/>
      <c r="LBT10" s="65"/>
      <c r="LBU10" s="65"/>
      <c r="LBV10" s="65"/>
      <c r="LBW10" s="65"/>
      <c r="LBX10" s="65"/>
      <c r="LBY10" s="65"/>
      <c r="LBZ10" s="65"/>
      <c r="LCA10" s="65"/>
      <c r="LCB10" s="65"/>
      <c r="LCC10" s="65"/>
      <c r="LCD10" s="65"/>
      <c r="LCE10" s="65"/>
      <c r="LCF10" s="65"/>
      <c r="LCG10" s="65"/>
      <c r="LCH10" s="65"/>
      <c r="LCI10" s="65"/>
      <c r="LCJ10" s="65"/>
      <c r="LCK10" s="65"/>
      <c r="LCL10" s="65"/>
      <c r="LCM10" s="65"/>
      <c r="LCN10" s="65"/>
      <c r="LCO10" s="65"/>
      <c r="LCP10" s="65"/>
      <c r="LCQ10" s="65"/>
      <c r="LCR10" s="65"/>
      <c r="LCS10" s="65"/>
      <c r="LCT10" s="65"/>
      <c r="LCU10" s="65"/>
      <c r="LCV10" s="65"/>
      <c r="LCW10" s="65"/>
      <c r="LCX10" s="65"/>
      <c r="LCY10" s="65"/>
      <c r="LCZ10" s="65"/>
      <c r="LDA10" s="65"/>
      <c r="LDB10" s="65"/>
      <c r="LDC10" s="65"/>
      <c r="LDD10" s="65"/>
      <c r="LDE10" s="65"/>
      <c r="LDF10" s="65"/>
      <c r="LDG10" s="65"/>
      <c r="LDH10" s="65"/>
      <c r="LDI10" s="65"/>
      <c r="LDJ10" s="65"/>
      <c r="LDK10" s="65"/>
      <c r="LDL10" s="65"/>
      <c r="LDM10" s="65"/>
      <c r="LDN10" s="65"/>
      <c r="LDO10" s="65"/>
      <c r="LDP10" s="65"/>
      <c r="LDQ10" s="65"/>
      <c r="LDR10" s="65"/>
      <c r="LDS10" s="65"/>
      <c r="LDT10" s="65"/>
      <c r="LDU10" s="65"/>
      <c r="LDV10" s="65"/>
      <c r="LDW10" s="65"/>
      <c r="LDX10" s="65"/>
      <c r="LDY10" s="65"/>
      <c r="LDZ10" s="65"/>
      <c r="LEA10" s="65"/>
      <c r="LEB10" s="65"/>
      <c r="LEC10" s="65"/>
      <c r="LED10" s="65"/>
      <c r="LEE10" s="65"/>
      <c r="LEF10" s="65"/>
      <c r="LEG10" s="65"/>
      <c r="LEH10" s="65"/>
      <c r="LEI10" s="65"/>
      <c r="LEJ10" s="65"/>
      <c r="LEK10" s="65"/>
      <c r="LEL10" s="65"/>
      <c r="LEM10" s="65"/>
      <c r="LEN10" s="65"/>
      <c r="LEO10" s="65"/>
      <c r="LEP10" s="65"/>
      <c r="LEQ10" s="65"/>
      <c r="LER10" s="65"/>
      <c r="LES10" s="65"/>
      <c r="LET10" s="65"/>
      <c r="LEU10" s="65"/>
      <c r="LEV10" s="65"/>
      <c r="LEW10" s="65"/>
      <c r="LEX10" s="65"/>
      <c r="LEY10" s="65"/>
      <c r="LEZ10" s="65"/>
      <c r="LFA10" s="65"/>
      <c r="LFB10" s="65"/>
      <c r="LFC10" s="65"/>
      <c r="LFD10" s="65"/>
      <c r="LFE10" s="65"/>
      <c r="LFF10" s="65"/>
      <c r="LFG10" s="65"/>
      <c r="LFH10" s="65"/>
      <c r="LFI10" s="65"/>
      <c r="LFJ10" s="65"/>
      <c r="LFK10" s="65"/>
      <c r="LFL10" s="65"/>
      <c r="LFM10" s="65"/>
      <c r="LFN10" s="65"/>
      <c r="LFO10" s="65"/>
      <c r="LFP10" s="65"/>
      <c r="LFQ10" s="65"/>
      <c r="LFR10" s="65"/>
      <c r="LFS10" s="65"/>
      <c r="LFT10" s="65"/>
      <c r="LFU10" s="65"/>
      <c r="LFV10" s="65"/>
      <c r="LFW10" s="65"/>
      <c r="LFX10" s="65"/>
      <c r="LFY10" s="65"/>
      <c r="LFZ10" s="65"/>
      <c r="LGA10" s="65"/>
      <c r="LGB10" s="65"/>
      <c r="LGC10" s="65"/>
      <c r="LGD10" s="65"/>
      <c r="LGE10" s="65"/>
      <c r="LGF10" s="65"/>
      <c r="LGG10" s="65"/>
      <c r="LGH10" s="65"/>
      <c r="LGI10" s="65"/>
      <c r="LGJ10" s="65"/>
      <c r="LGK10" s="65"/>
      <c r="LGL10" s="65"/>
      <c r="LGM10" s="65"/>
      <c r="LGN10" s="65"/>
      <c r="LGO10" s="65"/>
      <c r="LGP10" s="65"/>
      <c r="LGQ10" s="65"/>
      <c r="LGR10" s="65"/>
      <c r="LGS10" s="65"/>
      <c r="LGT10" s="65"/>
      <c r="LGU10" s="65"/>
      <c r="LGV10" s="65"/>
      <c r="LGW10" s="65"/>
      <c r="LGX10" s="65"/>
      <c r="LGY10" s="65"/>
      <c r="LGZ10" s="65"/>
      <c r="LHA10" s="65"/>
      <c r="LHB10" s="65"/>
      <c r="LHC10" s="65"/>
      <c r="LHD10" s="65"/>
      <c r="LHE10" s="65"/>
      <c r="LHF10" s="65"/>
      <c r="LHG10" s="65"/>
      <c r="LHH10" s="65"/>
      <c r="LHI10" s="65"/>
      <c r="LHJ10" s="65"/>
      <c r="LHK10" s="65"/>
      <c r="LHL10" s="65"/>
      <c r="LHM10" s="65"/>
      <c r="LHN10" s="65"/>
      <c r="LHO10" s="65"/>
      <c r="LHP10" s="65"/>
      <c r="LHQ10" s="65"/>
      <c r="LHR10" s="65"/>
      <c r="LHS10" s="65"/>
      <c r="LHT10" s="65"/>
      <c r="LHU10" s="65"/>
      <c r="LHV10" s="65"/>
      <c r="LHW10" s="65"/>
      <c r="LHX10" s="65"/>
      <c r="LHY10" s="65"/>
      <c r="LHZ10" s="65"/>
      <c r="LIA10" s="65"/>
      <c r="LIB10" s="65"/>
      <c r="LIC10" s="65"/>
      <c r="LID10" s="65"/>
      <c r="LIE10" s="65"/>
      <c r="LIF10" s="65"/>
      <c r="LIG10" s="65"/>
      <c r="LIH10" s="65"/>
      <c r="LII10" s="65"/>
      <c r="LIJ10" s="65"/>
      <c r="LIK10" s="65"/>
      <c r="LIL10" s="65"/>
      <c r="LIM10" s="65"/>
      <c r="LIN10" s="65"/>
      <c r="LIO10" s="65"/>
      <c r="LIP10" s="65"/>
      <c r="LIQ10" s="65"/>
      <c r="LIR10" s="65"/>
      <c r="LIS10" s="65"/>
      <c r="LIT10" s="65"/>
      <c r="LIU10" s="65"/>
      <c r="LIV10" s="65"/>
      <c r="LIW10" s="65"/>
      <c r="LIX10" s="65"/>
      <c r="LIY10" s="65"/>
      <c r="LIZ10" s="65"/>
      <c r="LJA10" s="65"/>
      <c r="LJB10" s="65"/>
      <c r="LJC10" s="65"/>
      <c r="LJD10" s="65"/>
      <c r="LJE10" s="65"/>
      <c r="LJF10" s="65"/>
      <c r="LJG10" s="65"/>
      <c r="LJH10" s="65"/>
      <c r="LJI10" s="65"/>
      <c r="LJJ10" s="65"/>
      <c r="LJK10" s="65"/>
      <c r="LJL10" s="65"/>
      <c r="LJM10" s="65"/>
      <c r="LJN10" s="65"/>
      <c r="LJO10" s="65"/>
      <c r="LJP10" s="65"/>
      <c r="LJQ10" s="65"/>
      <c r="LJR10" s="65"/>
      <c r="LJS10" s="65"/>
      <c r="LJT10" s="65"/>
      <c r="LJU10" s="65"/>
      <c r="LJV10" s="65"/>
      <c r="LJW10" s="65"/>
      <c r="LJX10" s="65"/>
      <c r="LJY10" s="65"/>
      <c r="LJZ10" s="65"/>
      <c r="LKA10" s="65"/>
      <c r="LKB10" s="65"/>
      <c r="LKC10" s="65"/>
      <c r="LKD10" s="65"/>
      <c r="LKE10" s="65"/>
      <c r="LKF10" s="65"/>
      <c r="LKG10" s="65"/>
      <c r="LKH10" s="65"/>
      <c r="LKI10" s="65"/>
      <c r="LKJ10" s="65"/>
      <c r="LKK10" s="65"/>
      <c r="LKL10" s="65"/>
      <c r="LKM10" s="65"/>
      <c r="LKN10" s="65"/>
      <c r="LKO10" s="65"/>
      <c r="LKP10" s="65"/>
      <c r="LKQ10" s="65"/>
      <c r="LKR10" s="65"/>
      <c r="LKS10" s="65"/>
      <c r="LKT10" s="65"/>
      <c r="LKU10" s="65"/>
      <c r="LKV10" s="65"/>
      <c r="LKW10" s="65"/>
      <c r="LKX10" s="65"/>
      <c r="LKY10" s="65"/>
      <c r="LKZ10" s="65"/>
      <c r="LLA10" s="65"/>
      <c r="LLB10" s="65"/>
      <c r="LLC10" s="65"/>
      <c r="LLD10" s="65"/>
      <c r="LLE10" s="65"/>
      <c r="LLF10" s="65"/>
      <c r="LLG10" s="65"/>
      <c r="LLH10" s="65"/>
      <c r="LLI10" s="65"/>
      <c r="LLJ10" s="65"/>
      <c r="LLK10" s="65"/>
      <c r="LLL10" s="65"/>
      <c r="LLM10" s="65"/>
      <c r="LLN10" s="65"/>
      <c r="LLO10" s="65"/>
      <c r="LLP10" s="65"/>
      <c r="LLQ10" s="65"/>
      <c r="LLR10" s="65"/>
      <c r="LLS10" s="65"/>
      <c r="LLT10" s="65"/>
      <c r="LLU10" s="65"/>
      <c r="LLV10" s="65"/>
      <c r="LLW10" s="65"/>
      <c r="LLX10" s="65"/>
      <c r="LLY10" s="65"/>
      <c r="LLZ10" s="65"/>
      <c r="LMA10" s="65"/>
      <c r="LMB10" s="65"/>
      <c r="LMC10" s="65"/>
      <c r="LMD10" s="65"/>
      <c r="LME10" s="65"/>
      <c r="LMF10" s="65"/>
      <c r="LMG10" s="65"/>
      <c r="LMH10" s="65"/>
      <c r="LMI10" s="65"/>
      <c r="LMJ10" s="65"/>
      <c r="LMK10" s="65"/>
      <c r="LML10" s="65"/>
      <c r="LMM10" s="65"/>
      <c r="LMN10" s="65"/>
      <c r="LMO10" s="65"/>
      <c r="LMP10" s="65"/>
      <c r="LMQ10" s="65"/>
      <c r="LMR10" s="65"/>
      <c r="LMS10" s="65"/>
      <c r="LMT10" s="65"/>
      <c r="LMU10" s="65"/>
      <c r="LMV10" s="65"/>
      <c r="LMW10" s="65"/>
      <c r="LMX10" s="65"/>
      <c r="LMY10" s="65"/>
      <c r="LMZ10" s="65"/>
      <c r="LNA10" s="65"/>
      <c r="LNB10" s="65"/>
      <c r="LNC10" s="65"/>
      <c r="LND10" s="65"/>
      <c r="LNE10" s="65"/>
      <c r="LNF10" s="65"/>
      <c r="LNG10" s="65"/>
      <c r="LNH10" s="65"/>
      <c r="LNI10" s="65"/>
      <c r="LNJ10" s="65"/>
      <c r="LNK10" s="65"/>
      <c r="LNL10" s="65"/>
      <c r="LNM10" s="65"/>
      <c r="LNN10" s="65"/>
      <c r="LNO10" s="65"/>
      <c r="LNP10" s="65"/>
      <c r="LNQ10" s="65"/>
      <c r="LNR10" s="65"/>
      <c r="LNS10" s="65"/>
      <c r="LNT10" s="65"/>
      <c r="LNU10" s="65"/>
      <c r="LNV10" s="65"/>
      <c r="LNW10" s="65"/>
      <c r="LNX10" s="65"/>
      <c r="LNY10" s="65"/>
      <c r="LNZ10" s="65"/>
      <c r="LOA10" s="65"/>
      <c r="LOB10" s="65"/>
      <c r="LOC10" s="65"/>
      <c r="LOD10" s="65"/>
      <c r="LOE10" s="65"/>
      <c r="LOF10" s="65"/>
      <c r="LOG10" s="65"/>
      <c r="LOH10" s="65"/>
      <c r="LOI10" s="65"/>
      <c r="LOJ10" s="65"/>
      <c r="LOK10" s="65"/>
      <c r="LOL10" s="65"/>
      <c r="LOM10" s="65"/>
      <c r="LON10" s="65"/>
      <c r="LOO10" s="65"/>
      <c r="LOP10" s="65"/>
      <c r="LOQ10" s="65"/>
      <c r="LOR10" s="65"/>
      <c r="LOS10" s="65"/>
      <c r="LOT10" s="65"/>
      <c r="LOU10" s="65"/>
      <c r="LOV10" s="65"/>
      <c r="LOW10" s="65"/>
      <c r="LOX10" s="65"/>
      <c r="LOY10" s="65"/>
      <c r="LOZ10" s="65"/>
      <c r="LPA10" s="65"/>
      <c r="LPB10" s="65"/>
      <c r="LPC10" s="65"/>
      <c r="LPD10" s="65"/>
      <c r="LPE10" s="65"/>
      <c r="LPF10" s="65"/>
      <c r="LPG10" s="65"/>
      <c r="LPH10" s="65"/>
      <c r="LPI10" s="65"/>
      <c r="LPJ10" s="65"/>
      <c r="LPK10" s="65"/>
      <c r="LPL10" s="65"/>
      <c r="LPM10" s="65"/>
      <c r="LPN10" s="65"/>
      <c r="LPO10" s="65"/>
      <c r="LPP10" s="65"/>
      <c r="LPQ10" s="65"/>
      <c r="LPR10" s="65"/>
      <c r="LPS10" s="65"/>
      <c r="LPT10" s="65"/>
      <c r="LPU10" s="65"/>
      <c r="LPV10" s="65"/>
      <c r="LPW10" s="65"/>
      <c r="LPX10" s="65"/>
      <c r="LPY10" s="65"/>
      <c r="LPZ10" s="65"/>
      <c r="LQA10" s="65"/>
      <c r="LQB10" s="65"/>
      <c r="LQC10" s="65"/>
      <c r="LQD10" s="65"/>
      <c r="LQE10" s="65"/>
      <c r="LQF10" s="65"/>
      <c r="LQG10" s="65"/>
      <c r="LQH10" s="65"/>
      <c r="LQI10" s="65"/>
      <c r="LQJ10" s="65"/>
      <c r="LQK10" s="65"/>
      <c r="LQL10" s="65"/>
      <c r="LQM10" s="65"/>
      <c r="LQN10" s="65"/>
      <c r="LQO10" s="65"/>
      <c r="LQP10" s="65"/>
      <c r="LQQ10" s="65"/>
      <c r="LQR10" s="65"/>
      <c r="LQS10" s="65"/>
      <c r="LQT10" s="65"/>
      <c r="LQU10" s="65"/>
      <c r="LQV10" s="65"/>
      <c r="LQW10" s="65"/>
      <c r="LQX10" s="65"/>
      <c r="LQY10" s="65"/>
      <c r="LQZ10" s="65"/>
      <c r="LRA10" s="65"/>
      <c r="LRB10" s="65"/>
      <c r="LRC10" s="65"/>
      <c r="LRD10" s="65"/>
      <c r="LRE10" s="65"/>
      <c r="LRF10" s="65"/>
      <c r="LRG10" s="65"/>
      <c r="LRH10" s="65"/>
      <c r="LRI10" s="65"/>
      <c r="LRJ10" s="65"/>
      <c r="LRK10" s="65"/>
      <c r="LRL10" s="65"/>
      <c r="LRM10" s="65"/>
      <c r="LRN10" s="65"/>
      <c r="LRO10" s="65"/>
      <c r="LRP10" s="65"/>
      <c r="LRQ10" s="65"/>
      <c r="LRR10" s="65"/>
      <c r="LRS10" s="65"/>
      <c r="LRT10" s="65"/>
      <c r="LRU10" s="65"/>
      <c r="LRV10" s="65"/>
      <c r="LRW10" s="65"/>
      <c r="LRX10" s="65"/>
      <c r="LRY10" s="65"/>
      <c r="LRZ10" s="65"/>
      <c r="LSA10" s="65"/>
      <c r="LSB10" s="65"/>
      <c r="LSC10" s="65"/>
      <c r="LSD10" s="65"/>
      <c r="LSE10" s="65"/>
      <c r="LSF10" s="65"/>
      <c r="LSG10" s="65"/>
      <c r="LSH10" s="65"/>
      <c r="LSI10" s="65"/>
      <c r="LSJ10" s="65"/>
      <c r="LSK10" s="65"/>
      <c r="LSL10" s="65"/>
      <c r="LSM10" s="65"/>
      <c r="LSN10" s="65"/>
      <c r="LSO10" s="65"/>
      <c r="LSP10" s="65"/>
      <c r="LSQ10" s="65"/>
      <c r="LSR10" s="65"/>
      <c r="LSS10" s="65"/>
      <c r="LST10" s="65"/>
      <c r="LSU10" s="65"/>
      <c r="LSV10" s="65"/>
      <c r="LSW10" s="65"/>
      <c r="LSX10" s="65"/>
      <c r="LSY10" s="65"/>
      <c r="LSZ10" s="65"/>
      <c r="LTA10" s="65"/>
      <c r="LTB10" s="65"/>
      <c r="LTC10" s="65"/>
      <c r="LTD10" s="65"/>
      <c r="LTE10" s="65"/>
      <c r="LTF10" s="65"/>
      <c r="LTG10" s="65"/>
      <c r="LTH10" s="65"/>
      <c r="LTI10" s="65"/>
      <c r="LTJ10" s="65"/>
      <c r="LTK10" s="65"/>
      <c r="LTL10" s="65"/>
      <c r="LTM10" s="65"/>
      <c r="LTN10" s="65"/>
      <c r="LTO10" s="65"/>
      <c r="LTP10" s="65"/>
      <c r="LTQ10" s="65"/>
      <c r="LTR10" s="65"/>
      <c r="LTS10" s="65"/>
      <c r="LTT10" s="65"/>
      <c r="LTU10" s="65"/>
      <c r="LTV10" s="65"/>
      <c r="LTW10" s="65"/>
      <c r="LTX10" s="65"/>
      <c r="LTY10" s="65"/>
      <c r="LTZ10" s="65"/>
      <c r="LUA10" s="65"/>
      <c r="LUB10" s="65"/>
      <c r="LUC10" s="65"/>
      <c r="LUD10" s="65"/>
      <c r="LUE10" s="65"/>
      <c r="LUF10" s="65"/>
      <c r="LUG10" s="65"/>
      <c r="LUH10" s="65"/>
      <c r="LUI10" s="65"/>
      <c r="LUJ10" s="65"/>
      <c r="LUK10" s="65"/>
      <c r="LUL10" s="65"/>
      <c r="LUM10" s="65"/>
      <c r="LUN10" s="65"/>
      <c r="LUO10" s="65"/>
      <c r="LUP10" s="65"/>
      <c r="LUQ10" s="65"/>
      <c r="LUR10" s="65"/>
      <c r="LUS10" s="65"/>
      <c r="LUT10" s="65"/>
      <c r="LUU10" s="65"/>
      <c r="LUV10" s="65"/>
      <c r="LUW10" s="65"/>
      <c r="LUX10" s="65"/>
      <c r="LUY10" s="65"/>
      <c r="LUZ10" s="65"/>
      <c r="LVA10" s="65"/>
      <c r="LVB10" s="65"/>
      <c r="LVC10" s="65"/>
      <c r="LVD10" s="65"/>
      <c r="LVE10" s="65"/>
      <c r="LVF10" s="65"/>
      <c r="LVG10" s="65"/>
      <c r="LVH10" s="65"/>
      <c r="LVI10" s="65"/>
      <c r="LVJ10" s="65"/>
      <c r="LVK10" s="65"/>
      <c r="LVL10" s="65"/>
      <c r="LVM10" s="65"/>
      <c r="LVN10" s="65"/>
      <c r="LVO10" s="65"/>
      <c r="LVP10" s="65"/>
      <c r="LVQ10" s="65"/>
      <c r="LVR10" s="65"/>
      <c r="LVS10" s="65"/>
      <c r="LVT10" s="65"/>
      <c r="LVU10" s="65"/>
      <c r="LVV10" s="65"/>
      <c r="LVW10" s="65"/>
      <c r="LVX10" s="65"/>
      <c r="LVY10" s="65"/>
      <c r="LVZ10" s="65"/>
      <c r="LWA10" s="65"/>
      <c r="LWB10" s="65"/>
      <c r="LWC10" s="65"/>
      <c r="LWD10" s="65"/>
      <c r="LWE10" s="65"/>
      <c r="LWF10" s="65"/>
      <c r="LWG10" s="65"/>
      <c r="LWH10" s="65"/>
      <c r="LWI10" s="65"/>
      <c r="LWJ10" s="65"/>
      <c r="LWK10" s="65"/>
      <c r="LWL10" s="65"/>
      <c r="LWM10" s="65"/>
      <c r="LWN10" s="65"/>
      <c r="LWO10" s="65"/>
      <c r="LWP10" s="65"/>
      <c r="LWQ10" s="65"/>
      <c r="LWR10" s="65"/>
      <c r="LWS10" s="65"/>
      <c r="LWT10" s="65"/>
      <c r="LWU10" s="65"/>
      <c r="LWV10" s="65"/>
      <c r="LWW10" s="65"/>
      <c r="LWX10" s="65"/>
      <c r="LWY10" s="65"/>
      <c r="LWZ10" s="65"/>
      <c r="LXA10" s="65"/>
      <c r="LXB10" s="65"/>
      <c r="LXC10" s="65"/>
      <c r="LXD10" s="65"/>
      <c r="LXE10" s="65"/>
      <c r="LXF10" s="65"/>
      <c r="LXG10" s="65"/>
      <c r="LXH10" s="65"/>
      <c r="LXI10" s="65"/>
      <c r="LXJ10" s="65"/>
      <c r="LXK10" s="65"/>
      <c r="LXL10" s="65"/>
      <c r="LXM10" s="65"/>
      <c r="LXN10" s="65"/>
      <c r="LXO10" s="65"/>
      <c r="LXP10" s="65"/>
      <c r="LXQ10" s="65"/>
      <c r="LXR10" s="65"/>
      <c r="LXS10" s="65"/>
      <c r="LXT10" s="65"/>
      <c r="LXU10" s="65"/>
      <c r="LXV10" s="65"/>
      <c r="LXW10" s="65"/>
      <c r="LXX10" s="65"/>
      <c r="LXY10" s="65"/>
      <c r="LXZ10" s="65"/>
      <c r="LYA10" s="65"/>
      <c r="LYB10" s="65"/>
      <c r="LYC10" s="65"/>
      <c r="LYD10" s="65"/>
      <c r="LYE10" s="65"/>
      <c r="LYF10" s="65"/>
      <c r="LYG10" s="65"/>
      <c r="LYH10" s="65"/>
      <c r="LYI10" s="65"/>
      <c r="LYJ10" s="65"/>
      <c r="LYK10" s="65"/>
      <c r="LYL10" s="65"/>
      <c r="LYM10" s="65"/>
      <c r="LYN10" s="65"/>
      <c r="LYO10" s="65"/>
      <c r="LYP10" s="65"/>
      <c r="LYQ10" s="65"/>
      <c r="LYR10" s="65"/>
      <c r="LYS10" s="65"/>
      <c r="LYT10" s="65"/>
      <c r="LYU10" s="65"/>
      <c r="LYV10" s="65"/>
      <c r="LYW10" s="65"/>
      <c r="LYX10" s="65"/>
      <c r="LYY10" s="65"/>
      <c r="LYZ10" s="65"/>
      <c r="LZA10" s="65"/>
      <c r="LZB10" s="65"/>
      <c r="LZC10" s="65"/>
      <c r="LZD10" s="65"/>
      <c r="LZE10" s="65"/>
      <c r="LZF10" s="65"/>
      <c r="LZG10" s="65"/>
      <c r="LZH10" s="65"/>
      <c r="LZI10" s="65"/>
      <c r="LZJ10" s="65"/>
      <c r="LZK10" s="65"/>
      <c r="LZL10" s="65"/>
      <c r="LZM10" s="65"/>
      <c r="LZN10" s="65"/>
      <c r="LZO10" s="65"/>
      <c r="LZP10" s="65"/>
      <c r="LZQ10" s="65"/>
      <c r="LZR10" s="65"/>
      <c r="LZS10" s="65"/>
      <c r="LZT10" s="65"/>
      <c r="LZU10" s="65"/>
      <c r="LZV10" s="65"/>
      <c r="LZW10" s="65"/>
      <c r="LZX10" s="65"/>
      <c r="LZY10" s="65"/>
      <c r="LZZ10" s="65"/>
      <c r="MAA10" s="65"/>
      <c r="MAB10" s="65"/>
      <c r="MAC10" s="65"/>
      <c r="MAD10" s="65"/>
      <c r="MAE10" s="65"/>
      <c r="MAF10" s="65"/>
      <c r="MAG10" s="65"/>
      <c r="MAH10" s="65"/>
      <c r="MAI10" s="65"/>
      <c r="MAJ10" s="65"/>
      <c r="MAK10" s="65"/>
      <c r="MAL10" s="65"/>
      <c r="MAM10" s="65"/>
      <c r="MAN10" s="65"/>
      <c r="MAO10" s="65"/>
      <c r="MAP10" s="65"/>
      <c r="MAQ10" s="65"/>
      <c r="MAR10" s="65"/>
      <c r="MAS10" s="65"/>
      <c r="MAT10" s="65"/>
      <c r="MAU10" s="65"/>
      <c r="MAV10" s="65"/>
      <c r="MAW10" s="65"/>
      <c r="MAX10" s="65"/>
      <c r="MAY10" s="65"/>
      <c r="MAZ10" s="65"/>
      <c r="MBA10" s="65"/>
      <c r="MBB10" s="65"/>
      <c r="MBC10" s="65"/>
      <c r="MBD10" s="65"/>
      <c r="MBE10" s="65"/>
      <c r="MBF10" s="65"/>
      <c r="MBG10" s="65"/>
      <c r="MBH10" s="65"/>
      <c r="MBI10" s="65"/>
      <c r="MBJ10" s="65"/>
      <c r="MBK10" s="65"/>
      <c r="MBL10" s="65"/>
      <c r="MBM10" s="65"/>
      <c r="MBN10" s="65"/>
      <c r="MBO10" s="65"/>
      <c r="MBP10" s="65"/>
      <c r="MBQ10" s="65"/>
      <c r="MBR10" s="65"/>
      <c r="MBS10" s="65"/>
      <c r="MBT10" s="65"/>
      <c r="MBU10" s="65"/>
      <c r="MBV10" s="65"/>
      <c r="MBW10" s="65"/>
      <c r="MBX10" s="65"/>
      <c r="MBY10" s="65"/>
      <c r="MBZ10" s="65"/>
      <c r="MCA10" s="65"/>
      <c r="MCB10" s="65"/>
      <c r="MCC10" s="65"/>
      <c r="MCD10" s="65"/>
      <c r="MCE10" s="65"/>
      <c r="MCF10" s="65"/>
      <c r="MCG10" s="65"/>
      <c r="MCH10" s="65"/>
      <c r="MCI10" s="65"/>
      <c r="MCJ10" s="65"/>
      <c r="MCK10" s="65"/>
      <c r="MCL10" s="65"/>
      <c r="MCM10" s="65"/>
      <c r="MCN10" s="65"/>
      <c r="MCO10" s="65"/>
      <c r="MCP10" s="65"/>
      <c r="MCQ10" s="65"/>
      <c r="MCR10" s="65"/>
      <c r="MCS10" s="65"/>
      <c r="MCT10" s="65"/>
      <c r="MCU10" s="65"/>
      <c r="MCV10" s="65"/>
      <c r="MCW10" s="65"/>
      <c r="MCX10" s="65"/>
      <c r="MCY10" s="65"/>
      <c r="MCZ10" s="65"/>
      <c r="MDA10" s="65"/>
      <c r="MDB10" s="65"/>
      <c r="MDC10" s="65"/>
      <c r="MDD10" s="65"/>
      <c r="MDE10" s="65"/>
      <c r="MDF10" s="65"/>
      <c r="MDG10" s="65"/>
      <c r="MDH10" s="65"/>
      <c r="MDI10" s="65"/>
      <c r="MDJ10" s="65"/>
      <c r="MDK10" s="65"/>
      <c r="MDL10" s="65"/>
      <c r="MDM10" s="65"/>
      <c r="MDN10" s="65"/>
      <c r="MDO10" s="65"/>
      <c r="MDP10" s="65"/>
      <c r="MDQ10" s="65"/>
      <c r="MDR10" s="65"/>
      <c r="MDS10" s="65"/>
      <c r="MDT10" s="65"/>
      <c r="MDU10" s="65"/>
      <c r="MDV10" s="65"/>
      <c r="MDW10" s="65"/>
      <c r="MDX10" s="65"/>
      <c r="MDY10" s="65"/>
      <c r="MDZ10" s="65"/>
      <c r="MEA10" s="65"/>
      <c r="MEB10" s="65"/>
      <c r="MEC10" s="65"/>
      <c r="MED10" s="65"/>
      <c r="MEE10" s="65"/>
      <c r="MEF10" s="65"/>
      <c r="MEG10" s="65"/>
      <c r="MEH10" s="65"/>
      <c r="MEI10" s="65"/>
      <c r="MEJ10" s="65"/>
      <c r="MEK10" s="65"/>
      <c r="MEL10" s="65"/>
      <c r="MEM10" s="65"/>
      <c r="MEN10" s="65"/>
      <c r="MEO10" s="65"/>
      <c r="MEP10" s="65"/>
      <c r="MEQ10" s="65"/>
      <c r="MER10" s="65"/>
      <c r="MES10" s="65"/>
      <c r="MET10" s="65"/>
      <c r="MEU10" s="65"/>
      <c r="MEV10" s="65"/>
      <c r="MEW10" s="65"/>
      <c r="MEX10" s="65"/>
      <c r="MEY10" s="65"/>
      <c r="MEZ10" s="65"/>
      <c r="MFA10" s="65"/>
      <c r="MFB10" s="65"/>
      <c r="MFC10" s="65"/>
      <c r="MFD10" s="65"/>
      <c r="MFE10" s="65"/>
      <c r="MFF10" s="65"/>
      <c r="MFG10" s="65"/>
      <c r="MFH10" s="65"/>
      <c r="MFI10" s="65"/>
      <c r="MFJ10" s="65"/>
      <c r="MFK10" s="65"/>
      <c r="MFL10" s="65"/>
      <c r="MFM10" s="65"/>
      <c r="MFN10" s="65"/>
      <c r="MFO10" s="65"/>
      <c r="MFP10" s="65"/>
      <c r="MFQ10" s="65"/>
      <c r="MFR10" s="65"/>
      <c r="MFS10" s="65"/>
      <c r="MFT10" s="65"/>
      <c r="MFU10" s="65"/>
      <c r="MFV10" s="65"/>
      <c r="MFW10" s="65"/>
      <c r="MFX10" s="65"/>
      <c r="MFY10" s="65"/>
      <c r="MFZ10" s="65"/>
      <c r="MGA10" s="65"/>
      <c r="MGB10" s="65"/>
      <c r="MGC10" s="65"/>
      <c r="MGD10" s="65"/>
      <c r="MGE10" s="65"/>
      <c r="MGF10" s="65"/>
      <c r="MGG10" s="65"/>
      <c r="MGH10" s="65"/>
      <c r="MGI10" s="65"/>
      <c r="MGJ10" s="65"/>
      <c r="MGK10" s="65"/>
      <c r="MGL10" s="65"/>
      <c r="MGM10" s="65"/>
      <c r="MGN10" s="65"/>
      <c r="MGO10" s="65"/>
      <c r="MGP10" s="65"/>
      <c r="MGQ10" s="65"/>
      <c r="MGR10" s="65"/>
      <c r="MGS10" s="65"/>
      <c r="MGT10" s="65"/>
      <c r="MGU10" s="65"/>
      <c r="MGV10" s="65"/>
      <c r="MGW10" s="65"/>
      <c r="MGX10" s="65"/>
      <c r="MGY10" s="65"/>
      <c r="MGZ10" s="65"/>
      <c r="MHA10" s="65"/>
      <c r="MHB10" s="65"/>
      <c r="MHC10" s="65"/>
      <c r="MHD10" s="65"/>
      <c r="MHE10" s="65"/>
      <c r="MHF10" s="65"/>
      <c r="MHG10" s="65"/>
      <c r="MHH10" s="65"/>
      <c r="MHI10" s="65"/>
      <c r="MHJ10" s="65"/>
      <c r="MHK10" s="65"/>
      <c r="MHL10" s="65"/>
      <c r="MHM10" s="65"/>
      <c r="MHN10" s="65"/>
      <c r="MHO10" s="65"/>
      <c r="MHP10" s="65"/>
      <c r="MHQ10" s="65"/>
      <c r="MHR10" s="65"/>
      <c r="MHS10" s="65"/>
      <c r="MHT10" s="65"/>
      <c r="MHU10" s="65"/>
      <c r="MHV10" s="65"/>
      <c r="MHW10" s="65"/>
      <c r="MHX10" s="65"/>
      <c r="MHY10" s="65"/>
      <c r="MHZ10" s="65"/>
      <c r="MIA10" s="65"/>
      <c r="MIB10" s="65"/>
      <c r="MIC10" s="65"/>
      <c r="MID10" s="65"/>
      <c r="MIE10" s="65"/>
      <c r="MIF10" s="65"/>
      <c r="MIG10" s="65"/>
      <c r="MIH10" s="65"/>
      <c r="MII10" s="65"/>
      <c r="MIJ10" s="65"/>
      <c r="MIK10" s="65"/>
      <c r="MIL10" s="65"/>
      <c r="MIM10" s="65"/>
      <c r="MIN10" s="65"/>
      <c r="MIO10" s="65"/>
      <c r="MIP10" s="65"/>
      <c r="MIQ10" s="65"/>
      <c r="MIR10" s="65"/>
      <c r="MIS10" s="65"/>
      <c r="MIT10" s="65"/>
      <c r="MIU10" s="65"/>
      <c r="MIV10" s="65"/>
      <c r="MIW10" s="65"/>
      <c r="MIX10" s="65"/>
      <c r="MIY10" s="65"/>
      <c r="MIZ10" s="65"/>
      <c r="MJA10" s="65"/>
      <c r="MJB10" s="65"/>
      <c r="MJC10" s="65"/>
      <c r="MJD10" s="65"/>
      <c r="MJE10" s="65"/>
      <c r="MJF10" s="65"/>
      <c r="MJG10" s="65"/>
      <c r="MJH10" s="65"/>
      <c r="MJI10" s="65"/>
      <c r="MJJ10" s="65"/>
      <c r="MJK10" s="65"/>
      <c r="MJL10" s="65"/>
      <c r="MJM10" s="65"/>
      <c r="MJN10" s="65"/>
      <c r="MJO10" s="65"/>
      <c r="MJP10" s="65"/>
      <c r="MJQ10" s="65"/>
      <c r="MJR10" s="65"/>
      <c r="MJS10" s="65"/>
      <c r="MJT10" s="65"/>
      <c r="MJU10" s="65"/>
      <c r="MJV10" s="65"/>
      <c r="MJW10" s="65"/>
      <c r="MJX10" s="65"/>
      <c r="MJY10" s="65"/>
      <c r="MJZ10" s="65"/>
      <c r="MKA10" s="65"/>
      <c r="MKB10" s="65"/>
      <c r="MKC10" s="65"/>
      <c r="MKD10" s="65"/>
      <c r="MKE10" s="65"/>
      <c r="MKF10" s="65"/>
      <c r="MKG10" s="65"/>
      <c r="MKH10" s="65"/>
      <c r="MKI10" s="65"/>
      <c r="MKJ10" s="65"/>
      <c r="MKK10" s="65"/>
      <c r="MKL10" s="65"/>
      <c r="MKM10" s="65"/>
      <c r="MKN10" s="65"/>
      <c r="MKO10" s="65"/>
      <c r="MKP10" s="65"/>
      <c r="MKQ10" s="65"/>
      <c r="MKR10" s="65"/>
      <c r="MKS10" s="65"/>
      <c r="MKT10" s="65"/>
      <c r="MKU10" s="65"/>
      <c r="MKV10" s="65"/>
      <c r="MKW10" s="65"/>
      <c r="MKX10" s="65"/>
      <c r="MKY10" s="65"/>
      <c r="MKZ10" s="65"/>
      <c r="MLA10" s="65"/>
      <c r="MLB10" s="65"/>
      <c r="MLC10" s="65"/>
      <c r="MLD10" s="65"/>
      <c r="MLE10" s="65"/>
      <c r="MLF10" s="65"/>
      <c r="MLG10" s="65"/>
      <c r="MLH10" s="65"/>
      <c r="MLI10" s="65"/>
      <c r="MLJ10" s="65"/>
      <c r="MLK10" s="65"/>
      <c r="MLL10" s="65"/>
      <c r="MLM10" s="65"/>
      <c r="MLN10" s="65"/>
      <c r="MLO10" s="65"/>
      <c r="MLP10" s="65"/>
      <c r="MLQ10" s="65"/>
      <c r="MLR10" s="65"/>
      <c r="MLS10" s="65"/>
      <c r="MLT10" s="65"/>
      <c r="MLU10" s="65"/>
      <c r="MLV10" s="65"/>
      <c r="MLW10" s="65"/>
      <c r="MLX10" s="65"/>
      <c r="MLY10" s="65"/>
      <c r="MLZ10" s="65"/>
      <c r="MMA10" s="65"/>
      <c r="MMB10" s="65"/>
      <c r="MMC10" s="65"/>
      <c r="MMD10" s="65"/>
      <c r="MME10" s="65"/>
      <c r="MMF10" s="65"/>
      <c r="MMG10" s="65"/>
      <c r="MMH10" s="65"/>
      <c r="MMI10" s="65"/>
      <c r="MMJ10" s="65"/>
      <c r="MMK10" s="65"/>
      <c r="MML10" s="65"/>
      <c r="MMM10" s="65"/>
      <c r="MMN10" s="65"/>
      <c r="MMO10" s="65"/>
      <c r="MMP10" s="65"/>
      <c r="MMQ10" s="65"/>
      <c r="MMR10" s="65"/>
      <c r="MMS10" s="65"/>
      <c r="MMT10" s="65"/>
      <c r="MMU10" s="65"/>
      <c r="MMV10" s="65"/>
      <c r="MMW10" s="65"/>
      <c r="MMX10" s="65"/>
      <c r="MMY10" s="65"/>
      <c r="MMZ10" s="65"/>
      <c r="MNA10" s="65"/>
      <c r="MNB10" s="65"/>
      <c r="MNC10" s="65"/>
      <c r="MND10" s="65"/>
      <c r="MNE10" s="65"/>
      <c r="MNF10" s="65"/>
      <c r="MNG10" s="65"/>
      <c r="MNH10" s="65"/>
      <c r="MNI10" s="65"/>
      <c r="MNJ10" s="65"/>
      <c r="MNK10" s="65"/>
      <c r="MNL10" s="65"/>
      <c r="MNM10" s="65"/>
      <c r="MNN10" s="65"/>
      <c r="MNO10" s="65"/>
      <c r="MNP10" s="65"/>
      <c r="MNQ10" s="65"/>
      <c r="MNR10" s="65"/>
      <c r="MNS10" s="65"/>
      <c r="MNT10" s="65"/>
      <c r="MNU10" s="65"/>
      <c r="MNV10" s="65"/>
      <c r="MNW10" s="65"/>
      <c r="MNX10" s="65"/>
      <c r="MNY10" s="65"/>
      <c r="MNZ10" s="65"/>
      <c r="MOA10" s="65"/>
      <c r="MOB10" s="65"/>
      <c r="MOC10" s="65"/>
      <c r="MOD10" s="65"/>
      <c r="MOE10" s="65"/>
      <c r="MOF10" s="65"/>
      <c r="MOG10" s="65"/>
      <c r="MOH10" s="65"/>
      <c r="MOI10" s="65"/>
      <c r="MOJ10" s="65"/>
      <c r="MOK10" s="65"/>
      <c r="MOL10" s="65"/>
      <c r="MOM10" s="65"/>
      <c r="MON10" s="65"/>
      <c r="MOO10" s="65"/>
      <c r="MOP10" s="65"/>
      <c r="MOQ10" s="65"/>
      <c r="MOR10" s="65"/>
      <c r="MOS10" s="65"/>
      <c r="MOT10" s="65"/>
      <c r="MOU10" s="65"/>
      <c r="MOV10" s="65"/>
      <c r="MOW10" s="65"/>
      <c r="MOX10" s="65"/>
      <c r="MOY10" s="65"/>
      <c r="MOZ10" s="65"/>
      <c r="MPA10" s="65"/>
      <c r="MPB10" s="65"/>
      <c r="MPC10" s="65"/>
      <c r="MPD10" s="65"/>
      <c r="MPE10" s="65"/>
      <c r="MPF10" s="65"/>
      <c r="MPG10" s="65"/>
      <c r="MPH10" s="65"/>
      <c r="MPI10" s="65"/>
      <c r="MPJ10" s="65"/>
      <c r="MPK10" s="65"/>
      <c r="MPL10" s="65"/>
      <c r="MPM10" s="65"/>
      <c r="MPN10" s="65"/>
      <c r="MPO10" s="65"/>
      <c r="MPP10" s="65"/>
      <c r="MPQ10" s="65"/>
      <c r="MPR10" s="65"/>
      <c r="MPS10" s="65"/>
      <c r="MPT10" s="65"/>
      <c r="MPU10" s="65"/>
      <c r="MPV10" s="65"/>
      <c r="MPW10" s="65"/>
      <c r="MPX10" s="65"/>
      <c r="MPY10" s="65"/>
      <c r="MPZ10" s="65"/>
      <c r="MQA10" s="65"/>
      <c r="MQB10" s="65"/>
      <c r="MQC10" s="65"/>
      <c r="MQD10" s="65"/>
      <c r="MQE10" s="65"/>
      <c r="MQF10" s="65"/>
      <c r="MQG10" s="65"/>
      <c r="MQH10" s="65"/>
      <c r="MQI10" s="65"/>
      <c r="MQJ10" s="65"/>
      <c r="MQK10" s="65"/>
      <c r="MQL10" s="65"/>
      <c r="MQM10" s="65"/>
      <c r="MQN10" s="65"/>
      <c r="MQO10" s="65"/>
      <c r="MQP10" s="65"/>
      <c r="MQQ10" s="65"/>
      <c r="MQR10" s="65"/>
      <c r="MQS10" s="65"/>
      <c r="MQT10" s="65"/>
      <c r="MQU10" s="65"/>
      <c r="MQV10" s="65"/>
      <c r="MQW10" s="65"/>
      <c r="MQX10" s="65"/>
      <c r="MQY10" s="65"/>
      <c r="MQZ10" s="65"/>
      <c r="MRA10" s="65"/>
      <c r="MRB10" s="65"/>
      <c r="MRC10" s="65"/>
      <c r="MRD10" s="65"/>
      <c r="MRE10" s="65"/>
      <c r="MRF10" s="65"/>
      <c r="MRG10" s="65"/>
      <c r="MRH10" s="65"/>
      <c r="MRI10" s="65"/>
      <c r="MRJ10" s="65"/>
      <c r="MRK10" s="65"/>
      <c r="MRL10" s="65"/>
      <c r="MRM10" s="65"/>
      <c r="MRN10" s="65"/>
      <c r="MRO10" s="65"/>
      <c r="MRP10" s="65"/>
      <c r="MRQ10" s="65"/>
      <c r="MRR10" s="65"/>
      <c r="MRS10" s="65"/>
      <c r="MRT10" s="65"/>
      <c r="MRU10" s="65"/>
      <c r="MRV10" s="65"/>
      <c r="MRW10" s="65"/>
      <c r="MRX10" s="65"/>
      <c r="MRY10" s="65"/>
      <c r="MRZ10" s="65"/>
      <c r="MSA10" s="65"/>
      <c r="MSB10" s="65"/>
      <c r="MSC10" s="65"/>
      <c r="MSD10" s="65"/>
      <c r="MSE10" s="65"/>
      <c r="MSF10" s="65"/>
      <c r="MSG10" s="65"/>
      <c r="MSH10" s="65"/>
      <c r="MSI10" s="65"/>
      <c r="MSJ10" s="65"/>
      <c r="MSK10" s="65"/>
      <c r="MSL10" s="65"/>
      <c r="MSM10" s="65"/>
      <c r="MSN10" s="65"/>
      <c r="MSO10" s="65"/>
      <c r="MSP10" s="65"/>
      <c r="MSQ10" s="65"/>
      <c r="MSR10" s="65"/>
      <c r="MSS10" s="65"/>
      <c r="MST10" s="65"/>
      <c r="MSU10" s="65"/>
      <c r="MSV10" s="65"/>
      <c r="MSW10" s="65"/>
      <c r="MSX10" s="65"/>
      <c r="MSY10" s="65"/>
      <c r="MSZ10" s="65"/>
      <c r="MTA10" s="65"/>
      <c r="MTB10" s="65"/>
      <c r="MTC10" s="65"/>
      <c r="MTD10" s="65"/>
      <c r="MTE10" s="65"/>
      <c r="MTF10" s="65"/>
      <c r="MTG10" s="65"/>
      <c r="MTH10" s="65"/>
      <c r="MTI10" s="65"/>
      <c r="MTJ10" s="65"/>
      <c r="MTK10" s="65"/>
      <c r="MTL10" s="65"/>
      <c r="MTM10" s="65"/>
      <c r="MTN10" s="65"/>
      <c r="MTO10" s="65"/>
      <c r="MTP10" s="65"/>
      <c r="MTQ10" s="65"/>
      <c r="MTR10" s="65"/>
      <c r="MTS10" s="65"/>
      <c r="MTT10" s="65"/>
      <c r="MTU10" s="65"/>
      <c r="MTV10" s="65"/>
      <c r="MTW10" s="65"/>
      <c r="MTX10" s="65"/>
      <c r="MTY10" s="65"/>
      <c r="MTZ10" s="65"/>
      <c r="MUA10" s="65"/>
      <c r="MUB10" s="65"/>
      <c r="MUC10" s="65"/>
      <c r="MUD10" s="65"/>
      <c r="MUE10" s="65"/>
      <c r="MUF10" s="65"/>
      <c r="MUG10" s="65"/>
      <c r="MUH10" s="65"/>
      <c r="MUI10" s="65"/>
      <c r="MUJ10" s="65"/>
      <c r="MUK10" s="65"/>
      <c r="MUL10" s="65"/>
      <c r="MUM10" s="65"/>
      <c r="MUN10" s="65"/>
      <c r="MUO10" s="65"/>
      <c r="MUP10" s="65"/>
      <c r="MUQ10" s="65"/>
      <c r="MUR10" s="65"/>
      <c r="MUS10" s="65"/>
      <c r="MUT10" s="65"/>
      <c r="MUU10" s="65"/>
      <c r="MUV10" s="65"/>
      <c r="MUW10" s="65"/>
      <c r="MUX10" s="65"/>
      <c r="MUY10" s="65"/>
      <c r="MUZ10" s="65"/>
      <c r="MVA10" s="65"/>
      <c r="MVB10" s="65"/>
      <c r="MVC10" s="65"/>
      <c r="MVD10" s="65"/>
      <c r="MVE10" s="65"/>
      <c r="MVF10" s="65"/>
      <c r="MVG10" s="65"/>
      <c r="MVH10" s="65"/>
      <c r="MVI10" s="65"/>
      <c r="MVJ10" s="65"/>
      <c r="MVK10" s="65"/>
      <c r="MVL10" s="65"/>
      <c r="MVM10" s="65"/>
      <c r="MVN10" s="65"/>
      <c r="MVO10" s="65"/>
      <c r="MVP10" s="65"/>
      <c r="MVQ10" s="65"/>
      <c r="MVR10" s="65"/>
      <c r="MVS10" s="65"/>
      <c r="MVT10" s="65"/>
      <c r="MVU10" s="65"/>
      <c r="MVV10" s="65"/>
      <c r="MVW10" s="65"/>
      <c r="MVX10" s="65"/>
      <c r="MVY10" s="65"/>
      <c r="MVZ10" s="65"/>
      <c r="MWA10" s="65"/>
      <c r="MWB10" s="65"/>
      <c r="MWC10" s="65"/>
      <c r="MWD10" s="65"/>
      <c r="MWE10" s="65"/>
      <c r="MWF10" s="65"/>
      <c r="MWG10" s="65"/>
      <c r="MWH10" s="65"/>
      <c r="MWI10" s="65"/>
      <c r="MWJ10" s="65"/>
      <c r="MWK10" s="65"/>
      <c r="MWL10" s="65"/>
      <c r="MWM10" s="65"/>
      <c r="MWN10" s="65"/>
      <c r="MWO10" s="65"/>
      <c r="MWP10" s="65"/>
      <c r="MWQ10" s="65"/>
      <c r="MWR10" s="65"/>
      <c r="MWS10" s="65"/>
      <c r="MWT10" s="65"/>
      <c r="MWU10" s="65"/>
      <c r="MWV10" s="65"/>
      <c r="MWW10" s="65"/>
      <c r="MWX10" s="65"/>
      <c r="MWY10" s="65"/>
      <c r="MWZ10" s="65"/>
      <c r="MXA10" s="65"/>
      <c r="MXB10" s="65"/>
      <c r="MXC10" s="65"/>
      <c r="MXD10" s="65"/>
      <c r="MXE10" s="65"/>
      <c r="MXF10" s="65"/>
      <c r="MXG10" s="65"/>
      <c r="MXH10" s="65"/>
      <c r="MXI10" s="65"/>
      <c r="MXJ10" s="65"/>
      <c r="MXK10" s="65"/>
      <c r="MXL10" s="65"/>
      <c r="MXM10" s="65"/>
      <c r="MXN10" s="65"/>
      <c r="MXO10" s="65"/>
      <c r="MXP10" s="65"/>
      <c r="MXQ10" s="65"/>
      <c r="MXR10" s="65"/>
      <c r="MXS10" s="65"/>
      <c r="MXT10" s="65"/>
      <c r="MXU10" s="65"/>
      <c r="MXV10" s="65"/>
      <c r="MXW10" s="65"/>
      <c r="MXX10" s="65"/>
      <c r="MXY10" s="65"/>
      <c r="MXZ10" s="65"/>
      <c r="MYA10" s="65"/>
      <c r="MYB10" s="65"/>
      <c r="MYC10" s="65"/>
      <c r="MYD10" s="65"/>
      <c r="MYE10" s="65"/>
      <c r="MYF10" s="65"/>
      <c r="MYG10" s="65"/>
      <c r="MYH10" s="65"/>
      <c r="MYI10" s="65"/>
      <c r="MYJ10" s="65"/>
      <c r="MYK10" s="65"/>
      <c r="MYL10" s="65"/>
      <c r="MYM10" s="65"/>
      <c r="MYN10" s="65"/>
      <c r="MYO10" s="65"/>
      <c r="MYP10" s="65"/>
      <c r="MYQ10" s="65"/>
      <c r="MYR10" s="65"/>
      <c r="MYS10" s="65"/>
      <c r="MYT10" s="65"/>
      <c r="MYU10" s="65"/>
      <c r="MYV10" s="65"/>
      <c r="MYW10" s="65"/>
      <c r="MYX10" s="65"/>
      <c r="MYY10" s="65"/>
      <c r="MYZ10" s="65"/>
      <c r="MZA10" s="65"/>
      <c r="MZB10" s="65"/>
      <c r="MZC10" s="65"/>
      <c r="MZD10" s="65"/>
      <c r="MZE10" s="65"/>
      <c r="MZF10" s="65"/>
      <c r="MZG10" s="65"/>
      <c r="MZH10" s="65"/>
      <c r="MZI10" s="65"/>
      <c r="MZJ10" s="65"/>
      <c r="MZK10" s="65"/>
      <c r="MZL10" s="65"/>
      <c r="MZM10" s="65"/>
      <c r="MZN10" s="65"/>
      <c r="MZO10" s="65"/>
      <c r="MZP10" s="65"/>
      <c r="MZQ10" s="65"/>
      <c r="MZR10" s="65"/>
      <c r="MZS10" s="65"/>
      <c r="MZT10" s="65"/>
      <c r="MZU10" s="65"/>
      <c r="MZV10" s="65"/>
      <c r="MZW10" s="65"/>
      <c r="MZX10" s="65"/>
      <c r="MZY10" s="65"/>
      <c r="MZZ10" s="65"/>
      <c r="NAA10" s="65"/>
      <c r="NAB10" s="65"/>
      <c r="NAC10" s="65"/>
      <c r="NAD10" s="65"/>
      <c r="NAE10" s="65"/>
      <c r="NAF10" s="65"/>
      <c r="NAG10" s="65"/>
      <c r="NAH10" s="65"/>
      <c r="NAI10" s="65"/>
      <c r="NAJ10" s="65"/>
      <c r="NAK10" s="65"/>
      <c r="NAL10" s="65"/>
      <c r="NAM10" s="65"/>
      <c r="NAN10" s="65"/>
      <c r="NAO10" s="65"/>
      <c r="NAP10" s="65"/>
      <c r="NAQ10" s="65"/>
      <c r="NAR10" s="65"/>
      <c r="NAS10" s="65"/>
      <c r="NAT10" s="65"/>
      <c r="NAU10" s="65"/>
      <c r="NAV10" s="65"/>
      <c r="NAW10" s="65"/>
      <c r="NAX10" s="65"/>
      <c r="NAY10" s="65"/>
      <c r="NAZ10" s="65"/>
      <c r="NBA10" s="65"/>
      <c r="NBB10" s="65"/>
      <c r="NBC10" s="65"/>
      <c r="NBD10" s="65"/>
      <c r="NBE10" s="65"/>
      <c r="NBF10" s="65"/>
      <c r="NBG10" s="65"/>
      <c r="NBH10" s="65"/>
      <c r="NBI10" s="65"/>
      <c r="NBJ10" s="65"/>
      <c r="NBK10" s="65"/>
      <c r="NBL10" s="65"/>
      <c r="NBM10" s="65"/>
      <c r="NBN10" s="65"/>
      <c r="NBO10" s="65"/>
      <c r="NBP10" s="65"/>
      <c r="NBQ10" s="65"/>
      <c r="NBR10" s="65"/>
      <c r="NBS10" s="65"/>
      <c r="NBT10" s="65"/>
      <c r="NBU10" s="65"/>
      <c r="NBV10" s="65"/>
      <c r="NBW10" s="65"/>
      <c r="NBX10" s="65"/>
      <c r="NBY10" s="65"/>
      <c r="NBZ10" s="65"/>
      <c r="NCA10" s="65"/>
      <c r="NCB10" s="65"/>
      <c r="NCC10" s="65"/>
      <c r="NCD10" s="65"/>
      <c r="NCE10" s="65"/>
      <c r="NCF10" s="65"/>
      <c r="NCG10" s="65"/>
      <c r="NCH10" s="65"/>
      <c r="NCI10" s="65"/>
      <c r="NCJ10" s="65"/>
      <c r="NCK10" s="65"/>
      <c r="NCL10" s="65"/>
      <c r="NCM10" s="65"/>
      <c r="NCN10" s="65"/>
      <c r="NCO10" s="65"/>
      <c r="NCP10" s="65"/>
      <c r="NCQ10" s="65"/>
      <c r="NCR10" s="65"/>
      <c r="NCS10" s="65"/>
      <c r="NCT10" s="65"/>
      <c r="NCU10" s="65"/>
      <c r="NCV10" s="65"/>
      <c r="NCW10" s="65"/>
      <c r="NCX10" s="65"/>
      <c r="NCY10" s="65"/>
      <c r="NCZ10" s="65"/>
      <c r="NDA10" s="65"/>
      <c r="NDB10" s="65"/>
      <c r="NDC10" s="65"/>
      <c r="NDD10" s="65"/>
      <c r="NDE10" s="65"/>
      <c r="NDF10" s="65"/>
      <c r="NDG10" s="65"/>
      <c r="NDH10" s="65"/>
      <c r="NDI10" s="65"/>
      <c r="NDJ10" s="65"/>
      <c r="NDK10" s="65"/>
      <c r="NDL10" s="65"/>
      <c r="NDM10" s="65"/>
      <c r="NDN10" s="65"/>
      <c r="NDO10" s="65"/>
      <c r="NDP10" s="65"/>
      <c r="NDQ10" s="65"/>
      <c r="NDR10" s="65"/>
      <c r="NDS10" s="65"/>
      <c r="NDT10" s="65"/>
      <c r="NDU10" s="65"/>
      <c r="NDV10" s="65"/>
      <c r="NDW10" s="65"/>
      <c r="NDX10" s="65"/>
      <c r="NDY10" s="65"/>
      <c r="NDZ10" s="65"/>
      <c r="NEA10" s="65"/>
      <c r="NEB10" s="65"/>
      <c r="NEC10" s="65"/>
      <c r="NED10" s="65"/>
      <c r="NEE10" s="65"/>
      <c r="NEF10" s="65"/>
      <c r="NEG10" s="65"/>
      <c r="NEH10" s="65"/>
      <c r="NEI10" s="65"/>
      <c r="NEJ10" s="65"/>
      <c r="NEK10" s="65"/>
      <c r="NEL10" s="65"/>
      <c r="NEM10" s="65"/>
      <c r="NEN10" s="65"/>
      <c r="NEO10" s="65"/>
      <c r="NEP10" s="65"/>
      <c r="NEQ10" s="65"/>
      <c r="NER10" s="65"/>
      <c r="NES10" s="65"/>
      <c r="NET10" s="65"/>
      <c r="NEU10" s="65"/>
      <c r="NEV10" s="65"/>
      <c r="NEW10" s="65"/>
      <c r="NEX10" s="65"/>
      <c r="NEY10" s="65"/>
      <c r="NEZ10" s="65"/>
      <c r="NFA10" s="65"/>
      <c r="NFB10" s="65"/>
      <c r="NFC10" s="65"/>
      <c r="NFD10" s="65"/>
      <c r="NFE10" s="65"/>
      <c r="NFF10" s="65"/>
      <c r="NFG10" s="65"/>
      <c r="NFH10" s="65"/>
      <c r="NFI10" s="65"/>
      <c r="NFJ10" s="65"/>
      <c r="NFK10" s="65"/>
      <c r="NFL10" s="65"/>
      <c r="NFM10" s="65"/>
      <c r="NFN10" s="65"/>
      <c r="NFO10" s="65"/>
      <c r="NFP10" s="65"/>
      <c r="NFQ10" s="65"/>
      <c r="NFR10" s="65"/>
      <c r="NFS10" s="65"/>
      <c r="NFT10" s="65"/>
      <c r="NFU10" s="65"/>
      <c r="NFV10" s="65"/>
      <c r="NFW10" s="65"/>
      <c r="NFX10" s="65"/>
      <c r="NFY10" s="65"/>
      <c r="NFZ10" s="65"/>
      <c r="NGA10" s="65"/>
      <c r="NGB10" s="65"/>
      <c r="NGC10" s="65"/>
      <c r="NGD10" s="65"/>
      <c r="NGE10" s="65"/>
      <c r="NGF10" s="65"/>
      <c r="NGG10" s="65"/>
      <c r="NGH10" s="65"/>
      <c r="NGI10" s="65"/>
      <c r="NGJ10" s="65"/>
      <c r="NGK10" s="65"/>
      <c r="NGL10" s="65"/>
      <c r="NGM10" s="65"/>
      <c r="NGN10" s="65"/>
      <c r="NGO10" s="65"/>
      <c r="NGP10" s="65"/>
      <c r="NGQ10" s="65"/>
      <c r="NGR10" s="65"/>
      <c r="NGS10" s="65"/>
      <c r="NGT10" s="65"/>
      <c r="NGU10" s="65"/>
      <c r="NGV10" s="65"/>
      <c r="NGW10" s="65"/>
      <c r="NGX10" s="65"/>
      <c r="NGY10" s="65"/>
      <c r="NGZ10" s="65"/>
      <c r="NHA10" s="65"/>
      <c r="NHB10" s="65"/>
      <c r="NHC10" s="65"/>
      <c r="NHD10" s="65"/>
      <c r="NHE10" s="65"/>
      <c r="NHF10" s="65"/>
      <c r="NHG10" s="65"/>
      <c r="NHH10" s="65"/>
      <c r="NHI10" s="65"/>
      <c r="NHJ10" s="65"/>
      <c r="NHK10" s="65"/>
      <c r="NHL10" s="65"/>
      <c r="NHM10" s="65"/>
      <c r="NHN10" s="65"/>
      <c r="NHO10" s="65"/>
      <c r="NHP10" s="65"/>
      <c r="NHQ10" s="65"/>
      <c r="NHR10" s="65"/>
      <c r="NHS10" s="65"/>
      <c r="NHT10" s="65"/>
      <c r="NHU10" s="65"/>
      <c r="NHV10" s="65"/>
      <c r="NHW10" s="65"/>
      <c r="NHX10" s="65"/>
      <c r="NHY10" s="65"/>
      <c r="NHZ10" s="65"/>
      <c r="NIA10" s="65"/>
      <c r="NIB10" s="65"/>
      <c r="NIC10" s="65"/>
      <c r="NID10" s="65"/>
      <c r="NIE10" s="65"/>
      <c r="NIF10" s="65"/>
      <c r="NIG10" s="65"/>
      <c r="NIH10" s="65"/>
      <c r="NII10" s="65"/>
      <c r="NIJ10" s="65"/>
      <c r="NIK10" s="65"/>
      <c r="NIL10" s="65"/>
      <c r="NIM10" s="65"/>
      <c r="NIN10" s="65"/>
      <c r="NIO10" s="65"/>
      <c r="NIP10" s="65"/>
      <c r="NIQ10" s="65"/>
      <c r="NIR10" s="65"/>
      <c r="NIS10" s="65"/>
      <c r="NIT10" s="65"/>
      <c r="NIU10" s="65"/>
      <c r="NIV10" s="65"/>
      <c r="NIW10" s="65"/>
      <c r="NIX10" s="65"/>
      <c r="NIY10" s="65"/>
      <c r="NIZ10" s="65"/>
      <c r="NJA10" s="65"/>
      <c r="NJB10" s="65"/>
      <c r="NJC10" s="65"/>
      <c r="NJD10" s="65"/>
      <c r="NJE10" s="65"/>
      <c r="NJF10" s="65"/>
      <c r="NJG10" s="65"/>
      <c r="NJH10" s="65"/>
      <c r="NJI10" s="65"/>
      <c r="NJJ10" s="65"/>
      <c r="NJK10" s="65"/>
      <c r="NJL10" s="65"/>
      <c r="NJM10" s="65"/>
      <c r="NJN10" s="65"/>
      <c r="NJO10" s="65"/>
      <c r="NJP10" s="65"/>
      <c r="NJQ10" s="65"/>
      <c r="NJR10" s="65"/>
      <c r="NJS10" s="65"/>
      <c r="NJT10" s="65"/>
      <c r="NJU10" s="65"/>
      <c r="NJV10" s="65"/>
      <c r="NJW10" s="65"/>
      <c r="NJX10" s="65"/>
      <c r="NJY10" s="65"/>
      <c r="NJZ10" s="65"/>
      <c r="NKA10" s="65"/>
      <c r="NKB10" s="65"/>
      <c r="NKC10" s="65"/>
      <c r="NKD10" s="65"/>
      <c r="NKE10" s="65"/>
      <c r="NKF10" s="65"/>
      <c r="NKG10" s="65"/>
      <c r="NKH10" s="65"/>
      <c r="NKI10" s="65"/>
      <c r="NKJ10" s="65"/>
      <c r="NKK10" s="65"/>
      <c r="NKL10" s="65"/>
      <c r="NKM10" s="65"/>
      <c r="NKN10" s="65"/>
      <c r="NKO10" s="65"/>
      <c r="NKP10" s="65"/>
      <c r="NKQ10" s="65"/>
      <c r="NKR10" s="65"/>
      <c r="NKS10" s="65"/>
      <c r="NKT10" s="65"/>
      <c r="NKU10" s="65"/>
      <c r="NKV10" s="65"/>
      <c r="NKW10" s="65"/>
      <c r="NKX10" s="65"/>
      <c r="NKY10" s="65"/>
      <c r="NKZ10" s="65"/>
      <c r="NLA10" s="65"/>
      <c r="NLB10" s="65"/>
      <c r="NLC10" s="65"/>
      <c r="NLD10" s="65"/>
      <c r="NLE10" s="65"/>
      <c r="NLF10" s="65"/>
      <c r="NLG10" s="65"/>
      <c r="NLH10" s="65"/>
      <c r="NLI10" s="65"/>
      <c r="NLJ10" s="65"/>
      <c r="NLK10" s="65"/>
      <c r="NLL10" s="65"/>
      <c r="NLM10" s="65"/>
      <c r="NLN10" s="65"/>
      <c r="NLO10" s="65"/>
      <c r="NLP10" s="65"/>
      <c r="NLQ10" s="65"/>
      <c r="NLR10" s="65"/>
      <c r="NLS10" s="65"/>
      <c r="NLT10" s="65"/>
      <c r="NLU10" s="65"/>
      <c r="NLV10" s="65"/>
      <c r="NLW10" s="65"/>
      <c r="NLX10" s="65"/>
      <c r="NLY10" s="65"/>
      <c r="NLZ10" s="65"/>
      <c r="NMA10" s="65"/>
      <c r="NMB10" s="65"/>
      <c r="NMC10" s="65"/>
      <c r="NMD10" s="65"/>
      <c r="NME10" s="65"/>
      <c r="NMF10" s="65"/>
      <c r="NMG10" s="65"/>
      <c r="NMH10" s="65"/>
      <c r="NMI10" s="65"/>
      <c r="NMJ10" s="65"/>
      <c r="NMK10" s="65"/>
      <c r="NML10" s="65"/>
      <c r="NMM10" s="65"/>
      <c r="NMN10" s="65"/>
      <c r="NMO10" s="65"/>
      <c r="NMP10" s="65"/>
      <c r="NMQ10" s="65"/>
      <c r="NMR10" s="65"/>
      <c r="NMS10" s="65"/>
      <c r="NMT10" s="65"/>
      <c r="NMU10" s="65"/>
      <c r="NMV10" s="65"/>
      <c r="NMW10" s="65"/>
      <c r="NMX10" s="65"/>
      <c r="NMY10" s="65"/>
      <c r="NMZ10" s="65"/>
      <c r="NNA10" s="65"/>
      <c r="NNB10" s="65"/>
      <c r="NNC10" s="65"/>
      <c r="NND10" s="65"/>
      <c r="NNE10" s="65"/>
      <c r="NNF10" s="65"/>
      <c r="NNG10" s="65"/>
      <c r="NNH10" s="65"/>
      <c r="NNI10" s="65"/>
      <c r="NNJ10" s="65"/>
      <c r="NNK10" s="65"/>
      <c r="NNL10" s="65"/>
      <c r="NNM10" s="65"/>
      <c r="NNN10" s="65"/>
      <c r="NNO10" s="65"/>
      <c r="NNP10" s="65"/>
      <c r="NNQ10" s="65"/>
      <c r="NNR10" s="65"/>
      <c r="NNS10" s="65"/>
      <c r="NNT10" s="65"/>
      <c r="NNU10" s="65"/>
      <c r="NNV10" s="65"/>
      <c r="NNW10" s="65"/>
      <c r="NNX10" s="65"/>
      <c r="NNY10" s="65"/>
      <c r="NNZ10" s="65"/>
      <c r="NOA10" s="65"/>
      <c r="NOB10" s="65"/>
      <c r="NOC10" s="65"/>
      <c r="NOD10" s="65"/>
      <c r="NOE10" s="65"/>
      <c r="NOF10" s="65"/>
      <c r="NOG10" s="65"/>
      <c r="NOH10" s="65"/>
      <c r="NOI10" s="65"/>
      <c r="NOJ10" s="65"/>
      <c r="NOK10" s="65"/>
      <c r="NOL10" s="65"/>
      <c r="NOM10" s="65"/>
      <c r="NON10" s="65"/>
      <c r="NOO10" s="65"/>
      <c r="NOP10" s="65"/>
      <c r="NOQ10" s="65"/>
      <c r="NOR10" s="65"/>
      <c r="NOS10" s="65"/>
      <c r="NOT10" s="65"/>
      <c r="NOU10" s="65"/>
      <c r="NOV10" s="65"/>
      <c r="NOW10" s="65"/>
      <c r="NOX10" s="65"/>
      <c r="NOY10" s="65"/>
      <c r="NOZ10" s="65"/>
      <c r="NPA10" s="65"/>
      <c r="NPB10" s="65"/>
      <c r="NPC10" s="65"/>
      <c r="NPD10" s="65"/>
      <c r="NPE10" s="65"/>
      <c r="NPF10" s="65"/>
      <c r="NPG10" s="65"/>
      <c r="NPH10" s="65"/>
      <c r="NPI10" s="65"/>
      <c r="NPJ10" s="65"/>
      <c r="NPK10" s="65"/>
      <c r="NPL10" s="65"/>
      <c r="NPM10" s="65"/>
      <c r="NPN10" s="65"/>
      <c r="NPO10" s="65"/>
      <c r="NPP10" s="65"/>
      <c r="NPQ10" s="65"/>
      <c r="NPR10" s="65"/>
      <c r="NPS10" s="65"/>
      <c r="NPT10" s="65"/>
      <c r="NPU10" s="65"/>
      <c r="NPV10" s="65"/>
      <c r="NPW10" s="65"/>
      <c r="NPX10" s="65"/>
      <c r="NPY10" s="65"/>
      <c r="NPZ10" s="65"/>
      <c r="NQA10" s="65"/>
      <c r="NQB10" s="65"/>
      <c r="NQC10" s="65"/>
      <c r="NQD10" s="65"/>
      <c r="NQE10" s="65"/>
      <c r="NQF10" s="65"/>
      <c r="NQG10" s="65"/>
      <c r="NQH10" s="65"/>
      <c r="NQI10" s="65"/>
      <c r="NQJ10" s="65"/>
      <c r="NQK10" s="65"/>
      <c r="NQL10" s="65"/>
      <c r="NQM10" s="65"/>
      <c r="NQN10" s="65"/>
      <c r="NQO10" s="65"/>
      <c r="NQP10" s="65"/>
      <c r="NQQ10" s="65"/>
      <c r="NQR10" s="65"/>
      <c r="NQS10" s="65"/>
      <c r="NQT10" s="65"/>
      <c r="NQU10" s="65"/>
      <c r="NQV10" s="65"/>
      <c r="NQW10" s="65"/>
      <c r="NQX10" s="65"/>
      <c r="NQY10" s="65"/>
      <c r="NQZ10" s="65"/>
      <c r="NRA10" s="65"/>
      <c r="NRB10" s="65"/>
      <c r="NRC10" s="65"/>
      <c r="NRD10" s="65"/>
      <c r="NRE10" s="65"/>
      <c r="NRF10" s="65"/>
      <c r="NRG10" s="65"/>
      <c r="NRH10" s="65"/>
      <c r="NRI10" s="65"/>
      <c r="NRJ10" s="65"/>
      <c r="NRK10" s="65"/>
      <c r="NRL10" s="65"/>
      <c r="NRM10" s="65"/>
      <c r="NRN10" s="65"/>
      <c r="NRO10" s="65"/>
      <c r="NRP10" s="65"/>
      <c r="NRQ10" s="65"/>
      <c r="NRR10" s="65"/>
      <c r="NRS10" s="65"/>
      <c r="NRT10" s="65"/>
      <c r="NRU10" s="65"/>
      <c r="NRV10" s="65"/>
      <c r="NRW10" s="65"/>
      <c r="NRX10" s="65"/>
      <c r="NRY10" s="65"/>
      <c r="NRZ10" s="65"/>
      <c r="NSA10" s="65"/>
      <c r="NSB10" s="65"/>
      <c r="NSC10" s="65"/>
      <c r="NSD10" s="65"/>
      <c r="NSE10" s="65"/>
      <c r="NSF10" s="65"/>
      <c r="NSG10" s="65"/>
      <c r="NSH10" s="65"/>
      <c r="NSI10" s="65"/>
      <c r="NSJ10" s="65"/>
      <c r="NSK10" s="65"/>
      <c r="NSL10" s="65"/>
      <c r="NSM10" s="65"/>
      <c r="NSN10" s="65"/>
      <c r="NSO10" s="65"/>
      <c r="NSP10" s="65"/>
      <c r="NSQ10" s="65"/>
      <c r="NSR10" s="65"/>
      <c r="NSS10" s="65"/>
      <c r="NST10" s="65"/>
      <c r="NSU10" s="65"/>
      <c r="NSV10" s="65"/>
      <c r="NSW10" s="65"/>
      <c r="NSX10" s="65"/>
      <c r="NSY10" s="65"/>
      <c r="NSZ10" s="65"/>
      <c r="NTA10" s="65"/>
      <c r="NTB10" s="65"/>
      <c r="NTC10" s="65"/>
      <c r="NTD10" s="65"/>
      <c r="NTE10" s="65"/>
      <c r="NTF10" s="65"/>
      <c r="NTG10" s="65"/>
      <c r="NTH10" s="65"/>
      <c r="NTI10" s="65"/>
      <c r="NTJ10" s="65"/>
      <c r="NTK10" s="65"/>
      <c r="NTL10" s="65"/>
      <c r="NTM10" s="65"/>
      <c r="NTN10" s="65"/>
      <c r="NTO10" s="65"/>
      <c r="NTP10" s="65"/>
      <c r="NTQ10" s="65"/>
      <c r="NTR10" s="65"/>
      <c r="NTS10" s="65"/>
      <c r="NTT10" s="65"/>
      <c r="NTU10" s="65"/>
      <c r="NTV10" s="65"/>
      <c r="NTW10" s="65"/>
      <c r="NTX10" s="65"/>
      <c r="NTY10" s="65"/>
      <c r="NTZ10" s="65"/>
      <c r="NUA10" s="65"/>
      <c r="NUB10" s="65"/>
      <c r="NUC10" s="65"/>
      <c r="NUD10" s="65"/>
      <c r="NUE10" s="65"/>
      <c r="NUF10" s="65"/>
      <c r="NUG10" s="65"/>
      <c r="NUH10" s="65"/>
      <c r="NUI10" s="65"/>
      <c r="NUJ10" s="65"/>
      <c r="NUK10" s="65"/>
      <c r="NUL10" s="65"/>
      <c r="NUM10" s="65"/>
      <c r="NUN10" s="65"/>
      <c r="NUO10" s="65"/>
      <c r="NUP10" s="65"/>
      <c r="NUQ10" s="65"/>
      <c r="NUR10" s="65"/>
      <c r="NUS10" s="65"/>
      <c r="NUT10" s="65"/>
      <c r="NUU10" s="65"/>
      <c r="NUV10" s="65"/>
      <c r="NUW10" s="65"/>
      <c r="NUX10" s="65"/>
      <c r="NUY10" s="65"/>
      <c r="NUZ10" s="65"/>
      <c r="NVA10" s="65"/>
      <c r="NVB10" s="65"/>
      <c r="NVC10" s="65"/>
      <c r="NVD10" s="65"/>
      <c r="NVE10" s="65"/>
      <c r="NVF10" s="65"/>
      <c r="NVG10" s="65"/>
      <c r="NVH10" s="65"/>
      <c r="NVI10" s="65"/>
      <c r="NVJ10" s="65"/>
      <c r="NVK10" s="65"/>
      <c r="NVL10" s="65"/>
      <c r="NVM10" s="65"/>
      <c r="NVN10" s="65"/>
      <c r="NVO10" s="65"/>
      <c r="NVP10" s="65"/>
      <c r="NVQ10" s="65"/>
      <c r="NVR10" s="65"/>
      <c r="NVS10" s="65"/>
      <c r="NVT10" s="65"/>
      <c r="NVU10" s="65"/>
      <c r="NVV10" s="65"/>
      <c r="NVW10" s="65"/>
      <c r="NVX10" s="65"/>
      <c r="NVY10" s="65"/>
      <c r="NVZ10" s="65"/>
      <c r="NWA10" s="65"/>
      <c r="NWB10" s="65"/>
      <c r="NWC10" s="65"/>
      <c r="NWD10" s="65"/>
      <c r="NWE10" s="65"/>
      <c r="NWF10" s="65"/>
      <c r="NWG10" s="65"/>
      <c r="NWH10" s="65"/>
      <c r="NWI10" s="65"/>
      <c r="NWJ10" s="65"/>
      <c r="NWK10" s="65"/>
      <c r="NWL10" s="65"/>
      <c r="NWM10" s="65"/>
      <c r="NWN10" s="65"/>
      <c r="NWO10" s="65"/>
      <c r="NWP10" s="65"/>
      <c r="NWQ10" s="65"/>
      <c r="NWR10" s="65"/>
      <c r="NWS10" s="65"/>
      <c r="NWT10" s="65"/>
      <c r="NWU10" s="65"/>
      <c r="NWV10" s="65"/>
      <c r="NWW10" s="65"/>
      <c r="NWX10" s="65"/>
      <c r="NWY10" s="65"/>
      <c r="NWZ10" s="65"/>
      <c r="NXA10" s="65"/>
      <c r="NXB10" s="65"/>
      <c r="NXC10" s="65"/>
      <c r="NXD10" s="65"/>
      <c r="NXE10" s="65"/>
      <c r="NXF10" s="65"/>
      <c r="NXG10" s="65"/>
      <c r="NXH10" s="65"/>
      <c r="NXI10" s="65"/>
      <c r="NXJ10" s="65"/>
      <c r="NXK10" s="65"/>
      <c r="NXL10" s="65"/>
      <c r="NXM10" s="65"/>
      <c r="NXN10" s="65"/>
      <c r="NXO10" s="65"/>
      <c r="NXP10" s="65"/>
      <c r="NXQ10" s="65"/>
      <c r="NXR10" s="65"/>
      <c r="NXS10" s="65"/>
      <c r="NXT10" s="65"/>
      <c r="NXU10" s="65"/>
      <c r="NXV10" s="65"/>
      <c r="NXW10" s="65"/>
      <c r="NXX10" s="65"/>
      <c r="NXY10" s="65"/>
      <c r="NXZ10" s="65"/>
      <c r="NYA10" s="65"/>
      <c r="NYB10" s="65"/>
      <c r="NYC10" s="65"/>
      <c r="NYD10" s="65"/>
      <c r="NYE10" s="65"/>
      <c r="NYF10" s="65"/>
      <c r="NYG10" s="65"/>
      <c r="NYH10" s="65"/>
      <c r="NYI10" s="65"/>
      <c r="NYJ10" s="65"/>
      <c r="NYK10" s="65"/>
      <c r="NYL10" s="65"/>
      <c r="NYM10" s="65"/>
      <c r="NYN10" s="65"/>
      <c r="NYO10" s="65"/>
      <c r="NYP10" s="65"/>
      <c r="NYQ10" s="65"/>
      <c r="NYR10" s="65"/>
      <c r="NYS10" s="65"/>
      <c r="NYT10" s="65"/>
      <c r="NYU10" s="65"/>
      <c r="NYV10" s="65"/>
      <c r="NYW10" s="65"/>
      <c r="NYX10" s="65"/>
      <c r="NYY10" s="65"/>
      <c r="NYZ10" s="65"/>
      <c r="NZA10" s="65"/>
      <c r="NZB10" s="65"/>
      <c r="NZC10" s="65"/>
      <c r="NZD10" s="65"/>
      <c r="NZE10" s="65"/>
      <c r="NZF10" s="65"/>
      <c r="NZG10" s="65"/>
      <c r="NZH10" s="65"/>
      <c r="NZI10" s="65"/>
      <c r="NZJ10" s="65"/>
      <c r="NZK10" s="65"/>
      <c r="NZL10" s="65"/>
      <c r="NZM10" s="65"/>
      <c r="NZN10" s="65"/>
      <c r="NZO10" s="65"/>
      <c r="NZP10" s="65"/>
      <c r="NZQ10" s="65"/>
      <c r="NZR10" s="65"/>
      <c r="NZS10" s="65"/>
      <c r="NZT10" s="65"/>
      <c r="NZU10" s="65"/>
      <c r="NZV10" s="65"/>
      <c r="NZW10" s="65"/>
      <c r="NZX10" s="65"/>
      <c r="NZY10" s="65"/>
      <c r="NZZ10" s="65"/>
      <c r="OAA10" s="65"/>
      <c r="OAB10" s="65"/>
      <c r="OAC10" s="65"/>
      <c r="OAD10" s="65"/>
      <c r="OAE10" s="65"/>
      <c r="OAF10" s="65"/>
      <c r="OAG10" s="65"/>
      <c r="OAH10" s="65"/>
      <c r="OAI10" s="65"/>
      <c r="OAJ10" s="65"/>
      <c r="OAK10" s="65"/>
      <c r="OAL10" s="65"/>
      <c r="OAM10" s="65"/>
      <c r="OAN10" s="65"/>
      <c r="OAO10" s="65"/>
      <c r="OAP10" s="65"/>
      <c r="OAQ10" s="65"/>
      <c r="OAR10" s="65"/>
      <c r="OAS10" s="65"/>
      <c r="OAT10" s="65"/>
      <c r="OAU10" s="65"/>
      <c r="OAV10" s="65"/>
      <c r="OAW10" s="65"/>
      <c r="OAX10" s="65"/>
      <c r="OAY10" s="65"/>
      <c r="OAZ10" s="65"/>
      <c r="OBA10" s="65"/>
      <c r="OBB10" s="65"/>
      <c r="OBC10" s="65"/>
      <c r="OBD10" s="65"/>
      <c r="OBE10" s="65"/>
      <c r="OBF10" s="65"/>
      <c r="OBG10" s="65"/>
      <c r="OBH10" s="65"/>
      <c r="OBI10" s="65"/>
      <c r="OBJ10" s="65"/>
      <c r="OBK10" s="65"/>
      <c r="OBL10" s="65"/>
      <c r="OBM10" s="65"/>
      <c r="OBN10" s="65"/>
      <c r="OBO10" s="65"/>
      <c r="OBP10" s="65"/>
      <c r="OBQ10" s="65"/>
      <c r="OBR10" s="65"/>
      <c r="OBS10" s="65"/>
      <c r="OBT10" s="65"/>
      <c r="OBU10" s="65"/>
      <c r="OBV10" s="65"/>
      <c r="OBW10" s="65"/>
      <c r="OBX10" s="65"/>
      <c r="OBY10" s="65"/>
      <c r="OBZ10" s="65"/>
      <c r="OCA10" s="65"/>
      <c r="OCB10" s="65"/>
      <c r="OCC10" s="65"/>
      <c r="OCD10" s="65"/>
      <c r="OCE10" s="65"/>
      <c r="OCF10" s="65"/>
      <c r="OCG10" s="65"/>
      <c r="OCH10" s="65"/>
      <c r="OCI10" s="65"/>
      <c r="OCJ10" s="65"/>
      <c r="OCK10" s="65"/>
      <c r="OCL10" s="65"/>
      <c r="OCM10" s="65"/>
      <c r="OCN10" s="65"/>
      <c r="OCO10" s="65"/>
      <c r="OCP10" s="65"/>
      <c r="OCQ10" s="65"/>
      <c r="OCR10" s="65"/>
      <c r="OCS10" s="65"/>
      <c r="OCT10" s="65"/>
      <c r="OCU10" s="65"/>
      <c r="OCV10" s="65"/>
      <c r="OCW10" s="65"/>
      <c r="OCX10" s="65"/>
      <c r="OCY10" s="65"/>
      <c r="OCZ10" s="65"/>
      <c r="ODA10" s="65"/>
      <c r="ODB10" s="65"/>
      <c r="ODC10" s="65"/>
      <c r="ODD10" s="65"/>
      <c r="ODE10" s="65"/>
      <c r="ODF10" s="65"/>
      <c r="ODG10" s="65"/>
      <c r="ODH10" s="65"/>
      <c r="ODI10" s="65"/>
      <c r="ODJ10" s="65"/>
      <c r="ODK10" s="65"/>
      <c r="ODL10" s="65"/>
      <c r="ODM10" s="65"/>
      <c r="ODN10" s="65"/>
      <c r="ODO10" s="65"/>
      <c r="ODP10" s="65"/>
      <c r="ODQ10" s="65"/>
      <c r="ODR10" s="65"/>
      <c r="ODS10" s="65"/>
      <c r="ODT10" s="65"/>
      <c r="ODU10" s="65"/>
      <c r="ODV10" s="65"/>
      <c r="ODW10" s="65"/>
      <c r="ODX10" s="65"/>
      <c r="ODY10" s="65"/>
      <c r="ODZ10" s="65"/>
      <c r="OEA10" s="65"/>
      <c r="OEB10" s="65"/>
      <c r="OEC10" s="65"/>
      <c r="OED10" s="65"/>
      <c r="OEE10" s="65"/>
      <c r="OEF10" s="65"/>
      <c r="OEG10" s="65"/>
      <c r="OEH10" s="65"/>
      <c r="OEI10" s="65"/>
      <c r="OEJ10" s="65"/>
      <c r="OEK10" s="65"/>
      <c r="OEL10" s="65"/>
      <c r="OEM10" s="65"/>
      <c r="OEN10" s="65"/>
      <c r="OEO10" s="65"/>
      <c r="OEP10" s="65"/>
      <c r="OEQ10" s="65"/>
      <c r="OER10" s="65"/>
      <c r="OES10" s="65"/>
      <c r="OET10" s="65"/>
      <c r="OEU10" s="65"/>
      <c r="OEV10" s="65"/>
      <c r="OEW10" s="65"/>
      <c r="OEX10" s="65"/>
      <c r="OEY10" s="65"/>
      <c r="OEZ10" s="65"/>
      <c r="OFA10" s="65"/>
      <c r="OFB10" s="65"/>
      <c r="OFC10" s="65"/>
      <c r="OFD10" s="65"/>
      <c r="OFE10" s="65"/>
      <c r="OFF10" s="65"/>
      <c r="OFG10" s="65"/>
      <c r="OFH10" s="65"/>
      <c r="OFI10" s="65"/>
      <c r="OFJ10" s="65"/>
      <c r="OFK10" s="65"/>
      <c r="OFL10" s="65"/>
      <c r="OFM10" s="65"/>
      <c r="OFN10" s="65"/>
      <c r="OFO10" s="65"/>
      <c r="OFP10" s="65"/>
      <c r="OFQ10" s="65"/>
      <c r="OFR10" s="65"/>
      <c r="OFS10" s="65"/>
      <c r="OFT10" s="65"/>
      <c r="OFU10" s="65"/>
      <c r="OFV10" s="65"/>
      <c r="OFW10" s="65"/>
      <c r="OFX10" s="65"/>
      <c r="OFY10" s="65"/>
      <c r="OFZ10" s="65"/>
      <c r="OGA10" s="65"/>
      <c r="OGB10" s="65"/>
      <c r="OGC10" s="65"/>
      <c r="OGD10" s="65"/>
      <c r="OGE10" s="65"/>
      <c r="OGF10" s="65"/>
      <c r="OGG10" s="65"/>
      <c r="OGH10" s="65"/>
      <c r="OGI10" s="65"/>
      <c r="OGJ10" s="65"/>
      <c r="OGK10" s="65"/>
      <c r="OGL10" s="65"/>
      <c r="OGM10" s="65"/>
      <c r="OGN10" s="65"/>
      <c r="OGO10" s="65"/>
      <c r="OGP10" s="65"/>
      <c r="OGQ10" s="65"/>
      <c r="OGR10" s="65"/>
      <c r="OGS10" s="65"/>
      <c r="OGT10" s="65"/>
      <c r="OGU10" s="65"/>
      <c r="OGV10" s="65"/>
      <c r="OGW10" s="65"/>
      <c r="OGX10" s="65"/>
      <c r="OGY10" s="65"/>
      <c r="OGZ10" s="65"/>
      <c r="OHA10" s="65"/>
      <c r="OHB10" s="65"/>
      <c r="OHC10" s="65"/>
      <c r="OHD10" s="65"/>
      <c r="OHE10" s="65"/>
      <c r="OHF10" s="65"/>
      <c r="OHG10" s="65"/>
      <c r="OHH10" s="65"/>
      <c r="OHI10" s="65"/>
      <c r="OHJ10" s="65"/>
      <c r="OHK10" s="65"/>
      <c r="OHL10" s="65"/>
      <c r="OHM10" s="65"/>
      <c r="OHN10" s="65"/>
      <c r="OHO10" s="65"/>
      <c r="OHP10" s="65"/>
      <c r="OHQ10" s="65"/>
      <c r="OHR10" s="65"/>
      <c r="OHS10" s="65"/>
      <c r="OHT10" s="65"/>
      <c r="OHU10" s="65"/>
      <c r="OHV10" s="65"/>
      <c r="OHW10" s="65"/>
      <c r="OHX10" s="65"/>
      <c r="OHY10" s="65"/>
      <c r="OHZ10" s="65"/>
      <c r="OIA10" s="65"/>
      <c r="OIB10" s="65"/>
      <c r="OIC10" s="65"/>
      <c r="OID10" s="65"/>
      <c r="OIE10" s="65"/>
      <c r="OIF10" s="65"/>
      <c r="OIG10" s="65"/>
      <c r="OIH10" s="65"/>
      <c r="OII10" s="65"/>
      <c r="OIJ10" s="65"/>
      <c r="OIK10" s="65"/>
      <c r="OIL10" s="65"/>
      <c r="OIM10" s="65"/>
      <c r="OIN10" s="65"/>
      <c r="OIO10" s="65"/>
      <c r="OIP10" s="65"/>
      <c r="OIQ10" s="65"/>
      <c r="OIR10" s="65"/>
      <c r="OIS10" s="65"/>
      <c r="OIT10" s="65"/>
      <c r="OIU10" s="65"/>
      <c r="OIV10" s="65"/>
      <c r="OIW10" s="65"/>
      <c r="OIX10" s="65"/>
      <c r="OIY10" s="65"/>
      <c r="OIZ10" s="65"/>
      <c r="OJA10" s="65"/>
      <c r="OJB10" s="65"/>
      <c r="OJC10" s="65"/>
      <c r="OJD10" s="65"/>
      <c r="OJE10" s="65"/>
      <c r="OJF10" s="65"/>
      <c r="OJG10" s="65"/>
      <c r="OJH10" s="65"/>
      <c r="OJI10" s="65"/>
      <c r="OJJ10" s="65"/>
      <c r="OJK10" s="65"/>
      <c r="OJL10" s="65"/>
      <c r="OJM10" s="65"/>
      <c r="OJN10" s="65"/>
      <c r="OJO10" s="65"/>
      <c r="OJP10" s="65"/>
      <c r="OJQ10" s="65"/>
      <c r="OJR10" s="65"/>
      <c r="OJS10" s="65"/>
      <c r="OJT10" s="65"/>
      <c r="OJU10" s="65"/>
      <c r="OJV10" s="65"/>
      <c r="OJW10" s="65"/>
      <c r="OJX10" s="65"/>
      <c r="OJY10" s="65"/>
      <c r="OJZ10" s="65"/>
      <c r="OKA10" s="65"/>
      <c r="OKB10" s="65"/>
      <c r="OKC10" s="65"/>
      <c r="OKD10" s="65"/>
      <c r="OKE10" s="65"/>
      <c r="OKF10" s="65"/>
      <c r="OKG10" s="65"/>
      <c r="OKH10" s="65"/>
      <c r="OKI10" s="65"/>
      <c r="OKJ10" s="65"/>
      <c r="OKK10" s="65"/>
      <c r="OKL10" s="65"/>
      <c r="OKM10" s="65"/>
      <c r="OKN10" s="65"/>
      <c r="OKO10" s="65"/>
      <c r="OKP10" s="65"/>
      <c r="OKQ10" s="65"/>
      <c r="OKR10" s="65"/>
      <c r="OKS10" s="65"/>
      <c r="OKT10" s="65"/>
      <c r="OKU10" s="65"/>
      <c r="OKV10" s="65"/>
      <c r="OKW10" s="65"/>
      <c r="OKX10" s="65"/>
      <c r="OKY10" s="65"/>
      <c r="OKZ10" s="65"/>
      <c r="OLA10" s="65"/>
      <c r="OLB10" s="65"/>
      <c r="OLC10" s="65"/>
      <c r="OLD10" s="65"/>
      <c r="OLE10" s="65"/>
      <c r="OLF10" s="65"/>
      <c r="OLG10" s="65"/>
      <c r="OLH10" s="65"/>
      <c r="OLI10" s="65"/>
      <c r="OLJ10" s="65"/>
      <c r="OLK10" s="65"/>
      <c r="OLL10" s="65"/>
      <c r="OLM10" s="65"/>
      <c r="OLN10" s="65"/>
      <c r="OLO10" s="65"/>
      <c r="OLP10" s="65"/>
      <c r="OLQ10" s="65"/>
      <c r="OLR10" s="65"/>
      <c r="OLS10" s="65"/>
      <c r="OLT10" s="65"/>
      <c r="OLU10" s="65"/>
      <c r="OLV10" s="65"/>
      <c r="OLW10" s="65"/>
      <c r="OLX10" s="65"/>
      <c r="OLY10" s="65"/>
      <c r="OLZ10" s="65"/>
      <c r="OMA10" s="65"/>
      <c r="OMB10" s="65"/>
      <c r="OMC10" s="65"/>
      <c r="OMD10" s="65"/>
      <c r="OME10" s="65"/>
      <c r="OMF10" s="65"/>
      <c r="OMG10" s="65"/>
      <c r="OMH10" s="65"/>
      <c r="OMI10" s="65"/>
      <c r="OMJ10" s="65"/>
      <c r="OMK10" s="65"/>
      <c r="OML10" s="65"/>
      <c r="OMM10" s="65"/>
      <c r="OMN10" s="65"/>
      <c r="OMO10" s="65"/>
      <c r="OMP10" s="65"/>
      <c r="OMQ10" s="65"/>
      <c r="OMR10" s="65"/>
      <c r="OMS10" s="65"/>
      <c r="OMT10" s="65"/>
      <c r="OMU10" s="65"/>
      <c r="OMV10" s="65"/>
      <c r="OMW10" s="65"/>
      <c r="OMX10" s="65"/>
      <c r="OMY10" s="65"/>
      <c r="OMZ10" s="65"/>
      <c r="ONA10" s="65"/>
      <c r="ONB10" s="65"/>
      <c r="ONC10" s="65"/>
      <c r="OND10" s="65"/>
      <c r="ONE10" s="65"/>
      <c r="ONF10" s="65"/>
      <c r="ONG10" s="65"/>
      <c r="ONH10" s="65"/>
      <c r="ONI10" s="65"/>
      <c r="ONJ10" s="65"/>
      <c r="ONK10" s="65"/>
      <c r="ONL10" s="65"/>
      <c r="ONM10" s="65"/>
      <c r="ONN10" s="65"/>
      <c r="ONO10" s="65"/>
      <c r="ONP10" s="65"/>
      <c r="ONQ10" s="65"/>
      <c r="ONR10" s="65"/>
      <c r="ONS10" s="65"/>
      <c r="ONT10" s="65"/>
      <c r="ONU10" s="65"/>
      <c r="ONV10" s="65"/>
      <c r="ONW10" s="65"/>
      <c r="ONX10" s="65"/>
      <c r="ONY10" s="65"/>
      <c r="ONZ10" s="65"/>
      <c r="OOA10" s="65"/>
      <c r="OOB10" s="65"/>
      <c r="OOC10" s="65"/>
      <c r="OOD10" s="65"/>
      <c r="OOE10" s="65"/>
      <c r="OOF10" s="65"/>
      <c r="OOG10" s="65"/>
      <c r="OOH10" s="65"/>
      <c r="OOI10" s="65"/>
      <c r="OOJ10" s="65"/>
      <c r="OOK10" s="65"/>
      <c r="OOL10" s="65"/>
      <c r="OOM10" s="65"/>
      <c r="OON10" s="65"/>
      <c r="OOO10" s="65"/>
      <c r="OOP10" s="65"/>
      <c r="OOQ10" s="65"/>
      <c r="OOR10" s="65"/>
      <c r="OOS10" s="65"/>
      <c r="OOT10" s="65"/>
      <c r="OOU10" s="65"/>
      <c r="OOV10" s="65"/>
      <c r="OOW10" s="65"/>
      <c r="OOX10" s="65"/>
      <c r="OOY10" s="65"/>
      <c r="OOZ10" s="65"/>
      <c r="OPA10" s="65"/>
      <c r="OPB10" s="65"/>
      <c r="OPC10" s="65"/>
      <c r="OPD10" s="65"/>
      <c r="OPE10" s="65"/>
      <c r="OPF10" s="65"/>
      <c r="OPG10" s="65"/>
      <c r="OPH10" s="65"/>
      <c r="OPI10" s="65"/>
      <c r="OPJ10" s="65"/>
      <c r="OPK10" s="65"/>
      <c r="OPL10" s="65"/>
      <c r="OPM10" s="65"/>
      <c r="OPN10" s="65"/>
      <c r="OPO10" s="65"/>
      <c r="OPP10" s="65"/>
      <c r="OPQ10" s="65"/>
      <c r="OPR10" s="65"/>
      <c r="OPS10" s="65"/>
      <c r="OPT10" s="65"/>
      <c r="OPU10" s="65"/>
      <c r="OPV10" s="65"/>
      <c r="OPW10" s="65"/>
      <c r="OPX10" s="65"/>
      <c r="OPY10" s="65"/>
      <c r="OPZ10" s="65"/>
      <c r="OQA10" s="65"/>
      <c r="OQB10" s="65"/>
      <c r="OQC10" s="65"/>
      <c r="OQD10" s="65"/>
      <c r="OQE10" s="65"/>
      <c r="OQF10" s="65"/>
      <c r="OQG10" s="65"/>
      <c r="OQH10" s="65"/>
      <c r="OQI10" s="65"/>
      <c r="OQJ10" s="65"/>
      <c r="OQK10" s="65"/>
      <c r="OQL10" s="65"/>
      <c r="OQM10" s="65"/>
      <c r="OQN10" s="65"/>
      <c r="OQO10" s="65"/>
      <c r="OQP10" s="65"/>
      <c r="OQQ10" s="65"/>
      <c r="OQR10" s="65"/>
      <c r="OQS10" s="65"/>
      <c r="OQT10" s="65"/>
      <c r="OQU10" s="65"/>
      <c r="OQV10" s="65"/>
      <c r="OQW10" s="65"/>
      <c r="OQX10" s="65"/>
      <c r="OQY10" s="65"/>
      <c r="OQZ10" s="65"/>
      <c r="ORA10" s="65"/>
      <c r="ORB10" s="65"/>
      <c r="ORC10" s="65"/>
      <c r="ORD10" s="65"/>
      <c r="ORE10" s="65"/>
      <c r="ORF10" s="65"/>
      <c r="ORG10" s="65"/>
      <c r="ORH10" s="65"/>
      <c r="ORI10" s="65"/>
      <c r="ORJ10" s="65"/>
      <c r="ORK10" s="65"/>
      <c r="ORL10" s="65"/>
      <c r="ORM10" s="65"/>
      <c r="ORN10" s="65"/>
      <c r="ORO10" s="65"/>
      <c r="ORP10" s="65"/>
      <c r="ORQ10" s="65"/>
      <c r="ORR10" s="65"/>
      <c r="ORS10" s="65"/>
      <c r="ORT10" s="65"/>
      <c r="ORU10" s="65"/>
      <c r="ORV10" s="65"/>
      <c r="ORW10" s="65"/>
      <c r="ORX10" s="65"/>
      <c r="ORY10" s="65"/>
      <c r="ORZ10" s="65"/>
      <c r="OSA10" s="65"/>
      <c r="OSB10" s="65"/>
      <c r="OSC10" s="65"/>
      <c r="OSD10" s="65"/>
      <c r="OSE10" s="65"/>
      <c r="OSF10" s="65"/>
      <c r="OSG10" s="65"/>
      <c r="OSH10" s="65"/>
      <c r="OSI10" s="65"/>
      <c r="OSJ10" s="65"/>
      <c r="OSK10" s="65"/>
      <c r="OSL10" s="65"/>
      <c r="OSM10" s="65"/>
      <c r="OSN10" s="65"/>
      <c r="OSO10" s="65"/>
      <c r="OSP10" s="65"/>
      <c r="OSQ10" s="65"/>
      <c r="OSR10" s="65"/>
      <c r="OSS10" s="65"/>
      <c r="OST10" s="65"/>
      <c r="OSU10" s="65"/>
      <c r="OSV10" s="65"/>
      <c r="OSW10" s="65"/>
      <c r="OSX10" s="65"/>
      <c r="OSY10" s="65"/>
      <c r="OSZ10" s="65"/>
      <c r="OTA10" s="65"/>
      <c r="OTB10" s="65"/>
      <c r="OTC10" s="65"/>
      <c r="OTD10" s="65"/>
      <c r="OTE10" s="65"/>
      <c r="OTF10" s="65"/>
      <c r="OTG10" s="65"/>
      <c r="OTH10" s="65"/>
      <c r="OTI10" s="65"/>
      <c r="OTJ10" s="65"/>
      <c r="OTK10" s="65"/>
      <c r="OTL10" s="65"/>
      <c r="OTM10" s="65"/>
      <c r="OTN10" s="65"/>
      <c r="OTO10" s="65"/>
      <c r="OTP10" s="65"/>
      <c r="OTQ10" s="65"/>
      <c r="OTR10" s="65"/>
      <c r="OTS10" s="65"/>
      <c r="OTT10" s="65"/>
      <c r="OTU10" s="65"/>
      <c r="OTV10" s="65"/>
      <c r="OTW10" s="65"/>
      <c r="OTX10" s="65"/>
      <c r="OTY10" s="65"/>
      <c r="OTZ10" s="65"/>
      <c r="OUA10" s="65"/>
      <c r="OUB10" s="65"/>
      <c r="OUC10" s="65"/>
      <c r="OUD10" s="65"/>
      <c r="OUE10" s="65"/>
      <c r="OUF10" s="65"/>
      <c r="OUG10" s="65"/>
      <c r="OUH10" s="65"/>
      <c r="OUI10" s="65"/>
      <c r="OUJ10" s="65"/>
      <c r="OUK10" s="65"/>
      <c r="OUL10" s="65"/>
      <c r="OUM10" s="65"/>
      <c r="OUN10" s="65"/>
      <c r="OUO10" s="65"/>
      <c r="OUP10" s="65"/>
      <c r="OUQ10" s="65"/>
      <c r="OUR10" s="65"/>
      <c r="OUS10" s="65"/>
      <c r="OUT10" s="65"/>
      <c r="OUU10" s="65"/>
      <c r="OUV10" s="65"/>
      <c r="OUW10" s="65"/>
      <c r="OUX10" s="65"/>
      <c r="OUY10" s="65"/>
      <c r="OUZ10" s="65"/>
      <c r="OVA10" s="65"/>
      <c r="OVB10" s="65"/>
      <c r="OVC10" s="65"/>
      <c r="OVD10" s="65"/>
      <c r="OVE10" s="65"/>
      <c r="OVF10" s="65"/>
      <c r="OVG10" s="65"/>
      <c r="OVH10" s="65"/>
      <c r="OVI10" s="65"/>
      <c r="OVJ10" s="65"/>
      <c r="OVK10" s="65"/>
      <c r="OVL10" s="65"/>
      <c r="OVM10" s="65"/>
      <c r="OVN10" s="65"/>
      <c r="OVO10" s="65"/>
      <c r="OVP10" s="65"/>
      <c r="OVQ10" s="65"/>
      <c r="OVR10" s="65"/>
      <c r="OVS10" s="65"/>
      <c r="OVT10" s="65"/>
      <c r="OVU10" s="65"/>
      <c r="OVV10" s="65"/>
      <c r="OVW10" s="65"/>
      <c r="OVX10" s="65"/>
      <c r="OVY10" s="65"/>
      <c r="OVZ10" s="65"/>
      <c r="OWA10" s="65"/>
      <c r="OWB10" s="65"/>
      <c r="OWC10" s="65"/>
      <c r="OWD10" s="65"/>
      <c r="OWE10" s="65"/>
      <c r="OWF10" s="65"/>
      <c r="OWG10" s="65"/>
      <c r="OWH10" s="65"/>
      <c r="OWI10" s="65"/>
      <c r="OWJ10" s="65"/>
      <c r="OWK10" s="65"/>
      <c r="OWL10" s="65"/>
      <c r="OWM10" s="65"/>
      <c r="OWN10" s="65"/>
      <c r="OWO10" s="65"/>
      <c r="OWP10" s="65"/>
      <c r="OWQ10" s="65"/>
      <c r="OWR10" s="65"/>
      <c r="OWS10" s="65"/>
      <c r="OWT10" s="65"/>
      <c r="OWU10" s="65"/>
      <c r="OWV10" s="65"/>
      <c r="OWW10" s="65"/>
      <c r="OWX10" s="65"/>
      <c r="OWY10" s="65"/>
      <c r="OWZ10" s="65"/>
      <c r="OXA10" s="65"/>
      <c r="OXB10" s="65"/>
      <c r="OXC10" s="65"/>
      <c r="OXD10" s="65"/>
      <c r="OXE10" s="65"/>
      <c r="OXF10" s="65"/>
      <c r="OXG10" s="65"/>
      <c r="OXH10" s="65"/>
      <c r="OXI10" s="65"/>
      <c r="OXJ10" s="65"/>
      <c r="OXK10" s="65"/>
      <c r="OXL10" s="65"/>
      <c r="OXM10" s="65"/>
      <c r="OXN10" s="65"/>
      <c r="OXO10" s="65"/>
      <c r="OXP10" s="65"/>
      <c r="OXQ10" s="65"/>
      <c r="OXR10" s="65"/>
      <c r="OXS10" s="65"/>
      <c r="OXT10" s="65"/>
      <c r="OXU10" s="65"/>
      <c r="OXV10" s="65"/>
      <c r="OXW10" s="65"/>
      <c r="OXX10" s="65"/>
      <c r="OXY10" s="65"/>
      <c r="OXZ10" s="65"/>
      <c r="OYA10" s="65"/>
      <c r="OYB10" s="65"/>
      <c r="OYC10" s="65"/>
      <c r="OYD10" s="65"/>
      <c r="OYE10" s="65"/>
      <c r="OYF10" s="65"/>
      <c r="OYG10" s="65"/>
      <c r="OYH10" s="65"/>
      <c r="OYI10" s="65"/>
      <c r="OYJ10" s="65"/>
      <c r="OYK10" s="65"/>
      <c r="OYL10" s="65"/>
      <c r="OYM10" s="65"/>
      <c r="OYN10" s="65"/>
      <c r="OYO10" s="65"/>
      <c r="OYP10" s="65"/>
      <c r="OYQ10" s="65"/>
      <c r="OYR10" s="65"/>
      <c r="OYS10" s="65"/>
      <c r="OYT10" s="65"/>
      <c r="OYU10" s="65"/>
      <c r="OYV10" s="65"/>
      <c r="OYW10" s="65"/>
      <c r="OYX10" s="65"/>
      <c r="OYY10" s="65"/>
      <c r="OYZ10" s="65"/>
      <c r="OZA10" s="65"/>
      <c r="OZB10" s="65"/>
      <c r="OZC10" s="65"/>
      <c r="OZD10" s="65"/>
      <c r="OZE10" s="65"/>
      <c r="OZF10" s="65"/>
      <c r="OZG10" s="65"/>
      <c r="OZH10" s="65"/>
      <c r="OZI10" s="65"/>
      <c r="OZJ10" s="65"/>
      <c r="OZK10" s="65"/>
      <c r="OZL10" s="65"/>
      <c r="OZM10" s="65"/>
      <c r="OZN10" s="65"/>
      <c r="OZO10" s="65"/>
      <c r="OZP10" s="65"/>
      <c r="OZQ10" s="65"/>
      <c r="OZR10" s="65"/>
      <c r="OZS10" s="65"/>
      <c r="OZT10" s="65"/>
      <c r="OZU10" s="65"/>
      <c r="OZV10" s="65"/>
      <c r="OZW10" s="65"/>
      <c r="OZX10" s="65"/>
      <c r="OZY10" s="65"/>
      <c r="OZZ10" s="65"/>
      <c r="PAA10" s="65"/>
      <c r="PAB10" s="65"/>
      <c r="PAC10" s="65"/>
      <c r="PAD10" s="65"/>
      <c r="PAE10" s="65"/>
      <c r="PAF10" s="65"/>
      <c r="PAG10" s="65"/>
      <c r="PAH10" s="65"/>
      <c r="PAI10" s="65"/>
      <c r="PAJ10" s="65"/>
      <c r="PAK10" s="65"/>
      <c r="PAL10" s="65"/>
      <c r="PAM10" s="65"/>
      <c r="PAN10" s="65"/>
      <c r="PAO10" s="65"/>
      <c r="PAP10" s="65"/>
      <c r="PAQ10" s="65"/>
      <c r="PAR10" s="65"/>
      <c r="PAS10" s="65"/>
      <c r="PAT10" s="65"/>
      <c r="PAU10" s="65"/>
      <c r="PAV10" s="65"/>
      <c r="PAW10" s="65"/>
      <c r="PAX10" s="65"/>
      <c r="PAY10" s="65"/>
      <c r="PAZ10" s="65"/>
      <c r="PBA10" s="65"/>
      <c r="PBB10" s="65"/>
      <c r="PBC10" s="65"/>
      <c r="PBD10" s="65"/>
      <c r="PBE10" s="65"/>
      <c r="PBF10" s="65"/>
      <c r="PBG10" s="65"/>
      <c r="PBH10" s="65"/>
      <c r="PBI10" s="65"/>
      <c r="PBJ10" s="65"/>
      <c r="PBK10" s="65"/>
      <c r="PBL10" s="65"/>
      <c r="PBM10" s="65"/>
      <c r="PBN10" s="65"/>
      <c r="PBO10" s="65"/>
      <c r="PBP10" s="65"/>
      <c r="PBQ10" s="65"/>
      <c r="PBR10" s="65"/>
      <c r="PBS10" s="65"/>
      <c r="PBT10" s="65"/>
      <c r="PBU10" s="65"/>
      <c r="PBV10" s="65"/>
      <c r="PBW10" s="65"/>
      <c r="PBX10" s="65"/>
      <c r="PBY10" s="65"/>
      <c r="PBZ10" s="65"/>
      <c r="PCA10" s="65"/>
      <c r="PCB10" s="65"/>
      <c r="PCC10" s="65"/>
      <c r="PCD10" s="65"/>
      <c r="PCE10" s="65"/>
      <c r="PCF10" s="65"/>
      <c r="PCG10" s="65"/>
      <c r="PCH10" s="65"/>
      <c r="PCI10" s="65"/>
      <c r="PCJ10" s="65"/>
      <c r="PCK10" s="65"/>
      <c r="PCL10" s="65"/>
      <c r="PCM10" s="65"/>
      <c r="PCN10" s="65"/>
      <c r="PCO10" s="65"/>
      <c r="PCP10" s="65"/>
      <c r="PCQ10" s="65"/>
      <c r="PCR10" s="65"/>
      <c r="PCS10" s="65"/>
      <c r="PCT10" s="65"/>
      <c r="PCU10" s="65"/>
      <c r="PCV10" s="65"/>
      <c r="PCW10" s="65"/>
      <c r="PCX10" s="65"/>
      <c r="PCY10" s="65"/>
      <c r="PCZ10" s="65"/>
      <c r="PDA10" s="65"/>
      <c r="PDB10" s="65"/>
      <c r="PDC10" s="65"/>
      <c r="PDD10" s="65"/>
      <c r="PDE10" s="65"/>
      <c r="PDF10" s="65"/>
      <c r="PDG10" s="65"/>
      <c r="PDH10" s="65"/>
      <c r="PDI10" s="65"/>
      <c r="PDJ10" s="65"/>
      <c r="PDK10" s="65"/>
      <c r="PDL10" s="65"/>
      <c r="PDM10" s="65"/>
      <c r="PDN10" s="65"/>
      <c r="PDO10" s="65"/>
      <c r="PDP10" s="65"/>
      <c r="PDQ10" s="65"/>
      <c r="PDR10" s="65"/>
      <c r="PDS10" s="65"/>
      <c r="PDT10" s="65"/>
      <c r="PDU10" s="65"/>
      <c r="PDV10" s="65"/>
      <c r="PDW10" s="65"/>
      <c r="PDX10" s="65"/>
      <c r="PDY10" s="65"/>
      <c r="PDZ10" s="65"/>
      <c r="PEA10" s="65"/>
      <c r="PEB10" s="65"/>
      <c r="PEC10" s="65"/>
      <c r="PED10" s="65"/>
      <c r="PEE10" s="65"/>
      <c r="PEF10" s="65"/>
      <c r="PEG10" s="65"/>
      <c r="PEH10" s="65"/>
      <c r="PEI10" s="65"/>
      <c r="PEJ10" s="65"/>
      <c r="PEK10" s="65"/>
      <c r="PEL10" s="65"/>
      <c r="PEM10" s="65"/>
      <c r="PEN10" s="65"/>
      <c r="PEO10" s="65"/>
      <c r="PEP10" s="65"/>
      <c r="PEQ10" s="65"/>
      <c r="PER10" s="65"/>
      <c r="PES10" s="65"/>
      <c r="PET10" s="65"/>
      <c r="PEU10" s="65"/>
      <c r="PEV10" s="65"/>
      <c r="PEW10" s="65"/>
      <c r="PEX10" s="65"/>
      <c r="PEY10" s="65"/>
      <c r="PEZ10" s="65"/>
      <c r="PFA10" s="65"/>
      <c r="PFB10" s="65"/>
      <c r="PFC10" s="65"/>
      <c r="PFD10" s="65"/>
      <c r="PFE10" s="65"/>
      <c r="PFF10" s="65"/>
      <c r="PFG10" s="65"/>
      <c r="PFH10" s="65"/>
      <c r="PFI10" s="65"/>
      <c r="PFJ10" s="65"/>
      <c r="PFK10" s="65"/>
      <c r="PFL10" s="65"/>
      <c r="PFM10" s="65"/>
      <c r="PFN10" s="65"/>
      <c r="PFO10" s="65"/>
      <c r="PFP10" s="65"/>
      <c r="PFQ10" s="65"/>
      <c r="PFR10" s="65"/>
      <c r="PFS10" s="65"/>
      <c r="PFT10" s="65"/>
      <c r="PFU10" s="65"/>
      <c r="PFV10" s="65"/>
      <c r="PFW10" s="65"/>
      <c r="PFX10" s="65"/>
      <c r="PFY10" s="65"/>
      <c r="PFZ10" s="65"/>
      <c r="PGA10" s="65"/>
      <c r="PGB10" s="65"/>
      <c r="PGC10" s="65"/>
      <c r="PGD10" s="65"/>
      <c r="PGE10" s="65"/>
      <c r="PGF10" s="65"/>
      <c r="PGG10" s="65"/>
      <c r="PGH10" s="65"/>
      <c r="PGI10" s="65"/>
      <c r="PGJ10" s="65"/>
      <c r="PGK10" s="65"/>
      <c r="PGL10" s="65"/>
      <c r="PGM10" s="65"/>
      <c r="PGN10" s="65"/>
      <c r="PGO10" s="65"/>
      <c r="PGP10" s="65"/>
      <c r="PGQ10" s="65"/>
      <c r="PGR10" s="65"/>
      <c r="PGS10" s="65"/>
      <c r="PGT10" s="65"/>
      <c r="PGU10" s="65"/>
      <c r="PGV10" s="65"/>
      <c r="PGW10" s="65"/>
      <c r="PGX10" s="65"/>
      <c r="PGY10" s="65"/>
      <c r="PGZ10" s="65"/>
      <c r="PHA10" s="65"/>
      <c r="PHB10" s="65"/>
      <c r="PHC10" s="65"/>
      <c r="PHD10" s="65"/>
      <c r="PHE10" s="65"/>
      <c r="PHF10" s="65"/>
      <c r="PHG10" s="65"/>
      <c r="PHH10" s="65"/>
      <c r="PHI10" s="65"/>
      <c r="PHJ10" s="65"/>
      <c r="PHK10" s="65"/>
      <c r="PHL10" s="65"/>
      <c r="PHM10" s="65"/>
      <c r="PHN10" s="65"/>
      <c r="PHO10" s="65"/>
      <c r="PHP10" s="65"/>
      <c r="PHQ10" s="65"/>
      <c r="PHR10" s="65"/>
      <c r="PHS10" s="65"/>
      <c r="PHT10" s="65"/>
      <c r="PHU10" s="65"/>
      <c r="PHV10" s="65"/>
      <c r="PHW10" s="65"/>
      <c r="PHX10" s="65"/>
      <c r="PHY10" s="65"/>
      <c r="PHZ10" s="65"/>
      <c r="PIA10" s="65"/>
      <c r="PIB10" s="65"/>
      <c r="PIC10" s="65"/>
      <c r="PID10" s="65"/>
      <c r="PIE10" s="65"/>
      <c r="PIF10" s="65"/>
      <c r="PIG10" s="65"/>
      <c r="PIH10" s="65"/>
      <c r="PII10" s="65"/>
      <c r="PIJ10" s="65"/>
      <c r="PIK10" s="65"/>
      <c r="PIL10" s="65"/>
      <c r="PIM10" s="65"/>
      <c r="PIN10" s="65"/>
      <c r="PIO10" s="65"/>
      <c r="PIP10" s="65"/>
      <c r="PIQ10" s="65"/>
      <c r="PIR10" s="65"/>
      <c r="PIS10" s="65"/>
      <c r="PIT10" s="65"/>
      <c r="PIU10" s="65"/>
      <c r="PIV10" s="65"/>
      <c r="PIW10" s="65"/>
      <c r="PIX10" s="65"/>
      <c r="PIY10" s="65"/>
      <c r="PIZ10" s="65"/>
      <c r="PJA10" s="65"/>
      <c r="PJB10" s="65"/>
      <c r="PJC10" s="65"/>
      <c r="PJD10" s="65"/>
      <c r="PJE10" s="65"/>
      <c r="PJF10" s="65"/>
      <c r="PJG10" s="65"/>
      <c r="PJH10" s="65"/>
      <c r="PJI10" s="65"/>
      <c r="PJJ10" s="65"/>
      <c r="PJK10" s="65"/>
      <c r="PJL10" s="65"/>
      <c r="PJM10" s="65"/>
      <c r="PJN10" s="65"/>
      <c r="PJO10" s="65"/>
      <c r="PJP10" s="65"/>
      <c r="PJQ10" s="65"/>
      <c r="PJR10" s="65"/>
      <c r="PJS10" s="65"/>
      <c r="PJT10" s="65"/>
      <c r="PJU10" s="65"/>
      <c r="PJV10" s="65"/>
      <c r="PJW10" s="65"/>
      <c r="PJX10" s="65"/>
      <c r="PJY10" s="65"/>
      <c r="PJZ10" s="65"/>
      <c r="PKA10" s="65"/>
      <c r="PKB10" s="65"/>
      <c r="PKC10" s="65"/>
      <c r="PKD10" s="65"/>
      <c r="PKE10" s="65"/>
      <c r="PKF10" s="65"/>
      <c r="PKG10" s="65"/>
      <c r="PKH10" s="65"/>
      <c r="PKI10" s="65"/>
      <c r="PKJ10" s="65"/>
      <c r="PKK10" s="65"/>
      <c r="PKL10" s="65"/>
      <c r="PKM10" s="65"/>
      <c r="PKN10" s="65"/>
      <c r="PKO10" s="65"/>
      <c r="PKP10" s="65"/>
      <c r="PKQ10" s="65"/>
      <c r="PKR10" s="65"/>
      <c r="PKS10" s="65"/>
      <c r="PKT10" s="65"/>
      <c r="PKU10" s="65"/>
      <c r="PKV10" s="65"/>
      <c r="PKW10" s="65"/>
      <c r="PKX10" s="65"/>
      <c r="PKY10" s="65"/>
      <c r="PKZ10" s="65"/>
      <c r="PLA10" s="65"/>
      <c r="PLB10" s="65"/>
      <c r="PLC10" s="65"/>
      <c r="PLD10" s="65"/>
      <c r="PLE10" s="65"/>
      <c r="PLF10" s="65"/>
      <c r="PLG10" s="65"/>
      <c r="PLH10" s="65"/>
      <c r="PLI10" s="65"/>
      <c r="PLJ10" s="65"/>
      <c r="PLK10" s="65"/>
      <c r="PLL10" s="65"/>
      <c r="PLM10" s="65"/>
      <c r="PLN10" s="65"/>
      <c r="PLO10" s="65"/>
      <c r="PLP10" s="65"/>
      <c r="PLQ10" s="65"/>
      <c r="PLR10" s="65"/>
      <c r="PLS10" s="65"/>
      <c r="PLT10" s="65"/>
      <c r="PLU10" s="65"/>
      <c r="PLV10" s="65"/>
      <c r="PLW10" s="65"/>
      <c r="PLX10" s="65"/>
      <c r="PLY10" s="65"/>
      <c r="PLZ10" s="65"/>
      <c r="PMA10" s="65"/>
      <c r="PMB10" s="65"/>
      <c r="PMC10" s="65"/>
      <c r="PMD10" s="65"/>
      <c r="PME10" s="65"/>
      <c r="PMF10" s="65"/>
      <c r="PMG10" s="65"/>
      <c r="PMH10" s="65"/>
      <c r="PMI10" s="65"/>
      <c r="PMJ10" s="65"/>
      <c r="PMK10" s="65"/>
      <c r="PML10" s="65"/>
      <c r="PMM10" s="65"/>
      <c r="PMN10" s="65"/>
      <c r="PMO10" s="65"/>
      <c r="PMP10" s="65"/>
      <c r="PMQ10" s="65"/>
      <c r="PMR10" s="65"/>
      <c r="PMS10" s="65"/>
      <c r="PMT10" s="65"/>
      <c r="PMU10" s="65"/>
      <c r="PMV10" s="65"/>
      <c r="PMW10" s="65"/>
      <c r="PMX10" s="65"/>
      <c r="PMY10" s="65"/>
      <c r="PMZ10" s="65"/>
      <c r="PNA10" s="65"/>
      <c r="PNB10" s="65"/>
      <c r="PNC10" s="65"/>
      <c r="PND10" s="65"/>
      <c r="PNE10" s="65"/>
      <c r="PNF10" s="65"/>
      <c r="PNG10" s="65"/>
      <c r="PNH10" s="65"/>
      <c r="PNI10" s="65"/>
      <c r="PNJ10" s="65"/>
      <c r="PNK10" s="65"/>
      <c r="PNL10" s="65"/>
      <c r="PNM10" s="65"/>
      <c r="PNN10" s="65"/>
      <c r="PNO10" s="65"/>
      <c r="PNP10" s="65"/>
      <c r="PNQ10" s="65"/>
      <c r="PNR10" s="65"/>
      <c r="PNS10" s="65"/>
      <c r="PNT10" s="65"/>
      <c r="PNU10" s="65"/>
      <c r="PNV10" s="65"/>
      <c r="PNW10" s="65"/>
      <c r="PNX10" s="65"/>
      <c r="PNY10" s="65"/>
      <c r="PNZ10" s="65"/>
      <c r="POA10" s="65"/>
      <c r="POB10" s="65"/>
      <c r="POC10" s="65"/>
      <c r="POD10" s="65"/>
      <c r="POE10" s="65"/>
      <c r="POF10" s="65"/>
      <c r="POG10" s="65"/>
      <c r="POH10" s="65"/>
      <c r="POI10" s="65"/>
      <c r="POJ10" s="65"/>
      <c r="POK10" s="65"/>
      <c r="POL10" s="65"/>
      <c r="POM10" s="65"/>
      <c r="PON10" s="65"/>
      <c r="POO10" s="65"/>
      <c r="POP10" s="65"/>
      <c r="POQ10" s="65"/>
      <c r="POR10" s="65"/>
      <c r="POS10" s="65"/>
      <c r="POT10" s="65"/>
      <c r="POU10" s="65"/>
      <c r="POV10" s="65"/>
      <c r="POW10" s="65"/>
      <c r="POX10" s="65"/>
      <c r="POY10" s="65"/>
      <c r="POZ10" s="65"/>
      <c r="PPA10" s="65"/>
      <c r="PPB10" s="65"/>
      <c r="PPC10" s="65"/>
      <c r="PPD10" s="65"/>
      <c r="PPE10" s="65"/>
      <c r="PPF10" s="65"/>
      <c r="PPG10" s="65"/>
      <c r="PPH10" s="65"/>
      <c r="PPI10" s="65"/>
      <c r="PPJ10" s="65"/>
      <c r="PPK10" s="65"/>
      <c r="PPL10" s="65"/>
      <c r="PPM10" s="65"/>
      <c r="PPN10" s="65"/>
      <c r="PPO10" s="65"/>
      <c r="PPP10" s="65"/>
      <c r="PPQ10" s="65"/>
      <c r="PPR10" s="65"/>
      <c r="PPS10" s="65"/>
      <c r="PPT10" s="65"/>
      <c r="PPU10" s="65"/>
      <c r="PPV10" s="65"/>
      <c r="PPW10" s="65"/>
      <c r="PPX10" s="65"/>
      <c r="PPY10" s="65"/>
      <c r="PPZ10" s="65"/>
      <c r="PQA10" s="65"/>
      <c r="PQB10" s="65"/>
      <c r="PQC10" s="65"/>
      <c r="PQD10" s="65"/>
      <c r="PQE10" s="65"/>
      <c r="PQF10" s="65"/>
      <c r="PQG10" s="65"/>
      <c r="PQH10" s="65"/>
      <c r="PQI10" s="65"/>
      <c r="PQJ10" s="65"/>
      <c r="PQK10" s="65"/>
      <c r="PQL10" s="65"/>
      <c r="PQM10" s="65"/>
      <c r="PQN10" s="65"/>
      <c r="PQO10" s="65"/>
      <c r="PQP10" s="65"/>
      <c r="PQQ10" s="65"/>
      <c r="PQR10" s="65"/>
      <c r="PQS10" s="65"/>
      <c r="PQT10" s="65"/>
      <c r="PQU10" s="65"/>
      <c r="PQV10" s="65"/>
      <c r="PQW10" s="65"/>
      <c r="PQX10" s="65"/>
      <c r="PQY10" s="65"/>
      <c r="PQZ10" s="65"/>
      <c r="PRA10" s="65"/>
      <c r="PRB10" s="65"/>
      <c r="PRC10" s="65"/>
      <c r="PRD10" s="65"/>
      <c r="PRE10" s="65"/>
      <c r="PRF10" s="65"/>
      <c r="PRG10" s="65"/>
      <c r="PRH10" s="65"/>
      <c r="PRI10" s="65"/>
      <c r="PRJ10" s="65"/>
      <c r="PRK10" s="65"/>
      <c r="PRL10" s="65"/>
      <c r="PRM10" s="65"/>
      <c r="PRN10" s="65"/>
      <c r="PRO10" s="65"/>
      <c r="PRP10" s="65"/>
      <c r="PRQ10" s="65"/>
      <c r="PRR10" s="65"/>
      <c r="PRS10" s="65"/>
      <c r="PRT10" s="65"/>
      <c r="PRU10" s="65"/>
      <c r="PRV10" s="65"/>
      <c r="PRW10" s="65"/>
      <c r="PRX10" s="65"/>
      <c r="PRY10" s="65"/>
      <c r="PRZ10" s="65"/>
      <c r="PSA10" s="65"/>
      <c r="PSB10" s="65"/>
      <c r="PSC10" s="65"/>
      <c r="PSD10" s="65"/>
      <c r="PSE10" s="65"/>
      <c r="PSF10" s="65"/>
      <c r="PSG10" s="65"/>
      <c r="PSH10" s="65"/>
      <c r="PSI10" s="65"/>
      <c r="PSJ10" s="65"/>
      <c r="PSK10" s="65"/>
      <c r="PSL10" s="65"/>
      <c r="PSM10" s="65"/>
      <c r="PSN10" s="65"/>
      <c r="PSO10" s="65"/>
      <c r="PSP10" s="65"/>
      <c r="PSQ10" s="65"/>
      <c r="PSR10" s="65"/>
      <c r="PSS10" s="65"/>
      <c r="PST10" s="65"/>
      <c r="PSU10" s="65"/>
      <c r="PSV10" s="65"/>
      <c r="PSW10" s="65"/>
      <c r="PSX10" s="65"/>
      <c r="PSY10" s="65"/>
      <c r="PSZ10" s="65"/>
      <c r="PTA10" s="65"/>
      <c r="PTB10" s="65"/>
      <c r="PTC10" s="65"/>
      <c r="PTD10" s="65"/>
      <c r="PTE10" s="65"/>
      <c r="PTF10" s="65"/>
      <c r="PTG10" s="65"/>
      <c r="PTH10" s="65"/>
      <c r="PTI10" s="65"/>
      <c r="PTJ10" s="65"/>
      <c r="PTK10" s="65"/>
      <c r="PTL10" s="65"/>
      <c r="PTM10" s="65"/>
      <c r="PTN10" s="65"/>
      <c r="PTO10" s="65"/>
      <c r="PTP10" s="65"/>
      <c r="PTQ10" s="65"/>
      <c r="PTR10" s="65"/>
      <c r="PTS10" s="65"/>
      <c r="PTT10" s="65"/>
      <c r="PTU10" s="65"/>
      <c r="PTV10" s="65"/>
      <c r="PTW10" s="65"/>
      <c r="PTX10" s="65"/>
      <c r="PTY10" s="65"/>
      <c r="PTZ10" s="65"/>
      <c r="PUA10" s="65"/>
      <c r="PUB10" s="65"/>
      <c r="PUC10" s="65"/>
      <c r="PUD10" s="65"/>
      <c r="PUE10" s="65"/>
      <c r="PUF10" s="65"/>
      <c r="PUG10" s="65"/>
      <c r="PUH10" s="65"/>
      <c r="PUI10" s="65"/>
      <c r="PUJ10" s="65"/>
      <c r="PUK10" s="65"/>
      <c r="PUL10" s="65"/>
      <c r="PUM10" s="65"/>
      <c r="PUN10" s="65"/>
      <c r="PUO10" s="65"/>
      <c r="PUP10" s="65"/>
      <c r="PUQ10" s="65"/>
      <c r="PUR10" s="65"/>
      <c r="PUS10" s="65"/>
      <c r="PUT10" s="65"/>
      <c r="PUU10" s="65"/>
      <c r="PUV10" s="65"/>
      <c r="PUW10" s="65"/>
      <c r="PUX10" s="65"/>
      <c r="PUY10" s="65"/>
      <c r="PUZ10" s="65"/>
      <c r="PVA10" s="65"/>
      <c r="PVB10" s="65"/>
      <c r="PVC10" s="65"/>
      <c r="PVD10" s="65"/>
      <c r="PVE10" s="65"/>
      <c r="PVF10" s="65"/>
      <c r="PVG10" s="65"/>
      <c r="PVH10" s="65"/>
      <c r="PVI10" s="65"/>
      <c r="PVJ10" s="65"/>
      <c r="PVK10" s="65"/>
      <c r="PVL10" s="65"/>
      <c r="PVM10" s="65"/>
      <c r="PVN10" s="65"/>
      <c r="PVO10" s="65"/>
      <c r="PVP10" s="65"/>
      <c r="PVQ10" s="65"/>
      <c r="PVR10" s="65"/>
      <c r="PVS10" s="65"/>
      <c r="PVT10" s="65"/>
      <c r="PVU10" s="65"/>
      <c r="PVV10" s="65"/>
      <c r="PVW10" s="65"/>
      <c r="PVX10" s="65"/>
      <c r="PVY10" s="65"/>
      <c r="PVZ10" s="65"/>
      <c r="PWA10" s="65"/>
      <c r="PWB10" s="65"/>
      <c r="PWC10" s="65"/>
      <c r="PWD10" s="65"/>
      <c r="PWE10" s="65"/>
      <c r="PWF10" s="65"/>
      <c r="PWG10" s="65"/>
      <c r="PWH10" s="65"/>
      <c r="PWI10" s="65"/>
      <c r="PWJ10" s="65"/>
      <c r="PWK10" s="65"/>
      <c r="PWL10" s="65"/>
      <c r="PWM10" s="65"/>
      <c r="PWN10" s="65"/>
      <c r="PWO10" s="65"/>
      <c r="PWP10" s="65"/>
      <c r="PWQ10" s="65"/>
      <c r="PWR10" s="65"/>
      <c r="PWS10" s="65"/>
      <c r="PWT10" s="65"/>
      <c r="PWU10" s="65"/>
      <c r="PWV10" s="65"/>
      <c r="PWW10" s="65"/>
      <c r="PWX10" s="65"/>
      <c r="PWY10" s="65"/>
      <c r="PWZ10" s="65"/>
      <c r="PXA10" s="65"/>
      <c r="PXB10" s="65"/>
      <c r="PXC10" s="65"/>
      <c r="PXD10" s="65"/>
      <c r="PXE10" s="65"/>
      <c r="PXF10" s="65"/>
      <c r="PXG10" s="65"/>
      <c r="PXH10" s="65"/>
      <c r="PXI10" s="65"/>
      <c r="PXJ10" s="65"/>
      <c r="PXK10" s="65"/>
      <c r="PXL10" s="65"/>
      <c r="PXM10" s="65"/>
      <c r="PXN10" s="65"/>
      <c r="PXO10" s="65"/>
      <c r="PXP10" s="65"/>
      <c r="PXQ10" s="65"/>
      <c r="PXR10" s="65"/>
      <c r="PXS10" s="65"/>
      <c r="PXT10" s="65"/>
      <c r="PXU10" s="65"/>
      <c r="PXV10" s="65"/>
      <c r="PXW10" s="65"/>
      <c r="PXX10" s="65"/>
      <c r="PXY10" s="65"/>
      <c r="PXZ10" s="65"/>
      <c r="PYA10" s="65"/>
      <c r="PYB10" s="65"/>
      <c r="PYC10" s="65"/>
      <c r="PYD10" s="65"/>
      <c r="PYE10" s="65"/>
      <c r="PYF10" s="65"/>
      <c r="PYG10" s="65"/>
      <c r="PYH10" s="65"/>
      <c r="PYI10" s="65"/>
      <c r="PYJ10" s="65"/>
      <c r="PYK10" s="65"/>
      <c r="PYL10" s="65"/>
      <c r="PYM10" s="65"/>
      <c r="PYN10" s="65"/>
      <c r="PYO10" s="65"/>
      <c r="PYP10" s="65"/>
      <c r="PYQ10" s="65"/>
      <c r="PYR10" s="65"/>
      <c r="PYS10" s="65"/>
      <c r="PYT10" s="65"/>
      <c r="PYU10" s="65"/>
      <c r="PYV10" s="65"/>
      <c r="PYW10" s="65"/>
      <c r="PYX10" s="65"/>
      <c r="PYY10" s="65"/>
      <c r="PYZ10" s="65"/>
      <c r="PZA10" s="65"/>
      <c r="PZB10" s="65"/>
      <c r="PZC10" s="65"/>
      <c r="PZD10" s="65"/>
      <c r="PZE10" s="65"/>
      <c r="PZF10" s="65"/>
      <c r="PZG10" s="65"/>
      <c r="PZH10" s="65"/>
      <c r="PZI10" s="65"/>
      <c r="PZJ10" s="65"/>
      <c r="PZK10" s="65"/>
      <c r="PZL10" s="65"/>
      <c r="PZM10" s="65"/>
      <c r="PZN10" s="65"/>
      <c r="PZO10" s="65"/>
      <c r="PZP10" s="65"/>
      <c r="PZQ10" s="65"/>
      <c r="PZR10" s="65"/>
      <c r="PZS10" s="65"/>
      <c r="PZT10" s="65"/>
      <c r="PZU10" s="65"/>
      <c r="PZV10" s="65"/>
      <c r="PZW10" s="65"/>
      <c r="PZX10" s="65"/>
      <c r="PZY10" s="65"/>
      <c r="PZZ10" s="65"/>
      <c r="QAA10" s="65"/>
      <c r="QAB10" s="65"/>
      <c r="QAC10" s="65"/>
      <c r="QAD10" s="65"/>
      <c r="QAE10" s="65"/>
      <c r="QAF10" s="65"/>
      <c r="QAG10" s="65"/>
      <c r="QAH10" s="65"/>
      <c r="QAI10" s="65"/>
      <c r="QAJ10" s="65"/>
      <c r="QAK10" s="65"/>
      <c r="QAL10" s="65"/>
      <c r="QAM10" s="65"/>
      <c r="QAN10" s="65"/>
      <c r="QAO10" s="65"/>
      <c r="QAP10" s="65"/>
      <c r="QAQ10" s="65"/>
      <c r="QAR10" s="65"/>
      <c r="QAS10" s="65"/>
      <c r="QAT10" s="65"/>
      <c r="QAU10" s="65"/>
      <c r="QAV10" s="65"/>
      <c r="QAW10" s="65"/>
      <c r="QAX10" s="65"/>
      <c r="QAY10" s="65"/>
      <c r="QAZ10" s="65"/>
      <c r="QBA10" s="65"/>
      <c r="QBB10" s="65"/>
      <c r="QBC10" s="65"/>
      <c r="QBD10" s="65"/>
      <c r="QBE10" s="65"/>
      <c r="QBF10" s="65"/>
      <c r="QBG10" s="65"/>
      <c r="QBH10" s="65"/>
      <c r="QBI10" s="65"/>
      <c r="QBJ10" s="65"/>
      <c r="QBK10" s="65"/>
      <c r="QBL10" s="65"/>
      <c r="QBM10" s="65"/>
      <c r="QBN10" s="65"/>
      <c r="QBO10" s="65"/>
      <c r="QBP10" s="65"/>
      <c r="QBQ10" s="65"/>
      <c r="QBR10" s="65"/>
      <c r="QBS10" s="65"/>
      <c r="QBT10" s="65"/>
      <c r="QBU10" s="65"/>
      <c r="QBV10" s="65"/>
      <c r="QBW10" s="65"/>
      <c r="QBX10" s="65"/>
      <c r="QBY10" s="65"/>
      <c r="QBZ10" s="65"/>
      <c r="QCA10" s="65"/>
      <c r="QCB10" s="65"/>
      <c r="QCC10" s="65"/>
      <c r="QCD10" s="65"/>
      <c r="QCE10" s="65"/>
      <c r="QCF10" s="65"/>
      <c r="QCG10" s="65"/>
      <c r="QCH10" s="65"/>
      <c r="QCI10" s="65"/>
      <c r="QCJ10" s="65"/>
      <c r="QCK10" s="65"/>
      <c r="QCL10" s="65"/>
      <c r="QCM10" s="65"/>
      <c r="QCN10" s="65"/>
      <c r="QCO10" s="65"/>
      <c r="QCP10" s="65"/>
      <c r="QCQ10" s="65"/>
      <c r="QCR10" s="65"/>
      <c r="QCS10" s="65"/>
      <c r="QCT10" s="65"/>
      <c r="QCU10" s="65"/>
      <c r="QCV10" s="65"/>
      <c r="QCW10" s="65"/>
      <c r="QCX10" s="65"/>
      <c r="QCY10" s="65"/>
      <c r="QCZ10" s="65"/>
      <c r="QDA10" s="65"/>
      <c r="QDB10" s="65"/>
      <c r="QDC10" s="65"/>
      <c r="QDD10" s="65"/>
      <c r="QDE10" s="65"/>
      <c r="QDF10" s="65"/>
      <c r="QDG10" s="65"/>
      <c r="QDH10" s="65"/>
      <c r="QDI10" s="65"/>
      <c r="QDJ10" s="65"/>
      <c r="QDK10" s="65"/>
      <c r="QDL10" s="65"/>
      <c r="QDM10" s="65"/>
      <c r="QDN10" s="65"/>
      <c r="QDO10" s="65"/>
      <c r="QDP10" s="65"/>
      <c r="QDQ10" s="65"/>
      <c r="QDR10" s="65"/>
      <c r="QDS10" s="65"/>
      <c r="QDT10" s="65"/>
      <c r="QDU10" s="65"/>
      <c r="QDV10" s="65"/>
      <c r="QDW10" s="65"/>
      <c r="QDX10" s="65"/>
      <c r="QDY10" s="65"/>
      <c r="QDZ10" s="65"/>
      <c r="QEA10" s="65"/>
      <c r="QEB10" s="65"/>
      <c r="QEC10" s="65"/>
      <c r="QED10" s="65"/>
      <c r="QEE10" s="65"/>
      <c r="QEF10" s="65"/>
      <c r="QEG10" s="65"/>
      <c r="QEH10" s="65"/>
      <c r="QEI10" s="65"/>
      <c r="QEJ10" s="65"/>
      <c r="QEK10" s="65"/>
      <c r="QEL10" s="65"/>
      <c r="QEM10" s="65"/>
      <c r="QEN10" s="65"/>
      <c r="QEO10" s="65"/>
      <c r="QEP10" s="65"/>
      <c r="QEQ10" s="65"/>
      <c r="QER10" s="65"/>
      <c r="QES10" s="65"/>
      <c r="QET10" s="65"/>
      <c r="QEU10" s="65"/>
      <c r="QEV10" s="65"/>
      <c r="QEW10" s="65"/>
      <c r="QEX10" s="65"/>
      <c r="QEY10" s="65"/>
      <c r="QEZ10" s="65"/>
      <c r="QFA10" s="65"/>
      <c r="QFB10" s="65"/>
      <c r="QFC10" s="65"/>
      <c r="QFD10" s="65"/>
      <c r="QFE10" s="65"/>
      <c r="QFF10" s="65"/>
      <c r="QFG10" s="65"/>
      <c r="QFH10" s="65"/>
      <c r="QFI10" s="65"/>
      <c r="QFJ10" s="65"/>
      <c r="QFK10" s="65"/>
      <c r="QFL10" s="65"/>
      <c r="QFM10" s="65"/>
      <c r="QFN10" s="65"/>
      <c r="QFO10" s="65"/>
      <c r="QFP10" s="65"/>
      <c r="QFQ10" s="65"/>
      <c r="QFR10" s="65"/>
      <c r="QFS10" s="65"/>
      <c r="QFT10" s="65"/>
      <c r="QFU10" s="65"/>
      <c r="QFV10" s="65"/>
      <c r="QFW10" s="65"/>
      <c r="QFX10" s="65"/>
      <c r="QFY10" s="65"/>
      <c r="QFZ10" s="65"/>
      <c r="QGA10" s="65"/>
      <c r="QGB10" s="65"/>
      <c r="QGC10" s="65"/>
      <c r="QGD10" s="65"/>
      <c r="QGE10" s="65"/>
      <c r="QGF10" s="65"/>
      <c r="QGG10" s="65"/>
      <c r="QGH10" s="65"/>
      <c r="QGI10" s="65"/>
      <c r="QGJ10" s="65"/>
      <c r="QGK10" s="65"/>
      <c r="QGL10" s="65"/>
      <c r="QGM10" s="65"/>
      <c r="QGN10" s="65"/>
      <c r="QGO10" s="65"/>
      <c r="QGP10" s="65"/>
      <c r="QGQ10" s="65"/>
      <c r="QGR10" s="65"/>
      <c r="QGS10" s="65"/>
      <c r="QGT10" s="65"/>
      <c r="QGU10" s="65"/>
      <c r="QGV10" s="65"/>
      <c r="QGW10" s="65"/>
      <c r="QGX10" s="65"/>
      <c r="QGY10" s="65"/>
      <c r="QGZ10" s="65"/>
      <c r="QHA10" s="65"/>
      <c r="QHB10" s="65"/>
      <c r="QHC10" s="65"/>
      <c r="QHD10" s="65"/>
      <c r="QHE10" s="65"/>
      <c r="QHF10" s="65"/>
      <c r="QHG10" s="65"/>
      <c r="QHH10" s="65"/>
      <c r="QHI10" s="65"/>
      <c r="QHJ10" s="65"/>
      <c r="QHK10" s="65"/>
      <c r="QHL10" s="65"/>
      <c r="QHM10" s="65"/>
      <c r="QHN10" s="65"/>
      <c r="QHO10" s="65"/>
      <c r="QHP10" s="65"/>
      <c r="QHQ10" s="65"/>
      <c r="QHR10" s="65"/>
      <c r="QHS10" s="65"/>
      <c r="QHT10" s="65"/>
      <c r="QHU10" s="65"/>
      <c r="QHV10" s="65"/>
      <c r="QHW10" s="65"/>
      <c r="QHX10" s="65"/>
      <c r="QHY10" s="65"/>
      <c r="QHZ10" s="65"/>
      <c r="QIA10" s="65"/>
      <c r="QIB10" s="65"/>
      <c r="QIC10" s="65"/>
      <c r="QID10" s="65"/>
      <c r="QIE10" s="65"/>
      <c r="QIF10" s="65"/>
      <c r="QIG10" s="65"/>
      <c r="QIH10" s="65"/>
      <c r="QII10" s="65"/>
      <c r="QIJ10" s="65"/>
      <c r="QIK10" s="65"/>
      <c r="QIL10" s="65"/>
      <c r="QIM10" s="65"/>
      <c r="QIN10" s="65"/>
      <c r="QIO10" s="65"/>
      <c r="QIP10" s="65"/>
      <c r="QIQ10" s="65"/>
      <c r="QIR10" s="65"/>
      <c r="QIS10" s="65"/>
      <c r="QIT10" s="65"/>
      <c r="QIU10" s="65"/>
      <c r="QIV10" s="65"/>
      <c r="QIW10" s="65"/>
      <c r="QIX10" s="65"/>
      <c r="QIY10" s="65"/>
      <c r="QIZ10" s="65"/>
      <c r="QJA10" s="65"/>
      <c r="QJB10" s="65"/>
      <c r="QJC10" s="65"/>
      <c r="QJD10" s="65"/>
      <c r="QJE10" s="65"/>
      <c r="QJF10" s="65"/>
      <c r="QJG10" s="65"/>
      <c r="QJH10" s="65"/>
      <c r="QJI10" s="65"/>
      <c r="QJJ10" s="65"/>
      <c r="QJK10" s="65"/>
      <c r="QJL10" s="65"/>
      <c r="QJM10" s="65"/>
      <c r="QJN10" s="65"/>
      <c r="QJO10" s="65"/>
      <c r="QJP10" s="65"/>
      <c r="QJQ10" s="65"/>
      <c r="QJR10" s="65"/>
      <c r="QJS10" s="65"/>
      <c r="QJT10" s="65"/>
      <c r="QJU10" s="65"/>
      <c r="QJV10" s="65"/>
      <c r="QJW10" s="65"/>
      <c r="QJX10" s="65"/>
      <c r="QJY10" s="65"/>
      <c r="QJZ10" s="65"/>
      <c r="QKA10" s="65"/>
      <c r="QKB10" s="65"/>
      <c r="QKC10" s="65"/>
      <c r="QKD10" s="65"/>
      <c r="QKE10" s="65"/>
      <c r="QKF10" s="65"/>
      <c r="QKG10" s="65"/>
      <c r="QKH10" s="65"/>
      <c r="QKI10" s="65"/>
      <c r="QKJ10" s="65"/>
      <c r="QKK10" s="65"/>
      <c r="QKL10" s="65"/>
      <c r="QKM10" s="65"/>
      <c r="QKN10" s="65"/>
      <c r="QKO10" s="65"/>
      <c r="QKP10" s="65"/>
      <c r="QKQ10" s="65"/>
      <c r="QKR10" s="65"/>
      <c r="QKS10" s="65"/>
      <c r="QKT10" s="65"/>
      <c r="QKU10" s="65"/>
      <c r="QKV10" s="65"/>
      <c r="QKW10" s="65"/>
      <c r="QKX10" s="65"/>
      <c r="QKY10" s="65"/>
      <c r="QKZ10" s="65"/>
      <c r="QLA10" s="65"/>
      <c r="QLB10" s="65"/>
      <c r="QLC10" s="65"/>
      <c r="QLD10" s="65"/>
      <c r="QLE10" s="65"/>
      <c r="QLF10" s="65"/>
      <c r="QLG10" s="65"/>
      <c r="QLH10" s="65"/>
      <c r="QLI10" s="65"/>
      <c r="QLJ10" s="65"/>
      <c r="QLK10" s="65"/>
      <c r="QLL10" s="65"/>
      <c r="QLM10" s="65"/>
      <c r="QLN10" s="65"/>
      <c r="QLO10" s="65"/>
      <c r="QLP10" s="65"/>
      <c r="QLQ10" s="65"/>
      <c r="QLR10" s="65"/>
      <c r="QLS10" s="65"/>
      <c r="QLT10" s="65"/>
      <c r="QLU10" s="65"/>
      <c r="QLV10" s="65"/>
      <c r="QLW10" s="65"/>
      <c r="QLX10" s="65"/>
      <c r="QLY10" s="65"/>
      <c r="QLZ10" s="65"/>
      <c r="QMA10" s="65"/>
      <c r="QMB10" s="65"/>
      <c r="QMC10" s="65"/>
      <c r="QMD10" s="65"/>
      <c r="QME10" s="65"/>
      <c r="QMF10" s="65"/>
      <c r="QMG10" s="65"/>
      <c r="QMH10" s="65"/>
      <c r="QMI10" s="65"/>
      <c r="QMJ10" s="65"/>
      <c r="QMK10" s="65"/>
      <c r="QML10" s="65"/>
      <c r="QMM10" s="65"/>
      <c r="QMN10" s="65"/>
      <c r="QMO10" s="65"/>
      <c r="QMP10" s="65"/>
      <c r="QMQ10" s="65"/>
      <c r="QMR10" s="65"/>
      <c r="QMS10" s="65"/>
      <c r="QMT10" s="65"/>
      <c r="QMU10" s="65"/>
      <c r="QMV10" s="65"/>
      <c r="QMW10" s="65"/>
      <c r="QMX10" s="65"/>
      <c r="QMY10" s="65"/>
      <c r="QMZ10" s="65"/>
      <c r="QNA10" s="65"/>
      <c r="QNB10" s="65"/>
      <c r="QNC10" s="65"/>
      <c r="QND10" s="65"/>
      <c r="QNE10" s="65"/>
      <c r="QNF10" s="65"/>
      <c r="QNG10" s="65"/>
      <c r="QNH10" s="65"/>
      <c r="QNI10" s="65"/>
      <c r="QNJ10" s="65"/>
      <c r="QNK10" s="65"/>
      <c r="QNL10" s="65"/>
      <c r="QNM10" s="65"/>
      <c r="QNN10" s="65"/>
      <c r="QNO10" s="65"/>
      <c r="QNP10" s="65"/>
      <c r="QNQ10" s="65"/>
      <c r="QNR10" s="65"/>
      <c r="QNS10" s="65"/>
      <c r="QNT10" s="65"/>
      <c r="QNU10" s="65"/>
      <c r="QNV10" s="65"/>
      <c r="QNW10" s="65"/>
      <c r="QNX10" s="65"/>
      <c r="QNY10" s="65"/>
      <c r="QNZ10" s="65"/>
      <c r="QOA10" s="65"/>
      <c r="QOB10" s="65"/>
      <c r="QOC10" s="65"/>
      <c r="QOD10" s="65"/>
      <c r="QOE10" s="65"/>
      <c r="QOF10" s="65"/>
      <c r="QOG10" s="65"/>
      <c r="QOH10" s="65"/>
      <c r="QOI10" s="65"/>
      <c r="QOJ10" s="65"/>
      <c r="QOK10" s="65"/>
      <c r="QOL10" s="65"/>
      <c r="QOM10" s="65"/>
      <c r="QON10" s="65"/>
      <c r="QOO10" s="65"/>
      <c r="QOP10" s="65"/>
      <c r="QOQ10" s="65"/>
      <c r="QOR10" s="65"/>
      <c r="QOS10" s="65"/>
      <c r="QOT10" s="65"/>
      <c r="QOU10" s="65"/>
      <c r="QOV10" s="65"/>
      <c r="QOW10" s="65"/>
      <c r="QOX10" s="65"/>
      <c r="QOY10" s="65"/>
      <c r="QOZ10" s="65"/>
      <c r="QPA10" s="65"/>
      <c r="QPB10" s="65"/>
      <c r="QPC10" s="65"/>
      <c r="QPD10" s="65"/>
      <c r="QPE10" s="65"/>
      <c r="QPF10" s="65"/>
      <c r="QPG10" s="65"/>
      <c r="QPH10" s="65"/>
      <c r="QPI10" s="65"/>
      <c r="QPJ10" s="65"/>
      <c r="QPK10" s="65"/>
      <c r="QPL10" s="65"/>
      <c r="QPM10" s="65"/>
      <c r="QPN10" s="65"/>
      <c r="QPO10" s="65"/>
      <c r="QPP10" s="65"/>
      <c r="QPQ10" s="65"/>
      <c r="QPR10" s="65"/>
      <c r="QPS10" s="65"/>
      <c r="QPT10" s="65"/>
      <c r="QPU10" s="65"/>
      <c r="QPV10" s="65"/>
      <c r="QPW10" s="65"/>
      <c r="QPX10" s="65"/>
      <c r="QPY10" s="65"/>
      <c r="QPZ10" s="65"/>
      <c r="QQA10" s="65"/>
      <c r="QQB10" s="65"/>
      <c r="QQC10" s="65"/>
      <c r="QQD10" s="65"/>
      <c r="QQE10" s="65"/>
      <c r="QQF10" s="65"/>
      <c r="QQG10" s="65"/>
      <c r="QQH10" s="65"/>
      <c r="QQI10" s="65"/>
      <c r="QQJ10" s="65"/>
      <c r="QQK10" s="65"/>
      <c r="QQL10" s="65"/>
      <c r="QQM10" s="65"/>
      <c r="QQN10" s="65"/>
      <c r="QQO10" s="65"/>
      <c r="QQP10" s="65"/>
      <c r="QQQ10" s="65"/>
      <c r="QQR10" s="65"/>
      <c r="QQS10" s="65"/>
      <c r="QQT10" s="65"/>
      <c r="QQU10" s="65"/>
      <c r="QQV10" s="65"/>
      <c r="QQW10" s="65"/>
      <c r="QQX10" s="65"/>
      <c r="QQY10" s="65"/>
      <c r="QQZ10" s="65"/>
      <c r="QRA10" s="65"/>
      <c r="QRB10" s="65"/>
      <c r="QRC10" s="65"/>
      <c r="QRD10" s="65"/>
      <c r="QRE10" s="65"/>
      <c r="QRF10" s="65"/>
      <c r="QRG10" s="65"/>
      <c r="QRH10" s="65"/>
      <c r="QRI10" s="65"/>
      <c r="QRJ10" s="65"/>
      <c r="QRK10" s="65"/>
      <c r="QRL10" s="65"/>
      <c r="QRM10" s="65"/>
      <c r="QRN10" s="65"/>
      <c r="QRO10" s="65"/>
      <c r="QRP10" s="65"/>
      <c r="QRQ10" s="65"/>
      <c r="QRR10" s="65"/>
      <c r="QRS10" s="65"/>
      <c r="QRT10" s="65"/>
      <c r="QRU10" s="65"/>
      <c r="QRV10" s="65"/>
      <c r="QRW10" s="65"/>
      <c r="QRX10" s="65"/>
      <c r="QRY10" s="65"/>
      <c r="QRZ10" s="65"/>
      <c r="QSA10" s="65"/>
      <c r="QSB10" s="65"/>
      <c r="QSC10" s="65"/>
      <c r="QSD10" s="65"/>
      <c r="QSE10" s="65"/>
      <c r="QSF10" s="65"/>
      <c r="QSG10" s="65"/>
      <c r="QSH10" s="65"/>
      <c r="QSI10" s="65"/>
      <c r="QSJ10" s="65"/>
      <c r="QSK10" s="65"/>
      <c r="QSL10" s="65"/>
      <c r="QSM10" s="65"/>
      <c r="QSN10" s="65"/>
      <c r="QSO10" s="65"/>
      <c r="QSP10" s="65"/>
      <c r="QSQ10" s="65"/>
      <c r="QSR10" s="65"/>
      <c r="QSS10" s="65"/>
      <c r="QST10" s="65"/>
      <c r="QSU10" s="65"/>
      <c r="QSV10" s="65"/>
      <c r="QSW10" s="65"/>
      <c r="QSX10" s="65"/>
      <c r="QSY10" s="65"/>
      <c r="QSZ10" s="65"/>
      <c r="QTA10" s="65"/>
      <c r="QTB10" s="65"/>
      <c r="QTC10" s="65"/>
      <c r="QTD10" s="65"/>
      <c r="QTE10" s="65"/>
      <c r="QTF10" s="65"/>
      <c r="QTG10" s="65"/>
      <c r="QTH10" s="65"/>
      <c r="QTI10" s="65"/>
      <c r="QTJ10" s="65"/>
      <c r="QTK10" s="65"/>
      <c r="QTL10" s="65"/>
      <c r="QTM10" s="65"/>
      <c r="QTN10" s="65"/>
      <c r="QTO10" s="65"/>
      <c r="QTP10" s="65"/>
      <c r="QTQ10" s="65"/>
      <c r="QTR10" s="65"/>
      <c r="QTS10" s="65"/>
      <c r="QTT10" s="65"/>
      <c r="QTU10" s="65"/>
      <c r="QTV10" s="65"/>
      <c r="QTW10" s="65"/>
      <c r="QTX10" s="65"/>
      <c r="QTY10" s="65"/>
      <c r="QTZ10" s="65"/>
      <c r="QUA10" s="65"/>
      <c r="QUB10" s="65"/>
      <c r="QUC10" s="65"/>
      <c r="QUD10" s="65"/>
      <c r="QUE10" s="65"/>
      <c r="QUF10" s="65"/>
      <c r="QUG10" s="65"/>
      <c r="QUH10" s="65"/>
      <c r="QUI10" s="65"/>
      <c r="QUJ10" s="65"/>
      <c r="QUK10" s="65"/>
      <c r="QUL10" s="65"/>
      <c r="QUM10" s="65"/>
      <c r="QUN10" s="65"/>
      <c r="QUO10" s="65"/>
      <c r="QUP10" s="65"/>
      <c r="QUQ10" s="65"/>
      <c r="QUR10" s="65"/>
      <c r="QUS10" s="65"/>
      <c r="QUT10" s="65"/>
      <c r="QUU10" s="65"/>
      <c r="QUV10" s="65"/>
      <c r="QUW10" s="65"/>
      <c r="QUX10" s="65"/>
      <c r="QUY10" s="65"/>
      <c r="QUZ10" s="65"/>
      <c r="QVA10" s="65"/>
      <c r="QVB10" s="65"/>
      <c r="QVC10" s="65"/>
      <c r="QVD10" s="65"/>
      <c r="QVE10" s="65"/>
      <c r="QVF10" s="65"/>
      <c r="QVG10" s="65"/>
      <c r="QVH10" s="65"/>
      <c r="QVI10" s="65"/>
      <c r="QVJ10" s="65"/>
      <c r="QVK10" s="65"/>
      <c r="QVL10" s="65"/>
      <c r="QVM10" s="65"/>
      <c r="QVN10" s="65"/>
      <c r="QVO10" s="65"/>
      <c r="QVP10" s="65"/>
      <c r="QVQ10" s="65"/>
      <c r="QVR10" s="65"/>
      <c r="QVS10" s="65"/>
      <c r="QVT10" s="65"/>
      <c r="QVU10" s="65"/>
      <c r="QVV10" s="65"/>
      <c r="QVW10" s="65"/>
      <c r="QVX10" s="65"/>
      <c r="QVY10" s="65"/>
      <c r="QVZ10" s="65"/>
      <c r="QWA10" s="65"/>
      <c r="QWB10" s="65"/>
      <c r="QWC10" s="65"/>
      <c r="QWD10" s="65"/>
      <c r="QWE10" s="65"/>
      <c r="QWF10" s="65"/>
      <c r="QWG10" s="65"/>
      <c r="QWH10" s="65"/>
      <c r="QWI10" s="65"/>
      <c r="QWJ10" s="65"/>
      <c r="QWK10" s="65"/>
      <c r="QWL10" s="65"/>
      <c r="QWM10" s="65"/>
      <c r="QWN10" s="65"/>
      <c r="QWO10" s="65"/>
      <c r="QWP10" s="65"/>
      <c r="QWQ10" s="65"/>
      <c r="QWR10" s="65"/>
      <c r="QWS10" s="65"/>
      <c r="QWT10" s="65"/>
      <c r="QWU10" s="65"/>
      <c r="QWV10" s="65"/>
      <c r="QWW10" s="65"/>
      <c r="QWX10" s="65"/>
      <c r="QWY10" s="65"/>
      <c r="QWZ10" s="65"/>
      <c r="QXA10" s="65"/>
      <c r="QXB10" s="65"/>
      <c r="QXC10" s="65"/>
      <c r="QXD10" s="65"/>
      <c r="QXE10" s="65"/>
      <c r="QXF10" s="65"/>
      <c r="QXG10" s="65"/>
      <c r="QXH10" s="65"/>
      <c r="QXI10" s="65"/>
      <c r="QXJ10" s="65"/>
      <c r="QXK10" s="65"/>
      <c r="QXL10" s="65"/>
      <c r="QXM10" s="65"/>
      <c r="QXN10" s="65"/>
      <c r="QXO10" s="65"/>
      <c r="QXP10" s="65"/>
      <c r="QXQ10" s="65"/>
      <c r="QXR10" s="65"/>
      <c r="QXS10" s="65"/>
      <c r="QXT10" s="65"/>
      <c r="QXU10" s="65"/>
      <c r="QXV10" s="65"/>
      <c r="QXW10" s="65"/>
      <c r="QXX10" s="65"/>
      <c r="QXY10" s="65"/>
      <c r="QXZ10" s="65"/>
      <c r="QYA10" s="65"/>
      <c r="QYB10" s="65"/>
      <c r="QYC10" s="65"/>
      <c r="QYD10" s="65"/>
      <c r="QYE10" s="65"/>
      <c r="QYF10" s="65"/>
      <c r="QYG10" s="65"/>
      <c r="QYH10" s="65"/>
      <c r="QYI10" s="65"/>
      <c r="QYJ10" s="65"/>
      <c r="QYK10" s="65"/>
      <c r="QYL10" s="65"/>
      <c r="QYM10" s="65"/>
      <c r="QYN10" s="65"/>
      <c r="QYO10" s="65"/>
      <c r="QYP10" s="65"/>
      <c r="QYQ10" s="65"/>
      <c r="QYR10" s="65"/>
      <c r="QYS10" s="65"/>
      <c r="QYT10" s="65"/>
      <c r="QYU10" s="65"/>
      <c r="QYV10" s="65"/>
      <c r="QYW10" s="65"/>
      <c r="QYX10" s="65"/>
      <c r="QYY10" s="65"/>
      <c r="QYZ10" s="65"/>
      <c r="QZA10" s="65"/>
      <c r="QZB10" s="65"/>
      <c r="QZC10" s="65"/>
      <c r="QZD10" s="65"/>
      <c r="QZE10" s="65"/>
      <c r="QZF10" s="65"/>
      <c r="QZG10" s="65"/>
      <c r="QZH10" s="65"/>
      <c r="QZI10" s="65"/>
      <c r="QZJ10" s="65"/>
      <c r="QZK10" s="65"/>
      <c r="QZL10" s="65"/>
      <c r="QZM10" s="65"/>
      <c r="QZN10" s="65"/>
      <c r="QZO10" s="65"/>
      <c r="QZP10" s="65"/>
      <c r="QZQ10" s="65"/>
      <c r="QZR10" s="65"/>
      <c r="QZS10" s="65"/>
      <c r="QZT10" s="65"/>
      <c r="QZU10" s="65"/>
      <c r="QZV10" s="65"/>
      <c r="QZW10" s="65"/>
      <c r="QZX10" s="65"/>
      <c r="QZY10" s="65"/>
      <c r="QZZ10" s="65"/>
      <c r="RAA10" s="65"/>
      <c r="RAB10" s="65"/>
      <c r="RAC10" s="65"/>
      <c r="RAD10" s="65"/>
      <c r="RAE10" s="65"/>
      <c r="RAF10" s="65"/>
      <c r="RAG10" s="65"/>
      <c r="RAH10" s="65"/>
      <c r="RAI10" s="65"/>
      <c r="RAJ10" s="65"/>
      <c r="RAK10" s="65"/>
      <c r="RAL10" s="65"/>
      <c r="RAM10" s="65"/>
      <c r="RAN10" s="65"/>
      <c r="RAO10" s="65"/>
      <c r="RAP10" s="65"/>
      <c r="RAQ10" s="65"/>
      <c r="RAR10" s="65"/>
      <c r="RAS10" s="65"/>
      <c r="RAT10" s="65"/>
      <c r="RAU10" s="65"/>
      <c r="RAV10" s="65"/>
      <c r="RAW10" s="65"/>
      <c r="RAX10" s="65"/>
      <c r="RAY10" s="65"/>
      <c r="RAZ10" s="65"/>
      <c r="RBA10" s="65"/>
      <c r="RBB10" s="65"/>
      <c r="RBC10" s="65"/>
      <c r="RBD10" s="65"/>
      <c r="RBE10" s="65"/>
      <c r="RBF10" s="65"/>
      <c r="RBG10" s="65"/>
      <c r="RBH10" s="65"/>
      <c r="RBI10" s="65"/>
      <c r="RBJ10" s="65"/>
      <c r="RBK10" s="65"/>
      <c r="RBL10" s="65"/>
      <c r="RBM10" s="65"/>
      <c r="RBN10" s="65"/>
      <c r="RBO10" s="65"/>
      <c r="RBP10" s="65"/>
      <c r="RBQ10" s="65"/>
      <c r="RBR10" s="65"/>
      <c r="RBS10" s="65"/>
      <c r="RBT10" s="65"/>
      <c r="RBU10" s="65"/>
      <c r="RBV10" s="65"/>
      <c r="RBW10" s="65"/>
      <c r="RBX10" s="65"/>
      <c r="RBY10" s="65"/>
      <c r="RBZ10" s="65"/>
      <c r="RCA10" s="65"/>
      <c r="RCB10" s="65"/>
      <c r="RCC10" s="65"/>
      <c r="RCD10" s="65"/>
      <c r="RCE10" s="65"/>
      <c r="RCF10" s="65"/>
      <c r="RCG10" s="65"/>
      <c r="RCH10" s="65"/>
      <c r="RCI10" s="65"/>
      <c r="RCJ10" s="65"/>
      <c r="RCK10" s="65"/>
      <c r="RCL10" s="65"/>
      <c r="RCM10" s="65"/>
      <c r="RCN10" s="65"/>
      <c r="RCO10" s="65"/>
      <c r="RCP10" s="65"/>
      <c r="RCQ10" s="65"/>
      <c r="RCR10" s="65"/>
      <c r="RCS10" s="65"/>
      <c r="RCT10" s="65"/>
      <c r="RCU10" s="65"/>
      <c r="RCV10" s="65"/>
      <c r="RCW10" s="65"/>
      <c r="RCX10" s="65"/>
      <c r="RCY10" s="65"/>
      <c r="RCZ10" s="65"/>
      <c r="RDA10" s="65"/>
      <c r="RDB10" s="65"/>
      <c r="RDC10" s="65"/>
      <c r="RDD10" s="65"/>
      <c r="RDE10" s="65"/>
      <c r="RDF10" s="65"/>
      <c r="RDG10" s="65"/>
      <c r="RDH10" s="65"/>
      <c r="RDI10" s="65"/>
      <c r="RDJ10" s="65"/>
      <c r="RDK10" s="65"/>
      <c r="RDL10" s="65"/>
      <c r="RDM10" s="65"/>
      <c r="RDN10" s="65"/>
      <c r="RDO10" s="65"/>
      <c r="RDP10" s="65"/>
      <c r="RDQ10" s="65"/>
      <c r="RDR10" s="65"/>
      <c r="RDS10" s="65"/>
      <c r="RDT10" s="65"/>
      <c r="RDU10" s="65"/>
      <c r="RDV10" s="65"/>
      <c r="RDW10" s="65"/>
      <c r="RDX10" s="65"/>
      <c r="RDY10" s="65"/>
      <c r="RDZ10" s="65"/>
      <c r="REA10" s="65"/>
      <c r="REB10" s="65"/>
      <c r="REC10" s="65"/>
      <c r="RED10" s="65"/>
      <c r="REE10" s="65"/>
      <c r="REF10" s="65"/>
      <c r="REG10" s="65"/>
      <c r="REH10" s="65"/>
      <c r="REI10" s="65"/>
      <c r="REJ10" s="65"/>
      <c r="REK10" s="65"/>
      <c r="REL10" s="65"/>
      <c r="REM10" s="65"/>
      <c r="REN10" s="65"/>
      <c r="REO10" s="65"/>
      <c r="REP10" s="65"/>
      <c r="REQ10" s="65"/>
      <c r="RER10" s="65"/>
      <c r="RES10" s="65"/>
      <c r="RET10" s="65"/>
      <c r="REU10" s="65"/>
      <c r="REV10" s="65"/>
      <c r="REW10" s="65"/>
      <c r="REX10" s="65"/>
      <c r="REY10" s="65"/>
      <c r="REZ10" s="65"/>
      <c r="RFA10" s="65"/>
      <c r="RFB10" s="65"/>
      <c r="RFC10" s="65"/>
      <c r="RFD10" s="65"/>
      <c r="RFE10" s="65"/>
      <c r="RFF10" s="65"/>
      <c r="RFG10" s="65"/>
      <c r="RFH10" s="65"/>
      <c r="RFI10" s="65"/>
      <c r="RFJ10" s="65"/>
      <c r="RFK10" s="65"/>
      <c r="RFL10" s="65"/>
      <c r="RFM10" s="65"/>
      <c r="RFN10" s="65"/>
      <c r="RFO10" s="65"/>
      <c r="RFP10" s="65"/>
      <c r="RFQ10" s="65"/>
      <c r="RFR10" s="65"/>
      <c r="RFS10" s="65"/>
      <c r="RFT10" s="65"/>
      <c r="RFU10" s="65"/>
      <c r="RFV10" s="65"/>
      <c r="RFW10" s="65"/>
      <c r="RFX10" s="65"/>
      <c r="RFY10" s="65"/>
      <c r="RFZ10" s="65"/>
      <c r="RGA10" s="65"/>
      <c r="RGB10" s="65"/>
      <c r="RGC10" s="65"/>
      <c r="RGD10" s="65"/>
      <c r="RGE10" s="65"/>
      <c r="RGF10" s="65"/>
      <c r="RGG10" s="65"/>
      <c r="RGH10" s="65"/>
      <c r="RGI10" s="65"/>
      <c r="RGJ10" s="65"/>
      <c r="RGK10" s="65"/>
      <c r="RGL10" s="65"/>
      <c r="RGM10" s="65"/>
      <c r="RGN10" s="65"/>
      <c r="RGO10" s="65"/>
      <c r="RGP10" s="65"/>
      <c r="RGQ10" s="65"/>
      <c r="RGR10" s="65"/>
      <c r="RGS10" s="65"/>
      <c r="RGT10" s="65"/>
      <c r="RGU10" s="65"/>
      <c r="RGV10" s="65"/>
      <c r="RGW10" s="65"/>
      <c r="RGX10" s="65"/>
      <c r="RGY10" s="65"/>
      <c r="RGZ10" s="65"/>
      <c r="RHA10" s="65"/>
      <c r="RHB10" s="65"/>
      <c r="RHC10" s="65"/>
      <c r="RHD10" s="65"/>
      <c r="RHE10" s="65"/>
      <c r="RHF10" s="65"/>
      <c r="RHG10" s="65"/>
      <c r="RHH10" s="65"/>
      <c r="RHI10" s="65"/>
      <c r="RHJ10" s="65"/>
      <c r="RHK10" s="65"/>
      <c r="RHL10" s="65"/>
      <c r="RHM10" s="65"/>
      <c r="RHN10" s="65"/>
      <c r="RHO10" s="65"/>
      <c r="RHP10" s="65"/>
      <c r="RHQ10" s="65"/>
      <c r="RHR10" s="65"/>
      <c r="RHS10" s="65"/>
      <c r="RHT10" s="65"/>
      <c r="RHU10" s="65"/>
      <c r="RHV10" s="65"/>
      <c r="RHW10" s="65"/>
      <c r="RHX10" s="65"/>
      <c r="RHY10" s="65"/>
      <c r="RHZ10" s="65"/>
      <c r="RIA10" s="65"/>
      <c r="RIB10" s="65"/>
      <c r="RIC10" s="65"/>
      <c r="RID10" s="65"/>
      <c r="RIE10" s="65"/>
      <c r="RIF10" s="65"/>
      <c r="RIG10" s="65"/>
      <c r="RIH10" s="65"/>
      <c r="RII10" s="65"/>
      <c r="RIJ10" s="65"/>
      <c r="RIK10" s="65"/>
      <c r="RIL10" s="65"/>
      <c r="RIM10" s="65"/>
      <c r="RIN10" s="65"/>
      <c r="RIO10" s="65"/>
      <c r="RIP10" s="65"/>
      <c r="RIQ10" s="65"/>
      <c r="RIR10" s="65"/>
      <c r="RIS10" s="65"/>
      <c r="RIT10" s="65"/>
      <c r="RIU10" s="65"/>
      <c r="RIV10" s="65"/>
      <c r="RIW10" s="65"/>
      <c r="RIX10" s="65"/>
      <c r="RIY10" s="65"/>
      <c r="RIZ10" s="65"/>
      <c r="RJA10" s="65"/>
      <c r="RJB10" s="65"/>
      <c r="RJC10" s="65"/>
      <c r="RJD10" s="65"/>
      <c r="RJE10" s="65"/>
      <c r="RJF10" s="65"/>
      <c r="RJG10" s="65"/>
      <c r="RJH10" s="65"/>
      <c r="RJI10" s="65"/>
      <c r="RJJ10" s="65"/>
      <c r="RJK10" s="65"/>
      <c r="RJL10" s="65"/>
      <c r="RJM10" s="65"/>
      <c r="RJN10" s="65"/>
      <c r="RJO10" s="65"/>
      <c r="RJP10" s="65"/>
      <c r="RJQ10" s="65"/>
      <c r="RJR10" s="65"/>
      <c r="RJS10" s="65"/>
      <c r="RJT10" s="65"/>
      <c r="RJU10" s="65"/>
      <c r="RJV10" s="65"/>
      <c r="RJW10" s="65"/>
      <c r="RJX10" s="65"/>
      <c r="RJY10" s="65"/>
      <c r="RJZ10" s="65"/>
      <c r="RKA10" s="65"/>
      <c r="RKB10" s="65"/>
      <c r="RKC10" s="65"/>
      <c r="RKD10" s="65"/>
      <c r="RKE10" s="65"/>
      <c r="RKF10" s="65"/>
      <c r="RKG10" s="65"/>
      <c r="RKH10" s="65"/>
      <c r="RKI10" s="65"/>
      <c r="RKJ10" s="65"/>
      <c r="RKK10" s="65"/>
      <c r="RKL10" s="65"/>
      <c r="RKM10" s="65"/>
      <c r="RKN10" s="65"/>
      <c r="RKO10" s="65"/>
      <c r="RKP10" s="65"/>
      <c r="RKQ10" s="65"/>
      <c r="RKR10" s="65"/>
      <c r="RKS10" s="65"/>
      <c r="RKT10" s="65"/>
      <c r="RKU10" s="65"/>
      <c r="RKV10" s="65"/>
      <c r="RKW10" s="65"/>
      <c r="RKX10" s="65"/>
      <c r="RKY10" s="65"/>
      <c r="RKZ10" s="65"/>
      <c r="RLA10" s="65"/>
      <c r="RLB10" s="65"/>
      <c r="RLC10" s="65"/>
      <c r="RLD10" s="65"/>
      <c r="RLE10" s="65"/>
      <c r="RLF10" s="65"/>
      <c r="RLG10" s="65"/>
      <c r="RLH10" s="65"/>
      <c r="RLI10" s="65"/>
      <c r="RLJ10" s="65"/>
      <c r="RLK10" s="65"/>
      <c r="RLL10" s="65"/>
      <c r="RLM10" s="65"/>
      <c r="RLN10" s="65"/>
      <c r="RLO10" s="65"/>
      <c r="RLP10" s="65"/>
      <c r="RLQ10" s="65"/>
      <c r="RLR10" s="65"/>
      <c r="RLS10" s="65"/>
      <c r="RLT10" s="65"/>
      <c r="RLU10" s="65"/>
      <c r="RLV10" s="65"/>
      <c r="RLW10" s="65"/>
      <c r="RLX10" s="65"/>
      <c r="RLY10" s="65"/>
      <c r="RLZ10" s="65"/>
      <c r="RMA10" s="65"/>
      <c r="RMB10" s="65"/>
      <c r="RMC10" s="65"/>
      <c r="RMD10" s="65"/>
      <c r="RME10" s="65"/>
      <c r="RMF10" s="65"/>
      <c r="RMG10" s="65"/>
      <c r="RMH10" s="65"/>
      <c r="RMI10" s="65"/>
      <c r="RMJ10" s="65"/>
      <c r="RMK10" s="65"/>
      <c r="RML10" s="65"/>
      <c r="RMM10" s="65"/>
      <c r="RMN10" s="65"/>
      <c r="RMO10" s="65"/>
      <c r="RMP10" s="65"/>
      <c r="RMQ10" s="65"/>
      <c r="RMR10" s="65"/>
      <c r="RMS10" s="65"/>
      <c r="RMT10" s="65"/>
      <c r="RMU10" s="65"/>
      <c r="RMV10" s="65"/>
      <c r="RMW10" s="65"/>
      <c r="RMX10" s="65"/>
      <c r="RMY10" s="65"/>
      <c r="RMZ10" s="65"/>
      <c r="RNA10" s="65"/>
      <c r="RNB10" s="65"/>
      <c r="RNC10" s="65"/>
      <c r="RND10" s="65"/>
      <c r="RNE10" s="65"/>
      <c r="RNF10" s="65"/>
      <c r="RNG10" s="65"/>
      <c r="RNH10" s="65"/>
      <c r="RNI10" s="65"/>
      <c r="RNJ10" s="65"/>
      <c r="RNK10" s="65"/>
      <c r="RNL10" s="65"/>
      <c r="RNM10" s="65"/>
      <c r="RNN10" s="65"/>
      <c r="RNO10" s="65"/>
      <c r="RNP10" s="65"/>
      <c r="RNQ10" s="65"/>
      <c r="RNR10" s="65"/>
      <c r="RNS10" s="65"/>
      <c r="RNT10" s="65"/>
      <c r="RNU10" s="65"/>
      <c r="RNV10" s="65"/>
      <c r="RNW10" s="65"/>
      <c r="RNX10" s="65"/>
      <c r="RNY10" s="65"/>
      <c r="RNZ10" s="65"/>
      <c r="ROA10" s="65"/>
      <c r="ROB10" s="65"/>
      <c r="ROC10" s="65"/>
      <c r="ROD10" s="65"/>
      <c r="ROE10" s="65"/>
      <c r="ROF10" s="65"/>
      <c r="ROG10" s="65"/>
      <c r="ROH10" s="65"/>
      <c r="ROI10" s="65"/>
      <c r="ROJ10" s="65"/>
      <c r="ROK10" s="65"/>
      <c r="ROL10" s="65"/>
      <c r="ROM10" s="65"/>
      <c r="RON10" s="65"/>
      <c r="ROO10" s="65"/>
      <c r="ROP10" s="65"/>
      <c r="ROQ10" s="65"/>
      <c r="ROR10" s="65"/>
      <c r="ROS10" s="65"/>
      <c r="ROT10" s="65"/>
      <c r="ROU10" s="65"/>
      <c r="ROV10" s="65"/>
      <c r="ROW10" s="65"/>
      <c r="ROX10" s="65"/>
      <c r="ROY10" s="65"/>
      <c r="ROZ10" s="65"/>
      <c r="RPA10" s="65"/>
      <c r="RPB10" s="65"/>
      <c r="RPC10" s="65"/>
      <c r="RPD10" s="65"/>
      <c r="RPE10" s="65"/>
      <c r="RPF10" s="65"/>
      <c r="RPG10" s="65"/>
      <c r="RPH10" s="65"/>
      <c r="RPI10" s="65"/>
      <c r="RPJ10" s="65"/>
      <c r="RPK10" s="65"/>
      <c r="RPL10" s="65"/>
      <c r="RPM10" s="65"/>
      <c r="RPN10" s="65"/>
      <c r="RPO10" s="65"/>
      <c r="RPP10" s="65"/>
      <c r="RPQ10" s="65"/>
      <c r="RPR10" s="65"/>
      <c r="RPS10" s="65"/>
      <c r="RPT10" s="65"/>
      <c r="RPU10" s="65"/>
      <c r="RPV10" s="65"/>
      <c r="RPW10" s="65"/>
      <c r="RPX10" s="65"/>
      <c r="RPY10" s="65"/>
      <c r="RPZ10" s="65"/>
      <c r="RQA10" s="65"/>
      <c r="RQB10" s="65"/>
      <c r="RQC10" s="65"/>
      <c r="RQD10" s="65"/>
      <c r="RQE10" s="65"/>
      <c r="RQF10" s="65"/>
      <c r="RQG10" s="65"/>
      <c r="RQH10" s="65"/>
      <c r="RQI10" s="65"/>
      <c r="RQJ10" s="65"/>
      <c r="RQK10" s="65"/>
      <c r="RQL10" s="65"/>
      <c r="RQM10" s="65"/>
      <c r="RQN10" s="65"/>
      <c r="RQO10" s="65"/>
      <c r="RQP10" s="65"/>
      <c r="RQQ10" s="65"/>
      <c r="RQR10" s="65"/>
      <c r="RQS10" s="65"/>
      <c r="RQT10" s="65"/>
      <c r="RQU10" s="65"/>
      <c r="RQV10" s="65"/>
      <c r="RQW10" s="65"/>
      <c r="RQX10" s="65"/>
      <c r="RQY10" s="65"/>
      <c r="RQZ10" s="65"/>
      <c r="RRA10" s="65"/>
      <c r="RRB10" s="65"/>
      <c r="RRC10" s="65"/>
      <c r="RRD10" s="65"/>
      <c r="RRE10" s="65"/>
      <c r="RRF10" s="65"/>
      <c r="RRG10" s="65"/>
      <c r="RRH10" s="65"/>
      <c r="RRI10" s="65"/>
      <c r="RRJ10" s="65"/>
      <c r="RRK10" s="65"/>
      <c r="RRL10" s="65"/>
      <c r="RRM10" s="65"/>
      <c r="RRN10" s="65"/>
      <c r="RRO10" s="65"/>
      <c r="RRP10" s="65"/>
      <c r="RRQ10" s="65"/>
      <c r="RRR10" s="65"/>
      <c r="RRS10" s="65"/>
      <c r="RRT10" s="65"/>
      <c r="RRU10" s="65"/>
      <c r="RRV10" s="65"/>
      <c r="RRW10" s="65"/>
      <c r="RRX10" s="65"/>
      <c r="RRY10" s="65"/>
      <c r="RRZ10" s="65"/>
      <c r="RSA10" s="65"/>
      <c r="RSB10" s="65"/>
      <c r="RSC10" s="65"/>
      <c r="RSD10" s="65"/>
      <c r="RSE10" s="65"/>
      <c r="RSF10" s="65"/>
      <c r="RSG10" s="65"/>
      <c r="RSH10" s="65"/>
      <c r="RSI10" s="65"/>
      <c r="RSJ10" s="65"/>
      <c r="RSK10" s="65"/>
      <c r="RSL10" s="65"/>
      <c r="RSM10" s="65"/>
      <c r="RSN10" s="65"/>
      <c r="RSO10" s="65"/>
      <c r="RSP10" s="65"/>
      <c r="RSQ10" s="65"/>
      <c r="RSR10" s="65"/>
      <c r="RSS10" s="65"/>
      <c r="RST10" s="65"/>
      <c r="RSU10" s="65"/>
      <c r="RSV10" s="65"/>
      <c r="RSW10" s="65"/>
      <c r="RSX10" s="65"/>
      <c r="RSY10" s="65"/>
      <c r="RSZ10" s="65"/>
      <c r="RTA10" s="65"/>
      <c r="RTB10" s="65"/>
      <c r="RTC10" s="65"/>
      <c r="RTD10" s="65"/>
      <c r="RTE10" s="65"/>
      <c r="RTF10" s="65"/>
      <c r="RTG10" s="65"/>
      <c r="RTH10" s="65"/>
      <c r="RTI10" s="65"/>
      <c r="RTJ10" s="65"/>
      <c r="RTK10" s="65"/>
      <c r="RTL10" s="65"/>
      <c r="RTM10" s="65"/>
      <c r="RTN10" s="65"/>
      <c r="RTO10" s="65"/>
      <c r="RTP10" s="65"/>
      <c r="RTQ10" s="65"/>
      <c r="RTR10" s="65"/>
      <c r="RTS10" s="65"/>
      <c r="RTT10" s="65"/>
      <c r="RTU10" s="65"/>
      <c r="RTV10" s="65"/>
      <c r="RTW10" s="65"/>
      <c r="RTX10" s="65"/>
      <c r="RTY10" s="65"/>
      <c r="RTZ10" s="65"/>
      <c r="RUA10" s="65"/>
      <c r="RUB10" s="65"/>
      <c r="RUC10" s="65"/>
      <c r="RUD10" s="65"/>
      <c r="RUE10" s="65"/>
      <c r="RUF10" s="65"/>
      <c r="RUG10" s="65"/>
      <c r="RUH10" s="65"/>
      <c r="RUI10" s="65"/>
      <c r="RUJ10" s="65"/>
      <c r="RUK10" s="65"/>
      <c r="RUL10" s="65"/>
      <c r="RUM10" s="65"/>
      <c r="RUN10" s="65"/>
      <c r="RUO10" s="65"/>
      <c r="RUP10" s="65"/>
      <c r="RUQ10" s="65"/>
      <c r="RUR10" s="65"/>
      <c r="RUS10" s="65"/>
      <c r="RUT10" s="65"/>
      <c r="RUU10" s="65"/>
      <c r="RUV10" s="65"/>
      <c r="RUW10" s="65"/>
      <c r="RUX10" s="65"/>
      <c r="RUY10" s="65"/>
      <c r="RUZ10" s="65"/>
      <c r="RVA10" s="65"/>
      <c r="RVB10" s="65"/>
      <c r="RVC10" s="65"/>
      <c r="RVD10" s="65"/>
      <c r="RVE10" s="65"/>
      <c r="RVF10" s="65"/>
      <c r="RVG10" s="65"/>
      <c r="RVH10" s="65"/>
      <c r="RVI10" s="65"/>
      <c r="RVJ10" s="65"/>
      <c r="RVK10" s="65"/>
      <c r="RVL10" s="65"/>
      <c r="RVM10" s="65"/>
      <c r="RVN10" s="65"/>
      <c r="RVO10" s="65"/>
      <c r="RVP10" s="65"/>
      <c r="RVQ10" s="65"/>
      <c r="RVR10" s="65"/>
      <c r="RVS10" s="65"/>
      <c r="RVT10" s="65"/>
      <c r="RVU10" s="65"/>
      <c r="RVV10" s="65"/>
      <c r="RVW10" s="65"/>
      <c r="RVX10" s="65"/>
      <c r="RVY10" s="65"/>
      <c r="RVZ10" s="65"/>
      <c r="RWA10" s="65"/>
      <c r="RWB10" s="65"/>
      <c r="RWC10" s="65"/>
      <c r="RWD10" s="65"/>
      <c r="RWE10" s="65"/>
      <c r="RWF10" s="65"/>
      <c r="RWG10" s="65"/>
      <c r="RWH10" s="65"/>
      <c r="RWI10" s="65"/>
      <c r="RWJ10" s="65"/>
      <c r="RWK10" s="65"/>
      <c r="RWL10" s="65"/>
      <c r="RWM10" s="65"/>
      <c r="RWN10" s="65"/>
      <c r="RWO10" s="65"/>
      <c r="RWP10" s="65"/>
      <c r="RWQ10" s="65"/>
      <c r="RWR10" s="65"/>
      <c r="RWS10" s="65"/>
      <c r="RWT10" s="65"/>
      <c r="RWU10" s="65"/>
      <c r="RWV10" s="65"/>
      <c r="RWW10" s="65"/>
      <c r="RWX10" s="65"/>
      <c r="RWY10" s="65"/>
      <c r="RWZ10" s="65"/>
      <c r="RXA10" s="65"/>
      <c r="RXB10" s="65"/>
      <c r="RXC10" s="65"/>
      <c r="RXD10" s="65"/>
      <c r="RXE10" s="65"/>
      <c r="RXF10" s="65"/>
      <c r="RXG10" s="65"/>
      <c r="RXH10" s="65"/>
      <c r="RXI10" s="65"/>
      <c r="RXJ10" s="65"/>
      <c r="RXK10" s="65"/>
      <c r="RXL10" s="65"/>
      <c r="RXM10" s="65"/>
      <c r="RXN10" s="65"/>
      <c r="RXO10" s="65"/>
      <c r="RXP10" s="65"/>
      <c r="RXQ10" s="65"/>
      <c r="RXR10" s="65"/>
      <c r="RXS10" s="65"/>
      <c r="RXT10" s="65"/>
      <c r="RXU10" s="65"/>
      <c r="RXV10" s="65"/>
      <c r="RXW10" s="65"/>
      <c r="RXX10" s="65"/>
      <c r="RXY10" s="65"/>
      <c r="RXZ10" s="65"/>
      <c r="RYA10" s="65"/>
      <c r="RYB10" s="65"/>
      <c r="RYC10" s="65"/>
      <c r="RYD10" s="65"/>
      <c r="RYE10" s="65"/>
      <c r="RYF10" s="65"/>
      <c r="RYG10" s="65"/>
      <c r="RYH10" s="65"/>
      <c r="RYI10" s="65"/>
      <c r="RYJ10" s="65"/>
      <c r="RYK10" s="65"/>
      <c r="RYL10" s="65"/>
      <c r="RYM10" s="65"/>
      <c r="RYN10" s="65"/>
      <c r="RYO10" s="65"/>
      <c r="RYP10" s="65"/>
      <c r="RYQ10" s="65"/>
      <c r="RYR10" s="65"/>
      <c r="RYS10" s="65"/>
      <c r="RYT10" s="65"/>
      <c r="RYU10" s="65"/>
      <c r="RYV10" s="65"/>
      <c r="RYW10" s="65"/>
      <c r="RYX10" s="65"/>
      <c r="RYY10" s="65"/>
      <c r="RYZ10" s="65"/>
      <c r="RZA10" s="65"/>
      <c r="RZB10" s="65"/>
      <c r="RZC10" s="65"/>
      <c r="RZD10" s="65"/>
      <c r="RZE10" s="65"/>
      <c r="RZF10" s="65"/>
      <c r="RZG10" s="65"/>
      <c r="RZH10" s="65"/>
      <c r="RZI10" s="65"/>
      <c r="RZJ10" s="65"/>
      <c r="RZK10" s="65"/>
      <c r="RZL10" s="65"/>
      <c r="RZM10" s="65"/>
      <c r="RZN10" s="65"/>
      <c r="RZO10" s="65"/>
      <c r="RZP10" s="65"/>
      <c r="RZQ10" s="65"/>
      <c r="RZR10" s="65"/>
      <c r="RZS10" s="65"/>
      <c r="RZT10" s="65"/>
      <c r="RZU10" s="65"/>
      <c r="RZV10" s="65"/>
      <c r="RZW10" s="65"/>
      <c r="RZX10" s="65"/>
      <c r="RZY10" s="65"/>
      <c r="RZZ10" s="65"/>
      <c r="SAA10" s="65"/>
      <c r="SAB10" s="65"/>
      <c r="SAC10" s="65"/>
      <c r="SAD10" s="65"/>
      <c r="SAE10" s="65"/>
      <c r="SAF10" s="65"/>
      <c r="SAG10" s="65"/>
      <c r="SAH10" s="65"/>
      <c r="SAI10" s="65"/>
      <c r="SAJ10" s="65"/>
      <c r="SAK10" s="65"/>
      <c r="SAL10" s="65"/>
      <c r="SAM10" s="65"/>
      <c r="SAN10" s="65"/>
      <c r="SAO10" s="65"/>
      <c r="SAP10" s="65"/>
      <c r="SAQ10" s="65"/>
      <c r="SAR10" s="65"/>
      <c r="SAS10" s="65"/>
      <c r="SAT10" s="65"/>
      <c r="SAU10" s="65"/>
      <c r="SAV10" s="65"/>
      <c r="SAW10" s="65"/>
      <c r="SAX10" s="65"/>
      <c r="SAY10" s="65"/>
      <c r="SAZ10" s="65"/>
      <c r="SBA10" s="65"/>
      <c r="SBB10" s="65"/>
      <c r="SBC10" s="65"/>
      <c r="SBD10" s="65"/>
      <c r="SBE10" s="65"/>
      <c r="SBF10" s="65"/>
      <c r="SBG10" s="65"/>
      <c r="SBH10" s="65"/>
      <c r="SBI10" s="65"/>
      <c r="SBJ10" s="65"/>
      <c r="SBK10" s="65"/>
      <c r="SBL10" s="65"/>
      <c r="SBM10" s="65"/>
      <c r="SBN10" s="65"/>
      <c r="SBO10" s="65"/>
      <c r="SBP10" s="65"/>
      <c r="SBQ10" s="65"/>
      <c r="SBR10" s="65"/>
      <c r="SBS10" s="65"/>
      <c r="SBT10" s="65"/>
      <c r="SBU10" s="65"/>
      <c r="SBV10" s="65"/>
      <c r="SBW10" s="65"/>
      <c r="SBX10" s="65"/>
      <c r="SBY10" s="65"/>
      <c r="SBZ10" s="65"/>
      <c r="SCA10" s="65"/>
      <c r="SCB10" s="65"/>
      <c r="SCC10" s="65"/>
      <c r="SCD10" s="65"/>
      <c r="SCE10" s="65"/>
      <c r="SCF10" s="65"/>
      <c r="SCG10" s="65"/>
      <c r="SCH10" s="65"/>
      <c r="SCI10" s="65"/>
      <c r="SCJ10" s="65"/>
      <c r="SCK10" s="65"/>
      <c r="SCL10" s="65"/>
      <c r="SCM10" s="65"/>
      <c r="SCN10" s="65"/>
      <c r="SCO10" s="65"/>
      <c r="SCP10" s="65"/>
      <c r="SCQ10" s="65"/>
      <c r="SCR10" s="65"/>
      <c r="SCS10" s="65"/>
      <c r="SCT10" s="65"/>
      <c r="SCU10" s="65"/>
      <c r="SCV10" s="65"/>
      <c r="SCW10" s="65"/>
      <c r="SCX10" s="65"/>
      <c r="SCY10" s="65"/>
      <c r="SCZ10" s="65"/>
      <c r="SDA10" s="65"/>
      <c r="SDB10" s="65"/>
      <c r="SDC10" s="65"/>
      <c r="SDD10" s="65"/>
      <c r="SDE10" s="65"/>
      <c r="SDF10" s="65"/>
      <c r="SDG10" s="65"/>
      <c r="SDH10" s="65"/>
      <c r="SDI10" s="65"/>
      <c r="SDJ10" s="65"/>
      <c r="SDK10" s="65"/>
      <c r="SDL10" s="65"/>
      <c r="SDM10" s="65"/>
      <c r="SDN10" s="65"/>
      <c r="SDO10" s="65"/>
      <c r="SDP10" s="65"/>
      <c r="SDQ10" s="65"/>
      <c r="SDR10" s="65"/>
      <c r="SDS10" s="65"/>
      <c r="SDT10" s="65"/>
      <c r="SDU10" s="65"/>
      <c r="SDV10" s="65"/>
      <c r="SDW10" s="65"/>
      <c r="SDX10" s="65"/>
      <c r="SDY10" s="65"/>
      <c r="SDZ10" s="65"/>
      <c r="SEA10" s="65"/>
      <c r="SEB10" s="65"/>
      <c r="SEC10" s="65"/>
      <c r="SED10" s="65"/>
      <c r="SEE10" s="65"/>
      <c r="SEF10" s="65"/>
      <c r="SEG10" s="65"/>
      <c r="SEH10" s="65"/>
      <c r="SEI10" s="65"/>
      <c r="SEJ10" s="65"/>
      <c r="SEK10" s="65"/>
      <c r="SEL10" s="65"/>
      <c r="SEM10" s="65"/>
      <c r="SEN10" s="65"/>
      <c r="SEO10" s="65"/>
      <c r="SEP10" s="65"/>
      <c r="SEQ10" s="65"/>
      <c r="SER10" s="65"/>
      <c r="SES10" s="65"/>
      <c r="SET10" s="65"/>
      <c r="SEU10" s="65"/>
      <c r="SEV10" s="65"/>
      <c r="SEW10" s="65"/>
      <c r="SEX10" s="65"/>
      <c r="SEY10" s="65"/>
      <c r="SEZ10" s="65"/>
      <c r="SFA10" s="65"/>
      <c r="SFB10" s="65"/>
      <c r="SFC10" s="65"/>
      <c r="SFD10" s="65"/>
      <c r="SFE10" s="65"/>
      <c r="SFF10" s="65"/>
      <c r="SFG10" s="65"/>
      <c r="SFH10" s="65"/>
      <c r="SFI10" s="65"/>
      <c r="SFJ10" s="65"/>
      <c r="SFK10" s="65"/>
      <c r="SFL10" s="65"/>
      <c r="SFM10" s="65"/>
      <c r="SFN10" s="65"/>
      <c r="SFO10" s="65"/>
      <c r="SFP10" s="65"/>
      <c r="SFQ10" s="65"/>
      <c r="SFR10" s="65"/>
      <c r="SFS10" s="65"/>
      <c r="SFT10" s="65"/>
      <c r="SFU10" s="65"/>
      <c r="SFV10" s="65"/>
      <c r="SFW10" s="65"/>
      <c r="SFX10" s="65"/>
      <c r="SFY10" s="65"/>
      <c r="SFZ10" s="65"/>
      <c r="SGA10" s="65"/>
      <c r="SGB10" s="65"/>
      <c r="SGC10" s="65"/>
      <c r="SGD10" s="65"/>
      <c r="SGE10" s="65"/>
      <c r="SGF10" s="65"/>
      <c r="SGG10" s="65"/>
      <c r="SGH10" s="65"/>
      <c r="SGI10" s="65"/>
      <c r="SGJ10" s="65"/>
      <c r="SGK10" s="65"/>
      <c r="SGL10" s="65"/>
      <c r="SGM10" s="65"/>
      <c r="SGN10" s="65"/>
      <c r="SGO10" s="65"/>
      <c r="SGP10" s="65"/>
      <c r="SGQ10" s="65"/>
      <c r="SGR10" s="65"/>
      <c r="SGS10" s="65"/>
      <c r="SGT10" s="65"/>
      <c r="SGU10" s="65"/>
      <c r="SGV10" s="65"/>
      <c r="SGW10" s="65"/>
      <c r="SGX10" s="65"/>
      <c r="SGY10" s="65"/>
      <c r="SGZ10" s="65"/>
      <c r="SHA10" s="65"/>
      <c r="SHB10" s="65"/>
      <c r="SHC10" s="65"/>
      <c r="SHD10" s="65"/>
      <c r="SHE10" s="65"/>
      <c r="SHF10" s="65"/>
      <c r="SHG10" s="65"/>
      <c r="SHH10" s="65"/>
      <c r="SHI10" s="65"/>
      <c r="SHJ10" s="65"/>
      <c r="SHK10" s="65"/>
      <c r="SHL10" s="65"/>
      <c r="SHM10" s="65"/>
      <c r="SHN10" s="65"/>
      <c r="SHO10" s="65"/>
      <c r="SHP10" s="65"/>
      <c r="SHQ10" s="65"/>
      <c r="SHR10" s="65"/>
      <c r="SHS10" s="65"/>
      <c r="SHT10" s="65"/>
      <c r="SHU10" s="65"/>
      <c r="SHV10" s="65"/>
      <c r="SHW10" s="65"/>
      <c r="SHX10" s="65"/>
      <c r="SHY10" s="65"/>
      <c r="SHZ10" s="65"/>
      <c r="SIA10" s="65"/>
      <c r="SIB10" s="65"/>
      <c r="SIC10" s="65"/>
      <c r="SID10" s="65"/>
      <c r="SIE10" s="65"/>
      <c r="SIF10" s="65"/>
      <c r="SIG10" s="65"/>
      <c r="SIH10" s="65"/>
      <c r="SII10" s="65"/>
      <c r="SIJ10" s="65"/>
      <c r="SIK10" s="65"/>
      <c r="SIL10" s="65"/>
      <c r="SIM10" s="65"/>
      <c r="SIN10" s="65"/>
      <c r="SIO10" s="65"/>
      <c r="SIP10" s="65"/>
      <c r="SIQ10" s="65"/>
      <c r="SIR10" s="65"/>
      <c r="SIS10" s="65"/>
      <c r="SIT10" s="65"/>
      <c r="SIU10" s="65"/>
      <c r="SIV10" s="65"/>
      <c r="SIW10" s="65"/>
      <c r="SIX10" s="65"/>
      <c r="SIY10" s="65"/>
      <c r="SIZ10" s="65"/>
      <c r="SJA10" s="65"/>
      <c r="SJB10" s="65"/>
      <c r="SJC10" s="65"/>
      <c r="SJD10" s="65"/>
      <c r="SJE10" s="65"/>
      <c r="SJF10" s="65"/>
      <c r="SJG10" s="65"/>
      <c r="SJH10" s="65"/>
      <c r="SJI10" s="65"/>
      <c r="SJJ10" s="65"/>
      <c r="SJK10" s="65"/>
      <c r="SJL10" s="65"/>
      <c r="SJM10" s="65"/>
      <c r="SJN10" s="65"/>
      <c r="SJO10" s="65"/>
      <c r="SJP10" s="65"/>
      <c r="SJQ10" s="65"/>
      <c r="SJR10" s="65"/>
      <c r="SJS10" s="65"/>
      <c r="SJT10" s="65"/>
      <c r="SJU10" s="65"/>
      <c r="SJV10" s="65"/>
      <c r="SJW10" s="65"/>
      <c r="SJX10" s="65"/>
      <c r="SJY10" s="65"/>
      <c r="SJZ10" s="65"/>
      <c r="SKA10" s="65"/>
      <c r="SKB10" s="65"/>
      <c r="SKC10" s="65"/>
      <c r="SKD10" s="65"/>
      <c r="SKE10" s="65"/>
      <c r="SKF10" s="65"/>
      <c r="SKG10" s="65"/>
      <c r="SKH10" s="65"/>
      <c r="SKI10" s="65"/>
      <c r="SKJ10" s="65"/>
      <c r="SKK10" s="65"/>
      <c r="SKL10" s="65"/>
      <c r="SKM10" s="65"/>
      <c r="SKN10" s="65"/>
      <c r="SKO10" s="65"/>
      <c r="SKP10" s="65"/>
      <c r="SKQ10" s="65"/>
      <c r="SKR10" s="65"/>
      <c r="SKS10" s="65"/>
      <c r="SKT10" s="65"/>
      <c r="SKU10" s="65"/>
      <c r="SKV10" s="65"/>
      <c r="SKW10" s="65"/>
      <c r="SKX10" s="65"/>
      <c r="SKY10" s="65"/>
      <c r="SKZ10" s="65"/>
      <c r="SLA10" s="65"/>
      <c r="SLB10" s="65"/>
      <c r="SLC10" s="65"/>
      <c r="SLD10" s="65"/>
      <c r="SLE10" s="65"/>
      <c r="SLF10" s="65"/>
      <c r="SLG10" s="65"/>
      <c r="SLH10" s="65"/>
      <c r="SLI10" s="65"/>
      <c r="SLJ10" s="65"/>
      <c r="SLK10" s="65"/>
      <c r="SLL10" s="65"/>
      <c r="SLM10" s="65"/>
      <c r="SLN10" s="65"/>
      <c r="SLO10" s="65"/>
      <c r="SLP10" s="65"/>
      <c r="SLQ10" s="65"/>
      <c r="SLR10" s="65"/>
      <c r="SLS10" s="65"/>
      <c r="SLT10" s="65"/>
      <c r="SLU10" s="65"/>
      <c r="SLV10" s="65"/>
      <c r="SLW10" s="65"/>
      <c r="SLX10" s="65"/>
      <c r="SLY10" s="65"/>
      <c r="SLZ10" s="65"/>
      <c r="SMA10" s="65"/>
      <c r="SMB10" s="65"/>
      <c r="SMC10" s="65"/>
      <c r="SMD10" s="65"/>
      <c r="SME10" s="65"/>
      <c r="SMF10" s="65"/>
      <c r="SMG10" s="65"/>
      <c r="SMH10" s="65"/>
      <c r="SMI10" s="65"/>
      <c r="SMJ10" s="65"/>
      <c r="SMK10" s="65"/>
      <c r="SML10" s="65"/>
      <c r="SMM10" s="65"/>
      <c r="SMN10" s="65"/>
      <c r="SMO10" s="65"/>
      <c r="SMP10" s="65"/>
      <c r="SMQ10" s="65"/>
      <c r="SMR10" s="65"/>
      <c r="SMS10" s="65"/>
      <c r="SMT10" s="65"/>
      <c r="SMU10" s="65"/>
      <c r="SMV10" s="65"/>
      <c r="SMW10" s="65"/>
      <c r="SMX10" s="65"/>
      <c r="SMY10" s="65"/>
      <c r="SMZ10" s="65"/>
      <c r="SNA10" s="65"/>
      <c r="SNB10" s="65"/>
      <c r="SNC10" s="65"/>
      <c r="SND10" s="65"/>
      <c r="SNE10" s="65"/>
      <c r="SNF10" s="65"/>
      <c r="SNG10" s="65"/>
      <c r="SNH10" s="65"/>
      <c r="SNI10" s="65"/>
      <c r="SNJ10" s="65"/>
      <c r="SNK10" s="65"/>
      <c r="SNL10" s="65"/>
      <c r="SNM10" s="65"/>
      <c r="SNN10" s="65"/>
      <c r="SNO10" s="65"/>
      <c r="SNP10" s="65"/>
      <c r="SNQ10" s="65"/>
      <c r="SNR10" s="65"/>
      <c r="SNS10" s="65"/>
      <c r="SNT10" s="65"/>
      <c r="SNU10" s="65"/>
      <c r="SNV10" s="65"/>
      <c r="SNW10" s="65"/>
      <c r="SNX10" s="65"/>
      <c r="SNY10" s="65"/>
      <c r="SNZ10" s="65"/>
      <c r="SOA10" s="65"/>
      <c r="SOB10" s="65"/>
      <c r="SOC10" s="65"/>
      <c r="SOD10" s="65"/>
      <c r="SOE10" s="65"/>
      <c r="SOF10" s="65"/>
      <c r="SOG10" s="65"/>
      <c r="SOH10" s="65"/>
      <c r="SOI10" s="65"/>
      <c r="SOJ10" s="65"/>
      <c r="SOK10" s="65"/>
      <c r="SOL10" s="65"/>
      <c r="SOM10" s="65"/>
      <c r="SON10" s="65"/>
      <c r="SOO10" s="65"/>
      <c r="SOP10" s="65"/>
      <c r="SOQ10" s="65"/>
      <c r="SOR10" s="65"/>
      <c r="SOS10" s="65"/>
      <c r="SOT10" s="65"/>
      <c r="SOU10" s="65"/>
      <c r="SOV10" s="65"/>
      <c r="SOW10" s="65"/>
      <c r="SOX10" s="65"/>
      <c r="SOY10" s="65"/>
      <c r="SOZ10" s="65"/>
      <c r="SPA10" s="65"/>
      <c r="SPB10" s="65"/>
      <c r="SPC10" s="65"/>
      <c r="SPD10" s="65"/>
      <c r="SPE10" s="65"/>
      <c r="SPF10" s="65"/>
      <c r="SPG10" s="65"/>
      <c r="SPH10" s="65"/>
      <c r="SPI10" s="65"/>
      <c r="SPJ10" s="65"/>
      <c r="SPK10" s="65"/>
      <c r="SPL10" s="65"/>
      <c r="SPM10" s="65"/>
      <c r="SPN10" s="65"/>
      <c r="SPO10" s="65"/>
      <c r="SPP10" s="65"/>
      <c r="SPQ10" s="65"/>
      <c r="SPR10" s="65"/>
      <c r="SPS10" s="65"/>
      <c r="SPT10" s="65"/>
      <c r="SPU10" s="65"/>
      <c r="SPV10" s="65"/>
      <c r="SPW10" s="65"/>
      <c r="SPX10" s="65"/>
      <c r="SPY10" s="65"/>
      <c r="SPZ10" s="65"/>
      <c r="SQA10" s="65"/>
      <c r="SQB10" s="65"/>
      <c r="SQC10" s="65"/>
      <c r="SQD10" s="65"/>
      <c r="SQE10" s="65"/>
      <c r="SQF10" s="65"/>
      <c r="SQG10" s="65"/>
      <c r="SQH10" s="65"/>
      <c r="SQI10" s="65"/>
      <c r="SQJ10" s="65"/>
      <c r="SQK10" s="65"/>
      <c r="SQL10" s="65"/>
      <c r="SQM10" s="65"/>
      <c r="SQN10" s="65"/>
      <c r="SQO10" s="65"/>
      <c r="SQP10" s="65"/>
      <c r="SQQ10" s="65"/>
      <c r="SQR10" s="65"/>
      <c r="SQS10" s="65"/>
      <c r="SQT10" s="65"/>
      <c r="SQU10" s="65"/>
      <c r="SQV10" s="65"/>
      <c r="SQW10" s="65"/>
      <c r="SQX10" s="65"/>
      <c r="SQY10" s="65"/>
      <c r="SQZ10" s="65"/>
      <c r="SRA10" s="65"/>
      <c r="SRB10" s="65"/>
      <c r="SRC10" s="65"/>
      <c r="SRD10" s="65"/>
      <c r="SRE10" s="65"/>
      <c r="SRF10" s="65"/>
      <c r="SRG10" s="65"/>
      <c r="SRH10" s="65"/>
      <c r="SRI10" s="65"/>
      <c r="SRJ10" s="65"/>
      <c r="SRK10" s="65"/>
      <c r="SRL10" s="65"/>
      <c r="SRM10" s="65"/>
      <c r="SRN10" s="65"/>
      <c r="SRO10" s="65"/>
      <c r="SRP10" s="65"/>
      <c r="SRQ10" s="65"/>
      <c r="SRR10" s="65"/>
      <c r="SRS10" s="65"/>
      <c r="SRT10" s="65"/>
      <c r="SRU10" s="65"/>
      <c r="SRV10" s="65"/>
      <c r="SRW10" s="65"/>
      <c r="SRX10" s="65"/>
      <c r="SRY10" s="65"/>
      <c r="SRZ10" s="65"/>
      <c r="SSA10" s="65"/>
      <c r="SSB10" s="65"/>
      <c r="SSC10" s="65"/>
      <c r="SSD10" s="65"/>
      <c r="SSE10" s="65"/>
      <c r="SSF10" s="65"/>
      <c r="SSG10" s="65"/>
      <c r="SSH10" s="65"/>
      <c r="SSI10" s="65"/>
      <c r="SSJ10" s="65"/>
      <c r="SSK10" s="65"/>
      <c r="SSL10" s="65"/>
      <c r="SSM10" s="65"/>
      <c r="SSN10" s="65"/>
      <c r="SSO10" s="65"/>
      <c r="SSP10" s="65"/>
      <c r="SSQ10" s="65"/>
      <c r="SSR10" s="65"/>
      <c r="SSS10" s="65"/>
      <c r="SST10" s="65"/>
      <c r="SSU10" s="65"/>
      <c r="SSV10" s="65"/>
      <c r="SSW10" s="65"/>
      <c r="SSX10" s="65"/>
      <c r="SSY10" s="65"/>
      <c r="SSZ10" s="65"/>
      <c r="STA10" s="65"/>
      <c r="STB10" s="65"/>
      <c r="STC10" s="65"/>
      <c r="STD10" s="65"/>
      <c r="STE10" s="65"/>
      <c r="STF10" s="65"/>
      <c r="STG10" s="65"/>
      <c r="STH10" s="65"/>
      <c r="STI10" s="65"/>
      <c r="STJ10" s="65"/>
      <c r="STK10" s="65"/>
      <c r="STL10" s="65"/>
      <c r="STM10" s="65"/>
      <c r="STN10" s="65"/>
      <c r="STO10" s="65"/>
      <c r="STP10" s="65"/>
      <c r="STQ10" s="65"/>
      <c r="STR10" s="65"/>
      <c r="STS10" s="65"/>
      <c r="STT10" s="65"/>
      <c r="STU10" s="65"/>
      <c r="STV10" s="65"/>
      <c r="STW10" s="65"/>
      <c r="STX10" s="65"/>
      <c r="STY10" s="65"/>
      <c r="STZ10" s="65"/>
      <c r="SUA10" s="65"/>
      <c r="SUB10" s="65"/>
      <c r="SUC10" s="65"/>
      <c r="SUD10" s="65"/>
      <c r="SUE10" s="65"/>
      <c r="SUF10" s="65"/>
      <c r="SUG10" s="65"/>
      <c r="SUH10" s="65"/>
      <c r="SUI10" s="65"/>
      <c r="SUJ10" s="65"/>
      <c r="SUK10" s="65"/>
      <c r="SUL10" s="65"/>
      <c r="SUM10" s="65"/>
      <c r="SUN10" s="65"/>
      <c r="SUO10" s="65"/>
      <c r="SUP10" s="65"/>
      <c r="SUQ10" s="65"/>
      <c r="SUR10" s="65"/>
      <c r="SUS10" s="65"/>
      <c r="SUT10" s="65"/>
      <c r="SUU10" s="65"/>
      <c r="SUV10" s="65"/>
      <c r="SUW10" s="65"/>
      <c r="SUX10" s="65"/>
      <c r="SUY10" s="65"/>
      <c r="SUZ10" s="65"/>
      <c r="SVA10" s="65"/>
      <c r="SVB10" s="65"/>
      <c r="SVC10" s="65"/>
      <c r="SVD10" s="65"/>
      <c r="SVE10" s="65"/>
      <c r="SVF10" s="65"/>
      <c r="SVG10" s="65"/>
      <c r="SVH10" s="65"/>
      <c r="SVI10" s="65"/>
      <c r="SVJ10" s="65"/>
      <c r="SVK10" s="65"/>
      <c r="SVL10" s="65"/>
      <c r="SVM10" s="65"/>
      <c r="SVN10" s="65"/>
      <c r="SVO10" s="65"/>
      <c r="SVP10" s="65"/>
      <c r="SVQ10" s="65"/>
      <c r="SVR10" s="65"/>
      <c r="SVS10" s="65"/>
      <c r="SVT10" s="65"/>
      <c r="SVU10" s="65"/>
      <c r="SVV10" s="65"/>
      <c r="SVW10" s="65"/>
      <c r="SVX10" s="65"/>
      <c r="SVY10" s="65"/>
      <c r="SVZ10" s="65"/>
      <c r="SWA10" s="65"/>
      <c r="SWB10" s="65"/>
      <c r="SWC10" s="65"/>
      <c r="SWD10" s="65"/>
      <c r="SWE10" s="65"/>
      <c r="SWF10" s="65"/>
      <c r="SWG10" s="65"/>
      <c r="SWH10" s="65"/>
      <c r="SWI10" s="65"/>
      <c r="SWJ10" s="65"/>
      <c r="SWK10" s="65"/>
      <c r="SWL10" s="65"/>
      <c r="SWM10" s="65"/>
      <c r="SWN10" s="65"/>
      <c r="SWO10" s="65"/>
      <c r="SWP10" s="65"/>
      <c r="SWQ10" s="65"/>
      <c r="SWR10" s="65"/>
      <c r="SWS10" s="65"/>
      <c r="SWT10" s="65"/>
      <c r="SWU10" s="65"/>
      <c r="SWV10" s="65"/>
      <c r="SWW10" s="65"/>
      <c r="SWX10" s="65"/>
      <c r="SWY10" s="65"/>
      <c r="SWZ10" s="65"/>
      <c r="SXA10" s="65"/>
      <c r="SXB10" s="65"/>
      <c r="SXC10" s="65"/>
      <c r="SXD10" s="65"/>
      <c r="SXE10" s="65"/>
      <c r="SXF10" s="65"/>
      <c r="SXG10" s="65"/>
      <c r="SXH10" s="65"/>
      <c r="SXI10" s="65"/>
      <c r="SXJ10" s="65"/>
      <c r="SXK10" s="65"/>
      <c r="SXL10" s="65"/>
      <c r="SXM10" s="65"/>
      <c r="SXN10" s="65"/>
      <c r="SXO10" s="65"/>
      <c r="SXP10" s="65"/>
      <c r="SXQ10" s="65"/>
      <c r="SXR10" s="65"/>
      <c r="SXS10" s="65"/>
      <c r="SXT10" s="65"/>
      <c r="SXU10" s="65"/>
      <c r="SXV10" s="65"/>
      <c r="SXW10" s="65"/>
      <c r="SXX10" s="65"/>
      <c r="SXY10" s="65"/>
      <c r="SXZ10" s="65"/>
      <c r="SYA10" s="65"/>
      <c r="SYB10" s="65"/>
      <c r="SYC10" s="65"/>
      <c r="SYD10" s="65"/>
      <c r="SYE10" s="65"/>
      <c r="SYF10" s="65"/>
      <c r="SYG10" s="65"/>
      <c r="SYH10" s="65"/>
      <c r="SYI10" s="65"/>
      <c r="SYJ10" s="65"/>
      <c r="SYK10" s="65"/>
      <c r="SYL10" s="65"/>
      <c r="SYM10" s="65"/>
      <c r="SYN10" s="65"/>
      <c r="SYO10" s="65"/>
      <c r="SYP10" s="65"/>
      <c r="SYQ10" s="65"/>
      <c r="SYR10" s="65"/>
      <c r="SYS10" s="65"/>
      <c r="SYT10" s="65"/>
      <c r="SYU10" s="65"/>
      <c r="SYV10" s="65"/>
      <c r="SYW10" s="65"/>
      <c r="SYX10" s="65"/>
      <c r="SYY10" s="65"/>
      <c r="SYZ10" s="65"/>
      <c r="SZA10" s="65"/>
      <c r="SZB10" s="65"/>
      <c r="SZC10" s="65"/>
      <c r="SZD10" s="65"/>
      <c r="SZE10" s="65"/>
      <c r="SZF10" s="65"/>
      <c r="SZG10" s="65"/>
      <c r="SZH10" s="65"/>
      <c r="SZI10" s="65"/>
      <c r="SZJ10" s="65"/>
      <c r="SZK10" s="65"/>
      <c r="SZL10" s="65"/>
      <c r="SZM10" s="65"/>
      <c r="SZN10" s="65"/>
      <c r="SZO10" s="65"/>
      <c r="SZP10" s="65"/>
      <c r="SZQ10" s="65"/>
      <c r="SZR10" s="65"/>
      <c r="SZS10" s="65"/>
      <c r="SZT10" s="65"/>
      <c r="SZU10" s="65"/>
      <c r="SZV10" s="65"/>
      <c r="SZW10" s="65"/>
      <c r="SZX10" s="65"/>
      <c r="SZY10" s="65"/>
      <c r="SZZ10" s="65"/>
      <c r="TAA10" s="65"/>
      <c r="TAB10" s="65"/>
      <c r="TAC10" s="65"/>
      <c r="TAD10" s="65"/>
      <c r="TAE10" s="65"/>
      <c r="TAF10" s="65"/>
      <c r="TAG10" s="65"/>
      <c r="TAH10" s="65"/>
      <c r="TAI10" s="65"/>
      <c r="TAJ10" s="65"/>
      <c r="TAK10" s="65"/>
      <c r="TAL10" s="65"/>
      <c r="TAM10" s="65"/>
      <c r="TAN10" s="65"/>
      <c r="TAO10" s="65"/>
      <c r="TAP10" s="65"/>
      <c r="TAQ10" s="65"/>
      <c r="TAR10" s="65"/>
      <c r="TAS10" s="65"/>
      <c r="TAT10" s="65"/>
      <c r="TAU10" s="65"/>
      <c r="TAV10" s="65"/>
      <c r="TAW10" s="65"/>
      <c r="TAX10" s="65"/>
      <c r="TAY10" s="65"/>
      <c r="TAZ10" s="65"/>
      <c r="TBA10" s="65"/>
      <c r="TBB10" s="65"/>
      <c r="TBC10" s="65"/>
      <c r="TBD10" s="65"/>
      <c r="TBE10" s="65"/>
      <c r="TBF10" s="65"/>
      <c r="TBG10" s="65"/>
      <c r="TBH10" s="65"/>
      <c r="TBI10" s="65"/>
      <c r="TBJ10" s="65"/>
      <c r="TBK10" s="65"/>
      <c r="TBL10" s="65"/>
      <c r="TBM10" s="65"/>
      <c r="TBN10" s="65"/>
      <c r="TBO10" s="65"/>
      <c r="TBP10" s="65"/>
      <c r="TBQ10" s="65"/>
      <c r="TBR10" s="65"/>
      <c r="TBS10" s="65"/>
      <c r="TBT10" s="65"/>
      <c r="TBU10" s="65"/>
      <c r="TBV10" s="65"/>
      <c r="TBW10" s="65"/>
      <c r="TBX10" s="65"/>
      <c r="TBY10" s="65"/>
      <c r="TBZ10" s="65"/>
      <c r="TCA10" s="65"/>
      <c r="TCB10" s="65"/>
      <c r="TCC10" s="65"/>
      <c r="TCD10" s="65"/>
      <c r="TCE10" s="65"/>
      <c r="TCF10" s="65"/>
      <c r="TCG10" s="65"/>
      <c r="TCH10" s="65"/>
      <c r="TCI10" s="65"/>
      <c r="TCJ10" s="65"/>
      <c r="TCK10" s="65"/>
      <c r="TCL10" s="65"/>
      <c r="TCM10" s="65"/>
      <c r="TCN10" s="65"/>
      <c r="TCO10" s="65"/>
      <c r="TCP10" s="65"/>
      <c r="TCQ10" s="65"/>
      <c r="TCR10" s="65"/>
      <c r="TCS10" s="65"/>
      <c r="TCT10" s="65"/>
      <c r="TCU10" s="65"/>
      <c r="TCV10" s="65"/>
      <c r="TCW10" s="65"/>
      <c r="TCX10" s="65"/>
      <c r="TCY10" s="65"/>
      <c r="TCZ10" s="65"/>
      <c r="TDA10" s="65"/>
      <c r="TDB10" s="65"/>
      <c r="TDC10" s="65"/>
      <c r="TDD10" s="65"/>
      <c r="TDE10" s="65"/>
      <c r="TDF10" s="65"/>
      <c r="TDG10" s="65"/>
      <c r="TDH10" s="65"/>
      <c r="TDI10" s="65"/>
      <c r="TDJ10" s="65"/>
      <c r="TDK10" s="65"/>
      <c r="TDL10" s="65"/>
      <c r="TDM10" s="65"/>
      <c r="TDN10" s="65"/>
      <c r="TDO10" s="65"/>
      <c r="TDP10" s="65"/>
      <c r="TDQ10" s="65"/>
      <c r="TDR10" s="65"/>
      <c r="TDS10" s="65"/>
      <c r="TDT10" s="65"/>
      <c r="TDU10" s="65"/>
      <c r="TDV10" s="65"/>
      <c r="TDW10" s="65"/>
      <c r="TDX10" s="65"/>
      <c r="TDY10" s="65"/>
      <c r="TDZ10" s="65"/>
      <c r="TEA10" s="65"/>
      <c r="TEB10" s="65"/>
      <c r="TEC10" s="65"/>
      <c r="TED10" s="65"/>
      <c r="TEE10" s="65"/>
      <c r="TEF10" s="65"/>
      <c r="TEG10" s="65"/>
      <c r="TEH10" s="65"/>
      <c r="TEI10" s="65"/>
      <c r="TEJ10" s="65"/>
      <c r="TEK10" s="65"/>
      <c r="TEL10" s="65"/>
      <c r="TEM10" s="65"/>
      <c r="TEN10" s="65"/>
      <c r="TEO10" s="65"/>
      <c r="TEP10" s="65"/>
      <c r="TEQ10" s="65"/>
      <c r="TER10" s="65"/>
      <c r="TES10" s="65"/>
      <c r="TET10" s="65"/>
      <c r="TEU10" s="65"/>
      <c r="TEV10" s="65"/>
      <c r="TEW10" s="65"/>
      <c r="TEX10" s="65"/>
      <c r="TEY10" s="65"/>
      <c r="TEZ10" s="65"/>
      <c r="TFA10" s="65"/>
      <c r="TFB10" s="65"/>
      <c r="TFC10" s="65"/>
      <c r="TFD10" s="65"/>
      <c r="TFE10" s="65"/>
      <c r="TFF10" s="65"/>
      <c r="TFG10" s="65"/>
      <c r="TFH10" s="65"/>
      <c r="TFI10" s="65"/>
      <c r="TFJ10" s="65"/>
      <c r="TFK10" s="65"/>
      <c r="TFL10" s="65"/>
      <c r="TFM10" s="65"/>
      <c r="TFN10" s="65"/>
      <c r="TFO10" s="65"/>
      <c r="TFP10" s="65"/>
      <c r="TFQ10" s="65"/>
      <c r="TFR10" s="65"/>
      <c r="TFS10" s="65"/>
      <c r="TFT10" s="65"/>
      <c r="TFU10" s="65"/>
      <c r="TFV10" s="65"/>
      <c r="TFW10" s="65"/>
      <c r="TFX10" s="65"/>
      <c r="TFY10" s="65"/>
      <c r="TFZ10" s="65"/>
      <c r="TGA10" s="65"/>
      <c r="TGB10" s="65"/>
      <c r="TGC10" s="65"/>
      <c r="TGD10" s="65"/>
      <c r="TGE10" s="65"/>
      <c r="TGF10" s="65"/>
      <c r="TGG10" s="65"/>
      <c r="TGH10" s="65"/>
      <c r="TGI10" s="65"/>
      <c r="TGJ10" s="65"/>
      <c r="TGK10" s="65"/>
      <c r="TGL10" s="65"/>
      <c r="TGM10" s="65"/>
      <c r="TGN10" s="65"/>
      <c r="TGO10" s="65"/>
      <c r="TGP10" s="65"/>
      <c r="TGQ10" s="65"/>
      <c r="TGR10" s="65"/>
      <c r="TGS10" s="65"/>
      <c r="TGT10" s="65"/>
      <c r="TGU10" s="65"/>
      <c r="TGV10" s="65"/>
      <c r="TGW10" s="65"/>
      <c r="TGX10" s="65"/>
      <c r="TGY10" s="65"/>
      <c r="TGZ10" s="65"/>
      <c r="THA10" s="65"/>
      <c r="THB10" s="65"/>
      <c r="THC10" s="65"/>
      <c r="THD10" s="65"/>
      <c r="THE10" s="65"/>
      <c r="THF10" s="65"/>
      <c r="THG10" s="65"/>
      <c r="THH10" s="65"/>
      <c r="THI10" s="65"/>
      <c r="THJ10" s="65"/>
      <c r="THK10" s="65"/>
      <c r="THL10" s="65"/>
      <c r="THM10" s="65"/>
      <c r="THN10" s="65"/>
      <c r="THO10" s="65"/>
      <c r="THP10" s="65"/>
      <c r="THQ10" s="65"/>
      <c r="THR10" s="65"/>
      <c r="THS10" s="65"/>
      <c r="THT10" s="65"/>
      <c r="THU10" s="65"/>
      <c r="THV10" s="65"/>
      <c r="THW10" s="65"/>
      <c r="THX10" s="65"/>
      <c r="THY10" s="65"/>
      <c r="THZ10" s="65"/>
      <c r="TIA10" s="65"/>
      <c r="TIB10" s="65"/>
      <c r="TIC10" s="65"/>
      <c r="TID10" s="65"/>
      <c r="TIE10" s="65"/>
      <c r="TIF10" s="65"/>
      <c r="TIG10" s="65"/>
      <c r="TIH10" s="65"/>
      <c r="TII10" s="65"/>
      <c r="TIJ10" s="65"/>
      <c r="TIK10" s="65"/>
      <c r="TIL10" s="65"/>
      <c r="TIM10" s="65"/>
      <c r="TIN10" s="65"/>
      <c r="TIO10" s="65"/>
      <c r="TIP10" s="65"/>
      <c r="TIQ10" s="65"/>
      <c r="TIR10" s="65"/>
      <c r="TIS10" s="65"/>
      <c r="TIT10" s="65"/>
      <c r="TIU10" s="65"/>
      <c r="TIV10" s="65"/>
      <c r="TIW10" s="65"/>
      <c r="TIX10" s="65"/>
      <c r="TIY10" s="65"/>
      <c r="TIZ10" s="65"/>
      <c r="TJA10" s="65"/>
      <c r="TJB10" s="65"/>
      <c r="TJC10" s="65"/>
      <c r="TJD10" s="65"/>
      <c r="TJE10" s="65"/>
      <c r="TJF10" s="65"/>
      <c r="TJG10" s="65"/>
      <c r="TJH10" s="65"/>
      <c r="TJI10" s="65"/>
      <c r="TJJ10" s="65"/>
      <c r="TJK10" s="65"/>
      <c r="TJL10" s="65"/>
      <c r="TJM10" s="65"/>
      <c r="TJN10" s="65"/>
      <c r="TJO10" s="65"/>
      <c r="TJP10" s="65"/>
      <c r="TJQ10" s="65"/>
      <c r="TJR10" s="65"/>
      <c r="TJS10" s="65"/>
      <c r="TJT10" s="65"/>
      <c r="TJU10" s="65"/>
      <c r="TJV10" s="65"/>
      <c r="TJW10" s="65"/>
      <c r="TJX10" s="65"/>
      <c r="TJY10" s="65"/>
      <c r="TJZ10" s="65"/>
      <c r="TKA10" s="65"/>
      <c r="TKB10" s="65"/>
      <c r="TKC10" s="65"/>
      <c r="TKD10" s="65"/>
      <c r="TKE10" s="65"/>
      <c r="TKF10" s="65"/>
      <c r="TKG10" s="65"/>
      <c r="TKH10" s="65"/>
      <c r="TKI10" s="65"/>
      <c r="TKJ10" s="65"/>
      <c r="TKK10" s="65"/>
      <c r="TKL10" s="65"/>
      <c r="TKM10" s="65"/>
      <c r="TKN10" s="65"/>
      <c r="TKO10" s="65"/>
      <c r="TKP10" s="65"/>
      <c r="TKQ10" s="65"/>
      <c r="TKR10" s="65"/>
      <c r="TKS10" s="65"/>
      <c r="TKT10" s="65"/>
      <c r="TKU10" s="65"/>
      <c r="TKV10" s="65"/>
      <c r="TKW10" s="65"/>
      <c r="TKX10" s="65"/>
      <c r="TKY10" s="65"/>
      <c r="TKZ10" s="65"/>
      <c r="TLA10" s="65"/>
      <c r="TLB10" s="65"/>
      <c r="TLC10" s="65"/>
      <c r="TLD10" s="65"/>
      <c r="TLE10" s="65"/>
      <c r="TLF10" s="65"/>
      <c r="TLG10" s="65"/>
      <c r="TLH10" s="65"/>
      <c r="TLI10" s="65"/>
      <c r="TLJ10" s="65"/>
      <c r="TLK10" s="65"/>
      <c r="TLL10" s="65"/>
      <c r="TLM10" s="65"/>
      <c r="TLN10" s="65"/>
      <c r="TLO10" s="65"/>
      <c r="TLP10" s="65"/>
      <c r="TLQ10" s="65"/>
      <c r="TLR10" s="65"/>
      <c r="TLS10" s="65"/>
      <c r="TLT10" s="65"/>
      <c r="TLU10" s="65"/>
      <c r="TLV10" s="65"/>
      <c r="TLW10" s="65"/>
      <c r="TLX10" s="65"/>
      <c r="TLY10" s="65"/>
      <c r="TLZ10" s="65"/>
      <c r="TMA10" s="65"/>
      <c r="TMB10" s="65"/>
      <c r="TMC10" s="65"/>
      <c r="TMD10" s="65"/>
      <c r="TME10" s="65"/>
      <c r="TMF10" s="65"/>
      <c r="TMG10" s="65"/>
      <c r="TMH10" s="65"/>
      <c r="TMI10" s="65"/>
      <c r="TMJ10" s="65"/>
      <c r="TMK10" s="65"/>
      <c r="TML10" s="65"/>
      <c r="TMM10" s="65"/>
      <c r="TMN10" s="65"/>
      <c r="TMO10" s="65"/>
      <c r="TMP10" s="65"/>
      <c r="TMQ10" s="65"/>
      <c r="TMR10" s="65"/>
      <c r="TMS10" s="65"/>
      <c r="TMT10" s="65"/>
      <c r="TMU10" s="65"/>
      <c r="TMV10" s="65"/>
      <c r="TMW10" s="65"/>
      <c r="TMX10" s="65"/>
      <c r="TMY10" s="65"/>
      <c r="TMZ10" s="65"/>
      <c r="TNA10" s="65"/>
      <c r="TNB10" s="65"/>
      <c r="TNC10" s="65"/>
      <c r="TND10" s="65"/>
      <c r="TNE10" s="65"/>
      <c r="TNF10" s="65"/>
      <c r="TNG10" s="65"/>
      <c r="TNH10" s="65"/>
      <c r="TNI10" s="65"/>
      <c r="TNJ10" s="65"/>
      <c r="TNK10" s="65"/>
      <c r="TNL10" s="65"/>
      <c r="TNM10" s="65"/>
      <c r="TNN10" s="65"/>
      <c r="TNO10" s="65"/>
      <c r="TNP10" s="65"/>
      <c r="TNQ10" s="65"/>
      <c r="TNR10" s="65"/>
      <c r="TNS10" s="65"/>
      <c r="TNT10" s="65"/>
      <c r="TNU10" s="65"/>
      <c r="TNV10" s="65"/>
      <c r="TNW10" s="65"/>
      <c r="TNX10" s="65"/>
      <c r="TNY10" s="65"/>
      <c r="TNZ10" s="65"/>
      <c r="TOA10" s="65"/>
      <c r="TOB10" s="65"/>
      <c r="TOC10" s="65"/>
      <c r="TOD10" s="65"/>
      <c r="TOE10" s="65"/>
      <c r="TOF10" s="65"/>
      <c r="TOG10" s="65"/>
      <c r="TOH10" s="65"/>
      <c r="TOI10" s="65"/>
      <c r="TOJ10" s="65"/>
      <c r="TOK10" s="65"/>
      <c r="TOL10" s="65"/>
      <c r="TOM10" s="65"/>
      <c r="TON10" s="65"/>
      <c r="TOO10" s="65"/>
      <c r="TOP10" s="65"/>
      <c r="TOQ10" s="65"/>
      <c r="TOR10" s="65"/>
      <c r="TOS10" s="65"/>
      <c r="TOT10" s="65"/>
      <c r="TOU10" s="65"/>
      <c r="TOV10" s="65"/>
      <c r="TOW10" s="65"/>
      <c r="TOX10" s="65"/>
      <c r="TOY10" s="65"/>
      <c r="TOZ10" s="65"/>
      <c r="TPA10" s="65"/>
      <c r="TPB10" s="65"/>
      <c r="TPC10" s="65"/>
      <c r="TPD10" s="65"/>
      <c r="TPE10" s="65"/>
      <c r="TPF10" s="65"/>
      <c r="TPG10" s="65"/>
      <c r="TPH10" s="65"/>
      <c r="TPI10" s="65"/>
      <c r="TPJ10" s="65"/>
      <c r="TPK10" s="65"/>
      <c r="TPL10" s="65"/>
      <c r="TPM10" s="65"/>
      <c r="TPN10" s="65"/>
      <c r="TPO10" s="65"/>
      <c r="TPP10" s="65"/>
      <c r="TPQ10" s="65"/>
      <c r="TPR10" s="65"/>
      <c r="TPS10" s="65"/>
      <c r="TPT10" s="65"/>
      <c r="TPU10" s="65"/>
      <c r="TPV10" s="65"/>
      <c r="TPW10" s="65"/>
      <c r="TPX10" s="65"/>
      <c r="TPY10" s="65"/>
      <c r="TPZ10" s="65"/>
      <c r="TQA10" s="65"/>
      <c r="TQB10" s="65"/>
      <c r="TQC10" s="65"/>
      <c r="TQD10" s="65"/>
      <c r="TQE10" s="65"/>
      <c r="TQF10" s="65"/>
      <c r="TQG10" s="65"/>
      <c r="TQH10" s="65"/>
      <c r="TQI10" s="65"/>
      <c r="TQJ10" s="65"/>
      <c r="TQK10" s="65"/>
      <c r="TQL10" s="65"/>
      <c r="TQM10" s="65"/>
      <c r="TQN10" s="65"/>
      <c r="TQO10" s="65"/>
      <c r="TQP10" s="65"/>
      <c r="TQQ10" s="65"/>
      <c r="TQR10" s="65"/>
      <c r="TQS10" s="65"/>
      <c r="TQT10" s="65"/>
      <c r="TQU10" s="65"/>
      <c r="TQV10" s="65"/>
      <c r="TQW10" s="65"/>
      <c r="TQX10" s="65"/>
      <c r="TQY10" s="65"/>
      <c r="TQZ10" s="65"/>
      <c r="TRA10" s="65"/>
      <c r="TRB10" s="65"/>
      <c r="TRC10" s="65"/>
      <c r="TRD10" s="65"/>
      <c r="TRE10" s="65"/>
      <c r="TRF10" s="65"/>
      <c r="TRG10" s="65"/>
      <c r="TRH10" s="65"/>
      <c r="TRI10" s="65"/>
      <c r="TRJ10" s="65"/>
      <c r="TRK10" s="65"/>
      <c r="TRL10" s="65"/>
      <c r="TRM10" s="65"/>
      <c r="TRN10" s="65"/>
      <c r="TRO10" s="65"/>
      <c r="TRP10" s="65"/>
      <c r="TRQ10" s="65"/>
      <c r="TRR10" s="65"/>
      <c r="TRS10" s="65"/>
      <c r="TRT10" s="65"/>
      <c r="TRU10" s="65"/>
      <c r="TRV10" s="65"/>
      <c r="TRW10" s="65"/>
      <c r="TRX10" s="65"/>
      <c r="TRY10" s="65"/>
      <c r="TRZ10" s="65"/>
      <c r="TSA10" s="65"/>
      <c r="TSB10" s="65"/>
      <c r="TSC10" s="65"/>
      <c r="TSD10" s="65"/>
      <c r="TSE10" s="65"/>
      <c r="TSF10" s="65"/>
      <c r="TSG10" s="65"/>
      <c r="TSH10" s="65"/>
      <c r="TSI10" s="65"/>
      <c r="TSJ10" s="65"/>
      <c r="TSK10" s="65"/>
      <c r="TSL10" s="65"/>
      <c r="TSM10" s="65"/>
      <c r="TSN10" s="65"/>
      <c r="TSO10" s="65"/>
      <c r="TSP10" s="65"/>
      <c r="TSQ10" s="65"/>
      <c r="TSR10" s="65"/>
      <c r="TSS10" s="65"/>
      <c r="TST10" s="65"/>
      <c r="TSU10" s="65"/>
      <c r="TSV10" s="65"/>
      <c r="TSW10" s="65"/>
      <c r="TSX10" s="65"/>
      <c r="TSY10" s="65"/>
      <c r="TSZ10" s="65"/>
      <c r="TTA10" s="65"/>
      <c r="TTB10" s="65"/>
      <c r="TTC10" s="65"/>
      <c r="TTD10" s="65"/>
      <c r="TTE10" s="65"/>
      <c r="TTF10" s="65"/>
      <c r="TTG10" s="65"/>
      <c r="TTH10" s="65"/>
      <c r="TTI10" s="65"/>
      <c r="TTJ10" s="65"/>
      <c r="TTK10" s="65"/>
      <c r="TTL10" s="65"/>
      <c r="TTM10" s="65"/>
      <c r="TTN10" s="65"/>
      <c r="TTO10" s="65"/>
      <c r="TTP10" s="65"/>
      <c r="TTQ10" s="65"/>
      <c r="TTR10" s="65"/>
      <c r="TTS10" s="65"/>
      <c r="TTT10" s="65"/>
      <c r="TTU10" s="65"/>
      <c r="TTV10" s="65"/>
      <c r="TTW10" s="65"/>
      <c r="TTX10" s="65"/>
      <c r="TTY10" s="65"/>
      <c r="TTZ10" s="65"/>
      <c r="TUA10" s="65"/>
      <c r="TUB10" s="65"/>
      <c r="TUC10" s="65"/>
      <c r="TUD10" s="65"/>
      <c r="TUE10" s="65"/>
      <c r="TUF10" s="65"/>
      <c r="TUG10" s="65"/>
      <c r="TUH10" s="65"/>
      <c r="TUI10" s="65"/>
      <c r="TUJ10" s="65"/>
      <c r="TUK10" s="65"/>
      <c r="TUL10" s="65"/>
      <c r="TUM10" s="65"/>
      <c r="TUN10" s="65"/>
      <c r="TUO10" s="65"/>
      <c r="TUP10" s="65"/>
      <c r="TUQ10" s="65"/>
      <c r="TUR10" s="65"/>
      <c r="TUS10" s="65"/>
      <c r="TUT10" s="65"/>
      <c r="TUU10" s="65"/>
      <c r="TUV10" s="65"/>
      <c r="TUW10" s="65"/>
      <c r="TUX10" s="65"/>
      <c r="TUY10" s="65"/>
      <c r="TUZ10" s="65"/>
      <c r="TVA10" s="65"/>
      <c r="TVB10" s="65"/>
      <c r="TVC10" s="65"/>
      <c r="TVD10" s="65"/>
      <c r="TVE10" s="65"/>
      <c r="TVF10" s="65"/>
      <c r="TVG10" s="65"/>
      <c r="TVH10" s="65"/>
      <c r="TVI10" s="65"/>
      <c r="TVJ10" s="65"/>
      <c r="TVK10" s="65"/>
      <c r="TVL10" s="65"/>
      <c r="TVM10" s="65"/>
      <c r="TVN10" s="65"/>
      <c r="TVO10" s="65"/>
      <c r="TVP10" s="65"/>
      <c r="TVQ10" s="65"/>
      <c r="TVR10" s="65"/>
      <c r="TVS10" s="65"/>
      <c r="TVT10" s="65"/>
      <c r="TVU10" s="65"/>
      <c r="TVV10" s="65"/>
      <c r="TVW10" s="65"/>
      <c r="TVX10" s="65"/>
      <c r="TVY10" s="65"/>
      <c r="TVZ10" s="65"/>
      <c r="TWA10" s="65"/>
      <c r="TWB10" s="65"/>
      <c r="TWC10" s="65"/>
      <c r="TWD10" s="65"/>
      <c r="TWE10" s="65"/>
      <c r="TWF10" s="65"/>
      <c r="TWG10" s="65"/>
      <c r="TWH10" s="65"/>
      <c r="TWI10" s="65"/>
      <c r="TWJ10" s="65"/>
      <c r="TWK10" s="65"/>
      <c r="TWL10" s="65"/>
      <c r="TWM10" s="65"/>
      <c r="TWN10" s="65"/>
      <c r="TWO10" s="65"/>
      <c r="TWP10" s="65"/>
      <c r="TWQ10" s="65"/>
      <c r="TWR10" s="65"/>
      <c r="TWS10" s="65"/>
      <c r="TWT10" s="65"/>
      <c r="TWU10" s="65"/>
      <c r="TWV10" s="65"/>
      <c r="TWW10" s="65"/>
      <c r="TWX10" s="65"/>
      <c r="TWY10" s="65"/>
      <c r="TWZ10" s="65"/>
      <c r="TXA10" s="65"/>
      <c r="TXB10" s="65"/>
      <c r="TXC10" s="65"/>
      <c r="TXD10" s="65"/>
      <c r="TXE10" s="65"/>
      <c r="TXF10" s="65"/>
      <c r="TXG10" s="65"/>
      <c r="TXH10" s="65"/>
      <c r="TXI10" s="65"/>
      <c r="TXJ10" s="65"/>
      <c r="TXK10" s="65"/>
      <c r="TXL10" s="65"/>
      <c r="TXM10" s="65"/>
      <c r="TXN10" s="65"/>
      <c r="TXO10" s="65"/>
      <c r="TXP10" s="65"/>
      <c r="TXQ10" s="65"/>
      <c r="TXR10" s="65"/>
      <c r="TXS10" s="65"/>
      <c r="TXT10" s="65"/>
      <c r="TXU10" s="65"/>
      <c r="TXV10" s="65"/>
      <c r="TXW10" s="65"/>
      <c r="TXX10" s="65"/>
      <c r="TXY10" s="65"/>
      <c r="TXZ10" s="65"/>
      <c r="TYA10" s="65"/>
      <c r="TYB10" s="65"/>
      <c r="TYC10" s="65"/>
      <c r="TYD10" s="65"/>
      <c r="TYE10" s="65"/>
      <c r="TYF10" s="65"/>
      <c r="TYG10" s="65"/>
      <c r="TYH10" s="65"/>
      <c r="TYI10" s="65"/>
      <c r="TYJ10" s="65"/>
      <c r="TYK10" s="65"/>
      <c r="TYL10" s="65"/>
      <c r="TYM10" s="65"/>
      <c r="TYN10" s="65"/>
      <c r="TYO10" s="65"/>
      <c r="TYP10" s="65"/>
      <c r="TYQ10" s="65"/>
      <c r="TYR10" s="65"/>
      <c r="TYS10" s="65"/>
      <c r="TYT10" s="65"/>
      <c r="TYU10" s="65"/>
      <c r="TYV10" s="65"/>
      <c r="TYW10" s="65"/>
      <c r="TYX10" s="65"/>
      <c r="TYY10" s="65"/>
      <c r="TYZ10" s="65"/>
      <c r="TZA10" s="65"/>
      <c r="TZB10" s="65"/>
      <c r="TZC10" s="65"/>
      <c r="TZD10" s="65"/>
      <c r="TZE10" s="65"/>
      <c r="TZF10" s="65"/>
      <c r="TZG10" s="65"/>
      <c r="TZH10" s="65"/>
      <c r="TZI10" s="65"/>
      <c r="TZJ10" s="65"/>
      <c r="TZK10" s="65"/>
      <c r="TZL10" s="65"/>
      <c r="TZM10" s="65"/>
      <c r="TZN10" s="65"/>
      <c r="TZO10" s="65"/>
      <c r="TZP10" s="65"/>
      <c r="TZQ10" s="65"/>
      <c r="TZR10" s="65"/>
      <c r="TZS10" s="65"/>
      <c r="TZT10" s="65"/>
      <c r="TZU10" s="65"/>
      <c r="TZV10" s="65"/>
      <c r="TZW10" s="65"/>
      <c r="TZX10" s="65"/>
      <c r="TZY10" s="65"/>
      <c r="TZZ10" s="65"/>
      <c r="UAA10" s="65"/>
      <c r="UAB10" s="65"/>
      <c r="UAC10" s="65"/>
      <c r="UAD10" s="65"/>
      <c r="UAE10" s="65"/>
      <c r="UAF10" s="65"/>
      <c r="UAG10" s="65"/>
      <c r="UAH10" s="65"/>
      <c r="UAI10" s="65"/>
      <c r="UAJ10" s="65"/>
      <c r="UAK10" s="65"/>
      <c r="UAL10" s="65"/>
      <c r="UAM10" s="65"/>
      <c r="UAN10" s="65"/>
      <c r="UAO10" s="65"/>
      <c r="UAP10" s="65"/>
      <c r="UAQ10" s="65"/>
      <c r="UAR10" s="65"/>
      <c r="UAS10" s="65"/>
      <c r="UAT10" s="65"/>
      <c r="UAU10" s="65"/>
      <c r="UAV10" s="65"/>
      <c r="UAW10" s="65"/>
      <c r="UAX10" s="65"/>
      <c r="UAY10" s="65"/>
      <c r="UAZ10" s="65"/>
      <c r="UBA10" s="65"/>
      <c r="UBB10" s="65"/>
      <c r="UBC10" s="65"/>
      <c r="UBD10" s="65"/>
      <c r="UBE10" s="65"/>
      <c r="UBF10" s="65"/>
      <c r="UBG10" s="65"/>
      <c r="UBH10" s="65"/>
      <c r="UBI10" s="65"/>
      <c r="UBJ10" s="65"/>
      <c r="UBK10" s="65"/>
      <c r="UBL10" s="65"/>
      <c r="UBM10" s="65"/>
      <c r="UBN10" s="65"/>
      <c r="UBO10" s="65"/>
      <c r="UBP10" s="65"/>
      <c r="UBQ10" s="65"/>
      <c r="UBR10" s="65"/>
      <c r="UBS10" s="65"/>
      <c r="UBT10" s="65"/>
      <c r="UBU10" s="65"/>
      <c r="UBV10" s="65"/>
      <c r="UBW10" s="65"/>
      <c r="UBX10" s="65"/>
      <c r="UBY10" s="65"/>
      <c r="UBZ10" s="65"/>
      <c r="UCA10" s="65"/>
      <c r="UCB10" s="65"/>
      <c r="UCC10" s="65"/>
      <c r="UCD10" s="65"/>
      <c r="UCE10" s="65"/>
      <c r="UCF10" s="65"/>
      <c r="UCG10" s="65"/>
      <c r="UCH10" s="65"/>
      <c r="UCI10" s="65"/>
      <c r="UCJ10" s="65"/>
      <c r="UCK10" s="65"/>
      <c r="UCL10" s="65"/>
      <c r="UCM10" s="65"/>
      <c r="UCN10" s="65"/>
      <c r="UCO10" s="65"/>
      <c r="UCP10" s="65"/>
      <c r="UCQ10" s="65"/>
      <c r="UCR10" s="65"/>
      <c r="UCS10" s="65"/>
      <c r="UCT10" s="65"/>
      <c r="UCU10" s="65"/>
      <c r="UCV10" s="65"/>
      <c r="UCW10" s="65"/>
      <c r="UCX10" s="65"/>
      <c r="UCY10" s="65"/>
      <c r="UCZ10" s="65"/>
      <c r="UDA10" s="65"/>
      <c r="UDB10" s="65"/>
      <c r="UDC10" s="65"/>
      <c r="UDD10" s="65"/>
      <c r="UDE10" s="65"/>
      <c r="UDF10" s="65"/>
      <c r="UDG10" s="65"/>
      <c r="UDH10" s="65"/>
      <c r="UDI10" s="65"/>
      <c r="UDJ10" s="65"/>
      <c r="UDK10" s="65"/>
      <c r="UDL10" s="65"/>
      <c r="UDM10" s="65"/>
      <c r="UDN10" s="65"/>
      <c r="UDO10" s="65"/>
      <c r="UDP10" s="65"/>
      <c r="UDQ10" s="65"/>
      <c r="UDR10" s="65"/>
      <c r="UDS10" s="65"/>
      <c r="UDT10" s="65"/>
      <c r="UDU10" s="65"/>
      <c r="UDV10" s="65"/>
      <c r="UDW10" s="65"/>
      <c r="UDX10" s="65"/>
      <c r="UDY10" s="65"/>
      <c r="UDZ10" s="65"/>
      <c r="UEA10" s="65"/>
      <c r="UEB10" s="65"/>
      <c r="UEC10" s="65"/>
      <c r="UED10" s="65"/>
      <c r="UEE10" s="65"/>
      <c r="UEF10" s="65"/>
      <c r="UEG10" s="65"/>
      <c r="UEH10" s="65"/>
      <c r="UEI10" s="65"/>
      <c r="UEJ10" s="65"/>
      <c r="UEK10" s="65"/>
      <c r="UEL10" s="65"/>
      <c r="UEM10" s="65"/>
      <c r="UEN10" s="65"/>
      <c r="UEO10" s="65"/>
      <c r="UEP10" s="65"/>
      <c r="UEQ10" s="65"/>
      <c r="UER10" s="65"/>
      <c r="UES10" s="65"/>
      <c r="UET10" s="65"/>
      <c r="UEU10" s="65"/>
      <c r="UEV10" s="65"/>
      <c r="UEW10" s="65"/>
      <c r="UEX10" s="65"/>
      <c r="UEY10" s="65"/>
      <c r="UEZ10" s="65"/>
      <c r="UFA10" s="65"/>
      <c r="UFB10" s="65"/>
      <c r="UFC10" s="65"/>
      <c r="UFD10" s="65"/>
      <c r="UFE10" s="65"/>
      <c r="UFF10" s="65"/>
      <c r="UFG10" s="65"/>
      <c r="UFH10" s="65"/>
      <c r="UFI10" s="65"/>
      <c r="UFJ10" s="65"/>
      <c r="UFK10" s="65"/>
      <c r="UFL10" s="65"/>
      <c r="UFM10" s="65"/>
      <c r="UFN10" s="65"/>
      <c r="UFO10" s="65"/>
      <c r="UFP10" s="65"/>
      <c r="UFQ10" s="65"/>
      <c r="UFR10" s="65"/>
      <c r="UFS10" s="65"/>
      <c r="UFT10" s="65"/>
      <c r="UFU10" s="65"/>
      <c r="UFV10" s="65"/>
      <c r="UFW10" s="65"/>
      <c r="UFX10" s="65"/>
      <c r="UFY10" s="65"/>
      <c r="UFZ10" s="65"/>
      <c r="UGA10" s="65"/>
      <c r="UGB10" s="65"/>
      <c r="UGC10" s="65"/>
      <c r="UGD10" s="65"/>
      <c r="UGE10" s="65"/>
      <c r="UGF10" s="65"/>
      <c r="UGG10" s="65"/>
      <c r="UGH10" s="65"/>
      <c r="UGI10" s="65"/>
      <c r="UGJ10" s="65"/>
      <c r="UGK10" s="65"/>
      <c r="UGL10" s="65"/>
      <c r="UGM10" s="65"/>
      <c r="UGN10" s="65"/>
      <c r="UGO10" s="65"/>
      <c r="UGP10" s="65"/>
      <c r="UGQ10" s="65"/>
      <c r="UGR10" s="65"/>
      <c r="UGS10" s="65"/>
      <c r="UGT10" s="65"/>
      <c r="UGU10" s="65"/>
      <c r="UGV10" s="65"/>
      <c r="UGW10" s="65"/>
      <c r="UGX10" s="65"/>
      <c r="UGY10" s="65"/>
      <c r="UGZ10" s="65"/>
      <c r="UHA10" s="65"/>
      <c r="UHB10" s="65"/>
      <c r="UHC10" s="65"/>
      <c r="UHD10" s="65"/>
      <c r="UHE10" s="65"/>
      <c r="UHF10" s="65"/>
      <c r="UHG10" s="65"/>
      <c r="UHH10" s="65"/>
      <c r="UHI10" s="65"/>
      <c r="UHJ10" s="65"/>
      <c r="UHK10" s="65"/>
      <c r="UHL10" s="65"/>
      <c r="UHM10" s="65"/>
      <c r="UHN10" s="65"/>
      <c r="UHO10" s="65"/>
      <c r="UHP10" s="65"/>
      <c r="UHQ10" s="65"/>
      <c r="UHR10" s="65"/>
      <c r="UHS10" s="65"/>
      <c r="UHT10" s="65"/>
      <c r="UHU10" s="65"/>
      <c r="UHV10" s="65"/>
      <c r="UHW10" s="65"/>
      <c r="UHX10" s="65"/>
      <c r="UHY10" s="65"/>
      <c r="UHZ10" s="65"/>
      <c r="UIA10" s="65"/>
      <c r="UIB10" s="65"/>
      <c r="UIC10" s="65"/>
      <c r="UID10" s="65"/>
      <c r="UIE10" s="65"/>
      <c r="UIF10" s="65"/>
      <c r="UIG10" s="65"/>
      <c r="UIH10" s="65"/>
      <c r="UII10" s="65"/>
      <c r="UIJ10" s="65"/>
      <c r="UIK10" s="65"/>
      <c r="UIL10" s="65"/>
      <c r="UIM10" s="65"/>
      <c r="UIN10" s="65"/>
      <c r="UIO10" s="65"/>
      <c r="UIP10" s="65"/>
      <c r="UIQ10" s="65"/>
      <c r="UIR10" s="65"/>
      <c r="UIS10" s="65"/>
      <c r="UIT10" s="65"/>
      <c r="UIU10" s="65"/>
      <c r="UIV10" s="65"/>
      <c r="UIW10" s="65"/>
      <c r="UIX10" s="65"/>
      <c r="UIY10" s="65"/>
      <c r="UIZ10" s="65"/>
      <c r="UJA10" s="65"/>
      <c r="UJB10" s="65"/>
      <c r="UJC10" s="65"/>
      <c r="UJD10" s="65"/>
      <c r="UJE10" s="65"/>
      <c r="UJF10" s="65"/>
      <c r="UJG10" s="65"/>
      <c r="UJH10" s="65"/>
      <c r="UJI10" s="65"/>
      <c r="UJJ10" s="65"/>
      <c r="UJK10" s="65"/>
      <c r="UJL10" s="65"/>
      <c r="UJM10" s="65"/>
      <c r="UJN10" s="65"/>
      <c r="UJO10" s="65"/>
      <c r="UJP10" s="65"/>
      <c r="UJQ10" s="65"/>
      <c r="UJR10" s="65"/>
      <c r="UJS10" s="65"/>
      <c r="UJT10" s="65"/>
      <c r="UJU10" s="65"/>
      <c r="UJV10" s="65"/>
      <c r="UJW10" s="65"/>
      <c r="UJX10" s="65"/>
      <c r="UJY10" s="65"/>
      <c r="UJZ10" s="65"/>
      <c r="UKA10" s="65"/>
      <c r="UKB10" s="65"/>
      <c r="UKC10" s="65"/>
      <c r="UKD10" s="65"/>
      <c r="UKE10" s="65"/>
      <c r="UKF10" s="65"/>
      <c r="UKG10" s="65"/>
      <c r="UKH10" s="65"/>
      <c r="UKI10" s="65"/>
      <c r="UKJ10" s="65"/>
      <c r="UKK10" s="65"/>
      <c r="UKL10" s="65"/>
      <c r="UKM10" s="65"/>
      <c r="UKN10" s="65"/>
      <c r="UKO10" s="65"/>
      <c r="UKP10" s="65"/>
      <c r="UKQ10" s="65"/>
      <c r="UKR10" s="65"/>
      <c r="UKS10" s="65"/>
      <c r="UKT10" s="65"/>
      <c r="UKU10" s="65"/>
      <c r="UKV10" s="65"/>
      <c r="UKW10" s="65"/>
      <c r="UKX10" s="65"/>
      <c r="UKY10" s="65"/>
      <c r="UKZ10" s="65"/>
      <c r="ULA10" s="65"/>
      <c r="ULB10" s="65"/>
      <c r="ULC10" s="65"/>
      <c r="ULD10" s="65"/>
      <c r="ULE10" s="65"/>
      <c r="ULF10" s="65"/>
      <c r="ULG10" s="65"/>
      <c r="ULH10" s="65"/>
      <c r="ULI10" s="65"/>
      <c r="ULJ10" s="65"/>
      <c r="ULK10" s="65"/>
      <c r="ULL10" s="65"/>
      <c r="ULM10" s="65"/>
      <c r="ULN10" s="65"/>
      <c r="ULO10" s="65"/>
      <c r="ULP10" s="65"/>
      <c r="ULQ10" s="65"/>
      <c r="ULR10" s="65"/>
      <c r="ULS10" s="65"/>
      <c r="ULT10" s="65"/>
      <c r="ULU10" s="65"/>
      <c r="ULV10" s="65"/>
      <c r="ULW10" s="65"/>
      <c r="ULX10" s="65"/>
      <c r="ULY10" s="65"/>
      <c r="ULZ10" s="65"/>
      <c r="UMA10" s="65"/>
      <c r="UMB10" s="65"/>
      <c r="UMC10" s="65"/>
      <c r="UMD10" s="65"/>
      <c r="UME10" s="65"/>
      <c r="UMF10" s="65"/>
      <c r="UMG10" s="65"/>
      <c r="UMH10" s="65"/>
      <c r="UMI10" s="65"/>
      <c r="UMJ10" s="65"/>
      <c r="UMK10" s="65"/>
      <c r="UML10" s="65"/>
      <c r="UMM10" s="65"/>
      <c r="UMN10" s="65"/>
      <c r="UMO10" s="65"/>
      <c r="UMP10" s="65"/>
      <c r="UMQ10" s="65"/>
      <c r="UMR10" s="65"/>
      <c r="UMS10" s="65"/>
      <c r="UMT10" s="65"/>
      <c r="UMU10" s="65"/>
      <c r="UMV10" s="65"/>
      <c r="UMW10" s="65"/>
      <c r="UMX10" s="65"/>
      <c r="UMY10" s="65"/>
      <c r="UMZ10" s="65"/>
      <c r="UNA10" s="65"/>
      <c r="UNB10" s="65"/>
      <c r="UNC10" s="65"/>
      <c r="UND10" s="65"/>
      <c r="UNE10" s="65"/>
      <c r="UNF10" s="65"/>
      <c r="UNG10" s="65"/>
      <c r="UNH10" s="65"/>
      <c r="UNI10" s="65"/>
      <c r="UNJ10" s="65"/>
      <c r="UNK10" s="65"/>
      <c r="UNL10" s="65"/>
      <c r="UNM10" s="65"/>
      <c r="UNN10" s="65"/>
      <c r="UNO10" s="65"/>
      <c r="UNP10" s="65"/>
      <c r="UNQ10" s="65"/>
      <c r="UNR10" s="65"/>
      <c r="UNS10" s="65"/>
      <c r="UNT10" s="65"/>
      <c r="UNU10" s="65"/>
      <c r="UNV10" s="65"/>
      <c r="UNW10" s="65"/>
      <c r="UNX10" s="65"/>
      <c r="UNY10" s="65"/>
      <c r="UNZ10" s="65"/>
      <c r="UOA10" s="65"/>
      <c r="UOB10" s="65"/>
      <c r="UOC10" s="65"/>
      <c r="UOD10" s="65"/>
      <c r="UOE10" s="65"/>
      <c r="UOF10" s="65"/>
      <c r="UOG10" s="65"/>
      <c r="UOH10" s="65"/>
      <c r="UOI10" s="65"/>
      <c r="UOJ10" s="65"/>
      <c r="UOK10" s="65"/>
      <c r="UOL10" s="65"/>
      <c r="UOM10" s="65"/>
      <c r="UON10" s="65"/>
      <c r="UOO10" s="65"/>
      <c r="UOP10" s="65"/>
      <c r="UOQ10" s="65"/>
      <c r="UOR10" s="65"/>
      <c r="UOS10" s="65"/>
      <c r="UOT10" s="65"/>
      <c r="UOU10" s="65"/>
      <c r="UOV10" s="65"/>
      <c r="UOW10" s="65"/>
      <c r="UOX10" s="65"/>
      <c r="UOY10" s="65"/>
      <c r="UOZ10" s="65"/>
      <c r="UPA10" s="65"/>
      <c r="UPB10" s="65"/>
      <c r="UPC10" s="65"/>
      <c r="UPD10" s="65"/>
      <c r="UPE10" s="65"/>
      <c r="UPF10" s="65"/>
      <c r="UPG10" s="65"/>
      <c r="UPH10" s="65"/>
      <c r="UPI10" s="65"/>
      <c r="UPJ10" s="65"/>
      <c r="UPK10" s="65"/>
      <c r="UPL10" s="65"/>
      <c r="UPM10" s="65"/>
      <c r="UPN10" s="65"/>
      <c r="UPO10" s="65"/>
      <c r="UPP10" s="65"/>
      <c r="UPQ10" s="65"/>
      <c r="UPR10" s="65"/>
      <c r="UPS10" s="65"/>
      <c r="UPT10" s="65"/>
      <c r="UPU10" s="65"/>
      <c r="UPV10" s="65"/>
      <c r="UPW10" s="65"/>
      <c r="UPX10" s="65"/>
      <c r="UPY10" s="65"/>
      <c r="UPZ10" s="65"/>
      <c r="UQA10" s="65"/>
      <c r="UQB10" s="65"/>
      <c r="UQC10" s="65"/>
      <c r="UQD10" s="65"/>
      <c r="UQE10" s="65"/>
      <c r="UQF10" s="65"/>
      <c r="UQG10" s="65"/>
      <c r="UQH10" s="65"/>
      <c r="UQI10" s="65"/>
      <c r="UQJ10" s="65"/>
      <c r="UQK10" s="65"/>
      <c r="UQL10" s="65"/>
      <c r="UQM10" s="65"/>
      <c r="UQN10" s="65"/>
      <c r="UQO10" s="65"/>
      <c r="UQP10" s="65"/>
      <c r="UQQ10" s="65"/>
      <c r="UQR10" s="65"/>
      <c r="UQS10" s="65"/>
      <c r="UQT10" s="65"/>
      <c r="UQU10" s="65"/>
      <c r="UQV10" s="65"/>
      <c r="UQW10" s="65"/>
      <c r="UQX10" s="65"/>
      <c r="UQY10" s="65"/>
      <c r="UQZ10" s="65"/>
      <c r="URA10" s="65"/>
      <c r="URB10" s="65"/>
      <c r="URC10" s="65"/>
      <c r="URD10" s="65"/>
      <c r="URE10" s="65"/>
      <c r="URF10" s="65"/>
      <c r="URG10" s="65"/>
      <c r="URH10" s="65"/>
      <c r="URI10" s="65"/>
      <c r="URJ10" s="65"/>
      <c r="URK10" s="65"/>
      <c r="URL10" s="65"/>
      <c r="URM10" s="65"/>
      <c r="URN10" s="65"/>
      <c r="URO10" s="65"/>
      <c r="URP10" s="65"/>
      <c r="URQ10" s="65"/>
      <c r="URR10" s="65"/>
      <c r="URS10" s="65"/>
      <c r="URT10" s="65"/>
      <c r="URU10" s="65"/>
      <c r="URV10" s="65"/>
      <c r="URW10" s="65"/>
      <c r="URX10" s="65"/>
      <c r="URY10" s="65"/>
      <c r="URZ10" s="65"/>
      <c r="USA10" s="65"/>
      <c r="USB10" s="65"/>
      <c r="USC10" s="65"/>
      <c r="USD10" s="65"/>
      <c r="USE10" s="65"/>
      <c r="USF10" s="65"/>
      <c r="USG10" s="65"/>
      <c r="USH10" s="65"/>
      <c r="USI10" s="65"/>
      <c r="USJ10" s="65"/>
      <c r="USK10" s="65"/>
      <c r="USL10" s="65"/>
      <c r="USM10" s="65"/>
      <c r="USN10" s="65"/>
      <c r="USO10" s="65"/>
      <c r="USP10" s="65"/>
      <c r="USQ10" s="65"/>
      <c r="USR10" s="65"/>
      <c r="USS10" s="65"/>
      <c r="UST10" s="65"/>
      <c r="USU10" s="65"/>
      <c r="USV10" s="65"/>
      <c r="USW10" s="65"/>
      <c r="USX10" s="65"/>
      <c r="USY10" s="65"/>
      <c r="USZ10" s="65"/>
      <c r="UTA10" s="65"/>
      <c r="UTB10" s="65"/>
      <c r="UTC10" s="65"/>
      <c r="UTD10" s="65"/>
      <c r="UTE10" s="65"/>
      <c r="UTF10" s="65"/>
      <c r="UTG10" s="65"/>
      <c r="UTH10" s="65"/>
      <c r="UTI10" s="65"/>
      <c r="UTJ10" s="65"/>
      <c r="UTK10" s="65"/>
      <c r="UTL10" s="65"/>
      <c r="UTM10" s="65"/>
      <c r="UTN10" s="65"/>
      <c r="UTO10" s="65"/>
      <c r="UTP10" s="65"/>
      <c r="UTQ10" s="65"/>
      <c r="UTR10" s="65"/>
      <c r="UTS10" s="65"/>
      <c r="UTT10" s="65"/>
      <c r="UTU10" s="65"/>
      <c r="UTV10" s="65"/>
      <c r="UTW10" s="65"/>
      <c r="UTX10" s="65"/>
      <c r="UTY10" s="65"/>
      <c r="UTZ10" s="65"/>
      <c r="UUA10" s="65"/>
      <c r="UUB10" s="65"/>
      <c r="UUC10" s="65"/>
      <c r="UUD10" s="65"/>
      <c r="UUE10" s="65"/>
      <c r="UUF10" s="65"/>
      <c r="UUG10" s="65"/>
      <c r="UUH10" s="65"/>
      <c r="UUI10" s="65"/>
      <c r="UUJ10" s="65"/>
      <c r="UUK10" s="65"/>
      <c r="UUL10" s="65"/>
      <c r="UUM10" s="65"/>
      <c r="UUN10" s="65"/>
      <c r="UUO10" s="65"/>
      <c r="UUP10" s="65"/>
      <c r="UUQ10" s="65"/>
      <c r="UUR10" s="65"/>
      <c r="UUS10" s="65"/>
      <c r="UUT10" s="65"/>
      <c r="UUU10" s="65"/>
      <c r="UUV10" s="65"/>
      <c r="UUW10" s="65"/>
      <c r="UUX10" s="65"/>
      <c r="UUY10" s="65"/>
      <c r="UUZ10" s="65"/>
      <c r="UVA10" s="65"/>
      <c r="UVB10" s="65"/>
      <c r="UVC10" s="65"/>
      <c r="UVD10" s="65"/>
      <c r="UVE10" s="65"/>
      <c r="UVF10" s="65"/>
      <c r="UVG10" s="65"/>
      <c r="UVH10" s="65"/>
      <c r="UVI10" s="65"/>
      <c r="UVJ10" s="65"/>
      <c r="UVK10" s="65"/>
      <c r="UVL10" s="65"/>
      <c r="UVM10" s="65"/>
      <c r="UVN10" s="65"/>
      <c r="UVO10" s="65"/>
      <c r="UVP10" s="65"/>
      <c r="UVQ10" s="65"/>
      <c r="UVR10" s="65"/>
      <c r="UVS10" s="65"/>
      <c r="UVT10" s="65"/>
      <c r="UVU10" s="65"/>
      <c r="UVV10" s="65"/>
      <c r="UVW10" s="65"/>
      <c r="UVX10" s="65"/>
      <c r="UVY10" s="65"/>
      <c r="UVZ10" s="65"/>
      <c r="UWA10" s="65"/>
      <c r="UWB10" s="65"/>
      <c r="UWC10" s="65"/>
      <c r="UWD10" s="65"/>
      <c r="UWE10" s="65"/>
      <c r="UWF10" s="65"/>
      <c r="UWG10" s="65"/>
      <c r="UWH10" s="65"/>
      <c r="UWI10" s="65"/>
      <c r="UWJ10" s="65"/>
      <c r="UWK10" s="65"/>
      <c r="UWL10" s="65"/>
      <c r="UWM10" s="65"/>
      <c r="UWN10" s="65"/>
      <c r="UWO10" s="65"/>
      <c r="UWP10" s="65"/>
      <c r="UWQ10" s="65"/>
      <c r="UWR10" s="65"/>
      <c r="UWS10" s="65"/>
      <c r="UWT10" s="65"/>
      <c r="UWU10" s="65"/>
      <c r="UWV10" s="65"/>
      <c r="UWW10" s="65"/>
      <c r="UWX10" s="65"/>
      <c r="UWY10" s="65"/>
      <c r="UWZ10" s="65"/>
      <c r="UXA10" s="65"/>
      <c r="UXB10" s="65"/>
      <c r="UXC10" s="65"/>
      <c r="UXD10" s="65"/>
      <c r="UXE10" s="65"/>
      <c r="UXF10" s="65"/>
      <c r="UXG10" s="65"/>
      <c r="UXH10" s="65"/>
      <c r="UXI10" s="65"/>
      <c r="UXJ10" s="65"/>
      <c r="UXK10" s="65"/>
      <c r="UXL10" s="65"/>
      <c r="UXM10" s="65"/>
      <c r="UXN10" s="65"/>
      <c r="UXO10" s="65"/>
      <c r="UXP10" s="65"/>
      <c r="UXQ10" s="65"/>
      <c r="UXR10" s="65"/>
      <c r="UXS10" s="65"/>
      <c r="UXT10" s="65"/>
      <c r="UXU10" s="65"/>
      <c r="UXV10" s="65"/>
      <c r="UXW10" s="65"/>
      <c r="UXX10" s="65"/>
      <c r="UXY10" s="65"/>
      <c r="UXZ10" s="65"/>
      <c r="UYA10" s="65"/>
      <c r="UYB10" s="65"/>
      <c r="UYC10" s="65"/>
      <c r="UYD10" s="65"/>
      <c r="UYE10" s="65"/>
      <c r="UYF10" s="65"/>
      <c r="UYG10" s="65"/>
      <c r="UYH10" s="65"/>
      <c r="UYI10" s="65"/>
      <c r="UYJ10" s="65"/>
      <c r="UYK10" s="65"/>
      <c r="UYL10" s="65"/>
      <c r="UYM10" s="65"/>
      <c r="UYN10" s="65"/>
      <c r="UYO10" s="65"/>
      <c r="UYP10" s="65"/>
      <c r="UYQ10" s="65"/>
      <c r="UYR10" s="65"/>
      <c r="UYS10" s="65"/>
      <c r="UYT10" s="65"/>
      <c r="UYU10" s="65"/>
      <c r="UYV10" s="65"/>
      <c r="UYW10" s="65"/>
      <c r="UYX10" s="65"/>
      <c r="UYY10" s="65"/>
      <c r="UYZ10" s="65"/>
      <c r="UZA10" s="65"/>
      <c r="UZB10" s="65"/>
      <c r="UZC10" s="65"/>
      <c r="UZD10" s="65"/>
      <c r="UZE10" s="65"/>
      <c r="UZF10" s="65"/>
      <c r="UZG10" s="65"/>
      <c r="UZH10" s="65"/>
      <c r="UZI10" s="65"/>
      <c r="UZJ10" s="65"/>
      <c r="UZK10" s="65"/>
      <c r="UZL10" s="65"/>
      <c r="UZM10" s="65"/>
      <c r="UZN10" s="65"/>
      <c r="UZO10" s="65"/>
      <c r="UZP10" s="65"/>
      <c r="UZQ10" s="65"/>
      <c r="UZR10" s="65"/>
      <c r="UZS10" s="65"/>
      <c r="UZT10" s="65"/>
      <c r="UZU10" s="65"/>
      <c r="UZV10" s="65"/>
      <c r="UZW10" s="65"/>
      <c r="UZX10" s="65"/>
      <c r="UZY10" s="65"/>
      <c r="UZZ10" s="65"/>
      <c r="VAA10" s="65"/>
      <c r="VAB10" s="65"/>
      <c r="VAC10" s="65"/>
      <c r="VAD10" s="65"/>
      <c r="VAE10" s="65"/>
      <c r="VAF10" s="65"/>
      <c r="VAG10" s="65"/>
      <c r="VAH10" s="65"/>
      <c r="VAI10" s="65"/>
      <c r="VAJ10" s="65"/>
      <c r="VAK10" s="65"/>
      <c r="VAL10" s="65"/>
      <c r="VAM10" s="65"/>
      <c r="VAN10" s="65"/>
      <c r="VAO10" s="65"/>
      <c r="VAP10" s="65"/>
      <c r="VAQ10" s="65"/>
      <c r="VAR10" s="65"/>
      <c r="VAS10" s="65"/>
      <c r="VAT10" s="65"/>
      <c r="VAU10" s="65"/>
      <c r="VAV10" s="65"/>
      <c r="VAW10" s="65"/>
      <c r="VAX10" s="65"/>
      <c r="VAY10" s="65"/>
      <c r="VAZ10" s="65"/>
      <c r="VBA10" s="65"/>
      <c r="VBB10" s="65"/>
      <c r="VBC10" s="65"/>
      <c r="VBD10" s="65"/>
      <c r="VBE10" s="65"/>
      <c r="VBF10" s="65"/>
      <c r="VBG10" s="65"/>
      <c r="VBH10" s="65"/>
      <c r="VBI10" s="65"/>
      <c r="VBJ10" s="65"/>
      <c r="VBK10" s="65"/>
      <c r="VBL10" s="65"/>
      <c r="VBM10" s="65"/>
      <c r="VBN10" s="65"/>
      <c r="VBO10" s="65"/>
      <c r="VBP10" s="65"/>
      <c r="VBQ10" s="65"/>
      <c r="VBR10" s="65"/>
      <c r="VBS10" s="65"/>
      <c r="VBT10" s="65"/>
      <c r="VBU10" s="65"/>
      <c r="VBV10" s="65"/>
      <c r="VBW10" s="65"/>
      <c r="VBX10" s="65"/>
      <c r="VBY10" s="65"/>
      <c r="VBZ10" s="65"/>
      <c r="VCA10" s="65"/>
      <c r="VCB10" s="65"/>
      <c r="VCC10" s="65"/>
      <c r="VCD10" s="65"/>
      <c r="VCE10" s="65"/>
      <c r="VCF10" s="65"/>
      <c r="VCG10" s="65"/>
      <c r="VCH10" s="65"/>
      <c r="VCI10" s="65"/>
      <c r="VCJ10" s="65"/>
      <c r="VCK10" s="65"/>
      <c r="VCL10" s="65"/>
      <c r="VCM10" s="65"/>
      <c r="VCN10" s="65"/>
      <c r="VCO10" s="65"/>
      <c r="VCP10" s="65"/>
      <c r="VCQ10" s="65"/>
      <c r="VCR10" s="65"/>
      <c r="VCS10" s="65"/>
      <c r="VCT10" s="65"/>
      <c r="VCU10" s="65"/>
      <c r="VCV10" s="65"/>
      <c r="VCW10" s="65"/>
      <c r="VCX10" s="65"/>
      <c r="VCY10" s="65"/>
      <c r="VCZ10" s="65"/>
      <c r="VDA10" s="65"/>
      <c r="VDB10" s="65"/>
      <c r="VDC10" s="65"/>
      <c r="VDD10" s="65"/>
      <c r="VDE10" s="65"/>
      <c r="VDF10" s="65"/>
      <c r="VDG10" s="65"/>
      <c r="VDH10" s="65"/>
      <c r="VDI10" s="65"/>
      <c r="VDJ10" s="65"/>
      <c r="VDK10" s="65"/>
      <c r="VDL10" s="65"/>
      <c r="VDM10" s="65"/>
      <c r="VDN10" s="65"/>
      <c r="VDO10" s="65"/>
      <c r="VDP10" s="65"/>
      <c r="VDQ10" s="65"/>
      <c r="VDR10" s="65"/>
      <c r="VDS10" s="65"/>
      <c r="VDT10" s="65"/>
      <c r="VDU10" s="65"/>
      <c r="VDV10" s="65"/>
      <c r="VDW10" s="65"/>
      <c r="VDX10" s="65"/>
      <c r="VDY10" s="65"/>
      <c r="VDZ10" s="65"/>
      <c r="VEA10" s="65"/>
      <c r="VEB10" s="65"/>
      <c r="VEC10" s="65"/>
      <c r="VED10" s="65"/>
      <c r="VEE10" s="65"/>
      <c r="VEF10" s="65"/>
      <c r="VEG10" s="65"/>
      <c r="VEH10" s="65"/>
      <c r="VEI10" s="65"/>
      <c r="VEJ10" s="65"/>
      <c r="VEK10" s="65"/>
      <c r="VEL10" s="65"/>
      <c r="VEM10" s="65"/>
      <c r="VEN10" s="65"/>
      <c r="VEO10" s="65"/>
      <c r="VEP10" s="65"/>
      <c r="VEQ10" s="65"/>
      <c r="VER10" s="65"/>
      <c r="VES10" s="65"/>
      <c r="VET10" s="65"/>
      <c r="VEU10" s="65"/>
      <c r="VEV10" s="65"/>
      <c r="VEW10" s="65"/>
      <c r="VEX10" s="65"/>
      <c r="VEY10" s="65"/>
      <c r="VEZ10" s="65"/>
      <c r="VFA10" s="65"/>
      <c r="VFB10" s="65"/>
      <c r="VFC10" s="65"/>
      <c r="VFD10" s="65"/>
      <c r="VFE10" s="65"/>
      <c r="VFF10" s="65"/>
      <c r="VFG10" s="65"/>
      <c r="VFH10" s="65"/>
      <c r="VFI10" s="65"/>
      <c r="VFJ10" s="65"/>
      <c r="VFK10" s="65"/>
      <c r="VFL10" s="65"/>
      <c r="VFM10" s="65"/>
      <c r="VFN10" s="65"/>
      <c r="VFO10" s="65"/>
      <c r="VFP10" s="65"/>
      <c r="VFQ10" s="65"/>
      <c r="VFR10" s="65"/>
      <c r="VFS10" s="65"/>
      <c r="VFT10" s="65"/>
      <c r="VFU10" s="65"/>
      <c r="VFV10" s="65"/>
      <c r="VFW10" s="65"/>
      <c r="VFX10" s="65"/>
      <c r="VFY10" s="65"/>
      <c r="VFZ10" s="65"/>
      <c r="VGA10" s="65"/>
      <c r="VGB10" s="65"/>
      <c r="VGC10" s="65"/>
      <c r="VGD10" s="65"/>
      <c r="VGE10" s="65"/>
      <c r="VGF10" s="65"/>
      <c r="VGG10" s="65"/>
      <c r="VGH10" s="65"/>
      <c r="VGI10" s="65"/>
      <c r="VGJ10" s="65"/>
      <c r="VGK10" s="65"/>
      <c r="VGL10" s="65"/>
      <c r="VGM10" s="65"/>
      <c r="VGN10" s="65"/>
      <c r="VGO10" s="65"/>
      <c r="VGP10" s="65"/>
      <c r="VGQ10" s="65"/>
      <c r="VGR10" s="65"/>
      <c r="VGS10" s="65"/>
      <c r="VGT10" s="65"/>
      <c r="VGU10" s="65"/>
      <c r="VGV10" s="65"/>
      <c r="VGW10" s="65"/>
      <c r="VGX10" s="65"/>
      <c r="VGY10" s="65"/>
      <c r="VGZ10" s="65"/>
      <c r="VHA10" s="65"/>
      <c r="VHB10" s="65"/>
      <c r="VHC10" s="65"/>
      <c r="VHD10" s="65"/>
      <c r="VHE10" s="65"/>
      <c r="VHF10" s="65"/>
      <c r="VHG10" s="65"/>
      <c r="VHH10" s="65"/>
      <c r="VHI10" s="65"/>
      <c r="VHJ10" s="65"/>
      <c r="VHK10" s="65"/>
      <c r="VHL10" s="65"/>
      <c r="VHM10" s="65"/>
      <c r="VHN10" s="65"/>
      <c r="VHO10" s="65"/>
      <c r="VHP10" s="65"/>
      <c r="VHQ10" s="65"/>
      <c r="VHR10" s="65"/>
      <c r="VHS10" s="65"/>
      <c r="VHT10" s="65"/>
      <c r="VHU10" s="65"/>
      <c r="VHV10" s="65"/>
      <c r="VHW10" s="65"/>
      <c r="VHX10" s="65"/>
      <c r="VHY10" s="65"/>
      <c r="VHZ10" s="65"/>
      <c r="VIA10" s="65"/>
      <c r="VIB10" s="65"/>
      <c r="VIC10" s="65"/>
      <c r="VID10" s="65"/>
      <c r="VIE10" s="65"/>
      <c r="VIF10" s="65"/>
      <c r="VIG10" s="65"/>
      <c r="VIH10" s="65"/>
      <c r="VII10" s="65"/>
      <c r="VIJ10" s="65"/>
      <c r="VIK10" s="65"/>
      <c r="VIL10" s="65"/>
      <c r="VIM10" s="65"/>
      <c r="VIN10" s="65"/>
      <c r="VIO10" s="65"/>
      <c r="VIP10" s="65"/>
      <c r="VIQ10" s="65"/>
      <c r="VIR10" s="65"/>
      <c r="VIS10" s="65"/>
      <c r="VIT10" s="65"/>
      <c r="VIU10" s="65"/>
      <c r="VIV10" s="65"/>
      <c r="VIW10" s="65"/>
      <c r="VIX10" s="65"/>
      <c r="VIY10" s="65"/>
      <c r="VIZ10" s="65"/>
      <c r="VJA10" s="65"/>
      <c r="VJB10" s="65"/>
      <c r="VJC10" s="65"/>
      <c r="VJD10" s="65"/>
      <c r="VJE10" s="65"/>
      <c r="VJF10" s="65"/>
      <c r="VJG10" s="65"/>
      <c r="VJH10" s="65"/>
      <c r="VJI10" s="65"/>
      <c r="VJJ10" s="65"/>
      <c r="VJK10" s="65"/>
      <c r="VJL10" s="65"/>
      <c r="VJM10" s="65"/>
      <c r="VJN10" s="65"/>
      <c r="VJO10" s="65"/>
      <c r="VJP10" s="65"/>
      <c r="VJQ10" s="65"/>
      <c r="VJR10" s="65"/>
      <c r="VJS10" s="65"/>
      <c r="VJT10" s="65"/>
      <c r="VJU10" s="65"/>
      <c r="VJV10" s="65"/>
      <c r="VJW10" s="65"/>
      <c r="VJX10" s="65"/>
      <c r="VJY10" s="65"/>
      <c r="VJZ10" s="65"/>
      <c r="VKA10" s="65"/>
      <c r="VKB10" s="65"/>
      <c r="VKC10" s="65"/>
      <c r="VKD10" s="65"/>
      <c r="VKE10" s="65"/>
      <c r="VKF10" s="65"/>
      <c r="VKG10" s="65"/>
      <c r="VKH10" s="65"/>
      <c r="VKI10" s="65"/>
      <c r="VKJ10" s="65"/>
      <c r="VKK10" s="65"/>
      <c r="VKL10" s="65"/>
      <c r="VKM10" s="65"/>
      <c r="VKN10" s="65"/>
      <c r="VKO10" s="65"/>
      <c r="VKP10" s="65"/>
      <c r="VKQ10" s="65"/>
      <c r="VKR10" s="65"/>
      <c r="VKS10" s="65"/>
      <c r="VKT10" s="65"/>
      <c r="VKU10" s="65"/>
      <c r="VKV10" s="65"/>
      <c r="VKW10" s="65"/>
      <c r="VKX10" s="65"/>
      <c r="VKY10" s="65"/>
      <c r="VKZ10" s="65"/>
      <c r="VLA10" s="65"/>
      <c r="VLB10" s="65"/>
      <c r="VLC10" s="65"/>
      <c r="VLD10" s="65"/>
      <c r="VLE10" s="65"/>
      <c r="VLF10" s="65"/>
      <c r="VLG10" s="65"/>
      <c r="VLH10" s="65"/>
      <c r="VLI10" s="65"/>
      <c r="VLJ10" s="65"/>
      <c r="VLK10" s="65"/>
      <c r="VLL10" s="65"/>
      <c r="VLM10" s="65"/>
      <c r="VLN10" s="65"/>
      <c r="VLO10" s="65"/>
      <c r="VLP10" s="65"/>
      <c r="VLQ10" s="65"/>
      <c r="VLR10" s="65"/>
      <c r="VLS10" s="65"/>
      <c r="VLT10" s="65"/>
      <c r="VLU10" s="65"/>
      <c r="VLV10" s="65"/>
      <c r="VLW10" s="65"/>
      <c r="VLX10" s="65"/>
      <c r="VLY10" s="65"/>
      <c r="VLZ10" s="65"/>
      <c r="VMA10" s="65"/>
      <c r="VMB10" s="65"/>
      <c r="VMC10" s="65"/>
      <c r="VMD10" s="65"/>
      <c r="VME10" s="65"/>
      <c r="VMF10" s="65"/>
      <c r="VMG10" s="65"/>
      <c r="VMH10" s="65"/>
      <c r="VMI10" s="65"/>
      <c r="VMJ10" s="65"/>
      <c r="VMK10" s="65"/>
      <c r="VML10" s="65"/>
      <c r="VMM10" s="65"/>
      <c r="VMN10" s="65"/>
      <c r="VMO10" s="65"/>
      <c r="VMP10" s="65"/>
      <c r="VMQ10" s="65"/>
      <c r="VMR10" s="65"/>
      <c r="VMS10" s="65"/>
      <c r="VMT10" s="65"/>
      <c r="VMU10" s="65"/>
      <c r="VMV10" s="65"/>
      <c r="VMW10" s="65"/>
      <c r="VMX10" s="65"/>
      <c r="VMY10" s="65"/>
      <c r="VMZ10" s="65"/>
      <c r="VNA10" s="65"/>
      <c r="VNB10" s="65"/>
      <c r="VNC10" s="65"/>
      <c r="VND10" s="65"/>
      <c r="VNE10" s="65"/>
      <c r="VNF10" s="65"/>
      <c r="VNG10" s="65"/>
      <c r="VNH10" s="65"/>
      <c r="VNI10" s="65"/>
      <c r="VNJ10" s="65"/>
      <c r="VNK10" s="65"/>
      <c r="VNL10" s="65"/>
      <c r="VNM10" s="65"/>
      <c r="VNN10" s="65"/>
      <c r="VNO10" s="65"/>
      <c r="VNP10" s="65"/>
      <c r="VNQ10" s="65"/>
      <c r="VNR10" s="65"/>
      <c r="VNS10" s="65"/>
      <c r="VNT10" s="65"/>
      <c r="VNU10" s="65"/>
      <c r="VNV10" s="65"/>
      <c r="VNW10" s="65"/>
      <c r="VNX10" s="65"/>
      <c r="VNY10" s="65"/>
      <c r="VNZ10" s="65"/>
      <c r="VOA10" s="65"/>
      <c r="VOB10" s="65"/>
      <c r="VOC10" s="65"/>
      <c r="VOD10" s="65"/>
      <c r="VOE10" s="65"/>
      <c r="VOF10" s="65"/>
      <c r="VOG10" s="65"/>
      <c r="VOH10" s="65"/>
      <c r="VOI10" s="65"/>
      <c r="VOJ10" s="65"/>
      <c r="VOK10" s="65"/>
      <c r="VOL10" s="65"/>
      <c r="VOM10" s="65"/>
      <c r="VON10" s="65"/>
      <c r="VOO10" s="65"/>
      <c r="VOP10" s="65"/>
      <c r="VOQ10" s="65"/>
      <c r="VOR10" s="65"/>
      <c r="VOS10" s="65"/>
      <c r="VOT10" s="65"/>
      <c r="VOU10" s="65"/>
      <c r="VOV10" s="65"/>
      <c r="VOW10" s="65"/>
      <c r="VOX10" s="65"/>
      <c r="VOY10" s="65"/>
      <c r="VOZ10" s="65"/>
      <c r="VPA10" s="65"/>
      <c r="VPB10" s="65"/>
      <c r="VPC10" s="65"/>
      <c r="VPD10" s="65"/>
      <c r="VPE10" s="65"/>
      <c r="VPF10" s="65"/>
      <c r="VPG10" s="65"/>
      <c r="VPH10" s="65"/>
      <c r="VPI10" s="65"/>
      <c r="VPJ10" s="65"/>
      <c r="VPK10" s="65"/>
      <c r="VPL10" s="65"/>
      <c r="VPM10" s="65"/>
      <c r="VPN10" s="65"/>
      <c r="VPO10" s="65"/>
      <c r="VPP10" s="65"/>
      <c r="VPQ10" s="65"/>
      <c r="VPR10" s="65"/>
      <c r="VPS10" s="65"/>
      <c r="VPT10" s="65"/>
      <c r="VPU10" s="65"/>
      <c r="VPV10" s="65"/>
      <c r="VPW10" s="65"/>
      <c r="VPX10" s="65"/>
      <c r="VPY10" s="65"/>
      <c r="VPZ10" s="65"/>
      <c r="VQA10" s="65"/>
      <c r="VQB10" s="65"/>
      <c r="VQC10" s="65"/>
      <c r="VQD10" s="65"/>
      <c r="VQE10" s="65"/>
      <c r="VQF10" s="65"/>
      <c r="VQG10" s="65"/>
      <c r="VQH10" s="65"/>
      <c r="VQI10" s="65"/>
      <c r="VQJ10" s="65"/>
      <c r="VQK10" s="65"/>
      <c r="VQL10" s="65"/>
      <c r="VQM10" s="65"/>
      <c r="VQN10" s="65"/>
      <c r="VQO10" s="65"/>
      <c r="VQP10" s="65"/>
      <c r="VQQ10" s="65"/>
      <c r="VQR10" s="65"/>
      <c r="VQS10" s="65"/>
      <c r="VQT10" s="65"/>
      <c r="VQU10" s="65"/>
      <c r="VQV10" s="65"/>
      <c r="VQW10" s="65"/>
      <c r="VQX10" s="65"/>
      <c r="VQY10" s="65"/>
      <c r="VQZ10" s="65"/>
      <c r="VRA10" s="65"/>
      <c r="VRB10" s="65"/>
      <c r="VRC10" s="65"/>
      <c r="VRD10" s="65"/>
      <c r="VRE10" s="65"/>
      <c r="VRF10" s="65"/>
      <c r="VRG10" s="65"/>
      <c r="VRH10" s="65"/>
      <c r="VRI10" s="65"/>
      <c r="VRJ10" s="65"/>
      <c r="VRK10" s="65"/>
      <c r="VRL10" s="65"/>
      <c r="VRM10" s="65"/>
      <c r="VRN10" s="65"/>
      <c r="VRO10" s="65"/>
      <c r="VRP10" s="65"/>
      <c r="VRQ10" s="65"/>
      <c r="VRR10" s="65"/>
      <c r="VRS10" s="65"/>
      <c r="VRT10" s="65"/>
      <c r="VRU10" s="65"/>
      <c r="VRV10" s="65"/>
      <c r="VRW10" s="65"/>
      <c r="VRX10" s="65"/>
      <c r="VRY10" s="65"/>
      <c r="VRZ10" s="65"/>
      <c r="VSA10" s="65"/>
      <c r="VSB10" s="65"/>
      <c r="VSC10" s="65"/>
      <c r="VSD10" s="65"/>
      <c r="VSE10" s="65"/>
      <c r="VSF10" s="65"/>
      <c r="VSG10" s="65"/>
      <c r="VSH10" s="65"/>
      <c r="VSI10" s="65"/>
      <c r="VSJ10" s="65"/>
      <c r="VSK10" s="65"/>
      <c r="VSL10" s="65"/>
      <c r="VSM10" s="65"/>
      <c r="VSN10" s="65"/>
      <c r="VSO10" s="65"/>
      <c r="VSP10" s="65"/>
      <c r="VSQ10" s="65"/>
      <c r="VSR10" s="65"/>
      <c r="VSS10" s="65"/>
      <c r="VST10" s="65"/>
      <c r="VSU10" s="65"/>
      <c r="VSV10" s="65"/>
      <c r="VSW10" s="65"/>
      <c r="VSX10" s="65"/>
      <c r="VSY10" s="65"/>
      <c r="VSZ10" s="65"/>
      <c r="VTA10" s="65"/>
      <c r="VTB10" s="65"/>
      <c r="VTC10" s="65"/>
      <c r="VTD10" s="65"/>
      <c r="VTE10" s="65"/>
      <c r="VTF10" s="65"/>
      <c r="VTG10" s="65"/>
      <c r="VTH10" s="65"/>
      <c r="VTI10" s="65"/>
      <c r="VTJ10" s="65"/>
      <c r="VTK10" s="65"/>
      <c r="VTL10" s="65"/>
      <c r="VTM10" s="65"/>
      <c r="VTN10" s="65"/>
      <c r="VTO10" s="65"/>
      <c r="VTP10" s="65"/>
      <c r="VTQ10" s="65"/>
      <c r="VTR10" s="65"/>
      <c r="VTS10" s="65"/>
      <c r="VTT10" s="65"/>
      <c r="VTU10" s="65"/>
      <c r="VTV10" s="65"/>
      <c r="VTW10" s="65"/>
      <c r="VTX10" s="65"/>
      <c r="VTY10" s="65"/>
      <c r="VTZ10" s="65"/>
      <c r="VUA10" s="65"/>
      <c r="VUB10" s="65"/>
      <c r="VUC10" s="65"/>
      <c r="VUD10" s="65"/>
      <c r="VUE10" s="65"/>
      <c r="VUF10" s="65"/>
      <c r="VUG10" s="65"/>
      <c r="VUH10" s="65"/>
      <c r="VUI10" s="65"/>
      <c r="VUJ10" s="65"/>
      <c r="VUK10" s="65"/>
      <c r="VUL10" s="65"/>
      <c r="VUM10" s="65"/>
      <c r="VUN10" s="65"/>
      <c r="VUO10" s="65"/>
      <c r="VUP10" s="65"/>
      <c r="VUQ10" s="65"/>
      <c r="VUR10" s="65"/>
      <c r="VUS10" s="65"/>
      <c r="VUT10" s="65"/>
      <c r="VUU10" s="65"/>
      <c r="VUV10" s="65"/>
      <c r="VUW10" s="65"/>
      <c r="VUX10" s="65"/>
      <c r="VUY10" s="65"/>
      <c r="VUZ10" s="65"/>
      <c r="VVA10" s="65"/>
      <c r="VVB10" s="65"/>
      <c r="VVC10" s="65"/>
      <c r="VVD10" s="65"/>
      <c r="VVE10" s="65"/>
      <c r="VVF10" s="65"/>
      <c r="VVG10" s="65"/>
      <c r="VVH10" s="65"/>
      <c r="VVI10" s="65"/>
      <c r="VVJ10" s="65"/>
      <c r="VVK10" s="65"/>
      <c r="VVL10" s="65"/>
      <c r="VVM10" s="65"/>
      <c r="VVN10" s="65"/>
      <c r="VVO10" s="65"/>
      <c r="VVP10" s="65"/>
      <c r="VVQ10" s="65"/>
      <c r="VVR10" s="65"/>
      <c r="VVS10" s="65"/>
      <c r="VVT10" s="65"/>
      <c r="VVU10" s="65"/>
      <c r="VVV10" s="65"/>
      <c r="VVW10" s="65"/>
      <c r="VVX10" s="65"/>
      <c r="VVY10" s="65"/>
      <c r="VVZ10" s="65"/>
      <c r="VWA10" s="65"/>
      <c r="VWB10" s="65"/>
      <c r="VWC10" s="65"/>
      <c r="VWD10" s="65"/>
      <c r="VWE10" s="65"/>
      <c r="VWF10" s="65"/>
      <c r="VWG10" s="65"/>
      <c r="VWH10" s="65"/>
      <c r="VWI10" s="65"/>
      <c r="VWJ10" s="65"/>
      <c r="VWK10" s="65"/>
      <c r="VWL10" s="65"/>
      <c r="VWM10" s="65"/>
      <c r="VWN10" s="65"/>
      <c r="VWO10" s="65"/>
      <c r="VWP10" s="65"/>
      <c r="VWQ10" s="65"/>
      <c r="VWR10" s="65"/>
      <c r="VWS10" s="65"/>
      <c r="VWT10" s="65"/>
      <c r="VWU10" s="65"/>
      <c r="VWV10" s="65"/>
      <c r="VWW10" s="65"/>
      <c r="VWX10" s="65"/>
      <c r="VWY10" s="65"/>
      <c r="VWZ10" s="65"/>
      <c r="VXA10" s="65"/>
      <c r="VXB10" s="65"/>
      <c r="VXC10" s="65"/>
      <c r="VXD10" s="65"/>
      <c r="VXE10" s="65"/>
      <c r="VXF10" s="65"/>
      <c r="VXG10" s="65"/>
      <c r="VXH10" s="65"/>
      <c r="VXI10" s="65"/>
      <c r="VXJ10" s="65"/>
      <c r="VXK10" s="65"/>
      <c r="VXL10" s="65"/>
      <c r="VXM10" s="65"/>
      <c r="VXN10" s="65"/>
      <c r="VXO10" s="65"/>
      <c r="VXP10" s="65"/>
      <c r="VXQ10" s="65"/>
      <c r="VXR10" s="65"/>
      <c r="VXS10" s="65"/>
      <c r="VXT10" s="65"/>
      <c r="VXU10" s="65"/>
      <c r="VXV10" s="65"/>
      <c r="VXW10" s="65"/>
      <c r="VXX10" s="65"/>
      <c r="VXY10" s="65"/>
      <c r="VXZ10" s="65"/>
      <c r="VYA10" s="65"/>
      <c r="VYB10" s="65"/>
      <c r="VYC10" s="65"/>
      <c r="VYD10" s="65"/>
      <c r="VYE10" s="65"/>
      <c r="VYF10" s="65"/>
      <c r="VYG10" s="65"/>
      <c r="VYH10" s="65"/>
      <c r="VYI10" s="65"/>
      <c r="VYJ10" s="65"/>
      <c r="VYK10" s="65"/>
      <c r="VYL10" s="65"/>
      <c r="VYM10" s="65"/>
      <c r="VYN10" s="65"/>
      <c r="VYO10" s="65"/>
      <c r="VYP10" s="65"/>
      <c r="VYQ10" s="65"/>
      <c r="VYR10" s="65"/>
      <c r="VYS10" s="65"/>
      <c r="VYT10" s="65"/>
      <c r="VYU10" s="65"/>
      <c r="VYV10" s="65"/>
      <c r="VYW10" s="65"/>
      <c r="VYX10" s="65"/>
      <c r="VYY10" s="65"/>
      <c r="VYZ10" s="65"/>
      <c r="VZA10" s="65"/>
      <c r="VZB10" s="65"/>
      <c r="VZC10" s="65"/>
      <c r="VZD10" s="65"/>
      <c r="VZE10" s="65"/>
      <c r="VZF10" s="65"/>
      <c r="VZG10" s="65"/>
      <c r="VZH10" s="65"/>
      <c r="VZI10" s="65"/>
      <c r="VZJ10" s="65"/>
      <c r="VZK10" s="65"/>
      <c r="VZL10" s="65"/>
      <c r="VZM10" s="65"/>
      <c r="VZN10" s="65"/>
      <c r="VZO10" s="65"/>
      <c r="VZP10" s="65"/>
      <c r="VZQ10" s="65"/>
      <c r="VZR10" s="65"/>
      <c r="VZS10" s="65"/>
      <c r="VZT10" s="65"/>
      <c r="VZU10" s="65"/>
      <c r="VZV10" s="65"/>
      <c r="VZW10" s="65"/>
      <c r="VZX10" s="65"/>
      <c r="VZY10" s="65"/>
      <c r="VZZ10" s="65"/>
      <c r="WAA10" s="65"/>
      <c r="WAB10" s="65"/>
      <c r="WAC10" s="65"/>
      <c r="WAD10" s="65"/>
      <c r="WAE10" s="65"/>
      <c r="WAF10" s="65"/>
      <c r="WAG10" s="65"/>
      <c r="WAH10" s="65"/>
      <c r="WAI10" s="65"/>
      <c r="WAJ10" s="65"/>
      <c r="WAK10" s="65"/>
      <c r="WAL10" s="65"/>
      <c r="WAM10" s="65"/>
      <c r="WAN10" s="65"/>
      <c r="WAO10" s="65"/>
      <c r="WAP10" s="65"/>
      <c r="WAQ10" s="65"/>
      <c r="WAR10" s="65"/>
      <c r="WAS10" s="65"/>
      <c r="WAT10" s="65"/>
      <c r="WAU10" s="65"/>
      <c r="WAV10" s="65"/>
      <c r="WAW10" s="65"/>
      <c r="WAX10" s="65"/>
      <c r="WAY10" s="65"/>
      <c r="WAZ10" s="65"/>
      <c r="WBA10" s="65"/>
      <c r="WBB10" s="65"/>
      <c r="WBC10" s="65"/>
      <c r="WBD10" s="65"/>
      <c r="WBE10" s="65"/>
      <c r="WBF10" s="65"/>
      <c r="WBG10" s="65"/>
      <c r="WBH10" s="65"/>
      <c r="WBI10" s="65"/>
      <c r="WBJ10" s="65"/>
      <c r="WBK10" s="65"/>
      <c r="WBL10" s="65"/>
      <c r="WBM10" s="65"/>
      <c r="WBN10" s="65"/>
      <c r="WBO10" s="65"/>
      <c r="WBP10" s="65"/>
      <c r="WBQ10" s="65"/>
      <c r="WBR10" s="65"/>
      <c r="WBS10" s="65"/>
      <c r="WBT10" s="65"/>
      <c r="WBU10" s="65"/>
      <c r="WBV10" s="65"/>
      <c r="WBW10" s="65"/>
      <c r="WBX10" s="65"/>
      <c r="WBY10" s="65"/>
      <c r="WBZ10" s="65"/>
      <c r="WCA10" s="65"/>
      <c r="WCB10" s="65"/>
      <c r="WCC10" s="65"/>
      <c r="WCD10" s="65"/>
      <c r="WCE10" s="65"/>
      <c r="WCF10" s="65"/>
      <c r="WCG10" s="65"/>
      <c r="WCH10" s="65"/>
      <c r="WCI10" s="65"/>
      <c r="WCJ10" s="65"/>
      <c r="WCK10" s="65"/>
      <c r="WCL10" s="65"/>
      <c r="WCM10" s="65"/>
      <c r="WCN10" s="65"/>
      <c r="WCO10" s="65"/>
      <c r="WCP10" s="65"/>
      <c r="WCQ10" s="65"/>
      <c r="WCR10" s="65"/>
      <c r="WCS10" s="65"/>
      <c r="WCT10" s="65"/>
      <c r="WCU10" s="65"/>
      <c r="WCV10" s="65"/>
      <c r="WCW10" s="65"/>
      <c r="WCX10" s="65"/>
      <c r="WCY10" s="65"/>
      <c r="WCZ10" s="65"/>
      <c r="WDA10" s="65"/>
      <c r="WDB10" s="65"/>
      <c r="WDC10" s="65"/>
      <c r="WDD10" s="65"/>
      <c r="WDE10" s="65"/>
      <c r="WDF10" s="65"/>
      <c r="WDG10" s="65"/>
      <c r="WDH10" s="65"/>
      <c r="WDI10" s="65"/>
      <c r="WDJ10" s="65"/>
      <c r="WDK10" s="65"/>
      <c r="WDL10" s="65"/>
      <c r="WDM10" s="65"/>
      <c r="WDN10" s="65"/>
      <c r="WDO10" s="65"/>
      <c r="WDP10" s="65"/>
      <c r="WDQ10" s="65"/>
      <c r="WDR10" s="65"/>
      <c r="WDS10" s="65"/>
      <c r="WDT10" s="65"/>
      <c r="WDU10" s="65"/>
      <c r="WDV10" s="65"/>
      <c r="WDW10" s="65"/>
      <c r="WDX10" s="65"/>
      <c r="WDY10" s="65"/>
      <c r="WDZ10" s="65"/>
      <c r="WEA10" s="65"/>
      <c r="WEB10" s="65"/>
      <c r="WEC10" s="65"/>
      <c r="WED10" s="65"/>
      <c r="WEE10" s="65"/>
      <c r="WEF10" s="65"/>
      <c r="WEG10" s="65"/>
      <c r="WEH10" s="65"/>
      <c r="WEI10" s="65"/>
      <c r="WEJ10" s="65"/>
      <c r="WEK10" s="65"/>
      <c r="WEL10" s="65"/>
      <c r="WEM10" s="65"/>
      <c r="WEN10" s="65"/>
      <c r="WEO10" s="65"/>
      <c r="WEP10" s="65"/>
      <c r="WEQ10" s="65"/>
      <c r="WER10" s="65"/>
      <c r="WES10" s="65"/>
      <c r="WET10" s="65"/>
      <c r="WEU10" s="65"/>
      <c r="WEV10" s="65"/>
      <c r="WEW10" s="65"/>
      <c r="WEX10" s="65"/>
      <c r="WEY10" s="65"/>
      <c r="WEZ10" s="65"/>
      <c r="WFA10" s="65"/>
      <c r="WFB10" s="65"/>
      <c r="WFC10" s="65"/>
      <c r="WFD10" s="65"/>
      <c r="WFE10" s="65"/>
      <c r="WFF10" s="65"/>
      <c r="WFG10" s="65"/>
      <c r="WFH10" s="65"/>
      <c r="WFI10" s="65"/>
      <c r="WFJ10" s="65"/>
      <c r="WFK10" s="65"/>
      <c r="WFL10" s="65"/>
      <c r="WFM10" s="65"/>
      <c r="WFN10" s="65"/>
      <c r="WFO10" s="65"/>
      <c r="WFP10" s="65"/>
      <c r="WFQ10" s="65"/>
      <c r="WFR10" s="65"/>
      <c r="WFS10" s="65"/>
      <c r="WFT10" s="65"/>
      <c r="WFU10" s="65"/>
      <c r="WFV10" s="65"/>
      <c r="WFW10" s="65"/>
      <c r="WFX10" s="65"/>
      <c r="WFY10" s="65"/>
      <c r="WFZ10" s="65"/>
      <c r="WGA10" s="65"/>
      <c r="WGB10" s="65"/>
      <c r="WGC10" s="65"/>
      <c r="WGD10" s="65"/>
      <c r="WGE10" s="65"/>
      <c r="WGF10" s="65"/>
      <c r="WGG10" s="65"/>
      <c r="WGH10" s="65"/>
      <c r="WGI10" s="65"/>
      <c r="WGJ10" s="65"/>
      <c r="WGK10" s="65"/>
      <c r="WGL10" s="65"/>
      <c r="WGM10" s="65"/>
      <c r="WGN10" s="65"/>
      <c r="WGO10" s="65"/>
      <c r="WGP10" s="65"/>
      <c r="WGQ10" s="65"/>
      <c r="WGR10" s="65"/>
      <c r="WGS10" s="65"/>
      <c r="WGT10" s="65"/>
      <c r="WGU10" s="65"/>
      <c r="WGV10" s="65"/>
      <c r="WGW10" s="65"/>
      <c r="WGX10" s="65"/>
      <c r="WGY10" s="65"/>
      <c r="WGZ10" s="65"/>
      <c r="WHA10" s="65"/>
      <c r="WHB10" s="65"/>
      <c r="WHC10" s="65"/>
      <c r="WHD10" s="65"/>
      <c r="WHE10" s="65"/>
      <c r="WHF10" s="65"/>
      <c r="WHG10" s="65"/>
      <c r="WHH10" s="65"/>
      <c r="WHI10" s="65"/>
      <c r="WHJ10" s="65"/>
      <c r="WHK10" s="65"/>
      <c r="WHL10" s="65"/>
      <c r="WHM10" s="65"/>
      <c r="WHN10" s="65"/>
      <c r="WHO10" s="65"/>
      <c r="WHP10" s="65"/>
      <c r="WHQ10" s="65"/>
      <c r="WHR10" s="65"/>
      <c r="WHS10" s="65"/>
      <c r="WHT10" s="65"/>
      <c r="WHU10" s="65"/>
      <c r="WHV10" s="65"/>
      <c r="WHW10" s="65"/>
      <c r="WHX10" s="65"/>
      <c r="WHY10" s="65"/>
      <c r="WHZ10" s="65"/>
      <c r="WIA10" s="65"/>
      <c r="WIB10" s="65"/>
      <c r="WIC10" s="65"/>
      <c r="WID10" s="65"/>
      <c r="WIE10" s="65"/>
      <c r="WIF10" s="65"/>
      <c r="WIG10" s="65"/>
      <c r="WIH10" s="65"/>
      <c r="WII10" s="65"/>
      <c r="WIJ10" s="65"/>
      <c r="WIK10" s="65"/>
      <c r="WIL10" s="65"/>
      <c r="WIM10" s="65"/>
      <c r="WIN10" s="65"/>
      <c r="WIO10" s="65"/>
      <c r="WIP10" s="65"/>
      <c r="WIQ10" s="65"/>
      <c r="WIR10" s="65"/>
      <c r="WIS10" s="65"/>
      <c r="WIT10" s="65"/>
      <c r="WIU10" s="65"/>
      <c r="WIV10" s="65"/>
      <c r="WIW10" s="65"/>
      <c r="WIX10" s="65"/>
      <c r="WIY10" s="65"/>
      <c r="WIZ10" s="65"/>
      <c r="WJA10" s="65"/>
      <c r="WJB10" s="65"/>
      <c r="WJC10" s="65"/>
      <c r="WJD10" s="65"/>
      <c r="WJE10" s="65"/>
      <c r="WJF10" s="65"/>
      <c r="WJG10" s="65"/>
      <c r="WJH10" s="65"/>
      <c r="WJI10" s="65"/>
      <c r="WJJ10" s="65"/>
      <c r="WJK10" s="65"/>
      <c r="WJL10" s="65"/>
      <c r="WJM10" s="65"/>
      <c r="WJN10" s="65"/>
      <c r="WJO10" s="65"/>
      <c r="WJP10" s="65"/>
      <c r="WJQ10" s="65"/>
      <c r="WJR10" s="65"/>
      <c r="WJS10" s="65"/>
      <c r="WJT10" s="65"/>
      <c r="WJU10" s="65"/>
      <c r="WJV10" s="65"/>
      <c r="WJW10" s="65"/>
      <c r="WJX10" s="65"/>
      <c r="WJY10" s="65"/>
      <c r="WJZ10" s="65"/>
      <c r="WKA10" s="65"/>
      <c r="WKB10" s="65"/>
      <c r="WKC10" s="65"/>
      <c r="WKD10" s="65"/>
      <c r="WKE10" s="65"/>
      <c r="WKF10" s="65"/>
      <c r="WKG10" s="65"/>
      <c r="WKH10" s="65"/>
      <c r="WKI10" s="65"/>
      <c r="WKJ10" s="65"/>
      <c r="WKK10" s="65"/>
      <c r="WKL10" s="65"/>
      <c r="WKM10" s="65"/>
      <c r="WKN10" s="65"/>
      <c r="WKO10" s="65"/>
      <c r="WKP10" s="65"/>
      <c r="WKQ10" s="65"/>
      <c r="WKR10" s="65"/>
      <c r="WKS10" s="65"/>
      <c r="WKT10" s="65"/>
      <c r="WKU10" s="65"/>
      <c r="WKV10" s="65"/>
      <c r="WKW10" s="65"/>
      <c r="WKX10" s="65"/>
      <c r="WKY10" s="65"/>
      <c r="WKZ10" s="65"/>
      <c r="WLA10" s="65"/>
      <c r="WLB10" s="65"/>
      <c r="WLC10" s="65"/>
      <c r="WLD10" s="65"/>
      <c r="WLE10" s="65"/>
      <c r="WLF10" s="65"/>
      <c r="WLG10" s="65"/>
      <c r="WLH10" s="65"/>
      <c r="WLI10" s="65"/>
      <c r="WLJ10" s="65"/>
      <c r="WLK10" s="65"/>
      <c r="WLL10" s="65"/>
      <c r="WLM10" s="65"/>
      <c r="WLN10" s="65"/>
      <c r="WLO10" s="65"/>
      <c r="WLP10" s="65"/>
      <c r="WLQ10" s="65"/>
      <c r="WLR10" s="65"/>
      <c r="WLS10" s="65"/>
      <c r="WLT10" s="65"/>
      <c r="WLU10" s="65"/>
      <c r="WLV10" s="65"/>
      <c r="WLW10" s="65"/>
      <c r="WLX10" s="65"/>
      <c r="WLY10" s="65"/>
      <c r="WLZ10" s="65"/>
      <c r="WMA10" s="65"/>
      <c r="WMB10" s="65"/>
      <c r="WMC10" s="65"/>
      <c r="WMD10" s="65"/>
      <c r="WME10" s="65"/>
      <c r="WMF10" s="65"/>
      <c r="WMG10" s="65"/>
      <c r="WMH10" s="65"/>
      <c r="WMI10" s="65"/>
      <c r="WMJ10" s="65"/>
      <c r="WMK10" s="65"/>
      <c r="WML10" s="65"/>
      <c r="WMM10" s="65"/>
      <c r="WMN10" s="65"/>
      <c r="WMO10" s="65"/>
      <c r="WMP10" s="65"/>
      <c r="WMQ10" s="65"/>
      <c r="WMR10" s="65"/>
      <c r="WMS10" s="65"/>
      <c r="WMT10" s="65"/>
      <c r="WMU10" s="65"/>
      <c r="WMV10" s="65"/>
      <c r="WMW10" s="65"/>
      <c r="WMX10" s="65"/>
      <c r="WMY10" s="65"/>
      <c r="WMZ10" s="65"/>
      <c r="WNA10" s="65"/>
      <c r="WNB10" s="65"/>
      <c r="WNC10" s="65"/>
      <c r="WND10" s="65"/>
      <c r="WNE10" s="65"/>
      <c r="WNF10" s="65"/>
      <c r="WNG10" s="65"/>
      <c r="WNH10" s="65"/>
      <c r="WNI10" s="65"/>
      <c r="WNJ10" s="65"/>
      <c r="WNK10" s="65"/>
      <c r="WNL10" s="65"/>
      <c r="WNM10" s="65"/>
      <c r="WNN10" s="65"/>
      <c r="WNO10" s="65"/>
      <c r="WNP10" s="65"/>
      <c r="WNQ10" s="65"/>
      <c r="WNR10" s="65"/>
      <c r="WNS10" s="65"/>
      <c r="WNT10" s="65"/>
      <c r="WNU10" s="65"/>
      <c r="WNV10" s="65"/>
      <c r="WNW10" s="65"/>
      <c r="WNX10" s="65"/>
      <c r="WNY10" s="65"/>
      <c r="WNZ10" s="65"/>
      <c r="WOA10" s="65"/>
      <c r="WOB10" s="65"/>
      <c r="WOC10" s="65"/>
      <c r="WOD10" s="65"/>
      <c r="WOE10" s="65"/>
      <c r="WOF10" s="65"/>
      <c r="WOG10" s="65"/>
      <c r="WOH10" s="65"/>
      <c r="WOI10" s="65"/>
      <c r="WOJ10" s="65"/>
      <c r="WOK10" s="65"/>
      <c r="WOL10" s="65"/>
      <c r="WOM10" s="65"/>
      <c r="WON10" s="65"/>
      <c r="WOO10" s="65"/>
      <c r="WOP10" s="65"/>
      <c r="WOQ10" s="65"/>
      <c r="WOR10" s="65"/>
      <c r="WOS10" s="65"/>
      <c r="WOT10" s="65"/>
      <c r="WOU10" s="65"/>
      <c r="WOV10" s="65"/>
      <c r="WOW10" s="65"/>
      <c r="WOX10" s="65"/>
      <c r="WOY10" s="65"/>
      <c r="WOZ10" s="65"/>
      <c r="WPA10" s="65"/>
      <c r="WPB10" s="65"/>
      <c r="WPC10" s="65"/>
      <c r="WPD10" s="65"/>
      <c r="WPE10" s="65"/>
      <c r="WPF10" s="65"/>
      <c r="WPG10" s="65"/>
      <c r="WPH10" s="65"/>
      <c r="WPI10" s="65"/>
      <c r="WPJ10" s="65"/>
      <c r="WPK10" s="65"/>
      <c r="WPL10" s="65"/>
      <c r="WPM10" s="65"/>
      <c r="WPN10" s="65"/>
      <c r="WPO10" s="65"/>
      <c r="WPP10" s="65"/>
      <c r="WPQ10" s="65"/>
      <c r="WPR10" s="65"/>
      <c r="WPS10" s="65"/>
      <c r="WPT10" s="65"/>
      <c r="WPU10" s="65"/>
      <c r="WPV10" s="65"/>
      <c r="WPW10" s="65"/>
      <c r="WPX10" s="65"/>
      <c r="WPY10" s="65"/>
      <c r="WPZ10" s="65"/>
      <c r="WQA10" s="65"/>
      <c r="WQB10" s="65"/>
      <c r="WQC10" s="65"/>
      <c r="WQD10" s="65"/>
      <c r="WQE10" s="65"/>
      <c r="WQF10" s="65"/>
      <c r="WQG10" s="65"/>
      <c r="WQH10" s="65"/>
      <c r="WQI10" s="65"/>
      <c r="WQJ10" s="65"/>
      <c r="WQK10" s="65"/>
      <c r="WQL10" s="65"/>
      <c r="WQM10" s="65"/>
      <c r="WQN10" s="65"/>
      <c r="WQO10" s="65"/>
      <c r="WQP10" s="65"/>
      <c r="WQQ10" s="65"/>
      <c r="WQR10" s="65"/>
      <c r="WQS10" s="65"/>
      <c r="WQT10" s="65"/>
      <c r="WQU10" s="65"/>
      <c r="WQV10" s="65"/>
      <c r="WQW10" s="65"/>
      <c r="WQX10" s="65"/>
      <c r="WQY10" s="65"/>
      <c r="WQZ10" s="65"/>
      <c r="WRA10" s="65"/>
      <c r="WRB10" s="65"/>
      <c r="WRC10" s="65"/>
      <c r="WRD10" s="65"/>
      <c r="WRE10" s="65"/>
      <c r="WRF10" s="65"/>
      <c r="WRG10" s="65"/>
      <c r="WRH10" s="65"/>
      <c r="WRI10" s="65"/>
      <c r="WRJ10" s="65"/>
      <c r="WRK10" s="65"/>
      <c r="WRL10" s="65"/>
      <c r="WRM10" s="65"/>
      <c r="WRN10" s="65"/>
      <c r="WRO10" s="65"/>
      <c r="WRP10" s="65"/>
      <c r="WRQ10" s="65"/>
      <c r="WRR10" s="65"/>
      <c r="WRS10" s="65"/>
      <c r="WRT10" s="65"/>
      <c r="WRU10" s="65"/>
      <c r="WRV10" s="65"/>
      <c r="WRW10" s="65"/>
      <c r="WRX10" s="65"/>
      <c r="WRY10" s="65"/>
      <c r="WRZ10" s="65"/>
      <c r="WSA10" s="65"/>
      <c r="WSB10" s="65"/>
      <c r="WSC10" s="65"/>
      <c r="WSD10" s="65"/>
      <c r="WSE10" s="65"/>
      <c r="WSF10" s="65"/>
      <c r="WSG10" s="65"/>
      <c r="WSH10" s="65"/>
      <c r="WSI10" s="65"/>
      <c r="WSJ10" s="65"/>
      <c r="WSK10" s="65"/>
      <c r="WSL10" s="65"/>
      <c r="WSM10" s="65"/>
      <c r="WSN10" s="65"/>
      <c r="WSO10" s="65"/>
      <c r="WSP10" s="65"/>
      <c r="WSQ10" s="65"/>
      <c r="WSR10" s="65"/>
      <c r="WSS10" s="65"/>
      <c r="WST10" s="65"/>
      <c r="WSU10" s="65"/>
      <c r="WSV10" s="65"/>
      <c r="WSW10" s="65"/>
      <c r="WSX10" s="65"/>
      <c r="WSY10" s="65"/>
      <c r="WSZ10" s="65"/>
      <c r="WTA10" s="65"/>
      <c r="WTB10" s="65"/>
      <c r="WTC10" s="65"/>
      <c r="WTD10" s="65"/>
      <c r="WTE10" s="65"/>
      <c r="WTF10" s="65"/>
      <c r="WTG10" s="65"/>
      <c r="WTH10" s="65"/>
      <c r="WTI10" s="65"/>
      <c r="WTJ10" s="65"/>
      <c r="WTK10" s="65"/>
      <c r="WTL10" s="65"/>
      <c r="WTM10" s="65"/>
      <c r="WTN10" s="65"/>
      <c r="WTO10" s="65"/>
      <c r="WTP10" s="65"/>
      <c r="WTQ10" s="65"/>
      <c r="WTR10" s="65"/>
      <c r="WTS10" s="65"/>
      <c r="WTT10" s="65"/>
      <c r="WTU10" s="65"/>
      <c r="WTV10" s="65"/>
      <c r="WTW10" s="65"/>
      <c r="WTX10" s="65"/>
      <c r="WTY10" s="65"/>
      <c r="WTZ10" s="65"/>
      <c r="WUA10" s="65"/>
      <c r="WUB10" s="65"/>
      <c r="WUC10" s="65"/>
      <c r="WUD10" s="65"/>
      <c r="WUE10" s="65"/>
      <c r="WUF10" s="65"/>
      <c r="WUG10" s="65"/>
      <c r="WUH10" s="65"/>
      <c r="WUI10" s="65"/>
      <c r="WUJ10" s="65"/>
      <c r="WUK10" s="65"/>
      <c r="WUL10" s="65"/>
      <c r="WUM10" s="65"/>
      <c r="WUN10" s="65"/>
      <c r="WUO10" s="65"/>
      <c r="WUP10" s="65"/>
      <c r="WUQ10" s="65"/>
      <c r="WUR10" s="65"/>
      <c r="WUS10" s="65"/>
      <c r="WUT10" s="65"/>
      <c r="WUU10" s="65"/>
      <c r="WUV10" s="65"/>
      <c r="WUW10" s="65"/>
      <c r="WUX10" s="65"/>
      <c r="WUY10" s="65"/>
      <c r="WUZ10" s="65"/>
      <c r="WVA10" s="65"/>
      <c r="WVB10" s="65"/>
      <c r="WVC10" s="65"/>
      <c r="WVD10" s="65"/>
      <c r="WVE10" s="65"/>
      <c r="WVF10" s="65"/>
      <c r="WVG10" s="65"/>
      <c r="WVH10" s="65"/>
      <c r="WVI10" s="65"/>
      <c r="WVJ10" s="65"/>
      <c r="WVK10" s="65"/>
      <c r="WVL10" s="65"/>
      <c r="WVM10" s="65"/>
      <c r="WVN10" s="65"/>
      <c r="WVO10" s="65"/>
      <c r="WVP10" s="65"/>
      <c r="WVQ10" s="65"/>
      <c r="WVR10" s="65"/>
      <c r="WVS10" s="65"/>
      <c r="WVT10" s="65"/>
      <c r="WVU10" s="65"/>
      <c r="WVV10" s="65"/>
      <c r="WVW10" s="65"/>
      <c r="WVX10" s="65"/>
      <c r="WVY10" s="65"/>
      <c r="WVZ10" s="65"/>
      <c r="WWA10" s="65"/>
      <c r="WWB10" s="65"/>
      <c r="WWC10" s="65"/>
      <c r="WWD10" s="65"/>
      <c r="WWE10" s="65"/>
      <c r="WWF10" s="65"/>
      <c r="WWG10" s="65"/>
      <c r="WWH10" s="65"/>
      <c r="WWI10" s="65"/>
      <c r="WWJ10" s="65"/>
      <c r="WWK10" s="65"/>
      <c r="WWL10" s="65"/>
      <c r="WWM10" s="65"/>
      <c r="WWN10" s="65"/>
      <c r="WWO10" s="65"/>
      <c r="WWP10" s="65"/>
      <c r="WWQ10" s="65"/>
      <c r="WWR10" s="65"/>
      <c r="WWS10" s="65"/>
      <c r="WWT10" s="65"/>
      <c r="WWU10" s="65"/>
      <c r="WWV10" s="65"/>
      <c r="WWW10" s="65"/>
      <c r="WWX10" s="65"/>
      <c r="WWY10" s="65"/>
      <c r="WWZ10" s="65"/>
      <c r="WXA10" s="65"/>
      <c r="WXB10" s="65"/>
      <c r="WXC10" s="65"/>
      <c r="WXD10" s="65"/>
      <c r="WXE10" s="65"/>
      <c r="WXF10" s="65"/>
      <c r="WXG10" s="65"/>
      <c r="WXH10" s="65"/>
      <c r="WXI10" s="65"/>
      <c r="WXJ10" s="65"/>
      <c r="WXK10" s="65"/>
      <c r="WXL10" s="65"/>
      <c r="WXM10" s="65"/>
      <c r="WXN10" s="65"/>
      <c r="WXO10" s="65"/>
      <c r="WXP10" s="65"/>
      <c r="WXQ10" s="65"/>
      <c r="WXR10" s="65"/>
      <c r="WXS10" s="65"/>
      <c r="WXT10" s="65"/>
      <c r="WXU10" s="65"/>
      <c r="WXV10" s="65"/>
      <c r="WXW10" s="65"/>
      <c r="WXX10" s="65"/>
      <c r="WXY10" s="65"/>
      <c r="WXZ10" s="65"/>
      <c r="WYA10" s="65"/>
      <c r="WYB10" s="65"/>
      <c r="WYC10" s="65"/>
      <c r="WYD10" s="65"/>
      <c r="WYE10" s="65"/>
      <c r="WYF10" s="65"/>
      <c r="WYG10" s="65"/>
      <c r="WYH10" s="65"/>
      <c r="WYI10" s="65"/>
      <c r="WYJ10" s="65"/>
      <c r="WYK10" s="65"/>
      <c r="WYL10" s="65"/>
      <c r="WYM10" s="65"/>
      <c r="WYN10" s="65"/>
      <c r="WYO10" s="65"/>
      <c r="WYP10" s="65"/>
      <c r="WYQ10" s="65"/>
      <c r="WYR10" s="65"/>
      <c r="WYS10" s="65"/>
      <c r="WYT10" s="65"/>
      <c r="WYU10" s="65"/>
      <c r="WYV10" s="65"/>
      <c r="WYW10" s="65"/>
      <c r="WYX10" s="65"/>
      <c r="WYY10" s="65"/>
      <c r="WYZ10" s="65"/>
      <c r="WZA10" s="65"/>
      <c r="WZB10" s="65"/>
      <c r="WZC10" s="65"/>
      <c r="WZD10" s="65"/>
      <c r="WZE10" s="65"/>
      <c r="WZF10" s="65"/>
      <c r="WZG10" s="65"/>
      <c r="WZH10" s="65"/>
      <c r="WZI10" s="65"/>
      <c r="WZJ10" s="65"/>
      <c r="WZK10" s="65"/>
      <c r="WZL10" s="65"/>
      <c r="WZM10" s="65"/>
      <c r="WZN10" s="65"/>
      <c r="WZO10" s="65"/>
      <c r="WZP10" s="65"/>
      <c r="WZQ10" s="65"/>
      <c r="WZR10" s="65"/>
      <c r="WZS10" s="65"/>
      <c r="WZT10" s="65"/>
      <c r="WZU10" s="65"/>
      <c r="WZV10" s="65"/>
      <c r="WZW10" s="65"/>
      <c r="WZX10" s="65"/>
      <c r="WZY10" s="65"/>
      <c r="WZZ10" s="65"/>
      <c r="XAA10" s="65"/>
      <c r="XAB10" s="65"/>
      <c r="XAC10" s="65"/>
      <c r="XAD10" s="65"/>
      <c r="XAE10" s="65"/>
      <c r="XAF10" s="65"/>
      <c r="XAG10" s="65"/>
      <c r="XAH10" s="65"/>
      <c r="XAI10" s="65"/>
      <c r="XAJ10" s="65"/>
      <c r="XAK10" s="65"/>
      <c r="XAL10" s="65"/>
      <c r="XAM10" s="65"/>
      <c r="XAN10" s="65"/>
      <c r="XAO10" s="65"/>
      <c r="XAP10" s="65"/>
      <c r="XAQ10" s="65"/>
      <c r="XAR10" s="65"/>
      <c r="XAS10" s="65"/>
      <c r="XAT10" s="65"/>
      <c r="XAU10" s="65"/>
      <c r="XAV10" s="65"/>
      <c r="XAW10" s="65"/>
      <c r="XAX10" s="65"/>
      <c r="XAY10" s="65"/>
      <c r="XAZ10" s="65"/>
      <c r="XBA10" s="65"/>
      <c r="XBB10" s="65"/>
      <c r="XBC10" s="65"/>
      <c r="XBD10" s="65"/>
      <c r="XBE10" s="65"/>
      <c r="XBF10" s="65"/>
      <c r="XBG10" s="65"/>
      <c r="XBH10" s="65"/>
      <c r="XBI10" s="65"/>
      <c r="XBJ10" s="65"/>
      <c r="XBK10" s="65"/>
      <c r="XBL10" s="65"/>
      <c r="XBM10" s="65"/>
      <c r="XBN10" s="65"/>
      <c r="XBO10" s="65"/>
      <c r="XBP10" s="65"/>
      <c r="XBQ10" s="65"/>
      <c r="XBR10" s="65"/>
      <c r="XBS10" s="65"/>
      <c r="XBT10" s="65"/>
      <c r="XBU10" s="65"/>
      <c r="XBV10" s="65"/>
      <c r="XBW10" s="65"/>
      <c r="XBX10" s="65"/>
      <c r="XBY10" s="65"/>
      <c r="XBZ10" s="65"/>
      <c r="XCA10" s="65"/>
      <c r="XCB10" s="65"/>
      <c r="XCC10" s="65"/>
      <c r="XCD10" s="65"/>
      <c r="XCE10" s="65"/>
      <c r="XCF10" s="65"/>
      <c r="XCG10" s="65"/>
      <c r="XCH10" s="65"/>
      <c r="XCI10" s="65"/>
      <c r="XCJ10" s="65"/>
      <c r="XCK10" s="65"/>
      <c r="XCL10" s="65"/>
      <c r="XCM10" s="65"/>
      <c r="XCN10" s="65"/>
      <c r="XCO10" s="65"/>
      <c r="XCP10" s="65"/>
      <c r="XCQ10" s="65"/>
      <c r="XCR10" s="65"/>
      <c r="XCS10" s="65"/>
      <c r="XCT10" s="65"/>
      <c r="XCU10" s="65"/>
      <c r="XCV10" s="65"/>
      <c r="XCW10" s="65"/>
      <c r="XCX10" s="65"/>
      <c r="XCY10" s="65"/>
      <c r="XCZ10" s="65"/>
      <c r="XDA10" s="65"/>
      <c r="XDB10" s="65"/>
      <c r="XDC10" s="65"/>
      <c r="XDD10" s="65"/>
      <c r="XDE10" s="65"/>
      <c r="XDF10" s="65"/>
      <c r="XDG10" s="65"/>
      <c r="XDH10" s="65"/>
      <c r="XDI10" s="65"/>
      <c r="XDJ10" s="65"/>
      <c r="XDK10" s="65"/>
      <c r="XDL10" s="65"/>
      <c r="XDM10" s="65"/>
      <c r="XDN10" s="65"/>
      <c r="XDO10" s="65"/>
      <c r="XDP10" s="65"/>
      <c r="XDQ10" s="65"/>
      <c r="XDR10" s="65"/>
      <c r="XDS10" s="65"/>
      <c r="XDT10" s="65"/>
      <c r="XDU10" s="65"/>
      <c r="XDV10" s="65"/>
      <c r="XDW10" s="65"/>
      <c r="XDX10" s="65"/>
      <c r="XDY10" s="65"/>
      <c r="XDZ10" s="65"/>
      <c r="XEA10" s="65"/>
      <c r="XEB10" s="65"/>
      <c r="XEC10" s="65"/>
      <c r="XED10" s="65"/>
      <c r="XEE10" s="65"/>
      <c r="XEF10" s="65"/>
      <c r="XEG10" s="65"/>
      <c r="XEH10" s="65"/>
      <c r="XEI10" s="65"/>
      <c r="XEJ10" s="65"/>
      <c r="XEK10" s="65"/>
      <c r="XEL10" s="65"/>
      <c r="XEM10" s="65"/>
      <c r="XEN10" s="65"/>
      <c r="XEO10" s="65"/>
      <c r="XEP10" s="65"/>
      <c r="XEQ10" s="65"/>
      <c r="XER10" s="65"/>
      <c r="XES10" s="65"/>
      <c r="XET10" s="65"/>
      <c r="XEU10" s="65"/>
      <c r="XEV10" s="65"/>
      <c r="XEW10" s="65"/>
      <c r="XEX10" s="65"/>
      <c r="XEY10" s="65"/>
      <c r="XEZ10" s="65"/>
      <c r="XFA10" s="65"/>
      <c r="XFB10" s="65"/>
      <c r="XFC10" s="65"/>
      <c r="XFD10" s="65"/>
    </row>
    <row r="11" spans="1:16384">
      <c r="A11" s="4" t="s">
        <v>80</v>
      </c>
      <c r="B11" s="62" t="s">
        <v>81</v>
      </c>
      <c r="C11" s="62"/>
      <c r="D11" s="62"/>
    </row>
    <row r="12" spans="1:16384">
      <c r="A12" s="4" t="s">
        <v>82</v>
      </c>
      <c r="B12" s="62" t="s">
        <v>83</v>
      </c>
      <c r="C12" s="62"/>
      <c r="D12" s="62"/>
    </row>
    <row r="13" spans="1:16384">
      <c r="A13" s="66"/>
      <c r="B13" s="66"/>
    </row>
    <row r="14" spans="1:16384" s="14" customFormat="1" ht="15.75">
      <c r="A14" s="25" t="s">
        <v>84</v>
      </c>
      <c r="B14" s="22"/>
      <c r="C14" s="22"/>
      <c r="D14" s="22"/>
    </row>
    <row r="15" spans="1:16384">
      <c r="A15" s="4" t="s">
        <v>85</v>
      </c>
      <c r="B15" s="62" t="s">
        <v>122</v>
      </c>
      <c r="C15" s="62"/>
      <c r="D15" s="62"/>
    </row>
    <row r="16" spans="1:16384">
      <c r="A16" s="4" t="s">
        <v>86</v>
      </c>
      <c r="B16" s="62" t="s">
        <v>87</v>
      </c>
      <c r="C16" s="62"/>
      <c r="D16" s="62"/>
    </row>
    <row r="17" spans="1:4">
      <c r="A17" s="28"/>
      <c r="B17" s="29"/>
    </row>
    <row r="18" spans="1:4" s="14" customFormat="1" ht="15.75">
      <c r="A18" s="25" t="s">
        <v>88</v>
      </c>
      <c r="B18" s="27"/>
      <c r="C18" s="27"/>
      <c r="D18" s="27"/>
    </row>
    <row r="19" spans="1:4">
      <c r="A19" s="4" t="s">
        <v>92</v>
      </c>
      <c r="B19" s="62" t="s">
        <v>89</v>
      </c>
      <c r="C19" s="62"/>
      <c r="D19" s="62"/>
    </row>
    <row r="20" spans="1:4">
      <c r="A20" s="4" t="s">
        <v>91</v>
      </c>
      <c r="B20" s="62" t="s">
        <v>90</v>
      </c>
      <c r="C20" s="62"/>
      <c r="D20" s="62"/>
    </row>
    <row r="22" spans="1:4" s="14" customFormat="1" ht="15.75">
      <c r="A22" s="25" t="s">
        <v>93</v>
      </c>
      <c r="B22" s="27"/>
      <c r="C22" s="27"/>
      <c r="D22" s="27"/>
    </row>
    <row r="23" spans="1:4">
      <c r="A23" s="4" t="s">
        <v>94</v>
      </c>
      <c r="B23" s="62" t="s">
        <v>97</v>
      </c>
      <c r="C23" s="62"/>
      <c r="D23" s="62"/>
    </row>
    <row r="24" spans="1:4">
      <c r="A24" s="4" t="s">
        <v>95</v>
      </c>
      <c r="B24" s="62" t="s">
        <v>96</v>
      </c>
      <c r="C24" s="62"/>
      <c r="D24" s="62"/>
    </row>
    <row r="26" spans="1:4">
      <c r="B26" s="16"/>
    </row>
  </sheetData>
  <mergeCells count="8206">
    <mergeCell ref="A13:B13"/>
    <mergeCell ref="O10:P10"/>
    <mergeCell ref="Q10:R10"/>
    <mergeCell ref="S10:T10"/>
    <mergeCell ref="U10:V10"/>
    <mergeCell ref="W10:X10"/>
    <mergeCell ref="E10:F10"/>
    <mergeCell ref="G10:H10"/>
    <mergeCell ref="I10:J10"/>
    <mergeCell ref="K10:L10"/>
    <mergeCell ref="M10:N10"/>
    <mergeCell ref="A6:B6"/>
    <mergeCell ref="A10:B10"/>
    <mergeCell ref="C10:D10"/>
    <mergeCell ref="BC10:BD10"/>
    <mergeCell ref="BE10:BF10"/>
    <mergeCell ref="BG10:BH10"/>
    <mergeCell ref="BI10:BJ10"/>
    <mergeCell ref="A9:D9"/>
    <mergeCell ref="BK10:BL10"/>
    <mergeCell ref="AS10:AT10"/>
    <mergeCell ref="AU10:AV10"/>
    <mergeCell ref="AW10:AX10"/>
    <mergeCell ref="AY10:AZ10"/>
    <mergeCell ref="BA10:BB10"/>
    <mergeCell ref="AI10:AJ10"/>
    <mergeCell ref="AK10:AL10"/>
    <mergeCell ref="AM10:AN10"/>
    <mergeCell ref="AO10:AP10"/>
    <mergeCell ref="AQ10:AR10"/>
    <mergeCell ref="Y10:Z10"/>
    <mergeCell ref="AA10:AB10"/>
    <mergeCell ref="AC10:AD10"/>
    <mergeCell ref="AE10:AF10"/>
    <mergeCell ref="AG10:AH10"/>
    <mergeCell ref="CQ10:CR10"/>
    <mergeCell ref="CS10:CT10"/>
    <mergeCell ref="CU10:CV10"/>
    <mergeCell ref="CW10:CX10"/>
    <mergeCell ref="CY10:CZ10"/>
    <mergeCell ref="CG10:CH10"/>
    <mergeCell ref="CI10:CJ10"/>
    <mergeCell ref="CK10:CL10"/>
    <mergeCell ref="CM10:CN10"/>
    <mergeCell ref="CO10:CP10"/>
    <mergeCell ref="BW10:BX10"/>
    <mergeCell ref="BY10:BZ10"/>
    <mergeCell ref="CA10:CB10"/>
    <mergeCell ref="CC10:CD10"/>
    <mergeCell ref="CE10:CF10"/>
    <mergeCell ref="BM10:BN10"/>
    <mergeCell ref="BO10:BP10"/>
    <mergeCell ref="BQ10:BR10"/>
    <mergeCell ref="BS10:BT10"/>
    <mergeCell ref="BU10:BV10"/>
    <mergeCell ref="EE10:EF10"/>
    <mergeCell ref="EG10:EH10"/>
    <mergeCell ref="EI10:EJ10"/>
    <mergeCell ref="EK10:EL10"/>
    <mergeCell ref="EM10:EN10"/>
    <mergeCell ref="DU10:DV10"/>
    <mergeCell ref="DW10:DX10"/>
    <mergeCell ref="DY10:DZ10"/>
    <mergeCell ref="EA10:EB10"/>
    <mergeCell ref="EC10:ED10"/>
    <mergeCell ref="DK10:DL10"/>
    <mergeCell ref="DM10:DN10"/>
    <mergeCell ref="DO10:DP10"/>
    <mergeCell ref="DQ10:DR10"/>
    <mergeCell ref="DS10:DT10"/>
    <mergeCell ref="DA10:DB10"/>
    <mergeCell ref="DC10:DD10"/>
    <mergeCell ref="DE10:DF10"/>
    <mergeCell ref="DG10:DH10"/>
    <mergeCell ref="DI10:DJ10"/>
    <mergeCell ref="FS10:FT10"/>
    <mergeCell ref="FU10:FV10"/>
    <mergeCell ref="FW10:FX10"/>
    <mergeCell ref="FY10:FZ10"/>
    <mergeCell ref="GA10:GB10"/>
    <mergeCell ref="FI10:FJ10"/>
    <mergeCell ref="FK10:FL10"/>
    <mergeCell ref="FM10:FN10"/>
    <mergeCell ref="FO10:FP10"/>
    <mergeCell ref="FQ10:FR10"/>
    <mergeCell ref="EY10:EZ10"/>
    <mergeCell ref="FA10:FB10"/>
    <mergeCell ref="FC10:FD10"/>
    <mergeCell ref="FE10:FF10"/>
    <mergeCell ref="FG10:FH10"/>
    <mergeCell ref="EO10:EP10"/>
    <mergeCell ref="EQ10:ER10"/>
    <mergeCell ref="ES10:ET10"/>
    <mergeCell ref="EU10:EV10"/>
    <mergeCell ref="EW10:EX10"/>
    <mergeCell ref="HG10:HH10"/>
    <mergeCell ref="HI10:HJ10"/>
    <mergeCell ref="HK10:HL10"/>
    <mergeCell ref="HM10:HN10"/>
    <mergeCell ref="HO10:HP10"/>
    <mergeCell ref="GW10:GX10"/>
    <mergeCell ref="GY10:GZ10"/>
    <mergeCell ref="HA10:HB10"/>
    <mergeCell ref="HC10:HD10"/>
    <mergeCell ref="HE10:HF10"/>
    <mergeCell ref="GM10:GN10"/>
    <mergeCell ref="GO10:GP10"/>
    <mergeCell ref="GQ10:GR10"/>
    <mergeCell ref="GS10:GT10"/>
    <mergeCell ref="GU10:GV10"/>
    <mergeCell ref="GC10:GD10"/>
    <mergeCell ref="GE10:GF10"/>
    <mergeCell ref="GG10:GH10"/>
    <mergeCell ref="GI10:GJ10"/>
    <mergeCell ref="GK10:GL10"/>
    <mergeCell ref="IU10:IV10"/>
    <mergeCell ref="IW10:IX10"/>
    <mergeCell ref="IY10:IZ10"/>
    <mergeCell ref="JA10:JB10"/>
    <mergeCell ref="JC10:JD10"/>
    <mergeCell ref="IK10:IL10"/>
    <mergeCell ref="IM10:IN10"/>
    <mergeCell ref="IO10:IP10"/>
    <mergeCell ref="IQ10:IR10"/>
    <mergeCell ref="IS10:IT10"/>
    <mergeCell ref="IA10:IB10"/>
    <mergeCell ref="IC10:ID10"/>
    <mergeCell ref="IE10:IF10"/>
    <mergeCell ref="IG10:IH10"/>
    <mergeCell ref="II10:IJ10"/>
    <mergeCell ref="HQ10:HR10"/>
    <mergeCell ref="HS10:HT10"/>
    <mergeCell ref="HU10:HV10"/>
    <mergeCell ref="HW10:HX10"/>
    <mergeCell ref="HY10:HZ10"/>
    <mergeCell ref="KI10:KJ10"/>
    <mergeCell ref="KK10:KL10"/>
    <mergeCell ref="KM10:KN10"/>
    <mergeCell ref="KO10:KP10"/>
    <mergeCell ref="KQ10:KR10"/>
    <mergeCell ref="JY10:JZ10"/>
    <mergeCell ref="KA10:KB10"/>
    <mergeCell ref="KC10:KD10"/>
    <mergeCell ref="KE10:KF10"/>
    <mergeCell ref="KG10:KH10"/>
    <mergeCell ref="JO10:JP10"/>
    <mergeCell ref="JQ10:JR10"/>
    <mergeCell ref="JS10:JT10"/>
    <mergeCell ref="JU10:JV10"/>
    <mergeCell ref="JW10:JX10"/>
    <mergeCell ref="JE10:JF10"/>
    <mergeCell ref="JG10:JH10"/>
    <mergeCell ref="JI10:JJ10"/>
    <mergeCell ref="JK10:JL10"/>
    <mergeCell ref="JM10:JN10"/>
    <mergeCell ref="LW10:LX10"/>
    <mergeCell ref="LY10:LZ10"/>
    <mergeCell ref="MA10:MB10"/>
    <mergeCell ref="MC10:MD10"/>
    <mergeCell ref="ME10:MF10"/>
    <mergeCell ref="LM10:LN10"/>
    <mergeCell ref="LO10:LP10"/>
    <mergeCell ref="LQ10:LR10"/>
    <mergeCell ref="LS10:LT10"/>
    <mergeCell ref="LU10:LV10"/>
    <mergeCell ref="LC10:LD10"/>
    <mergeCell ref="LE10:LF10"/>
    <mergeCell ref="LG10:LH10"/>
    <mergeCell ref="LI10:LJ10"/>
    <mergeCell ref="LK10:LL10"/>
    <mergeCell ref="KS10:KT10"/>
    <mergeCell ref="KU10:KV10"/>
    <mergeCell ref="KW10:KX10"/>
    <mergeCell ref="KY10:KZ10"/>
    <mergeCell ref="LA10:LB10"/>
    <mergeCell ref="NK10:NL10"/>
    <mergeCell ref="NM10:NN10"/>
    <mergeCell ref="NO10:NP10"/>
    <mergeCell ref="NQ10:NR10"/>
    <mergeCell ref="NS10:NT10"/>
    <mergeCell ref="NA10:NB10"/>
    <mergeCell ref="NC10:ND10"/>
    <mergeCell ref="NE10:NF10"/>
    <mergeCell ref="NG10:NH10"/>
    <mergeCell ref="NI10:NJ10"/>
    <mergeCell ref="MQ10:MR10"/>
    <mergeCell ref="MS10:MT10"/>
    <mergeCell ref="MU10:MV10"/>
    <mergeCell ref="MW10:MX10"/>
    <mergeCell ref="MY10:MZ10"/>
    <mergeCell ref="MG10:MH10"/>
    <mergeCell ref="MI10:MJ10"/>
    <mergeCell ref="MK10:ML10"/>
    <mergeCell ref="MM10:MN10"/>
    <mergeCell ref="MO10:MP10"/>
    <mergeCell ref="OY10:OZ10"/>
    <mergeCell ref="PA10:PB10"/>
    <mergeCell ref="PC10:PD10"/>
    <mergeCell ref="PE10:PF10"/>
    <mergeCell ref="PG10:PH10"/>
    <mergeCell ref="OO10:OP10"/>
    <mergeCell ref="OQ10:OR10"/>
    <mergeCell ref="OS10:OT10"/>
    <mergeCell ref="OU10:OV10"/>
    <mergeCell ref="OW10:OX10"/>
    <mergeCell ref="OE10:OF10"/>
    <mergeCell ref="OG10:OH10"/>
    <mergeCell ref="OI10:OJ10"/>
    <mergeCell ref="OK10:OL10"/>
    <mergeCell ref="OM10:ON10"/>
    <mergeCell ref="NU10:NV10"/>
    <mergeCell ref="NW10:NX10"/>
    <mergeCell ref="NY10:NZ10"/>
    <mergeCell ref="OA10:OB10"/>
    <mergeCell ref="OC10:OD10"/>
    <mergeCell ref="QM10:QN10"/>
    <mergeCell ref="QO10:QP10"/>
    <mergeCell ref="QQ10:QR10"/>
    <mergeCell ref="QS10:QT10"/>
    <mergeCell ref="QU10:QV10"/>
    <mergeCell ref="QC10:QD10"/>
    <mergeCell ref="QE10:QF10"/>
    <mergeCell ref="QG10:QH10"/>
    <mergeCell ref="QI10:QJ10"/>
    <mergeCell ref="QK10:QL10"/>
    <mergeCell ref="PS10:PT10"/>
    <mergeCell ref="PU10:PV10"/>
    <mergeCell ref="PW10:PX10"/>
    <mergeCell ref="PY10:PZ10"/>
    <mergeCell ref="QA10:QB10"/>
    <mergeCell ref="PI10:PJ10"/>
    <mergeCell ref="PK10:PL10"/>
    <mergeCell ref="PM10:PN10"/>
    <mergeCell ref="PO10:PP10"/>
    <mergeCell ref="PQ10:PR10"/>
    <mergeCell ref="SA10:SB10"/>
    <mergeCell ref="SC10:SD10"/>
    <mergeCell ref="SE10:SF10"/>
    <mergeCell ref="SG10:SH10"/>
    <mergeCell ref="SI10:SJ10"/>
    <mergeCell ref="RQ10:RR10"/>
    <mergeCell ref="RS10:RT10"/>
    <mergeCell ref="RU10:RV10"/>
    <mergeCell ref="RW10:RX10"/>
    <mergeCell ref="RY10:RZ10"/>
    <mergeCell ref="RG10:RH10"/>
    <mergeCell ref="RI10:RJ10"/>
    <mergeCell ref="RK10:RL10"/>
    <mergeCell ref="RM10:RN10"/>
    <mergeCell ref="RO10:RP10"/>
    <mergeCell ref="QW10:QX10"/>
    <mergeCell ref="QY10:QZ10"/>
    <mergeCell ref="RA10:RB10"/>
    <mergeCell ref="RC10:RD10"/>
    <mergeCell ref="RE10:RF10"/>
    <mergeCell ref="TO10:TP10"/>
    <mergeCell ref="TQ10:TR10"/>
    <mergeCell ref="TS10:TT10"/>
    <mergeCell ref="TU10:TV10"/>
    <mergeCell ref="TW10:TX10"/>
    <mergeCell ref="TE10:TF10"/>
    <mergeCell ref="TG10:TH10"/>
    <mergeCell ref="TI10:TJ10"/>
    <mergeCell ref="TK10:TL10"/>
    <mergeCell ref="TM10:TN10"/>
    <mergeCell ref="SU10:SV10"/>
    <mergeCell ref="SW10:SX10"/>
    <mergeCell ref="SY10:SZ10"/>
    <mergeCell ref="TA10:TB10"/>
    <mergeCell ref="TC10:TD10"/>
    <mergeCell ref="SK10:SL10"/>
    <mergeCell ref="SM10:SN10"/>
    <mergeCell ref="SO10:SP10"/>
    <mergeCell ref="SQ10:SR10"/>
    <mergeCell ref="SS10:ST10"/>
    <mergeCell ref="VC10:VD10"/>
    <mergeCell ref="VE10:VF10"/>
    <mergeCell ref="VG10:VH10"/>
    <mergeCell ref="VI10:VJ10"/>
    <mergeCell ref="VK10:VL10"/>
    <mergeCell ref="US10:UT10"/>
    <mergeCell ref="UU10:UV10"/>
    <mergeCell ref="UW10:UX10"/>
    <mergeCell ref="UY10:UZ10"/>
    <mergeCell ref="VA10:VB10"/>
    <mergeCell ref="UI10:UJ10"/>
    <mergeCell ref="UK10:UL10"/>
    <mergeCell ref="UM10:UN10"/>
    <mergeCell ref="UO10:UP10"/>
    <mergeCell ref="UQ10:UR10"/>
    <mergeCell ref="TY10:TZ10"/>
    <mergeCell ref="UA10:UB10"/>
    <mergeCell ref="UC10:UD10"/>
    <mergeCell ref="UE10:UF10"/>
    <mergeCell ref="UG10:UH10"/>
    <mergeCell ref="WQ10:WR10"/>
    <mergeCell ref="WS10:WT10"/>
    <mergeCell ref="WU10:WV10"/>
    <mergeCell ref="WW10:WX10"/>
    <mergeCell ref="WY10:WZ10"/>
    <mergeCell ref="WG10:WH10"/>
    <mergeCell ref="WI10:WJ10"/>
    <mergeCell ref="WK10:WL10"/>
    <mergeCell ref="WM10:WN10"/>
    <mergeCell ref="WO10:WP10"/>
    <mergeCell ref="VW10:VX10"/>
    <mergeCell ref="VY10:VZ10"/>
    <mergeCell ref="WA10:WB10"/>
    <mergeCell ref="WC10:WD10"/>
    <mergeCell ref="WE10:WF10"/>
    <mergeCell ref="VM10:VN10"/>
    <mergeCell ref="VO10:VP10"/>
    <mergeCell ref="VQ10:VR10"/>
    <mergeCell ref="VS10:VT10"/>
    <mergeCell ref="VU10:VV10"/>
    <mergeCell ref="YE10:YF10"/>
    <mergeCell ref="YG10:YH10"/>
    <mergeCell ref="YI10:YJ10"/>
    <mergeCell ref="YK10:YL10"/>
    <mergeCell ref="YM10:YN10"/>
    <mergeCell ref="XU10:XV10"/>
    <mergeCell ref="XW10:XX10"/>
    <mergeCell ref="XY10:XZ10"/>
    <mergeCell ref="YA10:YB10"/>
    <mergeCell ref="YC10:YD10"/>
    <mergeCell ref="XK10:XL10"/>
    <mergeCell ref="XM10:XN10"/>
    <mergeCell ref="XO10:XP10"/>
    <mergeCell ref="XQ10:XR10"/>
    <mergeCell ref="XS10:XT10"/>
    <mergeCell ref="XA10:XB10"/>
    <mergeCell ref="XC10:XD10"/>
    <mergeCell ref="XE10:XF10"/>
    <mergeCell ref="XG10:XH10"/>
    <mergeCell ref="XI10:XJ10"/>
    <mergeCell ref="ZS10:ZT10"/>
    <mergeCell ref="ZU10:ZV10"/>
    <mergeCell ref="ZW10:ZX10"/>
    <mergeCell ref="ZY10:ZZ10"/>
    <mergeCell ref="AAA10:AAB10"/>
    <mergeCell ref="ZI10:ZJ10"/>
    <mergeCell ref="ZK10:ZL10"/>
    <mergeCell ref="ZM10:ZN10"/>
    <mergeCell ref="ZO10:ZP10"/>
    <mergeCell ref="ZQ10:ZR10"/>
    <mergeCell ref="YY10:YZ10"/>
    <mergeCell ref="ZA10:ZB10"/>
    <mergeCell ref="ZC10:ZD10"/>
    <mergeCell ref="ZE10:ZF10"/>
    <mergeCell ref="ZG10:ZH10"/>
    <mergeCell ref="YO10:YP10"/>
    <mergeCell ref="YQ10:YR10"/>
    <mergeCell ref="YS10:YT10"/>
    <mergeCell ref="YU10:YV10"/>
    <mergeCell ref="YW10:YX10"/>
    <mergeCell ref="ABG10:ABH10"/>
    <mergeCell ref="ABI10:ABJ10"/>
    <mergeCell ref="ABK10:ABL10"/>
    <mergeCell ref="ABM10:ABN10"/>
    <mergeCell ref="ABO10:ABP10"/>
    <mergeCell ref="AAW10:AAX10"/>
    <mergeCell ref="AAY10:AAZ10"/>
    <mergeCell ref="ABA10:ABB10"/>
    <mergeCell ref="ABC10:ABD10"/>
    <mergeCell ref="ABE10:ABF10"/>
    <mergeCell ref="AAM10:AAN10"/>
    <mergeCell ref="AAO10:AAP10"/>
    <mergeCell ref="AAQ10:AAR10"/>
    <mergeCell ref="AAS10:AAT10"/>
    <mergeCell ref="AAU10:AAV10"/>
    <mergeCell ref="AAC10:AAD10"/>
    <mergeCell ref="AAE10:AAF10"/>
    <mergeCell ref="AAG10:AAH10"/>
    <mergeCell ref="AAI10:AAJ10"/>
    <mergeCell ref="AAK10:AAL10"/>
    <mergeCell ref="ACU10:ACV10"/>
    <mergeCell ref="ACW10:ACX10"/>
    <mergeCell ref="ACY10:ACZ10"/>
    <mergeCell ref="ADA10:ADB10"/>
    <mergeCell ref="ADC10:ADD10"/>
    <mergeCell ref="ACK10:ACL10"/>
    <mergeCell ref="ACM10:ACN10"/>
    <mergeCell ref="ACO10:ACP10"/>
    <mergeCell ref="ACQ10:ACR10"/>
    <mergeCell ref="ACS10:ACT10"/>
    <mergeCell ref="ACA10:ACB10"/>
    <mergeCell ref="ACC10:ACD10"/>
    <mergeCell ref="ACE10:ACF10"/>
    <mergeCell ref="ACG10:ACH10"/>
    <mergeCell ref="ACI10:ACJ10"/>
    <mergeCell ref="ABQ10:ABR10"/>
    <mergeCell ref="ABS10:ABT10"/>
    <mergeCell ref="ABU10:ABV10"/>
    <mergeCell ref="ABW10:ABX10"/>
    <mergeCell ref="ABY10:ABZ10"/>
    <mergeCell ref="AEI10:AEJ10"/>
    <mergeCell ref="AEK10:AEL10"/>
    <mergeCell ref="AEM10:AEN10"/>
    <mergeCell ref="AEO10:AEP10"/>
    <mergeCell ref="AEQ10:AER10"/>
    <mergeCell ref="ADY10:ADZ10"/>
    <mergeCell ref="AEA10:AEB10"/>
    <mergeCell ref="AEC10:AED10"/>
    <mergeCell ref="AEE10:AEF10"/>
    <mergeCell ref="AEG10:AEH10"/>
    <mergeCell ref="ADO10:ADP10"/>
    <mergeCell ref="ADQ10:ADR10"/>
    <mergeCell ref="ADS10:ADT10"/>
    <mergeCell ref="ADU10:ADV10"/>
    <mergeCell ref="ADW10:ADX10"/>
    <mergeCell ref="ADE10:ADF10"/>
    <mergeCell ref="ADG10:ADH10"/>
    <mergeCell ref="ADI10:ADJ10"/>
    <mergeCell ref="ADK10:ADL10"/>
    <mergeCell ref="ADM10:ADN10"/>
    <mergeCell ref="AFW10:AFX10"/>
    <mergeCell ref="AFY10:AFZ10"/>
    <mergeCell ref="AGA10:AGB10"/>
    <mergeCell ref="AGC10:AGD10"/>
    <mergeCell ref="AGE10:AGF10"/>
    <mergeCell ref="AFM10:AFN10"/>
    <mergeCell ref="AFO10:AFP10"/>
    <mergeCell ref="AFQ10:AFR10"/>
    <mergeCell ref="AFS10:AFT10"/>
    <mergeCell ref="AFU10:AFV10"/>
    <mergeCell ref="AFC10:AFD10"/>
    <mergeCell ref="AFE10:AFF10"/>
    <mergeCell ref="AFG10:AFH10"/>
    <mergeCell ref="AFI10:AFJ10"/>
    <mergeCell ref="AFK10:AFL10"/>
    <mergeCell ref="AES10:AET10"/>
    <mergeCell ref="AEU10:AEV10"/>
    <mergeCell ref="AEW10:AEX10"/>
    <mergeCell ref="AEY10:AEZ10"/>
    <mergeCell ref="AFA10:AFB10"/>
    <mergeCell ref="AHK10:AHL10"/>
    <mergeCell ref="AHM10:AHN10"/>
    <mergeCell ref="AHO10:AHP10"/>
    <mergeCell ref="AHQ10:AHR10"/>
    <mergeCell ref="AHS10:AHT10"/>
    <mergeCell ref="AHA10:AHB10"/>
    <mergeCell ref="AHC10:AHD10"/>
    <mergeCell ref="AHE10:AHF10"/>
    <mergeCell ref="AHG10:AHH10"/>
    <mergeCell ref="AHI10:AHJ10"/>
    <mergeCell ref="AGQ10:AGR10"/>
    <mergeCell ref="AGS10:AGT10"/>
    <mergeCell ref="AGU10:AGV10"/>
    <mergeCell ref="AGW10:AGX10"/>
    <mergeCell ref="AGY10:AGZ10"/>
    <mergeCell ref="AGG10:AGH10"/>
    <mergeCell ref="AGI10:AGJ10"/>
    <mergeCell ref="AGK10:AGL10"/>
    <mergeCell ref="AGM10:AGN10"/>
    <mergeCell ref="AGO10:AGP10"/>
    <mergeCell ref="AIY10:AIZ10"/>
    <mergeCell ref="AJA10:AJB10"/>
    <mergeCell ref="AJC10:AJD10"/>
    <mergeCell ref="AJE10:AJF10"/>
    <mergeCell ref="AJG10:AJH10"/>
    <mergeCell ref="AIO10:AIP10"/>
    <mergeCell ref="AIQ10:AIR10"/>
    <mergeCell ref="AIS10:AIT10"/>
    <mergeCell ref="AIU10:AIV10"/>
    <mergeCell ref="AIW10:AIX10"/>
    <mergeCell ref="AIE10:AIF10"/>
    <mergeCell ref="AIG10:AIH10"/>
    <mergeCell ref="AII10:AIJ10"/>
    <mergeCell ref="AIK10:AIL10"/>
    <mergeCell ref="AIM10:AIN10"/>
    <mergeCell ref="AHU10:AHV10"/>
    <mergeCell ref="AHW10:AHX10"/>
    <mergeCell ref="AHY10:AHZ10"/>
    <mergeCell ref="AIA10:AIB10"/>
    <mergeCell ref="AIC10:AID10"/>
    <mergeCell ref="AKM10:AKN10"/>
    <mergeCell ref="AKO10:AKP10"/>
    <mergeCell ref="AKQ10:AKR10"/>
    <mergeCell ref="AKS10:AKT10"/>
    <mergeCell ref="AKU10:AKV10"/>
    <mergeCell ref="AKC10:AKD10"/>
    <mergeCell ref="AKE10:AKF10"/>
    <mergeCell ref="AKG10:AKH10"/>
    <mergeCell ref="AKI10:AKJ10"/>
    <mergeCell ref="AKK10:AKL10"/>
    <mergeCell ref="AJS10:AJT10"/>
    <mergeCell ref="AJU10:AJV10"/>
    <mergeCell ref="AJW10:AJX10"/>
    <mergeCell ref="AJY10:AJZ10"/>
    <mergeCell ref="AKA10:AKB10"/>
    <mergeCell ref="AJI10:AJJ10"/>
    <mergeCell ref="AJK10:AJL10"/>
    <mergeCell ref="AJM10:AJN10"/>
    <mergeCell ref="AJO10:AJP10"/>
    <mergeCell ref="AJQ10:AJR10"/>
    <mergeCell ref="AMA10:AMB10"/>
    <mergeCell ref="AMC10:AMD10"/>
    <mergeCell ref="AME10:AMF10"/>
    <mergeCell ref="AMG10:AMH10"/>
    <mergeCell ref="AMI10:AMJ10"/>
    <mergeCell ref="ALQ10:ALR10"/>
    <mergeCell ref="ALS10:ALT10"/>
    <mergeCell ref="ALU10:ALV10"/>
    <mergeCell ref="ALW10:ALX10"/>
    <mergeCell ref="ALY10:ALZ10"/>
    <mergeCell ref="ALG10:ALH10"/>
    <mergeCell ref="ALI10:ALJ10"/>
    <mergeCell ref="ALK10:ALL10"/>
    <mergeCell ref="ALM10:ALN10"/>
    <mergeCell ref="ALO10:ALP10"/>
    <mergeCell ref="AKW10:AKX10"/>
    <mergeCell ref="AKY10:AKZ10"/>
    <mergeCell ref="ALA10:ALB10"/>
    <mergeCell ref="ALC10:ALD10"/>
    <mergeCell ref="ALE10:ALF10"/>
    <mergeCell ref="ANO10:ANP10"/>
    <mergeCell ref="ANQ10:ANR10"/>
    <mergeCell ref="ANS10:ANT10"/>
    <mergeCell ref="ANU10:ANV10"/>
    <mergeCell ref="ANW10:ANX10"/>
    <mergeCell ref="ANE10:ANF10"/>
    <mergeCell ref="ANG10:ANH10"/>
    <mergeCell ref="ANI10:ANJ10"/>
    <mergeCell ref="ANK10:ANL10"/>
    <mergeCell ref="ANM10:ANN10"/>
    <mergeCell ref="AMU10:AMV10"/>
    <mergeCell ref="AMW10:AMX10"/>
    <mergeCell ref="AMY10:AMZ10"/>
    <mergeCell ref="ANA10:ANB10"/>
    <mergeCell ref="ANC10:AND10"/>
    <mergeCell ref="AMK10:AML10"/>
    <mergeCell ref="AMM10:AMN10"/>
    <mergeCell ref="AMO10:AMP10"/>
    <mergeCell ref="AMQ10:AMR10"/>
    <mergeCell ref="AMS10:AMT10"/>
    <mergeCell ref="APC10:APD10"/>
    <mergeCell ref="APE10:APF10"/>
    <mergeCell ref="APG10:APH10"/>
    <mergeCell ref="API10:APJ10"/>
    <mergeCell ref="APK10:APL10"/>
    <mergeCell ref="AOS10:AOT10"/>
    <mergeCell ref="AOU10:AOV10"/>
    <mergeCell ref="AOW10:AOX10"/>
    <mergeCell ref="AOY10:AOZ10"/>
    <mergeCell ref="APA10:APB10"/>
    <mergeCell ref="AOI10:AOJ10"/>
    <mergeCell ref="AOK10:AOL10"/>
    <mergeCell ref="AOM10:AON10"/>
    <mergeCell ref="AOO10:AOP10"/>
    <mergeCell ref="AOQ10:AOR10"/>
    <mergeCell ref="ANY10:ANZ10"/>
    <mergeCell ref="AOA10:AOB10"/>
    <mergeCell ref="AOC10:AOD10"/>
    <mergeCell ref="AOE10:AOF10"/>
    <mergeCell ref="AOG10:AOH10"/>
    <mergeCell ref="AQQ10:AQR10"/>
    <mergeCell ref="AQS10:AQT10"/>
    <mergeCell ref="AQU10:AQV10"/>
    <mergeCell ref="AQW10:AQX10"/>
    <mergeCell ref="AQY10:AQZ10"/>
    <mergeCell ref="AQG10:AQH10"/>
    <mergeCell ref="AQI10:AQJ10"/>
    <mergeCell ref="AQK10:AQL10"/>
    <mergeCell ref="AQM10:AQN10"/>
    <mergeCell ref="AQO10:AQP10"/>
    <mergeCell ref="APW10:APX10"/>
    <mergeCell ref="APY10:APZ10"/>
    <mergeCell ref="AQA10:AQB10"/>
    <mergeCell ref="AQC10:AQD10"/>
    <mergeCell ref="AQE10:AQF10"/>
    <mergeCell ref="APM10:APN10"/>
    <mergeCell ref="APO10:APP10"/>
    <mergeCell ref="APQ10:APR10"/>
    <mergeCell ref="APS10:APT10"/>
    <mergeCell ref="APU10:APV10"/>
    <mergeCell ref="ASE10:ASF10"/>
    <mergeCell ref="ASG10:ASH10"/>
    <mergeCell ref="ASI10:ASJ10"/>
    <mergeCell ref="ASK10:ASL10"/>
    <mergeCell ref="ASM10:ASN10"/>
    <mergeCell ref="ARU10:ARV10"/>
    <mergeCell ref="ARW10:ARX10"/>
    <mergeCell ref="ARY10:ARZ10"/>
    <mergeCell ref="ASA10:ASB10"/>
    <mergeCell ref="ASC10:ASD10"/>
    <mergeCell ref="ARK10:ARL10"/>
    <mergeCell ref="ARM10:ARN10"/>
    <mergeCell ref="ARO10:ARP10"/>
    <mergeCell ref="ARQ10:ARR10"/>
    <mergeCell ref="ARS10:ART10"/>
    <mergeCell ref="ARA10:ARB10"/>
    <mergeCell ref="ARC10:ARD10"/>
    <mergeCell ref="ARE10:ARF10"/>
    <mergeCell ref="ARG10:ARH10"/>
    <mergeCell ref="ARI10:ARJ10"/>
    <mergeCell ref="ATS10:ATT10"/>
    <mergeCell ref="ATU10:ATV10"/>
    <mergeCell ref="ATW10:ATX10"/>
    <mergeCell ref="ATY10:ATZ10"/>
    <mergeCell ref="AUA10:AUB10"/>
    <mergeCell ref="ATI10:ATJ10"/>
    <mergeCell ref="ATK10:ATL10"/>
    <mergeCell ref="ATM10:ATN10"/>
    <mergeCell ref="ATO10:ATP10"/>
    <mergeCell ref="ATQ10:ATR10"/>
    <mergeCell ref="ASY10:ASZ10"/>
    <mergeCell ref="ATA10:ATB10"/>
    <mergeCell ref="ATC10:ATD10"/>
    <mergeCell ref="ATE10:ATF10"/>
    <mergeCell ref="ATG10:ATH10"/>
    <mergeCell ref="ASO10:ASP10"/>
    <mergeCell ref="ASQ10:ASR10"/>
    <mergeCell ref="ASS10:AST10"/>
    <mergeCell ref="ASU10:ASV10"/>
    <mergeCell ref="ASW10:ASX10"/>
    <mergeCell ref="AVG10:AVH10"/>
    <mergeCell ref="AVI10:AVJ10"/>
    <mergeCell ref="AVK10:AVL10"/>
    <mergeCell ref="AVM10:AVN10"/>
    <mergeCell ref="AVO10:AVP10"/>
    <mergeCell ref="AUW10:AUX10"/>
    <mergeCell ref="AUY10:AUZ10"/>
    <mergeCell ref="AVA10:AVB10"/>
    <mergeCell ref="AVC10:AVD10"/>
    <mergeCell ref="AVE10:AVF10"/>
    <mergeCell ref="AUM10:AUN10"/>
    <mergeCell ref="AUO10:AUP10"/>
    <mergeCell ref="AUQ10:AUR10"/>
    <mergeCell ref="AUS10:AUT10"/>
    <mergeCell ref="AUU10:AUV10"/>
    <mergeCell ref="AUC10:AUD10"/>
    <mergeCell ref="AUE10:AUF10"/>
    <mergeCell ref="AUG10:AUH10"/>
    <mergeCell ref="AUI10:AUJ10"/>
    <mergeCell ref="AUK10:AUL10"/>
    <mergeCell ref="AWU10:AWV10"/>
    <mergeCell ref="AWW10:AWX10"/>
    <mergeCell ref="AWY10:AWZ10"/>
    <mergeCell ref="AXA10:AXB10"/>
    <mergeCell ref="AXC10:AXD10"/>
    <mergeCell ref="AWK10:AWL10"/>
    <mergeCell ref="AWM10:AWN10"/>
    <mergeCell ref="AWO10:AWP10"/>
    <mergeCell ref="AWQ10:AWR10"/>
    <mergeCell ref="AWS10:AWT10"/>
    <mergeCell ref="AWA10:AWB10"/>
    <mergeCell ref="AWC10:AWD10"/>
    <mergeCell ref="AWE10:AWF10"/>
    <mergeCell ref="AWG10:AWH10"/>
    <mergeCell ref="AWI10:AWJ10"/>
    <mergeCell ref="AVQ10:AVR10"/>
    <mergeCell ref="AVS10:AVT10"/>
    <mergeCell ref="AVU10:AVV10"/>
    <mergeCell ref="AVW10:AVX10"/>
    <mergeCell ref="AVY10:AVZ10"/>
    <mergeCell ref="AYI10:AYJ10"/>
    <mergeCell ref="AYK10:AYL10"/>
    <mergeCell ref="AYM10:AYN10"/>
    <mergeCell ref="AYO10:AYP10"/>
    <mergeCell ref="AYQ10:AYR10"/>
    <mergeCell ref="AXY10:AXZ10"/>
    <mergeCell ref="AYA10:AYB10"/>
    <mergeCell ref="AYC10:AYD10"/>
    <mergeCell ref="AYE10:AYF10"/>
    <mergeCell ref="AYG10:AYH10"/>
    <mergeCell ref="AXO10:AXP10"/>
    <mergeCell ref="AXQ10:AXR10"/>
    <mergeCell ref="AXS10:AXT10"/>
    <mergeCell ref="AXU10:AXV10"/>
    <mergeCell ref="AXW10:AXX10"/>
    <mergeCell ref="AXE10:AXF10"/>
    <mergeCell ref="AXG10:AXH10"/>
    <mergeCell ref="AXI10:AXJ10"/>
    <mergeCell ref="AXK10:AXL10"/>
    <mergeCell ref="AXM10:AXN10"/>
    <mergeCell ref="AZW10:AZX10"/>
    <mergeCell ref="AZY10:AZZ10"/>
    <mergeCell ref="BAA10:BAB10"/>
    <mergeCell ref="BAC10:BAD10"/>
    <mergeCell ref="BAE10:BAF10"/>
    <mergeCell ref="AZM10:AZN10"/>
    <mergeCell ref="AZO10:AZP10"/>
    <mergeCell ref="AZQ10:AZR10"/>
    <mergeCell ref="AZS10:AZT10"/>
    <mergeCell ref="AZU10:AZV10"/>
    <mergeCell ref="AZC10:AZD10"/>
    <mergeCell ref="AZE10:AZF10"/>
    <mergeCell ref="AZG10:AZH10"/>
    <mergeCell ref="AZI10:AZJ10"/>
    <mergeCell ref="AZK10:AZL10"/>
    <mergeCell ref="AYS10:AYT10"/>
    <mergeCell ref="AYU10:AYV10"/>
    <mergeCell ref="AYW10:AYX10"/>
    <mergeCell ref="AYY10:AYZ10"/>
    <mergeCell ref="AZA10:AZB10"/>
    <mergeCell ref="BBK10:BBL10"/>
    <mergeCell ref="BBM10:BBN10"/>
    <mergeCell ref="BBO10:BBP10"/>
    <mergeCell ref="BBQ10:BBR10"/>
    <mergeCell ref="BBS10:BBT10"/>
    <mergeCell ref="BBA10:BBB10"/>
    <mergeCell ref="BBC10:BBD10"/>
    <mergeCell ref="BBE10:BBF10"/>
    <mergeCell ref="BBG10:BBH10"/>
    <mergeCell ref="BBI10:BBJ10"/>
    <mergeCell ref="BAQ10:BAR10"/>
    <mergeCell ref="BAS10:BAT10"/>
    <mergeCell ref="BAU10:BAV10"/>
    <mergeCell ref="BAW10:BAX10"/>
    <mergeCell ref="BAY10:BAZ10"/>
    <mergeCell ref="BAG10:BAH10"/>
    <mergeCell ref="BAI10:BAJ10"/>
    <mergeCell ref="BAK10:BAL10"/>
    <mergeCell ref="BAM10:BAN10"/>
    <mergeCell ref="BAO10:BAP10"/>
    <mergeCell ref="BCY10:BCZ10"/>
    <mergeCell ref="BDA10:BDB10"/>
    <mergeCell ref="BDC10:BDD10"/>
    <mergeCell ref="BDE10:BDF10"/>
    <mergeCell ref="BDG10:BDH10"/>
    <mergeCell ref="BCO10:BCP10"/>
    <mergeCell ref="BCQ10:BCR10"/>
    <mergeCell ref="BCS10:BCT10"/>
    <mergeCell ref="BCU10:BCV10"/>
    <mergeCell ref="BCW10:BCX10"/>
    <mergeCell ref="BCE10:BCF10"/>
    <mergeCell ref="BCG10:BCH10"/>
    <mergeCell ref="BCI10:BCJ10"/>
    <mergeCell ref="BCK10:BCL10"/>
    <mergeCell ref="BCM10:BCN10"/>
    <mergeCell ref="BBU10:BBV10"/>
    <mergeCell ref="BBW10:BBX10"/>
    <mergeCell ref="BBY10:BBZ10"/>
    <mergeCell ref="BCA10:BCB10"/>
    <mergeCell ref="BCC10:BCD10"/>
    <mergeCell ref="BEM10:BEN10"/>
    <mergeCell ref="BEO10:BEP10"/>
    <mergeCell ref="BEQ10:BER10"/>
    <mergeCell ref="BES10:BET10"/>
    <mergeCell ref="BEU10:BEV10"/>
    <mergeCell ref="BEC10:BED10"/>
    <mergeCell ref="BEE10:BEF10"/>
    <mergeCell ref="BEG10:BEH10"/>
    <mergeCell ref="BEI10:BEJ10"/>
    <mergeCell ref="BEK10:BEL10"/>
    <mergeCell ref="BDS10:BDT10"/>
    <mergeCell ref="BDU10:BDV10"/>
    <mergeCell ref="BDW10:BDX10"/>
    <mergeCell ref="BDY10:BDZ10"/>
    <mergeCell ref="BEA10:BEB10"/>
    <mergeCell ref="BDI10:BDJ10"/>
    <mergeCell ref="BDK10:BDL10"/>
    <mergeCell ref="BDM10:BDN10"/>
    <mergeCell ref="BDO10:BDP10"/>
    <mergeCell ref="BDQ10:BDR10"/>
    <mergeCell ref="BGA10:BGB10"/>
    <mergeCell ref="BGC10:BGD10"/>
    <mergeCell ref="BGE10:BGF10"/>
    <mergeCell ref="BGG10:BGH10"/>
    <mergeCell ref="BGI10:BGJ10"/>
    <mergeCell ref="BFQ10:BFR10"/>
    <mergeCell ref="BFS10:BFT10"/>
    <mergeCell ref="BFU10:BFV10"/>
    <mergeCell ref="BFW10:BFX10"/>
    <mergeCell ref="BFY10:BFZ10"/>
    <mergeCell ref="BFG10:BFH10"/>
    <mergeCell ref="BFI10:BFJ10"/>
    <mergeCell ref="BFK10:BFL10"/>
    <mergeCell ref="BFM10:BFN10"/>
    <mergeCell ref="BFO10:BFP10"/>
    <mergeCell ref="BEW10:BEX10"/>
    <mergeCell ref="BEY10:BEZ10"/>
    <mergeCell ref="BFA10:BFB10"/>
    <mergeCell ref="BFC10:BFD10"/>
    <mergeCell ref="BFE10:BFF10"/>
    <mergeCell ref="BHO10:BHP10"/>
    <mergeCell ref="BHQ10:BHR10"/>
    <mergeCell ref="BHS10:BHT10"/>
    <mergeCell ref="BHU10:BHV10"/>
    <mergeCell ref="BHW10:BHX10"/>
    <mergeCell ref="BHE10:BHF10"/>
    <mergeCell ref="BHG10:BHH10"/>
    <mergeCell ref="BHI10:BHJ10"/>
    <mergeCell ref="BHK10:BHL10"/>
    <mergeCell ref="BHM10:BHN10"/>
    <mergeCell ref="BGU10:BGV10"/>
    <mergeCell ref="BGW10:BGX10"/>
    <mergeCell ref="BGY10:BGZ10"/>
    <mergeCell ref="BHA10:BHB10"/>
    <mergeCell ref="BHC10:BHD10"/>
    <mergeCell ref="BGK10:BGL10"/>
    <mergeCell ref="BGM10:BGN10"/>
    <mergeCell ref="BGO10:BGP10"/>
    <mergeCell ref="BGQ10:BGR10"/>
    <mergeCell ref="BGS10:BGT10"/>
    <mergeCell ref="BJC10:BJD10"/>
    <mergeCell ref="BJE10:BJF10"/>
    <mergeCell ref="BJG10:BJH10"/>
    <mergeCell ref="BJI10:BJJ10"/>
    <mergeCell ref="BJK10:BJL10"/>
    <mergeCell ref="BIS10:BIT10"/>
    <mergeCell ref="BIU10:BIV10"/>
    <mergeCell ref="BIW10:BIX10"/>
    <mergeCell ref="BIY10:BIZ10"/>
    <mergeCell ref="BJA10:BJB10"/>
    <mergeCell ref="BII10:BIJ10"/>
    <mergeCell ref="BIK10:BIL10"/>
    <mergeCell ref="BIM10:BIN10"/>
    <mergeCell ref="BIO10:BIP10"/>
    <mergeCell ref="BIQ10:BIR10"/>
    <mergeCell ref="BHY10:BHZ10"/>
    <mergeCell ref="BIA10:BIB10"/>
    <mergeCell ref="BIC10:BID10"/>
    <mergeCell ref="BIE10:BIF10"/>
    <mergeCell ref="BIG10:BIH10"/>
    <mergeCell ref="BKQ10:BKR10"/>
    <mergeCell ref="BKS10:BKT10"/>
    <mergeCell ref="BKU10:BKV10"/>
    <mergeCell ref="BKW10:BKX10"/>
    <mergeCell ref="BKY10:BKZ10"/>
    <mergeCell ref="BKG10:BKH10"/>
    <mergeCell ref="BKI10:BKJ10"/>
    <mergeCell ref="BKK10:BKL10"/>
    <mergeCell ref="BKM10:BKN10"/>
    <mergeCell ref="BKO10:BKP10"/>
    <mergeCell ref="BJW10:BJX10"/>
    <mergeCell ref="BJY10:BJZ10"/>
    <mergeCell ref="BKA10:BKB10"/>
    <mergeCell ref="BKC10:BKD10"/>
    <mergeCell ref="BKE10:BKF10"/>
    <mergeCell ref="BJM10:BJN10"/>
    <mergeCell ref="BJO10:BJP10"/>
    <mergeCell ref="BJQ10:BJR10"/>
    <mergeCell ref="BJS10:BJT10"/>
    <mergeCell ref="BJU10:BJV10"/>
    <mergeCell ref="BME10:BMF10"/>
    <mergeCell ref="BMG10:BMH10"/>
    <mergeCell ref="BMI10:BMJ10"/>
    <mergeCell ref="BMK10:BML10"/>
    <mergeCell ref="BMM10:BMN10"/>
    <mergeCell ref="BLU10:BLV10"/>
    <mergeCell ref="BLW10:BLX10"/>
    <mergeCell ref="BLY10:BLZ10"/>
    <mergeCell ref="BMA10:BMB10"/>
    <mergeCell ref="BMC10:BMD10"/>
    <mergeCell ref="BLK10:BLL10"/>
    <mergeCell ref="BLM10:BLN10"/>
    <mergeCell ref="BLO10:BLP10"/>
    <mergeCell ref="BLQ10:BLR10"/>
    <mergeCell ref="BLS10:BLT10"/>
    <mergeCell ref="BLA10:BLB10"/>
    <mergeCell ref="BLC10:BLD10"/>
    <mergeCell ref="BLE10:BLF10"/>
    <mergeCell ref="BLG10:BLH10"/>
    <mergeCell ref="BLI10:BLJ10"/>
    <mergeCell ref="BNS10:BNT10"/>
    <mergeCell ref="BNU10:BNV10"/>
    <mergeCell ref="BNW10:BNX10"/>
    <mergeCell ref="BNY10:BNZ10"/>
    <mergeCell ref="BOA10:BOB10"/>
    <mergeCell ref="BNI10:BNJ10"/>
    <mergeCell ref="BNK10:BNL10"/>
    <mergeCell ref="BNM10:BNN10"/>
    <mergeCell ref="BNO10:BNP10"/>
    <mergeCell ref="BNQ10:BNR10"/>
    <mergeCell ref="BMY10:BMZ10"/>
    <mergeCell ref="BNA10:BNB10"/>
    <mergeCell ref="BNC10:BND10"/>
    <mergeCell ref="BNE10:BNF10"/>
    <mergeCell ref="BNG10:BNH10"/>
    <mergeCell ref="BMO10:BMP10"/>
    <mergeCell ref="BMQ10:BMR10"/>
    <mergeCell ref="BMS10:BMT10"/>
    <mergeCell ref="BMU10:BMV10"/>
    <mergeCell ref="BMW10:BMX10"/>
    <mergeCell ref="BPG10:BPH10"/>
    <mergeCell ref="BPI10:BPJ10"/>
    <mergeCell ref="BPK10:BPL10"/>
    <mergeCell ref="BPM10:BPN10"/>
    <mergeCell ref="BPO10:BPP10"/>
    <mergeCell ref="BOW10:BOX10"/>
    <mergeCell ref="BOY10:BOZ10"/>
    <mergeCell ref="BPA10:BPB10"/>
    <mergeCell ref="BPC10:BPD10"/>
    <mergeCell ref="BPE10:BPF10"/>
    <mergeCell ref="BOM10:BON10"/>
    <mergeCell ref="BOO10:BOP10"/>
    <mergeCell ref="BOQ10:BOR10"/>
    <mergeCell ref="BOS10:BOT10"/>
    <mergeCell ref="BOU10:BOV10"/>
    <mergeCell ref="BOC10:BOD10"/>
    <mergeCell ref="BOE10:BOF10"/>
    <mergeCell ref="BOG10:BOH10"/>
    <mergeCell ref="BOI10:BOJ10"/>
    <mergeCell ref="BOK10:BOL10"/>
    <mergeCell ref="BQU10:BQV10"/>
    <mergeCell ref="BQW10:BQX10"/>
    <mergeCell ref="BQY10:BQZ10"/>
    <mergeCell ref="BRA10:BRB10"/>
    <mergeCell ref="BRC10:BRD10"/>
    <mergeCell ref="BQK10:BQL10"/>
    <mergeCell ref="BQM10:BQN10"/>
    <mergeCell ref="BQO10:BQP10"/>
    <mergeCell ref="BQQ10:BQR10"/>
    <mergeCell ref="BQS10:BQT10"/>
    <mergeCell ref="BQA10:BQB10"/>
    <mergeCell ref="BQC10:BQD10"/>
    <mergeCell ref="BQE10:BQF10"/>
    <mergeCell ref="BQG10:BQH10"/>
    <mergeCell ref="BQI10:BQJ10"/>
    <mergeCell ref="BPQ10:BPR10"/>
    <mergeCell ref="BPS10:BPT10"/>
    <mergeCell ref="BPU10:BPV10"/>
    <mergeCell ref="BPW10:BPX10"/>
    <mergeCell ref="BPY10:BPZ10"/>
    <mergeCell ref="BSI10:BSJ10"/>
    <mergeCell ref="BSK10:BSL10"/>
    <mergeCell ref="BSM10:BSN10"/>
    <mergeCell ref="BSO10:BSP10"/>
    <mergeCell ref="BSQ10:BSR10"/>
    <mergeCell ref="BRY10:BRZ10"/>
    <mergeCell ref="BSA10:BSB10"/>
    <mergeCell ref="BSC10:BSD10"/>
    <mergeCell ref="BSE10:BSF10"/>
    <mergeCell ref="BSG10:BSH10"/>
    <mergeCell ref="BRO10:BRP10"/>
    <mergeCell ref="BRQ10:BRR10"/>
    <mergeCell ref="BRS10:BRT10"/>
    <mergeCell ref="BRU10:BRV10"/>
    <mergeCell ref="BRW10:BRX10"/>
    <mergeCell ref="BRE10:BRF10"/>
    <mergeCell ref="BRG10:BRH10"/>
    <mergeCell ref="BRI10:BRJ10"/>
    <mergeCell ref="BRK10:BRL10"/>
    <mergeCell ref="BRM10:BRN10"/>
    <mergeCell ref="BTW10:BTX10"/>
    <mergeCell ref="BTY10:BTZ10"/>
    <mergeCell ref="BUA10:BUB10"/>
    <mergeCell ref="BUC10:BUD10"/>
    <mergeCell ref="BUE10:BUF10"/>
    <mergeCell ref="BTM10:BTN10"/>
    <mergeCell ref="BTO10:BTP10"/>
    <mergeCell ref="BTQ10:BTR10"/>
    <mergeCell ref="BTS10:BTT10"/>
    <mergeCell ref="BTU10:BTV10"/>
    <mergeCell ref="BTC10:BTD10"/>
    <mergeCell ref="BTE10:BTF10"/>
    <mergeCell ref="BTG10:BTH10"/>
    <mergeCell ref="BTI10:BTJ10"/>
    <mergeCell ref="BTK10:BTL10"/>
    <mergeCell ref="BSS10:BST10"/>
    <mergeCell ref="BSU10:BSV10"/>
    <mergeCell ref="BSW10:BSX10"/>
    <mergeCell ref="BSY10:BSZ10"/>
    <mergeCell ref="BTA10:BTB10"/>
    <mergeCell ref="BVK10:BVL10"/>
    <mergeCell ref="BVM10:BVN10"/>
    <mergeCell ref="BVO10:BVP10"/>
    <mergeCell ref="BVQ10:BVR10"/>
    <mergeCell ref="BVS10:BVT10"/>
    <mergeCell ref="BVA10:BVB10"/>
    <mergeCell ref="BVC10:BVD10"/>
    <mergeCell ref="BVE10:BVF10"/>
    <mergeCell ref="BVG10:BVH10"/>
    <mergeCell ref="BVI10:BVJ10"/>
    <mergeCell ref="BUQ10:BUR10"/>
    <mergeCell ref="BUS10:BUT10"/>
    <mergeCell ref="BUU10:BUV10"/>
    <mergeCell ref="BUW10:BUX10"/>
    <mergeCell ref="BUY10:BUZ10"/>
    <mergeCell ref="BUG10:BUH10"/>
    <mergeCell ref="BUI10:BUJ10"/>
    <mergeCell ref="BUK10:BUL10"/>
    <mergeCell ref="BUM10:BUN10"/>
    <mergeCell ref="BUO10:BUP10"/>
    <mergeCell ref="BWY10:BWZ10"/>
    <mergeCell ref="BXA10:BXB10"/>
    <mergeCell ref="BXC10:BXD10"/>
    <mergeCell ref="BXE10:BXF10"/>
    <mergeCell ref="BXG10:BXH10"/>
    <mergeCell ref="BWO10:BWP10"/>
    <mergeCell ref="BWQ10:BWR10"/>
    <mergeCell ref="BWS10:BWT10"/>
    <mergeCell ref="BWU10:BWV10"/>
    <mergeCell ref="BWW10:BWX10"/>
    <mergeCell ref="BWE10:BWF10"/>
    <mergeCell ref="BWG10:BWH10"/>
    <mergeCell ref="BWI10:BWJ10"/>
    <mergeCell ref="BWK10:BWL10"/>
    <mergeCell ref="BWM10:BWN10"/>
    <mergeCell ref="BVU10:BVV10"/>
    <mergeCell ref="BVW10:BVX10"/>
    <mergeCell ref="BVY10:BVZ10"/>
    <mergeCell ref="BWA10:BWB10"/>
    <mergeCell ref="BWC10:BWD10"/>
    <mergeCell ref="BYM10:BYN10"/>
    <mergeCell ref="BYO10:BYP10"/>
    <mergeCell ref="BYQ10:BYR10"/>
    <mergeCell ref="BYS10:BYT10"/>
    <mergeCell ref="BYU10:BYV10"/>
    <mergeCell ref="BYC10:BYD10"/>
    <mergeCell ref="BYE10:BYF10"/>
    <mergeCell ref="BYG10:BYH10"/>
    <mergeCell ref="BYI10:BYJ10"/>
    <mergeCell ref="BYK10:BYL10"/>
    <mergeCell ref="BXS10:BXT10"/>
    <mergeCell ref="BXU10:BXV10"/>
    <mergeCell ref="BXW10:BXX10"/>
    <mergeCell ref="BXY10:BXZ10"/>
    <mergeCell ref="BYA10:BYB10"/>
    <mergeCell ref="BXI10:BXJ10"/>
    <mergeCell ref="BXK10:BXL10"/>
    <mergeCell ref="BXM10:BXN10"/>
    <mergeCell ref="BXO10:BXP10"/>
    <mergeCell ref="BXQ10:BXR10"/>
    <mergeCell ref="CAA10:CAB10"/>
    <mergeCell ref="CAC10:CAD10"/>
    <mergeCell ref="CAE10:CAF10"/>
    <mergeCell ref="CAG10:CAH10"/>
    <mergeCell ref="CAI10:CAJ10"/>
    <mergeCell ref="BZQ10:BZR10"/>
    <mergeCell ref="BZS10:BZT10"/>
    <mergeCell ref="BZU10:BZV10"/>
    <mergeCell ref="BZW10:BZX10"/>
    <mergeCell ref="BZY10:BZZ10"/>
    <mergeCell ref="BZG10:BZH10"/>
    <mergeCell ref="BZI10:BZJ10"/>
    <mergeCell ref="BZK10:BZL10"/>
    <mergeCell ref="BZM10:BZN10"/>
    <mergeCell ref="BZO10:BZP10"/>
    <mergeCell ref="BYW10:BYX10"/>
    <mergeCell ref="BYY10:BYZ10"/>
    <mergeCell ref="BZA10:BZB10"/>
    <mergeCell ref="BZC10:BZD10"/>
    <mergeCell ref="BZE10:BZF10"/>
    <mergeCell ref="CBO10:CBP10"/>
    <mergeCell ref="CBQ10:CBR10"/>
    <mergeCell ref="CBS10:CBT10"/>
    <mergeCell ref="CBU10:CBV10"/>
    <mergeCell ref="CBW10:CBX10"/>
    <mergeCell ref="CBE10:CBF10"/>
    <mergeCell ref="CBG10:CBH10"/>
    <mergeCell ref="CBI10:CBJ10"/>
    <mergeCell ref="CBK10:CBL10"/>
    <mergeCell ref="CBM10:CBN10"/>
    <mergeCell ref="CAU10:CAV10"/>
    <mergeCell ref="CAW10:CAX10"/>
    <mergeCell ref="CAY10:CAZ10"/>
    <mergeCell ref="CBA10:CBB10"/>
    <mergeCell ref="CBC10:CBD10"/>
    <mergeCell ref="CAK10:CAL10"/>
    <mergeCell ref="CAM10:CAN10"/>
    <mergeCell ref="CAO10:CAP10"/>
    <mergeCell ref="CAQ10:CAR10"/>
    <mergeCell ref="CAS10:CAT10"/>
    <mergeCell ref="CDC10:CDD10"/>
    <mergeCell ref="CDE10:CDF10"/>
    <mergeCell ref="CDG10:CDH10"/>
    <mergeCell ref="CDI10:CDJ10"/>
    <mergeCell ref="CDK10:CDL10"/>
    <mergeCell ref="CCS10:CCT10"/>
    <mergeCell ref="CCU10:CCV10"/>
    <mergeCell ref="CCW10:CCX10"/>
    <mergeCell ref="CCY10:CCZ10"/>
    <mergeCell ref="CDA10:CDB10"/>
    <mergeCell ref="CCI10:CCJ10"/>
    <mergeCell ref="CCK10:CCL10"/>
    <mergeCell ref="CCM10:CCN10"/>
    <mergeCell ref="CCO10:CCP10"/>
    <mergeCell ref="CCQ10:CCR10"/>
    <mergeCell ref="CBY10:CBZ10"/>
    <mergeCell ref="CCA10:CCB10"/>
    <mergeCell ref="CCC10:CCD10"/>
    <mergeCell ref="CCE10:CCF10"/>
    <mergeCell ref="CCG10:CCH10"/>
    <mergeCell ref="CEQ10:CER10"/>
    <mergeCell ref="CES10:CET10"/>
    <mergeCell ref="CEU10:CEV10"/>
    <mergeCell ref="CEW10:CEX10"/>
    <mergeCell ref="CEY10:CEZ10"/>
    <mergeCell ref="CEG10:CEH10"/>
    <mergeCell ref="CEI10:CEJ10"/>
    <mergeCell ref="CEK10:CEL10"/>
    <mergeCell ref="CEM10:CEN10"/>
    <mergeCell ref="CEO10:CEP10"/>
    <mergeCell ref="CDW10:CDX10"/>
    <mergeCell ref="CDY10:CDZ10"/>
    <mergeCell ref="CEA10:CEB10"/>
    <mergeCell ref="CEC10:CED10"/>
    <mergeCell ref="CEE10:CEF10"/>
    <mergeCell ref="CDM10:CDN10"/>
    <mergeCell ref="CDO10:CDP10"/>
    <mergeCell ref="CDQ10:CDR10"/>
    <mergeCell ref="CDS10:CDT10"/>
    <mergeCell ref="CDU10:CDV10"/>
    <mergeCell ref="CGE10:CGF10"/>
    <mergeCell ref="CGG10:CGH10"/>
    <mergeCell ref="CGI10:CGJ10"/>
    <mergeCell ref="CGK10:CGL10"/>
    <mergeCell ref="CGM10:CGN10"/>
    <mergeCell ref="CFU10:CFV10"/>
    <mergeCell ref="CFW10:CFX10"/>
    <mergeCell ref="CFY10:CFZ10"/>
    <mergeCell ref="CGA10:CGB10"/>
    <mergeCell ref="CGC10:CGD10"/>
    <mergeCell ref="CFK10:CFL10"/>
    <mergeCell ref="CFM10:CFN10"/>
    <mergeCell ref="CFO10:CFP10"/>
    <mergeCell ref="CFQ10:CFR10"/>
    <mergeCell ref="CFS10:CFT10"/>
    <mergeCell ref="CFA10:CFB10"/>
    <mergeCell ref="CFC10:CFD10"/>
    <mergeCell ref="CFE10:CFF10"/>
    <mergeCell ref="CFG10:CFH10"/>
    <mergeCell ref="CFI10:CFJ10"/>
    <mergeCell ref="CHS10:CHT10"/>
    <mergeCell ref="CHU10:CHV10"/>
    <mergeCell ref="CHW10:CHX10"/>
    <mergeCell ref="CHY10:CHZ10"/>
    <mergeCell ref="CIA10:CIB10"/>
    <mergeCell ref="CHI10:CHJ10"/>
    <mergeCell ref="CHK10:CHL10"/>
    <mergeCell ref="CHM10:CHN10"/>
    <mergeCell ref="CHO10:CHP10"/>
    <mergeCell ref="CHQ10:CHR10"/>
    <mergeCell ref="CGY10:CGZ10"/>
    <mergeCell ref="CHA10:CHB10"/>
    <mergeCell ref="CHC10:CHD10"/>
    <mergeCell ref="CHE10:CHF10"/>
    <mergeCell ref="CHG10:CHH10"/>
    <mergeCell ref="CGO10:CGP10"/>
    <mergeCell ref="CGQ10:CGR10"/>
    <mergeCell ref="CGS10:CGT10"/>
    <mergeCell ref="CGU10:CGV10"/>
    <mergeCell ref="CGW10:CGX10"/>
    <mergeCell ref="CJG10:CJH10"/>
    <mergeCell ref="CJI10:CJJ10"/>
    <mergeCell ref="CJK10:CJL10"/>
    <mergeCell ref="CJM10:CJN10"/>
    <mergeCell ref="CJO10:CJP10"/>
    <mergeCell ref="CIW10:CIX10"/>
    <mergeCell ref="CIY10:CIZ10"/>
    <mergeCell ref="CJA10:CJB10"/>
    <mergeCell ref="CJC10:CJD10"/>
    <mergeCell ref="CJE10:CJF10"/>
    <mergeCell ref="CIM10:CIN10"/>
    <mergeCell ref="CIO10:CIP10"/>
    <mergeCell ref="CIQ10:CIR10"/>
    <mergeCell ref="CIS10:CIT10"/>
    <mergeCell ref="CIU10:CIV10"/>
    <mergeCell ref="CIC10:CID10"/>
    <mergeCell ref="CIE10:CIF10"/>
    <mergeCell ref="CIG10:CIH10"/>
    <mergeCell ref="CII10:CIJ10"/>
    <mergeCell ref="CIK10:CIL10"/>
    <mergeCell ref="CKU10:CKV10"/>
    <mergeCell ref="CKW10:CKX10"/>
    <mergeCell ref="CKY10:CKZ10"/>
    <mergeCell ref="CLA10:CLB10"/>
    <mergeCell ref="CLC10:CLD10"/>
    <mergeCell ref="CKK10:CKL10"/>
    <mergeCell ref="CKM10:CKN10"/>
    <mergeCell ref="CKO10:CKP10"/>
    <mergeCell ref="CKQ10:CKR10"/>
    <mergeCell ref="CKS10:CKT10"/>
    <mergeCell ref="CKA10:CKB10"/>
    <mergeCell ref="CKC10:CKD10"/>
    <mergeCell ref="CKE10:CKF10"/>
    <mergeCell ref="CKG10:CKH10"/>
    <mergeCell ref="CKI10:CKJ10"/>
    <mergeCell ref="CJQ10:CJR10"/>
    <mergeCell ref="CJS10:CJT10"/>
    <mergeCell ref="CJU10:CJV10"/>
    <mergeCell ref="CJW10:CJX10"/>
    <mergeCell ref="CJY10:CJZ10"/>
    <mergeCell ref="CMI10:CMJ10"/>
    <mergeCell ref="CMK10:CML10"/>
    <mergeCell ref="CMM10:CMN10"/>
    <mergeCell ref="CMO10:CMP10"/>
    <mergeCell ref="CMQ10:CMR10"/>
    <mergeCell ref="CLY10:CLZ10"/>
    <mergeCell ref="CMA10:CMB10"/>
    <mergeCell ref="CMC10:CMD10"/>
    <mergeCell ref="CME10:CMF10"/>
    <mergeCell ref="CMG10:CMH10"/>
    <mergeCell ref="CLO10:CLP10"/>
    <mergeCell ref="CLQ10:CLR10"/>
    <mergeCell ref="CLS10:CLT10"/>
    <mergeCell ref="CLU10:CLV10"/>
    <mergeCell ref="CLW10:CLX10"/>
    <mergeCell ref="CLE10:CLF10"/>
    <mergeCell ref="CLG10:CLH10"/>
    <mergeCell ref="CLI10:CLJ10"/>
    <mergeCell ref="CLK10:CLL10"/>
    <mergeCell ref="CLM10:CLN10"/>
    <mergeCell ref="CNW10:CNX10"/>
    <mergeCell ref="CNY10:CNZ10"/>
    <mergeCell ref="COA10:COB10"/>
    <mergeCell ref="COC10:COD10"/>
    <mergeCell ref="COE10:COF10"/>
    <mergeCell ref="CNM10:CNN10"/>
    <mergeCell ref="CNO10:CNP10"/>
    <mergeCell ref="CNQ10:CNR10"/>
    <mergeCell ref="CNS10:CNT10"/>
    <mergeCell ref="CNU10:CNV10"/>
    <mergeCell ref="CNC10:CND10"/>
    <mergeCell ref="CNE10:CNF10"/>
    <mergeCell ref="CNG10:CNH10"/>
    <mergeCell ref="CNI10:CNJ10"/>
    <mergeCell ref="CNK10:CNL10"/>
    <mergeCell ref="CMS10:CMT10"/>
    <mergeCell ref="CMU10:CMV10"/>
    <mergeCell ref="CMW10:CMX10"/>
    <mergeCell ref="CMY10:CMZ10"/>
    <mergeCell ref="CNA10:CNB10"/>
    <mergeCell ref="CPK10:CPL10"/>
    <mergeCell ref="CPM10:CPN10"/>
    <mergeCell ref="CPO10:CPP10"/>
    <mergeCell ref="CPQ10:CPR10"/>
    <mergeCell ref="CPS10:CPT10"/>
    <mergeCell ref="CPA10:CPB10"/>
    <mergeCell ref="CPC10:CPD10"/>
    <mergeCell ref="CPE10:CPF10"/>
    <mergeCell ref="CPG10:CPH10"/>
    <mergeCell ref="CPI10:CPJ10"/>
    <mergeCell ref="COQ10:COR10"/>
    <mergeCell ref="COS10:COT10"/>
    <mergeCell ref="COU10:COV10"/>
    <mergeCell ref="COW10:COX10"/>
    <mergeCell ref="COY10:COZ10"/>
    <mergeCell ref="COG10:COH10"/>
    <mergeCell ref="COI10:COJ10"/>
    <mergeCell ref="COK10:COL10"/>
    <mergeCell ref="COM10:CON10"/>
    <mergeCell ref="COO10:COP10"/>
    <mergeCell ref="CQY10:CQZ10"/>
    <mergeCell ref="CRA10:CRB10"/>
    <mergeCell ref="CRC10:CRD10"/>
    <mergeCell ref="CRE10:CRF10"/>
    <mergeCell ref="CRG10:CRH10"/>
    <mergeCell ref="CQO10:CQP10"/>
    <mergeCell ref="CQQ10:CQR10"/>
    <mergeCell ref="CQS10:CQT10"/>
    <mergeCell ref="CQU10:CQV10"/>
    <mergeCell ref="CQW10:CQX10"/>
    <mergeCell ref="CQE10:CQF10"/>
    <mergeCell ref="CQG10:CQH10"/>
    <mergeCell ref="CQI10:CQJ10"/>
    <mergeCell ref="CQK10:CQL10"/>
    <mergeCell ref="CQM10:CQN10"/>
    <mergeCell ref="CPU10:CPV10"/>
    <mergeCell ref="CPW10:CPX10"/>
    <mergeCell ref="CPY10:CPZ10"/>
    <mergeCell ref="CQA10:CQB10"/>
    <mergeCell ref="CQC10:CQD10"/>
    <mergeCell ref="CSM10:CSN10"/>
    <mergeCell ref="CSO10:CSP10"/>
    <mergeCell ref="CSQ10:CSR10"/>
    <mergeCell ref="CSS10:CST10"/>
    <mergeCell ref="CSU10:CSV10"/>
    <mergeCell ref="CSC10:CSD10"/>
    <mergeCell ref="CSE10:CSF10"/>
    <mergeCell ref="CSG10:CSH10"/>
    <mergeCell ref="CSI10:CSJ10"/>
    <mergeCell ref="CSK10:CSL10"/>
    <mergeCell ref="CRS10:CRT10"/>
    <mergeCell ref="CRU10:CRV10"/>
    <mergeCell ref="CRW10:CRX10"/>
    <mergeCell ref="CRY10:CRZ10"/>
    <mergeCell ref="CSA10:CSB10"/>
    <mergeCell ref="CRI10:CRJ10"/>
    <mergeCell ref="CRK10:CRL10"/>
    <mergeCell ref="CRM10:CRN10"/>
    <mergeCell ref="CRO10:CRP10"/>
    <mergeCell ref="CRQ10:CRR10"/>
    <mergeCell ref="CUA10:CUB10"/>
    <mergeCell ref="CUC10:CUD10"/>
    <mergeCell ref="CUE10:CUF10"/>
    <mergeCell ref="CUG10:CUH10"/>
    <mergeCell ref="CUI10:CUJ10"/>
    <mergeCell ref="CTQ10:CTR10"/>
    <mergeCell ref="CTS10:CTT10"/>
    <mergeCell ref="CTU10:CTV10"/>
    <mergeCell ref="CTW10:CTX10"/>
    <mergeCell ref="CTY10:CTZ10"/>
    <mergeCell ref="CTG10:CTH10"/>
    <mergeCell ref="CTI10:CTJ10"/>
    <mergeCell ref="CTK10:CTL10"/>
    <mergeCell ref="CTM10:CTN10"/>
    <mergeCell ref="CTO10:CTP10"/>
    <mergeCell ref="CSW10:CSX10"/>
    <mergeCell ref="CSY10:CSZ10"/>
    <mergeCell ref="CTA10:CTB10"/>
    <mergeCell ref="CTC10:CTD10"/>
    <mergeCell ref="CTE10:CTF10"/>
    <mergeCell ref="CVO10:CVP10"/>
    <mergeCell ref="CVQ10:CVR10"/>
    <mergeCell ref="CVS10:CVT10"/>
    <mergeCell ref="CVU10:CVV10"/>
    <mergeCell ref="CVW10:CVX10"/>
    <mergeCell ref="CVE10:CVF10"/>
    <mergeCell ref="CVG10:CVH10"/>
    <mergeCell ref="CVI10:CVJ10"/>
    <mergeCell ref="CVK10:CVL10"/>
    <mergeCell ref="CVM10:CVN10"/>
    <mergeCell ref="CUU10:CUV10"/>
    <mergeCell ref="CUW10:CUX10"/>
    <mergeCell ref="CUY10:CUZ10"/>
    <mergeCell ref="CVA10:CVB10"/>
    <mergeCell ref="CVC10:CVD10"/>
    <mergeCell ref="CUK10:CUL10"/>
    <mergeCell ref="CUM10:CUN10"/>
    <mergeCell ref="CUO10:CUP10"/>
    <mergeCell ref="CUQ10:CUR10"/>
    <mergeCell ref="CUS10:CUT10"/>
    <mergeCell ref="CXC10:CXD10"/>
    <mergeCell ref="CXE10:CXF10"/>
    <mergeCell ref="CXG10:CXH10"/>
    <mergeCell ref="CXI10:CXJ10"/>
    <mergeCell ref="CXK10:CXL10"/>
    <mergeCell ref="CWS10:CWT10"/>
    <mergeCell ref="CWU10:CWV10"/>
    <mergeCell ref="CWW10:CWX10"/>
    <mergeCell ref="CWY10:CWZ10"/>
    <mergeCell ref="CXA10:CXB10"/>
    <mergeCell ref="CWI10:CWJ10"/>
    <mergeCell ref="CWK10:CWL10"/>
    <mergeCell ref="CWM10:CWN10"/>
    <mergeCell ref="CWO10:CWP10"/>
    <mergeCell ref="CWQ10:CWR10"/>
    <mergeCell ref="CVY10:CVZ10"/>
    <mergeCell ref="CWA10:CWB10"/>
    <mergeCell ref="CWC10:CWD10"/>
    <mergeCell ref="CWE10:CWF10"/>
    <mergeCell ref="CWG10:CWH10"/>
    <mergeCell ref="CYQ10:CYR10"/>
    <mergeCell ref="CYS10:CYT10"/>
    <mergeCell ref="CYU10:CYV10"/>
    <mergeCell ref="CYW10:CYX10"/>
    <mergeCell ref="CYY10:CYZ10"/>
    <mergeCell ref="CYG10:CYH10"/>
    <mergeCell ref="CYI10:CYJ10"/>
    <mergeCell ref="CYK10:CYL10"/>
    <mergeCell ref="CYM10:CYN10"/>
    <mergeCell ref="CYO10:CYP10"/>
    <mergeCell ref="CXW10:CXX10"/>
    <mergeCell ref="CXY10:CXZ10"/>
    <mergeCell ref="CYA10:CYB10"/>
    <mergeCell ref="CYC10:CYD10"/>
    <mergeCell ref="CYE10:CYF10"/>
    <mergeCell ref="CXM10:CXN10"/>
    <mergeCell ref="CXO10:CXP10"/>
    <mergeCell ref="CXQ10:CXR10"/>
    <mergeCell ref="CXS10:CXT10"/>
    <mergeCell ref="CXU10:CXV10"/>
    <mergeCell ref="DAE10:DAF10"/>
    <mergeCell ref="DAG10:DAH10"/>
    <mergeCell ref="DAI10:DAJ10"/>
    <mergeCell ref="DAK10:DAL10"/>
    <mergeCell ref="DAM10:DAN10"/>
    <mergeCell ref="CZU10:CZV10"/>
    <mergeCell ref="CZW10:CZX10"/>
    <mergeCell ref="CZY10:CZZ10"/>
    <mergeCell ref="DAA10:DAB10"/>
    <mergeCell ref="DAC10:DAD10"/>
    <mergeCell ref="CZK10:CZL10"/>
    <mergeCell ref="CZM10:CZN10"/>
    <mergeCell ref="CZO10:CZP10"/>
    <mergeCell ref="CZQ10:CZR10"/>
    <mergeCell ref="CZS10:CZT10"/>
    <mergeCell ref="CZA10:CZB10"/>
    <mergeCell ref="CZC10:CZD10"/>
    <mergeCell ref="CZE10:CZF10"/>
    <mergeCell ref="CZG10:CZH10"/>
    <mergeCell ref="CZI10:CZJ10"/>
    <mergeCell ref="DBS10:DBT10"/>
    <mergeCell ref="DBU10:DBV10"/>
    <mergeCell ref="DBW10:DBX10"/>
    <mergeCell ref="DBY10:DBZ10"/>
    <mergeCell ref="DCA10:DCB10"/>
    <mergeCell ref="DBI10:DBJ10"/>
    <mergeCell ref="DBK10:DBL10"/>
    <mergeCell ref="DBM10:DBN10"/>
    <mergeCell ref="DBO10:DBP10"/>
    <mergeCell ref="DBQ10:DBR10"/>
    <mergeCell ref="DAY10:DAZ10"/>
    <mergeCell ref="DBA10:DBB10"/>
    <mergeCell ref="DBC10:DBD10"/>
    <mergeCell ref="DBE10:DBF10"/>
    <mergeCell ref="DBG10:DBH10"/>
    <mergeCell ref="DAO10:DAP10"/>
    <mergeCell ref="DAQ10:DAR10"/>
    <mergeCell ref="DAS10:DAT10"/>
    <mergeCell ref="DAU10:DAV10"/>
    <mergeCell ref="DAW10:DAX10"/>
    <mergeCell ref="DDG10:DDH10"/>
    <mergeCell ref="DDI10:DDJ10"/>
    <mergeCell ref="DDK10:DDL10"/>
    <mergeCell ref="DDM10:DDN10"/>
    <mergeCell ref="DDO10:DDP10"/>
    <mergeCell ref="DCW10:DCX10"/>
    <mergeCell ref="DCY10:DCZ10"/>
    <mergeCell ref="DDA10:DDB10"/>
    <mergeCell ref="DDC10:DDD10"/>
    <mergeCell ref="DDE10:DDF10"/>
    <mergeCell ref="DCM10:DCN10"/>
    <mergeCell ref="DCO10:DCP10"/>
    <mergeCell ref="DCQ10:DCR10"/>
    <mergeCell ref="DCS10:DCT10"/>
    <mergeCell ref="DCU10:DCV10"/>
    <mergeCell ref="DCC10:DCD10"/>
    <mergeCell ref="DCE10:DCF10"/>
    <mergeCell ref="DCG10:DCH10"/>
    <mergeCell ref="DCI10:DCJ10"/>
    <mergeCell ref="DCK10:DCL10"/>
    <mergeCell ref="DEU10:DEV10"/>
    <mergeCell ref="DEW10:DEX10"/>
    <mergeCell ref="DEY10:DEZ10"/>
    <mergeCell ref="DFA10:DFB10"/>
    <mergeCell ref="DFC10:DFD10"/>
    <mergeCell ref="DEK10:DEL10"/>
    <mergeCell ref="DEM10:DEN10"/>
    <mergeCell ref="DEO10:DEP10"/>
    <mergeCell ref="DEQ10:DER10"/>
    <mergeCell ref="DES10:DET10"/>
    <mergeCell ref="DEA10:DEB10"/>
    <mergeCell ref="DEC10:DED10"/>
    <mergeCell ref="DEE10:DEF10"/>
    <mergeCell ref="DEG10:DEH10"/>
    <mergeCell ref="DEI10:DEJ10"/>
    <mergeCell ref="DDQ10:DDR10"/>
    <mergeCell ref="DDS10:DDT10"/>
    <mergeCell ref="DDU10:DDV10"/>
    <mergeCell ref="DDW10:DDX10"/>
    <mergeCell ref="DDY10:DDZ10"/>
    <mergeCell ref="DGI10:DGJ10"/>
    <mergeCell ref="DGK10:DGL10"/>
    <mergeCell ref="DGM10:DGN10"/>
    <mergeCell ref="DGO10:DGP10"/>
    <mergeCell ref="DGQ10:DGR10"/>
    <mergeCell ref="DFY10:DFZ10"/>
    <mergeCell ref="DGA10:DGB10"/>
    <mergeCell ref="DGC10:DGD10"/>
    <mergeCell ref="DGE10:DGF10"/>
    <mergeCell ref="DGG10:DGH10"/>
    <mergeCell ref="DFO10:DFP10"/>
    <mergeCell ref="DFQ10:DFR10"/>
    <mergeCell ref="DFS10:DFT10"/>
    <mergeCell ref="DFU10:DFV10"/>
    <mergeCell ref="DFW10:DFX10"/>
    <mergeCell ref="DFE10:DFF10"/>
    <mergeCell ref="DFG10:DFH10"/>
    <mergeCell ref="DFI10:DFJ10"/>
    <mergeCell ref="DFK10:DFL10"/>
    <mergeCell ref="DFM10:DFN10"/>
    <mergeCell ref="DHW10:DHX10"/>
    <mergeCell ref="DHY10:DHZ10"/>
    <mergeCell ref="DIA10:DIB10"/>
    <mergeCell ref="DIC10:DID10"/>
    <mergeCell ref="DIE10:DIF10"/>
    <mergeCell ref="DHM10:DHN10"/>
    <mergeCell ref="DHO10:DHP10"/>
    <mergeCell ref="DHQ10:DHR10"/>
    <mergeCell ref="DHS10:DHT10"/>
    <mergeCell ref="DHU10:DHV10"/>
    <mergeCell ref="DHC10:DHD10"/>
    <mergeCell ref="DHE10:DHF10"/>
    <mergeCell ref="DHG10:DHH10"/>
    <mergeCell ref="DHI10:DHJ10"/>
    <mergeCell ref="DHK10:DHL10"/>
    <mergeCell ref="DGS10:DGT10"/>
    <mergeCell ref="DGU10:DGV10"/>
    <mergeCell ref="DGW10:DGX10"/>
    <mergeCell ref="DGY10:DGZ10"/>
    <mergeCell ref="DHA10:DHB10"/>
    <mergeCell ref="DJK10:DJL10"/>
    <mergeCell ref="DJM10:DJN10"/>
    <mergeCell ref="DJO10:DJP10"/>
    <mergeCell ref="DJQ10:DJR10"/>
    <mergeCell ref="DJS10:DJT10"/>
    <mergeCell ref="DJA10:DJB10"/>
    <mergeCell ref="DJC10:DJD10"/>
    <mergeCell ref="DJE10:DJF10"/>
    <mergeCell ref="DJG10:DJH10"/>
    <mergeCell ref="DJI10:DJJ10"/>
    <mergeCell ref="DIQ10:DIR10"/>
    <mergeCell ref="DIS10:DIT10"/>
    <mergeCell ref="DIU10:DIV10"/>
    <mergeCell ref="DIW10:DIX10"/>
    <mergeCell ref="DIY10:DIZ10"/>
    <mergeCell ref="DIG10:DIH10"/>
    <mergeCell ref="DII10:DIJ10"/>
    <mergeCell ref="DIK10:DIL10"/>
    <mergeCell ref="DIM10:DIN10"/>
    <mergeCell ref="DIO10:DIP10"/>
    <mergeCell ref="DKY10:DKZ10"/>
    <mergeCell ref="DLA10:DLB10"/>
    <mergeCell ref="DLC10:DLD10"/>
    <mergeCell ref="DLE10:DLF10"/>
    <mergeCell ref="DLG10:DLH10"/>
    <mergeCell ref="DKO10:DKP10"/>
    <mergeCell ref="DKQ10:DKR10"/>
    <mergeCell ref="DKS10:DKT10"/>
    <mergeCell ref="DKU10:DKV10"/>
    <mergeCell ref="DKW10:DKX10"/>
    <mergeCell ref="DKE10:DKF10"/>
    <mergeCell ref="DKG10:DKH10"/>
    <mergeCell ref="DKI10:DKJ10"/>
    <mergeCell ref="DKK10:DKL10"/>
    <mergeCell ref="DKM10:DKN10"/>
    <mergeCell ref="DJU10:DJV10"/>
    <mergeCell ref="DJW10:DJX10"/>
    <mergeCell ref="DJY10:DJZ10"/>
    <mergeCell ref="DKA10:DKB10"/>
    <mergeCell ref="DKC10:DKD10"/>
    <mergeCell ref="DMM10:DMN10"/>
    <mergeCell ref="DMO10:DMP10"/>
    <mergeCell ref="DMQ10:DMR10"/>
    <mergeCell ref="DMS10:DMT10"/>
    <mergeCell ref="DMU10:DMV10"/>
    <mergeCell ref="DMC10:DMD10"/>
    <mergeCell ref="DME10:DMF10"/>
    <mergeCell ref="DMG10:DMH10"/>
    <mergeCell ref="DMI10:DMJ10"/>
    <mergeCell ref="DMK10:DML10"/>
    <mergeCell ref="DLS10:DLT10"/>
    <mergeCell ref="DLU10:DLV10"/>
    <mergeCell ref="DLW10:DLX10"/>
    <mergeCell ref="DLY10:DLZ10"/>
    <mergeCell ref="DMA10:DMB10"/>
    <mergeCell ref="DLI10:DLJ10"/>
    <mergeCell ref="DLK10:DLL10"/>
    <mergeCell ref="DLM10:DLN10"/>
    <mergeCell ref="DLO10:DLP10"/>
    <mergeCell ref="DLQ10:DLR10"/>
    <mergeCell ref="DOA10:DOB10"/>
    <mergeCell ref="DOC10:DOD10"/>
    <mergeCell ref="DOE10:DOF10"/>
    <mergeCell ref="DOG10:DOH10"/>
    <mergeCell ref="DOI10:DOJ10"/>
    <mergeCell ref="DNQ10:DNR10"/>
    <mergeCell ref="DNS10:DNT10"/>
    <mergeCell ref="DNU10:DNV10"/>
    <mergeCell ref="DNW10:DNX10"/>
    <mergeCell ref="DNY10:DNZ10"/>
    <mergeCell ref="DNG10:DNH10"/>
    <mergeCell ref="DNI10:DNJ10"/>
    <mergeCell ref="DNK10:DNL10"/>
    <mergeCell ref="DNM10:DNN10"/>
    <mergeCell ref="DNO10:DNP10"/>
    <mergeCell ref="DMW10:DMX10"/>
    <mergeCell ref="DMY10:DMZ10"/>
    <mergeCell ref="DNA10:DNB10"/>
    <mergeCell ref="DNC10:DND10"/>
    <mergeCell ref="DNE10:DNF10"/>
    <mergeCell ref="DPO10:DPP10"/>
    <mergeCell ref="DPQ10:DPR10"/>
    <mergeCell ref="DPS10:DPT10"/>
    <mergeCell ref="DPU10:DPV10"/>
    <mergeCell ref="DPW10:DPX10"/>
    <mergeCell ref="DPE10:DPF10"/>
    <mergeCell ref="DPG10:DPH10"/>
    <mergeCell ref="DPI10:DPJ10"/>
    <mergeCell ref="DPK10:DPL10"/>
    <mergeCell ref="DPM10:DPN10"/>
    <mergeCell ref="DOU10:DOV10"/>
    <mergeCell ref="DOW10:DOX10"/>
    <mergeCell ref="DOY10:DOZ10"/>
    <mergeCell ref="DPA10:DPB10"/>
    <mergeCell ref="DPC10:DPD10"/>
    <mergeCell ref="DOK10:DOL10"/>
    <mergeCell ref="DOM10:DON10"/>
    <mergeCell ref="DOO10:DOP10"/>
    <mergeCell ref="DOQ10:DOR10"/>
    <mergeCell ref="DOS10:DOT10"/>
    <mergeCell ref="DRC10:DRD10"/>
    <mergeCell ref="DRE10:DRF10"/>
    <mergeCell ref="DRG10:DRH10"/>
    <mergeCell ref="DRI10:DRJ10"/>
    <mergeCell ref="DRK10:DRL10"/>
    <mergeCell ref="DQS10:DQT10"/>
    <mergeCell ref="DQU10:DQV10"/>
    <mergeCell ref="DQW10:DQX10"/>
    <mergeCell ref="DQY10:DQZ10"/>
    <mergeCell ref="DRA10:DRB10"/>
    <mergeCell ref="DQI10:DQJ10"/>
    <mergeCell ref="DQK10:DQL10"/>
    <mergeCell ref="DQM10:DQN10"/>
    <mergeCell ref="DQO10:DQP10"/>
    <mergeCell ref="DQQ10:DQR10"/>
    <mergeCell ref="DPY10:DPZ10"/>
    <mergeCell ref="DQA10:DQB10"/>
    <mergeCell ref="DQC10:DQD10"/>
    <mergeCell ref="DQE10:DQF10"/>
    <mergeCell ref="DQG10:DQH10"/>
    <mergeCell ref="DSQ10:DSR10"/>
    <mergeCell ref="DSS10:DST10"/>
    <mergeCell ref="DSU10:DSV10"/>
    <mergeCell ref="DSW10:DSX10"/>
    <mergeCell ref="DSY10:DSZ10"/>
    <mergeCell ref="DSG10:DSH10"/>
    <mergeCell ref="DSI10:DSJ10"/>
    <mergeCell ref="DSK10:DSL10"/>
    <mergeCell ref="DSM10:DSN10"/>
    <mergeCell ref="DSO10:DSP10"/>
    <mergeCell ref="DRW10:DRX10"/>
    <mergeCell ref="DRY10:DRZ10"/>
    <mergeCell ref="DSA10:DSB10"/>
    <mergeCell ref="DSC10:DSD10"/>
    <mergeCell ref="DSE10:DSF10"/>
    <mergeCell ref="DRM10:DRN10"/>
    <mergeCell ref="DRO10:DRP10"/>
    <mergeCell ref="DRQ10:DRR10"/>
    <mergeCell ref="DRS10:DRT10"/>
    <mergeCell ref="DRU10:DRV10"/>
    <mergeCell ref="DUE10:DUF10"/>
    <mergeCell ref="DUG10:DUH10"/>
    <mergeCell ref="DUI10:DUJ10"/>
    <mergeCell ref="DUK10:DUL10"/>
    <mergeCell ref="DUM10:DUN10"/>
    <mergeCell ref="DTU10:DTV10"/>
    <mergeCell ref="DTW10:DTX10"/>
    <mergeCell ref="DTY10:DTZ10"/>
    <mergeCell ref="DUA10:DUB10"/>
    <mergeCell ref="DUC10:DUD10"/>
    <mergeCell ref="DTK10:DTL10"/>
    <mergeCell ref="DTM10:DTN10"/>
    <mergeCell ref="DTO10:DTP10"/>
    <mergeCell ref="DTQ10:DTR10"/>
    <mergeCell ref="DTS10:DTT10"/>
    <mergeCell ref="DTA10:DTB10"/>
    <mergeCell ref="DTC10:DTD10"/>
    <mergeCell ref="DTE10:DTF10"/>
    <mergeCell ref="DTG10:DTH10"/>
    <mergeCell ref="DTI10:DTJ10"/>
    <mergeCell ref="DVS10:DVT10"/>
    <mergeCell ref="DVU10:DVV10"/>
    <mergeCell ref="DVW10:DVX10"/>
    <mergeCell ref="DVY10:DVZ10"/>
    <mergeCell ref="DWA10:DWB10"/>
    <mergeCell ref="DVI10:DVJ10"/>
    <mergeCell ref="DVK10:DVL10"/>
    <mergeCell ref="DVM10:DVN10"/>
    <mergeCell ref="DVO10:DVP10"/>
    <mergeCell ref="DVQ10:DVR10"/>
    <mergeCell ref="DUY10:DUZ10"/>
    <mergeCell ref="DVA10:DVB10"/>
    <mergeCell ref="DVC10:DVD10"/>
    <mergeCell ref="DVE10:DVF10"/>
    <mergeCell ref="DVG10:DVH10"/>
    <mergeCell ref="DUO10:DUP10"/>
    <mergeCell ref="DUQ10:DUR10"/>
    <mergeCell ref="DUS10:DUT10"/>
    <mergeCell ref="DUU10:DUV10"/>
    <mergeCell ref="DUW10:DUX10"/>
    <mergeCell ref="DXG10:DXH10"/>
    <mergeCell ref="DXI10:DXJ10"/>
    <mergeCell ref="DXK10:DXL10"/>
    <mergeCell ref="DXM10:DXN10"/>
    <mergeCell ref="DXO10:DXP10"/>
    <mergeCell ref="DWW10:DWX10"/>
    <mergeCell ref="DWY10:DWZ10"/>
    <mergeCell ref="DXA10:DXB10"/>
    <mergeCell ref="DXC10:DXD10"/>
    <mergeCell ref="DXE10:DXF10"/>
    <mergeCell ref="DWM10:DWN10"/>
    <mergeCell ref="DWO10:DWP10"/>
    <mergeCell ref="DWQ10:DWR10"/>
    <mergeCell ref="DWS10:DWT10"/>
    <mergeCell ref="DWU10:DWV10"/>
    <mergeCell ref="DWC10:DWD10"/>
    <mergeCell ref="DWE10:DWF10"/>
    <mergeCell ref="DWG10:DWH10"/>
    <mergeCell ref="DWI10:DWJ10"/>
    <mergeCell ref="DWK10:DWL10"/>
    <mergeCell ref="DYU10:DYV10"/>
    <mergeCell ref="DYW10:DYX10"/>
    <mergeCell ref="DYY10:DYZ10"/>
    <mergeCell ref="DZA10:DZB10"/>
    <mergeCell ref="DZC10:DZD10"/>
    <mergeCell ref="DYK10:DYL10"/>
    <mergeCell ref="DYM10:DYN10"/>
    <mergeCell ref="DYO10:DYP10"/>
    <mergeCell ref="DYQ10:DYR10"/>
    <mergeCell ref="DYS10:DYT10"/>
    <mergeCell ref="DYA10:DYB10"/>
    <mergeCell ref="DYC10:DYD10"/>
    <mergeCell ref="DYE10:DYF10"/>
    <mergeCell ref="DYG10:DYH10"/>
    <mergeCell ref="DYI10:DYJ10"/>
    <mergeCell ref="DXQ10:DXR10"/>
    <mergeCell ref="DXS10:DXT10"/>
    <mergeCell ref="DXU10:DXV10"/>
    <mergeCell ref="DXW10:DXX10"/>
    <mergeCell ref="DXY10:DXZ10"/>
    <mergeCell ref="EAI10:EAJ10"/>
    <mergeCell ref="EAK10:EAL10"/>
    <mergeCell ref="EAM10:EAN10"/>
    <mergeCell ref="EAO10:EAP10"/>
    <mergeCell ref="EAQ10:EAR10"/>
    <mergeCell ref="DZY10:DZZ10"/>
    <mergeCell ref="EAA10:EAB10"/>
    <mergeCell ref="EAC10:EAD10"/>
    <mergeCell ref="EAE10:EAF10"/>
    <mergeCell ref="EAG10:EAH10"/>
    <mergeCell ref="DZO10:DZP10"/>
    <mergeCell ref="DZQ10:DZR10"/>
    <mergeCell ref="DZS10:DZT10"/>
    <mergeCell ref="DZU10:DZV10"/>
    <mergeCell ref="DZW10:DZX10"/>
    <mergeCell ref="DZE10:DZF10"/>
    <mergeCell ref="DZG10:DZH10"/>
    <mergeCell ref="DZI10:DZJ10"/>
    <mergeCell ref="DZK10:DZL10"/>
    <mergeCell ref="DZM10:DZN10"/>
    <mergeCell ref="EBW10:EBX10"/>
    <mergeCell ref="EBY10:EBZ10"/>
    <mergeCell ref="ECA10:ECB10"/>
    <mergeCell ref="ECC10:ECD10"/>
    <mergeCell ref="ECE10:ECF10"/>
    <mergeCell ref="EBM10:EBN10"/>
    <mergeCell ref="EBO10:EBP10"/>
    <mergeCell ref="EBQ10:EBR10"/>
    <mergeCell ref="EBS10:EBT10"/>
    <mergeCell ref="EBU10:EBV10"/>
    <mergeCell ref="EBC10:EBD10"/>
    <mergeCell ref="EBE10:EBF10"/>
    <mergeCell ref="EBG10:EBH10"/>
    <mergeCell ref="EBI10:EBJ10"/>
    <mergeCell ref="EBK10:EBL10"/>
    <mergeCell ref="EAS10:EAT10"/>
    <mergeCell ref="EAU10:EAV10"/>
    <mergeCell ref="EAW10:EAX10"/>
    <mergeCell ref="EAY10:EAZ10"/>
    <mergeCell ref="EBA10:EBB10"/>
    <mergeCell ref="EDK10:EDL10"/>
    <mergeCell ref="EDM10:EDN10"/>
    <mergeCell ref="EDO10:EDP10"/>
    <mergeCell ref="EDQ10:EDR10"/>
    <mergeCell ref="EDS10:EDT10"/>
    <mergeCell ref="EDA10:EDB10"/>
    <mergeCell ref="EDC10:EDD10"/>
    <mergeCell ref="EDE10:EDF10"/>
    <mergeCell ref="EDG10:EDH10"/>
    <mergeCell ref="EDI10:EDJ10"/>
    <mergeCell ref="ECQ10:ECR10"/>
    <mergeCell ref="ECS10:ECT10"/>
    <mergeCell ref="ECU10:ECV10"/>
    <mergeCell ref="ECW10:ECX10"/>
    <mergeCell ref="ECY10:ECZ10"/>
    <mergeCell ref="ECG10:ECH10"/>
    <mergeCell ref="ECI10:ECJ10"/>
    <mergeCell ref="ECK10:ECL10"/>
    <mergeCell ref="ECM10:ECN10"/>
    <mergeCell ref="ECO10:ECP10"/>
    <mergeCell ref="EEY10:EEZ10"/>
    <mergeCell ref="EFA10:EFB10"/>
    <mergeCell ref="EFC10:EFD10"/>
    <mergeCell ref="EFE10:EFF10"/>
    <mergeCell ref="EFG10:EFH10"/>
    <mergeCell ref="EEO10:EEP10"/>
    <mergeCell ref="EEQ10:EER10"/>
    <mergeCell ref="EES10:EET10"/>
    <mergeCell ref="EEU10:EEV10"/>
    <mergeCell ref="EEW10:EEX10"/>
    <mergeCell ref="EEE10:EEF10"/>
    <mergeCell ref="EEG10:EEH10"/>
    <mergeCell ref="EEI10:EEJ10"/>
    <mergeCell ref="EEK10:EEL10"/>
    <mergeCell ref="EEM10:EEN10"/>
    <mergeCell ref="EDU10:EDV10"/>
    <mergeCell ref="EDW10:EDX10"/>
    <mergeCell ref="EDY10:EDZ10"/>
    <mergeCell ref="EEA10:EEB10"/>
    <mergeCell ref="EEC10:EED10"/>
    <mergeCell ref="EGM10:EGN10"/>
    <mergeCell ref="EGO10:EGP10"/>
    <mergeCell ref="EGQ10:EGR10"/>
    <mergeCell ref="EGS10:EGT10"/>
    <mergeCell ref="EGU10:EGV10"/>
    <mergeCell ref="EGC10:EGD10"/>
    <mergeCell ref="EGE10:EGF10"/>
    <mergeCell ref="EGG10:EGH10"/>
    <mergeCell ref="EGI10:EGJ10"/>
    <mergeCell ref="EGK10:EGL10"/>
    <mergeCell ref="EFS10:EFT10"/>
    <mergeCell ref="EFU10:EFV10"/>
    <mergeCell ref="EFW10:EFX10"/>
    <mergeCell ref="EFY10:EFZ10"/>
    <mergeCell ref="EGA10:EGB10"/>
    <mergeCell ref="EFI10:EFJ10"/>
    <mergeCell ref="EFK10:EFL10"/>
    <mergeCell ref="EFM10:EFN10"/>
    <mergeCell ref="EFO10:EFP10"/>
    <mergeCell ref="EFQ10:EFR10"/>
    <mergeCell ref="EIA10:EIB10"/>
    <mergeCell ref="EIC10:EID10"/>
    <mergeCell ref="EIE10:EIF10"/>
    <mergeCell ref="EIG10:EIH10"/>
    <mergeCell ref="EII10:EIJ10"/>
    <mergeCell ref="EHQ10:EHR10"/>
    <mergeCell ref="EHS10:EHT10"/>
    <mergeCell ref="EHU10:EHV10"/>
    <mergeCell ref="EHW10:EHX10"/>
    <mergeCell ref="EHY10:EHZ10"/>
    <mergeCell ref="EHG10:EHH10"/>
    <mergeCell ref="EHI10:EHJ10"/>
    <mergeCell ref="EHK10:EHL10"/>
    <mergeCell ref="EHM10:EHN10"/>
    <mergeCell ref="EHO10:EHP10"/>
    <mergeCell ref="EGW10:EGX10"/>
    <mergeCell ref="EGY10:EGZ10"/>
    <mergeCell ref="EHA10:EHB10"/>
    <mergeCell ref="EHC10:EHD10"/>
    <mergeCell ref="EHE10:EHF10"/>
    <mergeCell ref="EJO10:EJP10"/>
    <mergeCell ref="EJQ10:EJR10"/>
    <mergeCell ref="EJS10:EJT10"/>
    <mergeCell ref="EJU10:EJV10"/>
    <mergeCell ref="EJW10:EJX10"/>
    <mergeCell ref="EJE10:EJF10"/>
    <mergeCell ref="EJG10:EJH10"/>
    <mergeCell ref="EJI10:EJJ10"/>
    <mergeCell ref="EJK10:EJL10"/>
    <mergeCell ref="EJM10:EJN10"/>
    <mergeCell ref="EIU10:EIV10"/>
    <mergeCell ref="EIW10:EIX10"/>
    <mergeCell ref="EIY10:EIZ10"/>
    <mergeCell ref="EJA10:EJB10"/>
    <mergeCell ref="EJC10:EJD10"/>
    <mergeCell ref="EIK10:EIL10"/>
    <mergeCell ref="EIM10:EIN10"/>
    <mergeCell ref="EIO10:EIP10"/>
    <mergeCell ref="EIQ10:EIR10"/>
    <mergeCell ref="EIS10:EIT10"/>
    <mergeCell ref="ELC10:ELD10"/>
    <mergeCell ref="ELE10:ELF10"/>
    <mergeCell ref="ELG10:ELH10"/>
    <mergeCell ref="ELI10:ELJ10"/>
    <mergeCell ref="ELK10:ELL10"/>
    <mergeCell ref="EKS10:EKT10"/>
    <mergeCell ref="EKU10:EKV10"/>
    <mergeCell ref="EKW10:EKX10"/>
    <mergeCell ref="EKY10:EKZ10"/>
    <mergeCell ref="ELA10:ELB10"/>
    <mergeCell ref="EKI10:EKJ10"/>
    <mergeCell ref="EKK10:EKL10"/>
    <mergeCell ref="EKM10:EKN10"/>
    <mergeCell ref="EKO10:EKP10"/>
    <mergeCell ref="EKQ10:EKR10"/>
    <mergeCell ref="EJY10:EJZ10"/>
    <mergeCell ref="EKA10:EKB10"/>
    <mergeCell ref="EKC10:EKD10"/>
    <mergeCell ref="EKE10:EKF10"/>
    <mergeCell ref="EKG10:EKH10"/>
    <mergeCell ref="EMQ10:EMR10"/>
    <mergeCell ref="EMS10:EMT10"/>
    <mergeCell ref="EMU10:EMV10"/>
    <mergeCell ref="EMW10:EMX10"/>
    <mergeCell ref="EMY10:EMZ10"/>
    <mergeCell ref="EMG10:EMH10"/>
    <mergeCell ref="EMI10:EMJ10"/>
    <mergeCell ref="EMK10:EML10"/>
    <mergeCell ref="EMM10:EMN10"/>
    <mergeCell ref="EMO10:EMP10"/>
    <mergeCell ref="ELW10:ELX10"/>
    <mergeCell ref="ELY10:ELZ10"/>
    <mergeCell ref="EMA10:EMB10"/>
    <mergeCell ref="EMC10:EMD10"/>
    <mergeCell ref="EME10:EMF10"/>
    <mergeCell ref="ELM10:ELN10"/>
    <mergeCell ref="ELO10:ELP10"/>
    <mergeCell ref="ELQ10:ELR10"/>
    <mergeCell ref="ELS10:ELT10"/>
    <mergeCell ref="ELU10:ELV10"/>
    <mergeCell ref="EOE10:EOF10"/>
    <mergeCell ref="EOG10:EOH10"/>
    <mergeCell ref="EOI10:EOJ10"/>
    <mergeCell ref="EOK10:EOL10"/>
    <mergeCell ref="EOM10:EON10"/>
    <mergeCell ref="ENU10:ENV10"/>
    <mergeCell ref="ENW10:ENX10"/>
    <mergeCell ref="ENY10:ENZ10"/>
    <mergeCell ref="EOA10:EOB10"/>
    <mergeCell ref="EOC10:EOD10"/>
    <mergeCell ref="ENK10:ENL10"/>
    <mergeCell ref="ENM10:ENN10"/>
    <mergeCell ref="ENO10:ENP10"/>
    <mergeCell ref="ENQ10:ENR10"/>
    <mergeCell ref="ENS10:ENT10"/>
    <mergeCell ref="ENA10:ENB10"/>
    <mergeCell ref="ENC10:END10"/>
    <mergeCell ref="ENE10:ENF10"/>
    <mergeCell ref="ENG10:ENH10"/>
    <mergeCell ref="ENI10:ENJ10"/>
    <mergeCell ref="EPS10:EPT10"/>
    <mergeCell ref="EPU10:EPV10"/>
    <mergeCell ref="EPW10:EPX10"/>
    <mergeCell ref="EPY10:EPZ10"/>
    <mergeCell ref="EQA10:EQB10"/>
    <mergeCell ref="EPI10:EPJ10"/>
    <mergeCell ref="EPK10:EPL10"/>
    <mergeCell ref="EPM10:EPN10"/>
    <mergeCell ref="EPO10:EPP10"/>
    <mergeCell ref="EPQ10:EPR10"/>
    <mergeCell ref="EOY10:EOZ10"/>
    <mergeCell ref="EPA10:EPB10"/>
    <mergeCell ref="EPC10:EPD10"/>
    <mergeCell ref="EPE10:EPF10"/>
    <mergeCell ref="EPG10:EPH10"/>
    <mergeCell ref="EOO10:EOP10"/>
    <mergeCell ref="EOQ10:EOR10"/>
    <mergeCell ref="EOS10:EOT10"/>
    <mergeCell ref="EOU10:EOV10"/>
    <mergeCell ref="EOW10:EOX10"/>
    <mergeCell ref="ERG10:ERH10"/>
    <mergeCell ref="ERI10:ERJ10"/>
    <mergeCell ref="ERK10:ERL10"/>
    <mergeCell ref="ERM10:ERN10"/>
    <mergeCell ref="ERO10:ERP10"/>
    <mergeCell ref="EQW10:EQX10"/>
    <mergeCell ref="EQY10:EQZ10"/>
    <mergeCell ref="ERA10:ERB10"/>
    <mergeCell ref="ERC10:ERD10"/>
    <mergeCell ref="ERE10:ERF10"/>
    <mergeCell ref="EQM10:EQN10"/>
    <mergeCell ref="EQO10:EQP10"/>
    <mergeCell ref="EQQ10:EQR10"/>
    <mergeCell ref="EQS10:EQT10"/>
    <mergeCell ref="EQU10:EQV10"/>
    <mergeCell ref="EQC10:EQD10"/>
    <mergeCell ref="EQE10:EQF10"/>
    <mergeCell ref="EQG10:EQH10"/>
    <mergeCell ref="EQI10:EQJ10"/>
    <mergeCell ref="EQK10:EQL10"/>
    <mergeCell ref="ESU10:ESV10"/>
    <mergeCell ref="ESW10:ESX10"/>
    <mergeCell ref="ESY10:ESZ10"/>
    <mergeCell ref="ETA10:ETB10"/>
    <mergeCell ref="ETC10:ETD10"/>
    <mergeCell ref="ESK10:ESL10"/>
    <mergeCell ref="ESM10:ESN10"/>
    <mergeCell ref="ESO10:ESP10"/>
    <mergeCell ref="ESQ10:ESR10"/>
    <mergeCell ref="ESS10:EST10"/>
    <mergeCell ref="ESA10:ESB10"/>
    <mergeCell ref="ESC10:ESD10"/>
    <mergeCell ref="ESE10:ESF10"/>
    <mergeCell ref="ESG10:ESH10"/>
    <mergeCell ref="ESI10:ESJ10"/>
    <mergeCell ref="ERQ10:ERR10"/>
    <mergeCell ref="ERS10:ERT10"/>
    <mergeCell ref="ERU10:ERV10"/>
    <mergeCell ref="ERW10:ERX10"/>
    <mergeCell ref="ERY10:ERZ10"/>
    <mergeCell ref="EUI10:EUJ10"/>
    <mergeCell ref="EUK10:EUL10"/>
    <mergeCell ref="EUM10:EUN10"/>
    <mergeCell ref="EUO10:EUP10"/>
    <mergeCell ref="EUQ10:EUR10"/>
    <mergeCell ref="ETY10:ETZ10"/>
    <mergeCell ref="EUA10:EUB10"/>
    <mergeCell ref="EUC10:EUD10"/>
    <mergeCell ref="EUE10:EUF10"/>
    <mergeCell ref="EUG10:EUH10"/>
    <mergeCell ref="ETO10:ETP10"/>
    <mergeCell ref="ETQ10:ETR10"/>
    <mergeCell ref="ETS10:ETT10"/>
    <mergeCell ref="ETU10:ETV10"/>
    <mergeCell ref="ETW10:ETX10"/>
    <mergeCell ref="ETE10:ETF10"/>
    <mergeCell ref="ETG10:ETH10"/>
    <mergeCell ref="ETI10:ETJ10"/>
    <mergeCell ref="ETK10:ETL10"/>
    <mergeCell ref="ETM10:ETN10"/>
    <mergeCell ref="EVW10:EVX10"/>
    <mergeCell ref="EVY10:EVZ10"/>
    <mergeCell ref="EWA10:EWB10"/>
    <mergeCell ref="EWC10:EWD10"/>
    <mergeCell ref="EWE10:EWF10"/>
    <mergeCell ref="EVM10:EVN10"/>
    <mergeCell ref="EVO10:EVP10"/>
    <mergeCell ref="EVQ10:EVR10"/>
    <mergeCell ref="EVS10:EVT10"/>
    <mergeCell ref="EVU10:EVV10"/>
    <mergeCell ref="EVC10:EVD10"/>
    <mergeCell ref="EVE10:EVF10"/>
    <mergeCell ref="EVG10:EVH10"/>
    <mergeCell ref="EVI10:EVJ10"/>
    <mergeCell ref="EVK10:EVL10"/>
    <mergeCell ref="EUS10:EUT10"/>
    <mergeCell ref="EUU10:EUV10"/>
    <mergeCell ref="EUW10:EUX10"/>
    <mergeCell ref="EUY10:EUZ10"/>
    <mergeCell ref="EVA10:EVB10"/>
    <mergeCell ref="EXK10:EXL10"/>
    <mergeCell ref="EXM10:EXN10"/>
    <mergeCell ref="EXO10:EXP10"/>
    <mergeCell ref="EXQ10:EXR10"/>
    <mergeCell ref="EXS10:EXT10"/>
    <mergeCell ref="EXA10:EXB10"/>
    <mergeCell ref="EXC10:EXD10"/>
    <mergeCell ref="EXE10:EXF10"/>
    <mergeCell ref="EXG10:EXH10"/>
    <mergeCell ref="EXI10:EXJ10"/>
    <mergeCell ref="EWQ10:EWR10"/>
    <mergeCell ref="EWS10:EWT10"/>
    <mergeCell ref="EWU10:EWV10"/>
    <mergeCell ref="EWW10:EWX10"/>
    <mergeCell ref="EWY10:EWZ10"/>
    <mergeCell ref="EWG10:EWH10"/>
    <mergeCell ref="EWI10:EWJ10"/>
    <mergeCell ref="EWK10:EWL10"/>
    <mergeCell ref="EWM10:EWN10"/>
    <mergeCell ref="EWO10:EWP10"/>
    <mergeCell ref="EYY10:EYZ10"/>
    <mergeCell ref="EZA10:EZB10"/>
    <mergeCell ref="EZC10:EZD10"/>
    <mergeCell ref="EZE10:EZF10"/>
    <mergeCell ref="EZG10:EZH10"/>
    <mergeCell ref="EYO10:EYP10"/>
    <mergeCell ref="EYQ10:EYR10"/>
    <mergeCell ref="EYS10:EYT10"/>
    <mergeCell ref="EYU10:EYV10"/>
    <mergeCell ref="EYW10:EYX10"/>
    <mergeCell ref="EYE10:EYF10"/>
    <mergeCell ref="EYG10:EYH10"/>
    <mergeCell ref="EYI10:EYJ10"/>
    <mergeCell ref="EYK10:EYL10"/>
    <mergeCell ref="EYM10:EYN10"/>
    <mergeCell ref="EXU10:EXV10"/>
    <mergeCell ref="EXW10:EXX10"/>
    <mergeCell ref="EXY10:EXZ10"/>
    <mergeCell ref="EYA10:EYB10"/>
    <mergeCell ref="EYC10:EYD10"/>
    <mergeCell ref="FAM10:FAN10"/>
    <mergeCell ref="FAO10:FAP10"/>
    <mergeCell ref="FAQ10:FAR10"/>
    <mergeCell ref="FAS10:FAT10"/>
    <mergeCell ref="FAU10:FAV10"/>
    <mergeCell ref="FAC10:FAD10"/>
    <mergeCell ref="FAE10:FAF10"/>
    <mergeCell ref="FAG10:FAH10"/>
    <mergeCell ref="FAI10:FAJ10"/>
    <mergeCell ref="FAK10:FAL10"/>
    <mergeCell ref="EZS10:EZT10"/>
    <mergeCell ref="EZU10:EZV10"/>
    <mergeCell ref="EZW10:EZX10"/>
    <mergeCell ref="EZY10:EZZ10"/>
    <mergeCell ref="FAA10:FAB10"/>
    <mergeCell ref="EZI10:EZJ10"/>
    <mergeCell ref="EZK10:EZL10"/>
    <mergeCell ref="EZM10:EZN10"/>
    <mergeCell ref="EZO10:EZP10"/>
    <mergeCell ref="EZQ10:EZR10"/>
    <mergeCell ref="FCA10:FCB10"/>
    <mergeCell ref="FCC10:FCD10"/>
    <mergeCell ref="FCE10:FCF10"/>
    <mergeCell ref="FCG10:FCH10"/>
    <mergeCell ref="FCI10:FCJ10"/>
    <mergeCell ref="FBQ10:FBR10"/>
    <mergeCell ref="FBS10:FBT10"/>
    <mergeCell ref="FBU10:FBV10"/>
    <mergeCell ref="FBW10:FBX10"/>
    <mergeCell ref="FBY10:FBZ10"/>
    <mergeCell ref="FBG10:FBH10"/>
    <mergeCell ref="FBI10:FBJ10"/>
    <mergeCell ref="FBK10:FBL10"/>
    <mergeCell ref="FBM10:FBN10"/>
    <mergeCell ref="FBO10:FBP10"/>
    <mergeCell ref="FAW10:FAX10"/>
    <mergeCell ref="FAY10:FAZ10"/>
    <mergeCell ref="FBA10:FBB10"/>
    <mergeCell ref="FBC10:FBD10"/>
    <mergeCell ref="FBE10:FBF10"/>
    <mergeCell ref="FDO10:FDP10"/>
    <mergeCell ref="FDQ10:FDR10"/>
    <mergeCell ref="FDS10:FDT10"/>
    <mergeCell ref="FDU10:FDV10"/>
    <mergeCell ref="FDW10:FDX10"/>
    <mergeCell ref="FDE10:FDF10"/>
    <mergeCell ref="FDG10:FDH10"/>
    <mergeCell ref="FDI10:FDJ10"/>
    <mergeCell ref="FDK10:FDL10"/>
    <mergeCell ref="FDM10:FDN10"/>
    <mergeCell ref="FCU10:FCV10"/>
    <mergeCell ref="FCW10:FCX10"/>
    <mergeCell ref="FCY10:FCZ10"/>
    <mergeCell ref="FDA10:FDB10"/>
    <mergeCell ref="FDC10:FDD10"/>
    <mergeCell ref="FCK10:FCL10"/>
    <mergeCell ref="FCM10:FCN10"/>
    <mergeCell ref="FCO10:FCP10"/>
    <mergeCell ref="FCQ10:FCR10"/>
    <mergeCell ref="FCS10:FCT10"/>
    <mergeCell ref="FFC10:FFD10"/>
    <mergeCell ref="FFE10:FFF10"/>
    <mergeCell ref="FFG10:FFH10"/>
    <mergeCell ref="FFI10:FFJ10"/>
    <mergeCell ref="FFK10:FFL10"/>
    <mergeCell ref="FES10:FET10"/>
    <mergeCell ref="FEU10:FEV10"/>
    <mergeCell ref="FEW10:FEX10"/>
    <mergeCell ref="FEY10:FEZ10"/>
    <mergeCell ref="FFA10:FFB10"/>
    <mergeCell ref="FEI10:FEJ10"/>
    <mergeCell ref="FEK10:FEL10"/>
    <mergeCell ref="FEM10:FEN10"/>
    <mergeCell ref="FEO10:FEP10"/>
    <mergeCell ref="FEQ10:FER10"/>
    <mergeCell ref="FDY10:FDZ10"/>
    <mergeCell ref="FEA10:FEB10"/>
    <mergeCell ref="FEC10:FED10"/>
    <mergeCell ref="FEE10:FEF10"/>
    <mergeCell ref="FEG10:FEH10"/>
    <mergeCell ref="FGQ10:FGR10"/>
    <mergeCell ref="FGS10:FGT10"/>
    <mergeCell ref="FGU10:FGV10"/>
    <mergeCell ref="FGW10:FGX10"/>
    <mergeCell ref="FGY10:FGZ10"/>
    <mergeCell ref="FGG10:FGH10"/>
    <mergeCell ref="FGI10:FGJ10"/>
    <mergeCell ref="FGK10:FGL10"/>
    <mergeCell ref="FGM10:FGN10"/>
    <mergeCell ref="FGO10:FGP10"/>
    <mergeCell ref="FFW10:FFX10"/>
    <mergeCell ref="FFY10:FFZ10"/>
    <mergeCell ref="FGA10:FGB10"/>
    <mergeCell ref="FGC10:FGD10"/>
    <mergeCell ref="FGE10:FGF10"/>
    <mergeCell ref="FFM10:FFN10"/>
    <mergeCell ref="FFO10:FFP10"/>
    <mergeCell ref="FFQ10:FFR10"/>
    <mergeCell ref="FFS10:FFT10"/>
    <mergeCell ref="FFU10:FFV10"/>
    <mergeCell ref="FIE10:FIF10"/>
    <mergeCell ref="FIG10:FIH10"/>
    <mergeCell ref="FII10:FIJ10"/>
    <mergeCell ref="FIK10:FIL10"/>
    <mergeCell ref="FIM10:FIN10"/>
    <mergeCell ref="FHU10:FHV10"/>
    <mergeCell ref="FHW10:FHX10"/>
    <mergeCell ref="FHY10:FHZ10"/>
    <mergeCell ref="FIA10:FIB10"/>
    <mergeCell ref="FIC10:FID10"/>
    <mergeCell ref="FHK10:FHL10"/>
    <mergeCell ref="FHM10:FHN10"/>
    <mergeCell ref="FHO10:FHP10"/>
    <mergeCell ref="FHQ10:FHR10"/>
    <mergeCell ref="FHS10:FHT10"/>
    <mergeCell ref="FHA10:FHB10"/>
    <mergeCell ref="FHC10:FHD10"/>
    <mergeCell ref="FHE10:FHF10"/>
    <mergeCell ref="FHG10:FHH10"/>
    <mergeCell ref="FHI10:FHJ10"/>
    <mergeCell ref="FJS10:FJT10"/>
    <mergeCell ref="FJU10:FJV10"/>
    <mergeCell ref="FJW10:FJX10"/>
    <mergeCell ref="FJY10:FJZ10"/>
    <mergeCell ref="FKA10:FKB10"/>
    <mergeCell ref="FJI10:FJJ10"/>
    <mergeCell ref="FJK10:FJL10"/>
    <mergeCell ref="FJM10:FJN10"/>
    <mergeCell ref="FJO10:FJP10"/>
    <mergeCell ref="FJQ10:FJR10"/>
    <mergeCell ref="FIY10:FIZ10"/>
    <mergeCell ref="FJA10:FJB10"/>
    <mergeCell ref="FJC10:FJD10"/>
    <mergeCell ref="FJE10:FJF10"/>
    <mergeCell ref="FJG10:FJH10"/>
    <mergeCell ref="FIO10:FIP10"/>
    <mergeCell ref="FIQ10:FIR10"/>
    <mergeCell ref="FIS10:FIT10"/>
    <mergeCell ref="FIU10:FIV10"/>
    <mergeCell ref="FIW10:FIX10"/>
    <mergeCell ref="FLG10:FLH10"/>
    <mergeCell ref="FLI10:FLJ10"/>
    <mergeCell ref="FLK10:FLL10"/>
    <mergeCell ref="FLM10:FLN10"/>
    <mergeCell ref="FLO10:FLP10"/>
    <mergeCell ref="FKW10:FKX10"/>
    <mergeCell ref="FKY10:FKZ10"/>
    <mergeCell ref="FLA10:FLB10"/>
    <mergeCell ref="FLC10:FLD10"/>
    <mergeCell ref="FLE10:FLF10"/>
    <mergeCell ref="FKM10:FKN10"/>
    <mergeCell ref="FKO10:FKP10"/>
    <mergeCell ref="FKQ10:FKR10"/>
    <mergeCell ref="FKS10:FKT10"/>
    <mergeCell ref="FKU10:FKV10"/>
    <mergeCell ref="FKC10:FKD10"/>
    <mergeCell ref="FKE10:FKF10"/>
    <mergeCell ref="FKG10:FKH10"/>
    <mergeCell ref="FKI10:FKJ10"/>
    <mergeCell ref="FKK10:FKL10"/>
    <mergeCell ref="FMU10:FMV10"/>
    <mergeCell ref="FMW10:FMX10"/>
    <mergeCell ref="FMY10:FMZ10"/>
    <mergeCell ref="FNA10:FNB10"/>
    <mergeCell ref="FNC10:FND10"/>
    <mergeCell ref="FMK10:FML10"/>
    <mergeCell ref="FMM10:FMN10"/>
    <mergeCell ref="FMO10:FMP10"/>
    <mergeCell ref="FMQ10:FMR10"/>
    <mergeCell ref="FMS10:FMT10"/>
    <mergeCell ref="FMA10:FMB10"/>
    <mergeCell ref="FMC10:FMD10"/>
    <mergeCell ref="FME10:FMF10"/>
    <mergeCell ref="FMG10:FMH10"/>
    <mergeCell ref="FMI10:FMJ10"/>
    <mergeCell ref="FLQ10:FLR10"/>
    <mergeCell ref="FLS10:FLT10"/>
    <mergeCell ref="FLU10:FLV10"/>
    <mergeCell ref="FLW10:FLX10"/>
    <mergeCell ref="FLY10:FLZ10"/>
    <mergeCell ref="FOI10:FOJ10"/>
    <mergeCell ref="FOK10:FOL10"/>
    <mergeCell ref="FOM10:FON10"/>
    <mergeCell ref="FOO10:FOP10"/>
    <mergeCell ref="FOQ10:FOR10"/>
    <mergeCell ref="FNY10:FNZ10"/>
    <mergeCell ref="FOA10:FOB10"/>
    <mergeCell ref="FOC10:FOD10"/>
    <mergeCell ref="FOE10:FOF10"/>
    <mergeCell ref="FOG10:FOH10"/>
    <mergeCell ref="FNO10:FNP10"/>
    <mergeCell ref="FNQ10:FNR10"/>
    <mergeCell ref="FNS10:FNT10"/>
    <mergeCell ref="FNU10:FNV10"/>
    <mergeCell ref="FNW10:FNX10"/>
    <mergeCell ref="FNE10:FNF10"/>
    <mergeCell ref="FNG10:FNH10"/>
    <mergeCell ref="FNI10:FNJ10"/>
    <mergeCell ref="FNK10:FNL10"/>
    <mergeCell ref="FNM10:FNN10"/>
    <mergeCell ref="FPW10:FPX10"/>
    <mergeCell ref="FPY10:FPZ10"/>
    <mergeCell ref="FQA10:FQB10"/>
    <mergeCell ref="FQC10:FQD10"/>
    <mergeCell ref="FQE10:FQF10"/>
    <mergeCell ref="FPM10:FPN10"/>
    <mergeCell ref="FPO10:FPP10"/>
    <mergeCell ref="FPQ10:FPR10"/>
    <mergeCell ref="FPS10:FPT10"/>
    <mergeCell ref="FPU10:FPV10"/>
    <mergeCell ref="FPC10:FPD10"/>
    <mergeCell ref="FPE10:FPF10"/>
    <mergeCell ref="FPG10:FPH10"/>
    <mergeCell ref="FPI10:FPJ10"/>
    <mergeCell ref="FPK10:FPL10"/>
    <mergeCell ref="FOS10:FOT10"/>
    <mergeCell ref="FOU10:FOV10"/>
    <mergeCell ref="FOW10:FOX10"/>
    <mergeCell ref="FOY10:FOZ10"/>
    <mergeCell ref="FPA10:FPB10"/>
    <mergeCell ref="FRK10:FRL10"/>
    <mergeCell ref="FRM10:FRN10"/>
    <mergeCell ref="FRO10:FRP10"/>
    <mergeCell ref="FRQ10:FRR10"/>
    <mergeCell ref="FRS10:FRT10"/>
    <mergeCell ref="FRA10:FRB10"/>
    <mergeCell ref="FRC10:FRD10"/>
    <mergeCell ref="FRE10:FRF10"/>
    <mergeCell ref="FRG10:FRH10"/>
    <mergeCell ref="FRI10:FRJ10"/>
    <mergeCell ref="FQQ10:FQR10"/>
    <mergeCell ref="FQS10:FQT10"/>
    <mergeCell ref="FQU10:FQV10"/>
    <mergeCell ref="FQW10:FQX10"/>
    <mergeCell ref="FQY10:FQZ10"/>
    <mergeCell ref="FQG10:FQH10"/>
    <mergeCell ref="FQI10:FQJ10"/>
    <mergeCell ref="FQK10:FQL10"/>
    <mergeCell ref="FQM10:FQN10"/>
    <mergeCell ref="FQO10:FQP10"/>
    <mergeCell ref="FSY10:FSZ10"/>
    <mergeCell ref="FTA10:FTB10"/>
    <mergeCell ref="FTC10:FTD10"/>
    <mergeCell ref="FTE10:FTF10"/>
    <mergeCell ref="FTG10:FTH10"/>
    <mergeCell ref="FSO10:FSP10"/>
    <mergeCell ref="FSQ10:FSR10"/>
    <mergeCell ref="FSS10:FST10"/>
    <mergeCell ref="FSU10:FSV10"/>
    <mergeCell ref="FSW10:FSX10"/>
    <mergeCell ref="FSE10:FSF10"/>
    <mergeCell ref="FSG10:FSH10"/>
    <mergeCell ref="FSI10:FSJ10"/>
    <mergeCell ref="FSK10:FSL10"/>
    <mergeCell ref="FSM10:FSN10"/>
    <mergeCell ref="FRU10:FRV10"/>
    <mergeCell ref="FRW10:FRX10"/>
    <mergeCell ref="FRY10:FRZ10"/>
    <mergeCell ref="FSA10:FSB10"/>
    <mergeCell ref="FSC10:FSD10"/>
    <mergeCell ref="FUM10:FUN10"/>
    <mergeCell ref="FUO10:FUP10"/>
    <mergeCell ref="FUQ10:FUR10"/>
    <mergeCell ref="FUS10:FUT10"/>
    <mergeCell ref="FUU10:FUV10"/>
    <mergeCell ref="FUC10:FUD10"/>
    <mergeCell ref="FUE10:FUF10"/>
    <mergeCell ref="FUG10:FUH10"/>
    <mergeCell ref="FUI10:FUJ10"/>
    <mergeCell ref="FUK10:FUL10"/>
    <mergeCell ref="FTS10:FTT10"/>
    <mergeCell ref="FTU10:FTV10"/>
    <mergeCell ref="FTW10:FTX10"/>
    <mergeCell ref="FTY10:FTZ10"/>
    <mergeCell ref="FUA10:FUB10"/>
    <mergeCell ref="FTI10:FTJ10"/>
    <mergeCell ref="FTK10:FTL10"/>
    <mergeCell ref="FTM10:FTN10"/>
    <mergeCell ref="FTO10:FTP10"/>
    <mergeCell ref="FTQ10:FTR10"/>
    <mergeCell ref="FWA10:FWB10"/>
    <mergeCell ref="FWC10:FWD10"/>
    <mergeCell ref="FWE10:FWF10"/>
    <mergeCell ref="FWG10:FWH10"/>
    <mergeCell ref="FWI10:FWJ10"/>
    <mergeCell ref="FVQ10:FVR10"/>
    <mergeCell ref="FVS10:FVT10"/>
    <mergeCell ref="FVU10:FVV10"/>
    <mergeCell ref="FVW10:FVX10"/>
    <mergeCell ref="FVY10:FVZ10"/>
    <mergeCell ref="FVG10:FVH10"/>
    <mergeCell ref="FVI10:FVJ10"/>
    <mergeCell ref="FVK10:FVL10"/>
    <mergeCell ref="FVM10:FVN10"/>
    <mergeCell ref="FVO10:FVP10"/>
    <mergeCell ref="FUW10:FUX10"/>
    <mergeCell ref="FUY10:FUZ10"/>
    <mergeCell ref="FVA10:FVB10"/>
    <mergeCell ref="FVC10:FVD10"/>
    <mergeCell ref="FVE10:FVF10"/>
    <mergeCell ref="FXO10:FXP10"/>
    <mergeCell ref="FXQ10:FXR10"/>
    <mergeCell ref="FXS10:FXT10"/>
    <mergeCell ref="FXU10:FXV10"/>
    <mergeCell ref="FXW10:FXX10"/>
    <mergeCell ref="FXE10:FXF10"/>
    <mergeCell ref="FXG10:FXH10"/>
    <mergeCell ref="FXI10:FXJ10"/>
    <mergeCell ref="FXK10:FXL10"/>
    <mergeCell ref="FXM10:FXN10"/>
    <mergeCell ref="FWU10:FWV10"/>
    <mergeCell ref="FWW10:FWX10"/>
    <mergeCell ref="FWY10:FWZ10"/>
    <mergeCell ref="FXA10:FXB10"/>
    <mergeCell ref="FXC10:FXD10"/>
    <mergeCell ref="FWK10:FWL10"/>
    <mergeCell ref="FWM10:FWN10"/>
    <mergeCell ref="FWO10:FWP10"/>
    <mergeCell ref="FWQ10:FWR10"/>
    <mergeCell ref="FWS10:FWT10"/>
    <mergeCell ref="FZC10:FZD10"/>
    <mergeCell ref="FZE10:FZF10"/>
    <mergeCell ref="FZG10:FZH10"/>
    <mergeCell ref="FZI10:FZJ10"/>
    <mergeCell ref="FZK10:FZL10"/>
    <mergeCell ref="FYS10:FYT10"/>
    <mergeCell ref="FYU10:FYV10"/>
    <mergeCell ref="FYW10:FYX10"/>
    <mergeCell ref="FYY10:FYZ10"/>
    <mergeCell ref="FZA10:FZB10"/>
    <mergeCell ref="FYI10:FYJ10"/>
    <mergeCell ref="FYK10:FYL10"/>
    <mergeCell ref="FYM10:FYN10"/>
    <mergeCell ref="FYO10:FYP10"/>
    <mergeCell ref="FYQ10:FYR10"/>
    <mergeCell ref="FXY10:FXZ10"/>
    <mergeCell ref="FYA10:FYB10"/>
    <mergeCell ref="FYC10:FYD10"/>
    <mergeCell ref="FYE10:FYF10"/>
    <mergeCell ref="FYG10:FYH10"/>
    <mergeCell ref="GAQ10:GAR10"/>
    <mergeCell ref="GAS10:GAT10"/>
    <mergeCell ref="GAU10:GAV10"/>
    <mergeCell ref="GAW10:GAX10"/>
    <mergeCell ref="GAY10:GAZ10"/>
    <mergeCell ref="GAG10:GAH10"/>
    <mergeCell ref="GAI10:GAJ10"/>
    <mergeCell ref="GAK10:GAL10"/>
    <mergeCell ref="GAM10:GAN10"/>
    <mergeCell ref="GAO10:GAP10"/>
    <mergeCell ref="FZW10:FZX10"/>
    <mergeCell ref="FZY10:FZZ10"/>
    <mergeCell ref="GAA10:GAB10"/>
    <mergeCell ref="GAC10:GAD10"/>
    <mergeCell ref="GAE10:GAF10"/>
    <mergeCell ref="FZM10:FZN10"/>
    <mergeCell ref="FZO10:FZP10"/>
    <mergeCell ref="FZQ10:FZR10"/>
    <mergeCell ref="FZS10:FZT10"/>
    <mergeCell ref="FZU10:FZV10"/>
    <mergeCell ref="GCE10:GCF10"/>
    <mergeCell ref="GCG10:GCH10"/>
    <mergeCell ref="GCI10:GCJ10"/>
    <mergeCell ref="GCK10:GCL10"/>
    <mergeCell ref="GCM10:GCN10"/>
    <mergeCell ref="GBU10:GBV10"/>
    <mergeCell ref="GBW10:GBX10"/>
    <mergeCell ref="GBY10:GBZ10"/>
    <mergeCell ref="GCA10:GCB10"/>
    <mergeCell ref="GCC10:GCD10"/>
    <mergeCell ref="GBK10:GBL10"/>
    <mergeCell ref="GBM10:GBN10"/>
    <mergeCell ref="GBO10:GBP10"/>
    <mergeCell ref="GBQ10:GBR10"/>
    <mergeCell ref="GBS10:GBT10"/>
    <mergeCell ref="GBA10:GBB10"/>
    <mergeCell ref="GBC10:GBD10"/>
    <mergeCell ref="GBE10:GBF10"/>
    <mergeCell ref="GBG10:GBH10"/>
    <mergeCell ref="GBI10:GBJ10"/>
    <mergeCell ref="GDS10:GDT10"/>
    <mergeCell ref="GDU10:GDV10"/>
    <mergeCell ref="GDW10:GDX10"/>
    <mergeCell ref="GDY10:GDZ10"/>
    <mergeCell ref="GEA10:GEB10"/>
    <mergeCell ref="GDI10:GDJ10"/>
    <mergeCell ref="GDK10:GDL10"/>
    <mergeCell ref="GDM10:GDN10"/>
    <mergeCell ref="GDO10:GDP10"/>
    <mergeCell ref="GDQ10:GDR10"/>
    <mergeCell ref="GCY10:GCZ10"/>
    <mergeCell ref="GDA10:GDB10"/>
    <mergeCell ref="GDC10:GDD10"/>
    <mergeCell ref="GDE10:GDF10"/>
    <mergeCell ref="GDG10:GDH10"/>
    <mergeCell ref="GCO10:GCP10"/>
    <mergeCell ref="GCQ10:GCR10"/>
    <mergeCell ref="GCS10:GCT10"/>
    <mergeCell ref="GCU10:GCV10"/>
    <mergeCell ref="GCW10:GCX10"/>
    <mergeCell ref="GFG10:GFH10"/>
    <mergeCell ref="GFI10:GFJ10"/>
    <mergeCell ref="GFK10:GFL10"/>
    <mergeCell ref="GFM10:GFN10"/>
    <mergeCell ref="GFO10:GFP10"/>
    <mergeCell ref="GEW10:GEX10"/>
    <mergeCell ref="GEY10:GEZ10"/>
    <mergeCell ref="GFA10:GFB10"/>
    <mergeCell ref="GFC10:GFD10"/>
    <mergeCell ref="GFE10:GFF10"/>
    <mergeCell ref="GEM10:GEN10"/>
    <mergeCell ref="GEO10:GEP10"/>
    <mergeCell ref="GEQ10:GER10"/>
    <mergeCell ref="GES10:GET10"/>
    <mergeCell ref="GEU10:GEV10"/>
    <mergeCell ref="GEC10:GED10"/>
    <mergeCell ref="GEE10:GEF10"/>
    <mergeCell ref="GEG10:GEH10"/>
    <mergeCell ref="GEI10:GEJ10"/>
    <mergeCell ref="GEK10:GEL10"/>
    <mergeCell ref="GGU10:GGV10"/>
    <mergeCell ref="GGW10:GGX10"/>
    <mergeCell ref="GGY10:GGZ10"/>
    <mergeCell ref="GHA10:GHB10"/>
    <mergeCell ref="GHC10:GHD10"/>
    <mergeCell ref="GGK10:GGL10"/>
    <mergeCell ref="GGM10:GGN10"/>
    <mergeCell ref="GGO10:GGP10"/>
    <mergeCell ref="GGQ10:GGR10"/>
    <mergeCell ref="GGS10:GGT10"/>
    <mergeCell ref="GGA10:GGB10"/>
    <mergeCell ref="GGC10:GGD10"/>
    <mergeCell ref="GGE10:GGF10"/>
    <mergeCell ref="GGG10:GGH10"/>
    <mergeCell ref="GGI10:GGJ10"/>
    <mergeCell ref="GFQ10:GFR10"/>
    <mergeCell ref="GFS10:GFT10"/>
    <mergeCell ref="GFU10:GFV10"/>
    <mergeCell ref="GFW10:GFX10"/>
    <mergeCell ref="GFY10:GFZ10"/>
    <mergeCell ref="GII10:GIJ10"/>
    <mergeCell ref="GIK10:GIL10"/>
    <mergeCell ref="GIM10:GIN10"/>
    <mergeCell ref="GIO10:GIP10"/>
    <mergeCell ref="GIQ10:GIR10"/>
    <mergeCell ref="GHY10:GHZ10"/>
    <mergeCell ref="GIA10:GIB10"/>
    <mergeCell ref="GIC10:GID10"/>
    <mergeCell ref="GIE10:GIF10"/>
    <mergeCell ref="GIG10:GIH10"/>
    <mergeCell ref="GHO10:GHP10"/>
    <mergeCell ref="GHQ10:GHR10"/>
    <mergeCell ref="GHS10:GHT10"/>
    <mergeCell ref="GHU10:GHV10"/>
    <mergeCell ref="GHW10:GHX10"/>
    <mergeCell ref="GHE10:GHF10"/>
    <mergeCell ref="GHG10:GHH10"/>
    <mergeCell ref="GHI10:GHJ10"/>
    <mergeCell ref="GHK10:GHL10"/>
    <mergeCell ref="GHM10:GHN10"/>
    <mergeCell ref="GJW10:GJX10"/>
    <mergeCell ref="GJY10:GJZ10"/>
    <mergeCell ref="GKA10:GKB10"/>
    <mergeCell ref="GKC10:GKD10"/>
    <mergeCell ref="GKE10:GKF10"/>
    <mergeCell ref="GJM10:GJN10"/>
    <mergeCell ref="GJO10:GJP10"/>
    <mergeCell ref="GJQ10:GJR10"/>
    <mergeCell ref="GJS10:GJT10"/>
    <mergeCell ref="GJU10:GJV10"/>
    <mergeCell ref="GJC10:GJD10"/>
    <mergeCell ref="GJE10:GJF10"/>
    <mergeCell ref="GJG10:GJH10"/>
    <mergeCell ref="GJI10:GJJ10"/>
    <mergeCell ref="GJK10:GJL10"/>
    <mergeCell ref="GIS10:GIT10"/>
    <mergeCell ref="GIU10:GIV10"/>
    <mergeCell ref="GIW10:GIX10"/>
    <mergeCell ref="GIY10:GIZ10"/>
    <mergeCell ref="GJA10:GJB10"/>
    <mergeCell ref="GLK10:GLL10"/>
    <mergeCell ref="GLM10:GLN10"/>
    <mergeCell ref="GLO10:GLP10"/>
    <mergeCell ref="GLQ10:GLR10"/>
    <mergeCell ref="GLS10:GLT10"/>
    <mergeCell ref="GLA10:GLB10"/>
    <mergeCell ref="GLC10:GLD10"/>
    <mergeCell ref="GLE10:GLF10"/>
    <mergeCell ref="GLG10:GLH10"/>
    <mergeCell ref="GLI10:GLJ10"/>
    <mergeCell ref="GKQ10:GKR10"/>
    <mergeCell ref="GKS10:GKT10"/>
    <mergeCell ref="GKU10:GKV10"/>
    <mergeCell ref="GKW10:GKX10"/>
    <mergeCell ref="GKY10:GKZ10"/>
    <mergeCell ref="GKG10:GKH10"/>
    <mergeCell ref="GKI10:GKJ10"/>
    <mergeCell ref="GKK10:GKL10"/>
    <mergeCell ref="GKM10:GKN10"/>
    <mergeCell ref="GKO10:GKP10"/>
    <mergeCell ref="GMY10:GMZ10"/>
    <mergeCell ref="GNA10:GNB10"/>
    <mergeCell ref="GNC10:GND10"/>
    <mergeCell ref="GNE10:GNF10"/>
    <mergeCell ref="GNG10:GNH10"/>
    <mergeCell ref="GMO10:GMP10"/>
    <mergeCell ref="GMQ10:GMR10"/>
    <mergeCell ref="GMS10:GMT10"/>
    <mergeCell ref="GMU10:GMV10"/>
    <mergeCell ref="GMW10:GMX10"/>
    <mergeCell ref="GME10:GMF10"/>
    <mergeCell ref="GMG10:GMH10"/>
    <mergeCell ref="GMI10:GMJ10"/>
    <mergeCell ref="GMK10:GML10"/>
    <mergeCell ref="GMM10:GMN10"/>
    <mergeCell ref="GLU10:GLV10"/>
    <mergeCell ref="GLW10:GLX10"/>
    <mergeCell ref="GLY10:GLZ10"/>
    <mergeCell ref="GMA10:GMB10"/>
    <mergeCell ref="GMC10:GMD10"/>
    <mergeCell ref="GOM10:GON10"/>
    <mergeCell ref="GOO10:GOP10"/>
    <mergeCell ref="GOQ10:GOR10"/>
    <mergeCell ref="GOS10:GOT10"/>
    <mergeCell ref="GOU10:GOV10"/>
    <mergeCell ref="GOC10:GOD10"/>
    <mergeCell ref="GOE10:GOF10"/>
    <mergeCell ref="GOG10:GOH10"/>
    <mergeCell ref="GOI10:GOJ10"/>
    <mergeCell ref="GOK10:GOL10"/>
    <mergeCell ref="GNS10:GNT10"/>
    <mergeCell ref="GNU10:GNV10"/>
    <mergeCell ref="GNW10:GNX10"/>
    <mergeCell ref="GNY10:GNZ10"/>
    <mergeCell ref="GOA10:GOB10"/>
    <mergeCell ref="GNI10:GNJ10"/>
    <mergeCell ref="GNK10:GNL10"/>
    <mergeCell ref="GNM10:GNN10"/>
    <mergeCell ref="GNO10:GNP10"/>
    <mergeCell ref="GNQ10:GNR10"/>
    <mergeCell ref="GQA10:GQB10"/>
    <mergeCell ref="GQC10:GQD10"/>
    <mergeCell ref="GQE10:GQF10"/>
    <mergeCell ref="GQG10:GQH10"/>
    <mergeCell ref="GQI10:GQJ10"/>
    <mergeCell ref="GPQ10:GPR10"/>
    <mergeCell ref="GPS10:GPT10"/>
    <mergeCell ref="GPU10:GPV10"/>
    <mergeCell ref="GPW10:GPX10"/>
    <mergeCell ref="GPY10:GPZ10"/>
    <mergeCell ref="GPG10:GPH10"/>
    <mergeCell ref="GPI10:GPJ10"/>
    <mergeCell ref="GPK10:GPL10"/>
    <mergeCell ref="GPM10:GPN10"/>
    <mergeCell ref="GPO10:GPP10"/>
    <mergeCell ref="GOW10:GOX10"/>
    <mergeCell ref="GOY10:GOZ10"/>
    <mergeCell ref="GPA10:GPB10"/>
    <mergeCell ref="GPC10:GPD10"/>
    <mergeCell ref="GPE10:GPF10"/>
    <mergeCell ref="GRO10:GRP10"/>
    <mergeCell ref="GRQ10:GRR10"/>
    <mergeCell ref="GRS10:GRT10"/>
    <mergeCell ref="GRU10:GRV10"/>
    <mergeCell ref="GRW10:GRX10"/>
    <mergeCell ref="GRE10:GRF10"/>
    <mergeCell ref="GRG10:GRH10"/>
    <mergeCell ref="GRI10:GRJ10"/>
    <mergeCell ref="GRK10:GRL10"/>
    <mergeCell ref="GRM10:GRN10"/>
    <mergeCell ref="GQU10:GQV10"/>
    <mergeCell ref="GQW10:GQX10"/>
    <mergeCell ref="GQY10:GQZ10"/>
    <mergeCell ref="GRA10:GRB10"/>
    <mergeCell ref="GRC10:GRD10"/>
    <mergeCell ref="GQK10:GQL10"/>
    <mergeCell ref="GQM10:GQN10"/>
    <mergeCell ref="GQO10:GQP10"/>
    <mergeCell ref="GQQ10:GQR10"/>
    <mergeCell ref="GQS10:GQT10"/>
    <mergeCell ref="GTC10:GTD10"/>
    <mergeCell ref="GTE10:GTF10"/>
    <mergeCell ref="GTG10:GTH10"/>
    <mergeCell ref="GTI10:GTJ10"/>
    <mergeCell ref="GTK10:GTL10"/>
    <mergeCell ref="GSS10:GST10"/>
    <mergeCell ref="GSU10:GSV10"/>
    <mergeCell ref="GSW10:GSX10"/>
    <mergeCell ref="GSY10:GSZ10"/>
    <mergeCell ref="GTA10:GTB10"/>
    <mergeCell ref="GSI10:GSJ10"/>
    <mergeCell ref="GSK10:GSL10"/>
    <mergeCell ref="GSM10:GSN10"/>
    <mergeCell ref="GSO10:GSP10"/>
    <mergeCell ref="GSQ10:GSR10"/>
    <mergeCell ref="GRY10:GRZ10"/>
    <mergeCell ref="GSA10:GSB10"/>
    <mergeCell ref="GSC10:GSD10"/>
    <mergeCell ref="GSE10:GSF10"/>
    <mergeCell ref="GSG10:GSH10"/>
    <mergeCell ref="GUQ10:GUR10"/>
    <mergeCell ref="GUS10:GUT10"/>
    <mergeCell ref="GUU10:GUV10"/>
    <mergeCell ref="GUW10:GUX10"/>
    <mergeCell ref="GUY10:GUZ10"/>
    <mergeCell ref="GUG10:GUH10"/>
    <mergeCell ref="GUI10:GUJ10"/>
    <mergeCell ref="GUK10:GUL10"/>
    <mergeCell ref="GUM10:GUN10"/>
    <mergeCell ref="GUO10:GUP10"/>
    <mergeCell ref="GTW10:GTX10"/>
    <mergeCell ref="GTY10:GTZ10"/>
    <mergeCell ref="GUA10:GUB10"/>
    <mergeCell ref="GUC10:GUD10"/>
    <mergeCell ref="GUE10:GUF10"/>
    <mergeCell ref="GTM10:GTN10"/>
    <mergeCell ref="GTO10:GTP10"/>
    <mergeCell ref="GTQ10:GTR10"/>
    <mergeCell ref="GTS10:GTT10"/>
    <mergeCell ref="GTU10:GTV10"/>
    <mergeCell ref="GWE10:GWF10"/>
    <mergeCell ref="GWG10:GWH10"/>
    <mergeCell ref="GWI10:GWJ10"/>
    <mergeCell ref="GWK10:GWL10"/>
    <mergeCell ref="GWM10:GWN10"/>
    <mergeCell ref="GVU10:GVV10"/>
    <mergeCell ref="GVW10:GVX10"/>
    <mergeCell ref="GVY10:GVZ10"/>
    <mergeCell ref="GWA10:GWB10"/>
    <mergeCell ref="GWC10:GWD10"/>
    <mergeCell ref="GVK10:GVL10"/>
    <mergeCell ref="GVM10:GVN10"/>
    <mergeCell ref="GVO10:GVP10"/>
    <mergeCell ref="GVQ10:GVR10"/>
    <mergeCell ref="GVS10:GVT10"/>
    <mergeCell ref="GVA10:GVB10"/>
    <mergeCell ref="GVC10:GVD10"/>
    <mergeCell ref="GVE10:GVF10"/>
    <mergeCell ref="GVG10:GVH10"/>
    <mergeCell ref="GVI10:GVJ10"/>
    <mergeCell ref="GXS10:GXT10"/>
    <mergeCell ref="GXU10:GXV10"/>
    <mergeCell ref="GXW10:GXX10"/>
    <mergeCell ref="GXY10:GXZ10"/>
    <mergeCell ref="GYA10:GYB10"/>
    <mergeCell ref="GXI10:GXJ10"/>
    <mergeCell ref="GXK10:GXL10"/>
    <mergeCell ref="GXM10:GXN10"/>
    <mergeCell ref="GXO10:GXP10"/>
    <mergeCell ref="GXQ10:GXR10"/>
    <mergeCell ref="GWY10:GWZ10"/>
    <mergeCell ref="GXA10:GXB10"/>
    <mergeCell ref="GXC10:GXD10"/>
    <mergeCell ref="GXE10:GXF10"/>
    <mergeCell ref="GXG10:GXH10"/>
    <mergeCell ref="GWO10:GWP10"/>
    <mergeCell ref="GWQ10:GWR10"/>
    <mergeCell ref="GWS10:GWT10"/>
    <mergeCell ref="GWU10:GWV10"/>
    <mergeCell ref="GWW10:GWX10"/>
    <mergeCell ref="GZG10:GZH10"/>
    <mergeCell ref="GZI10:GZJ10"/>
    <mergeCell ref="GZK10:GZL10"/>
    <mergeCell ref="GZM10:GZN10"/>
    <mergeCell ref="GZO10:GZP10"/>
    <mergeCell ref="GYW10:GYX10"/>
    <mergeCell ref="GYY10:GYZ10"/>
    <mergeCell ref="GZA10:GZB10"/>
    <mergeCell ref="GZC10:GZD10"/>
    <mergeCell ref="GZE10:GZF10"/>
    <mergeCell ref="GYM10:GYN10"/>
    <mergeCell ref="GYO10:GYP10"/>
    <mergeCell ref="GYQ10:GYR10"/>
    <mergeCell ref="GYS10:GYT10"/>
    <mergeCell ref="GYU10:GYV10"/>
    <mergeCell ref="GYC10:GYD10"/>
    <mergeCell ref="GYE10:GYF10"/>
    <mergeCell ref="GYG10:GYH10"/>
    <mergeCell ref="GYI10:GYJ10"/>
    <mergeCell ref="GYK10:GYL10"/>
    <mergeCell ref="HAU10:HAV10"/>
    <mergeCell ref="HAW10:HAX10"/>
    <mergeCell ref="HAY10:HAZ10"/>
    <mergeCell ref="HBA10:HBB10"/>
    <mergeCell ref="HBC10:HBD10"/>
    <mergeCell ref="HAK10:HAL10"/>
    <mergeCell ref="HAM10:HAN10"/>
    <mergeCell ref="HAO10:HAP10"/>
    <mergeCell ref="HAQ10:HAR10"/>
    <mergeCell ref="HAS10:HAT10"/>
    <mergeCell ref="HAA10:HAB10"/>
    <mergeCell ref="HAC10:HAD10"/>
    <mergeCell ref="HAE10:HAF10"/>
    <mergeCell ref="HAG10:HAH10"/>
    <mergeCell ref="HAI10:HAJ10"/>
    <mergeCell ref="GZQ10:GZR10"/>
    <mergeCell ref="GZS10:GZT10"/>
    <mergeCell ref="GZU10:GZV10"/>
    <mergeCell ref="GZW10:GZX10"/>
    <mergeCell ref="GZY10:GZZ10"/>
    <mergeCell ref="HCI10:HCJ10"/>
    <mergeCell ref="HCK10:HCL10"/>
    <mergeCell ref="HCM10:HCN10"/>
    <mergeCell ref="HCO10:HCP10"/>
    <mergeCell ref="HCQ10:HCR10"/>
    <mergeCell ref="HBY10:HBZ10"/>
    <mergeCell ref="HCA10:HCB10"/>
    <mergeCell ref="HCC10:HCD10"/>
    <mergeCell ref="HCE10:HCF10"/>
    <mergeCell ref="HCG10:HCH10"/>
    <mergeCell ref="HBO10:HBP10"/>
    <mergeCell ref="HBQ10:HBR10"/>
    <mergeCell ref="HBS10:HBT10"/>
    <mergeCell ref="HBU10:HBV10"/>
    <mergeCell ref="HBW10:HBX10"/>
    <mergeCell ref="HBE10:HBF10"/>
    <mergeCell ref="HBG10:HBH10"/>
    <mergeCell ref="HBI10:HBJ10"/>
    <mergeCell ref="HBK10:HBL10"/>
    <mergeCell ref="HBM10:HBN10"/>
    <mergeCell ref="HDW10:HDX10"/>
    <mergeCell ref="HDY10:HDZ10"/>
    <mergeCell ref="HEA10:HEB10"/>
    <mergeCell ref="HEC10:HED10"/>
    <mergeCell ref="HEE10:HEF10"/>
    <mergeCell ref="HDM10:HDN10"/>
    <mergeCell ref="HDO10:HDP10"/>
    <mergeCell ref="HDQ10:HDR10"/>
    <mergeCell ref="HDS10:HDT10"/>
    <mergeCell ref="HDU10:HDV10"/>
    <mergeCell ref="HDC10:HDD10"/>
    <mergeCell ref="HDE10:HDF10"/>
    <mergeCell ref="HDG10:HDH10"/>
    <mergeCell ref="HDI10:HDJ10"/>
    <mergeCell ref="HDK10:HDL10"/>
    <mergeCell ref="HCS10:HCT10"/>
    <mergeCell ref="HCU10:HCV10"/>
    <mergeCell ref="HCW10:HCX10"/>
    <mergeCell ref="HCY10:HCZ10"/>
    <mergeCell ref="HDA10:HDB10"/>
    <mergeCell ref="HFK10:HFL10"/>
    <mergeCell ref="HFM10:HFN10"/>
    <mergeCell ref="HFO10:HFP10"/>
    <mergeCell ref="HFQ10:HFR10"/>
    <mergeCell ref="HFS10:HFT10"/>
    <mergeCell ref="HFA10:HFB10"/>
    <mergeCell ref="HFC10:HFD10"/>
    <mergeCell ref="HFE10:HFF10"/>
    <mergeCell ref="HFG10:HFH10"/>
    <mergeCell ref="HFI10:HFJ10"/>
    <mergeCell ref="HEQ10:HER10"/>
    <mergeCell ref="HES10:HET10"/>
    <mergeCell ref="HEU10:HEV10"/>
    <mergeCell ref="HEW10:HEX10"/>
    <mergeCell ref="HEY10:HEZ10"/>
    <mergeCell ref="HEG10:HEH10"/>
    <mergeCell ref="HEI10:HEJ10"/>
    <mergeCell ref="HEK10:HEL10"/>
    <mergeCell ref="HEM10:HEN10"/>
    <mergeCell ref="HEO10:HEP10"/>
    <mergeCell ref="HGY10:HGZ10"/>
    <mergeCell ref="HHA10:HHB10"/>
    <mergeCell ref="HHC10:HHD10"/>
    <mergeCell ref="HHE10:HHF10"/>
    <mergeCell ref="HHG10:HHH10"/>
    <mergeCell ref="HGO10:HGP10"/>
    <mergeCell ref="HGQ10:HGR10"/>
    <mergeCell ref="HGS10:HGT10"/>
    <mergeCell ref="HGU10:HGV10"/>
    <mergeCell ref="HGW10:HGX10"/>
    <mergeCell ref="HGE10:HGF10"/>
    <mergeCell ref="HGG10:HGH10"/>
    <mergeCell ref="HGI10:HGJ10"/>
    <mergeCell ref="HGK10:HGL10"/>
    <mergeCell ref="HGM10:HGN10"/>
    <mergeCell ref="HFU10:HFV10"/>
    <mergeCell ref="HFW10:HFX10"/>
    <mergeCell ref="HFY10:HFZ10"/>
    <mergeCell ref="HGA10:HGB10"/>
    <mergeCell ref="HGC10:HGD10"/>
    <mergeCell ref="HIM10:HIN10"/>
    <mergeCell ref="HIO10:HIP10"/>
    <mergeCell ref="HIQ10:HIR10"/>
    <mergeCell ref="HIS10:HIT10"/>
    <mergeCell ref="HIU10:HIV10"/>
    <mergeCell ref="HIC10:HID10"/>
    <mergeCell ref="HIE10:HIF10"/>
    <mergeCell ref="HIG10:HIH10"/>
    <mergeCell ref="HII10:HIJ10"/>
    <mergeCell ref="HIK10:HIL10"/>
    <mergeCell ref="HHS10:HHT10"/>
    <mergeCell ref="HHU10:HHV10"/>
    <mergeCell ref="HHW10:HHX10"/>
    <mergeCell ref="HHY10:HHZ10"/>
    <mergeCell ref="HIA10:HIB10"/>
    <mergeCell ref="HHI10:HHJ10"/>
    <mergeCell ref="HHK10:HHL10"/>
    <mergeCell ref="HHM10:HHN10"/>
    <mergeCell ref="HHO10:HHP10"/>
    <mergeCell ref="HHQ10:HHR10"/>
    <mergeCell ref="HKA10:HKB10"/>
    <mergeCell ref="HKC10:HKD10"/>
    <mergeCell ref="HKE10:HKF10"/>
    <mergeCell ref="HKG10:HKH10"/>
    <mergeCell ref="HKI10:HKJ10"/>
    <mergeCell ref="HJQ10:HJR10"/>
    <mergeCell ref="HJS10:HJT10"/>
    <mergeCell ref="HJU10:HJV10"/>
    <mergeCell ref="HJW10:HJX10"/>
    <mergeCell ref="HJY10:HJZ10"/>
    <mergeCell ref="HJG10:HJH10"/>
    <mergeCell ref="HJI10:HJJ10"/>
    <mergeCell ref="HJK10:HJL10"/>
    <mergeCell ref="HJM10:HJN10"/>
    <mergeCell ref="HJO10:HJP10"/>
    <mergeCell ref="HIW10:HIX10"/>
    <mergeCell ref="HIY10:HIZ10"/>
    <mergeCell ref="HJA10:HJB10"/>
    <mergeCell ref="HJC10:HJD10"/>
    <mergeCell ref="HJE10:HJF10"/>
    <mergeCell ref="HLO10:HLP10"/>
    <mergeCell ref="HLQ10:HLR10"/>
    <mergeCell ref="HLS10:HLT10"/>
    <mergeCell ref="HLU10:HLV10"/>
    <mergeCell ref="HLW10:HLX10"/>
    <mergeCell ref="HLE10:HLF10"/>
    <mergeCell ref="HLG10:HLH10"/>
    <mergeCell ref="HLI10:HLJ10"/>
    <mergeCell ref="HLK10:HLL10"/>
    <mergeCell ref="HLM10:HLN10"/>
    <mergeCell ref="HKU10:HKV10"/>
    <mergeCell ref="HKW10:HKX10"/>
    <mergeCell ref="HKY10:HKZ10"/>
    <mergeCell ref="HLA10:HLB10"/>
    <mergeCell ref="HLC10:HLD10"/>
    <mergeCell ref="HKK10:HKL10"/>
    <mergeCell ref="HKM10:HKN10"/>
    <mergeCell ref="HKO10:HKP10"/>
    <mergeCell ref="HKQ10:HKR10"/>
    <mergeCell ref="HKS10:HKT10"/>
    <mergeCell ref="HNC10:HND10"/>
    <mergeCell ref="HNE10:HNF10"/>
    <mergeCell ref="HNG10:HNH10"/>
    <mergeCell ref="HNI10:HNJ10"/>
    <mergeCell ref="HNK10:HNL10"/>
    <mergeCell ref="HMS10:HMT10"/>
    <mergeCell ref="HMU10:HMV10"/>
    <mergeCell ref="HMW10:HMX10"/>
    <mergeCell ref="HMY10:HMZ10"/>
    <mergeCell ref="HNA10:HNB10"/>
    <mergeCell ref="HMI10:HMJ10"/>
    <mergeCell ref="HMK10:HML10"/>
    <mergeCell ref="HMM10:HMN10"/>
    <mergeCell ref="HMO10:HMP10"/>
    <mergeCell ref="HMQ10:HMR10"/>
    <mergeCell ref="HLY10:HLZ10"/>
    <mergeCell ref="HMA10:HMB10"/>
    <mergeCell ref="HMC10:HMD10"/>
    <mergeCell ref="HME10:HMF10"/>
    <mergeCell ref="HMG10:HMH10"/>
    <mergeCell ref="HOQ10:HOR10"/>
    <mergeCell ref="HOS10:HOT10"/>
    <mergeCell ref="HOU10:HOV10"/>
    <mergeCell ref="HOW10:HOX10"/>
    <mergeCell ref="HOY10:HOZ10"/>
    <mergeCell ref="HOG10:HOH10"/>
    <mergeCell ref="HOI10:HOJ10"/>
    <mergeCell ref="HOK10:HOL10"/>
    <mergeCell ref="HOM10:HON10"/>
    <mergeCell ref="HOO10:HOP10"/>
    <mergeCell ref="HNW10:HNX10"/>
    <mergeCell ref="HNY10:HNZ10"/>
    <mergeCell ref="HOA10:HOB10"/>
    <mergeCell ref="HOC10:HOD10"/>
    <mergeCell ref="HOE10:HOF10"/>
    <mergeCell ref="HNM10:HNN10"/>
    <mergeCell ref="HNO10:HNP10"/>
    <mergeCell ref="HNQ10:HNR10"/>
    <mergeCell ref="HNS10:HNT10"/>
    <mergeCell ref="HNU10:HNV10"/>
    <mergeCell ref="HQE10:HQF10"/>
    <mergeCell ref="HQG10:HQH10"/>
    <mergeCell ref="HQI10:HQJ10"/>
    <mergeCell ref="HQK10:HQL10"/>
    <mergeCell ref="HQM10:HQN10"/>
    <mergeCell ref="HPU10:HPV10"/>
    <mergeCell ref="HPW10:HPX10"/>
    <mergeCell ref="HPY10:HPZ10"/>
    <mergeCell ref="HQA10:HQB10"/>
    <mergeCell ref="HQC10:HQD10"/>
    <mergeCell ref="HPK10:HPL10"/>
    <mergeCell ref="HPM10:HPN10"/>
    <mergeCell ref="HPO10:HPP10"/>
    <mergeCell ref="HPQ10:HPR10"/>
    <mergeCell ref="HPS10:HPT10"/>
    <mergeCell ref="HPA10:HPB10"/>
    <mergeCell ref="HPC10:HPD10"/>
    <mergeCell ref="HPE10:HPF10"/>
    <mergeCell ref="HPG10:HPH10"/>
    <mergeCell ref="HPI10:HPJ10"/>
    <mergeCell ref="HRS10:HRT10"/>
    <mergeCell ref="HRU10:HRV10"/>
    <mergeCell ref="HRW10:HRX10"/>
    <mergeCell ref="HRY10:HRZ10"/>
    <mergeCell ref="HSA10:HSB10"/>
    <mergeCell ref="HRI10:HRJ10"/>
    <mergeCell ref="HRK10:HRL10"/>
    <mergeCell ref="HRM10:HRN10"/>
    <mergeCell ref="HRO10:HRP10"/>
    <mergeCell ref="HRQ10:HRR10"/>
    <mergeCell ref="HQY10:HQZ10"/>
    <mergeCell ref="HRA10:HRB10"/>
    <mergeCell ref="HRC10:HRD10"/>
    <mergeCell ref="HRE10:HRF10"/>
    <mergeCell ref="HRG10:HRH10"/>
    <mergeCell ref="HQO10:HQP10"/>
    <mergeCell ref="HQQ10:HQR10"/>
    <mergeCell ref="HQS10:HQT10"/>
    <mergeCell ref="HQU10:HQV10"/>
    <mergeCell ref="HQW10:HQX10"/>
    <mergeCell ref="HTG10:HTH10"/>
    <mergeCell ref="HTI10:HTJ10"/>
    <mergeCell ref="HTK10:HTL10"/>
    <mergeCell ref="HTM10:HTN10"/>
    <mergeCell ref="HTO10:HTP10"/>
    <mergeCell ref="HSW10:HSX10"/>
    <mergeCell ref="HSY10:HSZ10"/>
    <mergeCell ref="HTA10:HTB10"/>
    <mergeCell ref="HTC10:HTD10"/>
    <mergeCell ref="HTE10:HTF10"/>
    <mergeCell ref="HSM10:HSN10"/>
    <mergeCell ref="HSO10:HSP10"/>
    <mergeCell ref="HSQ10:HSR10"/>
    <mergeCell ref="HSS10:HST10"/>
    <mergeCell ref="HSU10:HSV10"/>
    <mergeCell ref="HSC10:HSD10"/>
    <mergeCell ref="HSE10:HSF10"/>
    <mergeCell ref="HSG10:HSH10"/>
    <mergeCell ref="HSI10:HSJ10"/>
    <mergeCell ref="HSK10:HSL10"/>
    <mergeCell ref="HUU10:HUV10"/>
    <mergeCell ref="HUW10:HUX10"/>
    <mergeCell ref="HUY10:HUZ10"/>
    <mergeCell ref="HVA10:HVB10"/>
    <mergeCell ref="HVC10:HVD10"/>
    <mergeCell ref="HUK10:HUL10"/>
    <mergeCell ref="HUM10:HUN10"/>
    <mergeCell ref="HUO10:HUP10"/>
    <mergeCell ref="HUQ10:HUR10"/>
    <mergeCell ref="HUS10:HUT10"/>
    <mergeCell ref="HUA10:HUB10"/>
    <mergeCell ref="HUC10:HUD10"/>
    <mergeCell ref="HUE10:HUF10"/>
    <mergeCell ref="HUG10:HUH10"/>
    <mergeCell ref="HUI10:HUJ10"/>
    <mergeCell ref="HTQ10:HTR10"/>
    <mergeCell ref="HTS10:HTT10"/>
    <mergeCell ref="HTU10:HTV10"/>
    <mergeCell ref="HTW10:HTX10"/>
    <mergeCell ref="HTY10:HTZ10"/>
    <mergeCell ref="HWI10:HWJ10"/>
    <mergeCell ref="HWK10:HWL10"/>
    <mergeCell ref="HWM10:HWN10"/>
    <mergeCell ref="HWO10:HWP10"/>
    <mergeCell ref="HWQ10:HWR10"/>
    <mergeCell ref="HVY10:HVZ10"/>
    <mergeCell ref="HWA10:HWB10"/>
    <mergeCell ref="HWC10:HWD10"/>
    <mergeCell ref="HWE10:HWF10"/>
    <mergeCell ref="HWG10:HWH10"/>
    <mergeCell ref="HVO10:HVP10"/>
    <mergeCell ref="HVQ10:HVR10"/>
    <mergeCell ref="HVS10:HVT10"/>
    <mergeCell ref="HVU10:HVV10"/>
    <mergeCell ref="HVW10:HVX10"/>
    <mergeCell ref="HVE10:HVF10"/>
    <mergeCell ref="HVG10:HVH10"/>
    <mergeCell ref="HVI10:HVJ10"/>
    <mergeCell ref="HVK10:HVL10"/>
    <mergeCell ref="HVM10:HVN10"/>
    <mergeCell ref="HXW10:HXX10"/>
    <mergeCell ref="HXY10:HXZ10"/>
    <mergeCell ref="HYA10:HYB10"/>
    <mergeCell ref="HYC10:HYD10"/>
    <mergeCell ref="HYE10:HYF10"/>
    <mergeCell ref="HXM10:HXN10"/>
    <mergeCell ref="HXO10:HXP10"/>
    <mergeCell ref="HXQ10:HXR10"/>
    <mergeCell ref="HXS10:HXT10"/>
    <mergeCell ref="HXU10:HXV10"/>
    <mergeCell ref="HXC10:HXD10"/>
    <mergeCell ref="HXE10:HXF10"/>
    <mergeCell ref="HXG10:HXH10"/>
    <mergeCell ref="HXI10:HXJ10"/>
    <mergeCell ref="HXK10:HXL10"/>
    <mergeCell ref="HWS10:HWT10"/>
    <mergeCell ref="HWU10:HWV10"/>
    <mergeCell ref="HWW10:HWX10"/>
    <mergeCell ref="HWY10:HWZ10"/>
    <mergeCell ref="HXA10:HXB10"/>
    <mergeCell ref="HZK10:HZL10"/>
    <mergeCell ref="HZM10:HZN10"/>
    <mergeCell ref="HZO10:HZP10"/>
    <mergeCell ref="HZQ10:HZR10"/>
    <mergeCell ref="HZS10:HZT10"/>
    <mergeCell ref="HZA10:HZB10"/>
    <mergeCell ref="HZC10:HZD10"/>
    <mergeCell ref="HZE10:HZF10"/>
    <mergeCell ref="HZG10:HZH10"/>
    <mergeCell ref="HZI10:HZJ10"/>
    <mergeCell ref="HYQ10:HYR10"/>
    <mergeCell ref="HYS10:HYT10"/>
    <mergeCell ref="HYU10:HYV10"/>
    <mergeCell ref="HYW10:HYX10"/>
    <mergeCell ref="HYY10:HYZ10"/>
    <mergeCell ref="HYG10:HYH10"/>
    <mergeCell ref="HYI10:HYJ10"/>
    <mergeCell ref="HYK10:HYL10"/>
    <mergeCell ref="HYM10:HYN10"/>
    <mergeCell ref="HYO10:HYP10"/>
    <mergeCell ref="IAY10:IAZ10"/>
    <mergeCell ref="IBA10:IBB10"/>
    <mergeCell ref="IBC10:IBD10"/>
    <mergeCell ref="IBE10:IBF10"/>
    <mergeCell ref="IBG10:IBH10"/>
    <mergeCell ref="IAO10:IAP10"/>
    <mergeCell ref="IAQ10:IAR10"/>
    <mergeCell ref="IAS10:IAT10"/>
    <mergeCell ref="IAU10:IAV10"/>
    <mergeCell ref="IAW10:IAX10"/>
    <mergeCell ref="IAE10:IAF10"/>
    <mergeCell ref="IAG10:IAH10"/>
    <mergeCell ref="IAI10:IAJ10"/>
    <mergeCell ref="IAK10:IAL10"/>
    <mergeCell ref="IAM10:IAN10"/>
    <mergeCell ref="HZU10:HZV10"/>
    <mergeCell ref="HZW10:HZX10"/>
    <mergeCell ref="HZY10:HZZ10"/>
    <mergeCell ref="IAA10:IAB10"/>
    <mergeCell ref="IAC10:IAD10"/>
    <mergeCell ref="ICM10:ICN10"/>
    <mergeCell ref="ICO10:ICP10"/>
    <mergeCell ref="ICQ10:ICR10"/>
    <mergeCell ref="ICS10:ICT10"/>
    <mergeCell ref="ICU10:ICV10"/>
    <mergeCell ref="ICC10:ICD10"/>
    <mergeCell ref="ICE10:ICF10"/>
    <mergeCell ref="ICG10:ICH10"/>
    <mergeCell ref="ICI10:ICJ10"/>
    <mergeCell ref="ICK10:ICL10"/>
    <mergeCell ref="IBS10:IBT10"/>
    <mergeCell ref="IBU10:IBV10"/>
    <mergeCell ref="IBW10:IBX10"/>
    <mergeCell ref="IBY10:IBZ10"/>
    <mergeCell ref="ICA10:ICB10"/>
    <mergeCell ref="IBI10:IBJ10"/>
    <mergeCell ref="IBK10:IBL10"/>
    <mergeCell ref="IBM10:IBN10"/>
    <mergeCell ref="IBO10:IBP10"/>
    <mergeCell ref="IBQ10:IBR10"/>
    <mergeCell ref="IEA10:IEB10"/>
    <mergeCell ref="IEC10:IED10"/>
    <mergeCell ref="IEE10:IEF10"/>
    <mergeCell ref="IEG10:IEH10"/>
    <mergeCell ref="IEI10:IEJ10"/>
    <mergeCell ref="IDQ10:IDR10"/>
    <mergeCell ref="IDS10:IDT10"/>
    <mergeCell ref="IDU10:IDV10"/>
    <mergeCell ref="IDW10:IDX10"/>
    <mergeCell ref="IDY10:IDZ10"/>
    <mergeCell ref="IDG10:IDH10"/>
    <mergeCell ref="IDI10:IDJ10"/>
    <mergeCell ref="IDK10:IDL10"/>
    <mergeCell ref="IDM10:IDN10"/>
    <mergeCell ref="IDO10:IDP10"/>
    <mergeCell ref="ICW10:ICX10"/>
    <mergeCell ref="ICY10:ICZ10"/>
    <mergeCell ref="IDA10:IDB10"/>
    <mergeCell ref="IDC10:IDD10"/>
    <mergeCell ref="IDE10:IDF10"/>
    <mergeCell ref="IFO10:IFP10"/>
    <mergeCell ref="IFQ10:IFR10"/>
    <mergeCell ref="IFS10:IFT10"/>
    <mergeCell ref="IFU10:IFV10"/>
    <mergeCell ref="IFW10:IFX10"/>
    <mergeCell ref="IFE10:IFF10"/>
    <mergeCell ref="IFG10:IFH10"/>
    <mergeCell ref="IFI10:IFJ10"/>
    <mergeCell ref="IFK10:IFL10"/>
    <mergeCell ref="IFM10:IFN10"/>
    <mergeCell ref="IEU10:IEV10"/>
    <mergeCell ref="IEW10:IEX10"/>
    <mergeCell ref="IEY10:IEZ10"/>
    <mergeCell ref="IFA10:IFB10"/>
    <mergeCell ref="IFC10:IFD10"/>
    <mergeCell ref="IEK10:IEL10"/>
    <mergeCell ref="IEM10:IEN10"/>
    <mergeCell ref="IEO10:IEP10"/>
    <mergeCell ref="IEQ10:IER10"/>
    <mergeCell ref="IES10:IET10"/>
    <mergeCell ref="IHC10:IHD10"/>
    <mergeCell ref="IHE10:IHF10"/>
    <mergeCell ref="IHG10:IHH10"/>
    <mergeCell ref="IHI10:IHJ10"/>
    <mergeCell ref="IHK10:IHL10"/>
    <mergeCell ref="IGS10:IGT10"/>
    <mergeCell ref="IGU10:IGV10"/>
    <mergeCell ref="IGW10:IGX10"/>
    <mergeCell ref="IGY10:IGZ10"/>
    <mergeCell ref="IHA10:IHB10"/>
    <mergeCell ref="IGI10:IGJ10"/>
    <mergeCell ref="IGK10:IGL10"/>
    <mergeCell ref="IGM10:IGN10"/>
    <mergeCell ref="IGO10:IGP10"/>
    <mergeCell ref="IGQ10:IGR10"/>
    <mergeCell ref="IFY10:IFZ10"/>
    <mergeCell ref="IGA10:IGB10"/>
    <mergeCell ref="IGC10:IGD10"/>
    <mergeCell ref="IGE10:IGF10"/>
    <mergeCell ref="IGG10:IGH10"/>
    <mergeCell ref="IIQ10:IIR10"/>
    <mergeCell ref="IIS10:IIT10"/>
    <mergeCell ref="IIU10:IIV10"/>
    <mergeCell ref="IIW10:IIX10"/>
    <mergeCell ref="IIY10:IIZ10"/>
    <mergeCell ref="IIG10:IIH10"/>
    <mergeCell ref="III10:IIJ10"/>
    <mergeCell ref="IIK10:IIL10"/>
    <mergeCell ref="IIM10:IIN10"/>
    <mergeCell ref="IIO10:IIP10"/>
    <mergeCell ref="IHW10:IHX10"/>
    <mergeCell ref="IHY10:IHZ10"/>
    <mergeCell ref="IIA10:IIB10"/>
    <mergeCell ref="IIC10:IID10"/>
    <mergeCell ref="IIE10:IIF10"/>
    <mergeCell ref="IHM10:IHN10"/>
    <mergeCell ref="IHO10:IHP10"/>
    <mergeCell ref="IHQ10:IHR10"/>
    <mergeCell ref="IHS10:IHT10"/>
    <mergeCell ref="IHU10:IHV10"/>
    <mergeCell ref="IKE10:IKF10"/>
    <mergeCell ref="IKG10:IKH10"/>
    <mergeCell ref="IKI10:IKJ10"/>
    <mergeCell ref="IKK10:IKL10"/>
    <mergeCell ref="IKM10:IKN10"/>
    <mergeCell ref="IJU10:IJV10"/>
    <mergeCell ref="IJW10:IJX10"/>
    <mergeCell ref="IJY10:IJZ10"/>
    <mergeCell ref="IKA10:IKB10"/>
    <mergeCell ref="IKC10:IKD10"/>
    <mergeCell ref="IJK10:IJL10"/>
    <mergeCell ref="IJM10:IJN10"/>
    <mergeCell ref="IJO10:IJP10"/>
    <mergeCell ref="IJQ10:IJR10"/>
    <mergeCell ref="IJS10:IJT10"/>
    <mergeCell ref="IJA10:IJB10"/>
    <mergeCell ref="IJC10:IJD10"/>
    <mergeCell ref="IJE10:IJF10"/>
    <mergeCell ref="IJG10:IJH10"/>
    <mergeCell ref="IJI10:IJJ10"/>
    <mergeCell ref="ILS10:ILT10"/>
    <mergeCell ref="ILU10:ILV10"/>
    <mergeCell ref="ILW10:ILX10"/>
    <mergeCell ref="ILY10:ILZ10"/>
    <mergeCell ref="IMA10:IMB10"/>
    <mergeCell ref="ILI10:ILJ10"/>
    <mergeCell ref="ILK10:ILL10"/>
    <mergeCell ref="ILM10:ILN10"/>
    <mergeCell ref="ILO10:ILP10"/>
    <mergeCell ref="ILQ10:ILR10"/>
    <mergeCell ref="IKY10:IKZ10"/>
    <mergeCell ref="ILA10:ILB10"/>
    <mergeCell ref="ILC10:ILD10"/>
    <mergeCell ref="ILE10:ILF10"/>
    <mergeCell ref="ILG10:ILH10"/>
    <mergeCell ref="IKO10:IKP10"/>
    <mergeCell ref="IKQ10:IKR10"/>
    <mergeCell ref="IKS10:IKT10"/>
    <mergeCell ref="IKU10:IKV10"/>
    <mergeCell ref="IKW10:IKX10"/>
    <mergeCell ref="ING10:INH10"/>
    <mergeCell ref="INI10:INJ10"/>
    <mergeCell ref="INK10:INL10"/>
    <mergeCell ref="INM10:INN10"/>
    <mergeCell ref="INO10:INP10"/>
    <mergeCell ref="IMW10:IMX10"/>
    <mergeCell ref="IMY10:IMZ10"/>
    <mergeCell ref="INA10:INB10"/>
    <mergeCell ref="INC10:IND10"/>
    <mergeCell ref="INE10:INF10"/>
    <mergeCell ref="IMM10:IMN10"/>
    <mergeCell ref="IMO10:IMP10"/>
    <mergeCell ref="IMQ10:IMR10"/>
    <mergeCell ref="IMS10:IMT10"/>
    <mergeCell ref="IMU10:IMV10"/>
    <mergeCell ref="IMC10:IMD10"/>
    <mergeCell ref="IME10:IMF10"/>
    <mergeCell ref="IMG10:IMH10"/>
    <mergeCell ref="IMI10:IMJ10"/>
    <mergeCell ref="IMK10:IML10"/>
    <mergeCell ref="IOU10:IOV10"/>
    <mergeCell ref="IOW10:IOX10"/>
    <mergeCell ref="IOY10:IOZ10"/>
    <mergeCell ref="IPA10:IPB10"/>
    <mergeCell ref="IPC10:IPD10"/>
    <mergeCell ref="IOK10:IOL10"/>
    <mergeCell ref="IOM10:ION10"/>
    <mergeCell ref="IOO10:IOP10"/>
    <mergeCell ref="IOQ10:IOR10"/>
    <mergeCell ref="IOS10:IOT10"/>
    <mergeCell ref="IOA10:IOB10"/>
    <mergeCell ref="IOC10:IOD10"/>
    <mergeCell ref="IOE10:IOF10"/>
    <mergeCell ref="IOG10:IOH10"/>
    <mergeCell ref="IOI10:IOJ10"/>
    <mergeCell ref="INQ10:INR10"/>
    <mergeCell ref="INS10:INT10"/>
    <mergeCell ref="INU10:INV10"/>
    <mergeCell ref="INW10:INX10"/>
    <mergeCell ref="INY10:INZ10"/>
    <mergeCell ref="IQI10:IQJ10"/>
    <mergeCell ref="IQK10:IQL10"/>
    <mergeCell ref="IQM10:IQN10"/>
    <mergeCell ref="IQO10:IQP10"/>
    <mergeCell ref="IQQ10:IQR10"/>
    <mergeCell ref="IPY10:IPZ10"/>
    <mergeCell ref="IQA10:IQB10"/>
    <mergeCell ref="IQC10:IQD10"/>
    <mergeCell ref="IQE10:IQF10"/>
    <mergeCell ref="IQG10:IQH10"/>
    <mergeCell ref="IPO10:IPP10"/>
    <mergeCell ref="IPQ10:IPR10"/>
    <mergeCell ref="IPS10:IPT10"/>
    <mergeCell ref="IPU10:IPV10"/>
    <mergeCell ref="IPW10:IPX10"/>
    <mergeCell ref="IPE10:IPF10"/>
    <mergeCell ref="IPG10:IPH10"/>
    <mergeCell ref="IPI10:IPJ10"/>
    <mergeCell ref="IPK10:IPL10"/>
    <mergeCell ref="IPM10:IPN10"/>
    <mergeCell ref="IRW10:IRX10"/>
    <mergeCell ref="IRY10:IRZ10"/>
    <mergeCell ref="ISA10:ISB10"/>
    <mergeCell ref="ISC10:ISD10"/>
    <mergeCell ref="ISE10:ISF10"/>
    <mergeCell ref="IRM10:IRN10"/>
    <mergeCell ref="IRO10:IRP10"/>
    <mergeCell ref="IRQ10:IRR10"/>
    <mergeCell ref="IRS10:IRT10"/>
    <mergeCell ref="IRU10:IRV10"/>
    <mergeCell ref="IRC10:IRD10"/>
    <mergeCell ref="IRE10:IRF10"/>
    <mergeCell ref="IRG10:IRH10"/>
    <mergeCell ref="IRI10:IRJ10"/>
    <mergeCell ref="IRK10:IRL10"/>
    <mergeCell ref="IQS10:IQT10"/>
    <mergeCell ref="IQU10:IQV10"/>
    <mergeCell ref="IQW10:IQX10"/>
    <mergeCell ref="IQY10:IQZ10"/>
    <mergeCell ref="IRA10:IRB10"/>
    <mergeCell ref="ITK10:ITL10"/>
    <mergeCell ref="ITM10:ITN10"/>
    <mergeCell ref="ITO10:ITP10"/>
    <mergeCell ref="ITQ10:ITR10"/>
    <mergeCell ref="ITS10:ITT10"/>
    <mergeCell ref="ITA10:ITB10"/>
    <mergeCell ref="ITC10:ITD10"/>
    <mergeCell ref="ITE10:ITF10"/>
    <mergeCell ref="ITG10:ITH10"/>
    <mergeCell ref="ITI10:ITJ10"/>
    <mergeCell ref="ISQ10:ISR10"/>
    <mergeCell ref="ISS10:IST10"/>
    <mergeCell ref="ISU10:ISV10"/>
    <mergeCell ref="ISW10:ISX10"/>
    <mergeCell ref="ISY10:ISZ10"/>
    <mergeCell ref="ISG10:ISH10"/>
    <mergeCell ref="ISI10:ISJ10"/>
    <mergeCell ref="ISK10:ISL10"/>
    <mergeCell ref="ISM10:ISN10"/>
    <mergeCell ref="ISO10:ISP10"/>
    <mergeCell ref="IUY10:IUZ10"/>
    <mergeCell ref="IVA10:IVB10"/>
    <mergeCell ref="IVC10:IVD10"/>
    <mergeCell ref="IVE10:IVF10"/>
    <mergeCell ref="IVG10:IVH10"/>
    <mergeCell ref="IUO10:IUP10"/>
    <mergeCell ref="IUQ10:IUR10"/>
    <mergeCell ref="IUS10:IUT10"/>
    <mergeCell ref="IUU10:IUV10"/>
    <mergeCell ref="IUW10:IUX10"/>
    <mergeCell ref="IUE10:IUF10"/>
    <mergeCell ref="IUG10:IUH10"/>
    <mergeCell ref="IUI10:IUJ10"/>
    <mergeCell ref="IUK10:IUL10"/>
    <mergeCell ref="IUM10:IUN10"/>
    <mergeCell ref="ITU10:ITV10"/>
    <mergeCell ref="ITW10:ITX10"/>
    <mergeCell ref="ITY10:ITZ10"/>
    <mergeCell ref="IUA10:IUB10"/>
    <mergeCell ref="IUC10:IUD10"/>
    <mergeCell ref="IWM10:IWN10"/>
    <mergeCell ref="IWO10:IWP10"/>
    <mergeCell ref="IWQ10:IWR10"/>
    <mergeCell ref="IWS10:IWT10"/>
    <mergeCell ref="IWU10:IWV10"/>
    <mergeCell ref="IWC10:IWD10"/>
    <mergeCell ref="IWE10:IWF10"/>
    <mergeCell ref="IWG10:IWH10"/>
    <mergeCell ref="IWI10:IWJ10"/>
    <mergeCell ref="IWK10:IWL10"/>
    <mergeCell ref="IVS10:IVT10"/>
    <mergeCell ref="IVU10:IVV10"/>
    <mergeCell ref="IVW10:IVX10"/>
    <mergeCell ref="IVY10:IVZ10"/>
    <mergeCell ref="IWA10:IWB10"/>
    <mergeCell ref="IVI10:IVJ10"/>
    <mergeCell ref="IVK10:IVL10"/>
    <mergeCell ref="IVM10:IVN10"/>
    <mergeCell ref="IVO10:IVP10"/>
    <mergeCell ref="IVQ10:IVR10"/>
    <mergeCell ref="IYA10:IYB10"/>
    <mergeCell ref="IYC10:IYD10"/>
    <mergeCell ref="IYE10:IYF10"/>
    <mergeCell ref="IYG10:IYH10"/>
    <mergeCell ref="IYI10:IYJ10"/>
    <mergeCell ref="IXQ10:IXR10"/>
    <mergeCell ref="IXS10:IXT10"/>
    <mergeCell ref="IXU10:IXV10"/>
    <mergeCell ref="IXW10:IXX10"/>
    <mergeCell ref="IXY10:IXZ10"/>
    <mergeCell ref="IXG10:IXH10"/>
    <mergeCell ref="IXI10:IXJ10"/>
    <mergeCell ref="IXK10:IXL10"/>
    <mergeCell ref="IXM10:IXN10"/>
    <mergeCell ref="IXO10:IXP10"/>
    <mergeCell ref="IWW10:IWX10"/>
    <mergeCell ref="IWY10:IWZ10"/>
    <mergeCell ref="IXA10:IXB10"/>
    <mergeCell ref="IXC10:IXD10"/>
    <mergeCell ref="IXE10:IXF10"/>
    <mergeCell ref="IZO10:IZP10"/>
    <mergeCell ref="IZQ10:IZR10"/>
    <mergeCell ref="IZS10:IZT10"/>
    <mergeCell ref="IZU10:IZV10"/>
    <mergeCell ref="IZW10:IZX10"/>
    <mergeCell ref="IZE10:IZF10"/>
    <mergeCell ref="IZG10:IZH10"/>
    <mergeCell ref="IZI10:IZJ10"/>
    <mergeCell ref="IZK10:IZL10"/>
    <mergeCell ref="IZM10:IZN10"/>
    <mergeCell ref="IYU10:IYV10"/>
    <mergeCell ref="IYW10:IYX10"/>
    <mergeCell ref="IYY10:IYZ10"/>
    <mergeCell ref="IZA10:IZB10"/>
    <mergeCell ref="IZC10:IZD10"/>
    <mergeCell ref="IYK10:IYL10"/>
    <mergeCell ref="IYM10:IYN10"/>
    <mergeCell ref="IYO10:IYP10"/>
    <mergeCell ref="IYQ10:IYR10"/>
    <mergeCell ref="IYS10:IYT10"/>
    <mergeCell ref="JBC10:JBD10"/>
    <mergeCell ref="JBE10:JBF10"/>
    <mergeCell ref="JBG10:JBH10"/>
    <mergeCell ref="JBI10:JBJ10"/>
    <mergeCell ref="JBK10:JBL10"/>
    <mergeCell ref="JAS10:JAT10"/>
    <mergeCell ref="JAU10:JAV10"/>
    <mergeCell ref="JAW10:JAX10"/>
    <mergeCell ref="JAY10:JAZ10"/>
    <mergeCell ref="JBA10:JBB10"/>
    <mergeCell ref="JAI10:JAJ10"/>
    <mergeCell ref="JAK10:JAL10"/>
    <mergeCell ref="JAM10:JAN10"/>
    <mergeCell ref="JAO10:JAP10"/>
    <mergeCell ref="JAQ10:JAR10"/>
    <mergeCell ref="IZY10:IZZ10"/>
    <mergeCell ref="JAA10:JAB10"/>
    <mergeCell ref="JAC10:JAD10"/>
    <mergeCell ref="JAE10:JAF10"/>
    <mergeCell ref="JAG10:JAH10"/>
    <mergeCell ref="JCQ10:JCR10"/>
    <mergeCell ref="JCS10:JCT10"/>
    <mergeCell ref="JCU10:JCV10"/>
    <mergeCell ref="JCW10:JCX10"/>
    <mergeCell ref="JCY10:JCZ10"/>
    <mergeCell ref="JCG10:JCH10"/>
    <mergeCell ref="JCI10:JCJ10"/>
    <mergeCell ref="JCK10:JCL10"/>
    <mergeCell ref="JCM10:JCN10"/>
    <mergeCell ref="JCO10:JCP10"/>
    <mergeCell ref="JBW10:JBX10"/>
    <mergeCell ref="JBY10:JBZ10"/>
    <mergeCell ref="JCA10:JCB10"/>
    <mergeCell ref="JCC10:JCD10"/>
    <mergeCell ref="JCE10:JCF10"/>
    <mergeCell ref="JBM10:JBN10"/>
    <mergeCell ref="JBO10:JBP10"/>
    <mergeCell ref="JBQ10:JBR10"/>
    <mergeCell ref="JBS10:JBT10"/>
    <mergeCell ref="JBU10:JBV10"/>
    <mergeCell ref="JEE10:JEF10"/>
    <mergeCell ref="JEG10:JEH10"/>
    <mergeCell ref="JEI10:JEJ10"/>
    <mergeCell ref="JEK10:JEL10"/>
    <mergeCell ref="JEM10:JEN10"/>
    <mergeCell ref="JDU10:JDV10"/>
    <mergeCell ref="JDW10:JDX10"/>
    <mergeCell ref="JDY10:JDZ10"/>
    <mergeCell ref="JEA10:JEB10"/>
    <mergeCell ref="JEC10:JED10"/>
    <mergeCell ref="JDK10:JDL10"/>
    <mergeCell ref="JDM10:JDN10"/>
    <mergeCell ref="JDO10:JDP10"/>
    <mergeCell ref="JDQ10:JDR10"/>
    <mergeCell ref="JDS10:JDT10"/>
    <mergeCell ref="JDA10:JDB10"/>
    <mergeCell ref="JDC10:JDD10"/>
    <mergeCell ref="JDE10:JDF10"/>
    <mergeCell ref="JDG10:JDH10"/>
    <mergeCell ref="JDI10:JDJ10"/>
    <mergeCell ref="JFS10:JFT10"/>
    <mergeCell ref="JFU10:JFV10"/>
    <mergeCell ref="JFW10:JFX10"/>
    <mergeCell ref="JFY10:JFZ10"/>
    <mergeCell ref="JGA10:JGB10"/>
    <mergeCell ref="JFI10:JFJ10"/>
    <mergeCell ref="JFK10:JFL10"/>
    <mergeCell ref="JFM10:JFN10"/>
    <mergeCell ref="JFO10:JFP10"/>
    <mergeCell ref="JFQ10:JFR10"/>
    <mergeCell ref="JEY10:JEZ10"/>
    <mergeCell ref="JFA10:JFB10"/>
    <mergeCell ref="JFC10:JFD10"/>
    <mergeCell ref="JFE10:JFF10"/>
    <mergeCell ref="JFG10:JFH10"/>
    <mergeCell ref="JEO10:JEP10"/>
    <mergeCell ref="JEQ10:JER10"/>
    <mergeCell ref="JES10:JET10"/>
    <mergeCell ref="JEU10:JEV10"/>
    <mergeCell ref="JEW10:JEX10"/>
    <mergeCell ref="JHG10:JHH10"/>
    <mergeCell ref="JHI10:JHJ10"/>
    <mergeCell ref="JHK10:JHL10"/>
    <mergeCell ref="JHM10:JHN10"/>
    <mergeCell ref="JHO10:JHP10"/>
    <mergeCell ref="JGW10:JGX10"/>
    <mergeCell ref="JGY10:JGZ10"/>
    <mergeCell ref="JHA10:JHB10"/>
    <mergeCell ref="JHC10:JHD10"/>
    <mergeCell ref="JHE10:JHF10"/>
    <mergeCell ref="JGM10:JGN10"/>
    <mergeCell ref="JGO10:JGP10"/>
    <mergeCell ref="JGQ10:JGR10"/>
    <mergeCell ref="JGS10:JGT10"/>
    <mergeCell ref="JGU10:JGV10"/>
    <mergeCell ref="JGC10:JGD10"/>
    <mergeCell ref="JGE10:JGF10"/>
    <mergeCell ref="JGG10:JGH10"/>
    <mergeCell ref="JGI10:JGJ10"/>
    <mergeCell ref="JGK10:JGL10"/>
    <mergeCell ref="JIU10:JIV10"/>
    <mergeCell ref="JIW10:JIX10"/>
    <mergeCell ref="JIY10:JIZ10"/>
    <mergeCell ref="JJA10:JJB10"/>
    <mergeCell ref="JJC10:JJD10"/>
    <mergeCell ref="JIK10:JIL10"/>
    <mergeCell ref="JIM10:JIN10"/>
    <mergeCell ref="JIO10:JIP10"/>
    <mergeCell ref="JIQ10:JIR10"/>
    <mergeCell ref="JIS10:JIT10"/>
    <mergeCell ref="JIA10:JIB10"/>
    <mergeCell ref="JIC10:JID10"/>
    <mergeCell ref="JIE10:JIF10"/>
    <mergeCell ref="JIG10:JIH10"/>
    <mergeCell ref="JII10:JIJ10"/>
    <mergeCell ref="JHQ10:JHR10"/>
    <mergeCell ref="JHS10:JHT10"/>
    <mergeCell ref="JHU10:JHV10"/>
    <mergeCell ref="JHW10:JHX10"/>
    <mergeCell ref="JHY10:JHZ10"/>
    <mergeCell ref="JKI10:JKJ10"/>
    <mergeCell ref="JKK10:JKL10"/>
    <mergeCell ref="JKM10:JKN10"/>
    <mergeCell ref="JKO10:JKP10"/>
    <mergeCell ref="JKQ10:JKR10"/>
    <mergeCell ref="JJY10:JJZ10"/>
    <mergeCell ref="JKA10:JKB10"/>
    <mergeCell ref="JKC10:JKD10"/>
    <mergeCell ref="JKE10:JKF10"/>
    <mergeCell ref="JKG10:JKH10"/>
    <mergeCell ref="JJO10:JJP10"/>
    <mergeCell ref="JJQ10:JJR10"/>
    <mergeCell ref="JJS10:JJT10"/>
    <mergeCell ref="JJU10:JJV10"/>
    <mergeCell ref="JJW10:JJX10"/>
    <mergeCell ref="JJE10:JJF10"/>
    <mergeCell ref="JJG10:JJH10"/>
    <mergeCell ref="JJI10:JJJ10"/>
    <mergeCell ref="JJK10:JJL10"/>
    <mergeCell ref="JJM10:JJN10"/>
    <mergeCell ref="JLW10:JLX10"/>
    <mergeCell ref="JLY10:JLZ10"/>
    <mergeCell ref="JMA10:JMB10"/>
    <mergeCell ref="JMC10:JMD10"/>
    <mergeCell ref="JME10:JMF10"/>
    <mergeCell ref="JLM10:JLN10"/>
    <mergeCell ref="JLO10:JLP10"/>
    <mergeCell ref="JLQ10:JLR10"/>
    <mergeCell ref="JLS10:JLT10"/>
    <mergeCell ref="JLU10:JLV10"/>
    <mergeCell ref="JLC10:JLD10"/>
    <mergeCell ref="JLE10:JLF10"/>
    <mergeCell ref="JLG10:JLH10"/>
    <mergeCell ref="JLI10:JLJ10"/>
    <mergeCell ref="JLK10:JLL10"/>
    <mergeCell ref="JKS10:JKT10"/>
    <mergeCell ref="JKU10:JKV10"/>
    <mergeCell ref="JKW10:JKX10"/>
    <mergeCell ref="JKY10:JKZ10"/>
    <mergeCell ref="JLA10:JLB10"/>
    <mergeCell ref="JNK10:JNL10"/>
    <mergeCell ref="JNM10:JNN10"/>
    <mergeCell ref="JNO10:JNP10"/>
    <mergeCell ref="JNQ10:JNR10"/>
    <mergeCell ref="JNS10:JNT10"/>
    <mergeCell ref="JNA10:JNB10"/>
    <mergeCell ref="JNC10:JND10"/>
    <mergeCell ref="JNE10:JNF10"/>
    <mergeCell ref="JNG10:JNH10"/>
    <mergeCell ref="JNI10:JNJ10"/>
    <mergeCell ref="JMQ10:JMR10"/>
    <mergeCell ref="JMS10:JMT10"/>
    <mergeCell ref="JMU10:JMV10"/>
    <mergeCell ref="JMW10:JMX10"/>
    <mergeCell ref="JMY10:JMZ10"/>
    <mergeCell ref="JMG10:JMH10"/>
    <mergeCell ref="JMI10:JMJ10"/>
    <mergeCell ref="JMK10:JML10"/>
    <mergeCell ref="JMM10:JMN10"/>
    <mergeCell ref="JMO10:JMP10"/>
    <mergeCell ref="JOY10:JOZ10"/>
    <mergeCell ref="JPA10:JPB10"/>
    <mergeCell ref="JPC10:JPD10"/>
    <mergeCell ref="JPE10:JPF10"/>
    <mergeCell ref="JPG10:JPH10"/>
    <mergeCell ref="JOO10:JOP10"/>
    <mergeCell ref="JOQ10:JOR10"/>
    <mergeCell ref="JOS10:JOT10"/>
    <mergeCell ref="JOU10:JOV10"/>
    <mergeCell ref="JOW10:JOX10"/>
    <mergeCell ref="JOE10:JOF10"/>
    <mergeCell ref="JOG10:JOH10"/>
    <mergeCell ref="JOI10:JOJ10"/>
    <mergeCell ref="JOK10:JOL10"/>
    <mergeCell ref="JOM10:JON10"/>
    <mergeCell ref="JNU10:JNV10"/>
    <mergeCell ref="JNW10:JNX10"/>
    <mergeCell ref="JNY10:JNZ10"/>
    <mergeCell ref="JOA10:JOB10"/>
    <mergeCell ref="JOC10:JOD10"/>
    <mergeCell ref="JQM10:JQN10"/>
    <mergeCell ref="JQO10:JQP10"/>
    <mergeCell ref="JQQ10:JQR10"/>
    <mergeCell ref="JQS10:JQT10"/>
    <mergeCell ref="JQU10:JQV10"/>
    <mergeCell ref="JQC10:JQD10"/>
    <mergeCell ref="JQE10:JQF10"/>
    <mergeCell ref="JQG10:JQH10"/>
    <mergeCell ref="JQI10:JQJ10"/>
    <mergeCell ref="JQK10:JQL10"/>
    <mergeCell ref="JPS10:JPT10"/>
    <mergeCell ref="JPU10:JPV10"/>
    <mergeCell ref="JPW10:JPX10"/>
    <mergeCell ref="JPY10:JPZ10"/>
    <mergeCell ref="JQA10:JQB10"/>
    <mergeCell ref="JPI10:JPJ10"/>
    <mergeCell ref="JPK10:JPL10"/>
    <mergeCell ref="JPM10:JPN10"/>
    <mergeCell ref="JPO10:JPP10"/>
    <mergeCell ref="JPQ10:JPR10"/>
    <mergeCell ref="JSA10:JSB10"/>
    <mergeCell ref="JSC10:JSD10"/>
    <mergeCell ref="JSE10:JSF10"/>
    <mergeCell ref="JSG10:JSH10"/>
    <mergeCell ref="JSI10:JSJ10"/>
    <mergeCell ref="JRQ10:JRR10"/>
    <mergeCell ref="JRS10:JRT10"/>
    <mergeCell ref="JRU10:JRV10"/>
    <mergeCell ref="JRW10:JRX10"/>
    <mergeCell ref="JRY10:JRZ10"/>
    <mergeCell ref="JRG10:JRH10"/>
    <mergeCell ref="JRI10:JRJ10"/>
    <mergeCell ref="JRK10:JRL10"/>
    <mergeCell ref="JRM10:JRN10"/>
    <mergeCell ref="JRO10:JRP10"/>
    <mergeCell ref="JQW10:JQX10"/>
    <mergeCell ref="JQY10:JQZ10"/>
    <mergeCell ref="JRA10:JRB10"/>
    <mergeCell ref="JRC10:JRD10"/>
    <mergeCell ref="JRE10:JRF10"/>
    <mergeCell ref="JTO10:JTP10"/>
    <mergeCell ref="JTQ10:JTR10"/>
    <mergeCell ref="JTS10:JTT10"/>
    <mergeCell ref="JTU10:JTV10"/>
    <mergeCell ref="JTW10:JTX10"/>
    <mergeCell ref="JTE10:JTF10"/>
    <mergeCell ref="JTG10:JTH10"/>
    <mergeCell ref="JTI10:JTJ10"/>
    <mergeCell ref="JTK10:JTL10"/>
    <mergeCell ref="JTM10:JTN10"/>
    <mergeCell ref="JSU10:JSV10"/>
    <mergeCell ref="JSW10:JSX10"/>
    <mergeCell ref="JSY10:JSZ10"/>
    <mergeCell ref="JTA10:JTB10"/>
    <mergeCell ref="JTC10:JTD10"/>
    <mergeCell ref="JSK10:JSL10"/>
    <mergeCell ref="JSM10:JSN10"/>
    <mergeCell ref="JSO10:JSP10"/>
    <mergeCell ref="JSQ10:JSR10"/>
    <mergeCell ref="JSS10:JST10"/>
    <mergeCell ref="JVC10:JVD10"/>
    <mergeCell ref="JVE10:JVF10"/>
    <mergeCell ref="JVG10:JVH10"/>
    <mergeCell ref="JVI10:JVJ10"/>
    <mergeCell ref="JVK10:JVL10"/>
    <mergeCell ref="JUS10:JUT10"/>
    <mergeCell ref="JUU10:JUV10"/>
    <mergeCell ref="JUW10:JUX10"/>
    <mergeCell ref="JUY10:JUZ10"/>
    <mergeCell ref="JVA10:JVB10"/>
    <mergeCell ref="JUI10:JUJ10"/>
    <mergeCell ref="JUK10:JUL10"/>
    <mergeCell ref="JUM10:JUN10"/>
    <mergeCell ref="JUO10:JUP10"/>
    <mergeCell ref="JUQ10:JUR10"/>
    <mergeCell ref="JTY10:JTZ10"/>
    <mergeCell ref="JUA10:JUB10"/>
    <mergeCell ref="JUC10:JUD10"/>
    <mergeCell ref="JUE10:JUF10"/>
    <mergeCell ref="JUG10:JUH10"/>
    <mergeCell ref="JWQ10:JWR10"/>
    <mergeCell ref="JWS10:JWT10"/>
    <mergeCell ref="JWU10:JWV10"/>
    <mergeCell ref="JWW10:JWX10"/>
    <mergeCell ref="JWY10:JWZ10"/>
    <mergeCell ref="JWG10:JWH10"/>
    <mergeCell ref="JWI10:JWJ10"/>
    <mergeCell ref="JWK10:JWL10"/>
    <mergeCell ref="JWM10:JWN10"/>
    <mergeCell ref="JWO10:JWP10"/>
    <mergeCell ref="JVW10:JVX10"/>
    <mergeCell ref="JVY10:JVZ10"/>
    <mergeCell ref="JWA10:JWB10"/>
    <mergeCell ref="JWC10:JWD10"/>
    <mergeCell ref="JWE10:JWF10"/>
    <mergeCell ref="JVM10:JVN10"/>
    <mergeCell ref="JVO10:JVP10"/>
    <mergeCell ref="JVQ10:JVR10"/>
    <mergeCell ref="JVS10:JVT10"/>
    <mergeCell ref="JVU10:JVV10"/>
    <mergeCell ref="JYE10:JYF10"/>
    <mergeCell ref="JYG10:JYH10"/>
    <mergeCell ref="JYI10:JYJ10"/>
    <mergeCell ref="JYK10:JYL10"/>
    <mergeCell ref="JYM10:JYN10"/>
    <mergeCell ref="JXU10:JXV10"/>
    <mergeCell ref="JXW10:JXX10"/>
    <mergeCell ref="JXY10:JXZ10"/>
    <mergeCell ref="JYA10:JYB10"/>
    <mergeCell ref="JYC10:JYD10"/>
    <mergeCell ref="JXK10:JXL10"/>
    <mergeCell ref="JXM10:JXN10"/>
    <mergeCell ref="JXO10:JXP10"/>
    <mergeCell ref="JXQ10:JXR10"/>
    <mergeCell ref="JXS10:JXT10"/>
    <mergeCell ref="JXA10:JXB10"/>
    <mergeCell ref="JXC10:JXD10"/>
    <mergeCell ref="JXE10:JXF10"/>
    <mergeCell ref="JXG10:JXH10"/>
    <mergeCell ref="JXI10:JXJ10"/>
    <mergeCell ref="JZS10:JZT10"/>
    <mergeCell ref="JZU10:JZV10"/>
    <mergeCell ref="JZW10:JZX10"/>
    <mergeCell ref="JZY10:JZZ10"/>
    <mergeCell ref="KAA10:KAB10"/>
    <mergeCell ref="JZI10:JZJ10"/>
    <mergeCell ref="JZK10:JZL10"/>
    <mergeCell ref="JZM10:JZN10"/>
    <mergeCell ref="JZO10:JZP10"/>
    <mergeCell ref="JZQ10:JZR10"/>
    <mergeCell ref="JYY10:JYZ10"/>
    <mergeCell ref="JZA10:JZB10"/>
    <mergeCell ref="JZC10:JZD10"/>
    <mergeCell ref="JZE10:JZF10"/>
    <mergeCell ref="JZG10:JZH10"/>
    <mergeCell ref="JYO10:JYP10"/>
    <mergeCell ref="JYQ10:JYR10"/>
    <mergeCell ref="JYS10:JYT10"/>
    <mergeCell ref="JYU10:JYV10"/>
    <mergeCell ref="JYW10:JYX10"/>
    <mergeCell ref="KBG10:KBH10"/>
    <mergeCell ref="KBI10:KBJ10"/>
    <mergeCell ref="KBK10:KBL10"/>
    <mergeCell ref="KBM10:KBN10"/>
    <mergeCell ref="KBO10:KBP10"/>
    <mergeCell ref="KAW10:KAX10"/>
    <mergeCell ref="KAY10:KAZ10"/>
    <mergeCell ref="KBA10:KBB10"/>
    <mergeCell ref="KBC10:KBD10"/>
    <mergeCell ref="KBE10:KBF10"/>
    <mergeCell ref="KAM10:KAN10"/>
    <mergeCell ref="KAO10:KAP10"/>
    <mergeCell ref="KAQ10:KAR10"/>
    <mergeCell ref="KAS10:KAT10"/>
    <mergeCell ref="KAU10:KAV10"/>
    <mergeCell ref="KAC10:KAD10"/>
    <mergeCell ref="KAE10:KAF10"/>
    <mergeCell ref="KAG10:KAH10"/>
    <mergeCell ref="KAI10:KAJ10"/>
    <mergeCell ref="KAK10:KAL10"/>
    <mergeCell ref="KCU10:KCV10"/>
    <mergeCell ref="KCW10:KCX10"/>
    <mergeCell ref="KCY10:KCZ10"/>
    <mergeCell ref="KDA10:KDB10"/>
    <mergeCell ref="KDC10:KDD10"/>
    <mergeCell ref="KCK10:KCL10"/>
    <mergeCell ref="KCM10:KCN10"/>
    <mergeCell ref="KCO10:KCP10"/>
    <mergeCell ref="KCQ10:KCR10"/>
    <mergeCell ref="KCS10:KCT10"/>
    <mergeCell ref="KCA10:KCB10"/>
    <mergeCell ref="KCC10:KCD10"/>
    <mergeCell ref="KCE10:KCF10"/>
    <mergeCell ref="KCG10:KCH10"/>
    <mergeCell ref="KCI10:KCJ10"/>
    <mergeCell ref="KBQ10:KBR10"/>
    <mergeCell ref="KBS10:KBT10"/>
    <mergeCell ref="KBU10:KBV10"/>
    <mergeCell ref="KBW10:KBX10"/>
    <mergeCell ref="KBY10:KBZ10"/>
    <mergeCell ref="KEI10:KEJ10"/>
    <mergeCell ref="KEK10:KEL10"/>
    <mergeCell ref="KEM10:KEN10"/>
    <mergeCell ref="KEO10:KEP10"/>
    <mergeCell ref="KEQ10:KER10"/>
    <mergeCell ref="KDY10:KDZ10"/>
    <mergeCell ref="KEA10:KEB10"/>
    <mergeCell ref="KEC10:KED10"/>
    <mergeCell ref="KEE10:KEF10"/>
    <mergeCell ref="KEG10:KEH10"/>
    <mergeCell ref="KDO10:KDP10"/>
    <mergeCell ref="KDQ10:KDR10"/>
    <mergeCell ref="KDS10:KDT10"/>
    <mergeCell ref="KDU10:KDV10"/>
    <mergeCell ref="KDW10:KDX10"/>
    <mergeCell ref="KDE10:KDF10"/>
    <mergeCell ref="KDG10:KDH10"/>
    <mergeCell ref="KDI10:KDJ10"/>
    <mergeCell ref="KDK10:KDL10"/>
    <mergeCell ref="KDM10:KDN10"/>
    <mergeCell ref="KFW10:KFX10"/>
    <mergeCell ref="KFY10:KFZ10"/>
    <mergeCell ref="KGA10:KGB10"/>
    <mergeCell ref="KGC10:KGD10"/>
    <mergeCell ref="KGE10:KGF10"/>
    <mergeCell ref="KFM10:KFN10"/>
    <mergeCell ref="KFO10:KFP10"/>
    <mergeCell ref="KFQ10:KFR10"/>
    <mergeCell ref="KFS10:KFT10"/>
    <mergeCell ref="KFU10:KFV10"/>
    <mergeCell ref="KFC10:KFD10"/>
    <mergeCell ref="KFE10:KFF10"/>
    <mergeCell ref="KFG10:KFH10"/>
    <mergeCell ref="KFI10:KFJ10"/>
    <mergeCell ref="KFK10:KFL10"/>
    <mergeCell ref="KES10:KET10"/>
    <mergeCell ref="KEU10:KEV10"/>
    <mergeCell ref="KEW10:KEX10"/>
    <mergeCell ref="KEY10:KEZ10"/>
    <mergeCell ref="KFA10:KFB10"/>
    <mergeCell ref="KHK10:KHL10"/>
    <mergeCell ref="KHM10:KHN10"/>
    <mergeCell ref="KHO10:KHP10"/>
    <mergeCell ref="KHQ10:KHR10"/>
    <mergeCell ref="KHS10:KHT10"/>
    <mergeCell ref="KHA10:KHB10"/>
    <mergeCell ref="KHC10:KHD10"/>
    <mergeCell ref="KHE10:KHF10"/>
    <mergeCell ref="KHG10:KHH10"/>
    <mergeCell ref="KHI10:KHJ10"/>
    <mergeCell ref="KGQ10:KGR10"/>
    <mergeCell ref="KGS10:KGT10"/>
    <mergeCell ref="KGU10:KGV10"/>
    <mergeCell ref="KGW10:KGX10"/>
    <mergeCell ref="KGY10:KGZ10"/>
    <mergeCell ref="KGG10:KGH10"/>
    <mergeCell ref="KGI10:KGJ10"/>
    <mergeCell ref="KGK10:KGL10"/>
    <mergeCell ref="KGM10:KGN10"/>
    <mergeCell ref="KGO10:KGP10"/>
    <mergeCell ref="KIY10:KIZ10"/>
    <mergeCell ref="KJA10:KJB10"/>
    <mergeCell ref="KJC10:KJD10"/>
    <mergeCell ref="KJE10:KJF10"/>
    <mergeCell ref="KJG10:KJH10"/>
    <mergeCell ref="KIO10:KIP10"/>
    <mergeCell ref="KIQ10:KIR10"/>
    <mergeCell ref="KIS10:KIT10"/>
    <mergeCell ref="KIU10:KIV10"/>
    <mergeCell ref="KIW10:KIX10"/>
    <mergeCell ref="KIE10:KIF10"/>
    <mergeCell ref="KIG10:KIH10"/>
    <mergeCell ref="KII10:KIJ10"/>
    <mergeCell ref="KIK10:KIL10"/>
    <mergeCell ref="KIM10:KIN10"/>
    <mergeCell ref="KHU10:KHV10"/>
    <mergeCell ref="KHW10:KHX10"/>
    <mergeCell ref="KHY10:KHZ10"/>
    <mergeCell ref="KIA10:KIB10"/>
    <mergeCell ref="KIC10:KID10"/>
    <mergeCell ref="KKM10:KKN10"/>
    <mergeCell ref="KKO10:KKP10"/>
    <mergeCell ref="KKQ10:KKR10"/>
    <mergeCell ref="KKS10:KKT10"/>
    <mergeCell ref="KKU10:KKV10"/>
    <mergeCell ref="KKC10:KKD10"/>
    <mergeCell ref="KKE10:KKF10"/>
    <mergeCell ref="KKG10:KKH10"/>
    <mergeCell ref="KKI10:KKJ10"/>
    <mergeCell ref="KKK10:KKL10"/>
    <mergeCell ref="KJS10:KJT10"/>
    <mergeCell ref="KJU10:KJV10"/>
    <mergeCell ref="KJW10:KJX10"/>
    <mergeCell ref="KJY10:KJZ10"/>
    <mergeCell ref="KKA10:KKB10"/>
    <mergeCell ref="KJI10:KJJ10"/>
    <mergeCell ref="KJK10:KJL10"/>
    <mergeCell ref="KJM10:KJN10"/>
    <mergeCell ref="KJO10:KJP10"/>
    <mergeCell ref="KJQ10:KJR10"/>
    <mergeCell ref="KMA10:KMB10"/>
    <mergeCell ref="KMC10:KMD10"/>
    <mergeCell ref="KME10:KMF10"/>
    <mergeCell ref="KMG10:KMH10"/>
    <mergeCell ref="KMI10:KMJ10"/>
    <mergeCell ref="KLQ10:KLR10"/>
    <mergeCell ref="KLS10:KLT10"/>
    <mergeCell ref="KLU10:KLV10"/>
    <mergeCell ref="KLW10:KLX10"/>
    <mergeCell ref="KLY10:KLZ10"/>
    <mergeCell ref="KLG10:KLH10"/>
    <mergeCell ref="KLI10:KLJ10"/>
    <mergeCell ref="KLK10:KLL10"/>
    <mergeCell ref="KLM10:KLN10"/>
    <mergeCell ref="KLO10:KLP10"/>
    <mergeCell ref="KKW10:KKX10"/>
    <mergeCell ref="KKY10:KKZ10"/>
    <mergeCell ref="KLA10:KLB10"/>
    <mergeCell ref="KLC10:KLD10"/>
    <mergeCell ref="KLE10:KLF10"/>
    <mergeCell ref="KNO10:KNP10"/>
    <mergeCell ref="KNQ10:KNR10"/>
    <mergeCell ref="KNS10:KNT10"/>
    <mergeCell ref="KNU10:KNV10"/>
    <mergeCell ref="KNW10:KNX10"/>
    <mergeCell ref="KNE10:KNF10"/>
    <mergeCell ref="KNG10:KNH10"/>
    <mergeCell ref="KNI10:KNJ10"/>
    <mergeCell ref="KNK10:KNL10"/>
    <mergeCell ref="KNM10:KNN10"/>
    <mergeCell ref="KMU10:KMV10"/>
    <mergeCell ref="KMW10:KMX10"/>
    <mergeCell ref="KMY10:KMZ10"/>
    <mergeCell ref="KNA10:KNB10"/>
    <mergeCell ref="KNC10:KND10"/>
    <mergeCell ref="KMK10:KML10"/>
    <mergeCell ref="KMM10:KMN10"/>
    <mergeCell ref="KMO10:KMP10"/>
    <mergeCell ref="KMQ10:KMR10"/>
    <mergeCell ref="KMS10:KMT10"/>
    <mergeCell ref="KPC10:KPD10"/>
    <mergeCell ref="KPE10:KPF10"/>
    <mergeCell ref="KPG10:KPH10"/>
    <mergeCell ref="KPI10:KPJ10"/>
    <mergeCell ref="KPK10:KPL10"/>
    <mergeCell ref="KOS10:KOT10"/>
    <mergeCell ref="KOU10:KOV10"/>
    <mergeCell ref="KOW10:KOX10"/>
    <mergeCell ref="KOY10:KOZ10"/>
    <mergeCell ref="KPA10:KPB10"/>
    <mergeCell ref="KOI10:KOJ10"/>
    <mergeCell ref="KOK10:KOL10"/>
    <mergeCell ref="KOM10:KON10"/>
    <mergeCell ref="KOO10:KOP10"/>
    <mergeCell ref="KOQ10:KOR10"/>
    <mergeCell ref="KNY10:KNZ10"/>
    <mergeCell ref="KOA10:KOB10"/>
    <mergeCell ref="KOC10:KOD10"/>
    <mergeCell ref="KOE10:KOF10"/>
    <mergeCell ref="KOG10:KOH10"/>
    <mergeCell ref="KQQ10:KQR10"/>
    <mergeCell ref="KQS10:KQT10"/>
    <mergeCell ref="KQU10:KQV10"/>
    <mergeCell ref="KQW10:KQX10"/>
    <mergeCell ref="KQY10:KQZ10"/>
    <mergeCell ref="KQG10:KQH10"/>
    <mergeCell ref="KQI10:KQJ10"/>
    <mergeCell ref="KQK10:KQL10"/>
    <mergeCell ref="KQM10:KQN10"/>
    <mergeCell ref="KQO10:KQP10"/>
    <mergeCell ref="KPW10:KPX10"/>
    <mergeCell ref="KPY10:KPZ10"/>
    <mergeCell ref="KQA10:KQB10"/>
    <mergeCell ref="KQC10:KQD10"/>
    <mergeCell ref="KQE10:KQF10"/>
    <mergeCell ref="KPM10:KPN10"/>
    <mergeCell ref="KPO10:KPP10"/>
    <mergeCell ref="KPQ10:KPR10"/>
    <mergeCell ref="KPS10:KPT10"/>
    <mergeCell ref="KPU10:KPV10"/>
    <mergeCell ref="KSE10:KSF10"/>
    <mergeCell ref="KSG10:KSH10"/>
    <mergeCell ref="KSI10:KSJ10"/>
    <mergeCell ref="KSK10:KSL10"/>
    <mergeCell ref="KSM10:KSN10"/>
    <mergeCell ref="KRU10:KRV10"/>
    <mergeCell ref="KRW10:KRX10"/>
    <mergeCell ref="KRY10:KRZ10"/>
    <mergeCell ref="KSA10:KSB10"/>
    <mergeCell ref="KSC10:KSD10"/>
    <mergeCell ref="KRK10:KRL10"/>
    <mergeCell ref="KRM10:KRN10"/>
    <mergeCell ref="KRO10:KRP10"/>
    <mergeCell ref="KRQ10:KRR10"/>
    <mergeCell ref="KRS10:KRT10"/>
    <mergeCell ref="KRA10:KRB10"/>
    <mergeCell ref="KRC10:KRD10"/>
    <mergeCell ref="KRE10:KRF10"/>
    <mergeCell ref="KRG10:KRH10"/>
    <mergeCell ref="KRI10:KRJ10"/>
    <mergeCell ref="KTS10:KTT10"/>
    <mergeCell ref="KTU10:KTV10"/>
    <mergeCell ref="KTW10:KTX10"/>
    <mergeCell ref="KTY10:KTZ10"/>
    <mergeCell ref="KUA10:KUB10"/>
    <mergeCell ref="KTI10:KTJ10"/>
    <mergeCell ref="KTK10:KTL10"/>
    <mergeCell ref="KTM10:KTN10"/>
    <mergeCell ref="KTO10:KTP10"/>
    <mergeCell ref="KTQ10:KTR10"/>
    <mergeCell ref="KSY10:KSZ10"/>
    <mergeCell ref="KTA10:KTB10"/>
    <mergeCell ref="KTC10:KTD10"/>
    <mergeCell ref="KTE10:KTF10"/>
    <mergeCell ref="KTG10:KTH10"/>
    <mergeCell ref="KSO10:KSP10"/>
    <mergeCell ref="KSQ10:KSR10"/>
    <mergeCell ref="KSS10:KST10"/>
    <mergeCell ref="KSU10:KSV10"/>
    <mergeCell ref="KSW10:KSX10"/>
    <mergeCell ref="KVG10:KVH10"/>
    <mergeCell ref="KVI10:KVJ10"/>
    <mergeCell ref="KVK10:KVL10"/>
    <mergeCell ref="KVM10:KVN10"/>
    <mergeCell ref="KVO10:KVP10"/>
    <mergeCell ref="KUW10:KUX10"/>
    <mergeCell ref="KUY10:KUZ10"/>
    <mergeCell ref="KVA10:KVB10"/>
    <mergeCell ref="KVC10:KVD10"/>
    <mergeCell ref="KVE10:KVF10"/>
    <mergeCell ref="KUM10:KUN10"/>
    <mergeCell ref="KUO10:KUP10"/>
    <mergeCell ref="KUQ10:KUR10"/>
    <mergeCell ref="KUS10:KUT10"/>
    <mergeCell ref="KUU10:KUV10"/>
    <mergeCell ref="KUC10:KUD10"/>
    <mergeCell ref="KUE10:KUF10"/>
    <mergeCell ref="KUG10:KUH10"/>
    <mergeCell ref="KUI10:KUJ10"/>
    <mergeCell ref="KUK10:KUL10"/>
    <mergeCell ref="KWU10:KWV10"/>
    <mergeCell ref="KWW10:KWX10"/>
    <mergeCell ref="KWY10:KWZ10"/>
    <mergeCell ref="KXA10:KXB10"/>
    <mergeCell ref="KXC10:KXD10"/>
    <mergeCell ref="KWK10:KWL10"/>
    <mergeCell ref="KWM10:KWN10"/>
    <mergeCell ref="KWO10:KWP10"/>
    <mergeCell ref="KWQ10:KWR10"/>
    <mergeCell ref="KWS10:KWT10"/>
    <mergeCell ref="KWA10:KWB10"/>
    <mergeCell ref="KWC10:KWD10"/>
    <mergeCell ref="KWE10:KWF10"/>
    <mergeCell ref="KWG10:KWH10"/>
    <mergeCell ref="KWI10:KWJ10"/>
    <mergeCell ref="KVQ10:KVR10"/>
    <mergeCell ref="KVS10:KVT10"/>
    <mergeCell ref="KVU10:KVV10"/>
    <mergeCell ref="KVW10:KVX10"/>
    <mergeCell ref="KVY10:KVZ10"/>
    <mergeCell ref="KYI10:KYJ10"/>
    <mergeCell ref="KYK10:KYL10"/>
    <mergeCell ref="KYM10:KYN10"/>
    <mergeCell ref="KYO10:KYP10"/>
    <mergeCell ref="KYQ10:KYR10"/>
    <mergeCell ref="KXY10:KXZ10"/>
    <mergeCell ref="KYA10:KYB10"/>
    <mergeCell ref="KYC10:KYD10"/>
    <mergeCell ref="KYE10:KYF10"/>
    <mergeCell ref="KYG10:KYH10"/>
    <mergeCell ref="KXO10:KXP10"/>
    <mergeCell ref="KXQ10:KXR10"/>
    <mergeCell ref="KXS10:KXT10"/>
    <mergeCell ref="KXU10:KXV10"/>
    <mergeCell ref="KXW10:KXX10"/>
    <mergeCell ref="KXE10:KXF10"/>
    <mergeCell ref="KXG10:KXH10"/>
    <mergeCell ref="KXI10:KXJ10"/>
    <mergeCell ref="KXK10:KXL10"/>
    <mergeCell ref="KXM10:KXN10"/>
    <mergeCell ref="KZW10:KZX10"/>
    <mergeCell ref="KZY10:KZZ10"/>
    <mergeCell ref="LAA10:LAB10"/>
    <mergeCell ref="LAC10:LAD10"/>
    <mergeCell ref="LAE10:LAF10"/>
    <mergeCell ref="KZM10:KZN10"/>
    <mergeCell ref="KZO10:KZP10"/>
    <mergeCell ref="KZQ10:KZR10"/>
    <mergeCell ref="KZS10:KZT10"/>
    <mergeCell ref="KZU10:KZV10"/>
    <mergeCell ref="KZC10:KZD10"/>
    <mergeCell ref="KZE10:KZF10"/>
    <mergeCell ref="KZG10:KZH10"/>
    <mergeCell ref="KZI10:KZJ10"/>
    <mergeCell ref="KZK10:KZL10"/>
    <mergeCell ref="KYS10:KYT10"/>
    <mergeCell ref="KYU10:KYV10"/>
    <mergeCell ref="KYW10:KYX10"/>
    <mergeCell ref="KYY10:KYZ10"/>
    <mergeCell ref="KZA10:KZB10"/>
    <mergeCell ref="LBK10:LBL10"/>
    <mergeCell ref="LBM10:LBN10"/>
    <mergeCell ref="LBO10:LBP10"/>
    <mergeCell ref="LBQ10:LBR10"/>
    <mergeCell ref="LBS10:LBT10"/>
    <mergeCell ref="LBA10:LBB10"/>
    <mergeCell ref="LBC10:LBD10"/>
    <mergeCell ref="LBE10:LBF10"/>
    <mergeCell ref="LBG10:LBH10"/>
    <mergeCell ref="LBI10:LBJ10"/>
    <mergeCell ref="LAQ10:LAR10"/>
    <mergeCell ref="LAS10:LAT10"/>
    <mergeCell ref="LAU10:LAV10"/>
    <mergeCell ref="LAW10:LAX10"/>
    <mergeCell ref="LAY10:LAZ10"/>
    <mergeCell ref="LAG10:LAH10"/>
    <mergeCell ref="LAI10:LAJ10"/>
    <mergeCell ref="LAK10:LAL10"/>
    <mergeCell ref="LAM10:LAN10"/>
    <mergeCell ref="LAO10:LAP10"/>
    <mergeCell ref="LCY10:LCZ10"/>
    <mergeCell ref="LDA10:LDB10"/>
    <mergeCell ref="LDC10:LDD10"/>
    <mergeCell ref="LDE10:LDF10"/>
    <mergeCell ref="LDG10:LDH10"/>
    <mergeCell ref="LCO10:LCP10"/>
    <mergeCell ref="LCQ10:LCR10"/>
    <mergeCell ref="LCS10:LCT10"/>
    <mergeCell ref="LCU10:LCV10"/>
    <mergeCell ref="LCW10:LCX10"/>
    <mergeCell ref="LCE10:LCF10"/>
    <mergeCell ref="LCG10:LCH10"/>
    <mergeCell ref="LCI10:LCJ10"/>
    <mergeCell ref="LCK10:LCL10"/>
    <mergeCell ref="LCM10:LCN10"/>
    <mergeCell ref="LBU10:LBV10"/>
    <mergeCell ref="LBW10:LBX10"/>
    <mergeCell ref="LBY10:LBZ10"/>
    <mergeCell ref="LCA10:LCB10"/>
    <mergeCell ref="LCC10:LCD10"/>
    <mergeCell ref="LEM10:LEN10"/>
    <mergeCell ref="LEO10:LEP10"/>
    <mergeCell ref="LEQ10:LER10"/>
    <mergeCell ref="LES10:LET10"/>
    <mergeCell ref="LEU10:LEV10"/>
    <mergeCell ref="LEC10:LED10"/>
    <mergeCell ref="LEE10:LEF10"/>
    <mergeCell ref="LEG10:LEH10"/>
    <mergeCell ref="LEI10:LEJ10"/>
    <mergeCell ref="LEK10:LEL10"/>
    <mergeCell ref="LDS10:LDT10"/>
    <mergeCell ref="LDU10:LDV10"/>
    <mergeCell ref="LDW10:LDX10"/>
    <mergeCell ref="LDY10:LDZ10"/>
    <mergeCell ref="LEA10:LEB10"/>
    <mergeCell ref="LDI10:LDJ10"/>
    <mergeCell ref="LDK10:LDL10"/>
    <mergeCell ref="LDM10:LDN10"/>
    <mergeCell ref="LDO10:LDP10"/>
    <mergeCell ref="LDQ10:LDR10"/>
    <mergeCell ref="LGA10:LGB10"/>
    <mergeCell ref="LGC10:LGD10"/>
    <mergeCell ref="LGE10:LGF10"/>
    <mergeCell ref="LGG10:LGH10"/>
    <mergeCell ref="LGI10:LGJ10"/>
    <mergeCell ref="LFQ10:LFR10"/>
    <mergeCell ref="LFS10:LFT10"/>
    <mergeCell ref="LFU10:LFV10"/>
    <mergeCell ref="LFW10:LFX10"/>
    <mergeCell ref="LFY10:LFZ10"/>
    <mergeCell ref="LFG10:LFH10"/>
    <mergeCell ref="LFI10:LFJ10"/>
    <mergeCell ref="LFK10:LFL10"/>
    <mergeCell ref="LFM10:LFN10"/>
    <mergeCell ref="LFO10:LFP10"/>
    <mergeCell ref="LEW10:LEX10"/>
    <mergeCell ref="LEY10:LEZ10"/>
    <mergeCell ref="LFA10:LFB10"/>
    <mergeCell ref="LFC10:LFD10"/>
    <mergeCell ref="LFE10:LFF10"/>
    <mergeCell ref="LHO10:LHP10"/>
    <mergeCell ref="LHQ10:LHR10"/>
    <mergeCell ref="LHS10:LHT10"/>
    <mergeCell ref="LHU10:LHV10"/>
    <mergeCell ref="LHW10:LHX10"/>
    <mergeCell ref="LHE10:LHF10"/>
    <mergeCell ref="LHG10:LHH10"/>
    <mergeCell ref="LHI10:LHJ10"/>
    <mergeCell ref="LHK10:LHL10"/>
    <mergeCell ref="LHM10:LHN10"/>
    <mergeCell ref="LGU10:LGV10"/>
    <mergeCell ref="LGW10:LGX10"/>
    <mergeCell ref="LGY10:LGZ10"/>
    <mergeCell ref="LHA10:LHB10"/>
    <mergeCell ref="LHC10:LHD10"/>
    <mergeCell ref="LGK10:LGL10"/>
    <mergeCell ref="LGM10:LGN10"/>
    <mergeCell ref="LGO10:LGP10"/>
    <mergeCell ref="LGQ10:LGR10"/>
    <mergeCell ref="LGS10:LGT10"/>
    <mergeCell ref="LJC10:LJD10"/>
    <mergeCell ref="LJE10:LJF10"/>
    <mergeCell ref="LJG10:LJH10"/>
    <mergeCell ref="LJI10:LJJ10"/>
    <mergeCell ref="LJK10:LJL10"/>
    <mergeCell ref="LIS10:LIT10"/>
    <mergeCell ref="LIU10:LIV10"/>
    <mergeCell ref="LIW10:LIX10"/>
    <mergeCell ref="LIY10:LIZ10"/>
    <mergeCell ref="LJA10:LJB10"/>
    <mergeCell ref="LII10:LIJ10"/>
    <mergeCell ref="LIK10:LIL10"/>
    <mergeCell ref="LIM10:LIN10"/>
    <mergeCell ref="LIO10:LIP10"/>
    <mergeCell ref="LIQ10:LIR10"/>
    <mergeCell ref="LHY10:LHZ10"/>
    <mergeCell ref="LIA10:LIB10"/>
    <mergeCell ref="LIC10:LID10"/>
    <mergeCell ref="LIE10:LIF10"/>
    <mergeCell ref="LIG10:LIH10"/>
    <mergeCell ref="LKQ10:LKR10"/>
    <mergeCell ref="LKS10:LKT10"/>
    <mergeCell ref="LKU10:LKV10"/>
    <mergeCell ref="LKW10:LKX10"/>
    <mergeCell ref="LKY10:LKZ10"/>
    <mergeCell ref="LKG10:LKH10"/>
    <mergeCell ref="LKI10:LKJ10"/>
    <mergeCell ref="LKK10:LKL10"/>
    <mergeCell ref="LKM10:LKN10"/>
    <mergeCell ref="LKO10:LKP10"/>
    <mergeCell ref="LJW10:LJX10"/>
    <mergeCell ref="LJY10:LJZ10"/>
    <mergeCell ref="LKA10:LKB10"/>
    <mergeCell ref="LKC10:LKD10"/>
    <mergeCell ref="LKE10:LKF10"/>
    <mergeCell ref="LJM10:LJN10"/>
    <mergeCell ref="LJO10:LJP10"/>
    <mergeCell ref="LJQ10:LJR10"/>
    <mergeCell ref="LJS10:LJT10"/>
    <mergeCell ref="LJU10:LJV10"/>
    <mergeCell ref="LME10:LMF10"/>
    <mergeCell ref="LMG10:LMH10"/>
    <mergeCell ref="LMI10:LMJ10"/>
    <mergeCell ref="LMK10:LML10"/>
    <mergeCell ref="LMM10:LMN10"/>
    <mergeCell ref="LLU10:LLV10"/>
    <mergeCell ref="LLW10:LLX10"/>
    <mergeCell ref="LLY10:LLZ10"/>
    <mergeCell ref="LMA10:LMB10"/>
    <mergeCell ref="LMC10:LMD10"/>
    <mergeCell ref="LLK10:LLL10"/>
    <mergeCell ref="LLM10:LLN10"/>
    <mergeCell ref="LLO10:LLP10"/>
    <mergeCell ref="LLQ10:LLR10"/>
    <mergeCell ref="LLS10:LLT10"/>
    <mergeCell ref="LLA10:LLB10"/>
    <mergeCell ref="LLC10:LLD10"/>
    <mergeCell ref="LLE10:LLF10"/>
    <mergeCell ref="LLG10:LLH10"/>
    <mergeCell ref="LLI10:LLJ10"/>
    <mergeCell ref="LNS10:LNT10"/>
    <mergeCell ref="LNU10:LNV10"/>
    <mergeCell ref="LNW10:LNX10"/>
    <mergeCell ref="LNY10:LNZ10"/>
    <mergeCell ref="LOA10:LOB10"/>
    <mergeCell ref="LNI10:LNJ10"/>
    <mergeCell ref="LNK10:LNL10"/>
    <mergeCell ref="LNM10:LNN10"/>
    <mergeCell ref="LNO10:LNP10"/>
    <mergeCell ref="LNQ10:LNR10"/>
    <mergeCell ref="LMY10:LMZ10"/>
    <mergeCell ref="LNA10:LNB10"/>
    <mergeCell ref="LNC10:LND10"/>
    <mergeCell ref="LNE10:LNF10"/>
    <mergeCell ref="LNG10:LNH10"/>
    <mergeCell ref="LMO10:LMP10"/>
    <mergeCell ref="LMQ10:LMR10"/>
    <mergeCell ref="LMS10:LMT10"/>
    <mergeCell ref="LMU10:LMV10"/>
    <mergeCell ref="LMW10:LMX10"/>
    <mergeCell ref="LPG10:LPH10"/>
    <mergeCell ref="LPI10:LPJ10"/>
    <mergeCell ref="LPK10:LPL10"/>
    <mergeCell ref="LPM10:LPN10"/>
    <mergeCell ref="LPO10:LPP10"/>
    <mergeCell ref="LOW10:LOX10"/>
    <mergeCell ref="LOY10:LOZ10"/>
    <mergeCell ref="LPA10:LPB10"/>
    <mergeCell ref="LPC10:LPD10"/>
    <mergeCell ref="LPE10:LPF10"/>
    <mergeCell ref="LOM10:LON10"/>
    <mergeCell ref="LOO10:LOP10"/>
    <mergeCell ref="LOQ10:LOR10"/>
    <mergeCell ref="LOS10:LOT10"/>
    <mergeCell ref="LOU10:LOV10"/>
    <mergeCell ref="LOC10:LOD10"/>
    <mergeCell ref="LOE10:LOF10"/>
    <mergeCell ref="LOG10:LOH10"/>
    <mergeCell ref="LOI10:LOJ10"/>
    <mergeCell ref="LOK10:LOL10"/>
    <mergeCell ref="LQU10:LQV10"/>
    <mergeCell ref="LQW10:LQX10"/>
    <mergeCell ref="LQY10:LQZ10"/>
    <mergeCell ref="LRA10:LRB10"/>
    <mergeCell ref="LRC10:LRD10"/>
    <mergeCell ref="LQK10:LQL10"/>
    <mergeCell ref="LQM10:LQN10"/>
    <mergeCell ref="LQO10:LQP10"/>
    <mergeCell ref="LQQ10:LQR10"/>
    <mergeCell ref="LQS10:LQT10"/>
    <mergeCell ref="LQA10:LQB10"/>
    <mergeCell ref="LQC10:LQD10"/>
    <mergeCell ref="LQE10:LQF10"/>
    <mergeCell ref="LQG10:LQH10"/>
    <mergeCell ref="LQI10:LQJ10"/>
    <mergeCell ref="LPQ10:LPR10"/>
    <mergeCell ref="LPS10:LPT10"/>
    <mergeCell ref="LPU10:LPV10"/>
    <mergeCell ref="LPW10:LPX10"/>
    <mergeCell ref="LPY10:LPZ10"/>
    <mergeCell ref="LSI10:LSJ10"/>
    <mergeCell ref="LSK10:LSL10"/>
    <mergeCell ref="LSM10:LSN10"/>
    <mergeCell ref="LSO10:LSP10"/>
    <mergeCell ref="LSQ10:LSR10"/>
    <mergeCell ref="LRY10:LRZ10"/>
    <mergeCell ref="LSA10:LSB10"/>
    <mergeCell ref="LSC10:LSD10"/>
    <mergeCell ref="LSE10:LSF10"/>
    <mergeCell ref="LSG10:LSH10"/>
    <mergeCell ref="LRO10:LRP10"/>
    <mergeCell ref="LRQ10:LRR10"/>
    <mergeCell ref="LRS10:LRT10"/>
    <mergeCell ref="LRU10:LRV10"/>
    <mergeCell ref="LRW10:LRX10"/>
    <mergeCell ref="LRE10:LRF10"/>
    <mergeCell ref="LRG10:LRH10"/>
    <mergeCell ref="LRI10:LRJ10"/>
    <mergeCell ref="LRK10:LRL10"/>
    <mergeCell ref="LRM10:LRN10"/>
    <mergeCell ref="LTW10:LTX10"/>
    <mergeCell ref="LTY10:LTZ10"/>
    <mergeCell ref="LUA10:LUB10"/>
    <mergeCell ref="LUC10:LUD10"/>
    <mergeCell ref="LUE10:LUF10"/>
    <mergeCell ref="LTM10:LTN10"/>
    <mergeCell ref="LTO10:LTP10"/>
    <mergeCell ref="LTQ10:LTR10"/>
    <mergeCell ref="LTS10:LTT10"/>
    <mergeCell ref="LTU10:LTV10"/>
    <mergeCell ref="LTC10:LTD10"/>
    <mergeCell ref="LTE10:LTF10"/>
    <mergeCell ref="LTG10:LTH10"/>
    <mergeCell ref="LTI10:LTJ10"/>
    <mergeCell ref="LTK10:LTL10"/>
    <mergeCell ref="LSS10:LST10"/>
    <mergeCell ref="LSU10:LSV10"/>
    <mergeCell ref="LSW10:LSX10"/>
    <mergeCell ref="LSY10:LSZ10"/>
    <mergeCell ref="LTA10:LTB10"/>
    <mergeCell ref="LVK10:LVL10"/>
    <mergeCell ref="LVM10:LVN10"/>
    <mergeCell ref="LVO10:LVP10"/>
    <mergeCell ref="LVQ10:LVR10"/>
    <mergeCell ref="LVS10:LVT10"/>
    <mergeCell ref="LVA10:LVB10"/>
    <mergeCell ref="LVC10:LVD10"/>
    <mergeCell ref="LVE10:LVF10"/>
    <mergeCell ref="LVG10:LVH10"/>
    <mergeCell ref="LVI10:LVJ10"/>
    <mergeCell ref="LUQ10:LUR10"/>
    <mergeCell ref="LUS10:LUT10"/>
    <mergeCell ref="LUU10:LUV10"/>
    <mergeCell ref="LUW10:LUX10"/>
    <mergeCell ref="LUY10:LUZ10"/>
    <mergeCell ref="LUG10:LUH10"/>
    <mergeCell ref="LUI10:LUJ10"/>
    <mergeCell ref="LUK10:LUL10"/>
    <mergeCell ref="LUM10:LUN10"/>
    <mergeCell ref="LUO10:LUP10"/>
    <mergeCell ref="LWY10:LWZ10"/>
    <mergeCell ref="LXA10:LXB10"/>
    <mergeCell ref="LXC10:LXD10"/>
    <mergeCell ref="LXE10:LXF10"/>
    <mergeCell ref="LXG10:LXH10"/>
    <mergeCell ref="LWO10:LWP10"/>
    <mergeCell ref="LWQ10:LWR10"/>
    <mergeCell ref="LWS10:LWT10"/>
    <mergeCell ref="LWU10:LWV10"/>
    <mergeCell ref="LWW10:LWX10"/>
    <mergeCell ref="LWE10:LWF10"/>
    <mergeCell ref="LWG10:LWH10"/>
    <mergeCell ref="LWI10:LWJ10"/>
    <mergeCell ref="LWK10:LWL10"/>
    <mergeCell ref="LWM10:LWN10"/>
    <mergeCell ref="LVU10:LVV10"/>
    <mergeCell ref="LVW10:LVX10"/>
    <mergeCell ref="LVY10:LVZ10"/>
    <mergeCell ref="LWA10:LWB10"/>
    <mergeCell ref="LWC10:LWD10"/>
    <mergeCell ref="LYM10:LYN10"/>
    <mergeCell ref="LYO10:LYP10"/>
    <mergeCell ref="LYQ10:LYR10"/>
    <mergeCell ref="LYS10:LYT10"/>
    <mergeCell ref="LYU10:LYV10"/>
    <mergeCell ref="LYC10:LYD10"/>
    <mergeCell ref="LYE10:LYF10"/>
    <mergeCell ref="LYG10:LYH10"/>
    <mergeCell ref="LYI10:LYJ10"/>
    <mergeCell ref="LYK10:LYL10"/>
    <mergeCell ref="LXS10:LXT10"/>
    <mergeCell ref="LXU10:LXV10"/>
    <mergeCell ref="LXW10:LXX10"/>
    <mergeCell ref="LXY10:LXZ10"/>
    <mergeCell ref="LYA10:LYB10"/>
    <mergeCell ref="LXI10:LXJ10"/>
    <mergeCell ref="LXK10:LXL10"/>
    <mergeCell ref="LXM10:LXN10"/>
    <mergeCell ref="LXO10:LXP10"/>
    <mergeCell ref="LXQ10:LXR10"/>
    <mergeCell ref="MAA10:MAB10"/>
    <mergeCell ref="MAC10:MAD10"/>
    <mergeCell ref="MAE10:MAF10"/>
    <mergeCell ref="MAG10:MAH10"/>
    <mergeCell ref="MAI10:MAJ10"/>
    <mergeCell ref="LZQ10:LZR10"/>
    <mergeCell ref="LZS10:LZT10"/>
    <mergeCell ref="LZU10:LZV10"/>
    <mergeCell ref="LZW10:LZX10"/>
    <mergeCell ref="LZY10:LZZ10"/>
    <mergeCell ref="LZG10:LZH10"/>
    <mergeCell ref="LZI10:LZJ10"/>
    <mergeCell ref="LZK10:LZL10"/>
    <mergeCell ref="LZM10:LZN10"/>
    <mergeCell ref="LZO10:LZP10"/>
    <mergeCell ref="LYW10:LYX10"/>
    <mergeCell ref="LYY10:LYZ10"/>
    <mergeCell ref="LZA10:LZB10"/>
    <mergeCell ref="LZC10:LZD10"/>
    <mergeCell ref="LZE10:LZF10"/>
    <mergeCell ref="MBO10:MBP10"/>
    <mergeCell ref="MBQ10:MBR10"/>
    <mergeCell ref="MBS10:MBT10"/>
    <mergeCell ref="MBU10:MBV10"/>
    <mergeCell ref="MBW10:MBX10"/>
    <mergeCell ref="MBE10:MBF10"/>
    <mergeCell ref="MBG10:MBH10"/>
    <mergeCell ref="MBI10:MBJ10"/>
    <mergeCell ref="MBK10:MBL10"/>
    <mergeCell ref="MBM10:MBN10"/>
    <mergeCell ref="MAU10:MAV10"/>
    <mergeCell ref="MAW10:MAX10"/>
    <mergeCell ref="MAY10:MAZ10"/>
    <mergeCell ref="MBA10:MBB10"/>
    <mergeCell ref="MBC10:MBD10"/>
    <mergeCell ref="MAK10:MAL10"/>
    <mergeCell ref="MAM10:MAN10"/>
    <mergeCell ref="MAO10:MAP10"/>
    <mergeCell ref="MAQ10:MAR10"/>
    <mergeCell ref="MAS10:MAT10"/>
    <mergeCell ref="MDC10:MDD10"/>
    <mergeCell ref="MDE10:MDF10"/>
    <mergeCell ref="MDG10:MDH10"/>
    <mergeCell ref="MDI10:MDJ10"/>
    <mergeCell ref="MDK10:MDL10"/>
    <mergeCell ref="MCS10:MCT10"/>
    <mergeCell ref="MCU10:MCV10"/>
    <mergeCell ref="MCW10:MCX10"/>
    <mergeCell ref="MCY10:MCZ10"/>
    <mergeCell ref="MDA10:MDB10"/>
    <mergeCell ref="MCI10:MCJ10"/>
    <mergeCell ref="MCK10:MCL10"/>
    <mergeCell ref="MCM10:MCN10"/>
    <mergeCell ref="MCO10:MCP10"/>
    <mergeCell ref="MCQ10:MCR10"/>
    <mergeCell ref="MBY10:MBZ10"/>
    <mergeCell ref="MCA10:MCB10"/>
    <mergeCell ref="MCC10:MCD10"/>
    <mergeCell ref="MCE10:MCF10"/>
    <mergeCell ref="MCG10:MCH10"/>
    <mergeCell ref="MEQ10:MER10"/>
    <mergeCell ref="MES10:MET10"/>
    <mergeCell ref="MEU10:MEV10"/>
    <mergeCell ref="MEW10:MEX10"/>
    <mergeCell ref="MEY10:MEZ10"/>
    <mergeCell ref="MEG10:MEH10"/>
    <mergeCell ref="MEI10:MEJ10"/>
    <mergeCell ref="MEK10:MEL10"/>
    <mergeCell ref="MEM10:MEN10"/>
    <mergeCell ref="MEO10:MEP10"/>
    <mergeCell ref="MDW10:MDX10"/>
    <mergeCell ref="MDY10:MDZ10"/>
    <mergeCell ref="MEA10:MEB10"/>
    <mergeCell ref="MEC10:MED10"/>
    <mergeCell ref="MEE10:MEF10"/>
    <mergeCell ref="MDM10:MDN10"/>
    <mergeCell ref="MDO10:MDP10"/>
    <mergeCell ref="MDQ10:MDR10"/>
    <mergeCell ref="MDS10:MDT10"/>
    <mergeCell ref="MDU10:MDV10"/>
    <mergeCell ref="MGE10:MGF10"/>
    <mergeCell ref="MGG10:MGH10"/>
    <mergeCell ref="MGI10:MGJ10"/>
    <mergeCell ref="MGK10:MGL10"/>
    <mergeCell ref="MGM10:MGN10"/>
    <mergeCell ref="MFU10:MFV10"/>
    <mergeCell ref="MFW10:MFX10"/>
    <mergeCell ref="MFY10:MFZ10"/>
    <mergeCell ref="MGA10:MGB10"/>
    <mergeCell ref="MGC10:MGD10"/>
    <mergeCell ref="MFK10:MFL10"/>
    <mergeCell ref="MFM10:MFN10"/>
    <mergeCell ref="MFO10:MFP10"/>
    <mergeCell ref="MFQ10:MFR10"/>
    <mergeCell ref="MFS10:MFT10"/>
    <mergeCell ref="MFA10:MFB10"/>
    <mergeCell ref="MFC10:MFD10"/>
    <mergeCell ref="MFE10:MFF10"/>
    <mergeCell ref="MFG10:MFH10"/>
    <mergeCell ref="MFI10:MFJ10"/>
    <mergeCell ref="MHS10:MHT10"/>
    <mergeCell ref="MHU10:MHV10"/>
    <mergeCell ref="MHW10:MHX10"/>
    <mergeCell ref="MHY10:MHZ10"/>
    <mergeCell ref="MIA10:MIB10"/>
    <mergeCell ref="MHI10:MHJ10"/>
    <mergeCell ref="MHK10:MHL10"/>
    <mergeCell ref="MHM10:MHN10"/>
    <mergeCell ref="MHO10:MHP10"/>
    <mergeCell ref="MHQ10:MHR10"/>
    <mergeCell ref="MGY10:MGZ10"/>
    <mergeCell ref="MHA10:MHB10"/>
    <mergeCell ref="MHC10:MHD10"/>
    <mergeCell ref="MHE10:MHF10"/>
    <mergeCell ref="MHG10:MHH10"/>
    <mergeCell ref="MGO10:MGP10"/>
    <mergeCell ref="MGQ10:MGR10"/>
    <mergeCell ref="MGS10:MGT10"/>
    <mergeCell ref="MGU10:MGV10"/>
    <mergeCell ref="MGW10:MGX10"/>
    <mergeCell ref="MJG10:MJH10"/>
    <mergeCell ref="MJI10:MJJ10"/>
    <mergeCell ref="MJK10:MJL10"/>
    <mergeCell ref="MJM10:MJN10"/>
    <mergeCell ref="MJO10:MJP10"/>
    <mergeCell ref="MIW10:MIX10"/>
    <mergeCell ref="MIY10:MIZ10"/>
    <mergeCell ref="MJA10:MJB10"/>
    <mergeCell ref="MJC10:MJD10"/>
    <mergeCell ref="MJE10:MJF10"/>
    <mergeCell ref="MIM10:MIN10"/>
    <mergeCell ref="MIO10:MIP10"/>
    <mergeCell ref="MIQ10:MIR10"/>
    <mergeCell ref="MIS10:MIT10"/>
    <mergeCell ref="MIU10:MIV10"/>
    <mergeCell ref="MIC10:MID10"/>
    <mergeCell ref="MIE10:MIF10"/>
    <mergeCell ref="MIG10:MIH10"/>
    <mergeCell ref="MII10:MIJ10"/>
    <mergeCell ref="MIK10:MIL10"/>
    <mergeCell ref="MKU10:MKV10"/>
    <mergeCell ref="MKW10:MKX10"/>
    <mergeCell ref="MKY10:MKZ10"/>
    <mergeCell ref="MLA10:MLB10"/>
    <mergeCell ref="MLC10:MLD10"/>
    <mergeCell ref="MKK10:MKL10"/>
    <mergeCell ref="MKM10:MKN10"/>
    <mergeCell ref="MKO10:MKP10"/>
    <mergeCell ref="MKQ10:MKR10"/>
    <mergeCell ref="MKS10:MKT10"/>
    <mergeCell ref="MKA10:MKB10"/>
    <mergeCell ref="MKC10:MKD10"/>
    <mergeCell ref="MKE10:MKF10"/>
    <mergeCell ref="MKG10:MKH10"/>
    <mergeCell ref="MKI10:MKJ10"/>
    <mergeCell ref="MJQ10:MJR10"/>
    <mergeCell ref="MJS10:MJT10"/>
    <mergeCell ref="MJU10:MJV10"/>
    <mergeCell ref="MJW10:MJX10"/>
    <mergeCell ref="MJY10:MJZ10"/>
    <mergeCell ref="MMI10:MMJ10"/>
    <mergeCell ref="MMK10:MML10"/>
    <mergeCell ref="MMM10:MMN10"/>
    <mergeCell ref="MMO10:MMP10"/>
    <mergeCell ref="MMQ10:MMR10"/>
    <mergeCell ref="MLY10:MLZ10"/>
    <mergeCell ref="MMA10:MMB10"/>
    <mergeCell ref="MMC10:MMD10"/>
    <mergeCell ref="MME10:MMF10"/>
    <mergeCell ref="MMG10:MMH10"/>
    <mergeCell ref="MLO10:MLP10"/>
    <mergeCell ref="MLQ10:MLR10"/>
    <mergeCell ref="MLS10:MLT10"/>
    <mergeCell ref="MLU10:MLV10"/>
    <mergeCell ref="MLW10:MLX10"/>
    <mergeCell ref="MLE10:MLF10"/>
    <mergeCell ref="MLG10:MLH10"/>
    <mergeCell ref="MLI10:MLJ10"/>
    <mergeCell ref="MLK10:MLL10"/>
    <mergeCell ref="MLM10:MLN10"/>
    <mergeCell ref="MNW10:MNX10"/>
    <mergeCell ref="MNY10:MNZ10"/>
    <mergeCell ref="MOA10:MOB10"/>
    <mergeCell ref="MOC10:MOD10"/>
    <mergeCell ref="MOE10:MOF10"/>
    <mergeCell ref="MNM10:MNN10"/>
    <mergeCell ref="MNO10:MNP10"/>
    <mergeCell ref="MNQ10:MNR10"/>
    <mergeCell ref="MNS10:MNT10"/>
    <mergeCell ref="MNU10:MNV10"/>
    <mergeCell ref="MNC10:MND10"/>
    <mergeCell ref="MNE10:MNF10"/>
    <mergeCell ref="MNG10:MNH10"/>
    <mergeCell ref="MNI10:MNJ10"/>
    <mergeCell ref="MNK10:MNL10"/>
    <mergeCell ref="MMS10:MMT10"/>
    <mergeCell ref="MMU10:MMV10"/>
    <mergeCell ref="MMW10:MMX10"/>
    <mergeCell ref="MMY10:MMZ10"/>
    <mergeCell ref="MNA10:MNB10"/>
    <mergeCell ref="MPK10:MPL10"/>
    <mergeCell ref="MPM10:MPN10"/>
    <mergeCell ref="MPO10:MPP10"/>
    <mergeCell ref="MPQ10:MPR10"/>
    <mergeCell ref="MPS10:MPT10"/>
    <mergeCell ref="MPA10:MPB10"/>
    <mergeCell ref="MPC10:MPD10"/>
    <mergeCell ref="MPE10:MPF10"/>
    <mergeCell ref="MPG10:MPH10"/>
    <mergeCell ref="MPI10:MPJ10"/>
    <mergeCell ref="MOQ10:MOR10"/>
    <mergeCell ref="MOS10:MOT10"/>
    <mergeCell ref="MOU10:MOV10"/>
    <mergeCell ref="MOW10:MOX10"/>
    <mergeCell ref="MOY10:MOZ10"/>
    <mergeCell ref="MOG10:MOH10"/>
    <mergeCell ref="MOI10:MOJ10"/>
    <mergeCell ref="MOK10:MOL10"/>
    <mergeCell ref="MOM10:MON10"/>
    <mergeCell ref="MOO10:MOP10"/>
    <mergeCell ref="MQY10:MQZ10"/>
    <mergeCell ref="MRA10:MRB10"/>
    <mergeCell ref="MRC10:MRD10"/>
    <mergeCell ref="MRE10:MRF10"/>
    <mergeCell ref="MRG10:MRH10"/>
    <mergeCell ref="MQO10:MQP10"/>
    <mergeCell ref="MQQ10:MQR10"/>
    <mergeCell ref="MQS10:MQT10"/>
    <mergeCell ref="MQU10:MQV10"/>
    <mergeCell ref="MQW10:MQX10"/>
    <mergeCell ref="MQE10:MQF10"/>
    <mergeCell ref="MQG10:MQH10"/>
    <mergeCell ref="MQI10:MQJ10"/>
    <mergeCell ref="MQK10:MQL10"/>
    <mergeCell ref="MQM10:MQN10"/>
    <mergeCell ref="MPU10:MPV10"/>
    <mergeCell ref="MPW10:MPX10"/>
    <mergeCell ref="MPY10:MPZ10"/>
    <mergeCell ref="MQA10:MQB10"/>
    <mergeCell ref="MQC10:MQD10"/>
    <mergeCell ref="MSM10:MSN10"/>
    <mergeCell ref="MSO10:MSP10"/>
    <mergeCell ref="MSQ10:MSR10"/>
    <mergeCell ref="MSS10:MST10"/>
    <mergeCell ref="MSU10:MSV10"/>
    <mergeCell ref="MSC10:MSD10"/>
    <mergeCell ref="MSE10:MSF10"/>
    <mergeCell ref="MSG10:MSH10"/>
    <mergeCell ref="MSI10:MSJ10"/>
    <mergeCell ref="MSK10:MSL10"/>
    <mergeCell ref="MRS10:MRT10"/>
    <mergeCell ref="MRU10:MRV10"/>
    <mergeCell ref="MRW10:MRX10"/>
    <mergeCell ref="MRY10:MRZ10"/>
    <mergeCell ref="MSA10:MSB10"/>
    <mergeCell ref="MRI10:MRJ10"/>
    <mergeCell ref="MRK10:MRL10"/>
    <mergeCell ref="MRM10:MRN10"/>
    <mergeCell ref="MRO10:MRP10"/>
    <mergeCell ref="MRQ10:MRR10"/>
    <mergeCell ref="MUA10:MUB10"/>
    <mergeCell ref="MUC10:MUD10"/>
    <mergeCell ref="MUE10:MUF10"/>
    <mergeCell ref="MUG10:MUH10"/>
    <mergeCell ref="MUI10:MUJ10"/>
    <mergeCell ref="MTQ10:MTR10"/>
    <mergeCell ref="MTS10:MTT10"/>
    <mergeCell ref="MTU10:MTV10"/>
    <mergeCell ref="MTW10:MTX10"/>
    <mergeCell ref="MTY10:MTZ10"/>
    <mergeCell ref="MTG10:MTH10"/>
    <mergeCell ref="MTI10:MTJ10"/>
    <mergeCell ref="MTK10:MTL10"/>
    <mergeCell ref="MTM10:MTN10"/>
    <mergeCell ref="MTO10:MTP10"/>
    <mergeCell ref="MSW10:MSX10"/>
    <mergeCell ref="MSY10:MSZ10"/>
    <mergeCell ref="MTA10:MTB10"/>
    <mergeCell ref="MTC10:MTD10"/>
    <mergeCell ref="MTE10:MTF10"/>
    <mergeCell ref="MVO10:MVP10"/>
    <mergeCell ref="MVQ10:MVR10"/>
    <mergeCell ref="MVS10:MVT10"/>
    <mergeCell ref="MVU10:MVV10"/>
    <mergeCell ref="MVW10:MVX10"/>
    <mergeCell ref="MVE10:MVF10"/>
    <mergeCell ref="MVG10:MVH10"/>
    <mergeCell ref="MVI10:MVJ10"/>
    <mergeCell ref="MVK10:MVL10"/>
    <mergeCell ref="MVM10:MVN10"/>
    <mergeCell ref="MUU10:MUV10"/>
    <mergeCell ref="MUW10:MUX10"/>
    <mergeCell ref="MUY10:MUZ10"/>
    <mergeCell ref="MVA10:MVB10"/>
    <mergeCell ref="MVC10:MVD10"/>
    <mergeCell ref="MUK10:MUL10"/>
    <mergeCell ref="MUM10:MUN10"/>
    <mergeCell ref="MUO10:MUP10"/>
    <mergeCell ref="MUQ10:MUR10"/>
    <mergeCell ref="MUS10:MUT10"/>
    <mergeCell ref="MXC10:MXD10"/>
    <mergeCell ref="MXE10:MXF10"/>
    <mergeCell ref="MXG10:MXH10"/>
    <mergeCell ref="MXI10:MXJ10"/>
    <mergeCell ref="MXK10:MXL10"/>
    <mergeCell ref="MWS10:MWT10"/>
    <mergeCell ref="MWU10:MWV10"/>
    <mergeCell ref="MWW10:MWX10"/>
    <mergeCell ref="MWY10:MWZ10"/>
    <mergeCell ref="MXA10:MXB10"/>
    <mergeCell ref="MWI10:MWJ10"/>
    <mergeCell ref="MWK10:MWL10"/>
    <mergeCell ref="MWM10:MWN10"/>
    <mergeCell ref="MWO10:MWP10"/>
    <mergeCell ref="MWQ10:MWR10"/>
    <mergeCell ref="MVY10:MVZ10"/>
    <mergeCell ref="MWA10:MWB10"/>
    <mergeCell ref="MWC10:MWD10"/>
    <mergeCell ref="MWE10:MWF10"/>
    <mergeCell ref="MWG10:MWH10"/>
    <mergeCell ref="MYQ10:MYR10"/>
    <mergeCell ref="MYS10:MYT10"/>
    <mergeCell ref="MYU10:MYV10"/>
    <mergeCell ref="MYW10:MYX10"/>
    <mergeCell ref="MYY10:MYZ10"/>
    <mergeCell ref="MYG10:MYH10"/>
    <mergeCell ref="MYI10:MYJ10"/>
    <mergeCell ref="MYK10:MYL10"/>
    <mergeCell ref="MYM10:MYN10"/>
    <mergeCell ref="MYO10:MYP10"/>
    <mergeCell ref="MXW10:MXX10"/>
    <mergeCell ref="MXY10:MXZ10"/>
    <mergeCell ref="MYA10:MYB10"/>
    <mergeCell ref="MYC10:MYD10"/>
    <mergeCell ref="MYE10:MYF10"/>
    <mergeCell ref="MXM10:MXN10"/>
    <mergeCell ref="MXO10:MXP10"/>
    <mergeCell ref="MXQ10:MXR10"/>
    <mergeCell ref="MXS10:MXT10"/>
    <mergeCell ref="MXU10:MXV10"/>
    <mergeCell ref="NAE10:NAF10"/>
    <mergeCell ref="NAG10:NAH10"/>
    <mergeCell ref="NAI10:NAJ10"/>
    <mergeCell ref="NAK10:NAL10"/>
    <mergeCell ref="NAM10:NAN10"/>
    <mergeCell ref="MZU10:MZV10"/>
    <mergeCell ref="MZW10:MZX10"/>
    <mergeCell ref="MZY10:MZZ10"/>
    <mergeCell ref="NAA10:NAB10"/>
    <mergeCell ref="NAC10:NAD10"/>
    <mergeCell ref="MZK10:MZL10"/>
    <mergeCell ref="MZM10:MZN10"/>
    <mergeCell ref="MZO10:MZP10"/>
    <mergeCell ref="MZQ10:MZR10"/>
    <mergeCell ref="MZS10:MZT10"/>
    <mergeCell ref="MZA10:MZB10"/>
    <mergeCell ref="MZC10:MZD10"/>
    <mergeCell ref="MZE10:MZF10"/>
    <mergeCell ref="MZG10:MZH10"/>
    <mergeCell ref="MZI10:MZJ10"/>
    <mergeCell ref="NBS10:NBT10"/>
    <mergeCell ref="NBU10:NBV10"/>
    <mergeCell ref="NBW10:NBX10"/>
    <mergeCell ref="NBY10:NBZ10"/>
    <mergeCell ref="NCA10:NCB10"/>
    <mergeCell ref="NBI10:NBJ10"/>
    <mergeCell ref="NBK10:NBL10"/>
    <mergeCell ref="NBM10:NBN10"/>
    <mergeCell ref="NBO10:NBP10"/>
    <mergeCell ref="NBQ10:NBR10"/>
    <mergeCell ref="NAY10:NAZ10"/>
    <mergeCell ref="NBA10:NBB10"/>
    <mergeCell ref="NBC10:NBD10"/>
    <mergeCell ref="NBE10:NBF10"/>
    <mergeCell ref="NBG10:NBH10"/>
    <mergeCell ref="NAO10:NAP10"/>
    <mergeCell ref="NAQ10:NAR10"/>
    <mergeCell ref="NAS10:NAT10"/>
    <mergeCell ref="NAU10:NAV10"/>
    <mergeCell ref="NAW10:NAX10"/>
    <mergeCell ref="NDG10:NDH10"/>
    <mergeCell ref="NDI10:NDJ10"/>
    <mergeCell ref="NDK10:NDL10"/>
    <mergeCell ref="NDM10:NDN10"/>
    <mergeCell ref="NDO10:NDP10"/>
    <mergeCell ref="NCW10:NCX10"/>
    <mergeCell ref="NCY10:NCZ10"/>
    <mergeCell ref="NDA10:NDB10"/>
    <mergeCell ref="NDC10:NDD10"/>
    <mergeCell ref="NDE10:NDF10"/>
    <mergeCell ref="NCM10:NCN10"/>
    <mergeCell ref="NCO10:NCP10"/>
    <mergeCell ref="NCQ10:NCR10"/>
    <mergeCell ref="NCS10:NCT10"/>
    <mergeCell ref="NCU10:NCV10"/>
    <mergeCell ref="NCC10:NCD10"/>
    <mergeCell ref="NCE10:NCF10"/>
    <mergeCell ref="NCG10:NCH10"/>
    <mergeCell ref="NCI10:NCJ10"/>
    <mergeCell ref="NCK10:NCL10"/>
    <mergeCell ref="NEU10:NEV10"/>
    <mergeCell ref="NEW10:NEX10"/>
    <mergeCell ref="NEY10:NEZ10"/>
    <mergeCell ref="NFA10:NFB10"/>
    <mergeCell ref="NFC10:NFD10"/>
    <mergeCell ref="NEK10:NEL10"/>
    <mergeCell ref="NEM10:NEN10"/>
    <mergeCell ref="NEO10:NEP10"/>
    <mergeCell ref="NEQ10:NER10"/>
    <mergeCell ref="NES10:NET10"/>
    <mergeCell ref="NEA10:NEB10"/>
    <mergeCell ref="NEC10:NED10"/>
    <mergeCell ref="NEE10:NEF10"/>
    <mergeCell ref="NEG10:NEH10"/>
    <mergeCell ref="NEI10:NEJ10"/>
    <mergeCell ref="NDQ10:NDR10"/>
    <mergeCell ref="NDS10:NDT10"/>
    <mergeCell ref="NDU10:NDV10"/>
    <mergeCell ref="NDW10:NDX10"/>
    <mergeCell ref="NDY10:NDZ10"/>
    <mergeCell ref="NGI10:NGJ10"/>
    <mergeCell ref="NGK10:NGL10"/>
    <mergeCell ref="NGM10:NGN10"/>
    <mergeCell ref="NGO10:NGP10"/>
    <mergeCell ref="NGQ10:NGR10"/>
    <mergeCell ref="NFY10:NFZ10"/>
    <mergeCell ref="NGA10:NGB10"/>
    <mergeCell ref="NGC10:NGD10"/>
    <mergeCell ref="NGE10:NGF10"/>
    <mergeCell ref="NGG10:NGH10"/>
    <mergeCell ref="NFO10:NFP10"/>
    <mergeCell ref="NFQ10:NFR10"/>
    <mergeCell ref="NFS10:NFT10"/>
    <mergeCell ref="NFU10:NFV10"/>
    <mergeCell ref="NFW10:NFX10"/>
    <mergeCell ref="NFE10:NFF10"/>
    <mergeCell ref="NFG10:NFH10"/>
    <mergeCell ref="NFI10:NFJ10"/>
    <mergeCell ref="NFK10:NFL10"/>
    <mergeCell ref="NFM10:NFN10"/>
    <mergeCell ref="NHW10:NHX10"/>
    <mergeCell ref="NHY10:NHZ10"/>
    <mergeCell ref="NIA10:NIB10"/>
    <mergeCell ref="NIC10:NID10"/>
    <mergeCell ref="NIE10:NIF10"/>
    <mergeCell ref="NHM10:NHN10"/>
    <mergeCell ref="NHO10:NHP10"/>
    <mergeCell ref="NHQ10:NHR10"/>
    <mergeCell ref="NHS10:NHT10"/>
    <mergeCell ref="NHU10:NHV10"/>
    <mergeCell ref="NHC10:NHD10"/>
    <mergeCell ref="NHE10:NHF10"/>
    <mergeCell ref="NHG10:NHH10"/>
    <mergeCell ref="NHI10:NHJ10"/>
    <mergeCell ref="NHK10:NHL10"/>
    <mergeCell ref="NGS10:NGT10"/>
    <mergeCell ref="NGU10:NGV10"/>
    <mergeCell ref="NGW10:NGX10"/>
    <mergeCell ref="NGY10:NGZ10"/>
    <mergeCell ref="NHA10:NHB10"/>
    <mergeCell ref="NJK10:NJL10"/>
    <mergeCell ref="NJM10:NJN10"/>
    <mergeCell ref="NJO10:NJP10"/>
    <mergeCell ref="NJQ10:NJR10"/>
    <mergeCell ref="NJS10:NJT10"/>
    <mergeCell ref="NJA10:NJB10"/>
    <mergeCell ref="NJC10:NJD10"/>
    <mergeCell ref="NJE10:NJF10"/>
    <mergeCell ref="NJG10:NJH10"/>
    <mergeCell ref="NJI10:NJJ10"/>
    <mergeCell ref="NIQ10:NIR10"/>
    <mergeCell ref="NIS10:NIT10"/>
    <mergeCell ref="NIU10:NIV10"/>
    <mergeCell ref="NIW10:NIX10"/>
    <mergeCell ref="NIY10:NIZ10"/>
    <mergeCell ref="NIG10:NIH10"/>
    <mergeCell ref="NII10:NIJ10"/>
    <mergeCell ref="NIK10:NIL10"/>
    <mergeCell ref="NIM10:NIN10"/>
    <mergeCell ref="NIO10:NIP10"/>
    <mergeCell ref="NKY10:NKZ10"/>
    <mergeCell ref="NLA10:NLB10"/>
    <mergeCell ref="NLC10:NLD10"/>
    <mergeCell ref="NLE10:NLF10"/>
    <mergeCell ref="NLG10:NLH10"/>
    <mergeCell ref="NKO10:NKP10"/>
    <mergeCell ref="NKQ10:NKR10"/>
    <mergeCell ref="NKS10:NKT10"/>
    <mergeCell ref="NKU10:NKV10"/>
    <mergeCell ref="NKW10:NKX10"/>
    <mergeCell ref="NKE10:NKF10"/>
    <mergeCell ref="NKG10:NKH10"/>
    <mergeCell ref="NKI10:NKJ10"/>
    <mergeCell ref="NKK10:NKL10"/>
    <mergeCell ref="NKM10:NKN10"/>
    <mergeCell ref="NJU10:NJV10"/>
    <mergeCell ref="NJW10:NJX10"/>
    <mergeCell ref="NJY10:NJZ10"/>
    <mergeCell ref="NKA10:NKB10"/>
    <mergeCell ref="NKC10:NKD10"/>
    <mergeCell ref="NMM10:NMN10"/>
    <mergeCell ref="NMO10:NMP10"/>
    <mergeCell ref="NMQ10:NMR10"/>
    <mergeCell ref="NMS10:NMT10"/>
    <mergeCell ref="NMU10:NMV10"/>
    <mergeCell ref="NMC10:NMD10"/>
    <mergeCell ref="NME10:NMF10"/>
    <mergeCell ref="NMG10:NMH10"/>
    <mergeCell ref="NMI10:NMJ10"/>
    <mergeCell ref="NMK10:NML10"/>
    <mergeCell ref="NLS10:NLT10"/>
    <mergeCell ref="NLU10:NLV10"/>
    <mergeCell ref="NLW10:NLX10"/>
    <mergeCell ref="NLY10:NLZ10"/>
    <mergeCell ref="NMA10:NMB10"/>
    <mergeCell ref="NLI10:NLJ10"/>
    <mergeCell ref="NLK10:NLL10"/>
    <mergeCell ref="NLM10:NLN10"/>
    <mergeCell ref="NLO10:NLP10"/>
    <mergeCell ref="NLQ10:NLR10"/>
    <mergeCell ref="NOA10:NOB10"/>
    <mergeCell ref="NOC10:NOD10"/>
    <mergeCell ref="NOE10:NOF10"/>
    <mergeCell ref="NOG10:NOH10"/>
    <mergeCell ref="NOI10:NOJ10"/>
    <mergeCell ref="NNQ10:NNR10"/>
    <mergeCell ref="NNS10:NNT10"/>
    <mergeCell ref="NNU10:NNV10"/>
    <mergeCell ref="NNW10:NNX10"/>
    <mergeCell ref="NNY10:NNZ10"/>
    <mergeCell ref="NNG10:NNH10"/>
    <mergeCell ref="NNI10:NNJ10"/>
    <mergeCell ref="NNK10:NNL10"/>
    <mergeCell ref="NNM10:NNN10"/>
    <mergeCell ref="NNO10:NNP10"/>
    <mergeCell ref="NMW10:NMX10"/>
    <mergeCell ref="NMY10:NMZ10"/>
    <mergeCell ref="NNA10:NNB10"/>
    <mergeCell ref="NNC10:NND10"/>
    <mergeCell ref="NNE10:NNF10"/>
    <mergeCell ref="NPO10:NPP10"/>
    <mergeCell ref="NPQ10:NPR10"/>
    <mergeCell ref="NPS10:NPT10"/>
    <mergeCell ref="NPU10:NPV10"/>
    <mergeCell ref="NPW10:NPX10"/>
    <mergeCell ref="NPE10:NPF10"/>
    <mergeCell ref="NPG10:NPH10"/>
    <mergeCell ref="NPI10:NPJ10"/>
    <mergeCell ref="NPK10:NPL10"/>
    <mergeCell ref="NPM10:NPN10"/>
    <mergeCell ref="NOU10:NOV10"/>
    <mergeCell ref="NOW10:NOX10"/>
    <mergeCell ref="NOY10:NOZ10"/>
    <mergeCell ref="NPA10:NPB10"/>
    <mergeCell ref="NPC10:NPD10"/>
    <mergeCell ref="NOK10:NOL10"/>
    <mergeCell ref="NOM10:NON10"/>
    <mergeCell ref="NOO10:NOP10"/>
    <mergeCell ref="NOQ10:NOR10"/>
    <mergeCell ref="NOS10:NOT10"/>
    <mergeCell ref="NRC10:NRD10"/>
    <mergeCell ref="NRE10:NRF10"/>
    <mergeCell ref="NRG10:NRH10"/>
    <mergeCell ref="NRI10:NRJ10"/>
    <mergeCell ref="NRK10:NRL10"/>
    <mergeCell ref="NQS10:NQT10"/>
    <mergeCell ref="NQU10:NQV10"/>
    <mergeCell ref="NQW10:NQX10"/>
    <mergeCell ref="NQY10:NQZ10"/>
    <mergeCell ref="NRA10:NRB10"/>
    <mergeCell ref="NQI10:NQJ10"/>
    <mergeCell ref="NQK10:NQL10"/>
    <mergeCell ref="NQM10:NQN10"/>
    <mergeCell ref="NQO10:NQP10"/>
    <mergeCell ref="NQQ10:NQR10"/>
    <mergeCell ref="NPY10:NPZ10"/>
    <mergeCell ref="NQA10:NQB10"/>
    <mergeCell ref="NQC10:NQD10"/>
    <mergeCell ref="NQE10:NQF10"/>
    <mergeCell ref="NQG10:NQH10"/>
    <mergeCell ref="NSQ10:NSR10"/>
    <mergeCell ref="NSS10:NST10"/>
    <mergeCell ref="NSU10:NSV10"/>
    <mergeCell ref="NSW10:NSX10"/>
    <mergeCell ref="NSY10:NSZ10"/>
    <mergeCell ref="NSG10:NSH10"/>
    <mergeCell ref="NSI10:NSJ10"/>
    <mergeCell ref="NSK10:NSL10"/>
    <mergeCell ref="NSM10:NSN10"/>
    <mergeCell ref="NSO10:NSP10"/>
    <mergeCell ref="NRW10:NRX10"/>
    <mergeCell ref="NRY10:NRZ10"/>
    <mergeCell ref="NSA10:NSB10"/>
    <mergeCell ref="NSC10:NSD10"/>
    <mergeCell ref="NSE10:NSF10"/>
    <mergeCell ref="NRM10:NRN10"/>
    <mergeCell ref="NRO10:NRP10"/>
    <mergeCell ref="NRQ10:NRR10"/>
    <mergeCell ref="NRS10:NRT10"/>
    <mergeCell ref="NRU10:NRV10"/>
    <mergeCell ref="NUE10:NUF10"/>
    <mergeCell ref="NUG10:NUH10"/>
    <mergeCell ref="NUI10:NUJ10"/>
    <mergeCell ref="NUK10:NUL10"/>
    <mergeCell ref="NUM10:NUN10"/>
    <mergeCell ref="NTU10:NTV10"/>
    <mergeCell ref="NTW10:NTX10"/>
    <mergeCell ref="NTY10:NTZ10"/>
    <mergeCell ref="NUA10:NUB10"/>
    <mergeCell ref="NUC10:NUD10"/>
    <mergeCell ref="NTK10:NTL10"/>
    <mergeCell ref="NTM10:NTN10"/>
    <mergeCell ref="NTO10:NTP10"/>
    <mergeCell ref="NTQ10:NTR10"/>
    <mergeCell ref="NTS10:NTT10"/>
    <mergeCell ref="NTA10:NTB10"/>
    <mergeCell ref="NTC10:NTD10"/>
    <mergeCell ref="NTE10:NTF10"/>
    <mergeCell ref="NTG10:NTH10"/>
    <mergeCell ref="NTI10:NTJ10"/>
    <mergeCell ref="NVS10:NVT10"/>
    <mergeCell ref="NVU10:NVV10"/>
    <mergeCell ref="NVW10:NVX10"/>
    <mergeCell ref="NVY10:NVZ10"/>
    <mergeCell ref="NWA10:NWB10"/>
    <mergeCell ref="NVI10:NVJ10"/>
    <mergeCell ref="NVK10:NVL10"/>
    <mergeCell ref="NVM10:NVN10"/>
    <mergeCell ref="NVO10:NVP10"/>
    <mergeCell ref="NVQ10:NVR10"/>
    <mergeCell ref="NUY10:NUZ10"/>
    <mergeCell ref="NVA10:NVB10"/>
    <mergeCell ref="NVC10:NVD10"/>
    <mergeCell ref="NVE10:NVF10"/>
    <mergeCell ref="NVG10:NVH10"/>
    <mergeCell ref="NUO10:NUP10"/>
    <mergeCell ref="NUQ10:NUR10"/>
    <mergeCell ref="NUS10:NUT10"/>
    <mergeCell ref="NUU10:NUV10"/>
    <mergeCell ref="NUW10:NUX10"/>
    <mergeCell ref="NXG10:NXH10"/>
    <mergeCell ref="NXI10:NXJ10"/>
    <mergeCell ref="NXK10:NXL10"/>
    <mergeCell ref="NXM10:NXN10"/>
    <mergeCell ref="NXO10:NXP10"/>
    <mergeCell ref="NWW10:NWX10"/>
    <mergeCell ref="NWY10:NWZ10"/>
    <mergeCell ref="NXA10:NXB10"/>
    <mergeCell ref="NXC10:NXD10"/>
    <mergeCell ref="NXE10:NXF10"/>
    <mergeCell ref="NWM10:NWN10"/>
    <mergeCell ref="NWO10:NWP10"/>
    <mergeCell ref="NWQ10:NWR10"/>
    <mergeCell ref="NWS10:NWT10"/>
    <mergeCell ref="NWU10:NWV10"/>
    <mergeCell ref="NWC10:NWD10"/>
    <mergeCell ref="NWE10:NWF10"/>
    <mergeCell ref="NWG10:NWH10"/>
    <mergeCell ref="NWI10:NWJ10"/>
    <mergeCell ref="NWK10:NWL10"/>
    <mergeCell ref="NYU10:NYV10"/>
    <mergeCell ref="NYW10:NYX10"/>
    <mergeCell ref="NYY10:NYZ10"/>
    <mergeCell ref="NZA10:NZB10"/>
    <mergeCell ref="NZC10:NZD10"/>
    <mergeCell ref="NYK10:NYL10"/>
    <mergeCell ref="NYM10:NYN10"/>
    <mergeCell ref="NYO10:NYP10"/>
    <mergeCell ref="NYQ10:NYR10"/>
    <mergeCell ref="NYS10:NYT10"/>
    <mergeCell ref="NYA10:NYB10"/>
    <mergeCell ref="NYC10:NYD10"/>
    <mergeCell ref="NYE10:NYF10"/>
    <mergeCell ref="NYG10:NYH10"/>
    <mergeCell ref="NYI10:NYJ10"/>
    <mergeCell ref="NXQ10:NXR10"/>
    <mergeCell ref="NXS10:NXT10"/>
    <mergeCell ref="NXU10:NXV10"/>
    <mergeCell ref="NXW10:NXX10"/>
    <mergeCell ref="NXY10:NXZ10"/>
    <mergeCell ref="OAI10:OAJ10"/>
    <mergeCell ref="OAK10:OAL10"/>
    <mergeCell ref="OAM10:OAN10"/>
    <mergeCell ref="OAO10:OAP10"/>
    <mergeCell ref="OAQ10:OAR10"/>
    <mergeCell ref="NZY10:NZZ10"/>
    <mergeCell ref="OAA10:OAB10"/>
    <mergeCell ref="OAC10:OAD10"/>
    <mergeCell ref="OAE10:OAF10"/>
    <mergeCell ref="OAG10:OAH10"/>
    <mergeCell ref="NZO10:NZP10"/>
    <mergeCell ref="NZQ10:NZR10"/>
    <mergeCell ref="NZS10:NZT10"/>
    <mergeCell ref="NZU10:NZV10"/>
    <mergeCell ref="NZW10:NZX10"/>
    <mergeCell ref="NZE10:NZF10"/>
    <mergeCell ref="NZG10:NZH10"/>
    <mergeCell ref="NZI10:NZJ10"/>
    <mergeCell ref="NZK10:NZL10"/>
    <mergeCell ref="NZM10:NZN10"/>
    <mergeCell ref="OBW10:OBX10"/>
    <mergeCell ref="OBY10:OBZ10"/>
    <mergeCell ref="OCA10:OCB10"/>
    <mergeCell ref="OCC10:OCD10"/>
    <mergeCell ref="OCE10:OCF10"/>
    <mergeCell ref="OBM10:OBN10"/>
    <mergeCell ref="OBO10:OBP10"/>
    <mergeCell ref="OBQ10:OBR10"/>
    <mergeCell ref="OBS10:OBT10"/>
    <mergeCell ref="OBU10:OBV10"/>
    <mergeCell ref="OBC10:OBD10"/>
    <mergeCell ref="OBE10:OBF10"/>
    <mergeCell ref="OBG10:OBH10"/>
    <mergeCell ref="OBI10:OBJ10"/>
    <mergeCell ref="OBK10:OBL10"/>
    <mergeCell ref="OAS10:OAT10"/>
    <mergeCell ref="OAU10:OAV10"/>
    <mergeCell ref="OAW10:OAX10"/>
    <mergeCell ref="OAY10:OAZ10"/>
    <mergeCell ref="OBA10:OBB10"/>
    <mergeCell ref="ODK10:ODL10"/>
    <mergeCell ref="ODM10:ODN10"/>
    <mergeCell ref="ODO10:ODP10"/>
    <mergeCell ref="ODQ10:ODR10"/>
    <mergeCell ref="ODS10:ODT10"/>
    <mergeCell ref="ODA10:ODB10"/>
    <mergeCell ref="ODC10:ODD10"/>
    <mergeCell ref="ODE10:ODF10"/>
    <mergeCell ref="ODG10:ODH10"/>
    <mergeCell ref="ODI10:ODJ10"/>
    <mergeCell ref="OCQ10:OCR10"/>
    <mergeCell ref="OCS10:OCT10"/>
    <mergeCell ref="OCU10:OCV10"/>
    <mergeCell ref="OCW10:OCX10"/>
    <mergeCell ref="OCY10:OCZ10"/>
    <mergeCell ref="OCG10:OCH10"/>
    <mergeCell ref="OCI10:OCJ10"/>
    <mergeCell ref="OCK10:OCL10"/>
    <mergeCell ref="OCM10:OCN10"/>
    <mergeCell ref="OCO10:OCP10"/>
    <mergeCell ref="OEY10:OEZ10"/>
    <mergeCell ref="OFA10:OFB10"/>
    <mergeCell ref="OFC10:OFD10"/>
    <mergeCell ref="OFE10:OFF10"/>
    <mergeCell ref="OFG10:OFH10"/>
    <mergeCell ref="OEO10:OEP10"/>
    <mergeCell ref="OEQ10:OER10"/>
    <mergeCell ref="OES10:OET10"/>
    <mergeCell ref="OEU10:OEV10"/>
    <mergeCell ref="OEW10:OEX10"/>
    <mergeCell ref="OEE10:OEF10"/>
    <mergeCell ref="OEG10:OEH10"/>
    <mergeCell ref="OEI10:OEJ10"/>
    <mergeCell ref="OEK10:OEL10"/>
    <mergeCell ref="OEM10:OEN10"/>
    <mergeCell ref="ODU10:ODV10"/>
    <mergeCell ref="ODW10:ODX10"/>
    <mergeCell ref="ODY10:ODZ10"/>
    <mergeCell ref="OEA10:OEB10"/>
    <mergeCell ref="OEC10:OED10"/>
    <mergeCell ref="OGM10:OGN10"/>
    <mergeCell ref="OGO10:OGP10"/>
    <mergeCell ref="OGQ10:OGR10"/>
    <mergeCell ref="OGS10:OGT10"/>
    <mergeCell ref="OGU10:OGV10"/>
    <mergeCell ref="OGC10:OGD10"/>
    <mergeCell ref="OGE10:OGF10"/>
    <mergeCell ref="OGG10:OGH10"/>
    <mergeCell ref="OGI10:OGJ10"/>
    <mergeCell ref="OGK10:OGL10"/>
    <mergeCell ref="OFS10:OFT10"/>
    <mergeCell ref="OFU10:OFV10"/>
    <mergeCell ref="OFW10:OFX10"/>
    <mergeCell ref="OFY10:OFZ10"/>
    <mergeCell ref="OGA10:OGB10"/>
    <mergeCell ref="OFI10:OFJ10"/>
    <mergeCell ref="OFK10:OFL10"/>
    <mergeCell ref="OFM10:OFN10"/>
    <mergeCell ref="OFO10:OFP10"/>
    <mergeCell ref="OFQ10:OFR10"/>
    <mergeCell ref="OIA10:OIB10"/>
    <mergeCell ref="OIC10:OID10"/>
    <mergeCell ref="OIE10:OIF10"/>
    <mergeCell ref="OIG10:OIH10"/>
    <mergeCell ref="OII10:OIJ10"/>
    <mergeCell ref="OHQ10:OHR10"/>
    <mergeCell ref="OHS10:OHT10"/>
    <mergeCell ref="OHU10:OHV10"/>
    <mergeCell ref="OHW10:OHX10"/>
    <mergeCell ref="OHY10:OHZ10"/>
    <mergeCell ref="OHG10:OHH10"/>
    <mergeCell ref="OHI10:OHJ10"/>
    <mergeCell ref="OHK10:OHL10"/>
    <mergeCell ref="OHM10:OHN10"/>
    <mergeCell ref="OHO10:OHP10"/>
    <mergeCell ref="OGW10:OGX10"/>
    <mergeCell ref="OGY10:OGZ10"/>
    <mergeCell ref="OHA10:OHB10"/>
    <mergeCell ref="OHC10:OHD10"/>
    <mergeCell ref="OHE10:OHF10"/>
    <mergeCell ref="OJO10:OJP10"/>
    <mergeCell ref="OJQ10:OJR10"/>
    <mergeCell ref="OJS10:OJT10"/>
    <mergeCell ref="OJU10:OJV10"/>
    <mergeCell ref="OJW10:OJX10"/>
    <mergeCell ref="OJE10:OJF10"/>
    <mergeCell ref="OJG10:OJH10"/>
    <mergeCell ref="OJI10:OJJ10"/>
    <mergeCell ref="OJK10:OJL10"/>
    <mergeCell ref="OJM10:OJN10"/>
    <mergeCell ref="OIU10:OIV10"/>
    <mergeCell ref="OIW10:OIX10"/>
    <mergeCell ref="OIY10:OIZ10"/>
    <mergeCell ref="OJA10:OJB10"/>
    <mergeCell ref="OJC10:OJD10"/>
    <mergeCell ref="OIK10:OIL10"/>
    <mergeCell ref="OIM10:OIN10"/>
    <mergeCell ref="OIO10:OIP10"/>
    <mergeCell ref="OIQ10:OIR10"/>
    <mergeCell ref="OIS10:OIT10"/>
    <mergeCell ref="OLC10:OLD10"/>
    <mergeCell ref="OLE10:OLF10"/>
    <mergeCell ref="OLG10:OLH10"/>
    <mergeCell ref="OLI10:OLJ10"/>
    <mergeCell ref="OLK10:OLL10"/>
    <mergeCell ref="OKS10:OKT10"/>
    <mergeCell ref="OKU10:OKV10"/>
    <mergeCell ref="OKW10:OKX10"/>
    <mergeCell ref="OKY10:OKZ10"/>
    <mergeCell ref="OLA10:OLB10"/>
    <mergeCell ref="OKI10:OKJ10"/>
    <mergeCell ref="OKK10:OKL10"/>
    <mergeCell ref="OKM10:OKN10"/>
    <mergeCell ref="OKO10:OKP10"/>
    <mergeCell ref="OKQ10:OKR10"/>
    <mergeCell ref="OJY10:OJZ10"/>
    <mergeCell ref="OKA10:OKB10"/>
    <mergeCell ref="OKC10:OKD10"/>
    <mergeCell ref="OKE10:OKF10"/>
    <mergeCell ref="OKG10:OKH10"/>
    <mergeCell ref="OMQ10:OMR10"/>
    <mergeCell ref="OMS10:OMT10"/>
    <mergeCell ref="OMU10:OMV10"/>
    <mergeCell ref="OMW10:OMX10"/>
    <mergeCell ref="OMY10:OMZ10"/>
    <mergeCell ref="OMG10:OMH10"/>
    <mergeCell ref="OMI10:OMJ10"/>
    <mergeCell ref="OMK10:OML10"/>
    <mergeCell ref="OMM10:OMN10"/>
    <mergeCell ref="OMO10:OMP10"/>
    <mergeCell ref="OLW10:OLX10"/>
    <mergeCell ref="OLY10:OLZ10"/>
    <mergeCell ref="OMA10:OMB10"/>
    <mergeCell ref="OMC10:OMD10"/>
    <mergeCell ref="OME10:OMF10"/>
    <mergeCell ref="OLM10:OLN10"/>
    <mergeCell ref="OLO10:OLP10"/>
    <mergeCell ref="OLQ10:OLR10"/>
    <mergeCell ref="OLS10:OLT10"/>
    <mergeCell ref="OLU10:OLV10"/>
    <mergeCell ref="OOE10:OOF10"/>
    <mergeCell ref="OOG10:OOH10"/>
    <mergeCell ref="OOI10:OOJ10"/>
    <mergeCell ref="OOK10:OOL10"/>
    <mergeCell ref="OOM10:OON10"/>
    <mergeCell ref="ONU10:ONV10"/>
    <mergeCell ref="ONW10:ONX10"/>
    <mergeCell ref="ONY10:ONZ10"/>
    <mergeCell ref="OOA10:OOB10"/>
    <mergeCell ref="OOC10:OOD10"/>
    <mergeCell ref="ONK10:ONL10"/>
    <mergeCell ref="ONM10:ONN10"/>
    <mergeCell ref="ONO10:ONP10"/>
    <mergeCell ref="ONQ10:ONR10"/>
    <mergeCell ref="ONS10:ONT10"/>
    <mergeCell ref="ONA10:ONB10"/>
    <mergeCell ref="ONC10:OND10"/>
    <mergeCell ref="ONE10:ONF10"/>
    <mergeCell ref="ONG10:ONH10"/>
    <mergeCell ref="ONI10:ONJ10"/>
    <mergeCell ref="OPS10:OPT10"/>
    <mergeCell ref="OPU10:OPV10"/>
    <mergeCell ref="OPW10:OPX10"/>
    <mergeCell ref="OPY10:OPZ10"/>
    <mergeCell ref="OQA10:OQB10"/>
    <mergeCell ref="OPI10:OPJ10"/>
    <mergeCell ref="OPK10:OPL10"/>
    <mergeCell ref="OPM10:OPN10"/>
    <mergeCell ref="OPO10:OPP10"/>
    <mergeCell ref="OPQ10:OPR10"/>
    <mergeCell ref="OOY10:OOZ10"/>
    <mergeCell ref="OPA10:OPB10"/>
    <mergeCell ref="OPC10:OPD10"/>
    <mergeCell ref="OPE10:OPF10"/>
    <mergeCell ref="OPG10:OPH10"/>
    <mergeCell ref="OOO10:OOP10"/>
    <mergeCell ref="OOQ10:OOR10"/>
    <mergeCell ref="OOS10:OOT10"/>
    <mergeCell ref="OOU10:OOV10"/>
    <mergeCell ref="OOW10:OOX10"/>
    <mergeCell ref="ORG10:ORH10"/>
    <mergeCell ref="ORI10:ORJ10"/>
    <mergeCell ref="ORK10:ORL10"/>
    <mergeCell ref="ORM10:ORN10"/>
    <mergeCell ref="ORO10:ORP10"/>
    <mergeCell ref="OQW10:OQX10"/>
    <mergeCell ref="OQY10:OQZ10"/>
    <mergeCell ref="ORA10:ORB10"/>
    <mergeCell ref="ORC10:ORD10"/>
    <mergeCell ref="ORE10:ORF10"/>
    <mergeCell ref="OQM10:OQN10"/>
    <mergeCell ref="OQO10:OQP10"/>
    <mergeCell ref="OQQ10:OQR10"/>
    <mergeCell ref="OQS10:OQT10"/>
    <mergeCell ref="OQU10:OQV10"/>
    <mergeCell ref="OQC10:OQD10"/>
    <mergeCell ref="OQE10:OQF10"/>
    <mergeCell ref="OQG10:OQH10"/>
    <mergeCell ref="OQI10:OQJ10"/>
    <mergeCell ref="OQK10:OQL10"/>
    <mergeCell ref="OSU10:OSV10"/>
    <mergeCell ref="OSW10:OSX10"/>
    <mergeCell ref="OSY10:OSZ10"/>
    <mergeCell ref="OTA10:OTB10"/>
    <mergeCell ref="OTC10:OTD10"/>
    <mergeCell ref="OSK10:OSL10"/>
    <mergeCell ref="OSM10:OSN10"/>
    <mergeCell ref="OSO10:OSP10"/>
    <mergeCell ref="OSQ10:OSR10"/>
    <mergeCell ref="OSS10:OST10"/>
    <mergeCell ref="OSA10:OSB10"/>
    <mergeCell ref="OSC10:OSD10"/>
    <mergeCell ref="OSE10:OSF10"/>
    <mergeCell ref="OSG10:OSH10"/>
    <mergeCell ref="OSI10:OSJ10"/>
    <mergeCell ref="ORQ10:ORR10"/>
    <mergeCell ref="ORS10:ORT10"/>
    <mergeCell ref="ORU10:ORV10"/>
    <mergeCell ref="ORW10:ORX10"/>
    <mergeCell ref="ORY10:ORZ10"/>
    <mergeCell ref="OUI10:OUJ10"/>
    <mergeCell ref="OUK10:OUL10"/>
    <mergeCell ref="OUM10:OUN10"/>
    <mergeCell ref="OUO10:OUP10"/>
    <mergeCell ref="OUQ10:OUR10"/>
    <mergeCell ref="OTY10:OTZ10"/>
    <mergeCell ref="OUA10:OUB10"/>
    <mergeCell ref="OUC10:OUD10"/>
    <mergeCell ref="OUE10:OUF10"/>
    <mergeCell ref="OUG10:OUH10"/>
    <mergeCell ref="OTO10:OTP10"/>
    <mergeCell ref="OTQ10:OTR10"/>
    <mergeCell ref="OTS10:OTT10"/>
    <mergeCell ref="OTU10:OTV10"/>
    <mergeCell ref="OTW10:OTX10"/>
    <mergeCell ref="OTE10:OTF10"/>
    <mergeCell ref="OTG10:OTH10"/>
    <mergeCell ref="OTI10:OTJ10"/>
    <mergeCell ref="OTK10:OTL10"/>
    <mergeCell ref="OTM10:OTN10"/>
    <mergeCell ref="OVW10:OVX10"/>
    <mergeCell ref="OVY10:OVZ10"/>
    <mergeCell ref="OWA10:OWB10"/>
    <mergeCell ref="OWC10:OWD10"/>
    <mergeCell ref="OWE10:OWF10"/>
    <mergeCell ref="OVM10:OVN10"/>
    <mergeCell ref="OVO10:OVP10"/>
    <mergeCell ref="OVQ10:OVR10"/>
    <mergeCell ref="OVS10:OVT10"/>
    <mergeCell ref="OVU10:OVV10"/>
    <mergeCell ref="OVC10:OVD10"/>
    <mergeCell ref="OVE10:OVF10"/>
    <mergeCell ref="OVG10:OVH10"/>
    <mergeCell ref="OVI10:OVJ10"/>
    <mergeCell ref="OVK10:OVL10"/>
    <mergeCell ref="OUS10:OUT10"/>
    <mergeCell ref="OUU10:OUV10"/>
    <mergeCell ref="OUW10:OUX10"/>
    <mergeCell ref="OUY10:OUZ10"/>
    <mergeCell ref="OVA10:OVB10"/>
    <mergeCell ref="OXK10:OXL10"/>
    <mergeCell ref="OXM10:OXN10"/>
    <mergeCell ref="OXO10:OXP10"/>
    <mergeCell ref="OXQ10:OXR10"/>
    <mergeCell ref="OXS10:OXT10"/>
    <mergeCell ref="OXA10:OXB10"/>
    <mergeCell ref="OXC10:OXD10"/>
    <mergeCell ref="OXE10:OXF10"/>
    <mergeCell ref="OXG10:OXH10"/>
    <mergeCell ref="OXI10:OXJ10"/>
    <mergeCell ref="OWQ10:OWR10"/>
    <mergeCell ref="OWS10:OWT10"/>
    <mergeCell ref="OWU10:OWV10"/>
    <mergeCell ref="OWW10:OWX10"/>
    <mergeCell ref="OWY10:OWZ10"/>
    <mergeCell ref="OWG10:OWH10"/>
    <mergeCell ref="OWI10:OWJ10"/>
    <mergeCell ref="OWK10:OWL10"/>
    <mergeCell ref="OWM10:OWN10"/>
    <mergeCell ref="OWO10:OWP10"/>
    <mergeCell ref="OYY10:OYZ10"/>
    <mergeCell ref="OZA10:OZB10"/>
    <mergeCell ref="OZC10:OZD10"/>
    <mergeCell ref="OZE10:OZF10"/>
    <mergeCell ref="OZG10:OZH10"/>
    <mergeCell ref="OYO10:OYP10"/>
    <mergeCell ref="OYQ10:OYR10"/>
    <mergeCell ref="OYS10:OYT10"/>
    <mergeCell ref="OYU10:OYV10"/>
    <mergeCell ref="OYW10:OYX10"/>
    <mergeCell ref="OYE10:OYF10"/>
    <mergeCell ref="OYG10:OYH10"/>
    <mergeCell ref="OYI10:OYJ10"/>
    <mergeCell ref="OYK10:OYL10"/>
    <mergeCell ref="OYM10:OYN10"/>
    <mergeCell ref="OXU10:OXV10"/>
    <mergeCell ref="OXW10:OXX10"/>
    <mergeCell ref="OXY10:OXZ10"/>
    <mergeCell ref="OYA10:OYB10"/>
    <mergeCell ref="OYC10:OYD10"/>
    <mergeCell ref="PAM10:PAN10"/>
    <mergeCell ref="PAO10:PAP10"/>
    <mergeCell ref="PAQ10:PAR10"/>
    <mergeCell ref="PAS10:PAT10"/>
    <mergeCell ref="PAU10:PAV10"/>
    <mergeCell ref="PAC10:PAD10"/>
    <mergeCell ref="PAE10:PAF10"/>
    <mergeCell ref="PAG10:PAH10"/>
    <mergeCell ref="PAI10:PAJ10"/>
    <mergeCell ref="PAK10:PAL10"/>
    <mergeCell ref="OZS10:OZT10"/>
    <mergeCell ref="OZU10:OZV10"/>
    <mergeCell ref="OZW10:OZX10"/>
    <mergeCell ref="OZY10:OZZ10"/>
    <mergeCell ref="PAA10:PAB10"/>
    <mergeCell ref="OZI10:OZJ10"/>
    <mergeCell ref="OZK10:OZL10"/>
    <mergeCell ref="OZM10:OZN10"/>
    <mergeCell ref="OZO10:OZP10"/>
    <mergeCell ref="OZQ10:OZR10"/>
    <mergeCell ref="PCA10:PCB10"/>
    <mergeCell ref="PCC10:PCD10"/>
    <mergeCell ref="PCE10:PCF10"/>
    <mergeCell ref="PCG10:PCH10"/>
    <mergeCell ref="PCI10:PCJ10"/>
    <mergeCell ref="PBQ10:PBR10"/>
    <mergeCell ref="PBS10:PBT10"/>
    <mergeCell ref="PBU10:PBV10"/>
    <mergeCell ref="PBW10:PBX10"/>
    <mergeCell ref="PBY10:PBZ10"/>
    <mergeCell ref="PBG10:PBH10"/>
    <mergeCell ref="PBI10:PBJ10"/>
    <mergeCell ref="PBK10:PBL10"/>
    <mergeCell ref="PBM10:PBN10"/>
    <mergeCell ref="PBO10:PBP10"/>
    <mergeCell ref="PAW10:PAX10"/>
    <mergeCell ref="PAY10:PAZ10"/>
    <mergeCell ref="PBA10:PBB10"/>
    <mergeCell ref="PBC10:PBD10"/>
    <mergeCell ref="PBE10:PBF10"/>
    <mergeCell ref="PDO10:PDP10"/>
    <mergeCell ref="PDQ10:PDR10"/>
    <mergeCell ref="PDS10:PDT10"/>
    <mergeCell ref="PDU10:PDV10"/>
    <mergeCell ref="PDW10:PDX10"/>
    <mergeCell ref="PDE10:PDF10"/>
    <mergeCell ref="PDG10:PDH10"/>
    <mergeCell ref="PDI10:PDJ10"/>
    <mergeCell ref="PDK10:PDL10"/>
    <mergeCell ref="PDM10:PDN10"/>
    <mergeCell ref="PCU10:PCV10"/>
    <mergeCell ref="PCW10:PCX10"/>
    <mergeCell ref="PCY10:PCZ10"/>
    <mergeCell ref="PDA10:PDB10"/>
    <mergeCell ref="PDC10:PDD10"/>
    <mergeCell ref="PCK10:PCL10"/>
    <mergeCell ref="PCM10:PCN10"/>
    <mergeCell ref="PCO10:PCP10"/>
    <mergeCell ref="PCQ10:PCR10"/>
    <mergeCell ref="PCS10:PCT10"/>
    <mergeCell ref="PFC10:PFD10"/>
    <mergeCell ref="PFE10:PFF10"/>
    <mergeCell ref="PFG10:PFH10"/>
    <mergeCell ref="PFI10:PFJ10"/>
    <mergeCell ref="PFK10:PFL10"/>
    <mergeCell ref="PES10:PET10"/>
    <mergeCell ref="PEU10:PEV10"/>
    <mergeCell ref="PEW10:PEX10"/>
    <mergeCell ref="PEY10:PEZ10"/>
    <mergeCell ref="PFA10:PFB10"/>
    <mergeCell ref="PEI10:PEJ10"/>
    <mergeCell ref="PEK10:PEL10"/>
    <mergeCell ref="PEM10:PEN10"/>
    <mergeCell ref="PEO10:PEP10"/>
    <mergeCell ref="PEQ10:PER10"/>
    <mergeCell ref="PDY10:PDZ10"/>
    <mergeCell ref="PEA10:PEB10"/>
    <mergeCell ref="PEC10:PED10"/>
    <mergeCell ref="PEE10:PEF10"/>
    <mergeCell ref="PEG10:PEH10"/>
    <mergeCell ref="PGQ10:PGR10"/>
    <mergeCell ref="PGS10:PGT10"/>
    <mergeCell ref="PGU10:PGV10"/>
    <mergeCell ref="PGW10:PGX10"/>
    <mergeCell ref="PGY10:PGZ10"/>
    <mergeCell ref="PGG10:PGH10"/>
    <mergeCell ref="PGI10:PGJ10"/>
    <mergeCell ref="PGK10:PGL10"/>
    <mergeCell ref="PGM10:PGN10"/>
    <mergeCell ref="PGO10:PGP10"/>
    <mergeCell ref="PFW10:PFX10"/>
    <mergeCell ref="PFY10:PFZ10"/>
    <mergeCell ref="PGA10:PGB10"/>
    <mergeCell ref="PGC10:PGD10"/>
    <mergeCell ref="PGE10:PGF10"/>
    <mergeCell ref="PFM10:PFN10"/>
    <mergeCell ref="PFO10:PFP10"/>
    <mergeCell ref="PFQ10:PFR10"/>
    <mergeCell ref="PFS10:PFT10"/>
    <mergeCell ref="PFU10:PFV10"/>
    <mergeCell ref="PIE10:PIF10"/>
    <mergeCell ref="PIG10:PIH10"/>
    <mergeCell ref="PII10:PIJ10"/>
    <mergeCell ref="PIK10:PIL10"/>
    <mergeCell ref="PIM10:PIN10"/>
    <mergeCell ref="PHU10:PHV10"/>
    <mergeCell ref="PHW10:PHX10"/>
    <mergeCell ref="PHY10:PHZ10"/>
    <mergeCell ref="PIA10:PIB10"/>
    <mergeCell ref="PIC10:PID10"/>
    <mergeCell ref="PHK10:PHL10"/>
    <mergeCell ref="PHM10:PHN10"/>
    <mergeCell ref="PHO10:PHP10"/>
    <mergeCell ref="PHQ10:PHR10"/>
    <mergeCell ref="PHS10:PHT10"/>
    <mergeCell ref="PHA10:PHB10"/>
    <mergeCell ref="PHC10:PHD10"/>
    <mergeCell ref="PHE10:PHF10"/>
    <mergeCell ref="PHG10:PHH10"/>
    <mergeCell ref="PHI10:PHJ10"/>
    <mergeCell ref="PJS10:PJT10"/>
    <mergeCell ref="PJU10:PJV10"/>
    <mergeCell ref="PJW10:PJX10"/>
    <mergeCell ref="PJY10:PJZ10"/>
    <mergeCell ref="PKA10:PKB10"/>
    <mergeCell ref="PJI10:PJJ10"/>
    <mergeCell ref="PJK10:PJL10"/>
    <mergeCell ref="PJM10:PJN10"/>
    <mergeCell ref="PJO10:PJP10"/>
    <mergeCell ref="PJQ10:PJR10"/>
    <mergeCell ref="PIY10:PIZ10"/>
    <mergeCell ref="PJA10:PJB10"/>
    <mergeCell ref="PJC10:PJD10"/>
    <mergeCell ref="PJE10:PJF10"/>
    <mergeCell ref="PJG10:PJH10"/>
    <mergeCell ref="PIO10:PIP10"/>
    <mergeCell ref="PIQ10:PIR10"/>
    <mergeCell ref="PIS10:PIT10"/>
    <mergeCell ref="PIU10:PIV10"/>
    <mergeCell ref="PIW10:PIX10"/>
    <mergeCell ref="PLG10:PLH10"/>
    <mergeCell ref="PLI10:PLJ10"/>
    <mergeCell ref="PLK10:PLL10"/>
    <mergeCell ref="PLM10:PLN10"/>
    <mergeCell ref="PLO10:PLP10"/>
    <mergeCell ref="PKW10:PKX10"/>
    <mergeCell ref="PKY10:PKZ10"/>
    <mergeCell ref="PLA10:PLB10"/>
    <mergeCell ref="PLC10:PLD10"/>
    <mergeCell ref="PLE10:PLF10"/>
    <mergeCell ref="PKM10:PKN10"/>
    <mergeCell ref="PKO10:PKP10"/>
    <mergeCell ref="PKQ10:PKR10"/>
    <mergeCell ref="PKS10:PKT10"/>
    <mergeCell ref="PKU10:PKV10"/>
    <mergeCell ref="PKC10:PKD10"/>
    <mergeCell ref="PKE10:PKF10"/>
    <mergeCell ref="PKG10:PKH10"/>
    <mergeCell ref="PKI10:PKJ10"/>
    <mergeCell ref="PKK10:PKL10"/>
    <mergeCell ref="PMU10:PMV10"/>
    <mergeCell ref="PMW10:PMX10"/>
    <mergeCell ref="PMY10:PMZ10"/>
    <mergeCell ref="PNA10:PNB10"/>
    <mergeCell ref="PNC10:PND10"/>
    <mergeCell ref="PMK10:PML10"/>
    <mergeCell ref="PMM10:PMN10"/>
    <mergeCell ref="PMO10:PMP10"/>
    <mergeCell ref="PMQ10:PMR10"/>
    <mergeCell ref="PMS10:PMT10"/>
    <mergeCell ref="PMA10:PMB10"/>
    <mergeCell ref="PMC10:PMD10"/>
    <mergeCell ref="PME10:PMF10"/>
    <mergeCell ref="PMG10:PMH10"/>
    <mergeCell ref="PMI10:PMJ10"/>
    <mergeCell ref="PLQ10:PLR10"/>
    <mergeCell ref="PLS10:PLT10"/>
    <mergeCell ref="PLU10:PLV10"/>
    <mergeCell ref="PLW10:PLX10"/>
    <mergeCell ref="PLY10:PLZ10"/>
    <mergeCell ref="POI10:POJ10"/>
    <mergeCell ref="POK10:POL10"/>
    <mergeCell ref="POM10:PON10"/>
    <mergeCell ref="POO10:POP10"/>
    <mergeCell ref="POQ10:POR10"/>
    <mergeCell ref="PNY10:PNZ10"/>
    <mergeCell ref="POA10:POB10"/>
    <mergeCell ref="POC10:POD10"/>
    <mergeCell ref="POE10:POF10"/>
    <mergeCell ref="POG10:POH10"/>
    <mergeCell ref="PNO10:PNP10"/>
    <mergeCell ref="PNQ10:PNR10"/>
    <mergeCell ref="PNS10:PNT10"/>
    <mergeCell ref="PNU10:PNV10"/>
    <mergeCell ref="PNW10:PNX10"/>
    <mergeCell ref="PNE10:PNF10"/>
    <mergeCell ref="PNG10:PNH10"/>
    <mergeCell ref="PNI10:PNJ10"/>
    <mergeCell ref="PNK10:PNL10"/>
    <mergeCell ref="PNM10:PNN10"/>
    <mergeCell ref="PPW10:PPX10"/>
    <mergeCell ref="PPY10:PPZ10"/>
    <mergeCell ref="PQA10:PQB10"/>
    <mergeCell ref="PQC10:PQD10"/>
    <mergeCell ref="PQE10:PQF10"/>
    <mergeCell ref="PPM10:PPN10"/>
    <mergeCell ref="PPO10:PPP10"/>
    <mergeCell ref="PPQ10:PPR10"/>
    <mergeCell ref="PPS10:PPT10"/>
    <mergeCell ref="PPU10:PPV10"/>
    <mergeCell ref="PPC10:PPD10"/>
    <mergeCell ref="PPE10:PPF10"/>
    <mergeCell ref="PPG10:PPH10"/>
    <mergeCell ref="PPI10:PPJ10"/>
    <mergeCell ref="PPK10:PPL10"/>
    <mergeCell ref="POS10:POT10"/>
    <mergeCell ref="POU10:POV10"/>
    <mergeCell ref="POW10:POX10"/>
    <mergeCell ref="POY10:POZ10"/>
    <mergeCell ref="PPA10:PPB10"/>
    <mergeCell ref="PRK10:PRL10"/>
    <mergeCell ref="PRM10:PRN10"/>
    <mergeCell ref="PRO10:PRP10"/>
    <mergeCell ref="PRQ10:PRR10"/>
    <mergeCell ref="PRS10:PRT10"/>
    <mergeCell ref="PRA10:PRB10"/>
    <mergeCell ref="PRC10:PRD10"/>
    <mergeCell ref="PRE10:PRF10"/>
    <mergeCell ref="PRG10:PRH10"/>
    <mergeCell ref="PRI10:PRJ10"/>
    <mergeCell ref="PQQ10:PQR10"/>
    <mergeCell ref="PQS10:PQT10"/>
    <mergeCell ref="PQU10:PQV10"/>
    <mergeCell ref="PQW10:PQX10"/>
    <mergeCell ref="PQY10:PQZ10"/>
    <mergeCell ref="PQG10:PQH10"/>
    <mergeCell ref="PQI10:PQJ10"/>
    <mergeCell ref="PQK10:PQL10"/>
    <mergeCell ref="PQM10:PQN10"/>
    <mergeCell ref="PQO10:PQP10"/>
    <mergeCell ref="PSY10:PSZ10"/>
    <mergeCell ref="PTA10:PTB10"/>
    <mergeCell ref="PTC10:PTD10"/>
    <mergeCell ref="PTE10:PTF10"/>
    <mergeCell ref="PTG10:PTH10"/>
    <mergeCell ref="PSO10:PSP10"/>
    <mergeCell ref="PSQ10:PSR10"/>
    <mergeCell ref="PSS10:PST10"/>
    <mergeCell ref="PSU10:PSV10"/>
    <mergeCell ref="PSW10:PSX10"/>
    <mergeCell ref="PSE10:PSF10"/>
    <mergeCell ref="PSG10:PSH10"/>
    <mergeCell ref="PSI10:PSJ10"/>
    <mergeCell ref="PSK10:PSL10"/>
    <mergeCell ref="PSM10:PSN10"/>
    <mergeCell ref="PRU10:PRV10"/>
    <mergeCell ref="PRW10:PRX10"/>
    <mergeCell ref="PRY10:PRZ10"/>
    <mergeCell ref="PSA10:PSB10"/>
    <mergeCell ref="PSC10:PSD10"/>
    <mergeCell ref="PUM10:PUN10"/>
    <mergeCell ref="PUO10:PUP10"/>
    <mergeCell ref="PUQ10:PUR10"/>
    <mergeCell ref="PUS10:PUT10"/>
    <mergeCell ref="PUU10:PUV10"/>
    <mergeCell ref="PUC10:PUD10"/>
    <mergeCell ref="PUE10:PUF10"/>
    <mergeCell ref="PUG10:PUH10"/>
    <mergeCell ref="PUI10:PUJ10"/>
    <mergeCell ref="PUK10:PUL10"/>
    <mergeCell ref="PTS10:PTT10"/>
    <mergeCell ref="PTU10:PTV10"/>
    <mergeCell ref="PTW10:PTX10"/>
    <mergeCell ref="PTY10:PTZ10"/>
    <mergeCell ref="PUA10:PUB10"/>
    <mergeCell ref="PTI10:PTJ10"/>
    <mergeCell ref="PTK10:PTL10"/>
    <mergeCell ref="PTM10:PTN10"/>
    <mergeCell ref="PTO10:PTP10"/>
    <mergeCell ref="PTQ10:PTR10"/>
    <mergeCell ref="PWA10:PWB10"/>
    <mergeCell ref="PWC10:PWD10"/>
    <mergeCell ref="PWE10:PWF10"/>
    <mergeCell ref="PWG10:PWH10"/>
    <mergeCell ref="PWI10:PWJ10"/>
    <mergeCell ref="PVQ10:PVR10"/>
    <mergeCell ref="PVS10:PVT10"/>
    <mergeCell ref="PVU10:PVV10"/>
    <mergeCell ref="PVW10:PVX10"/>
    <mergeCell ref="PVY10:PVZ10"/>
    <mergeCell ref="PVG10:PVH10"/>
    <mergeCell ref="PVI10:PVJ10"/>
    <mergeCell ref="PVK10:PVL10"/>
    <mergeCell ref="PVM10:PVN10"/>
    <mergeCell ref="PVO10:PVP10"/>
    <mergeCell ref="PUW10:PUX10"/>
    <mergeCell ref="PUY10:PUZ10"/>
    <mergeCell ref="PVA10:PVB10"/>
    <mergeCell ref="PVC10:PVD10"/>
    <mergeCell ref="PVE10:PVF10"/>
    <mergeCell ref="PXO10:PXP10"/>
    <mergeCell ref="PXQ10:PXR10"/>
    <mergeCell ref="PXS10:PXT10"/>
    <mergeCell ref="PXU10:PXV10"/>
    <mergeCell ref="PXW10:PXX10"/>
    <mergeCell ref="PXE10:PXF10"/>
    <mergeCell ref="PXG10:PXH10"/>
    <mergeCell ref="PXI10:PXJ10"/>
    <mergeCell ref="PXK10:PXL10"/>
    <mergeCell ref="PXM10:PXN10"/>
    <mergeCell ref="PWU10:PWV10"/>
    <mergeCell ref="PWW10:PWX10"/>
    <mergeCell ref="PWY10:PWZ10"/>
    <mergeCell ref="PXA10:PXB10"/>
    <mergeCell ref="PXC10:PXD10"/>
    <mergeCell ref="PWK10:PWL10"/>
    <mergeCell ref="PWM10:PWN10"/>
    <mergeCell ref="PWO10:PWP10"/>
    <mergeCell ref="PWQ10:PWR10"/>
    <mergeCell ref="PWS10:PWT10"/>
    <mergeCell ref="PZC10:PZD10"/>
    <mergeCell ref="PZE10:PZF10"/>
    <mergeCell ref="PZG10:PZH10"/>
    <mergeCell ref="PZI10:PZJ10"/>
    <mergeCell ref="PZK10:PZL10"/>
    <mergeCell ref="PYS10:PYT10"/>
    <mergeCell ref="PYU10:PYV10"/>
    <mergeCell ref="PYW10:PYX10"/>
    <mergeCell ref="PYY10:PYZ10"/>
    <mergeCell ref="PZA10:PZB10"/>
    <mergeCell ref="PYI10:PYJ10"/>
    <mergeCell ref="PYK10:PYL10"/>
    <mergeCell ref="PYM10:PYN10"/>
    <mergeCell ref="PYO10:PYP10"/>
    <mergeCell ref="PYQ10:PYR10"/>
    <mergeCell ref="PXY10:PXZ10"/>
    <mergeCell ref="PYA10:PYB10"/>
    <mergeCell ref="PYC10:PYD10"/>
    <mergeCell ref="PYE10:PYF10"/>
    <mergeCell ref="PYG10:PYH10"/>
    <mergeCell ref="QAQ10:QAR10"/>
    <mergeCell ref="QAS10:QAT10"/>
    <mergeCell ref="QAU10:QAV10"/>
    <mergeCell ref="QAW10:QAX10"/>
    <mergeCell ref="QAY10:QAZ10"/>
    <mergeCell ref="QAG10:QAH10"/>
    <mergeCell ref="QAI10:QAJ10"/>
    <mergeCell ref="QAK10:QAL10"/>
    <mergeCell ref="QAM10:QAN10"/>
    <mergeCell ref="QAO10:QAP10"/>
    <mergeCell ref="PZW10:PZX10"/>
    <mergeCell ref="PZY10:PZZ10"/>
    <mergeCell ref="QAA10:QAB10"/>
    <mergeCell ref="QAC10:QAD10"/>
    <mergeCell ref="QAE10:QAF10"/>
    <mergeCell ref="PZM10:PZN10"/>
    <mergeCell ref="PZO10:PZP10"/>
    <mergeCell ref="PZQ10:PZR10"/>
    <mergeCell ref="PZS10:PZT10"/>
    <mergeCell ref="PZU10:PZV10"/>
    <mergeCell ref="QCE10:QCF10"/>
    <mergeCell ref="QCG10:QCH10"/>
    <mergeCell ref="QCI10:QCJ10"/>
    <mergeCell ref="QCK10:QCL10"/>
    <mergeCell ref="QCM10:QCN10"/>
    <mergeCell ref="QBU10:QBV10"/>
    <mergeCell ref="QBW10:QBX10"/>
    <mergeCell ref="QBY10:QBZ10"/>
    <mergeCell ref="QCA10:QCB10"/>
    <mergeCell ref="QCC10:QCD10"/>
    <mergeCell ref="QBK10:QBL10"/>
    <mergeCell ref="QBM10:QBN10"/>
    <mergeCell ref="QBO10:QBP10"/>
    <mergeCell ref="QBQ10:QBR10"/>
    <mergeCell ref="QBS10:QBT10"/>
    <mergeCell ref="QBA10:QBB10"/>
    <mergeCell ref="QBC10:QBD10"/>
    <mergeCell ref="QBE10:QBF10"/>
    <mergeCell ref="QBG10:QBH10"/>
    <mergeCell ref="QBI10:QBJ10"/>
    <mergeCell ref="QDS10:QDT10"/>
    <mergeCell ref="QDU10:QDV10"/>
    <mergeCell ref="QDW10:QDX10"/>
    <mergeCell ref="QDY10:QDZ10"/>
    <mergeCell ref="QEA10:QEB10"/>
    <mergeCell ref="QDI10:QDJ10"/>
    <mergeCell ref="QDK10:QDL10"/>
    <mergeCell ref="QDM10:QDN10"/>
    <mergeCell ref="QDO10:QDP10"/>
    <mergeCell ref="QDQ10:QDR10"/>
    <mergeCell ref="QCY10:QCZ10"/>
    <mergeCell ref="QDA10:QDB10"/>
    <mergeCell ref="QDC10:QDD10"/>
    <mergeCell ref="QDE10:QDF10"/>
    <mergeCell ref="QDG10:QDH10"/>
    <mergeCell ref="QCO10:QCP10"/>
    <mergeCell ref="QCQ10:QCR10"/>
    <mergeCell ref="QCS10:QCT10"/>
    <mergeCell ref="QCU10:QCV10"/>
    <mergeCell ref="QCW10:QCX10"/>
    <mergeCell ref="QFG10:QFH10"/>
    <mergeCell ref="QFI10:QFJ10"/>
    <mergeCell ref="QFK10:QFL10"/>
    <mergeCell ref="QFM10:QFN10"/>
    <mergeCell ref="QFO10:QFP10"/>
    <mergeCell ref="QEW10:QEX10"/>
    <mergeCell ref="QEY10:QEZ10"/>
    <mergeCell ref="QFA10:QFB10"/>
    <mergeCell ref="QFC10:QFD10"/>
    <mergeCell ref="QFE10:QFF10"/>
    <mergeCell ref="QEM10:QEN10"/>
    <mergeCell ref="QEO10:QEP10"/>
    <mergeCell ref="QEQ10:QER10"/>
    <mergeCell ref="QES10:QET10"/>
    <mergeCell ref="QEU10:QEV10"/>
    <mergeCell ref="QEC10:QED10"/>
    <mergeCell ref="QEE10:QEF10"/>
    <mergeCell ref="QEG10:QEH10"/>
    <mergeCell ref="QEI10:QEJ10"/>
    <mergeCell ref="QEK10:QEL10"/>
    <mergeCell ref="QGU10:QGV10"/>
    <mergeCell ref="QGW10:QGX10"/>
    <mergeCell ref="QGY10:QGZ10"/>
    <mergeCell ref="QHA10:QHB10"/>
    <mergeCell ref="QHC10:QHD10"/>
    <mergeCell ref="QGK10:QGL10"/>
    <mergeCell ref="QGM10:QGN10"/>
    <mergeCell ref="QGO10:QGP10"/>
    <mergeCell ref="QGQ10:QGR10"/>
    <mergeCell ref="QGS10:QGT10"/>
    <mergeCell ref="QGA10:QGB10"/>
    <mergeCell ref="QGC10:QGD10"/>
    <mergeCell ref="QGE10:QGF10"/>
    <mergeCell ref="QGG10:QGH10"/>
    <mergeCell ref="QGI10:QGJ10"/>
    <mergeCell ref="QFQ10:QFR10"/>
    <mergeCell ref="QFS10:QFT10"/>
    <mergeCell ref="QFU10:QFV10"/>
    <mergeCell ref="QFW10:QFX10"/>
    <mergeCell ref="QFY10:QFZ10"/>
    <mergeCell ref="QII10:QIJ10"/>
    <mergeCell ref="QIK10:QIL10"/>
    <mergeCell ref="QIM10:QIN10"/>
    <mergeCell ref="QIO10:QIP10"/>
    <mergeCell ref="QIQ10:QIR10"/>
    <mergeCell ref="QHY10:QHZ10"/>
    <mergeCell ref="QIA10:QIB10"/>
    <mergeCell ref="QIC10:QID10"/>
    <mergeCell ref="QIE10:QIF10"/>
    <mergeCell ref="QIG10:QIH10"/>
    <mergeCell ref="QHO10:QHP10"/>
    <mergeCell ref="QHQ10:QHR10"/>
    <mergeCell ref="QHS10:QHT10"/>
    <mergeCell ref="QHU10:QHV10"/>
    <mergeCell ref="QHW10:QHX10"/>
    <mergeCell ref="QHE10:QHF10"/>
    <mergeCell ref="QHG10:QHH10"/>
    <mergeCell ref="QHI10:QHJ10"/>
    <mergeCell ref="QHK10:QHL10"/>
    <mergeCell ref="QHM10:QHN10"/>
    <mergeCell ref="QJW10:QJX10"/>
    <mergeCell ref="QJY10:QJZ10"/>
    <mergeCell ref="QKA10:QKB10"/>
    <mergeCell ref="QKC10:QKD10"/>
    <mergeCell ref="QKE10:QKF10"/>
    <mergeCell ref="QJM10:QJN10"/>
    <mergeCell ref="QJO10:QJP10"/>
    <mergeCell ref="QJQ10:QJR10"/>
    <mergeCell ref="QJS10:QJT10"/>
    <mergeCell ref="QJU10:QJV10"/>
    <mergeCell ref="QJC10:QJD10"/>
    <mergeCell ref="QJE10:QJF10"/>
    <mergeCell ref="QJG10:QJH10"/>
    <mergeCell ref="QJI10:QJJ10"/>
    <mergeCell ref="QJK10:QJL10"/>
    <mergeCell ref="QIS10:QIT10"/>
    <mergeCell ref="QIU10:QIV10"/>
    <mergeCell ref="QIW10:QIX10"/>
    <mergeCell ref="QIY10:QIZ10"/>
    <mergeCell ref="QJA10:QJB10"/>
    <mergeCell ref="QLK10:QLL10"/>
    <mergeCell ref="QLM10:QLN10"/>
    <mergeCell ref="QLO10:QLP10"/>
    <mergeCell ref="QLQ10:QLR10"/>
    <mergeCell ref="QLS10:QLT10"/>
    <mergeCell ref="QLA10:QLB10"/>
    <mergeCell ref="QLC10:QLD10"/>
    <mergeCell ref="QLE10:QLF10"/>
    <mergeCell ref="QLG10:QLH10"/>
    <mergeCell ref="QLI10:QLJ10"/>
    <mergeCell ref="QKQ10:QKR10"/>
    <mergeCell ref="QKS10:QKT10"/>
    <mergeCell ref="QKU10:QKV10"/>
    <mergeCell ref="QKW10:QKX10"/>
    <mergeCell ref="QKY10:QKZ10"/>
    <mergeCell ref="QKG10:QKH10"/>
    <mergeCell ref="QKI10:QKJ10"/>
    <mergeCell ref="QKK10:QKL10"/>
    <mergeCell ref="QKM10:QKN10"/>
    <mergeCell ref="QKO10:QKP10"/>
    <mergeCell ref="QMY10:QMZ10"/>
    <mergeCell ref="QNA10:QNB10"/>
    <mergeCell ref="QNC10:QND10"/>
    <mergeCell ref="QNE10:QNF10"/>
    <mergeCell ref="QNG10:QNH10"/>
    <mergeCell ref="QMO10:QMP10"/>
    <mergeCell ref="QMQ10:QMR10"/>
    <mergeCell ref="QMS10:QMT10"/>
    <mergeCell ref="QMU10:QMV10"/>
    <mergeCell ref="QMW10:QMX10"/>
    <mergeCell ref="QME10:QMF10"/>
    <mergeCell ref="QMG10:QMH10"/>
    <mergeCell ref="QMI10:QMJ10"/>
    <mergeCell ref="QMK10:QML10"/>
    <mergeCell ref="QMM10:QMN10"/>
    <mergeCell ref="QLU10:QLV10"/>
    <mergeCell ref="QLW10:QLX10"/>
    <mergeCell ref="QLY10:QLZ10"/>
    <mergeCell ref="QMA10:QMB10"/>
    <mergeCell ref="QMC10:QMD10"/>
    <mergeCell ref="QOM10:QON10"/>
    <mergeCell ref="QOO10:QOP10"/>
    <mergeCell ref="QOQ10:QOR10"/>
    <mergeCell ref="QOS10:QOT10"/>
    <mergeCell ref="QOU10:QOV10"/>
    <mergeCell ref="QOC10:QOD10"/>
    <mergeCell ref="QOE10:QOF10"/>
    <mergeCell ref="QOG10:QOH10"/>
    <mergeCell ref="QOI10:QOJ10"/>
    <mergeCell ref="QOK10:QOL10"/>
    <mergeCell ref="QNS10:QNT10"/>
    <mergeCell ref="QNU10:QNV10"/>
    <mergeCell ref="QNW10:QNX10"/>
    <mergeCell ref="QNY10:QNZ10"/>
    <mergeCell ref="QOA10:QOB10"/>
    <mergeCell ref="QNI10:QNJ10"/>
    <mergeCell ref="QNK10:QNL10"/>
    <mergeCell ref="QNM10:QNN10"/>
    <mergeCell ref="QNO10:QNP10"/>
    <mergeCell ref="QNQ10:QNR10"/>
    <mergeCell ref="QQA10:QQB10"/>
    <mergeCell ref="QQC10:QQD10"/>
    <mergeCell ref="QQE10:QQF10"/>
    <mergeCell ref="QQG10:QQH10"/>
    <mergeCell ref="QQI10:QQJ10"/>
    <mergeCell ref="QPQ10:QPR10"/>
    <mergeCell ref="QPS10:QPT10"/>
    <mergeCell ref="QPU10:QPV10"/>
    <mergeCell ref="QPW10:QPX10"/>
    <mergeCell ref="QPY10:QPZ10"/>
    <mergeCell ref="QPG10:QPH10"/>
    <mergeCell ref="QPI10:QPJ10"/>
    <mergeCell ref="QPK10:QPL10"/>
    <mergeCell ref="QPM10:QPN10"/>
    <mergeCell ref="QPO10:QPP10"/>
    <mergeCell ref="QOW10:QOX10"/>
    <mergeCell ref="QOY10:QOZ10"/>
    <mergeCell ref="QPA10:QPB10"/>
    <mergeCell ref="QPC10:QPD10"/>
    <mergeCell ref="QPE10:QPF10"/>
    <mergeCell ref="QRO10:QRP10"/>
    <mergeCell ref="QRQ10:QRR10"/>
    <mergeCell ref="QRS10:QRT10"/>
    <mergeCell ref="QRU10:QRV10"/>
    <mergeCell ref="QRW10:QRX10"/>
    <mergeCell ref="QRE10:QRF10"/>
    <mergeCell ref="QRG10:QRH10"/>
    <mergeCell ref="QRI10:QRJ10"/>
    <mergeCell ref="QRK10:QRL10"/>
    <mergeCell ref="QRM10:QRN10"/>
    <mergeCell ref="QQU10:QQV10"/>
    <mergeCell ref="QQW10:QQX10"/>
    <mergeCell ref="QQY10:QQZ10"/>
    <mergeCell ref="QRA10:QRB10"/>
    <mergeCell ref="QRC10:QRD10"/>
    <mergeCell ref="QQK10:QQL10"/>
    <mergeCell ref="QQM10:QQN10"/>
    <mergeCell ref="QQO10:QQP10"/>
    <mergeCell ref="QQQ10:QQR10"/>
    <mergeCell ref="QQS10:QQT10"/>
    <mergeCell ref="QTC10:QTD10"/>
    <mergeCell ref="QTE10:QTF10"/>
    <mergeCell ref="QTG10:QTH10"/>
    <mergeCell ref="QTI10:QTJ10"/>
    <mergeCell ref="QTK10:QTL10"/>
    <mergeCell ref="QSS10:QST10"/>
    <mergeCell ref="QSU10:QSV10"/>
    <mergeCell ref="QSW10:QSX10"/>
    <mergeCell ref="QSY10:QSZ10"/>
    <mergeCell ref="QTA10:QTB10"/>
    <mergeCell ref="QSI10:QSJ10"/>
    <mergeCell ref="QSK10:QSL10"/>
    <mergeCell ref="QSM10:QSN10"/>
    <mergeCell ref="QSO10:QSP10"/>
    <mergeCell ref="QSQ10:QSR10"/>
    <mergeCell ref="QRY10:QRZ10"/>
    <mergeCell ref="QSA10:QSB10"/>
    <mergeCell ref="QSC10:QSD10"/>
    <mergeCell ref="QSE10:QSF10"/>
    <mergeCell ref="QSG10:QSH10"/>
    <mergeCell ref="QUQ10:QUR10"/>
    <mergeCell ref="QUS10:QUT10"/>
    <mergeCell ref="QUU10:QUV10"/>
    <mergeCell ref="QUW10:QUX10"/>
    <mergeCell ref="QUY10:QUZ10"/>
    <mergeCell ref="QUG10:QUH10"/>
    <mergeCell ref="QUI10:QUJ10"/>
    <mergeCell ref="QUK10:QUL10"/>
    <mergeCell ref="QUM10:QUN10"/>
    <mergeCell ref="QUO10:QUP10"/>
    <mergeCell ref="QTW10:QTX10"/>
    <mergeCell ref="QTY10:QTZ10"/>
    <mergeCell ref="QUA10:QUB10"/>
    <mergeCell ref="QUC10:QUD10"/>
    <mergeCell ref="QUE10:QUF10"/>
    <mergeCell ref="QTM10:QTN10"/>
    <mergeCell ref="QTO10:QTP10"/>
    <mergeCell ref="QTQ10:QTR10"/>
    <mergeCell ref="QTS10:QTT10"/>
    <mergeCell ref="QTU10:QTV10"/>
    <mergeCell ref="QWE10:QWF10"/>
    <mergeCell ref="QWG10:QWH10"/>
    <mergeCell ref="QWI10:QWJ10"/>
    <mergeCell ref="QWK10:QWL10"/>
    <mergeCell ref="QWM10:QWN10"/>
    <mergeCell ref="QVU10:QVV10"/>
    <mergeCell ref="QVW10:QVX10"/>
    <mergeCell ref="QVY10:QVZ10"/>
    <mergeCell ref="QWA10:QWB10"/>
    <mergeCell ref="QWC10:QWD10"/>
    <mergeCell ref="QVK10:QVL10"/>
    <mergeCell ref="QVM10:QVN10"/>
    <mergeCell ref="QVO10:QVP10"/>
    <mergeCell ref="QVQ10:QVR10"/>
    <mergeCell ref="QVS10:QVT10"/>
    <mergeCell ref="QVA10:QVB10"/>
    <mergeCell ref="QVC10:QVD10"/>
    <mergeCell ref="QVE10:QVF10"/>
    <mergeCell ref="QVG10:QVH10"/>
    <mergeCell ref="QVI10:QVJ10"/>
    <mergeCell ref="QXS10:QXT10"/>
    <mergeCell ref="QXU10:QXV10"/>
    <mergeCell ref="QXW10:QXX10"/>
    <mergeCell ref="QXY10:QXZ10"/>
    <mergeCell ref="QYA10:QYB10"/>
    <mergeCell ref="QXI10:QXJ10"/>
    <mergeCell ref="QXK10:QXL10"/>
    <mergeCell ref="QXM10:QXN10"/>
    <mergeCell ref="QXO10:QXP10"/>
    <mergeCell ref="QXQ10:QXR10"/>
    <mergeCell ref="QWY10:QWZ10"/>
    <mergeCell ref="QXA10:QXB10"/>
    <mergeCell ref="QXC10:QXD10"/>
    <mergeCell ref="QXE10:QXF10"/>
    <mergeCell ref="QXG10:QXH10"/>
    <mergeCell ref="QWO10:QWP10"/>
    <mergeCell ref="QWQ10:QWR10"/>
    <mergeCell ref="QWS10:QWT10"/>
    <mergeCell ref="QWU10:QWV10"/>
    <mergeCell ref="QWW10:QWX10"/>
    <mergeCell ref="QZG10:QZH10"/>
    <mergeCell ref="QZI10:QZJ10"/>
    <mergeCell ref="QZK10:QZL10"/>
    <mergeCell ref="QZM10:QZN10"/>
    <mergeCell ref="QZO10:QZP10"/>
    <mergeCell ref="QYW10:QYX10"/>
    <mergeCell ref="QYY10:QYZ10"/>
    <mergeCell ref="QZA10:QZB10"/>
    <mergeCell ref="QZC10:QZD10"/>
    <mergeCell ref="QZE10:QZF10"/>
    <mergeCell ref="QYM10:QYN10"/>
    <mergeCell ref="QYO10:QYP10"/>
    <mergeCell ref="QYQ10:QYR10"/>
    <mergeCell ref="QYS10:QYT10"/>
    <mergeCell ref="QYU10:QYV10"/>
    <mergeCell ref="QYC10:QYD10"/>
    <mergeCell ref="QYE10:QYF10"/>
    <mergeCell ref="QYG10:QYH10"/>
    <mergeCell ref="QYI10:QYJ10"/>
    <mergeCell ref="QYK10:QYL10"/>
    <mergeCell ref="RAU10:RAV10"/>
    <mergeCell ref="RAW10:RAX10"/>
    <mergeCell ref="RAY10:RAZ10"/>
    <mergeCell ref="RBA10:RBB10"/>
    <mergeCell ref="RBC10:RBD10"/>
    <mergeCell ref="RAK10:RAL10"/>
    <mergeCell ref="RAM10:RAN10"/>
    <mergeCell ref="RAO10:RAP10"/>
    <mergeCell ref="RAQ10:RAR10"/>
    <mergeCell ref="RAS10:RAT10"/>
    <mergeCell ref="RAA10:RAB10"/>
    <mergeCell ref="RAC10:RAD10"/>
    <mergeCell ref="RAE10:RAF10"/>
    <mergeCell ref="RAG10:RAH10"/>
    <mergeCell ref="RAI10:RAJ10"/>
    <mergeCell ref="QZQ10:QZR10"/>
    <mergeCell ref="QZS10:QZT10"/>
    <mergeCell ref="QZU10:QZV10"/>
    <mergeCell ref="QZW10:QZX10"/>
    <mergeCell ref="QZY10:QZZ10"/>
    <mergeCell ref="RCI10:RCJ10"/>
    <mergeCell ref="RCK10:RCL10"/>
    <mergeCell ref="RCM10:RCN10"/>
    <mergeCell ref="RCO10:RCP10"/>
    <mergeCell ref="RCQ10:RCR10"/>
    <mergeCell ref="RBY10:RBZ10"/>
    <mergeCell ref="RCA10:RCB10"/>
    <mergeCell ref="RCC10:RCD10"/>
    <mergeCell ref="RCE10:RCF10"/>
    <mergeCell ref="RCG10:RCH10"/>
    <mergeCell ref="RBO10:RBP10"/>
    <mergeCell ref="RBQ10:RBR10"/>
    <mergeCell ref="RBS10:RBT10"/>
    <mergeCell ref="RBU10:RBV10"/>
    <mergeCell ref="RBW10:RBX10"/>
    <mergeCell ref="RBE10:RBF10"/>
    <mergeCell ref="RBG10:RBH10"/>
    <mergeCell ref="RBI10:RBJ10"/>
    <mergeCell ref="RBK10:RBL10"/>
    <mergeCell ref="RBM10:RBN10"/>
    <mergeCell ref="RDW10:RDX10"/>
    <mergeCell ref="RDY10:RDZ10"/>
    <mergeCell ref="REA10:REB10"/>
    <mergeCell ref="REC10:RED10"/>
    <mergeCell ref="REE10:REF10"/>
    <mergeCell ref="RDM10:RDN10"/>
    <mergeCell ref="RDO10:RDP10"/>
    <mergeCell ref="RDQ10:RDR10"/>
    <mergeCell ref="RDS10:RDT10"/>
    <mergeCell ref="RDU10:RDV10"/>
    <mergeCell ref="RDC10:RDD10"/>
    <mergeCell ref="RDE10:RDF10"/>
    <mergeCell ref="RDG10:RDH10"/>
    <mergeCell ref="RDI10:RDJ10"/>
    <mergeCell ref="RDK10:RDL10"/>
    <mergeCell ref="RCS10:RCT10"/>
    <mergeCell ref="RCU10:RCV10"/>
    <mergeCell ref="RCW10:RCX10"/>
    <mergeCell ref="RCY10:RCZ10"/>
    <mergeCell ref="RDA10:RDB10"/>
    <mergeCell ref="RFK10:RFL10"/>
    <mergeCell ref="RFM10:RFN10"/>
    <mergeCell ref="RFO10:RFP10"/>
    <mergeCell ref="RFQ10:RFR10"/>
    <mergeCell ref="RFS10:RFT10"/>
    <mergeCell ref="RFA10:RFB10"/>
    <mergeCell ref="RFC10:RFD10"/>
    <mergeCell ref="RFE10:RFF10"/>
    <mergeCell ref="RFG10:RFH10"/>
    <mergeCell ref="RFI10:RFJ10"/>
    <mergeCell ref="REQ10:RER10"/>
    <mergeCell ref="RES10:RET10"/>
    <mergeCell ref="REU10:REV10"/>
    <mergeCell ref="REW10:REX10"/>
    <mergeCell ref="REY10:REZ10"/>
    <mergeCell ref="REG10:REH10"/>
    <mergeCell ref="REI10:REJ10"/>
    <mergeCell ref="REK10:REL10"/>
    <mergeCell ref="REM10:REN10"/>
    <mergeCell ref="REO10:REP10"/>
    <mergeCell ref="RGY10:RGZ10"/>
    <mergeCell ref="RHA10:RHB10"/>
    <mergeCell ref="RHC10:RHD10"/>
    <mergeCell ref="RHE10:RHF10"/>
    <mergeCell ref="RHG10:RHH10"/>
    <mergeCell ref="RGO10:RGP10"/>
    <mergeCell ref="RGQ10:RGR10"/>
    <mergeCell ref="RGS10:RGT10"/>
    <mergeCell ref="RGU10:RGV10"/>
    <mergeCell ref="RGW10:RGX10"/>
    <mergeCell ref="RGE10:RGF10"/>
    <mergeCell ref="RGG10:RGH10"/>
    <mergeCell ref="RGI10:RGJ10"/>
    <mergeCell ref="RGK10:RGL10"/>
    <mergeCell ref="RGM10:RGN10"/>
    <mergeCell ref="RFU10:RFV10"/>
    <mergeCell ref="RFW10:RFX10"/>
    <mergeCell ref="RFY10:RFZ10"/>
    <mergeCell ref="RGA10:RGB10"/>
    <mergeCell ref="RGC10:RGD10"/>
    <mergeCell ref="RIM10:RIN10"/>
    <mergeCell ref="RIO10:RIP10"/>
    <mergeCell ref="RIQ10:RIR10"/>
    <mergeCell ref="RIS10:RIT10"/>
    <mergeCell ref="RIU10:RIV10"/>
    <mergeCell ref="RIC10:RID10"/>
    <mergeCell ref="RIE10:RIF10"/>
    <mergeCell ref="RIG10:RIH10"/>
    <mergeCell ref="RII10:RIJ10"/>
    <mergeCell ref="RIK10:RIL10"/>
    <mergeCell ref="RHS10:RHT10"/>
    <mergeCell ref="RHU10:RHV10"/>
    <mergeCell ref="RHW10:RHX10"/>
    <mergeCell ref="RHY10:RHZ10"/>
    <mergeCell ref="RIA10:RIB10"/>
    <mergeCell ref="RHI10:RHJ10"/>
    <mergeCell ref="RHK10:RHL10"/>
    <mergeCell ref="RHM10:RHN10"/>
    <mergeCell ref="RHO10:RHP10"/>
    <mergeCell ref="RHQ10:RHR10"/>
    <mergeCell ref="RKA10:RKB10"/>
    <mergeCell ref="RKC10:RKD10"/>
    <mergeCell ref="RKE10:RKF10"/>
    <mergeCell ref="RKG10:RKH10"/>
    <mergeCell ref="RKI10:RKJ10"/>
    <mergeCell ref="RJQ10:RJR10"/>
    <mergeCell ref="RJS10:RJT10"/>
    <mergeCell ref="RJU10:RJV10"/>
    <mergeCell ref="RJW10:RJX10"/>
    <mergeCell ref="RJY10:RJZ10"/>
    <mergeCell ref="RJG10:RJH10"/>
    <mergeCell ref="RJI10:RJJ10"/>
    <mergeCell ref="RJK10:RJL10"/>
    <mergeCell ref="RJM10:RJN10"/>
    <mergeCell ref="RJO10:RJP10"/>
    <mergeCell ref="RIW10:RIX10"/>
    <mergeCell ref="RIY10:RIZ10"/>
    <mergeCell ref="RJA10:RJB10"/>
    <mergeCell ref="RJC10:RJD10"/>
    <mergeCell ref="RJE10:RJF10"/>
    <mergeCell ref="RLO10:RLP10"/>
    <mergeCell ref="RLQ10:RLR10"/>
    <mergeCell ref="RLS10:RLT10"/>
    <mergeCell ref="RLU10:RLV10"/>
    <mergeCell ref="RLW10:RLX10"/>
    <mergeCell ref="RLE10:RLF10"/>
    <mergeCell ref="RLG10:RLH10"/>
    <mergeCell ref="RLI10:RLJ10"/>
    <mergeCell ref="RLK10:RLL10"/>
    <mergeCell ref="RLM10:RLN10"/>
    <mergeCell ref="RKU10:RKV10"/>
    <mergeCell ref="RKW10:RKX10"/>
    <mergeCell ref="RKY10:RKZ10"/>
    <mergeCell ref="RLA10:RLB10"/>
    <mergeCell ref="RLC10:RLD10"/>
    <mergeCell ref="RKK10:RKL10"/>
    <mergeCell ref="RKM10:RKN10"/>
    <mergeCell ref="RKO10:RKP10"/>
    <mergeCell ref="RKQ10:RKR10"/>
    <mergeCell ref="RKS10:RKT10"/>
    <mergeCell ref="RNC10:RND10"/>
    <mergeCell ref="RNE10:RNF10"/>
    <mergeCell ref="RNG10:RNH10"/>
    <mergeCell ref="RNI10:RNJ10"/>
    <mergeCell ref="RNK10:RNL10"/>
    <mergeCell ref="RMS10:RMT10"/>
    <mergeCell ref="RMU10:RMV10"/>
    <mergeCell ref="RMW10:RMX10"/>
    <mergeCell ref="RMY10:RMZ10"/>
    <mergeCell ref="RNA10:RNB10"/>
    <mergeCell ref="RMI10:RMJ10"/>
    <mergeCell ref="RMK10:RML10"/>
    <mergeCell ref="RMM10:RMN10"/>
    <mergeCell ref="RMO10:RMP10"/>
    <mergeCell ref="RMQ10:RMR10"/>
    <mergeCell ref="RLY10:RLZ10"/>
    <mergeCell ref="RMA10:RMB10"/>
    <mergeCell ref="RMC10:RMD10"/>
    <mergeCell ref="RME10:RMF10"/>
    <mergeCell ref="RMG10:RMH10"/>
    <mergeCell ref="ROQ10:ROR10"/>
    <mergeCell ref="ROS10:ROT10"/>
    <mergeCell ref="ROU10:ROV10"/>
    <mergeCell ref="ROW10:ROX10"/>
    <mergeCell ref="ROY10:ROZ10"/>
    <mergeCell ref="ROG10:ROH10"/>
    <mergeCell ref="ROI10:ROJ10"/>
    <mergeCell ref="ROK10:ROL10"/>
    <mergeCell ref="ROM10:RON10"/>
    <mergeCell ref="ROO10:ROP10"/>
    <mergeCell ref="RNW10:RNX10"/>
    <mergeCell ref="RNY10:RNZ10"/>
    <mergeCell ref="ROA10:ROB10"/>
    <mergeCell ref="ROC10:ROD10"/>
    <mergeCell ref="ROE10:ROF10"/>
    <mergeCell ref="RNM10:RNN10"/>
    <mergeCell ref="RNO10:RNP10"/>
    <mergeCell ref="RNQ10:RNR10"/>
    <mergeCell ref="RNS10:RNT10"/>
    <mergeCell ref="RNU10:RNV10"/>
    <mergeCell ref="RQE10:RQF10"/>
    <mergeCell ref="RQG10:RQH10"/>
    <mergeCell ref="RQI10:RQJ10"/>
    <mergeCell ref="RQK10:RQL10"/>
    <mergeCell ref="RQM10:RQN10"/>
    <mergeCell ref="RPU10:RPV10"/>
    <mergeCell ref="RPW10:RPX10"/>
    <mergeCell ref="RPY10:RPZ10"/>
    <mergeCell ref="RQA10:RQB10"/>
    <mergeCell ref="RQC10:RQD10"/>
    <mergeCell ref="RPK10:RPL10"/>
    <mergeCell ref="RPM10:RPN10"/>
    <mergeCell ref="RPO10:RPP10"/>
    <mergeCell ref="RPQ10:RPR10"/>
    <mergeCell ref="RPS10:RPT10"/>
    <mergeCell ref="RPA10:RPB10"/>
    <mergeCell ref="RPC10:RPD10"/>
    <mergeCell ref="RPE10:RPF10"/>
    <mergeCell ref="RPG10:RPH10"/>
    <mergeCell ref="RPI10:RPJ10"/>
    <mergeCell ref="RRS10:RRT10"/>
    <mergeCell ref="RRU10:RRV10"/>
    <mergeCell ref="RRW10:RRX10"/>
    <mergeCell ref="RRY10:RRZ10"/>
    <mergeCell ref="RSA10:RSB10"/>
    <mergeCell ref="RRI10:RRJ10"/>
    <mergeCell ref="RRK10:RRL10"/>
    <mergeCell ref="RRM10:RRN10"/>
    <mergeCell ref="RRO10:RRP10"/>
    <mergeCell ref="RRQ10:RRR10"/>
    <mergeCell ref="RQY10:RQZ10"/>
    <mergeCell ref="RRA10:RRB10"/>
    <mergeCell ref="RRC10:RRD10"/>
    <mergeCell ref="RRE10:RRF10"/>
    <mergeCell ref="RRG10:RRH10"/>
    <mergeCell ref="RQO10:RQP10"/>
    <mergeCell ref="RQQ10:RQR10"/>
    <mergeCell ref="RQS10:RQT10"/>
    <mergeCell ref="RQU10:RQV10"/>
    <mergeCell ref="RQW10:RQX10"/>
    <mergeCell ref="RTG10:RTH10"/>
    <mergeCell ref="RTI10:RTJ10"/>
    <mergeCell ref="RTK10:RTL10"/>
    <mergeCell ref="RTM10:RTN10"/>
    <mergeCell ref="RTO10:RTP10"/>
    <mergeCell ref="RSW10:RSX10"/>
    <mergeCell ref="RSY10:RSZ10"/>
    <mergeCell ref="RTA10:RTB10"/>
    <mergeCell ref="RTC10:RTD10"/>
    <mergeCell ref="RTE10:RTF10"/>
    <mergeCell ref="RSM10:RSN10"/>
    <mergeCell ref="RSO10:RSP10"/>
    <mergeCell ref="RSQ10:RSR10"/>
    <mergeCell ref="RSS10:RST10"/>
    <mergeCell ref="RSU10:RSV10"/>
    <mergeCell ref="RSC10:RSD10"/>
    <mergeCell ref="RSE10:RSF10"/>
    <mergeCell ref="RSG10:RSH10"/>
    <mergeCell ref="RSI10:RSJ10"/>
    <mergeCell ref="RSK10:RSL10"/>
    <mergeCell ref="RUU10:RUV10"/>
    <mergeCell ref="RUW10:RUX10"/>
    <mergeCell ref="RUY10:RUZ10"/>
    <mergeCell ref="RVA10:RVB10"/>
    <mergeCell ref="RVC10:RVD10"/>
    <mergeCell ref="RUK10:RUL10"/>
    <mergeCell ref="RUM10:RUN10"/>
    <mergeCell ref="RUO10:RUP10"/>
    <mergeCell ref="RUQ10:RUR10"/>
    <mergeCell ref="RUS10:RUT10"/>
    <mergeCell ref="RUA10:RUB10"/>
    <mergeCell ref="RUC10:RUD10"/>
    <mergeCell ref="RUE10:RUF10"/>
    <mergeCell ref="RUG10:RUH10"/>
    <mergeCell ref="RUI10:RUJ10"/>
    <mergeCell ref="RTQ10:RTR10"/>
    <mergeCell ref="RTS10:RTT10"/>
    <mergeCell ref="RTU10:RTV10"/>
    <mergeCell ref="RTW10:RTX10"/>
    <mergeCell ref="RTY10:RTZ10"/>
    <mergeCell ref="RWI10:RWJ10"/>
    <mergeCell ref="RWK10:RWL10"/>
    <mergeCell ref="RWM10:RWN10"/>
    <mergeCell ref="RWO10:RWP10"/>
    <mergeCell ref="RWQ10:RWR10"/>
    <mergeCell ref="RVY10:RVZ10"/>
    <mergeCell ref="RWA10:RWB10"/>
    <mergeCell ref="RWC10:RWD10"/>
    <mergeCell ref="RWE10:RWF10"/>
    <mergeCell ref="RWG10:RWH10"/>
    <mergeCell ref="RVO10:RVP10"/>
    <mergeCell ref="RVQ10:RVR10"/>
    <mergeCell ref="RVS10:RVT10"/>
    <mergeCell ref="RVU10:RVV10"/>
    <mergeCell ref="RVW10:RVX10"/>
    <mergeCell ref="RVE10:RVF10"/>
    <mergeCell ref="RVG10:RVH10"/>
    <mergeCell ref="RVI10:RVJ10"/>
    <mergeCell ref="RVK10:RVL10"/>
    <mergeCell ref="RVM10:RVN10"/>
    <mergeCell ref="RXW10:RXX10"/>
    <mergeCell ref="RXY10:RXZ10"/>
    <mergeCell ref="RYA10:RYB10"/>
    <mergeCell ref="RYC10:RYD10"/>
    <mergeCell ref="RYE10:RYF10"/>
    <mergeCell ref="RXM10:RXN10"/>
    <mergeCell ref="RXO10:RXP10"/>
    <mergeCell ref="RXQ10:RXR10"/>
    <mergeCell ref="RXS10:RXT10"/>
    <mergeCell ref="RXU10:RXV10"/>
    <mergeCell ref="RXC10:RXD10"/>
    <mergeCell ref="RXE10:RXF10"/>
    <mergeCell ref="RXG10:RXH10"/>
    <mergeCell ref="RXI10:RXJ10"/>
    <mergeCell ref="RXK10:RXL10"/>
    <mergeCell ref="RWS10:RWT10"/>
    <mergeCell ref="RWU10:RWV10"/>
    <mergeCell ref="RWW10:RWX10"/>
    <mergeCell ref="RWY10:RWZ10"/>
    <mergeCell ref="RXA10:RXB10"/>
    <mergeCell ref="RZK10:RZL10"/>
    <mergeCell ref="RZM10:RZN10"/>
    <mergeCell ref="RZO10:RZP10"/>
    <mergeCell ref="RZQ10:RZR10"/>
    <mergeCell ref="RZS10:RZT10"/>
    <mergeCell ref="RZA10:RZB10"/>
    <mergeCell ref="RZC10:RZD10"/>
    <mergeCell ref="RZE10:RZF10"/>
    <mergeCell ref="RZG10:RZH10"/>
    <mergeCell ref="RZI10:RZJ10"/>
    <mergeCell ref="RYQ10:RYR10"/>
    <mergeCell ref="RYS10:RYT10"/>
    <mergeCell ref="RYU10:RYV10"/>
    <mergeCell ref="RYW10:RYX10"/>
    <mergeCell ref="RYY10:RYZ10"/>
    <mergeCell ref="RYG10:RYH10"/>
    <mergeCell ref="RYI10:RYJ10"/>
    <mergeCell ref="RYK10:RYL10"/>
    <mergeCell ref="RYM10:RYN10"/>
    <mergeCell ref="RYO10:RYP10"/>
    <mergeCell ref="SAY10:SAZ10"/>
    <mergeCell ref="SBA10:SBB10"/>
    <mergeCell ref="SBC10:SBD10"/>
    <mergeCell ref="SBE10:SBF10"/>
    <mergeCell ref="SBG10:SBH10"/>
    <mergeCell ref="SAO10:SAP10"/>
    <mergeCell ref="SAQ10:SAR10"/>
    <mergeCell ref="SAS10:SAT10"/>
    <mergeCell ref="SAU10:SAV10"/>
    <mergeCell ref="SAW10:SAX10"/>
    <mergeCell ref="SAE10:SAF10"/>
    <mergeCell ref="SAG10:SAH10"/>
    <mergeCell ref="SAI10:SAJ10"/>
    <mergeCell ref="SAK10:SAL10"/>
    <mergeCell ref="SAM10:SAN10"/>
    <mergeCell ref="RZU10:RZV10"/>
    <mergeCell ref="RZW10:RZX10"/>
    <mergeCell ref="RZY10:RZZ10"/>
    <mergeCell ref="SAA10:SAB10"/>
    <mergeCell ref="SAC10:SAD10"/>
    <mergeCell ref="SCM10:SCN10"/>
    <mergeCell ref="SCO10:SCP10"/>
    <mergeCell ref="SCQ10:SCR10"/>
    <mergeCell ref="SCS10:SCT10"/>
    <mergeCell ref="SCU10:SCV10"/>
    <mergeCell ref="SCC10:SCD10"/>
    <mergeCell ref="SCE10:SCF10"/>
    <mergeCell ref="SCG10:SCH10"/>
    <mergeCell ref="SCI10:SCJ10"/>
    <mergeCell ref="SCK10:SCL10"/>
    <mergeCell ref="SBS10:SBT10"/>
    <mergeCell ref="SBU10:SBV10"/>
    <mergeCell ref="SBW10:SBX10"/>
    <mergeCell ref="SBY10:SBZ10"/>
    <mergeCell ref="SCA10:SCB10"/>
    <mergeCell ref="SBI10:SBJ10"/>
    <mergeCell ref="SBK10:SBL10"/>
    <mergeCell ref="SBM10:SBN10"/>
    <mergeCell ref="SBO10:SBP10"/>
    <mergeCell ref="SBQ10:SBR10"/>
    <mergeCell ref="SEA10:SEB10"/>
    <mergeCell ref="SEC10:SED10"/>
    <mergeCell ref="SEE10:SEF10"/>
    <mergeCell ref="SEG10:SEH10"/>
    <mergeCell ref="SEI10:SEJ10"/>
    <mergeCell ref="SDQ10:SDR10"/>
    <mergeCell ref="SDS10:SDT10"/>
    <mergeCell ref="SDU10:SDV10"/>
    <mergeCell ref="SDW10:SDX10"/>
    <mergeCell ref="SDY10:SDZ10"/>
    <mergeCell ref="SDG10:SDH10"/>
    <mergeCell ref="SDI10:SDJ10"/>
    <mergeCell ref="SDK10:SDL10"/>
    <mergeCell ref="SDM10:SDN10"/>
    <mergeCell ref="SDO10:SDP10"/>
    <mergeCell ref="SCW10:SCX10"/>
    <mergeCell ref="SCY10:SCZ10"/>
    <mergeCell ref="SDA10:SDB10"/>
    <mergeCell ref="SDC10:SDD10"/>
    <mergeCell ref="SDE10:SDF10"/>
    <mergeCell ref="SFO10:SFP10"/>
    <mergeCell ref="SFQ10:SFR10"/>
    <mergeCell ref="SFS10:SFT10"/>
    <mergeCell ref="SFU10:SFV10"/>
    <mergeCell ref="SFW10:SFX10"/>
    <mergeCell ref="SFE10:SFF10"/>
    <mergeCell ref="SFG10:SFH10"/>
    <mergeCell ref="SFI10:SFJ10"/>
    <mergeCell ref="SFK10:SFL10"/>
    <mergeCell ref="SFM10:SFN10"/>
    <mergeCell ref="SEU10:SEV10"/>
    <mergeCell ref="SEW10:SEX10"/>
    <mergeCell ref="SEY10:SEZ10"/>
    <mergeCell ref="SFA10:SFB10"/>
    <mergeCell ref="SFC10:SFD10"/>
    <mergeCell ref="SEK10:SEL10"/>
    <mergeCell ref="SEM10:SEN10"/>
    <mergeCell ref="SEO10:SEP10"/>
    <mergeCell ref="SEQ10:SER10"/>
    <mergeCell ref="SES10:SET10"/>
    <mergeCell ref="SHC10:SHD10"/>
    <mergeCell ref="SHE10:SHF10"/>
    <mergeCell ref="SHG10:SHH10"/>
    <mergeCell ref="SHI10:SHJ10"/>
    <mergeCell ref="SHK10:SHL10"/>
    <mergeCell ref="SGS10:SGT10"/>
    <mergeCell ref="SGU10:SGV10"/>
    <mergeCell ref="SGW10:SGX10"/>
    <mergeCell ref="SGY10:SGZ10"/>
    <mergeCell ref="SHA10:SHB10"/>
    <mergeCell ref="SGI10:SGJ10"/>
    <mergeCell ref="SGK10:SGL10"/>
    <mergeCell ref="SGM10:SGN10"/>
    <mergeCell ref="SGO10:SGP10"/>
    <mergeCell ref="SGQ10:SGR10"/>
    <mergeCell ref="SFY10:SFZ10"/>
    <mergeCell ref="SGA10:SGB10"/>
    <mergeCell ref="SGC10:SGD10"/>
    <mergeCell ref="SGE10:SGF10"/>
    <mergeCell ref="SGG10:SGH10"/>
    <mergeCell ref="SIQ10:SIR10"/>
    <mergeCell ref="SIS10:SIT10"/>
    <mergeCell ref="SIU10:SIV10"/>
    <mergeCell ref="SIW10:SIX10"/>
    <mergeCell ref="SIY10:SIZ10"/>
    <mergeCell ref="SIG10:SIH10"/>
    <mergeCell ref="SII10:SIJ10"/>
    <mergeCell ref="SIK10:SIL10"/>
    <mergeCell ref="SIM10:SIN10"/>
    <mergeCell ref="SIO10:SIP10"/>
    <mergeCell ref="SHW10:SHX10"/>
    <mergeCell ref="SHY10:SHZ10"/>
    <mergeCell ref="SIA10:SIB10"/>
    <mergeCell ref="SIC10:SID10"/>
    <mergeCell ref="SIE10:SIF10"/>
    <mergeCell ref="SHM10:SHN10"/>
    <mergeCell ref="SHO10:SHP10"/>
    <mergeCell ref="SHQ10:SHR10"/>
    <mergeCell ref="SHS10:SHT10"/>
    <mergeCell ref="SHU10:SHV10"/>
    <mergeCell ref="SKE10:SKF10"/>
    <mergeCell ref="SKG10:SKH10"/>
    <mergeCell ref="SKI10:SKJ10"/>
    <mergeCell ref="SKK10:SKL10"/>
    <mergeCell ref="SKM10:SKN10"/>
    <mergeCell ref="SJU10:SJV10"/>
    <mergeCell ref="SJW10:SJX10"/>
    <mergeCell ref="SJY10:SJZ10"/>
    <mergeCell ref="SKA10:SKB10"/>
    <mergeCell ref="SKC10:SKD10"/>
    <mergeCell ref="SJK10:SJL10"/>
    <mergeCell ref="SJM10:SJN10"/>
    <mergeCell ref="SJO10:SJP10"/>
    <mergeCell ref="SJQ10:SJR10"/>
    <mergeCell ref="SJS10:SJT10"/>
    <mergeCell ref="SJA10:SJB10"/>
    <mergeCell ref="SJC10:SJD10"/>
    <mergeCell ref="SJE10:SJF10"/>
    <mergeCell ref="SJG10:SJH10"/>
    <mergeCell ref="SJI10:SJJ10"/>
    <mergeCell ref="SLS10:SLT10"/>
    <mergeCell ref="SLU10:SLV10"/>
    <mergeCell ref="SLW10:SLX10"/>
    <mergeCell ref="SLY10:SLZ10"/>
    <mergeCell ref="SMA10:SMB10"/>
    <mergeCell ref="SLI10:SLJ10"/>
    <mergeCell ref="SLK10:SLL10"/>
    <mergeCell ref="SLM10:SLN10"/>
    <mergeCell ref="SLO10:SLP10"/>
    <mergeCell ref="SLQ10:SLR10"/>
    <mergeCell ref="SKY10:SKZ10"/>
    <mergeCell ref="SLA10:SLB10"/>
    <mergeCell ref="SLC10:SLD10"/>
    <mergeCell ref="SLE10:SLF10"/>
    <mergeCell ref="SLG10:SLH10"/>
    <mergeCell ref="SKO10:SKP10"/>
    <mergeCell ref="SKQ10:SKR10"/>
    <mergeCell ref="SKS10:SKT10"/>
    <mergeCell ref="SKU10:SKV10"/>
    <mergeCell ref="SKW10:SKX10"/>
    <mergeCell ref="SNG10:SNH10"/>
    <mergeCell ref="SNI10:SNJ10"/>
    <mergeCell ref="SNK10:SNL10"/>
    <mergeCell ref="SNM10:SNN10"/>
    <mergeCell ref="SNO10:SNP10"/>
    <mergeCell ref="SMW10:SMX10"/>
    <mergeCell ref="SMY10:SMZ10"/>
    <mergeCell ref="SNA10:SNB10"/>
    <mergeCell ref="SNC10:SND10"/>
    <mergeCell ref="SNE10:SNF10"/>
    <mergeCell ref="SMM10:SMN10"/>
    <mergeCell ref="SMO10:SMP10"/>
    <mergeCell ref="SMQ10:SMR10"/>
    <mergeCell ref="SMS10:SMT10"/>
    <mergeCell ref="SMU10:SMV10"/>
    <mergeCell ref="SMC10:SMD10"/>
    <mergeCell ref="SME10:SMF10"/>
    <mergeCell ref="SMG10:SMH10"/>
    <mergeCell ref="SMI10:SMJ10"/>
    <mergeCell ref="SMK10:SML10"/>
    <mergeCell ref="SOU10:SOV10"/>
    <mergeCell ref="SOW10:SOX10"/>
    <mergeCell ref="SOY10:SOZ10"/>
    <mergeCell ref="SPA10:SPB10"/>
    <mergeCell ref="SPC10:SPD10"/>
    <mergeCell ref="SOK10:SOL10"/>
    <mergeCell ref="SOM10:SON10"/>
    <mergeCell ref="SOO10:SOP10"/>
    <mergeCell ref="SOQ10:SOR10"/>
    <mergeCell ref="SOS10:SOT10"/>
    <mergeCell ref="SOA10:SOB10"/>
    <mergeCell ref="SOC10:SOD10"/>
    <mergeCell ref="SOE10:SOF10"/>
    <mergeCell ref="SOG10:SOH10"/>
    <mergeCell ref="SOI10:SOJ10"/>
    <mergeCell ref="SNQ10:SNR10"/>
    <mergeCell ref="SNS10:SNT10"/>
    <mergeCell ref="SNU10:SNV10"/>
    <mergeCell ref="SNW10:SNX10"/>
    <mergeCell ref="SNY10:SNZ10"/>
    <mergeCell ref="SQI10:SQJ10"/>
    <mergeCell ref="SQK10:SQL10"/>
    <mergeCell ref="SQM10:SQN10"/>
    <mergeCell ref="SQO10:SQP10"/>
    <mergeCell ref="SQQ10:SQR10"/>
    <mergeCell ref="SPY10:SPZ10"/>
    <mergeCell ref="SQA10:SQB10"/>
    <mergeCell ref="SQC10:SQD10"/>
    <mergeCell ref="SQE10:SQF10"/>
    <mergeCell ref="SQG10:SQH10"/>
    <mergeCell ref="SPO10:SPP10"/>
    <mergeCell ref="SPQ10:SPR10"/>
    <mergeCell ref="SPS10:SPT10"/>
    <mergeCell ref="SPU10:SPV10"/>
    <mergeCell ref="SPW10:SPX10"/>
    <mergeCell ref="SPE10:SPF10"/>
    <mergeCell ref="SPG10:SPH10"/>
    <mergeCell ref="SPI10:SPJ10"/>
    <mergeCell ref="SPK10:SPL10"/>
    <mergeCell ref="SPM10:SPN10"/>
    <mergeCell ref="SRW10:SRX10"/>
    <mergeCell ref="SRY10:SRZ10"/>
    <mergeCell ref="SSA10:SSB10"/>
    <mergeCell ref="SSC10:SSD10"/>
    <mergeCell ref="SSE10:SSF10"/>
    <mergeCell ref="SRM10:SRN10"/>
    <mergeCell ref="SRO10:SRP10"/>
    <mergeCell ref="SRQ10:SRR10"/>
    <mergeCell ref="SRS10:SRT10"/>
    <mergeCell ref="SRU10:SRV10"/>
    <mergeCell ref="SRC10:SRD10"/>
    <mergeCell ref="SRE10:SRF10"/>
    <mergeCell ref="SRG10:SRH10"/>
    <mergeCell ref="SRI10:SRJ10"/>
    <mergeCell ref="SRK10:SRL10"/>
    <mergeCell ref="SQS10:SQT10"/>
    <mergeCell ref="SQU10:SQV10"/>
    <mergeCell ref="SQW10:SQX10"/>
    <mergeCell ref="SQY10:SQZ10"/>
    <mergeCell ref="SRA10:SRB10"/>
    <mergeCell ref="STK10:STL10"/>
    <mergeCell ref="STM10:STN10"/>
    <mergeCell ref="STO10:STP10"/>
    <mergeCell ref="STQ10:STR10"/>
    <mergeCell ref="STS10:STT10"/>
    <mergeCell ref="STA10:STB10"/>
    <mergeCell ref="STC10:STD10"/>
    <mergeCell ref="STE10:STF10"/>
    <mergeCell ref="STG10:STH10"/>
    <mergeCell ref="STI10:STJ10"/>
    <mergeCell ref="SSQ10:SSR10"/>
    <mergeCell ref="SSS10:SST10"/>
    <mergeCell ref="SSU10:SSV10"/>
    <mergeCell ref="SSW10:SSX10"/>
    <mergeCell ref="SSY10:SSZ10"/>
    <mergeCell ref="SSG10:SSH10"/>
    <mergeCell ref="SSI10:SSJ10"/>
    <mergeCell ref="SSK10:SSL10"/>
    <mergeCell ref="SSM10:SSN10"/>
    <mergeCell ref="SSO10:SSP10"/>
    <mergeCell ref="SUY10:SUZ10"/>
    <mergeCell ref="SVA10:SVB10"/>
    <mergeCell ref="SVC10:SVD10"/>
    <mergeCell ref="SVE10:SVF10"/>
    <mergeCell ref="SVG10:SVH10"/>
    <mergeCell ref="SUO10:SUP10"/>
    <mergeCell ref="SUQ10:SUR10"/>
    <mergeCell ref="SUS10:SUT10"/>
    <mergeCell ref="SUU10:SUV10"/>
    <mergeCell ref="SUW10:SUX10"/>
    <mergeCell ref="SUE10:SUF10"/>
    <mergeCell ref="SUG10:SUH10"/>
    <mergeCell ref="SUI10:SUJ10"/>
    <mergeCell ref="SUK10:SUL10"/>
    <mergeCell ref="SUM10:SUN10"/>
    <mergeCell ref="STU10:STV10"/>
    <mergeCell ref="STW10:STX10"/>
    <mergeCell ref="STY10:STZ10"/>
    <mergeCell ref="SUA10:SUB10"/>
    <mergeCell ref="SUC10:SUD10"/>
    <mergeCell ref="SWM10:SWN10"/>
    <mergeCell ref="SWO10:SWP10"/>
    <mergeCell ref="SWQ10:SWR10"/>
    <mergeCell ref="SWS10:SWT10"/>
    <mergeCell ref="SWU10:SWV10"/>
    <mergeCell ref="SWC10:SWD10"/>
    <mergeCell ref="SWE10:SWF10"/>
    <mergeCell ref="SWG10:SWH10"/>
    <mergeCell ref="SWI10:SWJ10"/>
    <mergeCell ref="SWK10:SWL10"/>
    <mergeCell ref="SVS10:SVT10"/>
    <mergeCell ref="SVU10:SVV10"/>
    <mergeCell ref="SVW10:SVX10"/>
    <mergeCell ref="SVY10:SVZ10"/>
    <mergeCell ref="SWA10:SWB10"/>
    <mergeCell ref="SVI10:SVJ10"/>
    <mergeCell ref="SVK10:SVL10"/>
    <mergeCell ref="SVM10:SVN10"/>
    <mergeCell ref="SVO10:SVP10"/>
    <mergeCell ref="SVQ10:SVR10"/>
    <mergeCell ref="SYA10:SYB10"/>
    <mergeCell ref="SYC10:SYD10"/>
    <mergeCell ref="SYE10:SYF10"/>
    <mergeCell ref="SYG10:SYH10"/>
    <mergeCell ref="SYI10:SYJ10"/>
    <mergeCell ref="SXQ10:SXR10"/>
    <mergeCell ref="SXS10:SXT10"/>
    <mergeCell ref="SXU10:SXV10"/>
    <mergeCell ref="SXW10:SXX10"/>
    <mergeCell ref="SXY10:SXZ10"/>
    <mergeCell ref="SXG10:SXH10"/>
    <mergeCell ref="SXI10:SXJ10"/>
    <mergeCell ref="SXK10:SXL10"/>
    <mergeCell ref="SXM10:SXN10"/>
    <mergeCell ref="SXO10:SXP10"/>
    <mergeCell ref="SWW10:SWX10"/>
    <mergeCell ref="SWY10:SWZ10"/>
    <mergeCell ref="SXA10:SXB10"/>
    <mergeCell ref="SXC10:SXD10"/>
    <mergeCell ref="SXE10:SXF10"/>
    <mergeCell ref="SZO10:SZP10"/>
    <mergeCell ref="SZQ10:SZR10"/>
    <mergeCell ref="SZS10:SZT10"/>
    <mergeCell ref="SZU10:SZV10"/>
    <mergeCell ref="SZW10:SZX10"/>
    <mergeCell ref="SZE10:SZF10"/>
    <mergeCell ref="SZG10:SZH10"/>
    <mergeCell ref="SZI10:SZJ10"/>
    <mergeCell ref="SZK10:SZL10"/>
    <mergeCell ref="SZM10:SZN10"/>
    <mergeCell ref="SYU10:SYV10"/>
    <mergeCell ref="SYW10:SYX10"/>
    <mergeCell ref="SYY10:SYZ10"/>
    <mergeCell ref="SZA10:SZB10"/>
    <mergeCell ref="SZC10:SZD10"/>
    <mergeCell ref="SYK10:SYL10"/>
    <mergeCell ref="SYM10:SYN10"/>
    <mergeCell ref="SYO10:SYP10"/>
    <mergeCell ref="SYQ10:SYR10"/>
    <mergeCell ref="SYS10:SYT10"/>
    <mergeCell ref="TBC10:TBD10"/>
    <mergeCell ref="TBE10:TBF10"/>
    <mergeCell ref="TBG10:TBH10"/>
    <mergeCell ref="TBI10:TBJ10"/>
    <mergeCell ref="TBK10:TBL10"/>
    <mergeCell ref="TAS10:TAT10"/>
    <mergeCell ref="TAU10:TAV10"/>
    <mergeCell ref="TAW10:TAX10"/>
    <mergeCell ref="TAY10:TAZ10"/>
    <mergeCell ref="TBA10:TBB10"/>
    <mergeCell ref="TAI10:TAJ10"/>
    <mergeCell ref="TAK10:TAL10"/>
    <mergeCell ref="TAM10:TAN10"/>
    <mergeCell ref="TAO10:TAP10"/>
    <mergeCell ref="TAQ10:TAR10"/>
    <mergeCell ref="SZY10:SZZ10"/>
    <mergeCell ref="TAA10:TAB10"/>
    <mergeCell ref="TAC10:TAD10"/>
    <mergeCell ref="TAE10:TAF10"/>
    <mergeCell ref="TAG10:TAH10"/>
    <mergeCell ref="TCQ10:TCR10"/>
    <mergeCell ref="TCS10:TCT10"/>
    <mergeCell ref="TCU10:TCV10"/>
    <mergeCell ref="TCW10:TCX10"/>
    <mergeCell ref="TCY10:TCZ10"/>
    <mergeCell ref="TCG10:TCH10"/>
    <mergeCell ref="TCI10:TCJ10"/>
    <mergeCell ref="TCK10:TCL10"/>
    <mergeCell ref="TCM10:TCN10"/>
    <mergeCell ref="TCO10:TCP10"/>
    <mergeCell ref="TBW10:TBX10"/>
    <mergeCell ref="TBY10:TBZ10"/>
    <mergeCell ref="TCA10:TCB10"/>
    <mergeCell ref="TCC10:TCD10"/>
    <mergeCell ref="TCE10:TCF10"/>
    <mergeCell ref="TBM10:TBN10"/>
    <mergeCell ref="TBO10:TBP10"/>
    <mergeCell ref="TBQ10:TBR10"/>
    <mergeCell ref="TBS10:TBT10"/>
    <mergeCell ref="TBU10:TBV10"/>
    <mergeCell ref="TEE10:TEF10"/>
    <mergeCell ref="TEG10:TEH10"/>
    <mergeCell ref="TEI10:TEJ10"/>
    <mergeCell ref="TEK10:TEL10"/>
    <mergeCell ref="TEM10:TEN10"/>
    <mergeCell ref="TDU10:TDV10"/>
    <mergeCell ref="TDW10:TDX10"/>
    <mergeCell ref="TDY10:TDZ10"/>
    <mergeCell ref="TEA10:TEB10"/>
    <mergeCell ref="TEC10:TED10"/>
    <mergeCell ref="TDK10:TDL10"/>
    <mergeCell ref="TDM10:TDN10"/>
    <mergeCell ref="TDO10:TDP10"/>
    <mergeCell ref="TDQ10:TDR10"/>
    <mergeCell ref="TDS10:TDT10"/>
    <mergeCell ref="TDA10:TDB10"/>
    <mergeCell ref="TDC10:TDD10"/>
    <mergeCell ref="TDE10:TDF10"/>
    <mergeCell ref="TDG10:TDH10"/>
    <mergeCell ref="TDI10:TDJ10"/>
    <mergeCell ref="TFS10:TFT10"/>
    <mergeCell ref="TFU10:TFV10"/>
    <mergeCell ref="TFW10:TFX10"/>
    <mergeCell ref="TFY10:TFZ10"/>
    <mergeCell ref="TGA10:TGB10"/>
    <mergeCell ref="TFI10:TFJ10"/>
    <mergeCell ref="TFK10:TFL10"/>
    <mergeCell ref="TFM10:TFN10"/>
    <mergeCell ref="TFO10:TFP10"/>
    <mergeCell ref="TFQ10:TFR10"/>
    <mergeCell ref="TEY10:TEZ10"/>
    <mergeCell ref="TFA10:TFB10"/>
    <mergeCell ref="TFC10:TFD10"/>
    <mergeCell ref="TFE10:TFF10"/>
    <mergeCell ref="TFG10:TFH10"/>
    <mergeCell ref="TEO10:TEP10"/>
    <mergeCell ref="TEQ10:TER10"/>
    <mergeCell ref="TES10:TET10"/>
    <mergeCell ref="TEU10:TEV10"/>
    <mergeCell ref="TEW10:TEX10"/>
    <mergeCell ref="THG10:THH10"/>
    <mergeCell ref="THI10:THJ10"/>
    <mergeCell ref="THK10:THL10"/>
    <mergeCell ref="THM10:THN10"/>
    <mergeCell ref="THO10:THP10"/>
    <mergeCell ref="TGW10:TGX10"/>
    <mergeCell ref="TGY10:TGZ10"/>
    <mergeCell ref="THA10:THB10"/>
    <mergeCell ref="THC10:THD10"/>
    <mergeCell ref="THE10:THF10"/>
    <mergeCell ref="TGM10:TGN10"/>
    <mergeCell ref="TGO10:TGP10"/>
    <mergeCell ref="TGQ10:TGR10"/>
    <mergeCell ref="TGS10:TGT10"/>
    <mergeCell ref="TGU10:TGV10"/>
    <mergeCell ref="TGC10:TGD10"/>
    <mergeCell ref="TGE10:TGF10"/>
    <mergeCell ref="TGG10:TGH10"/>
    <mergeCell ref="TGI10:TGJ10"/>
    <mergeCell ref="TGK10:TGL10"/>
    <mergeCell ref="TIU10:TIV10"/>
    <mergeCell ref="TIW10:TIX10"/>
    <mergeCell ref="TIY10:TIZ10"/>
    <mergeCell ref="TJA10:TJB10"/>
    <mergeCell ref="TJC10:TJD10"/>
    <mergeCell ref="TIK10:TIL10"/>
    <mergeCell ref="TIM10:TIN10"/>
    <mergeCell ref="TIO10:TIP10"/>
    <mergeCell ref="TIQ10:TIR10"/>
    <mergeCell ref="TIS10:TIT10"/>
    <mergeCell ref="TIA10:TIB10"/>
    <mergeCell ref="TIC10:TID10"/>
    <mergeCell ref="TIE10:TIF10"/>
    <mergeCell ref="TIG10:TIH10"/>
    <mergeCell ref="TII10:TIJ10"/>
    <mergeCell ref="THQ10:THR10"/>
    <mergeCell ref="THS10:THT10"/>
    <mergeCell ref="THU10:THV10"/>
    <mergeCell ref="THW10:THX10"/>
    <mergeCell ref="THY10:THZ10"/>
    <mergeCell ref="TKI10:TKJ10"/>
    <mergeCell ref="TKK10:TKL10"/>
    <mergeCell ref="TKM10:TKN10"/>
    <mergeCell ref="TKO10:TKP10"/>
    <mergeCell ref="TKQ10:TKR10"/>
    <mergeCell ref="TJY10:TJZ10"/>
    <mergeCell ref="TKA10:TKB10"/>
    <mergeCell ref="TKC10:TKD10"/>
    <mergeCell ref="TKE10:TKF10"/>
    <mergeCell ref="TKG10:TKH10"/>
    <mergeCell ref="TJO10:TJP10"/>
    <mergeCell ref="TJQ10:TJR10"/>
    <mergeCell ref="TJS10:TJT10"/>
    <mergeCell ref="TJU10:TJV10"/>
    <mergeCell ref="TJW10:TJX10"/>
    <mergeCell ref="TJE10:TJF10"/>
    <mergeCell ref="TJG10:TJH10"/>
    <mergeCell ref="TJI10:TJJ10"/>
    <mergeCell ref="TJK10:TJL10"/>
    <mergeCell ref="TJM10:TJN10"/>
    <mergeCell ref="TLW10:TLX10"/>
    <mergeCell ref="TLY10:TLZ10"/>
    <mergeCell ref="TMA10:TMB10"/>
    <mergeCell ref="TMC10:TMD10"/>
    <mergeCell ref="TME10:TMF10"/>
    <mergeCell ref="TLM10:TLN10"/>
    <mergeCell ref="TLO10:TLP10"/>
    <mergeCell ref="TLQ10:TLR10"/>
    <mergeCell ref="TLS10:TLT10"/>
    <mergeCell ref="TLU10:TLV10"/>
    <mergeCell ref="TLC10:TLD10"/>
    <mergeCell ref="TLE10:TLF10"/>
    <mergeCell ref="TLG10:TLH10"/>
    <mergeCell ref="TLI10:TLJ10"/>
    <mergeCell ref="TLK10:TLL10"/>
    <mergeCell ref="TKS10:TKT10"/>
    <mergeCell ref="TKU10:TKV10"/>
    <mergeCell ref="TKW10:TKX10"/>
    <mergeCell ref="TKY10:TKZ10"/>
    <mergeCell ref="TLA10:TLB10"/>
    <mergeCell ref="TNK10:TNL10"/>
    <mergeCell ref="TNM10:TNN10"/>
    <mergeCell ref="TNO10:TNP10"/>
    <mergeCell ref="TNQ10:TNR10"/>
    <mergeCell ref="TNS10:TNT10"/>
    <mergeCell ref="TNA10:TNB10"/>
    <mergeCell ref="TNC10:TND10"/>
    <mergeCell ref="TNE10:TNF10"/>
    <mergeCell ref="TNG10:TNH10"/>
    <mergeCell ref="TNI10:TNJ10"/>
    <mergeCell ref="TMQ10:TMR10"/>
    <mergeCell ref="TMS10:TMT10"/>
    <mergeCell ref="TMU10:TMV10"/>
    <mergeCell ref="TMW10:TMX10"/>
    <mergeCell ref="TMY10:TMZ10"/>
    <mergeCell ref="TMG10:TMH10"/>
    <mergeCell ref="TMI10:TMJ10"/>
    <mergeCell ref="TMK10:TML10"/>
    <mergeCell ref="TMM10:TMN10"/>
    <mergeCell ref="TMO10:TMP10"/>
    <mergeCell ref="TOY10:TOZ10"/>
    <mergeCell ref="TPA10:TPB10"/>
    <mergeCell ref="TPC10:TPD10"/>
    <mergeCell ref="TPE10:TPF10"/>
    <mergeCell ref="TPG10:TPH10"/>
    <mergeCell ref="TOO10:TOP10"/>
    <mergeCell ref="TOQ10:TOR10"/>
    <mergeCell ref="TOS10:TOT10"/>
    <mergeCell ref="TOU10:TOV10"/>
    <mergeCell ref="TOW10:TOX10"/>
    <mergeCell ref="TOE10:TOF10"/>
    <mergeCell ref="TOG10:TOH10"/>
    <mergeCell ref="TOI10:TOJ10"/>
    <mergeCell ref="TOK10:TOL10"/>
    <mergeCell ref="TOM10:TON10"/>
    <mergeCell ref="TNU10:TNV10"/>
    <mergeCell ref="TNW10:TNX10"/>
    <mergeCell ref="TNY10:TNZ10"/>
    <mergeCell ref="TOA10:TOB10"/>
    <mergeCell ref="TOC10:TOD10"/>
    <mergeCell ref="TQM10:TQN10"/>
    <mergeCell ref="TQO10:TQP10"/>
    <mergeCell ref="TQQ10:TQR10"/>
    <mergeCell ref="TQS10:TQT10"/>
    <mergeCell ref="TQU10:TQV10"/>
    <mergeCell ref="TQC10:TQD10"/>
    <mergeCell ref="TQE10:TQF10"/>
    <mergeCell ref="TQG10:TQH10"/>
    <mergeCell ref="TQI10:TQJ10"/>
    <mergeCell ref="TQK10:TQL10"/>
    <mergeCell ref="TPS10:TPT10"/>
    <mergeCell ref="TPU10:TPV10"/>
    <mergeCell ref="TPW10:TPX10"/>
    <mergeCell ref="TPY10:TPZ10"/>
    <mergeCell ref="TQA10:TQB10"/>
    <mergeCell ref="TPI10:TPJ10"/>
    <mergeCell ref="TPK10:TPL10"/>
    <mergeCell ref="TPM10:TPN10"/>
    <mergeCell ref="TPO10:TPP10"/>
    <mergeCell ref="TPQ10:TPR10"/>
    <mergeCell ref="TSA10:TSB10"/>
    <mergeCell ref="TSC10:TSD10"/>
    <mergeCell ref="TSE10:TSF10"/>
    <mergeCell ref="TSG10:TSH10"/>
    <mergeCell ref="TSI10:TSJ10"/>
    <mergeCell ref="TRQ10:TRR10"/>
    <mergeCell ref="TRS10:TRT10"/>
    <mergeCell ref="TRU10:TRV10"/>
    <mergeCell ref="TRW10:TRX10"/>
    <mergeCell ref="TRY10:TRZ10"/>
    <mergeCell ref="TRG10:TRH10"/>
    <mergeCell ref="TRI10:TRJ10"/>
    <mergeCell ref="TRK10:TRL10"/>
    <mergeCell ref="TRM10:TRN10"/>
    <mergeCell ref="TRO10:TRP10"/>
    <mergeCell ref="TQW10:TQX10"/>
    <mergeCell ref="TQY10:TQZ10"/>
    <mergeCell ref="TRA10:TRB10"/>
    <mergeCell ref="TRC10:TRD10"/>
    <mergeCell ref="TRE10:TRF10"/>
    <mergeCell ref="TTO10:TTP10"/>
    <mergeCell ref="TTQ10:TTR10"/>
    <mergeCell ref="TTS10:TTT10"/>
    <mergeCell ref="TTU10:TTV10"/>
    <mergeCell ref="TTW10:TTX10"/>
    <mergeCell ref="TTE10:TTF10"/>
    <mergeCell ref="TTG10:TTH10"/>
    <mergeCell ref="TTI10:TTJ10"/>
    <mergeCell ref="TTK10:TTL10"/>
    <mergeCell ref="TTM10:TTN10"/>
    <mergeCell ref="TSU10:TSV10"/>
    <mergeCell ref="TSW10:TSX10"/>
    <mergeCell ref="TSY10:TSZ10"/>
    <mergeCell ref="TTA10:TTB10"/>
    <mergeCell ref="TTC10:TTD10"/>
    <mergeCell ref="TSK10:TSL10"/>
    <mergeCell ref="TSM10:TSN10"/>
    <mergeCell ref="TSO10:TSP10"/>
    <mergeCell ref="TSQ10:TSR10"/>
    <mergeCell ref="TSS10:TST10"/>
    <mergeCell ref="TVC10:TVD10"/>
    <mergeCell ref="TVE10:TVF10"/>
    <mergeCell ref="TVG10:TVH10"/>
    <mergeCell ref="TVI10:TVJ10"/>
    <mergeCell ref="TVK10:TVL10"/>
    <mergeCell ref="TUS10:TUT10"/>
    <mergeCell ref="TUU10:TUV10"/>
    <mergeCell ref="TUW10:TUX10"/>
    <mergeCell ref="TUY10:TUZ10"/>
    <mergeCell ref="TVA10:TVB10"/>
    <mergeCell ref="TUI10:TUJ10"/>
    <mergeCell ref="TUK10:TUL10"/>
    <mergeCell ref="TUM10:TUN10"/>
    <mergeCell ref="TUO10:TUP10"/>
    <mergeCell ref="TUQ10:TUR10"/>
    <mergeCell ref="TTY10:TTZ10"/>
    <mergeCell ref="TUA10:TUB10"/>
    <mergeCell ref="TUC10:TUD10"/>
    <mergeCell ref="TUE10:TUF10"/>
    <mergeCell ref="TUG10:TUH10"/>
    <mergeCell ref="TWQ10:TWR10"/>
    <mergeCell ref="TWS10:TWT10"/>
    <mergeCell ref="TWU10:TWV10"/>
    <mergeCell ref="TWW10:TWX10"/>
    <mergeCell ref="TWY10:TWZ10"/>
    <mergeCell ref="TWG10:TWH10"/>
    <mergeCell ref="TWI10:TWJ10"/>
    <mergeCell ref="TWK10:TWL10"/>
    <mergeCell ref="TWM10:TWN10"/>
    <mergeCell ref="TWO10:TWP10"/>
    <mergeCell ref="TVW10:TVX10"/>
    <mergeCell ref="TVY10:TVZ10"/>
    <mergeCell ref="TWA10:TWB10"/>
    <mergeCell ref="TWC10:TWD10"/>
    <mergeCell ref="TWE10:TWF10"/>
    <mergeCell ref="TVM10:TVN10"/>
    <mergeCell ref="TVO10:TVP10"/>
    <mergeCell ref="TVQ10:TVR10"/>
    <mergeCell ref="TVS10:TVT10"/>
    <mergeCell ref="TVU10:TVV10"/>
    <mergeCell ref="TYE10:TYF10"/>
    <mergeCell ref="TYG10:TYH10"/>
    <mergeCell ref="TYI10:TYJ10"/>
    <mergeCell ref="TYK10:TYL10"/>
    <mergeCell ref="TYM10:TYN10"/>
    <mergeCell ref="TXU10:TXV10"/>
    <mergeCell ref="TXW10:TXX10"/>
    <mergeCell ref="TXY10:TXZ10"/>
    <mergeCell ref="TYA10:TYB10"/>
    <mergeCell ref="TYC10:TYD10"/>
    <mergeCell ref="TXK10:TXL10"/>
    <mergeCell ref="TXM10:TXN10"/>
    <mergeCell ref="TXO10:TXP10"/>
    <mergeCell ref="TXQ10:TXR10"/>
    <mergeCell ref="TXS10:TXT10"/>
    <mergeCell ref="TXA10:TXB10"/>
    <mergeCell ref="TXC10:TXD10"/>
    <mergeCell ref="TXE10:TXF10"/>
    <mergeCell ref="TXG10:TXH10"/>
    <mergeCell ref="TXI10:TXJ10"/>
    <mergeCell ref="TZS10:TZT10"/>
    <mergeCell ref="TZU10:TZV10"/>
    <mergeCell ref="TZW10:TZX10"/>
    <mergeCell ref="TZY10:TZZ10"/>
    <mergeCell ref="UAA10:UAB10"/>
    <mergeCell ref="TZI10:TZJ10"/>
    <mergeCell ref="TZK10:TZL10"/>
    <mergeCell ref="TZM10:TZN10"/>
    <mergeCell ref="TZO10:TZP10"/>
    <mergeCell ref="TZQ10:TZR10"/>
    <mergeCell ref="TYY10:TYZ10"/>
    <mergeCell ref="TZA10:TZB10"/>
    <mergeCell ref="TZC10:TZD10"/>
    <mergeCell ref="TZE10:TZF10"/>
    <mergeCell ref="TZG10:TZH10"/>
    <mergeCell ref="TYO10:TYP10"/>
    <mergeCell ref="TYQ10:TYR10"/>
    <mergeCell ref="TYS10:TYT10"/>
    <mergeCell ref="TYU10:TYV10"/>
    <mergeCell ref="TYW10:TYX10"/>
    <mergeCell ref="UBG10:UBH10"/>
    <mergeCell ref="UBI10:UBJ10"/>
    <mergeCell ref="UBK10:UBL10"/>
    <mergeCell ref="UBM10:UBN10"/>
    <mergeCell ref="UBO10:UBP10"/>
    <mergeCell ref="UAW10:UAX10"/>
    <mergeCell ref="UAY10:UAZ10"/>
    <mergeCell ref="UBA10:UBB10"/>
    <mergeCell ref="UBC10:UBD10"/>
    <mergeCell ref="UBE10:UBF10"/>
    <mergeCell ref="UAM10:UAN10"/>
    <mergeCell ref="UAO10:UAP10"/>
    <mergeCell ref="UAQ10:UAR10"/>
    <mergeCell ref="UAS10:UAT10"/>
    <mergeCell ref="UAU10:UAV10"/>
    <mergeCell ref="UAC10:UAD10"/>
    <mergeCell ref="UAE10:UAF10"/>
    <mergeCell ref="UAG10:UAH10"/>
    <mergeCell ref="UAI10:UAJ10"/>
    <mergeCell ref="UAK10:UAL10"/>
    <mergeCell ref="UCU10:UCV10"/>
    <mergeCell ref="UCW10:UCX10"/>
    <mergeCell ref="UCY10:UCZ10"/>
    <mergeCell ref="UDA10:UDB10"/>
    <mergeCell ref="UDC10:UDD10"/>
    <mergeCell ref="UCK10:UCL10"/>
    <mergeCell ref="UCM10:UCN10"/>
    <mergeCell ref="UCO10:UCP10"/>
    <mergeCell ref="UCQ10:UCR10"/>
    <mergeCell ref="UCS10:UCT10"/>
    <mergeCell ref="UCA10:UCB10"/>
    <mergeCell ref="UCC10:UCD10"/>
    <mergeCell ref="UCE10:UCF10"/>
    <mergeCell ref="UCG10:UCH10"/>
    <mergeCell ref="UCI10:UCJ10"/>
    <mergeCell ref="UBQ10:UBR10"/>
    <mergeCell ref="UBS10:UBT10"/>
    <mergeCell ref="UBU10:UBV10"/>
    <mergeCell ref="UBW10:UBX10"/>
    <mergeCell ref="UBY10:UBZ10"/>
    <mergeCell ref="UEI10:UEJ10"/>
    <mergeCell ref="UEK10:UEL10"/>
    <mergeCell ref="UEM10:UEN10"/>
    <mergeCell ref="UEO10:UEP10"/>
    <mergeCell ref="UEQ10:UER10"/>
    <mergeCell ref="UDY10:UDZ10"/>
    <mergeCell ref="UEA10:UEB10"/>
    <mergeCell ref="UEC10:UED10"/>
    <mergeCell ref="UEE10:UEF10"/>
    <mergeCell ref="UEG10:UEH10"/>
    <mergeCell ref="UDO10:UDP10"/>
    <mergeCell ref="UDQ10:UDR10"/>
    <mergeCell ref="UDS10:UDT10"/>
    <mergeCell ref="UDU10:UDV10"/>
    <mergeCell ref="UDW10:UDX10"/>
    <mergeCell ref="UDE10:UDF10"/>
    <mergeCell ref="UDG10:UDH10"/>
    <mergeCell ref="UDI10:UDJ10"/>
    <mergeCell ref="UDK10:UDL10"/>
    <mergeCell ref="UDM10:UDN10"/>
    <mergeCell ref="UFW10:UFX10"/>
    <mergeCell ref="UFY10:UFZ10"/>
    <mergeCell ref="UGA10:UGB10"/>
    <mergeCell ref="UGC10:UGD10"/>
    <mergeCell ref="UGE10:UGF10"/>
    <mergeCell ref="UFM10:UFN10"/>
    <mergeCell ref="UFO10:UFP10"/>
    <mergeCell ref="UFQ10:UFR10"/>
    <mergeCell ref="UFS10:UFT10"/>
    <mergeCell ref="UFU10:UFV10"/>
    <mergeCell ref="UFC10:UFD10"/>
    <mergeCell ref="UFE10:UFF10"/>
    <mergeCell ref="UFG10:UFH10"/>
    <mergeCell ref="UFI10:UFJ10"/>
    <mergeCell ref="UFK10:UFL10"/>
    <mergeCell ref="UES10:UET10"/>
    <mergeCell ref="UEU10:UEV10"/>
    <mergeCell ref="UEW10:UEX10"/>
    <mergeCell ref="UEY10:UEZ10"/>
    <mergeCell ref="UFA10:UFB10"/>
    <mergeCell ref="UHK10:UHL10"/>
    <mergeCell ref="UHM10:UHN10"/>
    <mergeCell ref="UHO10:UHP10"/>
    <mergeCell ref="UHQ10:UHR10"/>
    <mergeCell ref="UHS10:UHT10"/>
    <mergeCell ref="UHA10:UHB10"/>
    <mergeCell ref="UHC10:UHD10"/>
    <mergeCell ref="UHE10:UHF10"/>
    <mergeCell ref="UHG10:UHH10"/>
    <mergeCell ref="UHI10:UHJ10"/>
    <mergeCell ref="UGQ10:UGR10"/>
    <mergeCell ref="UGS10:UGT10"/>
    <mergeCell ref="UGU10:UGV10"/>
    <mergeCell ref="UGW10:UGX10"/>
    <mergeCell ref="UGY10:UGZ10"/>
    <mergeCell ref="UGG10:UGH10"/>
    <mergeCell ref="UGI10:UGJ10"/>
    <mergeCell ref="UGK10:UGL10"/>
    <mergeCell ref="UGM10:UGN10"/>
    <mergeCell ref="UGO10:UGP10"/>
    <mergeCell ref="UIY10:UIZ10"/>
    <mergeCell ref="UJA10:UJB10"/>
    <mergeCell ref="UJC10:UJD10"/>
    <mergeCell ref="UJE10:UJF10"/>
    <mergeCell ref="UJG10:UJH10"/>
    <mergeCell ref="UIO10:UIP10"/>
    <mergeCell ref="UIQ10:UIR10"/>
    <mergeCell ref="UIS10:UIT10"/>
    <mergeCell ref="UIU10:UIV10"/>
    <mergeCell ref="UIW10:UIX10"/>
    <mergeCell ref="UIE10:UIF10"/>
    <mergeCell ref="UIG10:UIH10"/>
    <mergeCell ref="UII10:UIJ10"/>
    <mergeCell ref="UIK10:UIL10"/>
    <mergeCell ref="UIM10:UIN10"/>
    <mergeCell ref="UHU10:UHV10"/>
    <mergeCell ref="UHW10:UHX10"/>
    <mergeCell ref="UHY10:UHZ10"/>
    <mergeCell ref="UIA10:UIB10"/>
    <mergeCell ref="UIC10:UID10"/>
    <mergeCell ref="UKM10:UKN10"/>
    <mergeCell ref="UKO10:UKP10"/>
    <mergeCell ref="UKQ10:UKR10"/>
    <mergeCell ref="UKS10:UKT10"/>
    <mergeCell ref="UKU10:UKV10"/>
    <mergeCell ref="UKC10:UKD10"/>
    <mergeCell ref="UKE10:UKF10"/>
    <mergeCell ref="UKG10:UKH10"/>
    <mergeCell ref="UKI10:UKJ10"/>
    <mergeCell ref="UKK10:UKL10"/>
    <mergeCell ref="UJS10:UJT10"/>
    <mergeCell ref="UJU10:UJV10"/>
    <mergeCell ref="UJW10:UJX10"/>
    <mergeCell ref="UJY10:UJZ10"/>
    <mergeCell ref="UKA10:UKB10"/>
    <mergeCell ref="UJI10:UJJ10"/>
    <mergeCell ref="UJK10:UJL10"/>
    <mergeCell ref="UJM10:UJN10"/>
    <mergeCell ref="UJO10:UJP10"/>
    <mergeCell ref="UJQ10:UJR10"/>
    <mergeCell ref="UMA10:UMB10"/>
    <mergeCell ref="UMC10:UMD10"/>
    <mergeCell ref="UME10:UMF10"/>
    <mergeCell ref="UMG10:UMH10"/>
    <mergeCell ref="UMI10:UMJ10"/>
    <mergeCell ref="ULQ10:ULR10"/>
    <mergeCell ref="ULS10:ULT10"/>
    <mergeCell ref="ULU10:ULV10"/>
    <mergeCell ref="ULW10:ULX10"/>
    <mergeCell ref="ULY10:ULZ10"/>
    <mergeCell ref="ULG10:ULH10"/>
    <mergeCell ref="ULI10:ULJ10"/>
    <mergeCell ref="ULK10:ULL10"/>
    <mergeCell ref="ULM10:ULN10"/>
    <mergeCell ref="ULO10:ULP10"/>
    <mergeCell ref="UKW10:UKX10"/>
    <mergeCell ref="UKY10:UKZ10"/>
    <mergeCell ref="ULA10:ULB10"/>
    <mergeCell ref="ULC10:ULD10"/>
    <mergeCell ref="ULE10:ULF10"/>
    <mergeCell ref="UNO10:UNP10"/>
    <mergeCell ref="UNQ10:UNR10"/>
    <mergeCell ref="UNS10:UNT10"/>
    <mergeCell ref="UNU10:UNV10"/>
    <mergeCell ref="UNW10:UNX10"/>
    <mergeCell ref="UNE10:UNF10"/>
    <mergeCell ref="UNG10:UNH10"/>
    <mergeCell ref="UNI10:UNJ10"/>
    <mergeCell ref="UNK10:UNL10"/>
    <mergeCell ref="UNM10:UNN10"/>
    <mergeCell ref="UMU10:UMV10"/>
    <mergeCell ref="UMW10:UMX10"/>
    <mergeCell ref="UMY10:UMZ10"/>
    <mergeCell ref="UNA10:UNB10"/>
    <mergeCell ref="UNC10:UND10"/>
    <mergeCell ref="UMK10:UML10"/>
    <mergeCell ref="UMM10:UMN10"/>
    <mergeCell ref="UMO10:UMP10"/>
    <mergeCell ref="UMQ10:UMR10"/>
    <mergeCell ref="UMS10:UMT10"/>
    <mergeCell ref="UPC10:UPD10"/>
    <mergeCell ref="UPE10:UPF10"/>
    <mergeCell ref="UPG10:UPH10"/>
    <mergeCell ref="UPI10:UPJ10"/>
    <mergeCell ref="UPK10:UPL10"/>
    <mergeCell ref="UOS10:UOT10"/>
    <mergeCell ref="UOU10:UOV10"/>
    <mergeCell ref="UOW10:UOX10"/>
    <mergeCell ref="UOY10:UOZ10"/>
    <mergeCell ref="UPA10:UPB10"/>
    <mergeCell ref="UOI10:UOJ10"/>
    <mergeCell ref="UOK10:UOL10"/>
    <mergeCell ref="UOM10:UON10"/>
    <mergeCell ref="UOO10:UOP10"/>
    <mergeCell ref="UOQ10:UOR10"/>
    <mergeCell ref="UNY10:UNZ10"/>
    <mergeCell ref="UOA10:UOB10"/>
    <mergeCell ref="UOC10:UOD10"/>
    <mergeCell ref="UOE10:UOF10"/>
    <mergeCell ref="UOG10:UOH10"/>
    <mergeCell ref="UQQ10:UQR10"/>
    <mergeCell ref="UQS10:UQT10"/>
    <mergeCell ref="UQU10:UQV10"/>
    <mergeCell ref="UQW10:UQX10"/>
    <mergeCell ref="UQY10:UQZ10"/>
    <mergeCell ref="UQG10:UQH10"/>
    <mergeCell ref="UQI10:UQJ10"/>
    <mergeCell ref="UQK10:UQL10"/>
    <mergeCell ref="UQM10:UQN10"/>
    <mergeCell ref="UQO10:UQP10"/>
    <mergeCell ref="UPW10:UPX10"/>
    <mergeCell ref="UPY10:UPZ10"/>
    <mergeCell ref="UQA10:UQB10"/>
    <mergeCell ref="UQC10:UQD10"/>
    <mergeCell ref="UQE10:UQF10"/>
    <mergeCell ref="UPM10:UPN10"/>
    <mergeCell ref="UPO10:UPP10"/>
    <mergeCell ref="UPQ10:UPR10"/>
    <mergeCell ref="UPS10:UPT10"/>
    <mergeCell ref="UPU10:UPV10"/>
    <mergeCell ref="USE10:USF10"/>
    <mergeCell ref="USG10:USH10"/>
    <mergeCell ref="USI10:USJ10"/>
    <mergeCell ref="USK10:USL10"/>
    <mergeCell ref="USM10:USN10"/>
    <mergeCell ref="URU10:URV10"/>
    <mergeCell ref="URW10:URX10"/>
    <mergeCell ref="URY10:URZ10"/>
    <mergeCell ref="USA10:USB10"/>
    <mergeCell ref="USC10:USD10"/>
    <mergeCell ref="URK10:URL10"/>
    <mergeCell ref="URM10:URN10"/>
    <mergeCell ref="URO10:URP10"/>
    <mergeCell ref="URQ10:URR10"/>
    <mergeCell ref="URS10:URT10"/>
    <mergeCell ref="URA10:URB10"/>
    <mergeCell ref="URC10:URD10"/>
    <mergeCell ref="URE10:URF10"/>
    <mergeCell ref="URG10:URH10"/>
    <mergeCell ref="URI10:URJ10"/>
    <mergeCell ref="UTS10:UTT10"/>
    <mergeCell ref="UTU10:UTV10"/>
    <mergeCell ref="UTW10:UTX10"/>
    <mergeCell ref="UTY10:UTZ10"/>
    <mergeCell ref="UUA10:UUB10"/>
    <mergeCell ref="UTI10:UTJ10"/>
    <mergeCell ref="UTK10:UTL10"/>
    <mergeCell ref="UTM10:UTN10"/>
    <mergeCell ref="UTO10:UTP10"/>
    <mergeCell ref="UTQ10:UTR10"/>
    <mergeCell ref="USY10:USZ10"/>
    <mergeCell ref="UTA10:UTB10"/>
    <mergeCell ref="UTC10:UTD10"/>
    <mergeCell ref="UTE10:UTF10"/>
    <mergeCell ref="UTG10:UTH10"/>
    <mergeCell ref="USO10:USP10"/>
    <mergeCell ref="USQ10:USR10"/>
    <mergeCell ref="USS10:UST10"/>
    <mergeCell ref="USU10:USV10"/>
    <mergeCell ref="USW10:USX10"/>
    <mergeCell ref="UVG10:UVH10"/>
    <mergeCell ref="UVI10:UVJ10"/>
    <mergeCell ref="UVK10:UVL10"/>
    <mergeCell ref="UVM10:UVN10"/>
    <mergeCell ref="UVO10:UVP10"/>
    <mergeCell ref="UUW10:UUX10"/>
    <mergeCell ref="UUY10:UUZ10"/>
    <mergeCell ref="UVA10:UVB10"/>
    <mergeCell ref="UVC10:UVD10"/>
    <mergeCell ref="UVE10:UVF10"/>
    <mergeCell ref="UUM10:UUN10"/>
    <mergeCell ref="UUO10:UUP10"/>
    <mergeCell ref="UUQ10:UUR10"/>
    <mergeCell ref="UUS10:UUT10"/>
    <mergeCell ref="UUU10:UUV10"/>
    <mergeCell ref="UUC10:UUD10"/>
    <mergeCell ref="UUE10:UUF10"/>
    <mergeCell ref="UUG10:UUH10"/>
    <mergeCell ref="UUI10:UUJ10"/>
    <mergeCell ref="UUK10:UUL10"/>
    <mergeCell ref="UWU10:UWV10"/>
    <mergeCell ref="UWW10:UWX10"/>
    <mergeCell ref="UWY10:UWZ10"/>
    <mergeCell ref="UXA10:UXB10"/>
    <mergeCell ref="UXC10:UXD10"/>
    <mergeCell ref="UWK10:UWL10"/>
    <mergeCell ref="UWM10:UWN10"/>
    <mergeCell ref="UWO10:UWP10"/>
    <mergeCell ref="UWQ10:UWR10"/>
    <mergeCell ref="UWS10:UWT10"/>
    <mergeCell ref="UWA10:UWB10"/>
    <mergeCell ref="UWC10:UWD10"/>
    <mergeCell ref="UWE10:UWF10"/>
    <mergeCell ref="UWG10:UWH10"/>
    <mergeCell ref="UWI10:UWJ10"/>
    <mergeCell ref="UVQ10:UVR10"/>
    <mergeCell ref="UVS10:UVT10"/>
    <mergeCell ref="UVU10:UVV10"/>
    <mergeCell ref="UVW10:UVX10"/>
    <mergeCell ref="UVY10:UVZ10"/>
    <mergeCell ref="UYI10:UYJ10"/>
    <mergeCell ref="UYK10:UYL10"/>
    <mergeCell ref="UYM10:UYN10"/>
    <mergeCell ref="UYO10:UYP10"/>
    <mergeCell ref="UYQ10:UYR10"/>
    <mergeCell ref="UXY10:UXZ10"/>
    <mergeCell ref="UYA10:UYB10"/>
    <mergeCell ref="UYC10:UYD10"/>
    <mergeCell ref="UYE10:UYF10"/>
    <mergeCell ref="UYG10:UYH10"/>
    <mergeCell ref="UXO10:UXP10"/>
    <mergeCell ref="UXQ10:UXR10"/>
    <mergeCell ref="UXS10:UXT10"/>
    <mergeCell ref="UXU10:UXV10"/>
    <mergeCell ref="UXW10:UXX10"/>
    <mergeCell ref="UXE10:UXF10"/>
    <mergeCell ref="UXG10:UXH10"/>
    <mergeCell ref="UXI10:UXJ10"/>
    <mergeCell ref="UXK10:UXL10"/>
    <mergeCell ref="UXM10:UXN10"/>
    <mergeCell ref="UZW10:UZX10"/>
    <mergeCell ref="UZY10:UZZ10"/>
    <mergeCell ref="VAA10:VAB10"/>
    <mergeCell ref="VAC10:VAD10"/>
    <mergeCell ref="VAE10:VAF10"/>
    <mergeCell ref="UZM10:UZN10"/>
    <mergeCell ref="UZO10:UZP10"/>
    <mergeCell ref="UZQ10:UZR10"/>
    <mergeCell ref="UZS10:UZT10"/>
    <mergeCell ref="UZU10:UZV10"/>
    <mergeCell ref="UZC10:UZD10"/>
    <mergeCell ref="UZE10:UZF10"/>
    <mergeCell ref="UZG10:UZH10"/>
    <mergeCell ref="UZI10:UZJ10"/>
    <mergeCell ref="UZK10:UZL10"/>
    <mergeCell ref="UYS10:UYT10"/>
    <mergeCell ref="UYU10:UYV10"/>
    <mergeCell ref="UYW10:UYX10"/>
    <mergeCell ref="UYY10:UYZ10"/>
    <mergeCell ref="UZA10:UZB10"/>
    <mergeCell ref="VBK10:VBL10"/>
    <mergeCell ref="VBM10:VBN10"/>
    <mergeCell ref="VBO10:VBP10"/>
    <mergeCell ref="VBQ10:VBR10"/>
    <mergeCell ref="VBS10:VBT10"/>
    <mergeCell ref="VBA10:VBB10"/>
    <mergeCell ref="VBC10:VBD10"/>
    <mergeCell ref="VBE10:VBF10"/>
    <mergeCell ref="VBG10:VBH10"/>
    <mergeCell ref="VBI10:VBJ10"/>
    <mergeCell ref="VAQ10:VAR10"/>
    <mergeCell ref="VAS10:VAT10"/>
    <mergeCell ref="VAU10:VAV10"/>
    <mergeCell ref="VAW10:VAX10"/>
    <mergeCell ref="VAY10:VAZ10"/>
    <mergeCell ref="VAG10:VAH10"/>
    <mergeCell ref="VAI10:VAJ10"/>
    <mergeCell ref="VAK10:VAL10"/>
    <mergeCell ref="VAM10:VAN10"/>
    <mergeCell ref="VAO10:VAP10"/>
    <mergeCell ref="VCY10:VCZ10"/>
    <mergeCell ref="VDA10:VDB10"/>
    <mergeCell ref="VDC10:VDD10"/>
    <mergeCell ref="VDE10:VDF10"/>
    <mergeCell ref="VDG10:VDH10"/>
    <mergeCell ref="VCO10:VCP10"/>
    <mergeCell ref="VCQ10:VCR10"/>
    <mergeCell ref="VCS10:VCT10"/>
    <mergeCell ref="VCU10:VCV10"/>
    <mergeCell ref="VCW10:VCX10"/>
    <mergeCell ref="VCE10:VCF10"/>
    <mergeCell ref="VCG10:VCH10"/>
    <mergeCell ref="VCI10:VCJ10"/>
    <mergeCell ref="VCK10:VCL10"/>
    <mergeCell ref="VCM10:VCN10"/>
    <mergeCell ref="VBU10:VBV10"/>
    <mergeCell ref="VBW10:VBX10"/>
    <mergeCell ref="VBY10:VBZ10"/>
    <mergeCell ref="VCA10:VCB10"/>
    <mergeCell ref="VCC10:VCD10"/>
    <mergeCell ref="VEM10:VEN10"/>
    <mergeCell ref="VEO10:VEP10"/>
    <mergeCell ref="VEQ10:VER10"/>
    <mergeCell ref="VES10:VET10"/>
    <mergeCell ref="VEU10:VEV10"/>
    <mergeCell ref="VEC10:VED10"/>
    <mergeCell ref="VEE10:VEF10"/>
    <mergeCell ref="VEG10:VEH10"/>
    <mergeCell ref="VEI10:VEJ10"/>
    <mergeCell ref="VEK10:VEL10"/>
    <mergeCell ref="VDS10:VDT10"/>
    <mergeCell ref="VDU10:VDV10"/>
    <mergeCell ref="VDW10:VDX10"/>
    <mergeCell ref="VDY10:VDZ10"/>
    <mergeCell ref="VEA10:VEB10"/>
    <mergeCell ref="VDI10:VDJ10"/>
    <mergeCell ref="VDK10:VDL10"/>
    <mergeCell ref="VDM10:VDN10"/>
    <mergeCell ref="VDO10:VDP10"/>
    <mergeCell ref="VDQ10:VDR10"/>
    <mergeCell ref="VGA10:VGB10"/>
    <mergeCell ref="VGC10:VGD10"/>
    <mergeCell ref="VGE10:VGF10"/>
    <mergeCell ref="VGG10:VGH10"/>
    <mergeCell ref="VGI10:VGJ10"/>
    <mergeCell ref="VFQ10:VFR10"/>
    <mergeCell ref="VFS10:VFT10"/>
    <mergeCell ref="VFU10:VFV10"/>
    <mergeCell ref="VFW10:VFX10"/>
    <mergeCell ref="VFY10:VFZ10"/>
    <mergeCell ref="VFG10:VFH10"/>
    <mergeCell ref="VFI10:VFJ10"/>
    <mergeCell ref="VFK10:VFL10"/>
    <mergeCell ref="VFM10:VFN10"/>
    <mergeCell ref="VFO10:VFP10"/>
    <mergeCell ref="VEW10:VEX10"/>
    <mergeCell ref="VEY10:VEZ10"/>
    <mergeCell ref="VFA10:VFB10"/>
    <mergeCell ref="VFC10:VFD10"/>
    <mergeCell ref="VFE10:VFF10"/>
    <mergeCell ref="VHO10:VHP10"/>
    <mergeCell ref="VHQ10:VHR10"/>
    <mergeCell ref="VHS10:VHT10"/>
    <mergeCell ref="VHU10:VHV10"/>
    <mergeCell ref="VHW10:VHX10"/>
    <mergeCell ref="VHE10:VHF10"/>
    <mergeCell ref="VHG10:VHH10"/>
    <mergeCell ref="VHI10:VHJ10"/>
    <mergeCell ref="VHK10:VHL10"/>
    <mergeCell ref="VHM10:VHN10"/>
    <mergeCell ref="VGU10:VGV10"/>
    <mergeCell ref="VGW10:VGX10"/>
    <mergeCell ref="VGY10:VGZ10"/>
    <mergeCell ref="VHA10:VHB10"/>
    <mergeCell ref="VHC10:VHD10"/>
    <mergeCell ref="VGK10:VGL10"/>
    <mergeCell ref="VGM10:VGN10"/>
    <mergeCell ref="VGO10:VGP10"/>
    <mergeCell ref="VGQ10:VGR10"/>
    <mergeCell ref="VGS10:VGT10"/>
    <mergeCell ref="VJC10:VJD10"/>
    <mergeCell ref="VJE10:VJF10"/>
    <mergeCell ref="VJG10:VJH10"/>
    <mergeCell ref="VJI10:VJJ10"/>
    <mergeCell ref="VJK10:VJL10"/>
    <mergeCell ref="VIS10:VIT10"/>
    <mergeCell ref="VIU10:VIV10"/>
    <mergeCell ref="VIW10:VIX10"/>
    <mergeCell ref="VIY10:VIZ10"/>
    <mergeCell ref="VJA10:VJB10"/>
    <mergeCell ref="VII10:VIJ10"/>
    <mergeCell ref="VIK10:VIL10"/>
    <mergeCell ref="VIM10:VIN10"/>
    <mergeCell ref="VIO10:VIP10"/>
    <mergeCell ref="VIQ10:VIR10"/>
    <mergeCell ref="VHY10:VHZ10"/>
    <mergeCell ref="VIA10:VIB10"/>
    <mergeCell ref="VIC10:VID10"/>
    <mergeCell ref="VIE10:VIF10"/>
    <mergeCell ref="VIG10:VIH10"/>
    <mergeCell ref="VKQ10:VKR10"/>
    <mergeCell ref="VKS10:VKT10"/>
    <mergeCell ref="VKU10:VKV10"/>
    <mergeCell ref="VKW10:VKX10"/>
    <mergeCell ref="VKY10:VKZ10"/>
    <mergeCell ref="VKG10:VKH10"/>
    <mergeCell ref="VKI10:VKJ10"/>
    <mergeCell ref="VKK10:VKL10"/>
    <mergeCell ref="VKM10:VKN10"/>
    <mergeCell ref="VKO10:VKP10"/>
    <mergeCell ref="VJW10:VJX10"/>
    <mergeCell ref="VJY10:VJZ10"/>
    <mergeCell ref="VKA10:VKB10"/>
    <mergeCell ref="VKC10:VKD10"/>
    <mergeCell ref="VKE10:VKF10"/>
    <mergeCell ref="VJM10:VJN10"/>
    <mergeCell ref="VJO10:VJP10"/>
    <mergeCell ref="VJQ10:VJR10"/>
    <mergeCell ref="VJS10:VJT10"/>
    <mergeCell ref="VJU10:VJV10"/>
    <mergeCell ref="VME10:VMF10"/>
    <mergeCell ref="VMG10:VMH10"/>
    <mergeCell ref="VMI10:VMJ10"/>
    <mergeCell ref="VMK10:VML10"/>
    <mergeCell ref="VMM10:VMN10"/>
    <mergeCell ref="VLU10:VLV10"/>
    <mergeCell ref="VLW10:VLX10"/>
    <mergeCell ref="VLY10:VLZ10"/>
    <mergeCell ref="VMA10:VMB10"/>
    <mergeCell ref="VMC10:VMD10"/>
    <mergeCell ref="VLK10:VLL10"/>
    <mergeCell ref="VLM10:VLN10"/>
    <mergeCell ref="VLO10:VLP10"/>
    <mergeCell ref="VLQ10:VLR10"/>
    <mergeCell ref="VLS10:VLT10"/>
    <mergeCell ref="VLA10:VLB10"/>
    <mergeCell ref="VLC10:VLD10"/>
    <mergeCell ref="VLE10:VLF10"/>
    <mergeCell ref="VLG10:VLH10"/>
    <mergeCell ref="VLI10:VLJ10"/>
    <mergeCell ref="VNS10:VNT10"/>
    <mergeCell ref="VNU10:VNV10"/>
    <mergeCell ref="VNW10:VNX10"/>
    <mergeCell ref="VNY10:VNZ10"/>
    <mergeCell ref="VOA10:VOB10"/>
    <mergeCell ref="VNI10:VNJ10"/>
    <mergeCell ref="VNK10:VNL10"/>
    <mergeCell ref="VNM10:VNN10"/>
    <mergeCell ref="VNO10:VNP10"/>
    <mergeCell ref="VNQ10:VNR10"/>
    <mergeCell ref="VMY10:VMZ10"/>
    <mergeCell ref="VNA10:VNB10"/>
    <mergeCell ref="VNC10:VND10"/>
    <mergeCell ref="VNE10:VNF10"/>
    <mergeCell ref="VNG10:VNH10"/>
    <mergeCell ref="VMO10:VMP10"/>
    <mergeCell ref="VMQ10:VMR10"/>
    <mergeCell ref="VMS10:VMT10"/>
    <mergeCell ref="VMU10:VMV10"/>
    <mergeCell ref="VMW10:VMX10"/>
    <mergeCell ref="VPG10:VPH10"/>
    <mergeCell ref="VPI10:VPJ10"/>
    <mergeCell ref="VPK10:VPL10"/>
    <mergeCell ref="VPM10:VPN10"/>
    <mergeCell ref="VPO10:VPP10"/>
    <mergeCell ref="VOW10:VOX10"/>
    <mergeCell ref="VOY10:VOZ10"/>
    <mergeCell ref="VPA10:VPB10"/>
    <mergeCell ref="VPC10:VPD10"/>
    <mergeCell ref="VPE10:VPF10"/>
    <mergeCell ref="VOM10:VON10"/>
    <mergeCell ref="VOO10:VOP10"/>
    <mergeCell ref="VOQ10:VOR10"/>
    <mergeCell ref="VOS10:VOT10"/>
    <mergeCell ref="VOU10:VOV10"/>
    <mergeCell ref="VOC10:VOD10"/>
    <mergeCell ref="VOE10:VOF10"/>
    <mergeCell ref="VOG10:VOH10"/>
    <mergeCell ref="VOI10:VOJ10"/>
    <mergeCell ref="VOK10:VOL10"/>
    <mergeCell ref="VQU10:VQV10"/>
    <mergeCell ref="VQW10:VQX10"/>
    <mergeCell ref="VQY10:VQZ10"/>
    <mergeCell ref="VRA10:VRB10"/>
    <mergeCell ref="VRC10:VRD10"/>
    <mergeCell ref="VQK10:VQL10"/>
    <mergeCell ref="VQM10:VQN10"/>
    <mergeCell ref="VQO10:VQP10"/>
    <mergeCell ref="VQQ10:VQR10"/>
    <mergeCell ref="VQS10:VQT10"/>
    <mergeCell ref="VQA10:VQB10"/>
    <mergeCell ref="VQC10:VQD10"/>
    <mergeCell ref="VQE10:VQF10"/>
    <mergeCell ref="VQG10:VQH10"/>
    <mergeCell ref="VQI10:VQJ10"/>
    <mergeCell ref="VPQ10:VPR10"/>
    <mergeCell ref="VPS10:VPT10"/>
    <mergeCell ref="VPU10:VPV10"/>
    <mergeCell ref="VPW10:VPX10"/>
    <mergeCell ref="VPY10:VPZ10"/>
    <mergeCell ref="VSI10:VSJ10"/>
    <mergeCell ref="VSK10:VSL10"/>
    <mergeCell ref="VSM10:VSN10"/>
    <mergeCell ref="VSO10:VSP10"/>
    <mergeCell ref="VSQ10:VSR10"/>
    <mergeCell ref="VRY10:VRZ10"/>
    <mergeCell ref="VSA10:VSB10"/>
    <mergeCell ref="VSC10:VSD10"/>
    <mergeCell ref="VSE10:VSF10"/>
    <mergeCell ref="VSG10:VSH10"/>
    <mergeCell ref="VRO10:VRP10"/>
    <mergeCell ref="VRQ10:VRR10"/>
    <mergeCell ref="VRS10:VRT10"/>
    <mergeCell ref="VRU10:VRV10"/>
    <mergeCell ref="VRW10:VRX10"/>
    <mergeCell ref="VRE10:VRF10"/>
    <mergeCell ref="VRG10:VRH10"/>
    <mergeCell ref="VRI10:VRJ10"/>
    <mergeCell ref="VRK10:VRL10"/>
    <mergeCell ref="VRM10:VRN10"/>
    <mergeCell ref="VTW10:VTX10"/>
    <mergeCell ref="VTY10:VTZ10"/>
    <mergeCell ref="VUA10:VUB10"/>
    <mergeCell ref="VUC10:VUD10"/>
    <mergeCell ref="VUE10:VUF10"/>
    <mergeCell ref="VTM10:VTN10"/>
    <mergeCell ref="VTO10:VTP10"/>
    <mergeCell ref="VTQ10:VTR10"/>
    <mergeCell ref="VTS10:VTT10"/>
    <mergeCell ref="VTU10:VTV10"/>
    <mergeCell ref="VTC10:VTD10"/>
    <mergeCell ref="VTE10:VTF10"/>
    <mergeCell ref="VTG10:VTH10"/>
    <mergeCell ref="VTI10:VTJ10"/>
    <mergeCell ref="VTK10:VTL10"/>
    <mergeCell ref="VSS10:VST10"/>
    <mergeCell ref="VSU10:VSV10"/>
    <mergeCell ref="VSW10:VSX10"/>
    <mergeCell ref="VSY10:VSZ10"/>
    <mergeCell ref="VTA10:VTB10"/>
    <mergeCell ref="VVK10:VVL10"/>
    <mergeCell ref="VVM10:VVN10"/>
    <mergeCell ref="VVO10:VVP10"/>
    <mergeCell ref="VVQ10:VVR10"/>
    <mergeCell ref="VVS10:VVT10"/>
    <mergeCell ref="VVA10:VVB10"/>
    <mergeCell ref="VVC10:VVD10"/>
    <mergeCell ref="VVE10:VVF10"/>
    <mergeCell ref="VVG10:VVH10"/>
    <mergeCell ref="VVI10:VVJ10"/>
    <mergeCell ref="VUQ10:VUR10"/>
    <mergeCell ref="VUS10:VUT10"/>
    <mergeCell ref="VUU10:VUV10"/>
    <mergeCell ref="VUW10:VUX10"/>
    <mergeCell ref="VUY10:VUZ10"/>
    <mergeCell ref="VUG10:VUH10"/>
    <mergeCell ref="VUI10:VUJ10"/>
    <mergeCell ref="VUK10:VUL10"/>
    <mergeCell ref="VUM10:VUN10"/>
    <mergeCell ref="VUO10:VUP10"/>
    <mergeCell ref="VWY10:VWZ10"/>
    <mergeCell ref="VXA10:VXB10"/>
    <mergeCell ref="VXC10:VXD10"/>
    <mergeCell ref="VXE10:VXF10"/>
    <mergeCell ref="VXG10:VXH10"/>
    <mergeCell ref="VWO10:VWP10"/>
    <mergeCell ref="VWQ10:VWR10"/>
    <mergeCell ref="VWS10:VWT10"/>
    <mergeCell ref="VWU10:VWV10"/>
    <mergeCell ref="VWW10:VWX10"/>
    <mergeCell ref="VWE10:VWF10"/>
    <mergeCell ref="VWG10:VWH10"/>
    <mergeCell ref="VWI10:VWJ10"/>
    <mergeCell ref="VWK10:VWL10"/>
    <mergeCell ref="VWM10:VWN10"/>
    <mergeCell ref="VVU10:VVV10"/>
    <mergeCell ref="VVW10:VVX10"/>
    <mergeCell ref="VVY10:VVZ10"/>
    <mergeCell ref="VWA10:VWB10"/>
    <mergeCell ref="VWC10:VWD10"/>
    <mergeCell ref="VYM10:VYN10"/>
    <mergeCell ref="VYO10:VYP10"/>
    <mergeCell ref="VYQ10:VYR10"/>
    <mergeCell ref="VYS10:VYT10"/>
    <mergeCell ref="VYU10:VYV10"/>
    <mergeCell ref="VYC10:VYD10"/>
    <mergeCell ref="VYE10:VYF10"/>
    <mergeCell ref="VYG10:VYH10"/>
    <mergeCell ref="VYI10:VYJ10"/>
    <mergeCell ref="VYK10:VYL10"/>
    <mergeCell ref="VXS10:VXT10"/>
    <mergeCell ref="VXU10:VXV10"/>
    <mergeCell ref="VXW10:VXX10"/>
    <mergeCell ref="VXY10:VXZ10"/>
    <mergeCell ref="VYA10:VYB10"/>
    <mergeCell ref="VXI10:VXJ10"/>
    <mergeCell ref="VXK10:VXL10"/>
    <mergeCell ref="VXM10:VXN10"/>
    <mergeCell ref="VXO10:VXP10"/>
    <mergeCell ref="VXQ10:VXR10"/>
    <mergeCell ref="WAA10:WAB10"/>
    <mergeCell ref="WAC10:WAD10"/>
    <mergeCell ref="WAE10:WAF10"/>
    <mergeCell ref="WAG10:WAH10"/>
    <mergeCell ref="WAI10:WAJ10"/>
    <mergeCell ref="VZQ10:VZR10"/>
    <mergeCell ref="VZS10:VZT10"/>
    <mergeCell ref="VZU10:VZV10"/>
    <mergeCell ref="VZW10:VZX10"/>
    <mergeCell ref="VZY10:VZZ10"/>
    <mergeCell ref="VZG10:VZH10"/>
    <mergeCell ref="VZI10:VZJ10"/>
    <mergeCell ref="VZK10:VZL10"/>
    <mergeCell ref="VZM10:VZN10"/>
    <mergeCell ref="VZO10:VZP10"/>
    <mergeCell ref="VYW10:VYX10"/>
    <mergeCell ref="VYY10:VYZ10"/>
    <mergeCell ref="VZA10:VZB10"/>
    <mergeCell ref="VZC10:VZD10"/>
    <mergeCell ref="VZE10:VZF10"/>
    <mergeCell ref="WBO10:WBP10"/>
    <mergeCell ref="WBQ10:WBR10"/>
    <mergeCell ref="WBS10:WBT10"/>
    <mergeCell ref="WBU10:WBV10"/>
    <mergeCell ref="WBW10:WBX10"/>
    <mergeCell ref="WBE10:WBF10"/>
    <mergeCell ref="WBG10:WBH10"/>
    <mergeCell ref="WBI10:WBJ10"/>
    <mergeCell ref="WBK10:WBL10"/>
    <mergeCell ref="WBM10:WBN10"/>
    <mergeCell ref="WAU10:WAV10"/>
    <mergeCell ref="WAW10:WAX10"/>
    <mergeCell ref="WAY10:WAZ10"/>
    <mergeCell ref="WBA10:WBB10"/>
    <mergeCell ref="WBC10:WBD10"/>
    <mergeCell ref="WAK10:WAL10"/>
    <mergeCell ref="WAM10:WAN10"/>
    <mergeCell ref="WAO10:WAP10"/>
    <mergeCell ref="WAQ10:WAR10"/>
    <mergeCell ref="WAS10:WAT10"/>
    <mergeCell ref="WDC10:WDD10"/>
    <mergeCell ref="WDE10:WDF10"/>
    <mergeCell ref="WDG10:WDH10"/>
    <mergeCell ref="WDI10:WDJ10"/>
    <mergeCell ref="WDK10:WDL10"/>
    <mergeCell ref="WCS10:WCT10"/>
    <mergeCell ref="WCU10:WCV10"/>
    <mergeCell ref="WCW10:WCX10"/>
    <mergeCell ref="WCY10:WCZ10"/>
    <mergeCell ref="WDA10:WDB10"/>
    <mergeCell ref="WCI10:WCJ10"/>
    <mergeCell ref="WCK10:WCL10"/>
    <mergeCell ref="WCM10:WCN10"/>
    <mergeCell ref="WCO10:WCP10"/>
    <mergeCell ref="WCQ10:WCR10"/>
    <mergeCell ref="WBY10:WBZ10"/>
    <mergeCell ref="WCA10:WCB10"/>
    <mergeCell ref="WCC10:WCD10"/>
    <mergeCell ref="WCE10:WCF10"/>
    <mergeCell ref="WCG10:WCH10"/>
    <mergeCell ref="WEQ10:WER10"/>
    <mergeCell ref="WES10:WET10"/>
    <mergeCell ref="WEU10:WEV10"/>
    <mergeCell ref="WEW10:WEX10"/>
    <mergeCell ref="WEY10:WEZ10"/>
    <mergeCell ref="WEG10:WEH10"/>
    <mergeCell ref="WEI10:WEJ10"/>
    <mergeCell ref="WEK10:WEL10"/>
    <mergeCell ref="WEM10:WEN10"/>
    <mergeCell ref="WEO10:WEP10"/>
    <mergeCell ref="WDW10:WDX10"/>
    <mergeCell ref="WDY10:WDZ10"/>
    <mergeCell ref="WEA10:WEB10"/>
    <mergeCell ref="WEC10:WED10"/>
    <mergeCell ref="WEE10:WEF10"/>
    <mergeCell ref="WDM10:WDN10"/>
    <mergeCell ref="WDO10:WDP10"/>
    <mergeCell ref="WDQ10:WDR10"/>
    <mergeCell ref="WDS10:WDT10"/>
    <mergeCell ref="WDU10:WDV10"/>
    <mergeCell ref="WGE10:WGF10"/>
    <mergeCell ref="WGG10:WGH10"/>
    <mergeCell ref="WGI10:WGJ10"/>
    <mergeCell ref="WGK10:WGL10"/>
    <mergeCell ref="WGM10:WGN10"/>
    <mergeCell ref="WFU10:WFV10"/>
    <mergeCell ref="WFW10:WFX10"/>
    <mergeCell ref="WFY10:WFZ10"/>
    <mergeCell ref="WGA10:WGB10"/>
    <mergeCell ref="WGC10:WGD10"/>
    <mergeCell ref="WFK10:WFL10"/>
    <mergeCell ref="WFM10:WFN10"/>
    <mergeCell ref="WFO10:WFP10"/>
    <mergeCell ref="WFQ10:WFR10"/>
    <mergeCell ref="WFS10:WFT10"/>
    <mergeCell ref="WFA10:WFB10"/>
    <mergeCell ref="WFC10:WFD10"/>
    <mergeCell ref="WFE10:WFF10"/>
    <mergeCell ref="WFG10:WFH10"/>
    <mergeCell ref="WFI10:WFJ10"/>
    <mergeCell ref="WHS10:WHT10"/>
    <mergeCell ref="WHU10:WHV10"/>
    <mergeCell ref="WHW10:WHX10"/>
    <mergeCell ref="WHY10:WHZ10"/>
    <mergeCell ref="WIA10:WIB10"/>
    <mergeCell ref="WHI10:WHJ10"/>
    <mergeCell ref="WHK10:WHL10"/>
    <mergeCell ref="WHM10:WHN10"/>
    <mergeCell ref="WHO10:WHP10"/>
    <mergeCell ref="WHQ10:WHR10"/>
    <mergeCell ref="WGY10:WGZ10"/>
    <mergeCell ref="WHA10:WHB10"/>
    <mergeCell ref="WHC10:WHD10"/>
    <mergeCell ref="WHE10:WHF10"/>
    <mergeCell ref="WHG10:WHH10"/>
    <mergeCell ref="WGO10:WGP10"/>
    <mergeCell ref="WGQ10:WGR10"/>
    <mergeCell ref="WGS10:WGT10"/>
    <mergeCell ref="WGU10:WGV10"/>
    <mergeCell ref="WGW10:WGX10"/>
    <mergeCell ref="WJG10:WJH10"/>
    <mergeCell ref="WJI10:WJJ10"/>
    <mergeCell ref="WJK10:WJL10"/>
    <mergeCell ref="WJM10:WJN10"/>
    <mergeCell ref="WJO10:WJP10"/>
    <mergeCell ref="WIW10:WIX10"/>
    <mergeCell ref="WIY10:WIZ10"/>
    <mergeCell ref="WJA10:WJB10"/>
    <mergeCell ref="WJC10:WJD10"/>
    <mergeCell ref="WJE10:WJF10"/>
    <mergeCell ref="WIM10:WIN10"/>
    <mergeCell ref="WIO10:WIP10"/>
    <mergeCell ref="WIQ10:WIR10"/>
    <mergeCell ref="WIS10:WIT10"/>
    <mergeCell ref="WIU10:WIV10"/>
    <mergeCell ref="WIC10:WID10"/>
    <mergeCell ref="WIE10:WIF10"/>
    <mergeCell ref="WIG10:WIH10"/>
    <mergeCell ref="WII10:WIJ10"/>
    <mergeCell ref="WIK10:WIL10"/>
    <mergeCell ref="WKU10:WKV10"/>
    <mergeCell ref="WKW10:WKX10"/>
    <mergeCell ref="WKY10:WKZ10"/>
    <mergeCell ref="WLA10:WLB10"/>
    <mergeCell ref="WLC10:WLD10"/>
    <mergeCell ref="WKK10:WKL10"/>
    <mergeCell ref="WKM10:WKN10"/>
    <mergeCell ref="WKO10:WKP10"/>
    <mergeCell ref="WKQ10:WKR10"/>
    <mergeCell ref="WKS10:WKT10"/>
    <mergeCell ref="WKA10:WKB10"/>
    <mergeCell ref="WKC10:WKD10"/>
    <mergeCell ref="WKE10:WKF10"/>
    <mergeCell ref="WKG10:WKH10"/>
    <mergeCell ref="WKI10:WKJ10"/>
    <mergeCell ref="WJQ10:WJR10"/>
    <mergeCell ref="WJS10:WJT10"/>
    <mergeCell ref="WJU10:WJV10"/>
    <mergeCell ref="WJW10:WJX10"/>
    <mergeCell ref="WJY10:WJZ10"/>
    <mergeCell ref="WMI10:WMJ10"/>
    <mergeCell ref="WMK10:WML10"/>
    <mergeCell ref="WMM10:WMN10"/>
    <mergeCell ref="WMO10:WMP10"/>
    <mergeCell ref="WMQ10:WMR10"/>
    <mergeCell ref="WLY10:WLZ10"/>
    <mergeCell ref="WMA10:WMB10"/>
    <mergeCell ref="WMC10:WMD10"/>
    <mergeCell ref="WME10:WMF10"/>
    <mergeCell ref="WMG10:WMH10"/>
    <mergeCell ref="WLO10:WLP10"/>
    <mergeCell ref="WLQ10:WLR10"/>
    <mergeCell ref="WLS10:WLT10"/>
    <mergeCell ref="WLU10:WLV10"/>
    <mergeCell ref="WLW10:WLX10"/>
    <mergeCell ref="WLE10:WLF10"/>
    <mergeCell ref="WLG10:WLH10"/>
    <mergeCell ref="WLI10:WLJ10"/>
    <mergeCell ref="WLK10:WLL10"/>
    <mergeCell ref="WLM10:WLN10"/>
    <mergeCell ref="WNW10:WNX10"/>
    <mergeCell ref="WNY10:WNZ10"/>
    <mergeCell ref="WOA10:WOB10"/>
    <mergeCell ref="WOC10:WOD10"/>
    <mergeCell ref="WOE10:WOF10"/>
    <mergeCell ref="WNM10:WNN10"/>
    <mergeCell ref="WNO10:WNP10"/>
    <mergeCell ref="WNQ10:WNR10"/>
    <mergeCell ref="WNS10:WNT10"/>
    <mergeCell ref="WNU10:WNV10"/>
    <mergeCell ref="WNC10:WND10"/>
    <mergeCell ref="WNE10:WNF10"/>
    <mergeCell ref="WNG10:WNH10"/>
    <mergeCell ref="WNI10:WNJ10"/>
    <mergeCell ref="WNK10:WNL10"/>
    <mergeCell ref="WMS10:WMT10"/>
    <mergeCell ref="WMU10:WMV10"/>
    <mergeCell ref="WMW10:WMX10"/>
    <mergeCell ref="WMY10:WMZ10"/>
    <mergeCell ref="WNA10:WNB10"/>
    <mergeCell ref="WPK10:WPL10"/>
    <mergeCell ref="WPM10:WPN10"/>
    <mergeCell ref="WPO10:WPP10"/>
    <mergeCell ref="WPQ10:WPR10"/>
    <mergeCell ref="WPS10:WPT10"/>
    <mergeCell ref="WPA10:WPB10"/>
    <mergeCell ref="WPC10:WPD10"/>
    <mergeCell ref="WPE10:WPF10"/>
    <mergeCell ref="WPG10:WPH10"/>
    <mergeCell ref="WPI10:WPJ10"/>
    <mergeCell ref="WOQ10:WOR10"/>
    <mergeCell ref="WOS10:WOT10"/>
    <mergeCell ref="WOU10:WOV10"/>
    <mergeCell ref="WOW10:WOX10"/>
    <mergeCell ref="WOY10:WOZ10"/>
    <mergeCell ref="WOG10:WOH10"/>
    <mergeCell ref="WOI10:WOJ10"/>
    <mergeCell ref="WOK10:WOL10"/>
    <mergeCell ref="WOM10:WON10"/>
    <mergeCell ref="WOO10:WOP10"/>
    <mergeCell ref="WQY10:WQZ10"/>
    <mergeCell ref="WRA10:WRB10"/>
    <mergeCell ref="WRC10:WRD10"/>
    <mergeCell ref="WRE10:WRF10"/>
    <mergeCell ref="WRG10:WRH10"/>
    <mergeCell ref="WQO10:WQP10"/>
    <mergeCell ref="WQQ10:WQR10"/>
    <mergeCell ref="WQS10:WQT10"/>
    <mergeCell ref="WQU10:WQV10"/>
    <mergeCell ref="WQW10:WQX10"/>
    <mergeCell ref="WQE10:WQF10"/>
    <mergeCell ref="WQG10:WQH10"/>
    <mergeCell ref="WQI10:WQJ10"/>
    <mergeCell ref="WQK10:WQL10"/>
    <mergeCell ref="WQM10:WQN10"/>
    <mergeCell ref="WPU10:WPV10"/>
    <mergeCell ref="WPW10:WPX10"/>
    <mergeCell ref="WPY10:WPZ10"/>
    <mergeCell ref="WQA10:WQB10"/>
    <mergeCell ref="WQC10:WQD10"/>
    <mergeCell ref="WSM10:WSN10"/>
    <mergeCell ref="WSO10:WSP10"/>
    <mergeCell ref="WSQ10:WSR10"/>
    <mergeCell ref="WSS10:WST10"/>
    <mergeCell ref="WSU10:WSV10"/>
    <mergeCell ref="WSC10:WSD10"/>
    <mergeCell ref="WSE10:WSF10"/>
    <mergeCell ref="WSG10:WSH10"/>
    <mergeCell ref="WSI10:WSJ10"/>
    <mergeCell ref="WSK10:WSL10"/>
    <mergeCell ref="WRS10:WRT10"/>
    <mergeCell ref="WRU10:WRV10"/>
    <mergeCell ref="WRW10:WRX10"/>
    <mergeCell ref="WRY10:WRZ10"/>
    <mergeCell ref="WSA10:WSB10"/>
    <mergeCell ref="WRI10:WRJ10"/>
    <mergeCell ref="WRK10:WRL10"/>
    <mergeCell ref="WRM10:WRN10"/>
    <mergeCell ref="WRO10:WRP10"/>
    <mergeCell ref="WRQ10:WRR10"/>
    <mergeCell ref="WUA10:WUB10"/>
    <mergeCell ref="WUC10:WUD10"/>
    <mergeCell ref="WUE10:WUF10"/>
    <mergeCell ref="WUG10:WUH10"/>
    <mergeCell ref="WUI10:WUJ10"/>
    <mergeCell ref="WTQ10:WTR10"/>
    <mergeCell ref="WTS10:WTT10"/>
    <mergeCell ref="WTU10:WTV10"/>
    <mergeCell ref="WTW10:WTX10"/>
    <mergeCell ref="WTY10:WTZ10"/>
    <mergeCell ref="WTG10:WTH10"/>
    <mergeCell ref="WTI10:WTJ10"/>
    <mergeCell ref="WTK10:WTL10"/>
    <mergeCell ref="WTM10:WTN10"/>
    <mergeCell ref="WTO10:WTP10"/>
    <mergeCell ref="WSW10:WSX10"/>
    <mergeCell ref="WSY10:WSZ10"/>
    <mergeCell ref="WTA10:WTB10"/>
    <mergeCell ref="WTC10:WTD10"/>
    <mergeCell ref="WTE10:WTF10"/>
    <mergeCell ref="WVO10:WVP10"/>
    <mergeCell ref="WVQ10:WVR10"/>
    <mergeCell ref="WVS10:WVT10"/>
    <mergeCell ref="WVU10:WVV10"/>
    <mergeCell ref="WVW10:WVX10"/>
    <mergeCell ref="WVE10:WVF10"/>
    <mergeCell ref="WVG10:WVH10"/>
    <mergeCell ref="WVI10:WVJ10"/>
    <mergeCell ref="WVK10:WVL10"/>
    <mergeCell ref="WVM10:WVN10"/>
    <mergeCell ref="WUU10:WUV10"/>
    <mergeCell ref="WUW10:WUX10"/>
    <mergeCell ref="WUY10:WUZ10"/>
    <mergeCell ref="WVA10:WVB10"/>
    <mergeCell ref="WVC10:WVD10"/>
    <mergeCell ref="WUK10:WUL10"/>
    <mergeCell ref="WUM10:WUN10"/>
    <mergeCell ref="WUO10:WUP10"/>
    <mergeCell ref="WUQ10:WUR10"/>
    <mergeCell ref="WUS10:WUT10"/>
    <mergeCell ref="WXC10:WXD10"/>
    <mergeCell ref="WXE10:WXF10"/>
    <mergeCell ref="WXG10:WXH10"/>
    <mergeCell ref="WXI10:WXJ10"/>
    <mergeCell ref="WXK10:WXL10"/>
    <mergeCell ref="WWS10:WWT10"/>
    <mergeCell ref="WWU10:WWV10"/>
    <mergeCell ref="WWW10:WWX10"/>
    <mergeCell ref="WWY10:WWZ10"/>
    <mergeCell ref="WXA10:WXB10"/>
    <mergeCell ref="WWI10:WWJ10"/>
    <mergeCell ref="WWK10:WWL10"/>
    <mergeCell ref="WWM10:WWN10"/>
    <mergeCell ref="WWO10:WWP10"/>
    <mergeCell ref="WWQ10:WWR10"/>
    <mergeCell ref="WVY10:WVZ10"/>
    <mergeCell ref="WWA10:WWB10"/>
    <mergeCell ref="WWC10:WWD10"/>
    <mergeCell ref="WWE10:WWF10"/>
    <mergeCell ref="WWG10:WWH10"/>
    <mergeCell ref="WYQ10:WYR10"/>
    <mergeCell ref="WYS10:WYT10"/>
    <mergeCell ref="WYU10:WYV10"/>
    <mergeCell ref="WYW10:WYX10"/>
    <mergeCell ref="WYY10:WYZ10"/>
    <mergeCell ref="WYG10:WYH10"/>
    <mergeCell ref="WYI10:WYJ10"/>
    <mergeCell ref="WYK10:WYL10"/>
    <mergeCell ref="WYM10:WYN10"/>
    <mergeCell ref="WYO10:WYP10"/>
    <mergeCell ref="WXW10:WXX10"/>
    <mergeCell ref="WXY10:WXZ10"/>
    <mergeCell ref="WYA10:WYB10"/>
    <mergeCell ref="WYC10:WYD10"/>
    <mergeCell ref="WYE10:WYF10"/>
    <mergeCell ref="WXM10:WXN10"/>
    <mergeCell ref="WXO10:WXP10"/>
    <mergeCell ref="WXQ10:WXR10"/>
    <mergeCell ref="WXS10:WXT10"/>
    <mergeCell ref="WXU10:WXV10"/>
    <mergeCell ref="XAE10:XAF10"/>
    <mergeCell ref="XAG10:XAH10"/>
    <mergeCell ref="XAI10:XAJ10"/>
    <mergeCell ref="XAK10:XAL10"/>
    <mergeCell ref="XAM10:XAN10"/>
    <mergeCell ref="WZU10:WZV10"/>
    <mergeCell ref="WZW10:WZX10"/>
    <mergeCell ref="WZY10:WZZ10"/>
    <mergeCell ref="XAA10:XAB10"/>
    <mergeCell ref="XAC10:XAD10"/>
    <mergeCell ref="WZK10:WZL10"/>
    <mergeCell ref="WZM10:WZN10"/>
    <mergeCell ref="WZO10:WZP10"/>
    <mergeCell ref="WZQ10:WZR10"/>
    <mergeCell ref="WZS10:WZT10"/>
    <mergeCell ref="WZA10:WZB10"/>
    <mergeCell ref="WZC10:WZD10"/>
    <mergeCell ref="WZE10:WZF10"/>
    <mergeCell ref="WZG10:WZH10"/>
    <mergeCell ref="WZI10:WZJ10"/>
    <mergeCell ref="XBS10:XBT10"/>
    <mergeCell ref="XBU10:XBV10"/>
    <mergeCell ref="XBW10:XBX10"/>
    <mergeCell ref="XBY10:XBZ10"/>
    <mergeCell ref="XCA10:XCB10"/>
    <mergeCell ref="XBI10:XBJ10"/>
    <mergeCell ref="XBK10:XBL10"/>
    <mergeCell ref="XBM10:XBN10"/>
    <mergeCell ref="XBO10:XBP10"/>
    <mergeCell ref="XBQ10:XBR10"/>
    <mergeCell ref="XAY10:XAZ10"/>
    <mergeCell ref="XBA10:XBB10"/>
    <mergeCell ref="XBC10:XBD10"/>
    <mergeCell ref="XBE10:XBF10"/>
    <mergeCell ref="XBG10:XBH10"/>
    <mergeCell ref="XAO10:XAP10"/>
    <mergeCell ref="XAQ10:XAR10"/>
    <mergeCell ref="XAS10:XAT10"/>
    <mergeCell ref="XAU10:XAV10"/>
    <mergeCell ref="XAW10:XAX10"/>
    <mergeCell ref="XDI10:XDJ10"/>
    <mergeCell ref="XDK10:XDL10"/>
    <mergeCell ref="XDM10:XDN10"/>
    <mergeCell ref="XDO10:XDP10"/>
    <mergeCell ref="XCW10:XCX10"/>
    <mergeCell ref="XCY10:XCZ10"/>
    <mergeCell ref="XDA10:XDB10"/>
    <mergeCell ref="XDC10:XDD10"/>
    <mergeCell ref="XDE10:XDF10"/>
    <mergeCell ref="XCM10:XCN10"/>
    <mergeCell ref="XCO10:XCP10"/>
    <mergeCell ref="XCQ10:XCR10"/>
    <mergeCell ref="XCS10:XCT10"/>
    <mergeCell ref="XCU10:XCV10"/>
    <mergeCell ref="XCC10:XCD10"/>
    <mergeCell ref="XCE10:XCF10"/>
    <mergeCell ref="XCG10:XCH10"/>
    <mergeCell ref="XCI10:XCJ10"/>
    <mergeCell ref="XCK10:XCL10"/>
    <mergeCell ref="B23:D23"/>
    <mergeCell ref="B24:D24"/>
    <mergeCell ref="B19:D19"/>
    <mergeCell ref="B20:D20"/>
    <mergeCell ref="B2:D2"/>
    <mergeCell ref="B11:D11"/>
    <mergeCell ref="B12:D12"/>
    <mergeCell ref="B15:D15"/>
    <mergeCell ref="B7:D7"/>
    <mergeCell ref="B8:D8"/>
    <mergeCell ref="B16:D16"/>
    <mergeCell ref="XEU10:XEV10"/>
    <mergeCell ref="XEW10:XEX10"/>
    <mergeCell ref="XEY10:XEZ10"/>
    <mergeCell ref="XFA10:XFB10"/>
    <mergeCell ref="XFC10:XFD10"/>
    <mergeCell ref="XEK10:XEL10"/>
    <mergeCell ref="XEM10:XEN10"/>
    <mergeCell ref="XEO10:XEP10"/>
    <mergeCell ref="XEQ10:XER10"/>
    <mergeCell ref="XES10:XET10"/>
    <mergeCell ref="XEA10:XEB10"/>
    <mergeCell ref="XEC10:XED10"/>
    <mergeCell ref="XEE10:XEF10"/>
    <mergeCell ref="XEG10:XEH10"/>
    <mergeCell ref="XEI10:XEJ10"/>
    <mergeCell ref="XDQ10:XDR10"/>
    <mergeCell ref="XDS10:XDT10"/>
    <mergeCell ref="XDU10:XDV10"/>
    <mergeCell ref="XDW10:XDX10"/>
    <mergeCell ref="XDY10:XDZ10"/>
    <mergeCell ref="XDG10:XDH10"/>
  </mergeCells>
  <hyperlinks>
    <hyperlink ref="A7" location="'2.1'!A1" display="Tabla 2.1"/>
    <hyperlink ref="A8" location="'2.2'!A1" display="Tabla 2.2"/>
    <hyperlink ref="A11" location="'2.3'!A1" display="Tabla 2.3"/>
    <hyperlink ref="A12" location="'2.4'!A1" display="Tabla 2.4"/>
    <hyperlink ref="A15" location="'2.5'!A1" display="Tabla 2.5"/>
    <hyperlink ref="A16" location="'2.6'!A1" display="Tabla 2.6"/>
    <hyperlink ref="A19" location="'2.7'!A1" display="Tabla 2.7"/>
    <hyperlink ref="A20" location="'2.8'!A1" display="Tabla 2.8"/>
    <hyperlink ref="A23" location="'2.9'!A1" display="Tabla 2.9"/>
    <hyperlink ref="A24" location="'2.10'!A1" display="Tabla 2.10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2"/>
  <sheetViews>
    <sheetView zoomScaleNormal="100" workbookViewId="0">
      <selection activeCell="B5" sqref="B5"/>
    </sheetView>
  </sheetViews>
  <sheetFormatPr baseColWidth="10" defaultRowHeight="15"/>
  <cols>
    <col min="2" max="2" width="17.7109375" style="2" customWidth="1"/>
    <col min="3" max="4" width="13.85546875" customWidth="1"/>
    <col min="5" max="5" width="13.7109375" customWidth="1"/>
    <col min="6" max="6" width="13.7109375" style="2" customWidth="1"/>
  </cols>
  <sheetData>
    <row r="2" spans="1:6">
      <c r="B2" s="3" t="s">
        <v>72</v>
      </c>
    </row>
    <row r="3" spans="1:6" s="24" customFormat="1">
      <c r="B3" s="10" t="s">
        <v>133</v>
      </c>
    </row>
    <row r="4" spans="1:6" s="2" customFormat="1">
      <c r="B4" s="3" t="s">
        <v>118</v>
      </c>
    </row>
    <row r="5" spans="1:6">
      <c r="B5" s="4" t="s">
        <v>0</v>
      </c>
    </row>
    <row r="6" spans="1:6" s="24" customFormat="1" ht="19.5" customHeight="1">
      <c r="B6" s="4"/>
    </row>
    <row r="7" spans="1:6" s="24" customFormat="1" ht="28.5" customHeight="1">
      <c r="B7" s="68" t="s">
        <v>100</v>
      </c>
      <c r="C7" s="68"/>
      <c r="D7" s="68"/>
      <c r="E7" s="68"/>
      <c r="F7" s="68"/>
    </row>
    <row r="8" spans="1:6" s="24" customFormat="1" ht="31.5" customHeight="1">
      <c r="B8" s="36" t="s">
        <v>62</v>
      </c>
      <c r="C8" s="30" t="s">
        <v>65</v>
      </c>
      <c r="D8" s="30" t="s">
        <v>64</v>
      </c>
      <c r="E8" s="30" t="s">
        <v>98</v>
      </c>
      <c r="F8" s="30" t="s">
        <v>99</v>
      </c>
    </row>
    <row r="9" spans="1:6">
      <c r="A9" s="2"/>
      <c r="B9" s="49" t="s">
        <v>3</v>
      </c>
      <c r="C9" s="47">
        <v>526.97325049697861</v>
      </c>
      <c r="D9" s="48">
        <v>2.47147535899677</v>
      </c>
      <c r="E9" s="47">
        <f t="shared" ref="E9:E49" si="0">C9-1.96*D9</f>
        <v>522.12915879334491</v>
      </c>
      <c r="F9" s="47">
        <f t="shared" ref="F9:F49" si="1">C9+1.96*D9</f>
        <v>531.8173422006123</v>
      </c>
    </row>
    <row r="10" spans="1:6">
      <c r="A10" s="2"/>
      <c r="B10" s="49" t="s">
        <v>27</v>
      </c>
      <c r="C10" s="47">
        <v>525.93300185888813</v>
      </c>
      <c r="D10" s="48">
        <v>3.1213942783391566</v>
      </c>
      <c r="E10" s="47">
        <f t="shared" si="0"/>
        <v>519.81506907334335</v>
      </c>
      <c r="F10" s="47">
        <f t="shared" si="1"/>
        <v>532.05093464443291</v>
      </c>
    </row>
    <row r="11" spans="1:6">
      <c r="A11" s="2"/>
      <c r="B11" s="49" t="s">
        <v>23</v>
      </c>
      <c r="C11" s="47">
        <v>523.41458013492195</v>
      </c>
      <c r="D11" s="48">
        <v>1.7436021744663255</v>
      </c>
      <c r="E11" s="47">
        <f t="shared" si="0"/>
        <v>519.99711987296791</v>
      </c>
      <c r="F11" s="47">
        <f t="shared" si="1"/>
        <v>526.83204039687598</v>
      </c>
    </row>
    <row r="12" spans="1:6">
      <c r="A12" s="2"/>
      <c r="B12" s="49" t="s">
        <v>33</v>
      </c>
      <c r="C12" s="47">
        <v>519.23098267655541</v>
      </c>
      <c r="D12" s="48">
        <v>2.6322779404617291</v>
      </c>
      <c r="E12" s="47">
        <f t="shared" si="0"/>
        <v>514.07171791325038</v>
      </c>
      <c r="F12" s="47">
        <f t="shared" si="1"/>
        <v>524.39024743986045</v>
      </c>
    </row>
    <row r="13" spans="1:6">
      <c r="A13" s="2"/>
      <c r="B13" s="49" t="s">
        <v>37</v>
      </c>
      <c r="C13" s="47">
        <v>515.6478746297023</v>
      </c>
      <c r="D13" s="48">
        <v>2.6020852097611855</v>
      </c>
      <c r="E13" s="47">
        <f t="shared" si="0"/>
        <v>510.5477876185704</v>
      </c>
      <c r="F13" s="47">
        <f t="shared" si="1"/>
        <v>520.74796164083421</v>
      </c>
    </row>
    <row r="14" spans="1:6">
      <c r="A14" s="2"/>
      <c r="B14" s="49" t="s">
        <v>26</v>
      </c>
      <c r="C14" s="47">
        <v>515.31471312614258</v>
      </c>
      <c r="D14" s="48">
        <v>2.9080038824050773</v>
      </c>
      <c r="E14" s="47">
        <f t="shared" si="0"/>
        <v>509.61502551662863</v>
      </c>
      <c r="F14" s="47">
        <f t="shared" si="1"/>
        <v>521.01440073565652</v>
      </c>
    </row>
    <row r="15" spans="1:6">
      <c r="A15" s="2"/>
      <c r="B15" s="49" t="s">
        <v>7</v>
      </c>
      <c r="C15" s="47">
        <v>512.01694282393123</v>
      </c>
      <c r="D15" s="48">
        <v>2.3574757476111867</v>
      </c>
      <c r="E15" s="47">
        <f t="shared" si="0"/>
        <v>507.39629035861333</v>
      </c>
      <c r="F15" s="47">
        <f t="shared" si="1"/>
        <v>516.63759528924913</v>
      </c>
    </row>
    <row r="16" spans="1:6">
      <c r="A16" s="2"/>
      <c r="B16" s="49" t="s">
        <v>9</v>
      </c>
      <c r="C16" s="47">
        <v>509.39837450250451</v>
      </c>
      <c r="D16" s="48">
        <v>1.7350023537508537</v>
      </c>
      <c r="E16" s="47">
        <f t="shared" si="0"/>
        <v>505.99776988915283</v>
      </c>
      <c r="F16" s="47">
        <f t="shared" si="1"/>
        <v>512.79897911585613</v>
      </c>
    </row>
    <row r="17" spans="1:6">
      <c r="A17" s="2"/>
      <c r="B17" s="49" t="s">
        <v>11</v>
      </c>
      <c r="C17" s="47">
        <v>508.89754408489864</v>
      </c>
      <c r="D17" s="48">
        <v>1.3638775876911453</v>
      </c>
      <c r="E17" s="47">
        <f t="shared" si="0"/>
        <v>506.22434401302399</v>
      </c>
      <c r="F17" s="47">
        <f t="shared" si="1"/>
        <v>511.57074415677329</v>
      </c>
    </row>
    <row r="18" spans="1:6">
      <c r="A18" s="2"/>
      <c r="B18" s="49" t="s">
        <v>30</v>
      </c>
      <c r="C18" s="47">
        <v>508.07030635647004</v>
      </c>
      <c r="D18" s="48">
        <v>2.2626619794666851</v>
      </c>
      <c r="E18" s="47">
        <f t="shared" si="0"/>
        <v>503.63548887671533</v>
      </c>
      <c r="F18" s="47">
        <f t="shared" si="1"/>
        <v>512.5051238362247</v>
      </c>
    </row>
    <row r="19" spans="1:6">
      <c r="A19" s="2"/>
      <c r="B19" s="49" t="s">
        <v>36</v>
      </c>
      <c r="C19" s="47">
        <v>507.30136181814578</v>
      </c>
      <c r="D19" s="48">
        <v>1.9679204226502394</v>
      </c>
      <c r="E19" s="47">
        <f t="shared" si="0"/>
        <v>503.4442377897513</v>
      </c>
      <c r="F19" s="47">
        <f t="shared" si="1"/>
        <v>511.15848584654026</v>
      </c>
    </row>
    <row r="20" spans="1:6">
      <c r="A20" s="2"/>
      <c r="B20" s="49" t="s">
        <v>24</v>
      </c>
      <c r="C20" s="47">
        <v>502.38770205684915</v>
      </c>
      <c r="D20" s="48">
        <v>2.6542509544482265</v>
      </c>
      <c r="E20" s="47">
        <f t="shared" si="0"/>
        <v>497.18537018613063</v>
      </c>
      <c r="F20" s="47">
        <f t="shared" si="1"/>
        <v>507.59003392756767</v>
      </c>
    </row>
    <row r="21" spans="1:6">
      <c r="A21" s="2"/>
      <c r="B21" s="49" t="s">
        <v>42</v>
      </c>
      <c r="C21" s="47">
        <v>501.76989911392411</v>
      </c>
      <c r="D21" s="48">
        <v>2.5644279362849116</v>
      </c>
      <c r="E21" s="47">
        <f t="shared" si="0"/>
        <v>496.74362035880569</v>
      </c>
      <c r="F21" s="47">
        <f t="shared" si="1"/>
        <v>506.79617786904254</v>
      </c>
    </row>
    <row r="22" spans="1:6">
      <c r="A22" s="2"/>
      <c r="B22" s="49" t="s">
        <v>14</v>
      </c>
      <c r="C22" s="47">
        <v>500.96378835595823</v>
      </c>
      <c r="D22" s="48">
        <v>2.2190448538790548</v>
      </c>
      <c r="E22" s="47">
        <f t="shared" si="0"/>
        <v>496.61446044235527</v>
      </c>
      <c r="F22" s="47">
        <f t="shared" si="1"/>
        <v>505.31311626956119</v>
      </c>
    </row>
    <row r="23" spans="1:6">
      <c r="A23" s="2"/>
      <c r="B23" s="49" t="s">
        <v>17</v>
      </c>
      <c r="C23" s="47">
        <v>500.04378016676554</v>
      </c>
      <c r="D23" s="48">
        <v>2.6470829297670408</v>
      </c>
      <c r="E23" s="47">
        <f t="shared" si="0"/>
        <v>494.85549762442213</v>
      </c>
      <c r="F23" s="47">
        <f t="shared" si="1"/>
        <v>505.23206270910896</v>
      </c>
    </row>
    <row r="24" spans="1:6">
      <c r="A24" s="2"/>
      <c r="B24" s="49" t="s">
        <v>10</v>
      </c>
      <c r="C24" s="47">
        <v>499.63289403766839</v>
      </c>
      <c r="D24" s="48">
        <v>2.1986210741375984</v>
      </c>
      <c r="E24" s="47">
        <f t="shared" si="0"/>
        <v>495.32359673235868</v>
      </c>
      <c r="F24" s="47">
        <f t="shared" si="1"/>
        <v>503.94219134297811</v>
      </c>
    </row>
    <row r="25" spans="1:6">
      <c r="A25" s="2"/>
      <c r="B25" s="49" t="s">
        <v>20</v>
      </c>
      <c r="C25" s="47">
        <v>499.46765090624422</v>
      </c>
      <c r="D25" s="48">
        <v>2.4606614512025282</v>
      </c>
      <c r="E25" s="47">
        <f t="shared" si="0"/>
        <v>494.64475446188726</v>
      </c>
      <c r="F25" s="47">
        <f t="shared" si="1"/>
        <v>504.29054735060117</v>
      </c>
    </row>
    <row r="26" spans="1:6">
      <c r="A26" s="2"/>
      <c r="B26" s="49" t="s">
        <v>19</v>
      </c>
      <c r="C26" s="47">
        <v>498.94231379959513</v>
      </c>
      <c r="D26" s="48">
        <v>2.9709986603204306</v>
      </c>
      <c r="E26" s="47">
        <f t="shared" si="0"/>
        <v>493.11915642536707</v>
      </c>
      <c r="F26" s="47">
        <f t="shared" si="1"/>
        <v>504.76547117382319</v>
      </c>
    </row>
    <row r="27" spans="1:6">
      <c r="A27" s="2"/>
      <c r="B27" s="49" t="s">
        <v>25</v>
      </c>
      <c r="C27" s="47">
        <v>496.12633069612247</v>
      </c>
      <c r="D27" s="48">
        <v>1.9627668308486268</v>
      </c>
      <c r="E27" s="47">
        <f t="shared" si="0"/>
        <v>492.27930770765914</v>
      </c>
      <c r="F27" s="47">
        <f t="shared" si="1"/>
        <v>499.97335368458579</v>
      </c>
    </row>
    <row r="28" spans="1:6">
      <c r="A28" s="2"/>
      <c r="B28" s="49" t="s">
        <v>6</v>
      </c>
      <c r="C28" s="47">
        <v>495.4075814440298</v>
      </c>
      <c r="D28" s="48">
        <v>2.3202141054776888</v>
      </c>
      <c r="E28" s="47">
        <f t="shared" si="0"/>
        <v>490.85996179729352</v>
      </c>
      <c r="F28" s="47">
        <f t="shared" si="1"/>
        <v>499.95520109076608</v>
      </c>
    </row>
    <row r="29" spans="1:6">
      <c r="A29" s="2"/>
      <c r="B29" s="49" t="s">
        <v>21</v>
      </c>
      <c r="C29" s="47">
        <v>495.18737617387461</v>
      </c>
      <c r="D29" s="48">
        <v>1.9530824978124361</v>
      </c>
      <c r="E29" s="47">
        <f t="shared" si="0"/>
        <v>491.35933447816222</v>
      </c>
      <c r="F29" s="47">
        <f t="shared" si="1"/>
        <v>499.015417869587</v>
      </c>
    </row>
    <row r="30" spans="1:6">
      <c r="A30" s="3"/>
      <c r="B30" s="49" t="s">
        <v>29</v>
      </c>
      <c r="C30" s="47">
        <v>494.48967597920972</v>
      </c>
      <c r="D30" s="48">
        <v>1.7059428545398929</v>
      </c>
      <c r="E30" s="47">
        <f t="shared" si="0"/>
        <v>491.14602798431156</v>
      </c>
      <c r="F30" s="47">
        <f t="shared" si="1"/>
        <v>497.83332397410788</v>
      </c>
    </row>
    <row r="31" spans="1:6">
      <c r="A31" s="2"/>
      <c r="B31" s="49" t="s">
        <v>38</v>
      </c>
      <c r="C31" s="47">
        <v>492.48740611179471</v>
      </c>
      <c r="D31" s="48">
        <v>2.6845700935494685</v>
      </c>
      <c r="E31" s="47">
        <f t="shared" si="0"/>
        <v>487.22564872843776</v>
      </c>
      <c r="F31" s="47">
        <f t="shared" si="1"/>
        <v>497.74916349515166</v>
      </c>
    </row>
    <row r="32" spans="1:6">
      <c r="A32" s="2"/>
      <c r="B32" s="49" t="s">
        <v>15</v>
      </c>
      <c r="C32" s="47">
        <v>491.36002524263176</v>
      </c>
      <c r="D32" s="48">
        <v>1.939833000298</v>
      </c>
      <c r="E32" s="47">
        <f t="shared" si="0"/>
        <v>487.55795256204766</v>
      </c>
      <c r="F32" s="47">
        <f t="shared" si="1"/>
        <v>495.16209792321587</v>
      </c>
    </row>
    <row r="33" spans="1:6">
      <c r="A33" s="2"/>
      <c r="B33" s="49" t="s">
        <v>13</v>
      </c>
      <c r="C33" s="47">
        <v>486.58985801290993</v>
      </c>
      <c r="D33" s="48">
        <v>2.7800460370557691</v>
      </c>
      <c r="E33" s="47">
        <f t="shared" si="0"/>
        <v>481.14096778028062</v>
      </c>
      <c r="F33" s="47">
        <f t="shared" si="1"/>
        <v>492.03874824553924</v>
      </c>
    </row>
    <row r="34" spans="1:6">
      <c r="A34" s="2"/>
      <c r="B34" s="49" t="s">
        <v>39</v>
      </c>
      <c r="C34" s="47">
        <v>486.16485429356283</v>
      </c>
      <c r="D34" s="48">
        <v>2.5555956783850093</v>
      </c>
      <c r="E34" s="47">
        <f t="shared" si="0"/>
        <v>481.15588676392821</v>
      </c>
      <c r="F34" s="47">
        <f t="shared" si="1"/>
        <v>491.17382182319744</v>
      </c>
    </row>
    <row r="35" spans="1:6">
      <c r="A35" s="2"/>
      <c r="B35" s="49" t="s">
        <v>41</v>
      </c>
      <c r="C35" s="47">
        <v>483.42148522271725</v>
      </c>
      <c r="D35" s="48">
        <v>1.0976324931444537</v>
      </c>
      <c r="E35" s="47">
        <f t="shared" si="0"/>
        <v>481.27012553615413</v>
      </c>
      <c r="F35" s="47">
        <f t="shared" si="1"/>
        <v>485.57284490928038</v>
      </c>
    </row>
    <row r="36" spans="1:6">
      <c r="B36" s="49" t="s">
        <v>28</v>
      </c>
      <c r="C36" s="47">
        <v>481.39261267546834</v>
      </c>
      <c r="D36" s="48">
        <v>1.4624177600305268</v>
      </c>
      <c r="E36" s="47">
        <f t="shared" si="0"/>
        <v>478.52627386580849</v>
      </c>
      <c r="F36" s="47">
        <f t="shared" si="1"/>
        <v>484.25895148512819</v>
      </c>
    </row>
    <row r="37" spans="1:6">
      <c r="B37" s="49" t="s">
        <v>34</v>
      </c>
      <c r="C37" s="47">
        <v>481.19118829456238</v>
      </c>
      <c r="D37" s="48">
        <v>1.9532819668035786</v>
      </c>
      <c r="E37" s="47">
        <f t="shared" si="0"/>
        <v>477.36275563962738</v>
      </c>
      <c r="F37" s="47">
        <f t="shared" si="1"/>
        <v>485.01962094949738</v>
      </c>
    </row>
    <row r="38" spans="1:6">
      <c r="B38" s="49" t="s">
        <v>5</v>
      </c>
      <c r="C38" s="47">
        <v>481.08263635624405</v>
      </c>
      <c r="D38" s="48">
        <v>2.3195967411674916</v>
      </c>
      <c r="E38" s="47">
        <f t="shared" si="0"/>
        <v>476.53622674355574</v>
      </c>
      <c r="F38" s="47">
        <f t="shared" si="1"/>
        <v>485.62904596893236</v>
      </c>
    </row>
    <row r="39" spans="1:6">
      <c r="B39" s="49" t="s">
        <v>8</v>
      </c>
      <c r="C39" s="47">
        <v>478.24471737720205</v>
      </c>
      <c r="D39" s="48">
        <v>3.2354440776227626</v>
      </c>
      <c r="E39" s="47">
        <f t="shared" si="0"/>
        <v>471.90324698506146</v>
      </c>
      <c r="F39" s="47">
        <f t="shared" si="1"/>
        <v>484.58618776934264</v>
      </c>
    </row>
    <row r="40" spans="1:6">
      <c r="B40" s="49" t="s">
        <v>18</v>
      </c>
      <c r="C40" s="47">
        <v>471.72441504866794</v>
      </c>
      <c r="D40" s="48">
        <v>1.9021291186566882</v>
      </c>
      <c r="E40" s="47">
        <f t="shared" si="0"/>
        <v>467.99624197610081</v>
      </c>
      <c r="F40" s="47">
        <f t="shared" si="1"/>
        <v>475.45258812123507</v>
      </c>
    </row>
    <row r="41" spans="1:6">
      <c r="B41" s="49" t="s">
        <v>16</v>
      </c>
      <c r="C41" s="47">
        <v>464.20427271196951</v>
      </c>
      <c r="D41" s="48">
        <v>2.5485653032875271</v>
      </c>
      <c r="E41" s="47">
        <f t="shared" si="0"/>
        <v>459.20908471752597</v>
      </c>
      <c r="F41" s="47">
        <f t="shared" si="1"/>
        <v>469.19946070641305</v>
      </c>
    </row>
    <row r="42" spans="1:6">
      <c r="B42" s="49" t="s">
        <v>12</v>
      </c>
      <c r="C42" s="47">
        <v>463.03454892046045</v>
      </c>
      <c r="D42" s="48">
        <v>3.4985632467054093</v>
      </c>
      <c r="E42" s="47">
        <f t="shared" si="0"/>
        <v>456.17736495691787</v>
      </c>
      <c r="F42" s="47">
        <f t="shared" si="1"/>
        <v>469.89173288400303</v>
      </c>
    </row>
    <row r="43" spans="1:6">
      <c r="B43" s="49" t="s">
        <v>32</v>
      </c>
      <c r="C43" s="47">
        <v>453.50777794614697</v>
      </c>
      <c r="D43" s="48">
        <v>2.2604068825289549</v>
      </c>
      <c r="E43" s="47">
        <f t="shared" si="0"/>
        <v>449.07738045639024</v>
      </c>
      <c r="F43" s="47">
        <f t="shared" si="1"/>
        <v>457.9381754359037</v>
      </c>
    </row>
    <row r="44" spans="1:6">
      <c r="B44" s="49" t="s">
        <v>40</v>
      </c>
      <c r="C44" s="47">
        <v>451.37034377027811</v>
      </c>
      <c r="D44" s="48">
        <v>3.0912281809336304</v>
      </c>
      <c r="E44" s="47">
        <f t="shared" si="0"/>
        <v>445.3115365356482</v>
      </c>
      <c r="F44" s="47">
        <f t="shared" si="1"/>
        <v>457.42915100490802</v>
      </c>
    </row>
    <row r="45" spans="1:6">
      <c r="B45" s="49" t="s">
        <v>22</v>
      </c>
      <c r="C45" s="47">
        <v>436.04057099732063</v>
      </c>
      <c r="D45" s="48">
        <v>3.8172445194763336</v>
      </c>
      <c r="E45" s="47">
        <f t="shared" si="0"/>
        <v>428.55877173914701</v>
      </c>
      <c r="F45" s="47">
        <f t="shared" si="1"/>
        <v>443.52237025549425</v>
      </c>
    </row>
    <row r="46" spans="1:6">
      <c r="B46" s="49" t="s">
        <v>35</v>
      </c>
      <c r="C46" s="47">
        <v>429.91682707446535</v>
      </c>
      <c r="D46" s="48">
        <v>4.9038359308374115</v>
      </c>
      <c r="E46" s="47">
        <f t="shared" si="0"/>
        <v>420.30530865002402</v>
      </c>
      <c r="F46" s="47">
        <f t="shared" si="1"/>
        <v>439.52834549890667</v>
      </c>
    </row>
    <row r="47" spans="1:6">
      <c r="B47" s="49" t="s">
        <v>2</v>
      </c>
      <c r="C47" s="47">
        <v>417.40655623356707</v>
      </c>
      <c r="D47" s="48">
        <v>2.4158875647098998</v>
      </c>
      <c r="E47" s="47">
        <f t="shared" si="0"/>
        <v>412.67141660673565</v>
      </c>
      <c r="F47" s="47">
        <f t="shared" si="1"/>
        <v>422.1416958603985</v>
      </c>
    </row>
    <row r="48" spans="1:6">
      <c r="B48" s="49" t="s">
        <v>4</v>
      </c>
      <c r="C48" s="47">
        <v>408.80147375476452</v>
      </c>
      <c r="D48" s="48">
        <v>2.4932256146566449</v>
      </c>
      <c r="E48" s="47">
        <f t="shared" si="0"/>
        <v>403.91475155003747</v>
      </c>
      <c r="F48" s="47">
        <f t="shared" si="1"/>
        <v>413.68819595949157</v>
      </c>
    </row>
    <row r="49" spans="2:6">
      <c r="B49" s="49" t="s">
        <v>31</v>
      </c>
      <c r="C49" s="47">
        <v>390.93227374034893</v>
      </c>
      <c r="D49" s="48">
        <v>2.9895591266252759</v>
      </c>
      <c r="E49" s="47">
        <f t="shared" si="0"/>
        <v>385.07273785216341</v>
      </c>
      <c r="F49" s="47">
        <f t="shared" si="1"/>
        <v>396.79180962853445</v>
      </c>
    </row>
    <row r="50" spans="2:6">
      <c r="B50" s="49"/>
      <c r="C50" s="47"/>
      <c r="D50" s="48"/>
      <c r="E50" s="47"/>
      <c r="F50" s="47"/>
    </row>
    <row r="51" spans="2:6">
      <c r="B51" s="49" t="s">
        <v>43</v>
      </c>
      <c r="C51" s="47">
        <v>489.28664008627146</v>
      </c>
      <c r="D51" s="48">
        <v>0.39889283316810553</v>
      </c>
      <c r="E51" s="47">
        <v>488.50481013326197</v>
      </c>
      <c r="F51" s="47">
        <v>490.06847003928095</v>
      </c>
    </row>
    <row r="52" spans="2:6">
      <c r="B52" s="49" t="s">
        <v>44</v>
      </c>
      <c r="C52" s="47">
        <v>493.82914099999999</v>
      </c>
      <c r="D52" s="48">
        <v>0.83292900000000003</v>
      </c>
      <c r="E52" s="47">
        <v>492.19660016</v>
      </c>
      <c r="F52" s="47">
        <v>495.46168183999998</v>
      </c>
    </row>
    <row r="53" spans="2:6">
      <c r="B53" s="49"/>
      <c r="C53" s="47"/>
      <c r="D53" s="48"/>
      <c r="E53" s="47"/>
      <c r="F53" s="47"/>
    </row>
    <row r="54" spans="2:6">
      <c r="B54" s="49" t="s">
        <v>61</v>
      </c>
      <c r="C54" s="47">
        <v>502.71272601107114</v>
      </c>
      <c r="D54" s="48">
        <v>8.3511767389473608</v>
      </c>
      <c r="E54" s="47">
        <f t="shared" ref="E54:E72" si="2">C54-1.96*D54</f>
        <v>486.34441960273432</v>
      </c>
      <c r="F54" s="47">
        <f t="shared" ref="F54:F72" si="3">C54+1.96*D54</f>
        <v>519.08103241940796</v>
      </c>
    </row>
    <row r="55" spans="2:6">
      <c r="B55" s="49" t="s">
        <v>52</v>
      </c>
      <c r="C55" s="47">
        <v>502.3980555406726</v>
      </c>
      <c r="D55" s="48">
        <v>4.7268990413337422</v>
      </c>
      <c r="E55" s="47">
        <f t="shared" si="2"/>
        <v>493.13333341965847</v>
      </c>
      <c r="F55" s="47">
        <f t="shared" si="3"/>
        <v>511.66277766168673</v>
      </c>
    </row>
    <row r="56" spans="2:6">
      <c r="B56" s="49" t="s">
        <v>49</v>
      </c>
      <c r="C56" s="47">
        <v>499.21823606165663</v>
      </c>
      <c r="D56" s="48">
        <v>3.4822923578531726</v>
      </c>
      <c r="E56" s="47">
        <f t="shared" si="2"/>
        <v>492.39294304026441</v>
      </c>
      <c r="F56" s="47">
        <f t="shared" si="3"/>
        <v>506.04352908304884</v>
      </c>
    </row>
    <row r="57" spans="2:6">
      <c r="B57" s="49" t="s">
        <v>51</v>
      </c>
      <c r="C57" s="47">
        <v>498.80235551491432</v>
      </c>
      <c r="D57" s="48">
        <v>7.5514045328581867</v>
      </c>
      <c r="E57" s="47">
        <f t="shared" si="2"/>
        <v>484.00160263051225</v>
      </c>
      <c r="F57" s="47">
        <f t="shared" si="3"/>
        <v>513.6031083993164</v>
      </c>
    </row>
    <row r="58" spans="2:6">
      <c r="B58" s="49" t="s">
        <v>46</v>
      </c>
      <c r="C58" s="47">
        <v>498.22219188840791</v>
      </c>
      <c r="D58" s="48">
        <v>4.3040922483756585</v>
      </c>
      <c r="E58" s="47">
        <f t="shared" si="2"/>
        <v>489.78617108159159</v>
      </c>
      <c r="F58" s="47">
        <f t="shared" si="3"/>
        <v>506.65821269522422</v>
      </c>
    </row>
    <row r="59" spans="2:6">
      <c r="B59" s="49" t="s">
        <v>57</v>
      </c>
      <c r="C59" s="47">
        <v>497.42717832395431</v>
      </c>
      <c r="D59" s="48">
        <v>9.7652568966077151</v>
      </c>
      <c r="E59" s="47">
        <f t="shared" si="2"/>
        <v>478.28727480660319</v>
      </c>
      <c r="F59" s="47">
        <f t="shared" si="3"/>
        <v>516.56708184130548</v>
      </c>
    </row>
    <row r="60" spans="2:6">
      <c r="B60" s="49" t="s">
        <v>48</v>
      </c>
      <c r="C60" s="47">
        <v>496.70985165966221</v>
      </c>
      <c r="D60" s="48">
        <v>5.9323336984888488</v>
      </c>
      <c r="E60" s="47">
        <f t="shared" si="2"/>
        <v>485.08247761062404</v>
      </c>
      <c r="F60" s="47">
        <f t="shared" si="3"/>
        <v>508.33722570870037</v>
      </c>
    </row>
    <row r="61" spans="2:6">
      <c r="B61" s="49" t="s">
        <v>129</v>
      </c>
      <c r="C61" s="47">
        <v>490.65137612210748</v>
      </c>
      <c r="D61" s="48">
        <v>4.9655966854905378</v>
      </c>
      <c r="E61" s="47">
        <f t="shared" si="2"/>
        <v>480.918806618546</v>
      </c>
      <c r="F61" s="47">
        <f t="shared" si="3"/>
        <v>500.38394562566896</v>
      </c>
    </row>
    <row r="62" spans="2:6">
      <c r="B62" s="49" t="s">
        <v>54</v>
      </c>
      <c r="C62" s="47">
        <v>489.82502839416867</v>
      </c>
      <c r="D62" s="48">
        <v>3.9378796434588343</v>
      </c>
      <c r="E62" s="47">
        <f t="shared" si="2"/>
        <v>482.10678429298935</v>
      </c>
      <c r="F62" s="47">
        <f t="shared" si="3"/>
        <v>497.54327249534799</v>
      </c>
    </row>
    <row r="63" spans="2:6">
      <c r="B63" s="49" t="s">
        <v>58</v>
      </c>
      <c r="C63" s="47">
        <v>485.81406138750646</v>
      </c>
      <c r="D63" s="48">
        <v>3.2448976259880049</v>
      </c>
      <c r="E63" s="47">
        <f t="shared" si="2"/>
        <v>479.45406204056997</v>
      </c>
      <c r="F63" s="47">
        <f t="shared" si="3"/>
        <v>492.17406073444295</v>
      </c>
    </row>
    <row r="64" spans="2:6">
      <c r="B64" s="49" t="s">
        <v>67</v>
      </c>
      <c r="C64" s="47">
        <v>482.54058124201765</v>
      </c>
      <c r="D64" s="48">
        <v>5.2272907899761512</v>
      </c>
      <c r="E64" s="47">
        <f t="shared" si="2"/>
        <v>472.29509129366437</v>
      </c>
      <c r="F64" s="47">
        <f t="shared" si="3"/>
        <v>492.78607119037093</v>
      </c>
    </row>
    <row r="65" spans="2:6">
      <c r="B65" s="49" t="s">
        <v>53</v>
      </c>
      <c r="C65" s="47">
        <v>478.85732269079392</v>
      </c>
      <c r="D65" s="48">
        <v>5.1047030988024273</v>
      </c>
      <c r="E65" s="47">
        <f t="shared" si="2"/>
        <v>468.85210461714115</v>
      </c>
      <c r="F65" s="47">
        <f t="shared" si="3"/>
        <v>488.86254076444669</v>
      </c>
    </row>
    <row r="66" spans="2:6">
      <c r="B66" s="49" t="s">
        <v>60</v>
      </c>
      <c r="C66" s="47">
        <v>473.55435165031588</v>
      </c>
      <c r="D66" s="48">
        <v>5.7329025178063571</v>
      </c>
      <c r="E66" s="47">
        <f t="shared" si="2"/>
        <v>462.3178627154154</v>
      </c>
      <c r="F66" s="47">
        <f t="shared" si="3"/>
        <v>484.79084058521636</v>
      </c>
    </row>
    <row r="67" spans="2:6">
      <c r="B67" s="49" t="s">
        <v>56</v>
      </c>
      <c r="C67" s="47">
        <v>473.49379276257849</v>
      </c>
      <c r="D67" s="48">
        <v>4.5607429930509928</v>
      </c>
      <c r="E67" s="47">
        <f t="shared" si="2"/>
        <v>464.55473649619853</v>
      </c>
      <c r="F67" s="47">
        <f t="shared" si="3"/>
        <v>482.43284902895846</v>
      </c>
    </row>
    <row r="68" spans="2:6">
      <c r="B68" s="49" t="s">
        <v>45</v>
      </c>
      <c r="C68" s="47">
        <v>469.54865483156073</v>
      </c>
      <c r="D68" s="48">
        <v>6.5875547694555117</v>
      </c>
      <c r="E68" s="47">
        <f t="shared" si="2"/>
        <v>456.63704748342792</v>
      </c>
      <c r="F68" s="47">
        <f t="shared" si="3"/>
        <v>482.46026217969353</v>
      </c>
    </row>
    <row r="69" spans="2:6">
      <c r="B69" s="49" t="s">
        <v>47</v>
      </c>
      <c r="C69" s="47">
        <v>467.40817992748691</v>
      </c>
      <c r="D69" s="48">
        <v>4.2112317932421437</v>
      </c>
      <c r="E69" s="47">
        <f t="shared" si="2"/>
        <v>459.1541656127323</v>
      </c>
      <c r="F69" s="47">
        <f t="shared" si="3"/>
        <v>475.66219424224153</v>
      </c>
    </row>
    <row r="70" spans="2:6">
      <c r="B70" s="49" t="s">
        <v>50</v>
      </c>
      <c r="C70" s="47">
        <v>460.41252547069615</v>
      </c>
      <c r="D70" s="48">
        <v>4.5227334756048059</v>
      </c>
      <c r="E70" s="47">
        <f t="shared" si="2"/>
        <v>451.54796785851073</v>
      </c>
      <c r="F70" s="47">
        <f t="shared" si="3"/>
        <v>469.27708308288157</v>
      </c>
    </row>
    <row r="71" spans="2:6">
      <c r="B71" s="49" t="s">
        <v>59</v>
      </c>
      <c r="C71" s="47">
        <v>431.54040658122733</v>
      </c>
      <c r="D71" s="48">
        <v>10.439614858760191</v>
      </c>
      <c r="E71" s="47">
        <f t="shared" si="2"/>
        <v>411.07876145805733</v>
      </c>
      <c r="F71" s="47">
        <f t="shared" si="3"/>
        <v>452.00205170439733</v>
      </c>
    </row>
    <row r="72" spans="2:6">
      <c r="B72" s="49" t="s">
        <v>55</v>
      </c>
      <c r="C72" s="47">
        <v>411.33026702308354</v>
      </c>
      <c r="D72" s="48">
        <v>12.190274445509234</v>
      </c>
      <c r="E72" s="47">
        <f t="shared" si="2"/>
        <v>387.43732910988547</v>
      </c>
      <c r="F72" s="47">
        <f t="shared" si="3"/>
        <v>435.2232049362816</v>
      </c>
    </row>
  </sheetData>
  <sortState ref="B17:F23">
    <sortCondition ref="B17:B23"/>
  </sortState>
  <mergeCells count="1">
    <mergeCell ref="B7:F7"/>
  </mergeCells>
  <hyperlinks>
    <hyperlink ref="B5" location="Índice!A1" display="Índice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2"/>
  <sheetViews>
    <sheetView zoomScaleNormal="100" workbookViewId="0">
      <selection activeCell="B5" sqref="B5"/>
    </sheetView>
  </sheetViews>
  <sheetFormatPr baseColWidth="10" defaultRowHeight="15"/>
  <cols>
    <col min="1" max="1" width="11.42578125" style="2"/>
    <col min="2" max="2" width="13.7109375" style="2" customWidth="1"/>
    <col min="3" max="3" width="11.7109375" style="2" customWidth="1"/>
    <col min="4" max="4" width="11.7109375" style="24" customWidth="1"/>
    <col min="5" max="5" width="11.7109375" style="2" customWidth="1"/>
    <col min="6" max="6" width="11.7109375" style="24" customWidth="1"/>
    <col min="7" max="7" width="11.7109375" style="2" customWidth="1"/>
    <col min="8" max="8" width="11.7109375" style="24" customWidth="1"/>
    <col min="9" max="9" width="11.85546875" style="2" customWidth="1"/>
    <col min="10" max="10" width="11.7109375" style="24" customWidth="1"/>
    <col min="11" max="11" width="12" style="2" customWidth="1"/>
    <col min="12" max="17" width="13" style="2" customWidth="1"/>
    <col min="18" max="16384" width="11.42578125" style="2"/>
  </cols>
  <sheetData>
    <row r="2" spans="2:10">
      <c r="B2" s="3" t="s">
        <v>78</v>
      </c>
    </row>
    <row r="3" spans="2:10">
      <c r="B3" s="10" t="s">
        <v>132</v>
      </c>
    </row>
    <row r="4" spans="2:10">
      <c r="B4" s="3" t="s">
        <v>119</v>
      </c>
    </row>
    <row r="5" spans="2:10">
      <c r="B5" s="4" t="s">
        <v>0</v>
      </c>
    </row>
    <row r="7" spans="2:10">
      <c r="B7" s="69" t="s">
        <v>78</v>
      </c>
      <c r="C7" s="69"/>
      <c r="D7" s="69"/>
      <c r="E7" s="69"/>
      <c r="F7" s="69"/>
      <c r="G7" s="69"/>
      <c r="H7" s="69"/>
      <c r="I7" s="69"/>
      <c r="J7" s="69"/>
    </row>
    <row r="8" spans="2:10">
      <c r="B8" s="69" t="s">
        <v>62</v>
      </c>
      <c r="C8" s="69">
        <v>2009</v>
      </c>
      <c r="D8" s="69"/>
      <c r="E8" s="69">
        <v>2012</v>
      </c>
      <c r="F8" s="69"/>
      <c r="G8" s="69">
        <v>2015</v>
      </c>
      <c r="H8" s="69"/>
      <c r="I8" s="69">
        <v>2018</v>
      </c>
      <c r="J8" s="69"/>
    </row>
    <row r="9" spans="2:10" s="24" customFormat="1" ht="19.5" customHeight="1">
      <c r="B9" s="69"/>
      <c r="C9" s="40" t="s">
        <v>65</v>
      </c>
      <c r="D9" s="40" t="s">
        <v>64</v>
      </c>
      <c r="E9" s="40" t="s">
        <v>65</v>
      </c>
      <c r="F9" s="40" t="s">
        <v>64</v>
      </c>
      <c r="G9" s="40" t="s">
        <v>65</v>
      </c>
      <c r="H9" s="40" t="s">
        <v>64</v>
      </c>
      <c r="I9" s="40" t="s">
        <v>65</v>
      </c>
      <c r="J9" s="40" t="s">
        <v>64</v>
      </c>
    </row>
    <row r="10" spans="2:10">
      <c r="B10" s="41" t="s">
        <v>28</v>
      </c>
      <c r="C10" s="44">
        <v>483</v>
      </c>
      <c r="D10" s="44">
        <v>2.1</v>
      </c>
      <c r="E10" s="44">
        <v>484</v>
      </c>
      <c r="F10" s="44">
        <v>1.9</v>
      </c>
      <c r="G10" s="44">
        <v>486</v>
      </c>
      <c r="H10" s="44">
        <v>2.2000000000000002</v>
      </c>
      <c r="I10" s="44">
        <v>481</v>
      </c>
      <c r="J10" s="60">
        <v>1.46</v>
      </c>
    </row>
    <row r="11" spans="2:10">
      <c r="B11" s="41" t="s">
        <v>63</v>
      </c>
      <c r="C11" s="44">
        <v>495</v>
      </c>
      <c r="D11" s="44">
        <v>0.5</v>
      </c>
      <c r="E11" s="44">
        <v>494</v>
      </c>
      <c r="F11" s="44">
        <v>0.5</v>
      </c>
      <c r="G11" s="44">
        <v>490</v>
      </c>
      <c r="H11" s="44">
        <v>0.4</v>
      </c>
      <c r="I11" s="44">
        <v>489</v>
      </c>
      <c r="J11" s="44">
        <v>0.4</v>
      </c>
    </row>
    <row r="21" spans="5:13">
      <c r="E21" s="24"/>
      <c r="G21" s="24"/>
      <c r="I21" s="24"/>
      <c r="K21" s="24"/>
      <c r="L21" s="24"/>
      <c r="M21" s="24"/>
    </row>
    <row r="22" spans="5:13">
      <c r="E22" s="24"/>
      <c r="G22" s="24"/>
      <c r="I22" s="24"/>
      <c r="K22" s="24"/>
      <c r="L22" s="24"/>
      <c r="M22" s="24"/>
    </row>
  </sheetData>
  <mergeCells count="6">
    <mergeCell ref="B7:J7"/>
    <mergeCell ref="B8:B9"/>
    <mergeCell ref="E8:F8"/>
    <mergeCell ref="G8:H8"/>
    <mergeCell ref="I8:J8"/>
    <mergeCell ref="C8:D8"/>
  </mergeCells>
  <hyperlinks>
    <hyperlink ref="B5" location="Índice!A1" display="Índice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zoomScaleNormal="100" workbookViewId="0"/>
  </sheetViews>
  <sheetFormatPr baseColWidth="10" defaultRowHeight="15"/>
  <cols>
    <col min="2" max="2" width="17.7109375" style="21" customWidth="1"/>
    <col min="3" max="4" width="13.7109375" customWidth="1"/>
    <col min="5" max="6" width="13.7109375" style="2" customWidth="1"/>
    <col min="7" max="7" width="13.5703125" customWidth="1"/>
    <col min="8" max="8" width="14.85546875" customWidth="1"/>
    <col min="9" max="9" width="10.28515625" customWidth="1"/>
    <col min="10" max="10" width="6.5703125" customWidth="1"/>
    <col min="11" max="11" width="10.28515625" customWidth="1"/>
    <col min="12" max="12" width="6.5703125" customWidth="1"/>
    <col min="13" max="13" width="10.28515625" customWidth="1"/>
    <col min="14" max="14" width="6.5703125" customWidth="1"/>
  </cols>
  <sheetData>
    <row r="1" spans="1:11">
      <c r="A1" s="1"/>
    </row>
    <row r="2" spans="1:11" s="2" customFormat="1">
      <c r="B2" s="39" t="s">
        <v>131</v>
      </c>
      <c r="C2" s="38"/>
      <c r="D2" s="38"/>
      <c r="E2" s="24"/>
      <c r="F2" s="24"/>
      <c r="G2" s="6"/>
      <c r="H2" s="6"/>
      <c r="I2" s="6"/>
      <c r="J2" s="5"/>
      <c r="K2" s="5"/>
    </row>
    <row r="3" spans="1:11" s="2" customFormat="1">
      <c r="B3" s="33" t="s">
        <v>133</v>
      </c>
      <c r="G3" s="6"/>
      <c r="H3" s="6"/>
      <c r="I3" s="6"/>
      <c r="J3" s="6"/>
      <c r="K3" s="6"/>
    </row>
    <row r="4" spans="1:11" s="2" customFormat="1">
      <c r="B4" s="7" t="s">
        <v>120</v>
      </c>
      <c r="G4" s="6"/>
      <c r="H4" s="6"/>
      <c r="I4" s="6"/>
      <c r="J4" s="6"/>
      <c r="K4" s="6"/>
    </row>
    <row r="5" spans="1:11" s="2" customFormat="1">
      <c r="B5" s="20" t="s">
        <v>0</v>
      </c>
    </row>
    <row r="6" spans="1:11" s="24" customFormat="1">
      <c r="B6" s="20"/>
    </row>
    <row r="7" spans="1:11" ht="30" customHeight="1">
      <c r="B7" s="68" t="s">
        <v>101</v>
      </c>
      <c r="C7" s="68"/>
      <c r="D7" s="68"/>
      <c r="E7" s="68"/>
      <c r="F7" s="68"/>
    </row>
    <row r="8" spans="1:11" ht="29.25" customHeight="1">
      <c r="B8" s="36" t="s">
        <v>62</v>
      </c>
      <c r="C8" s="30" t="s">
        <v>65</v>
      </c>
      <c r="D8" s="30" t="s">
        <v>64</v>
      </c>
      <c r="E8" s="30" t="s">
        <v>98</v>
      </c>
      <c r="F8" s="30" t="s">
        <v>99</v>
      </c>
    </row>
    <row r="9" spans="1:11">
      <c r="B9" s="49" t="s">
        <v>23</v>
      </c>
      <c r="C9" s="47">
        <v>530.10800462174518</v>
      </c>
      <c r="D9" s="48">
        <v>1.8845690508304711</v>
      </c>
      <c r="E9" s="47">
        <f t="shared" ref="E9:E49" si="0">C9-1.96*D9</f>
        <v>526.41424928211745</v>
      </c>
      <c r="F9" s="47">
        <f t="shared" ref="F9:F49" si="1">C9+1.96*D9</f>
        <v>533.80175996137291</v>
      </c>
    </row>
    <row r="10" spans="1:11">
      <c r="B10" s="49" t="s">
        <v>3</v>
      </c>
      <c r="C10" s="47">
        <v>529.13543377081885</v>
      </c>
      <c r="D10" s="48">
        <v>2.5931679269100747</v>
      </c>
      <c r="E10" s="47">
        <f t="shared" si="0"/>
        <v>524.05282463407514</v>
      </c>
      <c r="F10" s="47">
        <f t="shared" si="1"/>
        <v>534.21804290756256</v>
      </c>
    </row>
    <row r="11" spans="1:11">
      <c r="B11" s="49" t="s">
        <v>36</v>
      </c>
      <c r="C11" s="47">
        <v>521.88456314354107</v>
      </c>
      <c r="D11" s="48">
        <v>2.5095151891766996</v>
      </c>
      <c r="E11" s="47">
        <f t="shared" si="0"/>
        <v>516.9659133727547</v>
      </c>
      <c r="F11" s="47">
        <f t="shared" si="1"/>
        <v>526.80321291432745</v>
      </c>
    </row>
    <row r="12" spans="1:11">
      <c r="B12" s="49" t="s">
        <v>27</v>
      </c>
      <c r="C12" s="47">
        <v>519.00725458119962</v>
      </c>
      <c r="D12" s="48">
        <v>2.8027616089780065</v>
      </c>
      <c r="E12" s="47">
        <f t="shared" si="0"/>
        <v>513.51384182760273</v>
      </c>
      <c r="F12" s="47">
        <f t="shared" si="1"/>
        <v>524.5006673347965</v>
      </c>
    </row>
    <row r="13" spans="1:11">
      <c r="B13" s="49" t="s">
        <v>7</v>
      </c>
      <c r="C13" s="47">
        <v>517.99766075566777</v>
      </c>
      <c r="D13" s="48">
        <v>2.1536511750350056</v>
      </c>
      <c r="E13" s="47">
        <f t="shared" si="0"/>
        <v>513.77650445259917</v>
      </c>
      <c r="F13" s="47">
        <f t="shared" si="1"/>
        <v>522.21881705873636</v>
      </c>
    </row>
    <row r="14" spans="1:11">
      <c r="B14" s="49" t="s">
        <v>37</v>
      </c>
      <c r="C14" s="47">
        <v>511.03556179417882</v>
      </c>
      <c r="D14" s="48">
        <v>2.6072358760910683</v>
      </c>
      <c r="E14" s="47">
        <f t="shared" si="0"/>
        <v>505.92537947704034</v>
      </c>
      <c r="F14" s="47">
        <f t="shared" si="1"/>
        <v>516.1457441113173</v>
      </c>
    </row>
    <row r="15" spans="1:11">
      <c r="B15" s="49" t="s">
        <v>29</v>
      </c>
      <c r="C15" s="47">
        <v>508.49072142284558</v>
      </c>
      <c r="D15" s="48">
        <v>2.1046335637432931</v>
      </c>
      <c r="E15" s="47">
        <f t="shared" si="0"/>
        <v>504.36563963790871</v>
      </c>
      <c r="F15" s="47">
        <f t="shared" si="1"/>
        <v>512.61580320778239</v>
      </c>
    </row>
    <row r="16" spans="1:11">
      <c r="B16" s="49" t="s">
        <v>11</v>
      </c>
      <c r="C16" s="47">
        <v>507.00654597077875</v>
      </c>
      <c r="D16" s="48">
        <v>1.2504196433908612</v>
      </c>
      <c r="E16" s="47">
        <f t="shared" si="0"/>
        <v>504.55572346973264</v>
      </c>
      <c r="F16" s="47">
        <f t="shared" si="1"/>
        <v>509.45736847182485</v>
      </c>
    </row>
    <row r="17" spans="2:6">
      <c r="B17" s="49" t="s">
        <v>42</v>
      </c>
      <c r="C17" s="47">
        <v>504.6674735335863</v>
      </c>
      <c r="D17" s="48">
        <v>2.5644145566129177</v>
      </c>
      <c r="E17" s="47">
        <f t="shared" si="0"/>
        <v>499.641221002625</v>
      </c>
      <c r="F17" s="47">
        <f t="shared" si="1"/>
        <v>509.6937260645476</v>
      </c>
    </row>
    <row r="18" spans="2:6">
      <c r="B18" s="49" t="s">
        <v>33</v>
      </c>
      <c r="C18" s="47">
        <v>503.38381975000414</v>
      </c>
      <c r="D18" s="48">
        <v>2.8406216863391314</v>
      </c>
      <c r="E18" s="47">
        <f t="shared" si="0"/>
        <v>497.81620124477945</v>
      </c>
      <c r="F18" s="47">
        <f t="shared" si="1"/>
        <v>508.95143825522882</v>
      </c>
    </row>
    <row r="19" spans="2:6">
      <c r="B19" s="49" t="s">
        <v>17</v>
      </c>
      <c r="C19" s="47">
        <v>502.98890282349947</v>
      </c>
      <c r="D19" s="48">
        <v>2.9115005535324845</v>
      </c>
      <c r="E19" s="47">
        <f t="shared" si="0"/>
        <v>497.28236173857579</v>
      </c>
      <c r="F19" s="47">
        <f t="shared" si="1"/>
        <v>508.69544390842316</v>
      </c>
    </row>
    <row r="20" spans="2:6">
      <c r="B20" s="49" t="s">
        <v>15</v>
      </c>
      <c r="C20" s="47">
        <v>502.96456288243189</v>
      </c>
      <c r="D20" s="48">
        <v>1.795398284885221</v>
      </c>
      <c r="E20" s="47">
        <f t="shared" si="0"/>
        <v>499.44558224405688</v>
      </c>
      <c r="F20" s="47">
        <f t="shared" si="1"/>
        <v>506.4835435208069</v>
      </c>
    </row>
    <row r="21" spans="2:6">
      <c r="B21" s="49" t="s">
        <v>8</v>
      </c>
      <c r="C21" s="47">
        <v>502.38003200091782</v>
      </c>
      <c r="D21" s="48">
        <v>3.3179200378008278</v>
      </c>
      <c r="E21" s="47">
        <f t="shared" si="0"/>
        <v>495.87690872682822</v>
      </c>
      <c r="F21" s="47">
        <f t="shared" si="1"/>
        <v>508.88315527500743</v>
      </c>
    </row>
    <row r="22" spans="2:6">
      <c r="B22" s="49" t="s">
        <v>24</v>
      </c>
      <c r="C22" s="47">
        <v>499.44469005930233</v>
      </c>
      <c r="D22" s="48">
        <v>3.0697109778586862</v>
      </c>
      <c r="E22" s="47">
        <f t="shared" si="0"/>
        <v>493.42805654269932</v>
      </c>
      <c r="F22" s="47">
        <f t="shared" si="1"/>
        <v>505.46132357590534</v>
      </c>
    </row>
    <row r="23" spans="2:6">
      <c r="B23" s="49" t="s">
        <v>30</v>
      </c>
      <c r="C23" s="47">
        <v>498.77312723921921</v>
      </c>
      <c r="D23" s="48">
        <v>2.2292398477962552</v>
      </c>
      <c r="E23" s="47">
        <f t="shared" si="0"/>
        <v>494.40381713753857</v>
      </c>
      <c r="F23" s="47">
        <f t="shared" si="1"/>
        <v>503.14243734089985</v>
      </c>
    </row>
    <row r="24" spans="2:6">
      <c r="B24" s="49" t="s">
        <v>20</v>
      </c>
      <c r="C24" s="47">
        <v>496.79131065622869</v>
      </c>
      <c r="D24" s="48">
        <v>2.5460693525333129</v>
      </c>
      <c r="E24" s="47">
        <f t="shared" si="0"/>
        <v>491.80101472526337</v>
      </c>
      <c r="F24" s="47">
        <f t="shared" si="1"/>
        <v>501.78160658719401</v>
      </c>
    </row>
    <row r="25" spans="2:6">
      <c r="B25" s="49" t="s">
        <v>10</v>
      </c>
      <c r="C25" s="47">
        <v>496.11356187258372</v>
      </c>
      <c r="D25" s="48">
        <v>2.2141464349751097</v>
      </c>
      <c r="E25" s="47">
        <f t="shared" si="0"/>
        <v>491.77383486003248</v>
      </c>
      <c r="F25" s="47">
        <f t="shared" si="1"/>
        <v>500.45328888513495</v>
      </c>
    </row>
    <row r="26" spans="2:6">
      <c r="B26" s="49" t="s">
        <v>26</v>
      </c>
      <c r="C26" s="47">
        <v>495.27628796857715</v>
      </c>
      <c r="D26" s="48">
        <v>3.004997078907353</v>
      </c>
      <c r="E26" s="47">
        <f t="shared" si="0"/>
        <v>489.38649369391874</v>
      </c>
      <c r="F26" s="47">
        <f t="shared" si="1"/>
        <v>501.16608224323556</v>
      </c>
    </row>
    <row r="27" spans="2:6">
      <c r="B27" s="49" t="s">
        <v>6</v>
      </c>
      <c r="C27" s="47">
        <v>492.97707605835149</v>
      </c>
      <c r="D27" s="48">
        <v>2.2236612981443407</v>
      </c>
      <c r="E27" s="47">
        <f t="shared" si="0"/>
        <v>488.61869991398856</v>
      </c>
      <c r="F27" s="47">
        <f t="shared" si="1"/>
        <v>497.33545220271441</v>
      </c>
    </row>
    <row r="28" spans="2:6">
      <c r="B28" s="49" t="s">
        <v>9</v>
      </c>
      <c r="C28" s="47">
        <v>492.63703335097489</v>
      </c>
      <c r="D28" s="48">
        <v>1.9376037272658841</v>
      </c>
      <c r="E28" s="47">
        <f t="shared" si="0"/>
        <v>488.83933004553376</v>
      </c>
      <c r="F28" s="47">
        <f t="shared" si="1"/>
        <v>496.43473665641602</v>
      </c>
    </row>
    <row r="29" spans="2:6">
      <c r="B29" s="49" t="s">
        <v>38</v>
      </c>
      <c r="C29" s="47">
        <v>491.67732851561516</v>
      </c>
      <c r="D29" s="48">
        <v>2.773162587642453</v>
      </c>
      <c r="E29" s="47">
        <f t="shared" si="0"/>
        <v>486.24192984383598</v>
      </c>
      <c r="F29" s="47">
        <f t="shared" si="1"/>
        <v>497.11272718739434</v>
      </c>
    </row>
    <row r="30" spans="2:6">
      <c r="B30" s="49" t="s">
        <v>14</v>
      </c>
      <c r="C30" s="47">
        <v>490.41314927261283</v>
      </c>
      <c r="D30" s="48">
        <v>2.2825075738357627</v>
      </c>
      <c r="E30" s="47">
        <f t="shared" si="0"/>
        <v>485.93943442789475</v>
      </c>
      <c r="F30" s="47">
        <f t="shared" si="1"/>
        <v>494.8868641173309</v>
      </c>
    </row>
    <row r="31" spans="2:6">
      <c r="B31" s="49" t="s">
        <v>19</v>
      </c>
      <c r="C31" s="47">
        <v>489.78043953141133</v>
      </c>
      <c r="D31" s="48">
        <v>2.7773948419797998</v>
      </c>
      <c r="E31" s="47">
        <f t="shared" si="0"/>
        <v>484.3367456411309</v>
      </c>
      <c r="F31" s="47">
        <f t="shared" si="1"/>
        <v>495.22413342169176</v>
      </c>
    </row>
    <row r="32" spans="2:6">
      <c r="B32" s="49" t="s">
        <v>25</v>
      </c>
      <c r="C32" s="47">
        <v>487.25058835762019</v>
      </c>
      <c r="D32" s="48">
        <v>1.7627962800913748</v>
      </c>
      <c r="E32" s="47">
        <f t="shared" si="0"/>
        <v>483.79550764864109</v>
      </c>
      <c r="F32" s="47">
        <f t="shared" si="1"/>
        <v>490.70566906659928</v>
      </c>
    </row>
    <row r="33" spans="2:6">
      <c r="B33" s="49" t="s">
        <v>28</v>
      </c>
      <c r="C33" s="47">
        <v>483.2520427254816</v>
      </c>
      <c r="D33" s="48">
        <v>1.5528528866843549</v>
      </c>
      <c r="E33" s="47">
        <f t="shared" si="0"/>
        <v>480.20845106758026</v>
      </c>
      <c r="F33" s="47">
        <f t="shared" si="1"/>
        <v>486.29563438338295</v>
      </c>
    </row>
    <row r="34" spans="2:6">
      <c r="B34" s="49" t="s">
        <v>34</v>
      </c>
      <c r="C34" s="47">
        <v>482.06701257046052</v>
      </c>
      <c r="D34" s="48">
        <v>1.6292368484325295</v>
      </c>
      <c r="E34" s="47">
        <f t="shared" si="0"/>
        <v>478.87370834753278</v>
      </c>
      <c r="F34" s="47">
        <f t="shared" si="1"/>
        <v>485.26031679338826</v>
      </c>
    </row>
    <row r="35" spans="2:6">
      <c r="B35" s="49" t="s">
        <v>5</v>
      </c>
      <c r="C35" s="47">
        <v>480.91169388228616</v>
      </c>
      <c r="D35" s="48">
        <v>2.32997651092181</v>
      </c>
      <c r="E35" s="47">
        <f t="shared" si="0"/>
        <v>476.34493992087943</v>
      </c>
      <c r="F35" s="47">
        <f t="shared" si="1"/>
        <v>485.47844784369289</v>
      </c>
    </row>
    <row r="36" spans="2:6">
      <c r="B36" s="49" t="s">
        <v>41</v>
      </c>
      <c r="C36" s="47">
        <v>476.76940620882289</v>
      </c>
      <c r="D36" s="48">
        <v>1.2208428713808155</v>
      </c>
      <c r="E36" s="47">
        <f t="shared" si="0"/>
        <v>474.37655418091651</v>
      </c>
      <c r="F36" s="47">
        <f t="shared" si="1"/>
        <v>479.16225823672926</v>
      </c>
    </row>
    <row r="37" spans="2:6">
      <c r="B37" s="49" t="s">
        <v>21</v>
      </c>
      <c r="C37" s="47">
        <v>475.02410633375621</v>
      </c>
      <c r="D37" s="48">
        <v>1.795502480477017</v>
      </c>
      <c r="E37" s="47">
        <f t="shared" si="0"/>
        <v>471.50492147202124</v>
      </c>
      <c r="F37" s="47">
        <f t="shared" si="1"/>
        <v>478.54329119549118</v>
      </c>
    </row>
    <row r="38" spans="2:6">
      <c r="B38" s="49" t="s">
        <v>16</v>
      </c>
      <c r="C38" s="47">
        <v>472.36261957297756</v>
      </c>
      <c r="D38" s="48">
        <v>2.7895294455302446</v>
      </c>
      <c r="E38" s="47">
        <f t="shared" si="0"/>
        <v>466.89514185973826</v>
      </c>
      <c r="F38" s="47">
        <f t="shared" si="1"/>
        <v>477.83009728621687</v>
      </c>
    </row>
    <row r="39" spans="2:6">
      <c r="B39" s="49" t="s">
        <v>32</v>
      </c>
      <c r="C39" s="47">
        <v>468.29961869569371</v>
      </c>
      <c r="D39" s="48">
        <v>2.0130490436302253</v>
      </c>
      <c r="E39" s="47">
        <f t="shared" si="0"/>
        <v>464.35404257017848</v>
      </c>
      <c r="F39" s="47">
        <f t="shared" si="1"/>
        <v>472.24519482120894</v>
      </c>
    </row>
    <row r="40" spans="2:6">
      <c r="B40" s="49" t="s">
        <v>13</v>
      </c>
      <c r="C40" s="47">
        <v>468.01172789151281</v>
      </c>
      <c r="D40" s="48">
        <v>2.4295619575179854</v>
      </c>
      <c r="E40" s="47">
        <f t="shared" si="0"/>
        <v>463.24978645477756</v>
      </c>
      <c r="F40" s="47">
        <f t="shared" si="1"/>
        <v>472.77366932824805</v>
      </c>
    </row>
    <row r="41" spans="2:6">
      <c r="B41" s="49" t="s">
        <v>39</v>
      </c>
      <c r="C41" s="47">
        <v>464.04757834349175</v>
      </c>
      <c r="D41" s="48">
        <v>2.2781878834857521</v>
      </c>
      <c r="E41" s="47">
        <f t="shared" si="0"/>
        <v>459.58233009185966</v>
      </c>
      <c r="F41" s="47">
        <f t="shared" si="1"/>
        <v>468.51282659512384</v>
      </c>
    </row>
    <row r="42" spans="2:6">
      <c r="B42" s="49" t="s">
        <v>12</v>
      </c>
      <c r="C42" s="47">
        <v>462.19663275373875</v>
      </c>
      <c r="D42" s="48">
        <v>3.6183877441759438</v>
      </c>
      <c r="E42" s="47">
        <f t="shared" si="0"/>
        <v>455.10459277515389</v>
      </c>
      <c r="F42" s="47">
        <f t="shared" si="1"/>
        <v>469.28867273232362</v>
      </c>
    </row>
    <row r="43" spans="2:6">
      <c r="B43" s="49" t="s">
        <v>18</v>
      </c>
      <c r="C43" s="47">
        <v>456.59032278180985</v>
      </c>
      <c r="D43" s="48">
        <v>1.8686162528142867</v>
      </c>
      <c r="E43" s="47">
        <f t="shared" si="0"/>
        <v>452.92783492629383</v>
      </c>
      <c r="F43" s="47">
        <f t="shared" si="1"/>
        <v>460.25281063732587</v>
      </c>
    </row>
    <row r="44" spans="2:6">
      <c r="B44" s="49" t="s">
        <v>40</v>
      </c>
      <c r="C44" s="47">
        <v>451.63274164662488</v>
      </c>
      <c r="D44" s="48">
        <v>3.1396304559423611</v>
      </c>
      <c r="E44" s="47">
        <f t="shared" si="0"/>
        <v>445.47906595297786</v>
      </c>
      <c r="F44" s="47">
        <f t="shared" si="1"/>
        <v>457.7864173402719</v>
      </c>
    </row>
    <row r="45" spans="2:6">
      <c r="B45" s="49" t="s">
        <v>2</v>
      </c>
      <c r="C45" s="47">
        <v>443.58256338766853</v>
      </c>
      <c r="D45" s="48">
        <v>2.4152800816427193</v>
      </c>
      <c r="E45" s="47">
        <f t="shared" si="0"/>
        <v>438.84861442764878</v>
      </c>
      <c r="F45" s="47">
        <f t="shared" si="1"/>
        <v>448.31651234768827</v>
      </c>
    </row>
    <row r="46" spans="2:6">
      <c r="B46" s="49" t="s">
        <v>35</v>
      </c>
      <c r="C46" s="47">
        <v>425.76122708517175</v>
      </c>
      <c r="D46" s="48">
        <v>4.5979260773614214</v>
      </c>
      <c r="E46" s="47">
        <f t="shared" si="0"/>
        <v>416.74929197354339</v>
      </c>
      <c r="F46" s="47">
        <f t="shared" si="1"/>
        <v>434.77316219680011</v>
      </c>
    </row>
    <row r="47" spans="2:6">
      <c r="B47" s="49" t="s">
        <v>22</v>
      </c>
      <c r="C47" s="47">
        <v>424.07358287521839</v>
      </c>
      <c r="D47" s="48">
        <v>3.6314666842428163</v>
      </c>
      <c r="E47" s="47">
        <f t="shared" si="0"/>
        <v>416.95590817410249</v>
      </c>
      <c r="F47" s="47">
        <f t="shared" si="1"/>
        <v>431.19125757633429</v>
      </c>
    </row>
    <row r="48" spans="2:6">
      <c r="B48" s="49" t="s">
        <v>4</v>
      </c>
      <c r="C48" s="47">
        <v>419.20471958248828</v>
      </c>
      <c r="D48" s="48">
        <v>2.5840095078462477</v>
      </c>
      <c r="E48" s="47">
        <f t="shared" si="0"/>
        <v>414.14006094710965</v>
      </c>
      <c r="F48" s="47">
        <f t="shared" si="1"/>
        <v>424.26937821786692</v>
      </c>
    </row>
    <row r="49" spans="2:6">
      <c r="B49" s="49" t="s">
        <v>31</v>
      </c>
      <c r="C49" s="47">
        <v>413.32299297387925</v>
      </c>
      <c r="D49" s="48">
        <v>3.0524015268885751</v>
      </c>
      <c r="E49" s="47">
        <f t="shared" si="0"/>
        <v>407.34028598117766</v>
      </c>
      <c r="F49" s="47">
        <f t="shared" si="1"/>
        <v>419.30569996658085</v>
      </c>
    </row>
    <row r="50" spans="2:6">
      <c r="B50" s="49"/>
      <c r="C50" s="47"/>
      <c r="D50" s="48"/>
      <c r="E50" s="47"/>
      <c r="F50" s="47"/>
    </row>
    <row r="51" spans="2:6">
      <c r="B51" s="49" t="s">
        <v>43</v>
      </c>
      <c r="C51" s="47">
        <v>488.66237748458434</v>
      </c>
      <c r="D51" s="48">
        <v>0.40230577837624121</v>
      </c>
      <c r="E51" s="47">
        <f>C51-1.96*D51</f>
        <v>487.87385815896693</v>
      </c>
      <c r="F51" s="47">
        <f>C51+1.96*D51</f>
        <v>489.45089681020175</v>
      </c>
    </row>
    <row r="52" spans="2:6">
      <c r="B52" s="49" t="s">
        <v>44</v>
      </c>
      <c r="C52" s="47">
        <v>490.40766000000002</v>
      </c>
      <c r="D52" s="48">
        <v>0.85883299999999996</v>
      </c>
      <c r="E52" s="47">
        <f>C52-1.96*D52</f>
        <v>488.72434732000005</v>
      </c>
      <c r="F52" s="47">
        <f>C52+1.96*D52</f>
        <v>492.09097267999999</v>
      </c>
    </row>
    <row r="53" spans="2:6">
      <c r="B53" s="49"/>
      <c r="C53" s="47"/>
      <c r="D53" s="48"/>
      <c r="E53" s="47"/>
      <c r="F53" s="47"/>
    </row>
    <row r="54" spans="2:6">
      <c r="B54" s="49" t="s">
        <v>46</v>
      </c>
      <c r="C54" s="47">
        <v>510.46899941876791</v>
      </c>
      <c r="D54" s="48">
        <v>3.978918983442663</v>
      </c>
      <c r="E54" s="47">
        <f t="shared" ref="E54:E72" si="2">C54-1.96*D54</f>
        <v>502.67031821122026</v>
      </c>
      <c r="F54" s="47">
        <f t="shared" ref="F54:F72" si="3">C54+1.96*D54</f>
        <v>518.2676806263155</v>
      </c>
    </row>
    <row r="55" spans="2:6">
      <c r="B55" s="49" t="s">
        <v>52</v>
      </c>
      <c r="C55" s="47">
        <v>501.07520680494008</v>
      </c>
      <c r="D55" s="48">
        <v>4.971906536969839</v>
      </c>
      <c r="E55" s="47">
        <f t="shared" si="2"/>
        <v>491.3302699924792</v>
      </c>
      <c r="F55" s="47">
        <f t="shared" si="3"/>
        <v>510.82014361740096</v>
      </c>
    </row>
    <row r="56" spans="2:6">
      <c r="B56" s="49" t="s">
        <v>129</v>
      </c>
      <c r="C56" s="47">
        <v>496.16103823732493</v>
      </c>
      <c r="D56" s="48">
        <v>4.75175031673189</v>
      </c>
      <c r="E56" s="47">
        <f t="shared" si="2"/>
        <v>486.84760761653041</v>
      </c>
      <c r="F56" s="47">
        <f t="shared" si="3"/>
        <v>505.47446885811945</v>
      </c>
    </row>
    <row r="57" spans="2:6">
      <c r="B57" s="49" t="s">
        <v>51</v>
      </c>
      <c r="C57" s="47">
        <v>495.38224951823952</v>
      </c>
      <c r="D57" s="48">
        <v>9.1526221040420204</v>
      </c>
      <c r="E57" s="47">
        <f t="shared" si="2"/>
        <v>477.44311019431717</v>
      </c>
      <c r="F57" s="47">
        <f t="shared" si="3"/>
        <v>513.32138884216192</v>
      </c>
    </row>
    <row r="58" spans="2:6">
      <c r="B58" s="49" t="s">
        <v>48</v>
      </c>
      <c r="C58" s="47">
        <v>493.48368472002619</v>
      </c>
      <c r="D58" s="48">
        <v>5.2858132602597196</v>
      </c>
      <c r="E58" s="47">
        <f t="shared" si="2"/>
        <v>483.12349072991714</v>
      </c>
      <c r="F58" s="47">
        <f t="shared" si="3"/>
        <v>503.84387871013524</v>
      </c>
    </row>
    <row r="59" spans="2:6">
      <c r="B59" s="49" t="s">
        <v>61</v>
      </c>
      <c r="C59" s="47">
        <v>492.1483000825782</v>
      </c>
      <c r="D59" s="48">
        <v>5.9810926873041215</v>
      </c>
      <c r="E59" s="47">
        <f t="shared" si="2"/>
        <v>480.42535841546214</v>
      </c>
      <c r="F59" s="47">
        <f t="shared" si="3"/>
        <v>503.87124174969426</v>
      </c>
    </row>
    <row r="60" spans="2:6">
      <c r="B60" s="49" t="s">
        <v>54</v>
      </c>
      <c r="C60" s="47">
        <v>488.7014525773352</v>
      </c>
      <c r="D60" s="48">
        <v>4.7362547065090874</v>
      </c>
      <c r="E60" s="47">
        <f t="shared" si="2"/>
        <v>479.41839335257737</v>
      </c>
      <c r="F60" s="47">
        <f t="shared" si="3"/>
        <v>497.98451180209304</v>
      </c>
    </row>
    <row r="61" spans="2:6">
      <c r="B61" s="49" t="s">
        <v>49</v>
      </c>
      <c r="C61" s="47">
        <v>487.37680756327364</v>
      </c>
      <c r="D61" s="48">
        <v>4.2081538308865358</v>
      </c>
      <c r="E61" s="47">
        <f t="shared" si="2"/>
        <v>479.12882605473601</v>
      </c>
      <c r="F61" s="47">
        <f t="shared" si="3"/>
        <v>495.62478907181128</v>
      </c>
    </row>
    <row r="62" spans="2:6">
      <c r="B62" s="49" t="s">
        <v>58</v>
      </c>
      <c r="C62" s="47">
        <v>486.65716127774994</v>
      </c>
      <c r="D62" s="48">
        <v>3.0328896372977181</v>
      </c>
      <c r="E62" s="47">
        <f t="shared" si="2"/>
        <v>480.71269758864639</v>
      </c>
      <c r="F62" s="47">
        <f t="shared" si="3"/>
        <v>492.60162496685348</v>
      </c>
    </row>
    <row r="63" spans="2:6">
      <c r="B63" s="49" t="s">
        <v>57</v>
      </c>
      <c r="C63" s="47">
        <v>486.50374008555974</v>
      </c>
      <c r="D63" s="48">
        <v>7.8668845893358545</v>
      </c>
      <c r="E63" s="47">
        <f t="shared" si="2"/>
        <v>471.08464629046148</v>
      </c>
      <c r="F63" s="47">
        <f t="shared" si="3"/>
        <v>501.922833880658</v>
      </c>
    </row>
    <row r="64" spans="2:6">
      <c r="B64" s="49" t="s">
        <v>53</v>
      </c>
      <c r="C64" s="47">
        <v>484.45436859635601</v>
      </c>
      <c r="D64" s="48">
        <v>6.0905687744857371</v>
      </c>
      <c r="E64" s="47">
        <f t="shared" si="2"/>
        <v>472.51685379836397</v>
      </c>
      <c r="F64" s="47">
        <f t="shared" si="3"/>
        <v>496.39188339434804</v>
      </c>
    </row>
    <row r="65" spans="2:6">
      <c r="B65" s="49" t="s">
        <v>67</v>
      </c>
      <c r="C65" s="47">
        <v>482.14928216276365</v>
      </c>
      <c r="D65" s="48">
        <v>5.1606280795970507</v>
      </c>
      <c r="E65" s="47">
        <f t="shared" si="2"/>
        <v>472.03445112675342</v>
      </c>
      <c r="F65" s="47">
        <f t="shared" si="3"/>
        <v>492.26411319877388</v>
      </c>
    </row>
    <row r="66" spans="2:6">
      <c r="B66" s="49" t="s">
        <v>60</v>
      </c>
      <c r="C66" s="47">
        <v>478.98384607484587</v>
      </c>
      <c r="D66" s="48">
        <v>5.6780204822155609</v>
      </c>
      <c r="E66" s="47">
        <f t="shared" si="2"/>
        <v>467.85492592970337</v>
      </c>
      <c r="F66" s="47">
        <f t="shared" si="3"/>
        <v>490.11276621998837</v>
      </c>
    </row>
    <row r="67" spans="2:6">
      <c r="B67" s="49" t="s">
        <v>56</v>
      </c>
      <c r="C67" s="47">
        <v>477.69098359343513</v>
      </c>
      <c r="D67" s="48">
        <v>4.4102364461060715</v>
      </c>
      <c r="E67" s="47">
        <f t="shared" si="2"/>
        <v>469.04692015906721</v>
      </c>
      <c r="F67" s="47">
        <f t="shared" si="3"/>
        <v>486.33504702780306</v>
      </c>
    </row>
    <row r="68" spans="2:6">
      <c r="B68" s="49" t="s">
        <v>45</v>
      </c>
      <c r="C68" s="47">
        <v>473.45621465894703</v>
      </c>
      <c r="D68" s="48">
        <v>5.8617892029570937</v>
      </c>
      <c r="E68" s="47">
        <f t="shared" si="2"/>
        <v>461.9671078211511</v>
      </c>
      <c r="F68" s="47">
        <f t="shared" si="3"/>
        <v>484.94532149674296</v>
      </c>
    </row>
    <row r="69" spans="2:6">
      <c r="B69" s="49" t="s">
        <v>47</v>
      </c>
      <c r="C69" s="47">
        <v>470.89027284372224</v>
      </c>
      <c r="D69" s="48">
        <v>4.4195856315502642</v>
      </c>
      <c r="E69" s="47">
        <f t="shared" si="2"/>
        <v>462.22788500588371</v>
      </c>
      <c r="F69" s="47">
        <f t="shared" si="3"/>
        <v>479.55266068156078</v>
      </c>
    </row>
    <row r="70" spans="2:6">
      <c r="B70" s="49" t="s">
        <v>68</v>
      </c>
      <c r="C70" s="47">
        <v>469.60339068820002</v>
      </c>
      <c r="D70" s="48">
        <v>4.4695597712907409</v>
      </c>
      <c r="E70" s="47">
        <f t="shared" si="2"/>
        <v>460.84305353647017</v>
      </c>
      <c r="F70" s="47">
        <f t="shared" si="3"/>
        <v>478.36372783992988</v>
      </c>
    </row>
    <row r="71" spans="2:6">
      <c r="B71" s="49" t="s">
        <v>59</v>
      </c>
      <c r="C71" s="47">
        <v>438.61629331280602</v>
      </c>
      <c r="D71" s="48">
        <v>7.6117372467560065</v>
      </c>
      <c r="E71" s="47">
        <f t="shared" si="2"/>
        <v>423.69728830916426</v>
      </c>
      <c r="F71" s="47">
        <f t="shared" si="3"/>
        <v>453.53529831644778</v>
      </c>
    </row>
    <row r="72" spans="2:6">
      <c r="B72" s="49" t="s">
        <v>55</v>
      </c>
      <c r="C72" s="47">
        <v>415.25410629401659</v>
      </c>
      <c r="D72" s="48">
        <v>6.6232976400855437</v>
      </c>
      <c r="E72" s="47">
        <f t="shared" si="2"/>
        <v>402.27244291944891</v>
      </c>
      <c r="F72" s="47">
        <f t="shared" si="3"/>
        <v>428.23576966858428</v>
      </c>
    </row>
  </sheetData>
  <mergeCells count="1">
    <mergeCell ref="B7:F7"/>
  </mergeCells>
  <hyperlinks>
    <hyperlink ref="B5" location="Índice!A1" display="Índice"/>
  </hyperlinks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8"/>
  <sheetViews>
    <sheetView zoomScaleNormal="100" workbookViewId="0">
      <selection activeCell="B5" sqref="B5"/>
    </sheetView>
  </sheetViews>
  <sheetFormatPr baseColWidth="10" defaultRowHeight="15"/>
  <cols>
    <col min="2" max="3" width="11.7109375" customWidth="1"/>
    <col min="4" max="4" width="11.5703125" customWidth="1"/>
    <col min="5" max="6" width="11.7109375" customWidth="1"/>
    <col min="7" max="7" width="11.5703125" customWidth="1"/>
    <col min="8" max="10" width="11.7109375" customWidth="1"/>
  </cols>
  <sheetData>
    <row r="2" spans="2:10">
      <c r="B2" s="3" t="s">
        <v>83</v>
      </c>
      <c r="C2" s="2"/>
      <c r="D2" s="2"/>
      <c r="E2" s="2"/>
      <c r="F2" s="2"/>
      <c r="G2" s="6"/>
      <c r="H2" s="6"/>
      <c r="I2" s="6"/>
    </row>
    <row r="3" spans="2:10">
      <c r="B3" s="33" t="s">
        <v>132</v>
      </c>
      <c r="C3" s="2"/>
      <c r="D3" s="2"/>
      <c r="E3" s="2"/>
      <c r="F3" s="2"/>
      <c r="G3" s="6"/>
      <c r="H3" s="6"/>
      <c r="I3" s="6"/>
    </row>
    <row r="4" spans="2:10" ht="15.75" customHeight="1">
      <c r="B4" s="3" t="s">
        <v>121</v>
      </c>
      <c r="C4" s="2"/>
      <c r="D4" s="2"/>
      <c r="E4" s="2"/>
      <c r="F4" s="2"/>
      <c r="G4" s="2"/>
      <c r="H4" s="2"/>
      <c r="I4" s="2"/>
    </row>
    <row r="5" spans="2:10" ht="15" customHeight="1">
      <c r="B5" s="4" t="s">
        <v>0</v>
      </c>
    </row>
    <row r="7" spans="2:10" ht="18" customHeight="1">
      <c r="B7" s="69" t="s">
        <v>83</v>
      </c>
      <c r="C7" s="69"/>
      <c r="D7" s="69"/>
      <c r="E7" s="69"/>
      <c r="F7" s="69"/>
      <c r="G7" s="69"/>
      <c r="H7" s="69"/>
      <c r="I7" s="69"/>
      <c r="J7" s="69"/>
    </row>
    <row r="8" spans="2:10">
      <c r="B8" s="69" t="s">
        <v>62</v>
      </c>
      <c r="C8" s="69">
        <v>2009</v>
      </c>
      <c r="D8" s="69"/>
      <c r="E8" s="69">
        <v>2012</v>
      </c>
      <c r="F8" s="69"/>
      <c r="G8" s="69">
        <v>2015</v>
      </c>
      <c r="H8" s="69"/>
      <c r="I8" s="69">
        <v>2018</v>
      </c>
      <c r="J8" s="69"/>
    </row>
    <row r="9" spans="2:10" ht="18" customHeight="1">
      <c r="B9" s="69"/>
      <c r="C9" s="40" t="s">
        <v>65</v>
      </c>
      <c r="D9" s="40" t="s">
        <v>64</v>
      </c>
      <c r="E9" s="40" t="s">
        <v>65</v>
      </c>
      <c r="F9" s="40" t="s">
        <v>64</v>
      </c>
      <c r="G9" s="40" t="s">
        <v>65</v>
      </c>
      <c r="H9" s="40" t="s">
        <v>64</v>
      </c>
      <c r="I9" s="40" t="s">
        <v>65</v>
      </c>
      <c r="J9" s="40" t="s">
        <v>64</v>
      </c>
    </row>
    <row r="10" spans="2:10">
      <c r="B10" s="41" t="s">
        <v>28</v>
      </c>
      <c r="C10" s="44">
        <v>488</v>
      </c>
      <c r="D10" s="44">
        <v>2.1</v>
      </c>
      <c r="E10" s="44">
        <v>496</v>
      </c>
      <c r="F10" s="44">
        <v>1.8</v>
      </c>
      <c r="G10" s="44">
        <v>493</v>
      </c>
      <c r="H10" s="44">
        <v>2.1</v>
      </c>
      <c r="I10" s="44">
        <v>483</v>
      </c>
      <c r="J10" s="60">
        <v>1.55</v>
      </c>
    </row>
    <row r="11" spans="2:10">
      <c r="B11" s="41" t="s">
        <v>63</v>
      </c>
      <c r="C11" s="44">
        <v>501</v>
      </c>
      <c r="D11" s="44">
        <v>0.5</v>
      </c>
      <c r="E11" s="44">
        <v>501</v>
      </c>
      <c r="F11" s="44">
        <v>0.5</v>
      </c>
      <c r="G11" s="44">
        <v>493</v>
      </c>
      <c r="H11" s="44">
        <v>0.4</v>
      </c>
      <c r="I11" s="44">
        <v>489</v>
      </c>
      <c r="J11" s="44">
        <v>0.4</v>
      </c>
    </row>
    <row r="17" spans="6:13">
      <c r="F17" s="24"/>
      <c r="G17" s="24"/>
      <c r="H17" s="24"/>
      <c r="I17" s="24"/>
      <c r="J17" s="24"/>
      <c r="K17" s="24"/>
      <c r="L17" s="24"/>
      <c r="M17" s="24"/>
    </row>
    <row r="18" spans="6:13">
      <c r="F18" s="24"/>
      <c r="G18" s="24"/>
      <c r="H18" s="24"/>
      <c r="I18" s="24"/>
      <c r="J18" s="24"/>
      <c r="K18" s="24"/>
      <c r="L18" s="24"/>
      <c r="M18" s="24"/>
    </row>
  </sheetData>
  <mergeCells count="6">
    <mergeCell ref="B7:J7"/>
    <mergeCell ref="B8:B9"/>
    <mergeCell ref="C8:D8"/>
    <mergeCell ref="E8:F8"/>
    <mergeCell ref="G8:H8"/>
    <mergeCell ref="I8:J8"/>
  </mergeCells>
  <hyperlinks>
    <hyperlink ref="B5" location="Índice!A1" display="Índice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3"/>
  <sheetViews>
    <sheetView zoomScaleNormal="100" workbookViewId="0"/>
  </sheetViews>
  <sheetFormatPr baseColWidth="10" defaultRowHeight="15"/>
  <cols>
    <col min="1" max="1" width="11.5703125" style="2" bestFit="1" customWidth="1"/>
    <col min="2" max="2" width="17.5703125" style="21" customWidth="1"/>
    <col min="3" max="4" width="11.7109375" style="2" customWidth="1"/>
    <col min="5" max="5" width="11.5703125" style="2" customWidth="1"/>
    <col min="6" max="9" width="11.7109375" style="2" customWidth="1"/>
    <col min="10" max="22" width="14" style="2" customWidth="1"/>
    <col min="23" max="16384" width="11.42578125" style="2"/>
  </cols>
  <sheetData>
    <row r="2" spans="2:9">
      <c r="B2" s="34" t="s">
        <v>122</v>
      </c>
    </row>
    <row r="3" spans="2:9">
      <c r="B3" s="33" t="s">
        <v>133</v>
      </c>
    </row>
    <row r="4" spans="2:9">
      <c r="B4" s="19" t="s">
        <v>123</v>
      </c>
    </row>
    <row r="5" spans="2:9">
      <c r="B5" s="20" t="s">
        <v>0</v>
      </c>
    </row>
    <row r="6" spans="2:9">
      <c r="B6" s="20"/>
    </row>
    <row r="7" spans="2:9" ht="18" customHeight="1">
      <c r="B7" s="68" t="s">
        <v>100</v>
      </c>
      <c r="C7" s="68"/>
      <c r="D7" s="68"/>
      <c r="E7" s="68"/>
      <c r="F7" s="68"/>
      <c r="G7" s="68"/>
      <c r="H7" s="68"/>
      <c r="I7" s="68"/>
    </row>
    <row r="8" spans="2:9">
      <c r="B8" s="68" t="s">
        <v>62</v>
      </c>
      <c r="C8" s="70" t="s">
        <v>117</v>
      </c>
      <c r="D8" s="70"/>
      <c r="E8" s="68" t="s">
        <v>102</v>
      </c>
      <c r="F8" s="68"/>
      <c r="G8" s="68" t="s">
        <v>103</v>
      </c>
      <c r="H8" s="68"/>
      <c r="I8" s="68" t="s">
        <v>104</v>
      </c>
    </row>
    <row r="9" spans="2:9" ht="17.25" customHeight="1">
      <c r="B9" s="68"/>
      <c r="C9" s="30" t="s">
        <v>66</v>
      </c>
      <c r="D9" s="30" t="s">
        <v>64</v>
      </c>
      <c r="E9" s="30" t="s">
        <v>66</v>
      </c>
      <c r="F9" s="30" t="s">
        <v>64</v>
      </c>
      <c r="G9" s="30" t="s">
        <v>66</v>
      </c>
      <c r="H9" s="30" t="s">
        <v>64</v>
      </c>
      <c r="I9" s="68"/>
    </row>
    <row r="10" spans="2:9">
      <c r="B10" s="50" t="s">
        <v>3</v>
      </c>
      <c r="C10" s="51">
        <v>526.97325049697861</v>
      </c>
      <c r="D10" s="52">
        <v>2.47147535899677</v>
      </c>
      <c r="E10" s="51">
        <v>663.93179999999995</v>
      </c>
      <c r="F10" s="52">
        <v>4.483841</v>
      </c>
      <c r="G10" s="51">
        <v>380.49889999999999</v>
      </c>
      <c r="H10" s="52">
        <v>4.2826089999999999</v>
      </c>
      <c r="I10" s="53">
        <f t="shared" ref="I10:I50" si="0">E10-G10</f>
        <v>283.43289999999996</v>
      </c>
    </row>
    <row r="11" spans="2:9">
      <c r="B11" s="54" t="s">
        <v>27</v>
      </c>
      <c r="C11" s="47">
        <v>525.93300185888813</v>
      </c>
      <c r="D11" s="48">
        <v>3.1213942783391566</v>
      </c>
      <c r="E11" s="47">
        <v>683.87109999999996</v>
      </c>
      <c r="F11" s="48">
        <v>5.87723</v>
      </c>
      <c r="G11" s="47">
        <v>354.14089999999999</v>
      </c>
      <c r="H11" s="48">
        <v>5.0117520000000004</v>
      </c>
      <c r="I11" s="55">
        <f t="shared" si="0"/>
        <v>329.73019999999997</v>
      </c>
    </row>
    <row r="12" spans="2:9">
      <c r="B12" s="54" t="s">
        <v>23</v>
      </c>
      <c r="C12" s="47">
        <v>523.41458013492195</v>
      </c>
      <c r="D12" s="48">
        <v>1.7436021744663255</v>
      </c>
      <c r="E12" s="47">
        <v>656.6703</v>
      </c>
      <c r="F12" s="48">
        <v>3.6476820000000001</v>
      </c>
      <c r="G12" s="47">
        <v>389.79259999999999</v>
      </c>
      <c r="H12" s="48">
        <v>3.1211760000000002</v>
      </c>
      <c r="I12" s="55">
        <f t="shared" si="0"/>
        <v>266.8777</v>
      </c>
    </row>
    <row r="13" spans="2:9">
      <c r="B13" s="54" t="s">
        <v>33</v>
      </c>
      <c r="C13" s="47">
        <v>519.23098267655541</v>
      </c>
      <c r="D13" s="48">
        <v>2.6322779404617291</v>
      </c>
      <c r="E13" s="47">
        <v>663.78809999999999</v>
      </c>
      <c r="F13" s="48">
        <v>3.6824620000000001</v>
      </c>
      <c r="G13" s="47">
        <v>361.62950000000001</v>
      </c>
      <c r="H13" s="48">
        <v>5.0311060000000003</v>
      </c>
      <c r="I13" s="55">
        <f t="shared" si="0"/>
        <v>302.15859999999998</v>
      </c>
    </row>
    <row r="14" spans="2:9">
      <c r="B14" s="54" t="s">
        <v>37</v>
      </c>
      <c r="C14" s="47">
        <v>515.6478746297023</v>
      </c>
      <c r="D14" s="48">
        <v>2.6020852097611855</v>
      </c>
      <c r="E14" s="47">
        <v>660.98360000000002</v>
      </c>
      <c r="F14" s="48">
        <v>4.73508</v>
      </c>
      <c r="G14" s="47">
        <v>365.57010000000002</v>
      </c>
      <c r="H14" s="48">
        <v>4.7282849999999996</v>
      </c>
      <c r="I14" s="55">
        <f t="shared" si="0"/>
        <v>295.4135</v>
      </c>
    </row>
    <row r="15" spans="2:9">
      <c r="B15" s="54" t="s">
        <v>26</v>
      </c>
      <c r="C15" s="47">
        <v>515.31471312614258</v>
      </c>
      <c r="D15" s="48">
        <v>2.9080038824050773</v>
      </c>
      <c r="E15" s="47">
        <v>668.46220000000005</v>
      </c>
      <c r="F15" s="48">
        <v>4.7730680000000003</v>
      </c>
      <c r="G15" s="47">
        <v>359.78149999999999</v>
      </c>
      <c r="H15" s="48">
        <v>4.3862129999999997</v>
      </c>
      <c r="I15" s="55">
        <f t="shared" si="0"/>
        <v>308.68070000000006</v>
      </c>
    </row>
    <row r="16" spans="2:9">
      <c r="B16" s="54" t="s">
        <v>7</v>
      </c>
      <c r="C16" s="47">
        <v>512.01694282393123</v>
      </c>
      <c r="D16" s="48">
        <v>2.3574757476111867</v>
      </c>
      <c r="E16" s="47">
        <v>660.54179999999997</v>
      </c>
      <c r="F16" s="48">
        <v>3.1941899999999999</v>
      </c>
      <c r="G16" s="47">
        <v>357.85410000000002</v>
      </c>
      <c r="H16" s="48">
        <v>3.1690849999999999</v>
      </c>
      <c r="I16" s="55">
        <f t="shared" si="0"/>
        <v>302.68769999999995</v>
      </c>
    </row>
    <row r="17" spans="2:9">
      <c r="B17" s="54" t="s">
        <v>9</v>
      </c>
      <c r="C17" s="47">
        <v>509.39837450250451</v>
      </c>
      <c r="D17" s="48">
        <v>1.7350023537508537</v>
      </c>
      <c r="E17" s="47">
        <v>639.77610000000004</v>
      </c>
      <c r="F17" s="48">
        <v>3.529258</v>
      </c>
      <c r="G17" s="47">
        <v>369.55529999999999</v>
      </c>
      <c r="H17" s="48">
        <v>3.578964</v>
      </c>
      <c r="I17" s="55">
        <f t="shared" si="0"/>
        <v>270.22080000000005</v>
      </c>
    </row>
    <row r="18" spans="2:9">
      <c r="B18" s="54" t="s">
        <v>11</v>
      </c>
      <c r="C18" s="47">
        <v>508.89754408489864</v>
      </c>
      <c r="D18" s="48">
        <v>1.3638775876911453</v>
      </c>
      <c r="E18" s="47">
        <v>651.81640000000004</v>
      </c>
      <c r="F18" s="48">
        <v>3.3662519999999998</v>
      </c>
      <c r="G18" s="47">
        <v>359.68110000000001</v>
      </c>
      <c r="H18" s="48">
        <v>5.2798239999999996</v>
      </c>
      <c r="I18" s="55">
        <f t="shared" si="0"/>
        <v>292.13530000000003</v>
      </c>
    </row>
    <row r="19" spans="2:9">
      <c r="B19" s="54" t="s">
        <v>30</v>
      </c>
      <c r="C19" s="47">
        <v>508.07030635647004</v>
      </c>
      <c r="D19" s="48">
        <v>2.2626619794666851</v>
      </c>
      <c r="E19" s="47">
        <v>655.57929999999999</v>
      </c>
      <c r="F19" s="48">
        <v>3.7390750000000001</v>
      </c>
      <c r="G19" s="47">
        <v>344.07810000000001</v>
      </c>
      <c r="H19" s="48">
        <v>4.3160360000000004</v>
      </c>
      <c r="I19" s="55">
        <f t="shared" si="0"/>
        <v>311.50119999999998</v>
      </c>
    </row>
    <row r="20" spans="2:9">
      <c r="B20" s="54" t="s">
        <v>36</v>
      </c>
      <c r="C20" s="47">
        <v>507.30136181814578</v>
      </c>
      <c r="D20" s="48">
        <v>1.9679204226502394</v>
      </c>
      <c r="E20" s="47">
        <v>638.67859999999996</v>
      </c>
      <c r="F20" s="48">
        <v>3.3206929999999999</v>
      </c>
      <c r="G20" s="47">
        <v>367.57159999999999</v>
      </c>
      <c r="H20" s="48">
        <v>3.6318459999999999</v>
      </c>
      <c r="I20" s="55">
        <f t="shared" si="0"/>
        <v>271.10699999999997</v>
      </c>
    </row>
    <row r="21" spans="2:9">
      <c r="B21" s="54" t="s">
        <v>24</v>
      </c>
      <c r="C21" s="47">
        <v>502.38770205684915</v>
      </c>
      <c r="D21" s="48">
        <v>2.6542509544482265</v>
      </c>
      <c r="E21" s="47">
        <v>647.00959999999998</v>
      </c>
      <c r="F21" s="48">
        <v>3.8342399999999999</v>
      </c>
      <c r="G21" s="47">
        <v>348.4307</v>
      </c>
      <c r="H21" s="48">
        <v>5.6860819999999999</v>
      </c>
      <c r="I21" s="55">
        <f t="shared" si="0"/>
        <v>298.57889999999998</v>
      </c>
    </row>
    <row r="22" spans="2:9">
      <c r="B22" s="54" t="s">
        <v>42</v>
      </c>
      <c r="C22" s="47">
        <v>501.76989911392411</v>
      </c>
      <c r="D22" s="48">
        <v>2.5644279362849116</v>
      </c>
      <c r="E22" s="47">
        <v>651.101</v>
      </c>
      <c r="F22" s="48">
        <v>4.1819129999999998</v>
      </c>
      <c r="G22" s="47">
        <v>345.83949999999999</v>
      </c>
      <c r="H22" s="48">
        <v>4.1030899999999999</v>
      </c>
      <c r="I22" s="55">
        <f t="shared" si="0"/>
        <v>305.26150000000001</v>
      </c>
    </row>
    <row r="23" spans="2:9">
      <c r="B23" s="54" t="s">
        <v>14</v>
      </c>
      <c r="C23" s="47">
        <v>500.96378835595823</v>
      </c>
      <c r="D23" s="48">
        <v>2.2190448538790548</v>
      </c>
      <c r="E23" s="47">
        <v>644.57159999999999</v>
      </c>
      <c r="F23" s="48">
        <v>4.3908069999999997</v>
      </c>
      <c r="G23" s="47">
        <v>345.29750000000001</v>
      </c>
      <c r="H23" s="48">
        <v>4.1379669999999997</v>
      </c>
      <c r="I23" s="55">
        <f t="shared" si="0"/>
        <v>299.27409999999998</v>
      </c>
    </row>
    <row r="24" spans="2:9">
      <c r="B24" s="54" t="s">
        <v>17</v>
      </c>
      <c r="C24" s="47">
        <v>500.04378016676554</v>
      </c>
      <c r="D24" s="48">
        <v>2.6470829297670408</v>
      </c>
      <c r="E24" s="47">
        <v>650.16949999999997</v>
      </c>
      <c r="F24" s="48">
        <v>3.4499209999999998</v>
      </c>
      <c r="G24" s="47">
        <v>337.48250000000002</v>
      </c>
      <c r="H24" s="48">
        <v>4.6497820000000001</v>
      </c>
      <c r="I24" s="55">
        <f t="shared" si="0"/>
        <v>312.68699999999995</v>
      </c>
    </row>
    <row r="25" spans="2:9">
      <c r="B25" s="54" t="s">
        <v>10</v>
      </c>
      <c r="C25" s="47">
        <v>499.63289403766839</v>
      </c>
      <c r="D25" s="48">
        <v>2.1986210741375984</v>
      </c>
      <c r="E25" s="47">
        <v>624.75149999999996</v>
      </c>
      <c r="F25" s="48">
        <v>3.4762059999999999</v>
      </c>
      <c r="G25" s="47">
        <v>367.25150000000002</v>
      </c>
      <c r="H25" s="48">
        <v>3.5887920000000002</v>
      </c>
      <c r="I25" s="55">
        <f t="shared" si="0"/>
        <v>257.49999999999994</v>
      </c>
    </row>
    <row r="26" spans="2:9">
      <c r="B26" s="54" t="s">
        <v>20</v>
      </c>
      <c r="C26" s="47">
        <v>499.46765090624422</v>
      </c>
      <c r="D26" s="48">
        <v>2.4606614512025282</v>
      </c>
      <c r="E26" s="47">
        <v>650.38689999999997</v>
      </c>
      <c r="F26" s="48">
        <v>3.8949530000000001</v>
      </c>
      <c r="G26" s="47">
        <v>345.04219999999998</v>
      </c>
      <c r="H26" s="48">
        <v>5.210496</v>
      </c>
      <c r="I26" s="55">
        <f t="shared" si="0"/>
        <v>305.34469999999999</v>
      </c>
    </row>
    <row r="27" spans="2:9">
      <c r="B27" s="54" t="s">
        <v>19</v>
      </c>
      <c r="C27" s="47">
        <v>498.94231379959513</v>
      </c>
      <c r="D27" s="48">
        <v>2.9709986603204306</v>
      </c>
      <c r="E27" s="47">
        <v>646.43579999999997</v>
      </c>
      <c r="F27" s="48">
        <v>3.6217860000000002</v>
      </c>
      <c r="G27" s="47">
        <v>341.07029999999997</v>
      </c>
      <c r="H27" s="48">
        <v>4.3752740000000001</v>
      </c>
      <c r="I27" s="55">
        <f t="shared" si="0"/>
        <v>305.3655</v>
      </c>
    </row>
    <row r="28" spans="2:9">
      <c r="B28" s="54" t="s">
        <v>25</v>
      </c>
      <c r="C28" s="47">
        <v>496.12633069612247</v>
      </c>
      <c r="D28" s="48">
        <v>1.9627668308486268</v>
      </c>
      <c r="E28" s="47">
        <v>627.94970000000001</v>
      </c>
      <c r="F28" s="48">
        <v>3.4301569999999999</v>
      </c>
      <c r="G28" s="47">
        <v>362.84789999999998</v>
      </c>
      <c r="H28" s="48">
        <v>4.1352520000000004</v>
      </c>
      <c r="I28" s="55">
        <f t="shared" si="0"/>
        <v>265.10180000000003</v>
      </c>
    </row>
    <row r="29" spans="2:9">
      <c r="B29" s="54" t="s">
        <v>6</v>
      </c>
      <c r="C29" s="47">
        <v>495.4075814440298</v>
      </c>
      <c r="D29" s="48">
        <v>2.3202141054776888</v>
      </c>
      <c r="E29" s="47">
        <v>637.82749999999999</v>
      </c>
      <c r="F29" s="48">
        <v>3.5532339999999998</v>
      </c>
      <c r="G29" s="47">
        <v>333.31310000000002</v>
      </c>
      <c r="H29" s="48">
        <v>4.2841680000000002</v>
      </c>
      <c r="I29" s="55">
        <f t="shared" si="0"/>
        <v>304.51439999999997</v>
      </c>
    </row>
    <row r="30" spans="2:9">
      <c r="B30" s="54" t="s">
        <v>21</v>
      </c>
      <c r="C30" s="47">
        <v>495.18737617387461</v>
      </c>
      <c r="D30" s="48">
        <v>1.9530824978124361</v>
      </c>
      <c r="E30" s="47">
        <v>638.01829999999995</v>
      </c>
      <c r="F30" s="48">
        <v>4.096997</v>
      </c>
      <c r="G30" s="47">
        <v>339.81200000000001</v>
      </c>
      <c r="H30" s="48">
        <v>3.843102</v>
      </c>
      <c r="I30" s="55">
        <f t="shared" si="0"/>
        <v>298.20629999999994</v>
      </c>
    </row>
    <row r="31" spans="2:9">
      <c r="B31" s="54" t="s">
        <v>29</v>
      </c>
      <c r="C31" s="47">
        <v>494.48967597920972</v>
      </c>
      <c r="D31" s="48">
        <v>1.7059428545398929</v>
      </c>
      <c r="E31" s="47">
        <v>644.76250000000005</v>
      </c>
      <c r="F31" s="48">
        <v>3.6803140000000001</v>
      </c>
      <c r="G31" s="47">
        <v>338.60770000000002</v>
      </c>
      <c r="H31" s="48">
        <v>3.7452179999999999</v>
      </c>
      <c r="I31" s="55">
        <f t="shared" si="0"/>
        <v>306.15480000000002</v>
      </c>
    </row>
    <row r="32" spans="2:9">
      <c r="B32" s="54" t="s">
        <v>38</v>
      </c>
      <c r="C32" s="47">
        <v>492.48740611179471</v>
      </c>
      <c r="D32" s="48">
        <v>2.6845700935494685</v>
      </c>
      <c r="E32" s="47">
        <v>643.00480000000005</v>
      </c>
      <c r="F32" s="48">
        <v>4.4752729999999996</v>
      </c>
      <c r="G32" s="47">
        <v>327.39420000000001</v>
      </c>
      <c r="H32" s="48">
        <v>5.1764229999999998</v>
      </c>
      <c r="I32" s="55">
        <f t="shared" si="0"/>
        <v>315.61060000000003</v>
      </c>
    </row>
    <row r="33" spans="2:9">
      <c r="B33" s="54" t="s">
        <v>15</v>
      </c>
      <c r="C33" s="47">
        <v>491.36002524263176</v>
      </c>
      <c r="D33" s="48">
        <v>1.939833000298</v>
      </c>
      <c r="E33" s="47">
        <v>640.92060000000004</v>
      </c>
      <c r="F33" s="48">
        <v>3.580616</v>
      </c>
      <c r="G33" s="47">
        <v>338.95859999999999</v>
      </c>
      <c r="H33" s="48">
        <v>3.8115579999999998</v>
      </c>
      <c r="I33" s="55">
        <f t="shared" si="0"/>
        <v>301.96200000000005</v>
      </c>
    </row>
    <row r="34" spans="2:9">
      <c r="B34" s="54" t="s">
        <v>13</v>
      </c>
      <c r="C34" s="47">
        <v>486.58985801290993</v>
      </c>
      <c r="D34" s="48">
        <v>2.7800460370557691</v>
      </c>
      <c r="E34" s="47">
        <v>635.21500000000003</v>
      </c>
      <c r="F34" s="48">
        <v>4.8906499999999999</v>
      </c>
      <c r="G34" s="47">
        <v>326.9436</v>
      </c>
      <c r="H34" s="48">
        <v>5.4893650000000003</v>
      </c>
      <c r="I34" s="55">
        <f t="shared" si="0"/>
        <v>308.27140000000003</v>
      </c>
    </row>
    <row r="35" spans="2:9">
      <c r="B35" s="54" t="s">
        <v>39</v>
      </c>
      <c r="C35" s="47">
        <v>486.16485429356283</v>
      </c>
      <c r="D35" s="48">
        <v>2.5555956783850093</v>
      </c>
      <c r="E35" s="47">
        <v>640.2971</v>
      </c>
      <c r="F35" s="48">
        <v>3.6742720000000002</v>
      </c>
      <c r="G35" s="47">
        <v>314.75209999999998</v>
      </c>
      <c r="H35" s="48">
        <v>5.9554840000000002</v>
      </c>
      <c r="I35" s="55">
        <f t="shared" si="0"/>
        <v>325.54500000000002</v>
      </c>
    </row>
    <row r="36" spans="2:9">
      <c r="B36" s="54" t="s">
        <v>41</v>
      </c>
      <c r="C36" s="47">
        <v>483.42148522271725</v>
      </c>
      <c r="D36" s="48">
        <v>1.0976324931444537</v>
      </c>
      <c r="E36" s="47">
        <v>640.87139999999999</v>
      </c>
      <c r="F36" s="48">
        <v>2.9471059999999998</v>
      </c>
      <c r="G36" s="47">
        <v>321.00659999999999</v>
      </c>
      <c r="H36" s="48">
        <v>3.3816449999999998</v>
      </c>
      <c r="I36" s="55">
        <f t="shared" si="0"/>
        <v>319.8648</v>
      </c>
    </row>
    <row r="37" spans="2:9">
      <c r="B37" s="54" t="s">
        <v>28</v>
      </c>
      <c r="C37" s="47">
        <v>481.39261267546834</v>
      </c>
      <c r="D37" s="48">
        <v>1.4624177600305268</v>
      </c>
      <c r="E37" s="47">
        <v>621.34780000000001</v>
      </c>
      <c r="F37" s="48">
        <v>2.3577530000000002</v>
      </c>
      <c r="G37" s="47">
        <v>331.21409999999997</v>
      </c>
      <c r="H37" s="48">
        <v>2.840128</v>
      </c>
      <c r="I37" s="55">
        <f t="shared" si="0"/>
        <v>290.13370000000003</v>
      </c>
    </row>
    <row r="38" spans="2:9">
      <c r="B38" s="54" t="s">
        <v>34</v>
      </c>
      <c r="C38" s="47">
        <v>481.19118829456238</v>
      </c>
      <c r="D38" s="48">
        <v>1.9532819668035786</v>
      </c>
      <c r="E38" s="47">
        <v>629.74770000000001</v>
      </c>
      <c r="F38" s="48">
        <v>3.211903</v>
      </c>
      <c r="G38" s="47">
        <v>329.67750000000001</v>
      </c>
      <c r="H38" s="48">
        <v>4.056406</v>
      </c>
      <c r="I38" s="55">
        <f t="shared" si="0"/>
        <v>300.0702</v>
      </c>
    </row>
    <row r="39" spans="2:9">
      <c r="B39" s="54" t="s">
        <v>5</v>
      </c>
      <c r="C39" s="47">
        <v>481.08263635624405</v>
      </c>
      <c r="D39" s="48">
        <v>2.3195967411674916</v>
      </c>
      <c r="E39" s="47">
        <v>626.38980000000004</v>
      </c>
      <c r="F39" s="48">
        <v>4.6997350000000004</v>
      </c>
      <c r="G39" s="47">
        <v>327.93169999999998</v>
      </c>
      <c r="H39" s="48">
        <v>3.9021270000000001</v>
      </c>
      <c r="I39" s="55">
        <f t="shared" si="0"/>
        <v>298.45810000000006</v>
      </c>
    </row>
    <row r="40" spans="2:9">
      <c r="B40" s="54" t="s">
        <v>8</v>
      </c>
      <c r="C40" s="47">
        <v>478.24471737720205</v>
      </c>
      <c r="D40" s="48">
        <v>3.2354440776227626</v>
      </c>
      <c r="E40" s="47">
        <v>628.70460000000003</v>
      </c>
      <c r="F40" s="48">
        <v>4.5973889999999997</v>
      </c>
      <c r="G40" s="47">
        <v>325.60480000000001</v>
      </c>
      <c r="H40" s="48">
        <v>5.0212329999999996</v>
      </c>
      <c r="I40" s="55">
        <f t="shared" si="0"/>
        <v>303.09980000000002</v>
      </c>
    </row>
    <row r="41" spans="2:9">
      <c r="B41" s="54" t="s">
        <v>18</v>
      </c>
      <c r="C41" s="47">
        <v>471.72441504866794</v>
      </c>
      <c r="D41" s="48">
        <v>1.9021291186566882</v>
      </c>
      <c r="E41" s="47">
        <v>607.87959999999998</v>
      </c>
      <c r="F41" s="48">
        <v>4.2199530000000003</v>
      </c>
      <c r="G41" s="47">
        <v>297.2423</v>
      </c>
      <c r="H41" s="48">
        <v>4.4346560000000004</v>
      </c>
      <c r="I41" s="55">
        <f t="shared" si="0"/>
        <v>310.63729999999998</v>
      </c>
    </row>
    <row r="42" spans="2:9">
      <c r="B42" s="54" t="s">
        <v>16</v>
      </c>
      <c r="C42" s="47">
        <v>464.20427271196951</v>
      </c>
      <c r="D42" s="48">
        <v>2.5485653032875271</v>
      </c>
      <c r="E42" s="47">
        <v>615.47308299999997</v>
      </c>
      <c r="F42" s="48">
        <v>1.8384769999999999</v>
      </c>
      <c r="G42" s="47">
        <v>323.1404</v>
      </c>
      <c r="H42" s="48">
        <v>4.6194709999999999</v>
      </c>
      <c r="I42" s="55">
        <f t="shared" si="0"/>
        <v>292.33268299999997</v>
      </c>
    </row>
    <row r="43" spans="2:9">
      <c r="B43" s="54" t="s">
        <v>12</v>
      </c>
      <c r="C43" s="47">
        <v>463.03454892046045</v>
      </c>
      <c r="D43" s="48">
        <v>3.4985632467054093</v>
      </c>
      <c r="E43" s="47">
        <v>632.44219999999996</v>
      </c>
      <c r="F43" s="48">
        <v>3.9496869999999999</v>
      </c>
      <c r="G43" s="47">
        <v>275.9796</v>
      </c>
      <c r="H43" s="48">
        <v>6.230594</v>
      </c>
      <c r="I43" s="55">
        <f t="shared" si="0"/>
        <v>356.46259999999995</v>
      </c>
    </row>
    <row r="44" spans="2:9">
      <c r="B44" s="54" t="s">
        <v>32</v>
      </c>
      <c r="C44" s="47">
        <v>453.50777794614697</v>
      </c>
      <c r="D44" s="48">
        <v>2.2604068825289549</v>
      </c>
      <c r="E44" s="47">
        <v>604.72630000000004</v>
      </c>
      <c r="F44" s="48">
        <v>5.2910339999999998</v>
      </c>
      <c r="G44" s="47">
        <v>314.4631</v>
      </c>
      <c r="H44" s="48">
        <v>4.295223</v>
      </c>
      <c r="I44" s="55">
        <f t="shared" si="0"/>
        <v>290.26320000000004</v>
      </c>
    </row>
    <row r="45" spans="2:9">
      <c r="B45" s="54" t="s">
        <v>40</v>
      </c>
      <c r="C45" s="47">
        <v>451.37034377027811</v>
      </c>
      <c r="D45" s="48">
        <v>3.0912281809336304</v>
      </c>
      <c r="E45" s="47">
        <v>595.21190000000001</v>
      </c>
      <c r="F45" s="48">
        <v>4.66995</v>
      </c>
      <c r="G45" s="47">
        <v>301.53570000000002</v>
      </c>
      <c r="H45" s="48">
        <v>4.8515360000000003</v>
      </c>
      <c r="I45" s="55">
        <f t="shared" si="0"/>
        <v>293.67619999999999</v>
      </c>
    </row>
    <row r="46" spans="2:9">
      <c r="B46" s="54" t="s">
        <v>22</v>
      </c>
      <c r="C46" s="47">
        <v>436.04057099732063</v>
      </c>
      <c r="D46" s="48">
        <v>3.8172445194763336</v>
      </c>
      <c r="E46" s="47">
        <v>629.75980000000004</v>
      </c>
      <c r="F46" s="48">
        <v>4.8289470000000003</v>
      </c>
      <c r="G46" s="47">
        <v>280.17910000000001</v>
      </c>
      <c r="H46" s="48">
        <v>6.1220860000000004</v>
      </c>
      <c r="I46" s="55">
        <f t="shared" si="0"/>
        <v>349.58070000000004</v>
      </c>
    </row>
    <row r="47" spans="2:9">
      <c r="B47" s="54" t="s">
        <v>35</v>
      </c>
      <c r="C47" s="47">
        <v>429.91682707446535</v>
      </c>
      <c r="D47" s="48">
        <v>4.9038359308374115</v>
      </c>
      <c r="E47" s="47">
        <v>587.83630000000005</v>
      </c>
      <c r="F47" s="48">
        <v>7.161651</v>
      </c>
      <c r="G47" s="47">
        <v>277.40120000000002</v>
      </c>
      <c r="H47" s="48">
        <v>5.6994509999999998</v>
      </c>
      <c r="I47" s="55">
        <f t="shared" si="0"/>
        <v>310.43510000000003</v>
      </c>
    </row>
    <row r="48" spans="2:9">
      <c r="B48" s="54" t="s">
        <v>2</v>
      </c>
      <c r="C48" s="47">
        <v>417.40655623356707</v>
      </c>
      <c r="D48" s="48">
        <v>2.4158875647098998</v>
      </c>
      <c r="E48" s="47">
        <v>558.59810000000004</v>
      </c>
      <c r="F48" s="48">
        <v>4.0852579999999996</v>
      </c>
      <c r="G48" s="47">
        <v>282.24489999999997</v>
      </c>
      <c r="H48" s="48">
        <v>3.8826510000000001</v>
      </c>
      <c r="I48" s="55">
        <f t="shared" si="0"/>
        <v>276.35320000000007</v>
      </c>
    </row>
    <row r="49" spans="2:9">
      <c r="B49" s="54" t="s">
        <v>4</v>
      </c>
      <c r="C49" s="47">
        <v>408.80147375476452</v>
      </c>
      <c r="D49" s="48">
        <v>2.4932256146566449</v>
      </c>
      <c r="E49" s="47">
        <v>538.67629999999997</v>
      </c>
      <c r="F49" s="48">
        <v>4.5168330000000001</v>
      </c>
      <c r="G49" s="47">
        <v>283.51330000000002</v>
      </c>
      <c r="H49" s="48">
        <v>3.7775099999999999</v>
      </c>
      <c r="I49" s="55">
        <f t="shared" si="0"/>
        <v>255.16299999999995</v>
      </c>
    </row>
    <row r="50" spans="2:9">
      <c r="B50" s="54" t="s">
        <v>31</v>
      </c>
      <c r="C50" s="47">
        <v>390.93227374034893</v>
      </c>
      <c r="D50" s="48">
        <v>2.9895591266252759</v>
      </c>
      <c r="E50" s="47">
        <v>531.10919999999999</v>
      </c>
      <c r="F50" s="48">
        <v>4.4496339999999996</v>
      </c>
      <c r="G50" s="47">
        <v>262.36419999999998</v>
      </c>
      <c r="H50" s="48">
        <v>5.3514239999999997</v>
      </c>
      <c r="I50" s="55">
        <f t="shared" si="0"/>
        <v>268.745</v>
      </c>
    </row>
    <row r="51" spans="2:9">
      <c r="B51" s="54"/>
      <c r="C51" s="49"/>
      <c r="D51" s="48"/>
      <c r="E51" s="47"/>
      <c r="F51" s="48"/>
      <c r="G51" s="47"/>
      <c r="H51" s="48"/>
      <c r="I51" s="55"/>
    </row>
    <row r="52" spans="2:9">
      <c r="B52" s="54" t="s">
        <v>44</v>
      </c>
      <c r="C52" s="47">
        <v>493.82914099999999</v>
      </c>
      <c r="D52" s="48">
        <v>0.83292900000000003</v>
      </c>
      <c r="E52" s="47">
        <v>642.67840000000001</v>
      </c>
      <c r="F52" s="48">
        <v>1.3732409999999999</v>
      </c>
      <c r="G52" s="47">
        <v>333.87639999999999</v>
      </c>
      <c r="H52" s="48">
        <v>1.514303</v>
      </c>
      <c r="I52" s="55">
        <f>E52-G52</f>
        <v>308.80200000000002</v>
      </c>
    </row>
    <row r="53" spans="2:9">
      <c r="B53" s="54" t="s">
        <v>43</v>
      </c>
      <c r="C53" s="47">
        <v>489.28664008627146</v>
      </c>
      <c r="D53" s="48">
        <v>0.39889283316810553</v>
      </c>
      <c r="E53" s="47">
        <v>634.44178399999998</v>
      </c>
      <c r="F53" s="48">
        <v>0.66451499999999997</v>
      </c>
      <c r="G53" s="47">
        <v>337.26304299999998</v>
      </c>
      <c r="H53" s="48">
        <v>0.73327299999999995</v>
      </c>
      <c r="I53" s="55">
        <f>E53-G53</f>
        <v>297.178741</v>
      </c>
    </row>
    <row r="54" spans="2:9">
      <c r="B54" s="54"/>
      <c r="C54" s="49"/>
      <c r="D54" s="48"/>
      <c r="E54" s="47"/>
      <c r="F54" s="48"/>
      <c r="G54" s="47"/>
      <c r="H54" s="48"/>
      <c r="I54" s="55"/>
    </row>
    <row r="55" spans="2:9">
      <c r="B55" s="54" t="s">
        <v>61</v>
      </c>
      <c r="C55" s="47">
        <v>502.71272601107114</v>
      </c>
      <c r="D55" s="48">
        <v>8.3511767389473608</v>
      </c>
      <c r="E55" s="47">
        <v>639.947</v>
      </c>
      <c r="F55" s="48">
        <v>10.550837</v>
      </c>
      <c r="G55" s="47">
        <v>354.90300000000002</v>
      </c>
      <c r="H55" s="48">
        <v>8.9543820000000007</v>
      </c>
      <c r="I55" s="55">
        <f t="shared" ref="I55:I73" si="1">E55-G55</f>
        <v>285.04399999999998</v>
      </c>
    </row>
    <row r="56" spans="2:9">
      <c r="B56" s="54" t="s">
        <v>52</v>
      </c>
      <c r="C56" s="47">
        <v>502.3980555406726</v>
      </c>
      <c r="D56" s="48">
        <v>4.7268990413337422</v>
      </c>
      <c r="E56" s="47">
        <v>637.09519999999998</v>
      </c>
      <c r="F56" s="48">
        <v>6.7488890000000001</v>
      </c>
      <c r="G56" s="47">
        <v>348.786</v>
      </c>
      <c r="H56" s="48">
        <v>10.370373000000001</v>
      </c>
      <c r="I56" s="55">
        <f t="shared" si="1"/>
        <v>288.30919999999998</v>
      </c>
    </row>
    <row r="57" spans="2:9">
      <c r="B57" s="54" t="s">
        <v>49</v>
      </c>
      <c r="C57" s="47">
        <v>499.21823606165663</v>
      </c>
      <c r="D57" s="48">
        <v>3.4822923578531726</v>
      </c>
      <c r="E57" s="47">
        <v>630.47410000000002</v>
      </c>
      <c r="F57" s="48">
        <v>4.6805589999999997</v>
      </c>
      <c r="G57" s="47">
        <v>350.28460000000001</v>
      </c>
      <c r="H57" s="48">
        <v>5.4597369999999996</v>
      </c>
      <c r="I57" s="55">
        <f t="shared" si="1"/>
        <v>280.18950000000001</v>
      </c>
    </row>
    <row r="58" spans="2:9">
      <c r="B58" s="54" t="s">
        <v>51</v>
      </c>
      <c r="C58" s="47">
        <v>498.80235551491432</v>
      </c>
      <c r="D58" s="48">
        <v>7.5514045328581867</v>
      </c>
      <c r="E58" s="47">
        <v>630.94410000000005</v>
      </c>
      <c r="F58" s="48">
        <v>9.3545429999999996</v>
      </c>
      <c r="G58" s="47">
        <v>353.59899999999999</v>
      </c>
      <c r="H58" s="48">
        <v>10.123327</v>
      </c>
      <c r="I58" s="55">
        <f t="shared" si="1"/>
        <v>277.34510000000006</v>
      </c>
    </row>
    <row r="59" spans="2:9">
      <c r="B59" s="54" t="s">
        <v>46</v>
      </c>
      <c r="C59" s="47">
        <v>498.22219188840791</v>
      </c>
      <c r="D59" s="48">
        <v>4.3040922483756585</v>
      </c>
      <c r="E59" s="47">
        <v>631.08879999999999</v>
      </c>
      <c r="F59" s="48">
        <v>6.6536289999999996</v>
      </c>
      <c r="G59" s="47">
        <v>343.99799999999999</v>
      </c>
      <c r="H59" s="48">
        <v>10.294287000000001</v>
      </c>
      <c r="I59" s="55">
        <f t="shared" si="1"/>
        <v>287.0908</v>
      </c>
    </row>
    <row r="60" spans="2:9">
      <c r="B60" s="54" t="s">
        <v>57</v>
      </c>
      <c r="C60" s="47">
        <v>497.42717832395431</v>
      </c>
      <c r="D60" s="48">
        <v>9.7652568966077151</v>
      </c>
      <c r="E60" s="47">
        <v>643.37699999999995</v>
      </c>
      <c r="F60" s="48">
        <v>13.963597</v>
      </c>
      <c r="G60" s="47">
        <v>338.45850000000002</v>
      </c>
      <c r="H60" s="48">
        <v>10.113495</v>
      </c>
      <c r="I60" s="55">
        <f t="shared" si="1"/>
        <v>304.91849999999994</v>
      </c>
    </row>
    <row r="61" spans="2:9">
      <c r="B61" s="54" t="s">
        <v>48</v>
      </c>
      <c r="C61" s="47">
        <v>496.70985165966221</v>
      </c>
      <c r="D61" s="48">
        <v>5.9323336984888488</v>
      </c>
      <c r="E61" s="47">
        <v>634.0539</v>
      </c>
      <c r="F61" s="48">
        <v>8.3939229999999991</v>
      </c>
      <c r="G61" s="47">
        <v>343.16989999999998</v>
      </c>
      <c r="H61" s="48">
        <v>9.8899030000000003</v>
      </c>
      <c r="I61" s="55">
        <f t="shared" si="1"/>
        <v>290.88400000000001</v>
      </c>
    </row>
    <row r="62" spans="2:9">
      <c r="B62" s="54" t="s">
        <v>129</v>
      </c>
      <c r="C62" s="47">
        <v>490.65137612210748</v>
      </c>
      <c r="D62" s="48">
        <v>4.9655966854905378</v>
      </c>
      <c r="E62" s="47">
        <v>629.3152</v>
      </c>
      <c r="F62" s="48">
        <v>6.4654990000000003</v>
      </c>
      <c r="G62" s="47">
        <v>339.5795</v>
      </c>
      <c r="H62" s="48">
        <v>9.209168</v>
      </c>
      <c r="I62" s="55">
        <f t="shared" si="1"/>
        <v>289.73570000000001</v>
      </c>
    </row>
    <row r="63" spans="2:9">
      <c r="B63" s="54" t="s">
        <v>54</v>
      </c>
      <c r="C63" s="47">
        <v>489.82502839416867</v>
      </c>
      <c r="D63" s="48">
        <v>3.9378796434588343</v>
      </c>
      <c r="E63" s="47">
        <v>629.91110000000003</v>
      </c>
      <c r="F63" s="48">
        <v>7.9244640000000004</v>
      </c>
      <c r="G63" s="47">
        <v>339.98939999999999</v>
      </c>
      <c r="H63" s="48">
        <v>8.3546300000000002</v>
      </c>
      <c r="I63" s="55">
        <f t="shared" si="1"/>
        <v>289.92170000000004</v>
      </c>
    </row>
    <row r="64" spans="2:9">
      <c r="B64" s="54" t="s">
        <v>58</v>
      </c>
      <c r="C64" s="47">
        <v>485.81406138750646</v>
      </c>
      <c r="D64" s="48">
        <v>3.2448976259880049</v>
      </c>
      <c r="E64" s="47">
        <v>625.84760000000006</v>
      </c>
      <c r="F64" s="48">
        <v>3.8578269999999999</v>
      </c>
      <c r="G64" s="47">
        <v>333.52879999999999</v>
      </c>
      <c r="H64" s="48">
        <v>6.2170820000000004</v>
      </c>
      <c r="I64" s="55">
        <f t="shared" si="1"/>
        <v>292.31880000000007</v>
      </c>
    </row>
    <row r="65" spans="2:9">
      <c r="B65" s="54" t="s">
        <v>130</v>
      </c>
      <c r="C65" s="47">
        <v>482.54058124201765</v>
      </c>
      <c r="D65" s="48">
        <v>5.2272907899761512</v>
      </c>
      <c r="E65" s="47">
        <v>613.91099999999994</v>
      </c>
      <c r="F65" s="48">
        <v>6.0556320000000001</v>
      </c>
      <c r="G65" s="47">
        <v>339.94589999999999</v>
      </c>
      <c r="H65" s="48">
        <v>8.6874929999999999</v>
      </c>
      <c r="I65" s="55">
        <f t="shared" si="1"/>
        <v>273.96509999999995</v>
      </c>
    </row>
    <row r="66" spans="2:9">
      <c r="B66" s="54" t="s">
        <v>53</v>
      </c>
      <c r="C66" s="47">
        <v>478.85732269079392</v>
      </c>
      <c r="D66" s="48">
        <v>5.1047030988024273</v>
      </c>
      <c r="E66" s="47">
        <v>617.12480000000005</v>
      </c>
      <c r="F66" s="48">
        <v>6.146458</v>
      </c>
      <c r="G66" s="47">
        <v>331.86180000000002</v>
      </c>
      <c r="H66" s="48">
        <v>7.285323</v>
      </c>
      <c r="I66" s="55">
        <f t="shared" si="1"/>
        <v>285.26300000000003</v>
      </c>
    </row>
    <row r="67" spans="2:9">
      <c r="B67" s="54" t="s">
        <v>60</v>
      </c>
      <c r="C67" s="47">
        <v>473.55435165031588</v>
      </c>
      <c r="D67" s="48">
        <v>5.7329025178063571</v>
      </c>
      <c r="E67" s="47">
        <v>618.1395</v>
      </c>
      <c r="F67" s="48">
        <v>7.7142650000000001</v>
      </c>
      <c r="G67" s="47">
        <v>318.77980000000002</v>
      </c>
      <c r="H67" s="48">
        <v>8.7512159999999994</v>
      </c>
      <c r="I67" s="55">
        <f t="shared" si="1"/>
        <v>299.35969999999998</v>
      </c>
    </row>
    <row r="68" spans="2:9">
      <c r="B68" s="54" t="s">
        <v>56</v>
      </c>
      <c r="C68" s="47">
        <v>473.49379276257849</v>
      </c>
      <c r="D68" s="48">
        <v>4.5607429930509928</v>
      </c>
      <c r="E68" s="47">
        <v>607.97649999999999</v>
      </c>
      <c r="F68" s="48">
        <v>7.4891259999999997</v>
      </c>
      <c r="G68" s="47">
        <v>332.73950000000002</v>
      </c>
      <c r="H68" s="48">
        <v>6.0828559999999996</v>
      </c>
      <c r="I68" s="55">
        <f t="shared" si="1"/>
        <v>275.23699999999997</v>
      </c>
    </row>
    <row r="69" spans="2:9">
      <c r="B69" s="54" t="s">
        <v>45</v>
      </c>
      <c r="C69" s="47">
        <v>469.54865483156073</v>
      </c>
      <c r="D69" s="48">
        <v>6.5875547694555117</v>
      </c>
      <c r="E69" s="47">
        <v>605.21140000000003</v>
      </c>
      <c r="F69" s="48">
        <v>8.2527150000000002</v>
      </c>
      <c r="G69" s="47">
        <v>322.9248</v>
      </c>
      <c r="H69" s="48">
        <v>10.014367999999999</v>
      </c>
      <c r="I69" s="55">
        <f t="shared" si="1"/>
        <v>282.28660000000002</v>
      </c>
    </row>
    <row r="70" spans="2:9">
      <c r="B70" s="54" t="s">
        <v>47</v>
      </c>
      <c r="C70" s="47">
        <v>467.40817992748691</v>
      </c>
      <c r="D70" s="48">
        <v>4.2112317932421437</v>
      </c>
      <c r="E70" s="47">
        <v>608.59370000000001</v>
      </c>
      <c r="F70" s="48">
        <v>6.0443889999999998</v>
      </c>
      <c r="G70" s="47">
        <v>317.65789999999998</v>
      </c>
      <c r="H70" s="48">
        <v>6.412242</v>
      </c>
      <c r="I70" s="55">
        <f t="shared" si="1"/>
        <v>290.93580000000003</v>
      </c>
    </row>
    <row r="71" spans="2:9">
      <c r="B71" s="54" t="s">
        <v>68</v>
      </c>
      <c r="C71" s="47">
        <v>460.41252547069615</v>
      </c>
      <c r="D71" s="48">
        <v>4.5227334756048059</v>
      </c>
      <c r="E71" s="47">
        <v>599.58900000000006</v>
      </c>
      <c r="F71" s="48">
        <v>5.8062279999999999</v>
      </c>
      <c r="G71" s="47">
        <v>321.13310000000001</v>
      </c>
      <c r="H71" s="48">
        <v>6.4650749999999997</v>
      </c>
      <c r="I71" s="55">
        <f t="shared" si="1"/>
        <v>278.45590000000004</v>
      </c>
    </row>
    <row r="72" spans="2:9">
      <c r="B72" s="54" t="s">
        <v>59</v>
      </c>
      <c r="C72" s="47">
        <v>431.54040658122733</v>
      </c>
      <c r="D72" s="48">
        <v>10.439614858760191</v>
      </c>
      <c r="E72" s="47">
        <v>572.06259999999997</v>
      </c>
      <c r="F72" s="48">
        <v>17.472201999999999</v>
      </c>
      <c r="G72" s="47">
        <v>299.02609999999999</v>
      </c>
      <c r="H72" s="48">
        <v>17.389900000000001</v>
      </c>
      <c r="I72" s="55">
        <f t="shared" si="1"/>
        <v>273.03649999999999</v>
      </c>
    </row>
    <row r="73" spans="2:9">
      <c r="B73" s="56" t="s">
        <v>55</v>
      </c>
      <c r="C73" s="57">
        <v>411.33026702308354</v>
      </c>
      <c r="D73" s="58">
        <v>12.190274445509234</v>
      </c>
      <c r="E73" s="57">
        <v>556.65530000000001</v>
      </c>
      <c r="F73" s="58">
        <v>17.875388999999998</v>
      </c>
      <c r="G73" s="57">
        <v>281.7706</v>
      </c>
      <c r="H73" s="58">
        <v>16.529866999999999</v>
      </c>
      <c r="I73" s="59">
        <f t="shared" si="1"/>
        <v>274.88470000000001</v>
      </c>
    </row>
  </sheetData>
  <sortState ref="B14:AC92">
    <sortCondition ref="B12"/>
  </sortState>
  <mergeCells count="6">
    <mergeCell ref="B7:I7"/>
    <mergeCell ref="B8:B9"/>
    <mergeCell ref="C8:D8"/>
    <mergeCell ref="E8:F8"/>
    <mergeCell ref="G8:H8"/>
    <mergeCell ref="I8:I9"/>
  </mergeCells>
  <hyperlinks>
    <hyperlink ref="B5" location="Índice!A1" display="Índice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opLeftCell="A31" zoomScaleNormal="100" workbookViewId="0">
      <selection activeCell="B5" sqref="B5"/>
    </sheetView>
  </sheetViews>
  <sheetFormatPr baseColWidth="10" defaultRowHeight="15"/>
  <cols>
    <col min="1" max="1" width="11.42578125" style="2"/>
    <col min="2" max="2" width="17.7109375" style="2" customWidth="1"/>
    <col min="3" max="4" width="11.7109375" style="2" customWidth="1"/>
    <col min="5" max="5" width="11.85546875" style="2" customWidth="1"/>
    <col min="6" max="8" width="11.7109375" style="24" customWidth="1"/>
    <col min="9" max="9" width="11.7109375" style="2" customWidth="1"/>
    <col min="10" max="10" width="12.28515625" style="2" customWidth="1"/>
    <col min="11" max="11" width="7.85546875" style="2" customWidth="1"/>
    <col min="12" max="12" width="8.140625" style="2" customWidth="1"/>
    <col min="13" max="13" width="6.85546875" style="2" customWidth="1"/>
    <col min="14" max="14" width="6.5703125" style="24" customWidth="1"/>
    <col min="15" max="15" width="6.5703125" style="2" customWidth="1"/>
    <col min="16" max="16" width="6.7109375" style="2" customWidth="1"/>
    <col min="17" max="17" width="6" style="2" customWidth="1"/>
    <col min="18" max="18" width="6.140625" style="2" customWidth="1"/>
    <col min="19" max="19" width="7.140625" style="2" customWidth="1"/>
    <col min="20" max="20" width="6.140625" style="2" customWidth="1"/>
    <col min="21" max="21" width="6.85546875" style="2" customWidth="1"/>
    <col min="22" max="22" width="7.140625" style="2" customWidth="1"/>
    <col min="23" max="23" width="5.85546875" style="2" customWidth="1"/>
    <col min="24" max="16384" width="11.42578125" style="2"/>
  </cols>
  <sheetData>
    <row r="1" spans="1:9">
      <c r="A1" s="1"/>
    </row>
    <row r="2" spans="1:9">
      <c r="B2" s="34" t="s">
        <v>87</v>
      </c>
    </row>
    <row r="3" spans="1:9">
      <c r="B3" s="33" t="s">
        <v>133</v>
      </c>
    </row>
    <row r="4" spans="1:9">
      <c r="B4" s="11" t="s">
        <v>124</v>
      </c>
    </row>
    <row r="5" spans="1:9">
      <c r="B5" s="4" t="s">
        <v>0</v>
      </c>
    </row>
    <row r="6" spans="1:9">
      <c r="B6" s="4"/>
    </row>
    <row r="7" spans="1:9" ht="17.25" customHeight="1">
      <c r="B7" s="68" t="s">
        <v>101</v>
      </c>
      <c r="C7" s="68"/>
      <c r="D7" s="68"/>
      <c r="E7" s="68"/>
      <c r="F7" s="68"/>
      <c r="G7" s="68"/>
      <c r="H7" s="68"/>
      <c r="I7" s="68"/>
    </row>
    <row r="8" spans="1:9" s="24" customFormat="1">
      <c r="B8" s="68" t="s">
        <v>62</v>
      </c>
      <c r="C8" s="70" t="s">
        <v>117</v>
      </c>
      <c r="D8" s="70"/>
      <c r="E8" s="68" t="s">
        <v>102</v>
      </c>
      <c r="F8" s="68"/>
      <c r="G8" s="68" t="s">
        <v>103</v>
      </c>
      <c r="H8" s="68"/>
      <c r="I8" s="68" t="s">
        <v>104</v>
      </c>
    </row>
    <row r="9" spans="1:9" ht="16.5" customHeight="1">
      <c r="B9" s="68"/>
      <c r="C9" s="30" t="s">
        <v>66</v>
      </c>
      <c r="D9" s="30" t="s">
        <v>64</v>
      </c>
      <c r="E9" s="30" t="s">
        <v>66</v>
      </c>
      <c r="F9" s="30" t="s">
        <v>64</v>
      </c>
      <c r="G9" s="30" t="s">
        <v>66</v>
      </c>
      <c r="H9" s="30" t="s">
        <v>64</v>
      </c>
      <c r="I9" s="68"/>
    </row>
    <row r="10" spans="1:9">
      <c r="B10" s="49" t="s">
        <v>23</v>
      </c>
      <c r="C10" s="47">
        <v>530.10800462174518</v>
      </c>
      <c r="D10" s="48">
        <v>1.8845690508304711</v>
      </c>
      <c r="E10" s="47">
        <v>673.61040000000003</v>
      </c>
      <c r="F10" s="48">
        <v>2.961849</v>
      </c>
      <c r="G10" s="47">
        <v>384.1542</v>
      </c>
      <c r="H10" s="48">
        <v>3.902504</v>
      </c>
      <c r="I10" s="47">
        <f t="shared" ref="I10:I50" si="0">E10-G10</f>
        <v>289.45620000000002</v>
      </c>
    </row>
    <row r="11" spans="1:9">
      <c r="B11" s="49" t="s">
        <v>3</v>
      </c>
      <c r="C11" s="47">
        <v>529.13543377081885</v>
      </c>
      <c r="D11" s="48">
        <v>2.5931679269100747</v>
      </c>
      <c r="E11" s="47">
        <v>673.38850000000002</v>
      </c>
      <c r="F11" s="48">
        <v>3.8806349999999998</v>
      </c>
      <c r="G11" s="47">
        <v>371.01409999999998</v>
      </c>
      <c r="H11" s="48">
        <v>4.4786900000000003</v>
      </c>
      <c r="I11" s="47">
        <f t="shared" si="0"/>
        <v>302.37440000000004</v>
      </c>
    </row>
    <row r="12" spans="1:9">
      <c r="B12" s="49" t="s">
        <v>36</v>
      </c>
      <c r="C12" s="47">
        <v>521.88456314354107</v>
      </c>
      <c r="D12" s="48">
        <v>2.5095151891766996</v>
      </c>
      <c r="E12" s="47">
        <v>672.70389999999998</v>
      </c>
      <c r="F12" s="48">
        <v>3.800897</v>
      </c>
      <c r="G12" s="47">
        <v>355.66739999999999</v>
      </c>
      <c r="H12" s="48">
        <v>4.3783469999999998</v>
      </c>
      <c r="I12" s="47">
        <f t="shared" si="0"/>
        <v>317.03649999999999</v>
      </c>
    </row>
    <row r="13" spans="1:9">
      <c r="B13" s="49" t="s">
        <v>27</v>
      </c>
      <c r="C13" s="47">
        <v>519.00725458119962</v>
      </c>
      <c r="D13" s="48">
        <v>2.8027616089780065</v>
      </c>
      <c r="E13" s="47">
        <v>671.56110000000001</v>
      </c>
      <c r="F13" s="48">
        <v>4.4473289999999999</v>
      </c>
      <c r="G13" s="47">
        <v>351.73149999999998</v>
      </c>
      <c r="H13" s="48">
        <v>4.9041040000000002</v>
      </c>
      <c r="I13" s="47">
        <f t="shared" si="0"/>
        <v>319.82960000000003</v>
      </c>
    </row>
    <row r="14" spans="1:9">
      <c r="B14" s="49" t="s">
        <v>7</v>
      </c>
      <c r="C14" s="47">
        <v>517.99766075566777</v>
      </c>
      <c r="D14" s="48">
        <v>2.1536511750350056</v>
      </c>
      <c r="E14" s="47">
        <v>670.78620000000001</v>
      </c>
      <c r="F14" s="48">
        <v>3.5744859999999998</v>
      </c>
      <c r="G14" s="47">
        <v>357.18110000000001</v>
      </c>
      <c r="H14" s="48">
        <v>2.5972749999999998</v>
      </c>
      <c r="I14" s="47">
        <f t="shared" si="0"/>
        <v>313.60509999999999</v>
      </c>
    </row>
    <row r="15" spans="1:9">
      <c r="B15" s="49" t="s">
        <v>37</v>
      </c>
      <c r="C15" s="47">
        <v>511.03556179417882</v>
      </c>
      <c r="D15" s="48">
        <v>2.6072358760910683</v>
      </c>
      <c r="E15" s="47">
        <v>659.84760000000006</v>
      </c>
      <c r="F15" s="48">
        <v>4.4060059999999996</v>
      </c>
      <c r="G15" s="47">
        <v>359.12580000000003</v>
      </c>
      <c r="H15" s="48">
        <v>4.2241569999999999</v>
      </c>
      <c r="I15" s="47">
        <f t="shared" si="0"/>
        <v>300.72180000000003</v>
      </c>
    </row>
    <row r="16" spans="1:9">
      <c r="B16" s="49" t="s">
        <v>29</v>
      </c>
      <c r="C16" s="47">
        <v>508.49072142284558</v>
      </c>
      <c r="D16" s="48">
        <v>2.1046335637432931</v>
      </c>
      <c r="E16" s="47">
        <v>670.06269999999995</v>
      </c>
      <c r="F16" s="48">
        <v>3.2784019999999998</v>
      </c>
      <c r="G16" s="47">
        <v>336.01549999999997</v>
      </c>
      <c r="H16" s="48">
        <v>4.5054910000000001</v>
      </c>
      <c r="I16" s="47">
        <f t="shared" si="0"/>
        <v>334.04719999999998</v>
      </c>
    </row>
    <row r="17" spans="2:9">
      <c r="B17" s="49" t="s">
        <v>11</v>
      </c>
      <c r="C17" s="47">
        <v>507.00654597077875</v>
      </c>
      <c r="D17" s="48">
        <v>1.2504196433908612</v>
      </c>
      <c r="E17" s="47">
        <v>647.94500000000005</v>
      </c>
      <c r="F17" s="48">
        <v>3.6517620000000002</v>
      </c>
      <c r="G17" s="47">
        <v>358.62560000000002</v>
      </c>
      <c r="H17" s="48">
        <v>3.2863910000000001</v>
      </c>
      <c r="I17" s="47">
        <f t="shared" si="0"/>
        <v>289.31940000000003</v>
      </c>
    </row>
    <row r="18" spans="2:9">
      <c r="B18" s="49" t="s">
        <v>42</v>
      </c>
      <c r="C18" s="47">
        <v>504.6674735335863</v>
      </c>
      <c r="D18" s="48">
        <v>2.5644145566129177</v>
      </c>
      <c r="E18" s="47">
        <v>663.85350000000005</v>
      </c>
      <c r="F18" s="48">
        <v>3.7458279999999999</v>
      </c>
      <c r="G18" s="47">
        <v>339.56580000000002</v>
      </c>
      <c r="H18" s="48">
        <v>4.7098800000000001</v>
      </c>
      <c r="I18" s="47">
        <f t="shared" si="0"/>
        <v>324.28770000000003</v>
      </c>
    </row>
    <row r="19" spans="2:9">
      <c r="B19" s="49" t="s">
        <v>33</v>
      </c>
      <c r="C19" s="47">
        <v>503.38381975000414</v>
      </c>
      <c r="D19" s="48">
        <v>2.8406216863391314</v>
      </c>
      <c r="E19" s="47">
        <v>665.77710000000002</v>
      </c>
      <c r="F19" s="48">
        <v>3.7903389999999999</v>
      </c>
      <c r="G19" s="47">
        <v>329.28949999999998</v>
      </c>
      <c r="H19" s="48">
        <v>5.536098</v>
      </c>
      <c r="I19" s="47">
        <f t="shared" si="0"/>
        <v>336.48760000000004</v>
      </c>
    </row>
    <row r="20" spans="2:9">
      <c r="B20" s="49" t="s">
        <v>17</v>
      </c>
      <c r="C20" s="47">
        <v>502.98890282349947</v>
      </c>
      <c r="D20" s="48">
        <v>2.9115005535324845</v>
      </c>
      <c r="E20" s="47">
        <v>664.85410000000002</v>
      </c>
      <c r="F20" s="48">
        <v>3.2858269999999998</v>
      </c>
      <c r="G20" s="47">
        <v>328.0659</v>
      </c>
      <c r="H20" s="48">
        <v>5.2033880000000003</v>
      </c>
      <c r="I20" s="47">
        <f t="shared" si="0"/>
        <v>336.78820000000002</v>
      </c>
    </row>
    <row r="21" spans="2:9">
      <c r="B21" s="49" t="s">
        <v>15</v>
      </c>
      <c r="C21" s="47">
        <v>502.96456288243189</v>
      </c>
      <c r="D21" s="48">
        <v>1.795398284885221</v>
      </c>
      <c r="E21" s="47">
        <v>663.52639999999997</v>
      </c>
      <c r="F21" s="48">
        <v>3.7882660000000001</v>
      </c>
      <c r="G21" s="47">
        <v>333.99540000000002</v>
      </c>
      <c r="H21" s="48">
        <v>2.7140059999999999</v>
      </c>
      <c r="I21" s="47">
        <f t="shared" si="0"/>
        <v>329.53099999999995</v>
      </c>
    </row>
    <row r="22" spans="2:9">
      <c r="B22" s="49" t="s">
        <v>8</v>
      </c>
      <c r="C22" s="47">
        <v>502.38003200091782</v>
      </c>
      <c r="D22" s="48">
        <v>3.3179200378008278</v>
      </c>
      <c r="E22" s="47">
        <v>659.66480000000001</v>
      </c>
      <c r="F22" s="48">
        <v>3.8122509999999998</v>
      </c>
      <c r="G22" s="47">
        <v>335.85939999999999</v>
      </c>
      <c r="H22" s="48">
        <v>6.0968090000000004</v>
      </c>
      <c r="I22" s="47">
        <f t="shared" si="0"/>
        <v>323.80540000000002</v>
      </c>
    </row>
    <row r="23" spans="2:9">
      <c r="B23" s="49" t="s">
        <v>24</v>
      </c>
      <c r="C23" s="47">
        <v>499.44469005930233</v>
      </c>
      <c r="D23" s="48">
        <v>3.0697109778586862</v>
      </c>
      <c r="E23" s="47">
        <v>655.35490000000004</v>
      </c>
      <c r="F23" s="48">
        <v>3.8191959999999998</v>
      </c>
      <c r="G23" s="47">
        <v>333.14150000000001</v>
      </c>
      <c r="H23" s="48">
        <v>6.0285900000000003</v>
      </c>
      <c r="I23" s="47">
        <f t="shared" si="0"/>
        <v>322.21340000000004</v>
      </c>
    </row>
    <row r="24" spans="2:9">
      <c r="B24" s="49" t="s">
        <v>30</v>
      </c>
      <c r="C24" s="47">
        <v>498.77312723921921</v>
      </c>
      <c r="D24" s="48">
        <v>2.2292398477962552</v>
      </c>
      <c r="E24" s="47">
        <v>652.09059999999999</v>
      </c>
      <c r="F24" s="48">
        <v>2.7730389999999998</v>
      </c>
      <c r="G24" s="47">
        <v>328.20190000000002</v>
      </c>
      <c r="H24" s="48">
        <v>4.1688419999999997</v>
      </c>
      <c r="I24" s="47">
        <f t="shared" si="0"/>
        <v>323.88869999999997</v>
      </c>
    </row>
    <row r="25" spans="2:9">
      <c r="B25" s="49" t="s">
        <v>20</v>
      </c>
      <c r="C25" s="47">
        <v>496.79131065622869</v>
      </c>
      <c r="D25" s="48">
        <v>2.5460693525333129</v>
      </c>
      <c r="E25" s="47">
        <v>651.16669999999999</v>
      </c>
      <c r="F25" s="48">
        <v>3.5772970000000002</v>
      </c>
      <c r="G25" s="47">
        <v>340.80439999999999</v>
      </c>
      <c r="H25" s="48">
        <v>4.8175249999999998</v>
      </c>
      <c r="I25" s="47">
        <f t="shared" si="0"/>
        <v>310.3623</v>
      </c>
    </row>
    <row r="26" spans="2:9">
      <c r="B26" s="49" t="s">
        <v>10</v>
      </c>
      <c r="C26" s="47">
        <v>496.11356187258372</v>
      </c>
      <c r="D26" s="48">
        <v>2.2141464349751097</v>
      </c>
      <c r="E26" s="47">
        <v>639.35900000000004</v>
      </c>
      <c r="F26" s="48">
        <v>4.1868939999999997</v>
      </c>
      <c r="G26" s="47">
        <v>347.76490000000001</v>
      </c>
      <c r="H26" s="48">
        <v>4.1246879999999999</v>
      </c>
      <c r="I26" s="47">
        <f t="shared" si="0"/>
        <v>291.59410000000003</v>
      </c>
    </row>
    <row r="27" spans="2:9">
      <c r="B27" s="49" t="s">
        <v>26</v>
      </c>
      <c r="C27" s="47">
        <v>495.27628796857715</v>
      </c>
      <c r="D27" s="48">
        <v>3.004997078907353</v>
      </c>
      <c r="E27" s="47">
        <v>651.31380000000001</v>
      </c>
      <c r="F27" s="48">
        <v>4.0383440000000004</v>
      </c>
      <c r="G27" s="47">
        <v>334.75299999999999</v>
      </c>
      <c r="H27" s="48">
        <v>3.9218099999999998</v>
      </c>
      <c r="I27" s="47">
        <f t="shared" si="0"/>
        <v>316.56080000000003</v>
      </c>
    </row>
    <row r="28" spans="2:9">
      <c r="B28" s="49" t="s">
        <v>6</v>
      </c>
      <c r="C28" s="47">
        <v>492.97707605835149</v>
      </c>
      <c r="D28" s="48">
        <v>2.2236612981443407</v>
      </c>
      <c r="E28" s="47">
        <v>643.93830000000003</v>
      </c>
      <c r="F28" s="48">
        <v>3.7966739999999999</v>
      </c>
      <c r="G28" s="47">
        <v>329.50760000000002</v>
      </c>
      <c r="H28" s="48">
        <v>4.2351340000000004</v>
      </c>
      <c r="I28" s="47">
        <f t="shared" si="0"/>
        <v>314.4307</v>
      </c>
    </row>
    <row r="29" spans="2:9">
      <c r="B29" s="49" t="s">
        <v>9</v>
      </c>
      <c r="C29" s="47">
        <v>492.63703335097489</v>
      </c>
      <c r="D29" s="48">
        <v>1.9376037272658841</v>
      </c>
      <c r="E29" s="47">
        <v>636.99549999999999</v>
      </c>
      <c r="F29" s="48">
        <v>3.6439020000000002</v>
      </c>
      <c r="G29" s="47">
        <v>336.96789999999999</v>
      </c>
      <c r="H29" s="48">
        <v>3.8036080000000001</v>
      </c>
      <c r="I29" s="47">
        <f t="shared" si="0"/>
        <v>300.02760000000001</v>
      </c>
    </row>
    <row r="30" spans="2:9">
      <c r="B30" s="49" t="s">
        <v>38</v>
      </c>
      <c r="C30" s="47">
        <v>491.67732851561516</v>
      </c>
      <c r="D30" s="48">
        <v>2.773162587642453</v>
      </c>
      <c r="E30" s="47">
        <v>637.64829999999995</v>
      </c>
      <c r="F30" s="48">
        <v>4.0719339999999997</v>
      </c>
      <c r="G30" s="47">
        <v>336.47550000000001</v>
      </c>
      <c r="H30" s="48">
        <v>5.5534889999999999</v>
      </c>
      <c r="I30" s="47">
        <f t="shared" si="0"/>
        <v>301.17279999999994</v>
      </c>
    </row>
    <row r="31" spans="2:9">
      <c r="B31" s="49" t="s">
        <v>14</v>
      </c>
      <c r="C31" s="47">
        <v>490.41314927261283</v>
      </c>
      <c r="D31" s="48">
        <v>2.2825075738357627</v>
      </c>
      <c r="E31" s="47">
        <v>645.38080000000002</v>
      </c>
      <c r="F31" s="48">
        <v>3.4004810000000001</v>
      </c>
      <c r="G31" s="47">
        <v>321.02359999999999</v>
      </c>
      <c r="H31" s="48">
        <v>4.4640190000000004</v>
      </c>
      <c r="I31" s="47">
        <f t="shared" si="0"/>
        <v>324.35720000000003</v>
      </c>
    </row>
    <row r="32" spans="2:9">
      <c r="B32" s="49" t="s">
        <v>19</v>
      </c>
      <c r="C32" s="47">
        <v>489.78043953141133</v>
      </c>
      <c r="D32" s="48">
        <v>2.7773948419797998</v>
      </c>
      <c r="E32" s="47">
        <v>642.10569999999996</v>
      </c>
      <c r="F32" s="48">
        <v>3.6855199999999999</v>
      </c>
      <c r="G32" s="47">
        <v>332.23129999999998</v>
      </c>
      <c r="H32" s="48">
        <v>3.7881830000000001</v>
      </c>
      <c r="I32" s="47">
        <f t="shared" si="0"/>
        <v>309.87439999999998</v>
      </c>
    </row>
    <row r="33" spans="2:9">
      <c r="B33" s="49" t="s">
        <v>25</v>
      </c>
      <c r="C33" s="47">
        <v>487.25058835762019</v>
      </c>
      <c r="D33" s="48">
        <v>1.7627962800913748</v>
      </c>
      <c r="E33" s="47">
        <v>622.81859999999995</v>
      </c>
      <c r="F33" s="48">
        <v>3.3363559999999999</v>
      </c>
      <c r="G33" s="47">
        <v>346.54320000000001</v>
      </c>
      <c r="H33" s="48">
        <v>3.8277190000000001</v>
      </c>
      <c r="I33" s="47">
        <f t="shared" si="0"/>
        <v>276.27539999999993</v>
      </c>
    </row>
    <row r="34" spans="2:9">
      <c r="B34" s="49" t="s">
        <v>28</v>
      </c>
      <c r="C34" s="47">
        <v>483.2520427254816</v>
      </c>
      <c r="D34" s="48">
        <v>1.5528528866843549</v>
      </c>
      <c r="E34" s="47">
        <v>626.92570000000001</v>
      </c>
      <c r="F34" s="48">
        <v>2.237975</v>
      </c>
      <c r="G34" s="47">
        <v>334.41149999999999</v>
      </c>
      <c r="H34" s="48">
        <v>2.3085369999999998</v>
      </c>
      <c r="I34" s="47">
        <f t="shared" si="0"/>
        <v>292.51420000000002</v>
      </c>
    </row>
    <row r="35" spans="2:9">
      <c r="B35" s="49" t="s">
        <v>34</v>
      </c>
      <c r="C35" s="47">
        <v>482.06701257046052</v>
      </c>
      <c r="D35" s="48">
        <v>1.6292368484325295</v>
      </c>
      <c r="E35" s="47">
        <v>628.93020000000001</v>
      </c>
      <c r="F35" s="48">
        <v>3.0144250000000001</v>
      </c>
      <c r="G35" s="47">
        <v>333.6705</v>
      </c>
      <c r="H35" s="48">
        <v>3.607326</v>
      </c>
      <c r="I35" s="47">
        <f t="shared" si="0"/>
        <v>295.25970000000001</v>
      </c>
    </row>
    <row r="36" spans="2:9">
      <c r="B36" s="49" t="s">
        <v>5</v>
      </c>
      <c r="C36" s="47">
        <v>480.91169388228616</v>
      </c>
      <c r="D36" s="48">
        <v>2.32997651092181</v>
      </c>
      <c r="E36" s="47">
        <v>631.07939999999996</v>
      </c>
      <c r="F36" s="48">
        <v>4.0864969999999996</v>
      </c>
      <c r="G36" s="47">
        <v>325.30590000000001</v>
      </c>
      <c r="H36" s="48">
        <v>4.4113499999999997</v>
      </c>
      <c r="I36" s="47">
        <f t="shared" si="0"/>
        <v>305.77349999999996</v>
      </c>
    </row>
    <row r="37" spans="2:9">
      <c r="B37" s="49" t="s">
        <v>41</v>
      </c>
      <c r="C37" s="47">
        <v>476.76940620882289</v>
      </c>
      <c r="D37" s="48">
        <v>1.2208428713808155</v>
      </c>
      <c r="E37" s="47">
        <v>636.80449999999996</v>
      </c>
      <c r="F37" s="48">
        <v>3.8348149999999999</v>
      </c>
      <c r="G37" s="47">
        <v>316.74610000000001</v>
      </c>
      <c r="H37" s="48">
        <v>3.570586</v>
      </c>
      <c r="I37" s="47">
        <f t="shared" si="0"/>
        <v>320.05839999999995</v>
      </c>
    </row>
    <row r="38" spans="2:9">
      <c r="B38" s="49" t="s">
        <v>21</v>
      </c>
      <c r="C38" s="47">
        <v>475.02410633375621</v>
      </c>
      <c r="D38" s="48">
        <v>1.795502480477017</v>
      </c>
      <c r="E38" s="47">
        <v>623.20069999999998</v>
      </c>
      <c r="F38" s="48">
        <v>3.7332510000000001</v>
      </c>
      <c r="G38" s="47">
        <v>325.34109999999998</v>
      </c>
      <c r="H38" s="48">
        <v>3.6428419999999999</v>
      </c>
      <c r="I38" s="47">
        <f t="shared" si="0"/>
        <v>297.8596</v>
      </c>
    </row>
    <row r="39" spans="2:9">
      <c r="B39" s="49" t="s">
        <v>16</v>
      </c>
      <c r="C39" s="47">
        <v>472.36261957297756</v>
      </c>
      <c r="D39" s="48">
        <v>2.7895294455302446</v>
      </c>
      <c r="E39" s="47">
        <v>621.50519999999995</v>
      </c>
      <c r="F39" s="48">
        <v>3.9163770000000002</v>
      </c>
      <c r="G39" s="47">
        <v>326.64229999999998</v>
      </c>
      <c r="H39" s="48">
        <v>4.1672520000000004</v>
      </c>
      <c r="I39" s="47">
        <f t="shared" si="0"/>
        <v>294.86289999999997</v>
      </c>
    </row>
    <row r="40" spans="2:9">
      <c r="B40" s="49" t="s">
        <v>32</v>
      </c>
      <c r="C40" s="47">
        <v>468.29961869569371</v>
      </c>
      <c r="D40" s="48">
        <v>2.0130490436302253</v>
      </c>
      <c r="E40" s="47">
        <v>607.90279999999996</v>
      </c>
      <c r="F40" s="48">
        <v>4.8176329999999998</v>
      </c>
      <c r="G40" s="47">
        <v>334.86829999999998</v>
      </c>
      <c r="H40" s="48">
        <v>3.4189029999999998</v>
      </c>
      <c r="I40" s="47">
        <f t="shared" si="0"/>
        <v>273.03449999999998</v>
      </c>
    </row>
    <row r="41" spans="2:9">
      <c r="B41" s="49" t="s">
        <v>13</v>
      </c>
      <c r="C41" s="47">
        <v>468.01172789151281</v>
      </c>
      <c r="D41" s="48">
        <v>2.4295619575179854</v>
      </c>
      <c r="E41" s="47">
        <v>612.04600000000005</v>
      </c>
      <c r="F41" s="48">
        <v>4.7148469999999998</v>
      </c>
      <c r="G41" s="47">
        <v>315.92489999999998</v>
      </c>
      <c r="H41" s="48">
        <v>4.6829369999999999</v>
      </c>
      <c r="I41" s="47">
        <f t="shared" si="0"/>
        <v>296.12110000000007</v>
      </c>
    </row>
    <row r="42" spans="2:9">
      <c r="B42" s="49" t="s">
        <v>39</v>
      </c>
      <c r="C42" s="47">
        <v>464.04757834349175</v>
      </c>
      <c r="D42" s="48">
        <v>2.2781878834857521</v>
      </c>
      <c r="E42" s="47">
        <v>621.71590000000003</v>
      </c>
      <c r="F42" s="48">
        <v>3.7071350000000001</v>
      </c>
      <c r="G42" s="47">
        <v>307.2568</v>
      </c>
      <c r="H42" s="48">
        <v>3.9444720000000002</v>
      </c>
      <c r="I42" s="47">
        <f t="shared" si="0"/>
        <v>314.45910000000003</v>
      </c>
    </row>
    <row r="43" spans="2:9">
      <c r="B43" s="49" t="s">
        <v>12</v>
      </c>
      <c r="C43" s="47">
        <v>462.19663275373875</v>
      </c>
      <c r="D43" s="48">
        <v>3.6183877441759438</v>
      </c>
      <c r="E43" s="47">
        <v>639.79989999999998</v>
      </c>
      <c r="F43" s="48">
        <v>4.018281</v>
      </c>
      <c r="G43" s="47">
        <v>278.83690000000001</v>
      </c>
      <c r="H43" s="48">
        <v>5.566389</v>
      </c>
      <c r="I43" s="47">
        <f t="shared" si="0"/>
        <v>360.96299999999997</v>
      </c>
    </row>
    <row r="44" spans="2:9">
      <c r="B44" s="49" t="s">
        <v>18</v>
      </c>
      <c r="C44" s="47">
        <v>456.59032278180985</v>
      </c>
      <c r="D44" s="48">
        <v>1.8686162528142867</v>
      </c>
      <c r="E44" s="47">
        <v>628.07770000000005</v>
      </c>
      <c r="F44" s="48">
        <v>4.1922430000000004</v>
      </c>
      <c r="G44" s="47">
        <v>277.74009999999998</v>
      </c>
      <c r="H44" s="48">
        <v>4.8295899999999996</v>
      </c>
      <c r="I44" s="47">
        <f t="shared" si="0"/>
        <v>350.33760000000007</v>
      </c>
    </row>
    <row r="45" spans="2:9">
      <c r="B45" s="49" t="s">
        <v>40</v>
      </c>
      <c r="C45" s="47">
        <v>451.63274164662488</v>
      </c>
      <c r="D45" s="48">
        <v>3.1396304559423611</v>
      </c>
      <c r="E45" s="47">
        <v>590.53790000000004</v>
      </c>
      <c r="F45" s="48">
        <v>4.1941329999999999</v>
      </c>
      <c r="G45" s="47">
        <v>308.82069999999999</v>
      </c>
      <c r="H45" s="48">
        <v>5.2355130000000001</v>
      </c>
      <c r="I45" s="47">
        <f t="shared" si="0"/>
        <v>281.71720000000005</v>
      </c>
    </row>
    <row r="46" spans="2:9">
      <c r="B46" s="49" t="s">
        <v>2</v>
      </c>
      <c r="C46" s="47">
        <v>443.58256338766853</v>
      </c>
      <c r="D46" s="48">
        <v>2.4152800816427193</v>
      </c>
      <c r="E46" s="47">
        <v>583.52549999999997</v>
      </c>
      <c r="F46" s="48">
        <v>3.8282509999999998</v>
      </c>
      <c r="G46" s="47">
        <v>308.89080000000001</v>
      </c>
      <c r="H46" s="48">
        <v>3.5855139999999999</v>
      </c>
      <c r="I46" s="47">
        <f t="shared" si="0"/>
        <v>274.63469999999995</v>
      </c>
    </row>
    <row r="47" spans="2:9">
      <c r="B47" s="49" t="s">
        <v>35</v>
      </c>
      <c r="C47" s="47">
        <v>425.76122708517175</v>
      </c>
      <c r="D47" s="48">
        <v>4.5979260773614214</v>
      </c>
      <c r="E47" s="47">
        <v>576.77689999999996</v>
      </c>
      <c r="F47" s="48">
        <v>6.1495509999999998</v>
      </c>
      <c r="G47" s="47">
        <v>281.85640000000001</v>
      </c>
      <c r="H47" s="48">
        <v>5.4511859999999999</v>
      </c>
      <c r="I47" s="47">
        <f t="shared" si="0"/>
        <v>294.92049999999995</v>
      </c>
    </row>
    <row r="48" spans="2:9">
      <c r="B48" s="49" t="s">
        <v>22</v>
      </c>
      <c r="C48" s="47">
        <v>424.07358287521839</v>
      </c>
      <c r="D48" s="48">
        <v>3.6314666842428163</v>
      </c>
      <c r="E48" s="47">
        <v>587.22730000000001</v>
      </c>
      <c r="F48" s="48">
        <v>6.1358319999999997</v>
      </c>
      <c r="G48" s="47">
        <v>278.61950000000002</v>
      </c>
      <c r="H48" s="48">
        <v>5.0543050000000003</v>
      </c>
      <c r="I48" s="47">
        <f t="shared" si="0"/>
        <v>308.6078</v>
      </c>
    </row>
    <row r="49" spans="2:9">
      <c r="B49" s="49" t="s">
        <v>4</v>
      </c>
      <c r="C49" s="47">
        <v>419.20471958248828</v>
      </c>
      <c r="D49" s="48">
        <v>2.5840095078462477</v>
      </c>
      <c r="E49" s="47">
        <v>548.38480000000004</v>
      </c>
      <c r="F49" s="48">
        <v>4.5292209999999997</v>
      </c>
      <c r="G49" s="47">
        <v>302.5659</v>
      </c>
      <c r="H49" s="48">
        <v>4.3149150000000001</v>
      </c>
      <c r="I49" s="47">
        <f t="shared" si="0"/>
        <v>245.81890000000004</v>
      </c>
    </row>
    <row r="50" spans="2:9">
      <c r="B50" s="49" t="s">
        <v>31</v>
      </c>
      <c r="C50" s="47">
        <v>413.32299297387925</v>
      </c>
      <c r="D50" s="48">
        <v>3.0524015268885751</v>
      </c>
      <c r="E50" s="47">
        <v>555.49760000000003</v>
      </c>
      <c r="F50" s="48">
        <v>4.1776439999999999</v>
      </c>
      <c r="G50" s="47">
        <v>286.55349999999999</v>
      </c>
      <c r="H50" s="48">
        <v>3.8022740000000002</v>
      </c>
      <c r="I50" s="47">
        <f t="shared" si="0"/>
        <v>268.94410000000005</v>
      </c>
    </row>
    <row r="51" spans="2:9">
      <c r="B51" s="49"/>
      <c r="C51" s="47"/>
      <c r="D51" s="48"/>
      <c r="E51" s="47"/>
      <c r="F51" s="48"/>
      <c r="G51" s="47"/>
      <c r="H51" s="48"/>
      <c r="I51" s="47"/>
    </row>
    <row r="52" spans="2:9">
      <c r="B52" s="49" t="s">
        <v>44</v>
      </c>
      <c r="C52" s="47">
        <v>490.40766000000002</v>
      </c>
      <c r="D52" s="48">
        <v>0.85883299999999996</v>
      </c>
      <c r="E52" s="47">
        <v>647.00810000000001</v>
      </c>
      <c r="F52" s="48">
        <v>1.2793079999999999</v>
      </c>
      <c r="G52" s="47">
        <v>327.20890000000003</v>
      </c>
      <c r="H52" s="48">
        <v>1.3526670000000001</v>
      </c>
      <c r="I52" s="47">
        <f>E52-G52</f>
        <v>319.79919999999998</v>
      </c>
    </row>
    <row r="53" spans="2:9">
      <c r="B53" s="49" t="s">
        <v>43</v>
      </c>
      <c r="C53" s="47">
        <v>488.66237748458434</v>
      </c>
      <c r="D53" s="48">
        <v>0.40230577837624121</v>
      </c>
      <c r="E53" s="47">
        <v>638.97579499999995</v>
      </c>
      <c r="F53" s="48">
        <v>0.62621700000000002</v>
      </c>
      <c r="G53" s="47">
        <v>332.61888900000002</v>
      </c>
      <c r="H53" s="48">
        <v>0.71377299999999999</v>
      </c>
      <c r="I53" s="47">
        <f>E53-G53</f>
        <v>306.35690599999992</v>
      </c>
    </row>
    <row r="54" spans="2:9">
      <c r="B54" s="49"/>
      <c r="C54" s="47"/>
      <c r="D54" s="48"/>
      <c r="E54" s="47"/>
      <c r="F54" s="48"/>
      <c r="G54" s="47"/>
      <c r="H54" s="48"/>
      <c r="I54" s="47"/>
    </row>
    <row r="55" spans="2:9">
      <c r="B55" s="49" t="s">
        <v>46</v>
      </c>
      <c r="C55" s="47">
        <v>510.46899941876791</v>
      </c>
      <c r="D55" s="48">
        <v>3.978918983442663</v>
      </c>
      <c r="E55" s="47">
        <v>649.52290000000005</v>
      </c>
      <c r="F55" s="48">
        <v>7.4827669999999999</v>
      </c>
      <c r="G55" s="47">
        <v>356.67219999999998</v>
      </c>
      <c r="H55" s="48">
        <v>9.2687460000000002</v>
      </c>
      <c r="I55" s="47">
        <f t="shared" ref="I55:I73" si="1">E55-G55</f>
        <v>292.85070000000007</v>
      </c>
    </row>
    <row r="56" spans="2:9">
      <c r="B56" s="49" t="s">
        <v>52</v>
      </c>
      <c r="C56" s="47">
        <v>501.07520680494008</v>
      </c>
      <c r="D56" s="48">
        <v>4.971906536969839</v>
      </c>
      <c r="E56" s="47">
        <v>639.27250000000004</v>
      </c>
      <c r="F56" s="48">
        <v>5.5857619999999999</v>
      </c>
      <c r="G56" s="47">
        <v>347.6225</v>
      </c>
      <c r="H56" s="48">
        <v>7.9662800000000002</v>
      </c>
      <c r="I56" s="47">
        <f t="shared" si="1"/>
        <v>291.65000000000003</v>
      </c>
    </row>
    <row r="57" spans="2:9">
      <c r="B57" s="49" t="s">
        <v>129</v>
      </c>
      <c r="C57" s="47">
        <v>496.16103823732493</v>
      </c>
      <c r="D57" s="48">
        <v>4.75175031673189</v>
      </c>
      <c r="E57" s="47">
        <v>636.41099999999994</v>
      </c>
      <c r="F57" s="48">
        <v>8.2778170000000006</v>
      </c>
      <c r="G57" s="47">
        <v>347.68470000000002</v>
      </c>
      <c r="H57" s="48">
        <v>7.2798999999999996</v>
      </c>
      <c r="I57" s="47">
        <f t="shared" si="1"/>
        <v>288.72629999999992</v>
      </c>
    </row>
    <row r="58" spans="2:9">
      <c r="B58" s="49" t="s">
        <v>51</v>
      </c>
      <c r="C58" s="47">
        <v>495.38224951823952</v>
      </c>
      <c r="D58" s="48">
        <v>9.1526221040420204</v>
      </c>
      <c r="E58" s="47">
        <v>633.25710000000004</v>
      </c>
      <c r="F58" s="48">
        <v>11.130647</v>
      </c>
      <c r="G58" s="47">
        <v>351.1925</v>
      </c>
      <c r="H58" s="48">
        <v>10.330833</v>
      </c>
      <c r="I58" s="47">
        <f t="shared" si="1"/>
        <v>282.06460000000004</v>
      </c>
    </row>
    <row r="59" spans="2:9">
      <c r="B59" s="49" t="s">
        <v>48</v>
      </c>
      <c r="C59" s="47">
        <v>493.48368472002619</v>
      </c>
      <c r="D59" s="48">
        <v>5.2858132602597196</v>
      </c>
      <c r="E59" s="47">
        <v>634.56579999999997</v>
      </c>
      <c r="F59" s="48">
        <v>7.3853619999999998</v>
      </c>
      <c r="G59" s="47">
        <v>340.15460000000002</v>
      </c>
      <c r="H59" s="48">
        <v>8.6666299999999996</v>
      </c>
      <c r="I59" s="47">
        <f t="shared" si="1"/>
        <v>294.41119999999995</v>
      </c>
    </row>
    <row r="60" spans="2:9">
      <c r="B60" s="49" t="s">
        <v>61</v>
      </c>
      <c r="C60" s="47">
        <v>492.1483000825782</v>
      </c>
      <c r="D60" s="48">
        <v>5.9810926873041215</v>
      </c>
      <c r="E60" s="47">
        <v>632.34209999999996</v>
      </c>
      <c r="F60" s="48">
        <v>8.8968520000000009</v>
      </c>
      <c r="G60" s="47">
        <v>347.4452</v>
      </c>
      <c r="H60" s="48">
        <v>7.9734540000000003</v>
      </c>
      <c r="I60" s="47">
        <f t="shared" si="1"/>
        <v>284.89689999999996</v>
      </c>
    </row>
    <row r="61" spans="2:9">
      <c r="B61" s="49" t="s">
        <v>54</v>
      </c>
      <c r="C61" s="47">
        <v>488.7014525773352</v>
      </c>
      <c r="D61" s="48">
        <v>4.7362547065090874</v>
      </c>
      <c r="E61" s="47">
        <v>631.94640000000004</v>
      </c>
      <c r="F61" s="48">
        <v>6.0442970000000003</v>
      </c>
      <c r="G61" s="47">
        <v>336.71109999999999</v>
      </c>
      <c r="H61" s="48">
        <v>7.8251879999999998</v>
      </c>
      <c r="I61" s="47">
        <f t="shared" si="1"/>
        <v>295.23530000000005</v>
      </c>
    </row>
    <row r="62" spans="2:9">
      <c r="B62" s="49" t="s">
        <v>49</v>
      </c>
      <c r="C62" s="47">
        <v>487.37680756327364</v>
      </c>
      <c r="D62" s="48">
        <v>4.2081538308865358</v>
      </c>
      <c r="E62" s="47">
        <v>623.58609999999999</v>
      </c>
      <c r="F62" s="48">
        <v>6.1248459999999998</v>
      </c>
      <c r="G62" s="47">
        <v>343.51799999999997</v>
      </c>
      <c r="H62" s="48">
        <v>5.3561300000000003</v>
      </c>
      <c r="I62" s="47">
        <f t="shared" si="1"/>
        <v>280.06810000000002</v>
      </c>
    </row>
    <row r="63" spans="2:9">
      <c r="B63" s="49" t="s">
        <v>58</v>
      </c>
      <c r="C63" s="47">
        <v>486.65716127774994</v>
      </c>
      <c r="D63" s="48">
        <v>3.0328896372977181</v>
      </c>
      <c r="E63" s="47">
        <v>627.71519999999998</v>
      </c>
      <c r="F63" s="48">
        <v>3.578945</v>
      </c>
      <c r="G63" s="47">
        <v>338.29680000000002</v>
      </c>
      <c r="H63" s="48">
        <v>4.526116</v>
      </c>
      <c r="I63" s="47">
        <f t="shared" si="1"/>
        <v>289.41839999999996</v>
      </c>
    </row>
    <row r="64" spans="2:9">
      <c r="B64" s="49" t="s">
        <v>57</v>
      </c>
      <c r="C64" s="47">
        <v>486.50374008555974</v>
      </c>
      <c r="D64" s="48">
        <v>7.8668845893358545</v>
      </c>
      <c r="E64" s="47">
        <v>629.3184</v>
      </c>
      <c r="F64" s="48">
        <v>9.024699</v>
      </c>
      <c r="G64" s="47">
        <v>335.22680000000003</v>
      </c>
      <c r="H64" s="48">
        <v>8.0316200000000002</v>
      </c>
      <c r="I64" s="47">
        <f t="shared" si="1"/>
        <v>294.09159999999997</v>
      </c>
    </row>
    <row r="65" spans="2:9">
      <c r="B65" s="49" t="s">
        <v>53</v>
      </c>
      <c r="C65" s="47">
        <v>484.45436859635601</v>
      </c>
      <c r="D65" s="48">
        <v>6.0905687744857371</v>
      </c>
      <c r="E65" s="47">
        <v>625.01679999999999</v>
      </c>
      <c r="F65" s="48">
        <v>8.1029689999999999</v>
      </c>
      <c r="G65" s="47">
        <v>339.42180000000002</v>
      </c>
      <c r="H65" s="48">
        <v>7.977125</v>
      </c>
      <c r="I65" s="47">
        <f t="shared" si="1"/>
        <v>285.59499999999997</v>
      </c>
    </row>
    <row r="66" spans="2:9">
      <c r="B66" s="49" t="s">
        <v>67</v>
      </c>
      <c r="C66" s="47">
        <v>482.14928216276365</v>
      </c>
      <c r="D66" s="48">
        <v>5.1606280795970507</v>
      </c>
      <c r="E66" s="47">
        <v>618.27909999999997</v>
      </c>
      <c r="F66" s="48">
        <v>7.0324960000000001</v>
      </c>
      <c r="G66" s="47">
        <v>338.87450000000001</v>
      </c>
      <c r="H66" s="48">
        <v>7.9717169999999999</v>
      </c>
      <c r="I66" s="47">
        <f t="shared" si="1"/>
        <v>279.40459999999996</v>
      </c>
    </row>
    <row r="67" spans="2:9">
      <c r="B67" s="49" t="s">
        <v>60</v>
      </c>
      <c r="C67" s="47">
        <v>478.98384607484587</v>
      </c>
      <c r="D67" s="48">
        <v>5.6780204822155609</v>
      </c>
      <c r="E67" s="47">
        <v>626.60429999999997</v>
      </c>
      <c r="F67" s="48">
        <v>7.289199</v>
      </c>
      <c r="G67" s="47">
        <v>323.55849999999998</v>
      </c>
      <c r="H67" s="48">
        <v>8.0568670000000004</v>
      </c>
      <c r="I67" s="47">
        <f t="shared" si="1"/>
        <v>303.04579999999999</v>
      </c>
    </row>
    <row r="68" spans="2:9">
      <c r="B68" s="49" t="s">
        <v>56</v>
      </c>
      <c r="C68" s="47">
        <v>477.69098359343513</v>
      </c>
      <c r="D68" s="48">
        <v>4.4102364461060715</v>
      </c>
      <c r="E68" s="47">
        <v>615.24630000000002</v>
      </c>
      <c r="F68" s="48">
        <v>6.4984729999999997</v>
      </c>
      <c r="G68" s="47">
        <v>335.56439999999998</v>
      </c>
      <c r="H68" s="48">
        <v>7.6040929999999998</v>
      </c>
      <c r="I68" s="47">
        <f t="shared" si="1"/>
        <v>279.68190000000004</v>
      </c>
    </row>
    <row r="69" spans="2:9">
      <c r="B69" s="49" t="s">
        <v>45</v>
      </c>
      <c r="C69" s="47">
        <v>473.45621465894703</v>
      </c>
      <c r="D69" s="48">
        <v>5.8617892029570937</v>
      </c>
      <c r="E69" s="47">
        <v>616.9239</v>
      </c>
      <c r="F69" s="48">
        <v>6.5769089999999997</v>
      </c>
      <c r="G69" s="47">
        <v>330.97559999999999</v>
      </c>
      <c r="H69" s="48">
        <v>9.0517289999999999</v>
      </c>
      <c r="I69" s="47">
        <f t="shared" si="1"/>
        <v>285.94830000000002</v>
      </c>
    </row>
    <row r="70" spans="2:9">
      <c r="B70" s="49" t="s">
        <v>47</v>
      </c>
      <c r="C70" s="47">
        <v>470.89027284372224</v>
      </c>
      <c r="D70" s="48">
        <v>4.4195856315502642</v>
      </c>
      <c r="E70" s="47">
        <v>619.15309999999999</v>
      </c>
      <c r="F70" s="48">
        <v>7.1562859999999997</v>
      </c>
      <c r="G70" s="47">
        <v>323.82839999999999</v>
      </c>
      <c r="H70" s="48">
        <v>6.8044339999999996</v>
      </c>
      <c r="I70" s="47">
        <f t="shared" si="1"/>
        <v>295.32470000000001</v>
      </c>
    </row>
    <row r="71" spans="2:9">
      <c r="B71" s="49" t="s">
        <v>68</v>
      </c>
      <c r="C71" s="47">
        <v>469.60339068820002</v>
      </c>
      <c r="D71" s="48">
        <v>4.4695597712907409</v>
      </c>
      <c r="E71" s="47">
        <v>612.27800000000002</v>
      </c>
      <c r="F71" s="48">
        <v>6.032349</v>
      </c>
      <c r="G71" s="47">
        <v>326.13339999999999</v>
      </c>
      <c r="H71" s="48">
        <v>8.2536369999999994</v>
      </c>
      <c r="I71" s="47">
        <f t="shared" si="1"/>
        <v>286.14460000000003</v>
      </c>
    </row>
    <row r="72" spans="2:9">
      <c r="B72" s="49" t="s">
        <v>59</v>
      </c>
      <c r="C72" s="47">
        <v>438.61629331280602</v>
      </c>
      <c r="D72" s="48">
        <v>7.6117372467560065</v>
      </c>
      <c r="E72" s="47">
        <v>584.03200000000004</v>
      </c>
      <c r="F72" s="48">
        <v>20.529197</v>
      </c>
      <c r="G72" s="47">
        <v>301.26319999999998</v>
      </c>
      <c r="H72" s="48">
        <v>18.458817</v>
      </c>
      <c r="I72" s="47">
        <f t="shared" si="1"/>
        <v>282.76880000000006</v>
      </c>
    </row>
    <row r="73" spans="2:9">
      <c r="B73" s="49" t="s">
        <v>55</v>
      </c>
      <c r="C73" s="47">
        <v>415.25410629401659</v>
      </c>
      <c r="D73" s="48">
        <v>6.6232976400855437</v>
      </c>
      <c r="E73" s="47">
        <v>563.41129999999998</v>
      </c>
      <c r="F73" s="48">
        <v>12.248898000000001</v>
      </c>
      <c r="G73" s="47">
        <v>290.3152</v>
      </c>
      <c r="H73" s="48">
        <v>11.018447</v>
      </c>
      <c r="I73" s="47">
        <f t="shared" si="1"/>
        <v>273.09609999999998</v>
      </c>
    </row>
  </sheetData>
  <sortState ref="B56:S97">
    <sortCondition ref="B56"/>
  </sortState>
  <mergeCells count="6">
    <mergeCell ref="C8:D8"/>
    <mergeCell ref="B8:B9"/>
    <mergeCell ref="B7:I7"/>
    <mergeCell ref="E8:F8"/>
    <mergeCell ref="G8:H8"/>
    <mergeCell ref="I8:I9"/>
  </mergeCells>
  <hyperlinks>
    <hyperlink ref="B5" location="Índice!A1" display="Índice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73"/>
  <sheetViews>
    <sheetView zoomScale="80" zoomScaleNormal="80" workbookViewId="0">
      <selection activeCell="B5" sqref="B5"/>
    </sheetView>
  </sheetViews>
  <sheetFormatPr baseColWidth="10" defaultRowHeight="15"/>
  <cols>
    <col min="1" max="1" width="11.42578125" style="2"/>
    <col min="2" max="2" width="17.7109375" style="2" customWidth="1"/>
    <col min="3" max="7" width="12.7109375" style="2" customWidth="1"/>
    <col min="8" max="16" width="12.7109375" style="24" customWidth="1"/>
    <col min="17" max="16384" width="11.42578125" style="2"/>
  </cols>
  <sheetData>
    <row r="2" spans="2:16">
      <c r="B2" s="3" t="s">
        <v>89</v>
      </c>
    </row>
    <row r="3" spans="2:16">
      <c r="B3" s="33" t="s">
        <v>133</v>
      </c>
    </row>
    <row r="4" spans="2:16">
      <c r="B4" s="8" t="s">
        <v>125</v>
      </c>
    </row>
    <row r="5" spans="2:16">
      <c r="B5" s="4" t="s">
        <v>0</v>
      </c>
    </row>
    <row r="7" spans="2:16" ht="21" customHeight="1">
      <c r="B7" s="68" t="s">
        <v>112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2:16" s="24" customFormat="1" ht="18" customHeight="1">
      <c r="B8" s="70" t="s">
        <v>62</v>
      </c>
      <c r="C8" s="68" t="s">
        <v>105</v>
      </c>
      <c r="D8" s="68"/>
      <c r="E8" s="68" t="s">
        <v>106</v>
      </c>
      <c r="F8" s="68"/>
      <c r="G8" s="68" t="s">
        <v>107</v>
      </c>
      <c r="H8" s="68"/>
      <c r="I8" s="68" t="s">
        <v>108</v>
      </c>
      <c r="J8" s="68"/>
      <c r="K8" s="68" t="s">
        <v>109</v>
      </c>
      <c r="L8" s="68"/>
      <c r="M8" s="68" t="s">
        <v>110</v>
      </c>
      <c r="N8" s="68"/>
      <c r="O8" s="68" t="s">
        <v>111</v>
      </c>
      <c r="P8" s="68"/>
    </row>
    <row r="9" spans="2:16" ht="18" customHeight="1">
      <c r="B9" s="70"/>
      <c r="C9" s="31" t="s">
        <v>71</v>
      </c>
      <c r="D9" s="31" t="s">
        <v>64</v>
      </c>
      <c r="E9" s="31" t="s">
        <v>71</v>
      </c>
      <c r="F9" s="31" t="s">
        <v>64</v>
      </c>
      <c r="G9" s="31" t="s">
        <v>71</v>
      </c>
      <c r="H9" s="31" t="s">
        <v>64</v>
      </c>
      <c r="I9" s="31" t="s">
        <v>71</v>
      </c>
      <c r="J9" s="31" t="s">
        <v>64</v>
      </c>
      <c r="K9" s="31" t="s">
        <v>71</v>
      </c>
      <c r="L9" s="31" t="s">
        <v>64</v>
      </c>
      <c r="M9" s="31" t="s">
        <v>71</v>
      </c>
      <c r="N9" s="31" t="s">
        <v>64</v>
      </c>
      <c r="O9" s="31" t="s">
        <v>71</v>
      </c>
      <c r="P9" s="31" t="s">
        <v>64</v>
      </c>
    </row>
    <row r="10" spans="2:16">
      <c r="B10" s="46" t="s">
        <v>23</v>
      </c>
      <c r="C10" s="47">
        <v>2.0866730000000002</v>
      </c>
      <c r="D10" s="48">
        <v>0.273202</v>
      </c>
      <c r="E10" s="47">
        <v>8.1297440000000005</v>
      </c>
      <c r="F10" s="48">
        <v>0.56935500000000006</v>
      </c>
      <c r="G10" s="47">
        <v>20.790873999999999</v>
      </c>
      <c r="H10" s="48">
        <v>0.80510199999999998</v>
      </c>
      <c r="I10" s="47">
        <v>28.953315</v>
      </c>
      <c r="J10" s="48">
        <v>0.82316500000000004</v>
      </c>
      <c r="K10" s="47">
        <v>24.553716000000001</v>
      </c>
      <c r="L10" s="48">
        <v>0.76171599999999995</v>
      </c>
      <c r="M10" s="47">
        <v>11.820760999999999</v>
      </c>
      <c r="N10" s="48">
        <v>0.68001999999999996</v>
      </c>
      <c r="O10" s="47">
        <v>3.6649180000000001</v>
      </c>
      <c r="P10" s="48">
        <v>0.39867399999999997</v>
      </c>
    </row>
    <row r="11" spans="2:16">
      <c r="B11" s="46" t="s">
        <v>3</v>
      </c>
      <c r="C11" s="47">
        <v>2.85805</v>
      </c>
      <c r="D11" s="48">
        <v>0.36132900000000001</v>
      </c>
      <c r="E11" s="47">
        <v>8.5968260000000001</v>
      </c>
      <c r="F11" s="48">
        <v>0.56157900000000005</v>
      </c>
      <c r="G11" s="47">
        <v>18.719958999999999</v>
      </c>
      <c r="H11" s="48">
        <v>0.78683400000000003</v>
      </c>
      <c r="I11" s="47">
        <v>26.411605999999999</v>
      </c>
      <c r="J11" s="48">
        <v>0.87764200000000003</v>
      </c>
      <c r="K11" s="47">
        <v>25.072816</v>
      </c>
      <c r="L11" s="48">
        <v>0.96446299999999996</v>
      </c>
      <c r="M11" s="47">
        <v>14.028059000000001</v>
      </c>
      <c r="N11" s="48">
        <v>0.77664100000000003</v>
      </c>
      <c r="O11" s="47">
        <v>4.312684</v>
      </c>
      <c r="P11" s="48">
        <v>0.54303199999999996</v>
      </c>
    </row>
    <row r="12" spans="2:16">
      <c r="B12" s="46" t="s">
        <v>9</v>
      </c>
      <c r="C12" s="47">
        <v>3.7152440000000002</v>
      </c>
      <c r="D12" s="48">
        <v>0.35276400000000002</v>
      </c>
      <c r="E12" s="47">
        <v>10.855949000000001</v>
      </c>
      <c r="F12" s="48">
        <v>0.58487500000000003</v>
      </c>
      <c r="G12" s="47">
        <v>21.970503000000001</v>
      </c>
      <c r="H12" s="48">
        <v>0.872699</v>
      </c>
      <c r="I12" s="47">
        <v>28.819542999999999</v>
      </c>
      <c r="J12" s="48">
        <v>0.84459700000000004</v>
      </c>
      <c r="K12" s="47">
        <v>23.010397000000001</v>
      </c>
      <c r="L12" s="48">
        <v>0.79067299999999996</v>
      </c>
      <c r="M12" s="47">
        <v>9.5073190000000007</v>
      </c>
      <c r="N12" s="48">
        <v>0.60353800000000002</v>
      </c>
      <c r="O12" s="47">
        <v>2.1210439999999999</v>
      </c>
      <c r="P12" s="48">
        <v>0.310251</v>
      </c>
    </row>
    <row r="13" spans="2:16">
      <c r="B13" s="46" t="s">
        <v>37</v>
      </c>
      <c r="C13" s="47">
        <v>4.2099760000000002</v>
      </c>
      <c r="D13" s="48">
        <v>0.46124100000000001</v>
      </c>
      <c r="E13" s="47">
        <v>10.509696</v>
      </c>
      <c r="F13" s="48">
        <v>0.58901499999999996</v>
      </c>
      <c r="G13" s="47">
        <v>20.652895000000001</v>
      </c>
      <c r="H13" s="48">
        <v>0.78753899999999999</v>
      </c>
      <c r="I13" s="47">
        <v>26.543983000000001</v>
      </c>
      <c r="J13" s="48">
        <v>0.781115</v>
      </c>
      <c r="K13" s="47">
        <v>22.299818999999999</v>
      </c>
      <c r="L13" s="48">
        <v>0.74687000000000003</v>
      </c>
      <c r="M13" s="47">
        <v>11.702285</v>
      </c>
      <c r="N13" s="48">
        <v>0.71628000000000003</v>
      </c>
      <c r="O13" s="47">
        <v>4.0813470000000001</v>
      </c>
      <c r="P13" s="48">
        <v>0.52174699999999996</v>
      </c>
    </row>
    <row r="14" spans="2:16">
      <c r="B14" s="46" t="s">
        <v>36</v>
      </c>
      <c r="C14" s="47">
        <v>3.845154</v>
      </c>
      <c r="D14" s="48">
        <v>0.40267700000000001</v>
      </c>
      <c r="E14" s="47">
        <v>11.130382000000001</v>
      </c>
      <c r="F14" s="48">
        <v>0.55946899999999999</v>
      </c>
      <c r="G14" s="47">
        <v>22.295645</v>
      </c>
      <c r="H14" s="48">
        <v>0.85486899999999999</v>
      </c>
      <c r="I14" s="47">
        <v>28.936810999999999</v>
      </c>
      <c r="J14" s="48">
        <v>0.99417999999999995</v>
      </c>
      <c r="K14" s="47">
        <v>22.666550999999998</v>
      </c>
      <c r="L14" s="48">
        <v>0.80544199999999999</v>
      </c>
      <c r="M14" s="47">
        <v>9.3159480000000006</v>
      </c>
      <c r="N14" s="48">
        <v>0.53643099999999999</v>
      </c>
      <c r="O14" s="47">
        <v>1.809509</v>
      </c>
      <c r="P14" s="48">
        <v>0.28509699999999999</v>
      </c>
    </row>
    <row r="15" spans="2:16">
      <c r="B15" s="46" t="s">
        <v>27</v>
      </c>
      <c r="C15" s="47">
        <v>5.3895189999999999</v>
      </c>
      <c r="D15" s="48">
        <v>0.54671999999999998</v>
      </c>
      <c r="E15" s="47">
        <v>9.6090079999999993</v>
      </c>
      <c r="F15" s="48">
        <v>0.64525600000000005</v>
      </c>
      <c r="G15" s="47">
        <v>17.327256999999999</v>
      </c>
      <c r="H15" s="48">
        <v>0.76156500000000005</v>
      </c>
      <c r="I15" s="47">
        <v>23.370107999999998</v>
      </c>
      <c r="J15" s="48">
        <v>0.73817600000000005</v>
      </c>
      <c r="K15" s="47">
        <v>22.92155</v>
      </c>
      <c r="L15" s="48">
        <v>0.75309599999999999</v>
      </c>
      <c r="M15" s="47">
        <v>14.439337999999999</v>
      </c>
      <c r="N15" s="48">
        <v>0.69937400000000005</v>
      </c>
      <c r="O15" s="47">
        <v>6.9432200000000002</v>
      </c>
      <c r="P15" s="48">
        <v>0.78452</v>
      </c>
    </row>
    <row r="16" spans="2:16">
      <c r="B16" s="46" t="s">
        <v>10</v>
      </c>
      <c r="C16" s="47">
        <v>3.8316080000000001</v>
      </c>
      <c r="D16" s="48">
        <v>0.48088500000000001</v>
      </c>
      <c r="E16" s="47">
        <v>11.855328</v>
      </c>
      <c r="F16" s="48">
        <v>0.71692100000000003</v>
      </c>
      <c r="G16" s="47">
        <v>24.720942000000001</v>
      </c>
      <c r="H16" s="48">
        <v>0.78916200000000003</v>
      </c>
      <c r="I16" s="47">
        <v>30.529312000000001</v>
      </c>
      <c r="J16" s="48">
        <v>0.81461300000000003</v>
      </c>
      <c r="K16" s="47">
        <v>20.833819999999999</v>
      </c>
      <c r="L16" s="48">
        <v>0.81239600000000001</v>
      </c>
      <c r="M16" s="47">
        <v>7.2009439999999998</v>
      </c>
      <c r="N16" s="48">
        <v>0.59862599999999999</v>
      </c>
      <c r="O16" s="47">
        <v>1.0280450000000001</v>
      </c>
      <c r="P16" s="48">
        <v>0.21242800000000001</v>
      </c>
    </row>
    <row r="17" spans="2:16">
      <c r="B17" s="46" t="s">
        <v>33</v>
      </c>
      <c r="C17" s="47">
        <v>4.5183229999999996</v>
      </c>
      <c r="D17" s="48">
        <v>0.57349399999999995</v>
      </c>
      <c r="E17" s="47">
        <v>11.232308</v>
      </c>
      <c r="F17" s="48">
        <v>0.70197699999999996</v>
      </c>
      <c r="G17" s="47">
        <v>19.027087999999999</v>
      </c>
      <c r="H17" s="48">
        <v>1.0403309999999999</v>
      </c>
      <c r="I17" s="47">
        <v>23.217449999999999</v>
      </c>
      <c r="J17" s="48">
        <v>1.092913</v>
      </c>
      <c r="K17" s="47">
        <v>23.584235</v>
      </c>
      <c r="L17" s="48">
        <v>0.94478899999999999</v>
      </c>
      <c r="M17" s="47">
        <v>14.153676000000001</v>
      </c>
      <c r="N17" s="48">
        <v>0.78347</v>
      </c>
      <c r="O17" s="47">
        <v>4.2669199999999998</v>
      </c>
      <c r="P17" s="48">
        <v>0.49054999999999999</v>
      </c>
    </row>
    <row r="18" spans="2:16">
      <c r="B18" s="46" t="s">
        <v>7</v>
      </c>
      <c r="C18" s="47">
        <v>4.9857810000000002</v>
      </c>
      <c r="D18" s="48">
        <v>0.40073799999999998</v>
      </c>
      <c r="E18" s="47">
        <v>11.275408000000001</v>
      </c>
      <c r="F18" s="48">
        <v>0.52152699999999996</v>
      </c>
      <c r="G18" s="47">
        <v>20.811211</v>
      </c>
      <c r="H18" s="48">
        <v>0.61149399999999998</v>
      </c>
      <c r="I18" s="47">
        <v>25.876743999999999</v>
      </c>
      <c r="J18" s="48">
        <v>0.56778300000000004</v>
      </c>
      <c r="K18" s="47">
        <v>21.721627999999999</v>
      </c>
      <c r="L18" s="48">
        <v>0.74307000000000001</v>
      </c>
      <c r="M18" s="47">
        <v>11.311396</v>
      </c>
      <c r="N18" s="48">
        <v>0.489763</v>
      </c>
      <c r="O18" s="47">
        <v>4.0178320000000003</v>
      </c>
      <c r="P18" s="48">
        <v>0.33355200000000002</v>
      </c>
    </row>
    <row r="19" spans="2:16">
      <c r="B19" s="46" t="s">
        <v>11</v>
      </c>
      <c r="C19" s="47">
        <v>4.7735909999999997</v>
      </c>
      <c r="D19" s="48">
        <v>0.58502399999999999</v>
      </c>
      <c r="E19" s="47">
        <v>11.660215000000001</v>
      </c>
      <c r="F19" s="48">
        <v>0.674848</v>
      </c>
      <c r="G19" s="47">
        <v>21.597322999999999</v>
      </c>
      <c r="H19" s="48">
        <v>0.89972099999999999</v>
      </c>
      <c r="I19" s="47">
        <v>26.384675000000001</v>
      </c>
      <c r="J19" s="48">
        <v>0.90549900000000005</v>
      </c>
      <c r="K19" s="47">
        <v>21.981307000000001</v>
      </c>
      <c r="L19" s="48">
        <v>0.80816500000000002</v>
      </c>
      <c r="M19" s="47">
        <v>10.50212</v>
      </c>
      <c r="N19" s="48">
        <v>0.770953</v>
      </c>
      <c r="O19" s="47">
        <v>3.100768</v>
      </c>
      <c r="P19" s="48">
        <v>0.40698200000000001</v>
      </c>
    </row>
    <row r="20" spans="2:16">
      <c r="B20" s="46" t="s">
        <v>26</v>
      </c>
      <c r="C20" s="47">
        <v>4.7789250000000001</v>
      </c>
      <c r="D20" s="48">
        <v>0.44655800000000001</v>
      </c>
      <c r="E20" s="47">
        <v>12.049098000000001</v>
      </c>
      <c r="F20" s="48">
        <v>0.75419599999999998</v>
      </c>
      <c r="G20" s="47">
        <v>19.537379000000001</v>
      </c>
      <c r="H20" s="48">
        <v>0.87623099999999998</v>
      </c>
      <c r="I20" s="47">
        <v>24.387625</v>
      </c>
      <c r="J20" s="48">
        <v>0.97261399999999998</v>
      </c>
      <c r="K20" s="47">
        <v>22.288404</v>
      </c>
      <c r="L20" s="48">
        <v>0.85746900000000004</v>
      </c>
      <c r="M20" s="47">
        <v>12.078122</v>
      </c>
      <c r="N20" s="48">
        <v>0.74013499999999999</v>
      </c>
      <c r="O20" s="47">
        <v>4.8804470000000002</v>
      </c>
      <c r="P20" s="48">
        <v>0.53847199999999995</v>
      </c>
    </row>
    <row r="21" spans="2:16">
      <c r="B21" s="46" t="s">
        <v>25</v>
      </c>
      <c r="C21" s="47">
        <v>4.3925450000000001</v>
      </c>
      <c r="D21" s="48">
        <v>0.476771</v>
      </c>
      <c r="E21" s="47">
        <v>12.924186000000001</v>
      </c>
      <c r="F21" s="48">
        <v>0.79613199999999995</v>
      </c>
      <c r="G21" s="47">
        <v>25.805562999999999</v>
      </c>
      <c r="H21" s="48">
        <v>0.92043900000000001</v>
      </c>
      <c r="I21" s="47">
        <v>29.371767999999999</v>
      </c>
      <c r="J21" s="48">
        <v>1.0304819999999999</v>
      </c>
      <c r="K21" s="47">
        <v>19.018381000000002</v>
      </c>
      <c r="L21" s="48">
        <v>0.79798599999999997</v>
      </c>
      <c r="M21" s="47">
        <v>7.0546610000000003</v>
      </c>
      <c r="N21" s="48">
        <v>0.53666400000000003</v>
      </c>
      <c r="O21" s="47">
        <v>1.432895</v>
      </c>
      <c r="P21" s="48">
        <v>0.23454900000000001</v>
      </c>
    </row>
    <row r="22" spans="2:16">
      <c r="B22" s="46" t="s">
        <v>24</v>
      </c>
      <c r="C22" s="47">
        <v>5.9770989999999999</v>
      </c>
      <c r="D22" s="48">
        <v>0.62629199999999996</v>
      </c>
      <c r="E22" s="47">
        <v>12.830845</v>
      </c>
      <c r="F22" s="48">
        <v>0.750807</v>
      </c>
      <c r="G22" s="47">
        <v>21.859552999999998</v>
      </c>
      <c r="H22" s="48">
        <v>0.90279900000000002</v>
      </c>
      <c r="I22" s="47">
        <v>25.701163999999999</v>
      </c>
      <c r="J22" s="48">
        <v>0.81542000000000003</v>
      </c>
      <c r="K22" s="47">
        <v>21.035437000000002</v>
      </c>
      <c r="L22" s="48">
        <v>0.824519</v>
      </c>
      <c r="M22" s="47">
        <v>9.9816079999999996</v>
      </c>
      <c r="N22" s="48">
        <v>0.65747999999999995</v>
      </c>
      <c r="O22" s="47">
        <v>2.6142940000000001</v>
      </c>
      <c r="P22" s="48">
        <v>0.31701600000000002</v>
      </c>
    </row>
    <row r="23" spans="2:16">
      <c r="B23" s="46" t="s">
        <v>14</v>
      </c>
      <c r="C23" s="47">
        <v>6.4933360000000002</v>
      </c>
      <c r="D23" s="48">
        <v>0.47945100000000002</v>
      </c>
      <c r="E23" s="47">
        <v>12.372593999999999</v>
      </c>
      <c r="F23" s="48">
        <v>0.55658600000000003</v>
      </c>
      <c r="G23" s="47">
        <v>21.821473000000001</v>
      </c>
      <c r="H23" s="48">
        <v>0.77135100000000001</v>
      </c>
      <c r="I23" s="47">
        <v>26.495076000000001</v>
      </c>
      <c r="J23" s="48">
        <v>0.77221099999999998</v>
      </c>
      <c r="K23" s="47">
        <v>20.634208000000001</v>
      </c>
      <c r="L23" s="48">
        <v>0.86200399999999999</v>
      </c>
      <c r="M23" s="47">
        <v>9.8276789999999998</v>
      </c>
      <c r="N23" s="48">
        <v>0.61892999999999998</v>
      </c>
      <c r="O23" s="47">
        <v>2.3556339999999998</v>
      </c>
      <c r="P23" s="48">
        <v>0.35499900000000001</v>
      </c>
    </row>
    <row r="24" spans="2:16">
      <c r="B24" s="46" t="s">
        <v>42</v>
      </c>
      <c r="C24" s="47">
        <v>6.4113800000000003</v>
      </c>
      <c r="D24" s="48">
        <v>0.53857999999999995</v>
      </c>
      <c r="E24" s="47">
        <v>12.817977000000001</v>
      </c>
      <c r="F24" s="48">
        <v>0.62631999999999999</v>
      </c>
      <c r="G24" s="47">
        <v>22.024263999999999</v>
      </c>
      <c r="H24" s="48">
        <v>0.77667600000000003</v>
      </c>
      <c r="I24" s="47">
        <v>25.456585</v>
      </c>
      <c r="J24" s="48">
        <v>0.68381199999999998</v>
      </c>
      <c r="K24" s="47">
        <v>20.427417999999999</v>
      </c>
      <c r="L24" s="48">
        <v>0.70225700000000002</v>
      </c>
      <c r="M24" s="47">
        <v>9.7514140000000005</v>
      </c>
      <c r="N24" s="48">
        <v>0.64020299999999997</v>
      </c>
      <c r="O24" s="47">
        <v>3.1109599999999999</v>
      </c>
      <c r="P24" s="48">
        <v>0.35839900000000002</v>
      </c>
    </row>
    <row r="25" spans="2:16">
      <c r="B25" s="46" t="s">
        <v>30</v>
      </c>
      <c r="C25" s="47">
        <v>6.8631029999999997</v>
      </c>
      <c r="D25" s="48">
        <v>0.654416</v>
      </c>
      <c r="E25" s="47">
        <v>12.798821999999999</v>
      </c>
      <c r="F25" s="48">
        <v>0.64258300000000002</v>
      </c>
      <c r="G25" s="47">
        <v>18.616672999999999</v>
      </c>
      <c r="H25" s="48">
        <v>0.65235500000000002</v>
      </c>
      <c r="I25" s="47">
        <v>23.765891</v>
      </c>
      <c r="J25" s="48">
        <v>0.76008600000000004</v>
      </c>
      <c r="K25" s="47">
        <v>22.223697000000001</v>
      </c>
      <c r="L25" s="48">
        <v>0.74615900000000002</v>
      </c>
      <c r="M25" s="47">
        <v>12.499155</v>
      </c>
      <c r="N25" s="48">
        <v>0.62509000000000003</v>
      </c>
      <c r="O25" s="47">
        <v>3.2326589999999999</v>
      </c>
      <c r="P25" s="48">
        <v>0.40326499999999998</v>
      </c>
    </row>
    <row r="26" spans="2:16">
      <c r="B26" s="46" t="s">
        <v>20</v>
      </c>
      <c r="C26" s="47">
        <v>6.6257869999999999</v>
      </c>
      <c r="D26" s="48">
        <v>0.68925099999999995</v>
      </c>
      <c r="E26" s="47">
        <v>13.759293</v>
      </c>
      <c r="F26" s="48">
        <v>0.71174400000000004</v>
      </c>
      <c r="G26" s="47">
        <v>22.105958999999999</v>
      </c>
      <c r="H26" s="48">
        <v>0.82102399999999998</v>
      </c>
      <c r="I26" s="47">
        <v>25.194517000000001</v>
      </c>
      <c r="J26" s="48">
        <v>0.93399600000000005</v>
      </c>
      <c r="K26" s="47">
        <v>19.646933000000001</v>
      </c>
      <c r="L26" s="48">
        <v>0.740232</v>
      </c>
      <c r="M26" s="47">
        <v>9.526707</v>
      </c>
      <c r="N26" s="48">
        <v>0.52897799999999995</v>
      </c>
      <c r="O26" s="47">
        <v>3.1408049999999998</v>
      </c>
      <c r="P26" s="48">
        <v>0.33319399999999999</v>
      </c>
    </row>
    <row r="27" spans="2:16">
      <c r="B27" s="46" t="s">
        <v>21</v>
      </c>
      <c r="C27" s="47">
        <v>7.3574999999999999</v>
      </c>
      <c r="D27" s="48">
        <v>0.53680700000000003</v>
      </c>
      <c r="E27" s="47">
        <v>13.331695</v>
      </c>
      <c r="F27" s="48">
        <v>0.707874</v>
      </c>
      <c r="G27" s="47">
        <v>21.996548000000001</v>
      </c>
      <c r="H27" s="48">
        <v>0.994533</v>
      </c>
      <c r="I27" s="47">
        <v>26.741876000000001</v>
      </c>
      <c r="J27" s="48">
        <v>0.98267000000000004</v>
      </c>
      <c r="K27" s="47">
        <v>20.186798</v>
      </c>
      <c r="L27" s="48">
        <v>0.88983299999999999</v>
      </c>
      <c r="M27" s="47">
        <v>8.4730530000000002</v>
      </c>
      <c r="N27" s="48">
        <v>0.62565400000000004</v>
      </c>
      <c r="O27" s="47">
        <v>1.9125300000000001</v>
      </c>
      <c r="P27" s="48">
        <v>0.31424299999999999</v>
      </c>
    </row>
    <row r="28" spans="2:16">
      <c r="B28" s="46" t="s">
        <v>19</v>
      </c>
      <c r="C28" s="47">
        <v>7.2719519999999997</v>
      </c>
      <c r="D28" s="48">
        <v>0.66084900000000002</v>
      </c>
      <c r="E28" s="47">
        <v>13.806926000000001</v>
      </c>
      <c r="F28" s="48">
        <v>0.80228699999999997</v>
      </c>
      <c r="G28" s="47">
        <v>20.827324999999998</v>
      </c>
      <c r="H28" s="48">
        <v>0.95039300000000004</v>
      </c>
      <c r="I28" s="47">
        <v>24.906693000000001</v>
      </c>
      <c r="J28" s="48">
        <v>0.94664800000000004</v>
      </c>
      <c r="K28" s="47">
        <v>20.628731999999999</v>
      </c>
      <c r="L28" s="48">
        <v>0.824878</v>
      </c>
      <c r="M28" s="47">
        <v>10.033267</v>
      </c>
      <c r="N28" s="48">
        <v>0.66959599999999997</v>
      </c>
      <c r="O28" s="47">
        <v>2.5251060000000001</v>
      </c>
      <c r="P28" s="48">
        <v>0.33463700000000002</v>
      </c>
    </row>
    <row r="29" spans="2:16">
      <c r="B29" s="46" t="s">
        <v>17</v>
      </c>
      <c r="C29" s="47">
        <v>7.5620820000000002</v>
      </c>
      <c r="D29" s="48">
        <v>0.665987</v>
      </c>
      <c r="E29" s="47">
        <v>13.534535</v>
      </c>
      <c r="F29" s="48">
        <v>0.826735</v>
      </c>
      <c r="G29" s="47">
        <v>20.740656000000001</v>
      </c>
      <c r="H29" s="48">
        <v>0.90362299999999995</v>
      </c>
      <c r="I29" s="47">
        <v>24.026693000000002</v>
      </c>
      <c r="J29" s="48">
        <v>0.75904300000000002</v>
      </c>
      <c r="K29" s="47">
        <v>20.816189000000001</v>
      </c>
      <c r="L29" s="48">
        <v>0.81612899999999999</v>
      </c>
      <c r="M29" s="47">
        <v>10.509824</v>
      </c>
      <c r="N29" s="48">
        <v>0.716808</v>
      </c>
      <c r="O29" s="47">
        <v>2.8100209999999999</v>
      </c>
      <c r="P29" s="48">
        <v>0.304452</v>
      </c>
    </row>
    <row r="30" spans="2:16">
      <c r="B30" s="46" t="s">
        <v>6</v>
      </c>
      <c r="C30" s="47">
        <v>8.0465280000000003</v>
      </c>
      <c r="D30" s="48">
        <v>0.531057</v>
      </c>
      <c r="E30" s="47">
        <v>13.209103000000001</v>
      </c>
      <c r="F30" s="48">
        <v>0.62056699999999998</v>
      </c>
      <c r="G30" s="47">
        <v>21.101687999999999</v>
      </c>
      <c r="H30" s="48">
        <v>0.80339000000000005</v>
      </c>
      <c r="I30" s="47">
        <v>25.575410000000002</v>
      </c>
      <c r="J30" s="48">
        <v>0.78651499999999996</v>
      </c>
      <c r="K30" s="47">
        <v>21.042753000000001</v>
      </c>
      <c r="L30" s="48">
        <v>0.81573399999999996</v>
      </c>
      <c r="M30" s="47">
        <v>9.2315070000000006</v>
      </c>
      <c r="N30" s="48">
        <v>0.62666100000000002</v>
      </c>
      <c r="O30" s="47">
        <v>1.79301</v>
      </c>
      <c r="P30" s="48">
        <v>0.27414699999999997</v>
      </c>
    </row>
    <row r="31" spans="2:16">
      <c r="B31" s="46" t="s">
        <v>29</v>
      </c>
      <c r="C31" s="47">
        <v>7.5725709999999999</v>
      </c>
      <c r="D31" s="48">
        <v>0.48548599999999997</v>
      </c>
      <c r="E31" s="47">
        <v>14.206272</v>
      </c>
      <c r="F31" s="48">
        <v>0.62670599999999999</v>
      </c>
      <c r="G31" s="47">
        <v>22.760259999999999</v>
      </c>
      <c r="H31" s="48">
        <v>0.76962399999999997</v>
      </c>
      <c r="I31" s="47">
        <v>25.027121999999999</v>
      </c>
      <c r="J31" s="48">
        <v>0.72925600000000002</v>
      </c>
      <c r="K31" s="47">
        <v>18.882774000000001</v>
      </c>
      <c r="L31" s="48">
        <v>0.73642600000000003</v>
      </c>
      <c r="M31" s="47">
        <v>8.8466070000000006</v>
      </c>
      <c r="N31" s="48">
        <v>0.43970799999999999</v>
      </c>
      <c r="O31" s="47">
        <v>2.7043949999999999</v>
      </c>
      <c r="P31" s="48">
        <v>0.299064</v>
      </c>
    </row>
    <row r="32" spans="2:16">
      <c r="B32" s="46" t="s">
        <v>15</v>
      </c>
      <c r="C32" s="47">
        <v>7.6186720000000001</v>
      </c>
      <c r="D32" s="48">
        <v>0.50295199999999995</v>
      </c>
      <c r="E32" s="47">
        <v>14.814451</v>
      </c>
      <c r="F32" s="48">
        <v>0.53336399999999995</v>
      </c>
      <c r="G32" s="47">
        <v>23.376645</v>
      </c>
      <c r="H32" s="48">
        <v>0.52198500000000003</v>
      </c>
      <c r="I32" s="47">
        <v>25.550001000000002</v>
      </c>
      <c r="J32" s="48">
        <v>0.507498</v>
      </c>
      <c r="K32" s="47">
        <v>18.177123000000002</v>
      </c>
      <c r="L32" s="48">
        <v>0.47110800000000003</v>
      </c>
      <c r="M32" s="47">
        <v>8.003997</v>
      </c>
      <c r="N32" s="48">
        <v>0.37565300000000001</v>
      </c>
      <c r="O32" s="47">
        <v>2.4591099999999999</v>
      </c>
      <c r="P32" s="48">
        <v>0.27773599999999998</v>
      </c>
    </row>
    <row r="33" spans="2:16">
      <c r="B33" s="46" t="s">
        <v>38</v>
      </c>
      <c r="C33" s="47">
        <v>9.2864989999999992</v>
      </c>
      <c r="D33" s="48">
        <v>0.64837999999999996</v>
      </c>
      <c r="E33" s="47">
        <v>13.994622</v>
      </c>
      <c r="F33" s="48">
        <v>0.83457599999999998</v>
      </c>
      <c r="G33" s="47">
        <v>20.897272000000001</v>
      </c>
      <c r="H33" s="48">
        <v>0.83591499999999996</v>
      </c>
      <c r="I33" s="47">
        <v>24.485855000000001</v>
      </c>
      <c r="J33" s="48">
        <v>1.1055839999999999</v>
      </c>
      <c r="K33" s="47">
        <v>19.727060000000002</v>
      </c>
      <c r="L33" s="48">
        <v>0.77929099999999996</v>
      </c>
      <c r="M33" s="47">
        <v>9.1441130000000008</v>
      </c>
      <c r="N33" s="48">
        <v>0.60578500000000002</v>
      </c>
      <c r="O33" s="47">
        <v>2.4645790000000001</v>
      </c>
      <c r="P33" s="48">
        <v>0.33906999999999998</v>
      </c>
    </row>
    <row r="34" spans="2:16">
      <c r="B34" s="46" t="s">
        <v>13</v>
      </c>
      <c r="C34" s="47">
        <v>9.0598240000000008</v>
      </c>
      <c r="D34" s="48">
        <v>0.76530200000000004</v>
      </c>
      <c r="E34" s="47">
        <v>14.763470999999999</v>
      </c>
      <c r="F34" s="48">
        <v>0.87826499999999996</v>
      </c>
      <c r="G34" s="47">
        <v>22.913053000000001</v>
      </c>
      <c r="H34" s="48">
        <v>1.0203230000000001</v>
      </c>
      <c r="I34" s="47">
        <v>25.606463999999999</v>
      </c>
      <c r="J34" s="48">
        <v>0.93620499999999995</v>
      </c>
      <c r="K34" s="47">
        <v>18.118010999999999</v>
      </c>
      <c r="L34" s="48">
        <v>0.78799399999999997</v>
      </c>
      <c r="M34" s="47">
        <v>7.5270109999999999</v>
      </c>
      <c r="N34" s="48">
        <v>0.58945800000000004</v>
      </c>
      <c r="O34" s="47">
        <v>2.0121660000000001</v>
      </c>
      <c r="P34" s="48">
        <v>0.34018300000000001</v>
      </c>
    </row>
    <row r="35" spans="2:16">
      <c r="B35" s="46" t="s">
        <v>28</v>
      </c>
      <c r="C35" s="47">
        <v>8.7006370000000004</v>
      </c>
      <c r="D35" s="48">
        <v>0.41564400000000001</v>
      </c>
      <c r="E35" s="47">
        <v>15.994834000000001</v>
      </c>
      <c r="F35" s="48">
        <v>0.46873500000000001</v>
      </c>
      <c r="G35" s="47">
        <v>24.446929999999998</v>
      </c>
      <c r="H35" s="48">
        <v>0.43337799999999999</v>
      </c>
      <c r="I35" s="47">
        <v>26.032565000000002</v>
      </c>
      <c r="J35" s="48">
        <v>0.63404300000000002</v>
      </c>
      <c r="K35" s="47">
        <v>17.544927000000001</v>
      </c>
      <c r="L35" s="48">
        <v>0.46718700000000002</v>
      </c>
      <c r="M35" s="47">
        <v>6.1812509999999996</v>
      </c>
      <c r="N35" s="48">
        <v>0.31668099999999999</v>
      </c>
      <c r="O35" s="47">
        <v>1.0988560000000001</v>
      </c>
      <c r="P35" s="48">
        <v>0.13311899999999999</v>
      </c>
    </row>
    <row r="36" spans="2:16">
      <c r="B36" s="46" t="s">
        <v>39</v>
      </c>
      <c r="C36" s="47">
        <v>10.732239</v>
      </c>
      <c r="D36" s="48">
        <v>0.85633499999999996</v>
      </c>
      <c r="E36" s="47">
        <v>14.356173999999999</v>
      </c>
      <c r="F36" s="48">
        <v>0.64560700000000004</v>
      </c>
      <c r="G36" s="47">
        <v>21.35183</v>
      </c>
      <c r="H36" s="48">
        <v>0.88207999999999998</v>
      </c>
      <c r="I36" s="47">
        <v>24.235833</v>
      </c>
      <c r="J36" s="48">
        <v>0.94663799999999998</v>
      </c>
      <c r="K36" s="47">
        <v>18.573927000000001</v>
      </c>
      <c r="L36" s="48">
        <v>0.85863299999999998</v>
      </c>
      <c r="M36" s="47">
        <v>8.4041359999999994</v>
      </c>
      <c r="N36" s="48">
        <v>0.57414600000000005</v>
      </c>
      <c r="O36" s="47">
        <v>2.3458610000000002</v>
      </c>
      <c r="P36" s="48">
        <v>0.297483</v>
      </c>
    </row>
    <row r="37" spans="2:16">
      <c r="B37" s="46" t="s">
        <v>34</v>
      </c>
      <c r="C37" s="47">
        <v>9.2757729999999992</v>
      </c>
      <c r="D37" s="48">
        <v>0.61321300000000001</v>
      </c>
      <c r="E37" s="47">
        <v>16.360666999999999</v>
      </c>
      <c r="F37" s="48">
        <v>0.71334799999999998</v>
      </c>
      <c r="G37" s="47">
        <v>24.185828999999998</v>
      </c>
      <c r="H37" s="48">
        <v>0.72125600000000001</v>
      </c>
      <c r="I37" s="47">
        <v>25.201090000000001</v>
      </c>
      <c r="J37" s="48">
        <v>0.85663299999999998</v>
      </c>
      <c r="K37" s="47">
        <v>16.544513999999999</v>
      </c>
      <c r="L37" s="48">
        <v>0.798319</v>
      </c>
      <c r="M37" s="47">
        <v>6.7519419999999997</v>
      </c>
      <c r="N37" s="48">
        <v>0.48816599999999999</v>
      </c>
      <c r="O37" s="47">
        <v>1.680185</v>
      </c>
      <c r="P37" s="48">
        <v>0.233152</v>
      </c>
    </row>
    <row r="38" spans="2:16">
      <c r="B38" s="46" t="s">
        <v>5</v>
      </c>
      <c r="C38" s="47">
        <v>9.5891359999999999</v>
      </c>
      <c r="D38" s="48">
        <v>0.71909999999999996</v>
      </c>
      <c r="E38" s="47">
        <v>16.053806000000002</v>
      </c>
      <c r="F38" s="48">
        <v>0.816353</v>
      </c>
      <c r="G38" s="47">
        <v>23.631191000000001</v>
      </c>
      <c r="H38" s="48">
        <v>0.86925600000000003</v>
      </c>
      <c r="I38" s="47">
        <v>25.234003000000001</v>
      </c>
      <c r="J38" s="48">
        <v>0.99155899999999997</v>
      </c>
      <c r="K38" s="47">
        <v>17.524723999999999</v>
      </c>
      <c r="L38" s="48">
        <v>0.83604500000000004</v>
      </c>
      <c r="M38" s="47">
        <v>6.5385179999999998</v>
      </c>
      <c r="N38" s="48">
        <v>0.54670799999999997</v>
      </c>
      <c r="O38" s="47">
        <v>1.428623</v>
      </c>
      <c r="P38" s="48">
        <v>0.256878</v>
      </c>
    </row>
    <row r="39" spans="2:16">
      <c r="B39" s="46" t="s">
        <v>8</v>
      </c>
      <c r="C39" s="47">
        <v>10.169743</v>
      </c>
      <c r="D39" s="48">
        <v>0.84685500000000002</v>
      </c>
      <c r="E39" s="47">
        <v>16.938701999999999</v>
      </c>
      <c r="F39" s="48">
        <v>0.89946800000000005</v>
      </c>
      <c r="G39" s="47">
        <v>24.223413000000001</v>
      </c>
      <c r="H39" s="48">
        <v>0.97866799999999998</v>
      </c>
      <c r="I39" s="47">
        <v>24.059446999999999</v>
      </c>
      <c r="J39" s="48">
        <v>0.95978699999999995</v>
      </c>
      <c r="K39" s="47">
        <v>16.346689999999999</v>
      </c>
      <c r="L39" s="48">
        <v>0.94170299999999996</v>
      </c>
      <c r="M39" s="47">
        <v>6.7846469999999997</v>
      </c>
      <c r="N39" s="48">
        <v>0.72648199999999996</v>
      </c>
      <c r="O39" s="47">
        <v>1.4773579999999999</v>
      </c>
      <c r="P39" s="48">
        <v>0.291246</v>
      </c>
    </row>
    <row r="40" spans="2:16">
      <c r="B40" s="46" t="s">
        <v>41</v>
      </c>
      <c r="C40" s="47">
        <v>10.860588</v>
      </c>
      <c r="D40" s="48">
        <v>0.621224</v>
      </c>
      <c r="E40" s="47">
        <v>16.357006999999999</v>
      </c>
      <c r="F40" s="48">
        <v>0.61818099999999998</v>
      </c>
      <c r="G40" s="47">
        <v>21.692081000000002</v>
      </c>
      <c r="H40" s="48">
        <v>0.849688</v>
      </c>
      <c r="I40" s="47">
        <v>22.608536000000001</v>
      </c>
      <c r="J40" s="48">
        <v>0.74602800000000002</v>
      </c>
      <c r="K40" s="47">
        <v>17.669795000000001</v>
      </c>
      <c r="L40" s="48">
        <v>0.692716</v>
      </c>
      <c r="M40" s="47">
        <v>8.5564339999999994</v>
      </c>
      <c r="N40" s="48">
        <v>0.49807400000000002</v>
      </c>
      <c r="O40" s="47">
        <v>2.2555580000000002</v>
      </c>
      <c r="P40" s="48">
        <v>0.33985900000000002</v>
      </c>
    </row>
    <row r="41" spans="2:16">
      <c r="B41" s="46" t="s">
        <v>18</v>
      </c>
      <c r="C41" s="47">
        <v>14.338906</v>
      </c>
      <c r="D41" s="48">
        <v>0.68324399999999996</v>
      </c>
      <c r="E41" s="47">
        <v>15.908561000000001</v>
      </c>
      <c r="F41" s="48">
        <v>0.81200499999999998</v>
      </c>
      <c r="G41" s="47">
        <v>21.533311000000001</v>
      </c>
      <c r="H41" s="48">
        <v>1.038117</v>
      </c>
      <c r="I41" s="47">
        <v>23.175332999999998</v>
      </c>
      <c r="J41" s="48">
        <v>1.0903499999999999</v>
      </c>
      <c r="K41" s="47">
        <v>16.551075999999998</v>
      </c>
      <c r="L41" s="48">
        <v>0.73865000000000003</v>
      </c>
      <c r="M41" s="47">
        <v>6.7099010000000003</v>
      </c>
      <c r="N41" s="48">
        <v>0.57871399999999995</v>
      </c>
      <c r="O41" s="47">
        <v>1.782913</v>
      </c>
      <c r="P41" s="48">
        <v>0.28494199999999997</v>
      </c>
    </row>
    <row r="42" spans="2:16">
      <c r="B42" s="46" t="s">
        <v>16</v>
      </c>
      <c r="C42" s="47">
        <v>10.980081</v>
      </c>
      <c r="D42" s="48">
        <v>0.82239200000000001</v>
      </c>
      <c r="E42" s="47">
        <v>20.180658999999999</v>
      </c>
      <c r="F42" s="48">
        <v>0.83095699999999995</v>
      </c>
      <c r="G42" s="47">
        <v>27.379066999999999</v>
      </c>
      <c r="H42" s="48">
        <v>0.87372300000000003</v>
      </c>
      <c r="I42" s="47">
        <v>23.298991999999998</v>
      </c>
      <c r="J42" s="48">
        <v>0.80322800000000005</v>
      </c>
      <c r="K42" s="47">
        <v>13.02056</v>
      </c>
      <c r="L42" s="48">
        <v>0.75339400000000001</v>
      </c>
      <c r="M42" s="47">
        <v>4.3151089999999996</v>
      </c>
      <c r="N42" s="48">
        <v>0.48333199999999998</v>
      </c>
      <c r="O42" s="47">
        <v>0.82553200000000004</v>
      </c>
      <c r="P42" s="48">
        <v>0.20074800000000001</v>
      </c>
    </row>
    <row r="43" spans="2:16">
      <c r="B43" s="46" t="s">
        <v>12</v>
      </c>
      <c r="C43" s="47">
        <v>17.727816000000001</v>
      </c>
      <c r="D43" s="48">
        <v>1.1123940000000001</v>
      </c>
      <c r="E43" s="47">
        <v>16.367407</v>
      </c>
      <c r="F43" s="48">
        <v>0.803481</v>
      </c>
      <c r="G43" s="47">
        <v>20.694931</v>
      </c>
      <c r="H43" s="48">
        <v>0.74954399999999999</v>
      </c>
      <c r="I43" s="47">
        <v>21.049427999999999</v>
      </c>
      <c r="J43" s="48">
        <v>0.83447199999999999</v>
      </c>
      <c r="K43" s="47">
        <v>15.353712</v>
      </c>
      <c r="L43" s="48">
        <v>0.76976800000000001</v>
      </c>
      <c r="M43" s="47">
        <v>6.9948329999999999</v>
      </c>
      <c r="N43" s="48">
        <v>0.57632899999999998</v>
      </c>
      <c r="O43" s="47">
        <v>1.8118730000000001</v>
      </c>
      <c r="P43" s="48">
        <v>0.27419199999999999</v>
      </c>
    </row>
    <row r="44" spans="2:16">
      <c r="B44" s="46" t="s">
        <v>40</v>
      </c>
      <c r="C44" s="47">
        <v>15.316803</v>
      </c>
      <c r="D44" s="48">
        <v>1.1462619999999999</v>
      </c>
      <c r="E44" s="47">
        <v>20.522116</v>
      </c>
      <c r="F44" s="48">
        <v>0.91954999999999998</v>
      </c>
      <c r="G44" s="47">
        <v>26.827138000000001</v>
      </c>
      <c r="H44" s="48">
        <v>0.87102400000000002</v>
      </c>
      <c r="I44" s="47">
        <v>22.492989000000001</v>
      </c>
      <c r="J44" s="48">
        <v>0.96310200000000001</v>
      </c>
      <c r="K44" s="47">
        <v>11.096952</v>
      </c>
      <c r="L44" s="48">
        <v>0.60965499999999995</v>
      </c>
      <c r="M44" s="47">
        <v>3.2055750000000001</v>
      </c>
      <c r="N44" s="48">
        <v>0.39977600000000002</v>
      </c>
      <c r="O44" s="47">
        <v>0.53842699999999999</v>
      </c>
      <c r="P44" s="48">
        <v>0.17626900000000001</v>
      </c>
    </row>
    <row r="45" spans="2:16">
      <c r="B45" s="46" t="s">
        <v>32</v>
      </c>
      <c r="C45" s="47">
        <v>13.796246</v>
      </c>
      <c r="D45" s="48">
        <v>0.87207999999999997</v>
      </c>
      <c r="E45" s="47">
        <v>22.862974000000001</v>
      </c>
      <c r="F45" s="48">
        <v>0.75024400000000002</v>
      </c>
      <c r="G45" s="47">
        <v>27.306647999999999</v>
      </c>
      <c r="H45" s="48">
        <v>0.83517200000000003</v>
      </c>
      <c r="I45" s="47">
        <v>20.366240000000001</v>
      </c>
      <c r="J45" s="48">
        <v>0.84026599999999996</v>
      </c>
      <c r="K45" s="47">
        <v>10.902103</v>
      </c>
      <c r="L45" s="48">
        <v>0.53186100000000003</v>
      </c>
      <c r="M45" s="47">
        <v>3.8777539999999999</v>
      </c>
      <c r="N45" s="48">
        <v>0.441577</v>
      </c>
      <c r="O45" s="47">
        <v>0.88803399999999999</v>
      </c>
      <c r="P45" s="48">
        <v>0.254326</v>
      </c>
    </row>
    <row r="46" spans="2:16">
      <c r="B46" s="46" t="s">
        <v>22</v>
      </c>
      <c r="C46" s="47">
        <v>21.920587999999999</v>
      </c>
      <c r="D46" s="48">
        <v>1.402798</v>
      </c>
      <c r="E46" s="47">
        <v>22.492253999999999</v>
      </c>
      <c r="F46" s="48">
        <v>0.83370900000000003</v>
      </c>
      <c r="G46" s="47">
        <v>23.724762999999999</v>
      </c>
      <c r="H46" s="48">
        <v>0.95336699999999996</v>
      </c>
      <c r="I46" s="47">
        <v>18.203795</v>
      </c>
      <c r="J46" s="48">
        <v>0.97834600000000005</v>
      </c>
      <c r="K46" s="47">
        <v>9.4449319999999997</v>
      </c>
      <c r="L46" s="48">
        <v>0.65384200000000003</v>
      </c>
      <c r="M46" s="47">
        <v>3.3331490000000001</v>
      </c>
      <c r="N46" s="48">
        <v>0.50208600000000003</v>
      </c>
      <c r="O46" s="47">
        <v>0.88051900000000005</v>
      </c>
      <c r="P46" s="48">
        <v>0.22026999999999999</v>
      </c>
    </row>
    <row r="47" spans="2:16">
      <c r="B47" s="46" t="s">
        <v>35</v>
      </c>
      <c r="C47" s="47">
        <v>22.605076</v>
      </c>
      <c r="D47" s="48">
        <v>1.570298</v>
      </c>
      <c r="E47" s="47">
        <v>23.946206</v>
      </c>
      <c r="F47" s="48">
        <v>1.1744220000000001</v>
      </c>
      <c r="G47" s="47">
        <v>24.495394999999998</v>
      </c>
      <c r="H47" s="48">
        <v>1.058859</v>
      </c>
      <c r="I47" s="47">
        <v>17.283667000000001</v>
      </c>
      <c r="J47" s="48">
        <v>1.06385</v>
      </c>
      <c r="K47" s="47">
        <v>8.5193180000000002</v>
      </c>
      <c r="L47" s="48">
        <v>0.96143100000000004</v>
      </c>
      <c r="M47" s="47">
        <v>2.7315849999999999</v>
      </c>
      <c r="N47" s="48">
        <v>0.51688800000000001</v>
      </c>
      <c r="O47" s="47">
        <v>0.41875400000000002</v>
      </c>
      <c r="P47" s="48">
        <v>0.15720100000000001</v>
      </c>
    </row>
    <row r="48" spans="2:16">
      <c r="B48" s="46" t="s">
        <v>2</v>
      </c>
      <c r="C48" s="47">
        <v>24.677316999999999</v>
      </c>
      <c r="D48" s="48">
        <v>1.1108579999999999</v>
      </c>
      <c r="E48" s="47">
        <v>27.231242000000002</v>
      </c>
      <c r="F48" s="48">
        <v>0.94655599999999995</v>
      </c>
      <c r="G48" s="47">
        <v>25.528044000000001</v>
      </c>
      <c r="H48" s="48">
        <v>0.88814800000000005</v>
      </c>
      <c r="I48" s="47">
        <v>15.62227</v>
      </c>
      <c r="J48" s="48">
        <v>0.75675099999999995</v>
      </c>
      <c r="K48" s="47">
        <v>5.7148659999999998</v>
      </c>
      <c r="L48" s="48">
        <v>0.47519699999999998</v>
      </c>
      <c r="M48" s="47">
        <v>1.0979950000000001</v>
      </c>
      <c r="N48" s="48">
        <v>0.17349400000000001</v>
      </c>
      <c r="O48" s="47">
        <v>0.12826699999999999</v>
      </c>
      <c r="P48" s="48">
        <v>4.7639000000000001E-2</v>
      </c>
    </row>
    <row r="49" spans="2:16">
      <c r="B49" s="46" t="s">
        <v>4</v>
      </c>
      <c r="C49" s="47">
        <v>25.961694999999999</v>
      </c>
      <c r="D49" s="48">
        <v>1.1911849999999999</v>
      </c>
      <c r="E49" s="47">
        <v>30.284749000000001</v>
      </c>
      <c r="F49" s="48">
        <v>0.906026</v>
      </c>
      <c r="G49" s="47">
        <v>26.412414999999999</v>
      </c>
      <c r="H49" s="48">
        <v>0.933535</v>
      </c>
      <c r="I49" s="47">
        <v>13.119197</v>
      </c>
      <c r="J49" s="48">
        <v>0.77185400000000004</v>
      </c>
      <c r="K49" s="47">
        <v>3.7142059999999999</v>
      </c>
      <c r="L49" s="48">
        <v>0.45993499999999998</v>
      </c>
      <c r="M49" s="47">
        <v>0.468943</v>
      </c>
      <c r="N49" s="48">
        <v>0.122419</v>
      </c>
      <c r="O49" s="47">
        <v>3.8795000000000003E-2</v>
      </c>
      <c r="P49" s="48">
        <v>3.3548000000000001E-2</v>
      </c>
    </row>
    <row r="50" spans="2:16">
      <c r="B50" s="46" t="s">
        <v>31</v>
      </c>
      <c r="C50" s="47">
        <v>35.500748999999999</v>
      </c>
      <c r="D50" s="48">
        <v>1.687214</v>
      </c>
      <c r="E50" s="47">
        <v>29.886046</v>
      </c>
      <c r="F50" s="48">
        <v>1.2173389999999999</v>
      </c>
      <c r="G50" s="47">
        <v>21.088514</v>
      </c>
      <c r="H50" s="48">
        <v>0.913663</v>
      </c>
      <c r="I50" s="47">
        <v>9.9501589999999993</v>
      </c>
      <c r="J50" s="48">
        <v>0.68819200000000003</v>
      </c>
      <c r="K50" s="47">
        <v>3.0586959999999999</v>
      </c>
      <c r="L50" s="48">
        <v>0.38197500000000001</v>
      </c>
      <c r="M50" s="47">
        <v>0.48672399999999999</v>
      </c>
      <c r="N50" s="48">
        <v>0.139602</v>
      </c>
      <c r="O50" s="47">
        <v>2.9111000000000001E-2</v>
      </c>
      <c r="P50" s="48">
        <v>2.6339000000000001E-2</v>
      </c>
    </row>
    <row r="51" spans="2:16">
      <c r="B51" s="46"/>
      <c r="C51" s="47"/>
      <c r="D51" s="48"/>
      <c r="E51" s="47"/>
      <c r="F51" s="48"/>
      <c r="G51" s="47"/>
      <c r="H51" s="48"/>
      <c r="I51" s="47"/>
      <c r="J51" s="48"/>
      <c r="K51" s="47"/>
      <c r="L51" s="48"/>
      <c r="M51" s="47"/>
      <c r="N51" s="48"/>
      <c r="O51" s="47"/>
      <c r="P51" s="48"/>
    </row>
    <row r="52" spans="2:16">
      <c r="B52" s="46" t="s">
        <v>44</v>
      </c>
      <c r="C52" s="47">
        <v>8.0872430000000008</v>
      </c>
      <c r="D52" s="48">
        <v>0.20248099999999999</v>
      </c>
      <c r="E52" s="47">
        <v>14.010123</v>
      </c>
      <c r="F52" s="48">
        <v>0.23890700000000001</v>
      </c>
      <c r="G52" s="47">
        <v>21.956135</v>
      </c>
      <c r="H52" s="48">
        <v>0.266953</v>
      </c>
      <c r="I52" s="47">
        <v>24.977343999999999</v>
      </c>
      <c r="J52" s="48">
        <v>0.224883</v>
      </c>
      <c r="K52" s="47">
        <v>19.610757</v>
      </c>
      <c r="L52" s="48">
        <v>0.23746600000000001</v>
      </c>
      <c r="M52" s="47">
        <v>9.0039610000000003</v>
      </c>
      <c r="N52" s="48">
        <v>0.214726</v>
      </c>
      <c r="O52" s="47">
        <v>2.3544369999999999</v>
      </c>
      <c r="P52" s="48">
        <v>9.9347000000000005E-2</v>
      </c>
    </row>
    <row r="53" spans="2:16">
      <c r="B53" s="46" t="s">
        <v>43</v>
      </c>
      <c r="C53" s="47">
        <v>9.1308229999999995</v>
      </c>
      <c r="D53" s="48">
        <v>0.11770799999999999</v>
      </c>
      <c r="E53" s="47">
        <v>14.845526</v>
      </c>
      <c r="F53" s="48">
        <v>0.120245</v>
      </c>
      <c r="G53" s="47">
        <v>22.207756</v>
      </c>
      <c r="H53" s="48">
        <v>0.13773099999999999</v>
      </c>
      <c r="I53" s="47">
        <v>24.359677000000001</v>
      </c>
      <c r="J53" s="48">
        <v>0.14018</v>
      </c>
      <c r="K53" s="47">
        <v>18.52824</v>
      </c>
      <c r="L53" s="48">
        <v>0.12486700000000001</v>
      </c>
      <c r="M53" s="47">
        <v>8.5356570000000005</v>
      </c>
      <c r="N53" s="48">
        <v>9.5736000000000002E-2</v>
      </c>
      <c r="O53" s="47">
        <v>2.3923199999999998</v>
      </c>
      <c r="P53" s="48">
        <v>5.6904999999999997E-2</v>
      </c>
    </row>
    <row r="54" spans="2:16">
      <c r="B54" s="46"/>
      <c r="C54" s="47"/>
      <c r="D54" s="48"/>
      <c r="E54" s="47"/>
      <c r="F54" s="48"/>
      <c r="G54" s="47"/>
      <c r="H54" s="48"/>
      <c r="I54" s="47"/>
      <c r="J54" s="48"/>
      <c r="K54" s="47"/>
      <c r="L54" s="48"/>
      <c r="M54" s="47"/>
      <c r="N54" s="48"/>
      <c r="O54" s="47"/>
      <c r="P54" s="48"/>
    </row>
    <row r="55" spans="2:16">
      <c r="B55" s="46" t="s">
        <v>51</v>
      </c>
      <c r="C55" s="47">
        <v>5.5144120000000001</v>
      </c>
      <c r="D55" s="48">
        <v>1.1464700000000001</v>
      </c>
      <c r="E55" s="47">
        <v>12.204371999999999</v>
      </c>
      <c r="F55" s="48">
        <v>1.44493</v>
      </c>
      <c r="G55" s="47">
        <v>22.802600999999999</v>
      </c>
      <c r="H55" s="48">
        <v>1.8554470000000001</v>
      </c>
      <c r="I55" s="47">
        <v>29.014306999999999</v>
      </c>
      <c r="J55" s="48">
        <v>1.2812129999999999</v>
      </c>
      <c r="K55" s="47">
        <v>20.959036000000001</v>
      </c>
      <c r="L55" s="48">
        <v>1.8619190000000001</v>
      </c>
      <c r="M55" s="47">
        <v>8.0814839999999997</v>
      </c>
      <c r="N55" s="48">
        <v>1.4625889999999999</v>
      </c>
      <c r="O55" s="47">
        <v>1.423789</v>
      </c>
      <c r="P55" s="48">
        <v>0.65939400000000004</v>
      </c>
    </row>
    <row r="56" spans="2:16">
      <c r="B56" s="46" t="s">
        <v>52</v>
      </c>
      <c r="C56" s="47">
        <v>5.9699540000000004</v>
      </c>
      <c r="D56" s="48">
        <v>1.0574250000000001</v>
      </c>
      <c r="E56" s="47">
        <v>11.851940000000001</v>
      </c>
      <c r="F56" s="48">
        <v>1.3631770000000001</v>
      </c>
      <c r="G56" s="47">
        <v>21.083369000000001</v>
      </c>
      <c r="H56" s="48">
        <v>1.578883</v>
      </c>
      <c r="I56" s="47">
        <v>27.597238000000001</v>
      </c>
      <c r="J56" s="48">
        <v>1.775336</v>
      </c>
      <c r="K56" s="47">
        <v>22.412693999999998</v>
      </c>
      <c r="L56" s="48">
        <v>1.619227</v>
      </c>
      <c r="M56" s="47">
        <v>9.5057299999999998</v>
      </c>
      <c r="N56" s="48">
        <v>1.0172909999999999</v>
      </c>
      <c r="O56" s="47">
        <v>1.579075</v>
      </c>
      <c r="P56" s="48">
        <v>0.44111099999999998</v>
      </c>
    </row>
    <row r="57" spans="2:16">
      <c r="B57" s="46" t="s">
        <v>61</v>
      </c>
      <c r="C57" s="47">
        <v>5.4288449999999999</v>
      </c>
      <c r="D57" s="48">
        <v>1.006211</v>
      </c>
      <c r="E57" s="47">
        <v>12.459072000000001</v>
      </c>
      <c r="F57" s="48">
        <v>1.7294780000000001</v>
      </c>
      <c r="G57" s="47">
        <v>21.795287999999999</v>
      </c>
      <c r="H57" s="48">
        <v>1.9849509999999999</v>
      </c>
      <c r="I57" s="47">
        <v>27.531786</v>
      </c>
      <c r="J57" s="48">
        <v>1.5065090000000001</v>
      </c>
      <c r="K57" s="47">
        <v>21.360309999999998</v>
      </c>
      <c r="L57" s="48">
        <v>1.8273969999999999</v>
      </c>
      <c r="M57" s="47">
        <v>9.3107000000000006</v>
      </c>
      <c r="N57" s="48">
        <v>1.7402789999999999</v>
      </c>
      <c r="O57" s="47">
        <v>2.113998</v>
      </c>
      <c r="P57" s="48">
        <v>0.85772400000000004</v>
      </c>
    </row>
    <row r="58" spans="2:16">
      <c r="B58" s="46" t="s">
        <v>49</v>
      </c>
      <c r="C58" s="47">
        <v>5.9134019999999996</v>
      </c>
      <c r="D58" s="48">
        <v>0.67181199999999996</v>
      </c>
      <c r="E58" s="47">
        <v>12.199255000000001</v>
      </c>
      <c r="F58" s="48">
        <v>1.0363180000000001</v>
      </c>
      <c r="G58" s="47">
        <v>21.937118999999999</v>
      </c>
      <c r="H58" s="48">
        <v>1.3523019999999999</v>
      </c>
      <c r="I58" s="47">
        <v>28.401333000000001</v>
      </c>
      <c r="J58" s="48">
        <v>1.135613</v>
      </c>
      <c r="K58" s="47">
        <v>22.223549999999999</v>
      </c>
      <c r="L58" s="48">
        <v>1.425217</v>
      </c>
      <c r="M58" s="47">
        <v>7.9334110000000004</v>
      </c>
      <c r="N58" s="48">
        <v>0.87212299999999998</v>
      </c>
      <c r="O58" s="47">
        <v>1.3919299999999999</v>
      </c>
      <c r="P58" s="48">
        <v>0.36517699999999997</v>
      </c>
    </row>
    <row r="59" spans="2:16">
      <c r="B59" s="46" t="s">
        <v>46</v>
      </c>
      <c r="C59" s="47">
        <v>6.4524270000000001</v>
      </c>
      <c r="D59" s="48">
        <v>1.123766</v>
      </c>
      <c r="E59" s="47">
        <v>12.065524</v>
      </c>
      <c r="F59" s="48">
        <v>1.25613</v>
      </c>
      <c r="G59" s="47">
        <v>21.943218999999999</v>
      </c>
      <c r="H59" s="48">
        <v>1.128827</v>
      </c>
      <c r="I59" s="47">
        <v>27.769075999999998</v>
      </c>
      <c r="J59" s="48">
        <v>1.610055</v>
      </c>
      <c r="K59" s="47">
        <v>22.021263000000001</v>
      </c>
      <c r="L59" s="48">
        <v>1.4541539999999999</v>
      </c>
      <c r="M59" s="47">
        <v>8.3526129999999998</v>
      </c>
      <c r="N59" s="48">
        <v>1.208261</v>
      </c>
      <c r="O59" s="47">
        <v>1.395878</v>
      </c>
      <c r="P59" s="48">
        <v>0.39287899999999998</v>
      </c>
    </row>
    <row r="60" spans="2:16">
      <c r="B60" s="46" t="s">
        <v>48</v>
      </c>
      <c r="C60" s="47">
        <v>6.8540510000000001</v>
      </c>
      <c r="D60" s="48">
        <v>1.1298060000000001</v>
      </c>
      <c r="E60" s="47">
        <v>12.820721000000001</v>
      </c>
      <c r="F60" s="48">
        <v>1.2057580000000001</v>
      </c>
      <c r="G60" s="47">
        <v>22.050352</v>
      </c>
      <c r="H60" s="48">
        <v>1.7274860000000001</v>
      </c>
      <c r="I60" s="47">
        <v>26.869914999999999</v>
      </c>
      <c r="J60" s="48">
        <v>1.430509</v>
      </c>
      <c r="K60" s="47">
        <v>21.365417000000001</v>
      </c>
      <c r="L60" s="48">
        <v>1.5893489999999999</v>
      </c>
      <c r="M60" s="47">
        <v>8.4080879999999993</v>
      </c>
      <c r="N60" s="48">
        <v>1.3464609999999999</v>
      </c>
      <c r="O60" s="47">
        <v>1.631456</v>
      </c>
      <c r="P60" s="48">
        <v>0.50938899999999998</v>
      </c>
    </row>
    <row r="61" spans="2:16">
      <c r="B61" s="46" t="s">
        <v>57</v>
      </c>
      <c r="C61" s="47">
        <v>7.4958640000000001</v>
      </c>
      <c r="D61" s="48">
        <v>1.4324079999999999</v>
      </c>
      <c r="E61" s="47">
        <v>12.636990000000001</v>
      </c>
      <c r="F61" s="48">
        <v>1.530457</v>
      </c>
      <c r="G61" s="47">
        <v>21.811201000000001</v>
      </c>
      <c r="H61" s="48">
        <v>2.4111630000000002</v>
      </c>
      <c r="I61" s="47">
        <v>26.441593999999998</v>
      </c>
      <c r="J61" s="48">
        <v>1.6409309999999999</v>
      </c>
      <c r="K61" s="47">
        <v>20.183584</v>
      </c>
      <c r="L61" s="48">
        <v>2.1010680000000002</v>
      </c>
      <c r="M61" s="47">
        <v>9.0315300000000001</v>
      </c>
      <c r="N61" s="48">
        <v>1.8865050000000001</v>
      </c>
      <c r="O61" s="47">
        <v>2.3992360000000001</v>
      </c>
      <c r="P61" s="48">
        <v>1.1815560000000001</v>
      </c>
    </row>
    <row r="62" spans="2:16">
      <c r="B62" s="46" t="s">
        <v>129</v>
      </c>
      <c r="C62" s="47">
        <v>7.154992</v>
      </c>
      <c r="D62" s="48">
        <v>1.1522870000000001</v>
      </c>
      <c r="E62" s="47">
        <v>14.450692999999999</v>
      </c>
      <c r="F62" s="48">
        <v>1.2308079999999999</v>
      </c>
      <c r="G62" s="47">
        <v>23.375814999999999</v>
      </c>
      <c r="H62" s="48">
        <v>1.494041</v>
      </c>
      <c r="I62" s="47">
        <v>26.391635999999998</v>
      </c>
      <c r="J62" s="48">
        <v>1.4188019999999999</v>
      </c>
      <c r="K62" s="47">
        <v>19.690816999999999</v>
      </c>
      <c r="L62" s="48">
        <v>1.646452</v>
      </c>
      <c r="M62" s="47">
        <v>7.5536329999999996</v>
      </c>
      <c r="N62" s="48">
        <v>1.111666</v>
      </c>
      <c r="O62" s="47">
        <v>1.3824129999999999</v>
      </c>
      <c r="P62" s="48">
        <v>0.48389500000000002</v>
      </c>
    </row>
    <row r="63" spans="2:16">
      <c r="B63" s="46" t="s">
        <v>54</v>
      </c>
      <c r="C63" s="47">
        <v>7.1906489999999996</v>
      </c>
      <c r="D63" s="48">
        <v>1.0647340000000001</v>
      </c>
      <c r="E63" s="47">
        <v>14.781685</v>
      </c>
      <c r="F63" s="48">
        <v>1.179414</v>
      </c>
      <c r="G63" s="47">
        <v>23.635041000000001</v>
      </c>
      <c r="H63" s="48">
        <v>1.431605</v>
      </c>
      <c r="I63" s="47">
        <v>26.72261</v>
      </c>
      <c r="J63" s="48">
        <v>1.7230920000000001</v>
      </c>
      <c r="K63" s="47">
        <v>18.866054999999999</v>
      </c>
      <c r="L63" s="48">
        <v>1.327477</v>
      </c>
      <c r="M63" s="47">
        <v>7.1195880000000002</v>
      </c>
      <c r="N63" s="48">
        <v>1.113564</v>
      </c>
      <c r="O63" s="47">
        <v>1.6843729999999999</v>
      </c>
      <c r="P63" s="48">
        <v>0.51217299999999999</v>
      </c>
    </row>
    <row r="64" spans="2:16">
      <c r="B64" s="46" t="s">
        <v>67</v>
      </c>
      <c r="C64" s="47">
        <v>7.5322909999999998</v>
      </c>
      <c r="D64" s="48">
        <v>1.411378</v>
      </c>
      <c r="E64" s="47">
        <v>15.651076</v>
      </c>
      <c r="F64" s="48">
        <v>1.282464</v>
      </c>
      <c r="G64" s="47">
        <v>24.933508</v>
      </c>
      <c r="H64" s="48">
        <v>1.387794</v>
      </c>
      <c r="I64" s="47">
        <v>28.131905</v>
      </c>
      <c r="J64" s="48">
        <v>1.3835230000000001</v>
      </c>
      <c r="K64" s="47">
        <v>17.685034999999999</v>
      </c>
      <c r="L64" s="48">
        <v>1.488567</v>
      </c>
      <c r="M64" s="47">
        <v>5.2911979999999996</v>
      </c>
      <c r="N64" s="48">
        <v>0.82068399999999997</v>
      </c>
      <c r="O64" s="47">
        <v>0.77498699999999998</v>
      </c>
      <c r="P64" s="48">
        <v>0.300923</v>
      </c>
    </row>
    <row r="65" spans="2:16">
      <c r="B65" s="46" t="s">
        <v>58</v>
      </c>
      <c r="C65" s="47">
        <v>8.3861810000000006</v>
      </c>
      <c r="D65" s="48">
        <v>0.83099100000000004</v>
      </c>
      <c r="E65" s="47">
        <v>14.864922</v>
      </c>
      <c r="F65" s="48">
        <v>0.93699100000000002</v>
      </c>
      <c r="G65" s="47">
        <v>23.774781999999998</v>
      </c>
      <c r="H65" s="48">
        <v>0.97347899999999998</v>
      </c>
      <c r="I65" s="47">
        <v>26.316379999999999</v>
      </c>
      <c r="J65" s="48">
        <v>0.94214200000000003</v>
      </c>
      <c r="K65" s="47">
        <v>18.566724000000001</v>
      </c>
      <c r="L65" s="48">
        <v>0.89824599999999999</v>
      </c>
      <c r="M65" s="47">
        <v>6.9034000000000004</v>
      </c>
      <c r="N65" s="48">
        <v>0.66789200000000004</v>
      </c>
      <c r="O65" s="47">
        <v>1.187611</v>
      </c>
      <c r="P65" s="48">
        <v>0.256492</v>
      </c>
    </row>
    <row r="66" spans="2:16">
      <c r="B66" s="46" t="s">
        <v>56</v>
      </c>
      <c r="C66" s="47">
        <v>8.5753380000000003</v>
      </c>
      <c r="D66" s="48">
        <v>1.0153989999999999</v>
      </c>
      <c r="E66" s="47">
        <v>17.529039000000001</v>
      </c>
      <c r="F66" s="48">
        <v>1.244686</v>
      </c>
      <c r="G66" s="47">
        <v>27.441109000000001</v>
      </c>
      <c r="H66" s="48">
        <v>1.43723</v>
      </c>
      <c r="I66" s="47">
        <v>25.916898</v>
      </c>
      <c r="J66" s="48">
        <v>1.5365629999999999</v>
      </c>
      <c r="K66" s="47">
        <v>15.350206999999999</v>
      </c>
      <c r="L66" s="48">
        <v>1.4490209999999999</v>
      </c>
      <c r="M66" s="47">
        <v>4.4200660000000003</v>
      </c>
      <c r="N66" s="48">
        <v>0.89952200000000004</v>
      </c>
      <c r="O66" s="47">
        <v>0.767343</v>
      </c>
      <c r="P66" s="48">
        <v>0.26748100000000002</v>
      </c>
    </row>
    <row r="67" spans="2:16">
      <c r="B67" s="46" t="s">
        <v>53</v>
      </c>
      <c r="C67" s="47">
        <v>9.0489890000000006</v>
      </c>
      <c r="D67" s="48">
        <v>1.346139</v>
      </c>
      <c r="E67" s="47">
        <v>17.402290000000001</v>
      </c>
      <c r="F67" s="48">
        <v>1.6473409999999999</v>
      </c>
      <c r="G67" s="47">
        <v>23.592580999999999</v>
      </c>
      <c r="H67" s="48">
        <v>1.697487</v>
      </c>
      <c r="I67" s="47">
        <v>25.267796000000001</v>
      </c>
      <c r="J67" s="48">
        <v>1.3680760000000001</v>
      </c>
      <c r="K67" s="47">
        <v>18.022423</v>
      </c>
      <c r="L67" s="48">
        <v>1.7855510000000001</v>
      </c>
      <c r="M67" s="47">
        <v>5.904223</v>
      </c>
      <c r="N67" s="48">
        <v>0.88008500000000001</v>
      </c>
      <c r="O67" s="47">
        <v>0.76169900000000001</v>
      </c>
      <c r="P67" s="48">
        <v>0.26294299999999998</v>
      </c>
    </row>
    <row r="68" spans="2:16">
      <c r="B68" s="46" t="s">
        <v>45</v>
      </c>
      <c r="C68" s="47">
        <v>10.18459</v>
      </c>
      <c r="D68" s="48">
        <v>1.5261150000000001</v>
      </c>
      <c r="E68" s="47">
        <v>17.839950000000002</v>
      </c>
      <c r="F68" s="48">
        <v>1.496381</v>
      </c>
      <c r="G68" s="47">
        <v>26.561831000000002</v>
      </c>
      <c r="H68" s="48">
        <v>1.7219770000000001</v>
      </c>
      <c r="I68" s="47">
        <v>25.947778</v>
      </c>
      <c r="J68" s="48">
        <v>1.6864349999999999</v>
      </c>
      <c r="K68" s="47">
        <v>14.663532999999999</v>
      </c>
      <c r="L68" s="48">
        <v>1.4352720000000001</v>
      </c>
      <c r="M68" s="47">
        <v>4.1877829999999996</v>
      </c>
      <c r="N68" s="48">
        <v>0.94111100000000003</v>
      </c>
      <c r="O68" s="47">
        <v>0.61453599999999997</v>
      </c>
      <c r="P68" s="48">
        <v>0.30290499999999998</v>
      </c>
    </row>
    <row r="69" spans="2:16">
      <c r="B69" s="46" t="s">
        <v>60</v>
      </c>
      <c r="C69" s="47">
        <v>11.040786000000001</v>
      </c>
      <c r="D69" s="48">
        <v>1.5396909999999999</v>
      </c>
      <c r="E69" s="47">
        <v>17.512260999999999</v>
      </c>
      <c r="F69" s="48">
        <v>1.5981099999999999</v>
      </c>
      <c r="G69" s="47">
        <v>23.478217000000001</v>
      </c>
      <c r="H69" s="48">
        <v>1.4709030000000001</v>
      </c>
      <c r="I69" s="47">
        <v>24.782330000000002</v>
      </c>
      <c r="J69" s="48">
        <v>1.1316409999999999</v>
      </c>
      <c r="K69" s="47">
        <v>16.320903000000001</v>
      </c>
      <c r="L69" s="48">
        <v>1.3129059999999999</v>
      </c>
      <c r="M69" s="47">
        <v>6.0105380000000004</v>
      </c>
      <c r="N69" s="48">
        <v>1.2739579999999999</v>
      </c>
      <c r="O69" s="47">
        <v>0.85496499999999997</v>
      </c>
      <c r="P69" s="48">
        <v>0.35042400000000001</v>
      </c>
    </row>
    <row r="70" spans="2:16">
      <c r="B70" s="46" t="s">
        <v>47</v>
      </c>
      <c r="C70" s="47">
        <v>11.007972000000001</v>
      </c>
      <c r="D70" s="48">
        <v>1.2289099999999999</v>
      </c>
      <c r="E70" s="47">
        <v>18.578824000000001</v>
      </c>
      <c r="F70" s="48">
        <v>1.609181</v>
      </c>
      <c r="G70" s="47">
        <v>26.028621999999999</v>
      </c>
      <c r="H70" s="48">
        <v>1.4961359999999999</v>
      </c>
      <c r="I70" s="47">
        <v>24.718859999999999</v>
      </c>
      <c r="J70" s="48">
        <v>1.509552</v>
      </c>
      <c r="K70" s="47">
        <v>14.38363</v>
      </c>
      <c r="L70" s="48">
        <v>1.460191</v>
      </c>
      <c r="M70" s="47">
        <v>4.6034379999999997</v>
      </c>
      <c r="N70" s="48">
        <v>0.78611500000000001</v>
      </c>
      <c r="O70" s="47">
        <v>0.67865399999999998</v>
      </c>
      <c r="P70" s="48">
        <v>0.28029700000000002</v>
      </c>
    </row>
    <row r="71" spans="2:16">
      <c r="B71" s="46" t="s">
        <v>68</v>
      </c>
      <c r="C71" s="47">
        <v>11.976381999999999</v>
      </c>
      <c r="D71" s="48">
        <v>1.510073</v>
      </c>
      <c r="E71" s="47">
        <v>20.466920999999999</v>
      </c>
      <c r="F71" s="48">
        <v>1.3031999999999999</v>
      </c>
      <c r="G71" s="47">
        <v>27.254187000000002</v>
      </c>
      <c r="H71" s="48">
        <v>1.4733320000000001</v>
      </c>
      <c r="I71" s="47">
        <v>23.382335999999999</v>
      </c>
      <c r="J71" s="48">
        <v>1.5138210000000001</v>
      </c>
      <c r="K71" s="47">
        <v>12.943436</v>
      </c>
      <c r="L71" s="48">
        <v>1.4618329999999999</v>
      </c>
      <c r="M71" s="47">
        <v>3.4897749999999998</v>
      </c>
      <c r="N71" s="48">
        <v>0.69212099999999999</v>
      </c>
      <c r="O71" s="47">
        <v>0.48696400000000001</v>
      </c>
      <c r="P71" s="48">
        <v>0.22619800000000001</v>
      </c>
    </row>
    <row r="72" spans="2:16">
      <c r="B72" s="46" t="s">
        <v>59</v>
      </c>
      <c r="C72" s="47">
        <v>20.738381</v>
      </c>
      <c r="D72" s="48">
        <v>4.1063369999999999</v>
      </c>
      <c r="E72" s="47">
        <v>26.068695000000002</v>
      </c>
      <c r="F72" s="48">
        <v>3.082589</v>
      </c>
      <c r="G72" s="47">
        <v>24.600249000000002</v>
      </c>
      <c r="H72" s="48">
        <v>3.4198059999999999</v>
      </c>
      <c r="I72" s="47">
        <v>17.942184999999998</v>
      </c>
      <c r="J72" s="48">
        <v>3.4380190000000002</v>
      </c>
      <c r="K72" s="47">
        <v>8.7704869999999993</v>
      </c>
      <c r="L72" s="48">
        <v>2.9714309999999999</v>
      </c>
      <c r="M72" s="47">
        <v>1.6829209999999999</v>
      </c>
      <c r="N72" s="48">
        <v>1.1640109999999999</v>
      </c>
      <c r="O72" s="47">
        <v>0.19708100000000001</v>
      </c>
      <c r="P72" s="48">
        <v>0.37062699999999998</v>
      </c>
    </row>
    <row r="73" spans="2:16">
      <c r="B73" s="46" t="s">
        <v>55</v>
      </c>
      <c r="C73" s="47">
        <v>27.206002999999999</v>
      </c>
      <c r="D73" s="48">
        <v>6.1005529999999997</v>
      </c>
      <c r="E73" s="47">
        <v>29.158252000000001</v>
      </c>
      <c r="F73" s="48">
        <v>3.8257330000000001</v>
      </c>
      <c r="G73" s="47">
        <v>23.478791999999999</v>
      </c>
      <c r="H73" s="48">
        <v>4.4934099999999999</v>
      </c>
      <c r="I73" s="47">
        <v>13.572079</v>
      </c>
      <c r="J73" s="48">
        <v>2.6969820000000002</v>
      </c>
      <c r="K73" s="47">
        <v>5.3467750000000001</v>
      </c>
      <c r="L73" s="48">
        <v>2.1598350000000002</v>
      </c>
      <c r="M73" s="47">
        <v>1.2134119999999999</v>
      </c>
      <c r="N73" s="48">
        <v>0.865116</v>
      </c>
      <c r="O73" s="47">
        <v>2.4686E-2</v>
      </c>
      <c r="P73" s="48">
        <v>7.7785000000000007E-2</v>
      </c>
    </row>
  </sheetData>
  <sortState ref="B7:J43">
    <sortCondition ref="B7:B43"/>
  </sortState>
  <mergeCells count="9">
    <mergeCell ref="C8:D8"/>
    <mergeCell ref="B8:B9"/>
    <mergeCell ref="G8:H8"/>
    <mergeCell ref="B7:P7"/>
    <mergeCell ref="I8:J8"/>
    <mergeCell ref="K8:L8"/>
    <mergeCell ref="M8:N8"/>
    <mergeCell ref="O8:P8"/>
    <mergeCell ref="E8:F8"/>
  </mergeCells>
  <hyperlinks>
    <hyperlink ref="B5" location="Índice!A1" display="Índice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12"/>
  <sheetViews>
    <sheetView zoomScale="70" zoomScaleNormal="70" workbookViewId="0">
      <selection activeCell="B5" sqref="B5"/>
    </sheetView>
  </sheetViews>
  <sheetFormatPr baseColWidth="10" defaultRowHeight="15"/>
  <cols>
    <col min="1" max="1" width="11.42578125" style="2"/>
    <col min="2" max="2" width="15.7109375" style="2" customWidth="1"/>
    <col min="3" max="4" width="12.5703125" style="2" customWidth="1"/>
    <col min="5" max="6" width="12.7109375" style="2" customWidth="1"/>
    <col min="7" max="7" width="12.42578125" style="2" customWidth="1"/>
    <col min="8" max="8" width="12.7109375" style="2" customWidth="1"/>
    <col min="9" max="10" width="12.5703125" style="2" customWidth="1"/>
    <col min="11" max="13" width="12.7109375" style="2" customWidth="1"/>
    <col min="14" max="14" width="12.85546875" style="2" customWidth="1"/>
    <col min="15" max="18" width="12.7109375" style="2" customWidth="1"/>
    <col min="19" max="38" width="6.140625" style="2" customWidth="1"/>
    <col min="39" max="16384" width="11.42578125" style="2"/>
  </cols>
  <sheetData>
    <row r="2" spans="2:37">
      <c r="B2" s="3" t="s">
        <v>90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2:37">
      <c r="B3" s="18" t="s">
        <v>132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2:37">
      <c r="B4" s="7" t="s">
        <v>126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2:37">
      <c r="B5" s="20" t="s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2:37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2:37" ht="19.5" customHeight="1">
      <c r="B7" s="69" t="s">
        <v>134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</row>
    <row r="8" spans="2:37" s="24" customFormat="1" ht="19.5" customHeight="1">
      <c r="B8" s="69" t="s">
        <v>62</v>
      </c>
      <c r="C8" s="69" t="s">
        <v>69</v>
      </c>
      <c r="D8" s="69"/>
      <c r="E8" s="69"/>
      <c r="F8" s="69"/>
      <c r="G8" s="69"/>
      <c r="H8" s="69"/>
      <c r="I8" s="69"/>
      <c r="J8" s="69"/>
      <c r="K8" s="69" t="s">
        <v>70</v>
      </c>
      <c r="L8" s="69"/>
      <c r="M8" s="69"/>
      <c r="N8" s="69"/>
      <c r="O8" s="69"/>
      <c r="P8" s="69"/>
      <c r="Q8" s="69"/>
      <c r="R8" s="69"/>
    </row>
    <row r="9" spans="2:37" ht="17.25" customHeight="1">
      <c r="B9" s="69"/>
      <c r="C9" s="69">
        <v>2009</v>
      </c>
      <c r="D9" s="69"/>
      <c r="E9" s="69">
        <v>2012</v>
      </c>
      <c r="F9" s="69"/>
      <c r="G9" s="69">
        <v>2015</v>
      </c>
      <c r="H9" s="69"/>
      <c r="I9" s="69">
        <v>2018</v>
      </c>
      <c r="J9" s="69"/>
      <c r="K9" s="69">
        <v>2009</v>
      </c>
      <c r="L9" s="69"/>
      <c r="M9" s="69">
        <v>2012</v>
      </c>
      <c r="N9" s="69"/>
      <c r="O9" s="69">
        <v>2015</v>
      </c>
      <c r="P9" s="69"/>
      <c r="Q9" s="69">
        <v>2018</v>
      </c>
      <c r="R9" s="69"/>
    </row>
    <row r="10" spans="2:37" ht="17.25" customHeight="1">
      <c r="B10" s="69"/>
      <c r="C10" s="37" t="s">
        <v>71</v>
      </c>
      <c r="D10" s="37" t="s">
        <v>64</v>
      </c>
      <c r="E10" s="37" t="s">
        <v>71</v>
      </c>
      <c r="F10" s="37" t="s">
        <v>64</v>
      </c>
      <c r="G10" s="37" t="s">
        <v>71</v>
      </c>
      <c r="H10" s="37" t="s">
        <v>64</v>
      </c>
      <c r="I10" s="37" t="s">
        <v>71</v>
      </c>
      <c r="J10" s="37" t="s">
        <v>64</v>
      </c>
      <c r="K10" s="37" t="s">
        <v>71</v>
      </c>
      <c r="L10" s="37" t="s">
        <v>64</v>
      </c>
      <c r="M10" s="37" t="s">
        <v>71</v>
      </c>
      <c r="N10" s="37" t="s">
        <v>64</v>
      </c>
      <c r="O10" s="37" t="s">
        <v>71</v>
      </c>
      <c r="P10" s="37" t="s">
        <v>64</v>
      </c>
      <c r="Q10" s="37" t="s">
        <v>71</v>
      </c>
      <c r="R10" s="37" t="s">
        <v>64</v>
      </c>
    </row>
    <row r="11" spans="2:37">
      <c r="B11" s="41" t="s">
        <v>28</v>
      </c>
      <c r="C11" s="44">
        <v>24</v>
      </c>
      <c r="D11" s="44">
        <v>0.8</v>
      </c>
      <c r="E11" s="44">
        <v>24</v>
      </c>
      <c r="F11" s="44">
        <v>0.8</v>
      </c>
      <c r="G11" s="44">
        <v>22</v>
      </c>
      <c r="H11" s="44">
        <v>1</v>
      </c>
      <c r="I11" s="61">
        <v>24.695471000000001</v>
      </c>
      <c r="J11" s="60">
        <v>0.61634599999999995</v>
      </c>
      <c r="K11" s="45">
        <v>8</v>
      </c>
      <c r="L11" s="45">
        <v>0.5</v>
      </c>
      <c r="M11" s="45">
        <v>8</v>
      </c>
      <c r="N11" s="45">
        <v>0.4</v>
      </c>
      <c r="O11" s="45">
        <v>7</v>
      </c>
      <c r="P11" s="45">
        <v>0.6</v>
      </c>
      <c r="Q11" s="61">
        <v>7.2801070000000001</v>
      </c>
      <c r="R11" s="60">
        <v>0.40826699999999999</v>
      </c>
    </row>
    <row r="12" spans="2:37">
      <c r="B12" s="41" t="s">
        <v>63</v>
      </c>
      <c r="C12" s="44">
        <v>22</v>
      </c>
      <c r="D12" s="44">
        <v>0.2</v>
      </c>
      <c r="E12" s="44">
        <v>23</v>
      </c>
      <c r="F12" s="44">
        <v>0.2</v>
      </c>
      <c r="G12" s="44">
        <v>23</v>
      </c>
      <c r="H12" s="44">
        <v>0.2</v>
      </c>
      <c r="I12" s="61">
        <v>23.97635</v>
      </c>
      <c r="J12" s="60">
        <v>0.16525699999999999</v>
      </c>
      <c r="K12" s="45">
        <v>13</v>
      </c>
      <c r="L12" s="45">
        <v>0.1</v>
      </c>
      <c r="M12" s="45">
        <v>13</v>
      </c>
      <c r="N12" s="45">
        <v>0.1</v>
      </c>
      <c r="O12" s="45">
        <v>11</v>
      </c>
      <c r="P12" s="45">
        <v>0.1</v>
      </c>
      <c r="Q12" s="61">
        <v>10.927977</v>
      </c>
      <c r="R12" s="60">
        <v>0.118101</v>
      </c>
    </row>
  </sheetData>
  <sortState ref="F6:R54">
    <sortCondition ref="F6"/>
  </sortState>
  <mergeCells count="12">
    <mergeCell ref="B7:R7"/>
    <mergeCell ref="B8:B10"/>
    <mergeCell ref="C9:D9"/>
    <mergeCell ref="E9:F9"/>
    <mergeCell ref="G9:H9"/>
    <mergeCell ref="I9:J9"/>
    <mergeCell ref="C8:J8"/>
    <mergeCell ref="K8:R8"/>
    <mergeCell ref="K9:L9"/>
    <mergeCell ref="M9:N9"/>
    <mergeCell ref="O9:P9"/>
    <mergeCell ref="Q9:R9"/>
  </mergeCells>
  <hyperlinks>
    <hyperlink ref="B5" location="Índice!A1" display="Índice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73"/>
  <sheetViews>
    <sheetView topLeftCell="A19" zoomScale="80" zoomScaleNormal="80" workbookViewId="0"/>
  </sheetViews>
  <sheetFormatPr baseColWidth="10" defaultRowHeight="15"/>
  <cols>
    <col min="1" max="1" width="11.42578125" style="2"/>
    <col min="2" max="2" width="17.5703125" style="2" customWidth="1"/>
    <col min="3" max="5" width="12.7109375" style="2" customWidth="1"/>
    <col min="6" max="6" width="12.85546875" style="2" customWidth="1"/>
    <col min="7" max="8" width="12.5703125" style="24" customWidth="1"/>
    <col min="9" max="13" width="12.7109375" style="2" customWidth="1"/>
    <col min="14" max="14" width="12.85546875" style="2" customWidth="1"/>
    <col min="15" max="15" width="12.5703125" style="2" customWidth="1"/>
    <col min="16" max="16" width="12.85546875" style="2" customWidth="1"/>
    <col min="17" max="17" width="12.5703125" style="2" customWidth="1"/>
    <col min="18" max="18" width="12.7109375" style="2" customWidth="1"/>
    <col min="19" max="19" width="6.5703125" style="2" customWidth="1"/>
    <col min="20" max="16384" width="11.42578125" style="2"/>
  </cols>
  <sheetData>
    <row r="2" spans="1:18">
      <c r="A2" s="1"/>
      <c r="B2" s="34" t="s">
        <v>97</v>
      </c>
    </row>
    <row r="3" spans="1:18">
      <c r="B3" s="33" t="s">
        <v>133</v>
      </c>
      <c r="C3" s="11"/>
      <c r="D3" s="11"/>
      <c r="E3" s="11"/>
      <c r="F3" s="11"/>
      <c r="G3" s="11"/>
      <c r="H3" s="11"/>
      <c r="I3" s="11"/>
      <c r="J3" s="11"/>
      <c r="K3" s="9"/>
      <c r="L3" s="9"/>
    </row>
    <row r="4" spans="1:18">
      <c r="B4" s="11" t="s">
        <v>127</v>
      </c>
      <c r="C4" s="11"/>
      <c r="D4" s="11"/>
      <c r="E4" s="11"/>
      <c r="F4" s="11"/>
      <c r="G4" s="11"/>
      <c r="H4" s="11"/>
      <c r="I4" s="11"/>
      <c r="J4" s="11"/>
      <c r="K4" s="9"/>
      <c r="L4" s="9"/>
    </row>
    <row r="5" spans="1:18">
      <c r="B5" s="4" t="s">
        <v>0</v>
      </c>
    </row>
    <row r="6" spans="1:18" s="24" customFormat="1">
      <c r="B6" s="4"/>
    </row>
    <row r="7" spans="1:18" ht="21" customHeight="1">
      <c r="B7" s="71" t="s">
        <v>113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</row>
    <row r="8" spans="1:18" ht="17.25" customHeight="1">
      <c r="B8" s="72" t="s">
        <v>62</v>
      </c>
      <c r="C8" s="71" t="s">
        <v>114</v>
      </c>
      <c r="D8" s="71"/>
      <c r="E8" s="71" t="s">
        <v>115</v>
      </c>
      <c r="F8" s="71"/>
      <c r="G8" s="71" t="s">
        <v>116</v>
      </c>
      <c r="H8" s="71"/>
      <c r="I8" s="71" t="s">
        <v>107</v>
      </c>
      <c r="J8" s="71"/>
      <c r="K8" s="71" t="s">
        <v>108</v>
      </c>
      <c r="L8" s="71"/>
      <c r="M8" s="71" t="s">
        <v>109</v>
      </c>
      <c r="N8" s="71"/>
      <c r="O8" s="71" t="s">
        <v>110</v>
      </c>
      <c r="P8" s="71"/>
      <c r="Q8" s="71" t="s">
        <v>111</v>
      </c>
      <c r="R8" s="71"/>
    </row>
    <row r="9" spans="1:18" ht="16.5" customHeight="1">
      <c r="B9" s="72"/>
      <c r="C9" s="32" t="s">
        <v>71</v>
      </c>
      <c r="D9" s="32" t="s">
        <v>64</v>
      </c>
      <c r="E9" s="32" t="s">
        <v>71</v>
      </c>
      <c r="F9" s="32" t="s">
        <v>64</v>
      </c>
      <c r="G9" s="35" t="s">
        <v>71</v>
      </c>
      <c r="H9" s="35" t="s">
        <v>64</v>
      </c>
      <c r="I9" s="32" t="s">
        <v>71</v>
      </c>
      <c r="J9" s="32" t="s">
        <v>64</v>
      </c>
      <c r="K9" s="32" t="s">
        <v>71</v>
      </c>
      <c r="L9" s="32" t="s">
        <v>64</v>
      </c>
      <c r="M9" s="32" t="s">
        <v>71</v>
      </c>
      <c r="N9" s="32" t="s">
        <v>64</v>
      </c>
      <c r="O9" s="32" t="s">
        <v>71</v>
      </c>
      <c r="P9" s="32" t="s">
        <v>64</v>
      </c>
      <c r="Q9" s="32" t="s">
        <v>71</v>
      </c>
      <c r="R9" s="32" t="s">
        <v>64</v>
      </c>
    </row>
    <row r="10" spans="1:18">
      <c r="B10" s="41" t="s">
        <v>23</v>
      </c>
      <c r="C10" s="42">
        <v>9.5426999999999998E-2</v>
      </c>
      <c r="D10" s="43">
        <v>5.7447999999999999E-2</v>
      </c>
      <c r="E10" s="42">
        <v>1.1294519999999999</v>
      </c>
      <c r="F10" s="43">
        <v>0.20651800000000001</v>
      </c>
      <c r="G10" s="42">
        <v>7.532718</v>
      </c>
      <c r="H10" s="43">
        <v>0.549014</v>
      </c>
      <c r="I10" s="42">
        <v>21.512142999999998</v>
      </c>
      <c r="J10" s="43">
        <v>0.73920200000000003</v>
      </c>
      <c r="K10" s="42">
        <v>32.106341</v>
      </c>
      <c r="L10" s="43">
        <v>0.901586</v>
      </c>
      <c r="M10" s="42">
        <v>25.424817000000001</v>
      </c>
      <c r="N10" s="43">
        <v>0.83016000000000001</v>
      </c>
      <c r="O10" s="42">
        <v>10.246242000000001</v>
      </c>
      <c r="P10" s="43">
        <v>0.53146800000000005</v>
      </c>
      <c r="Q10" s="42">
        <v>1.95286</v>
      </c>
      <c r="R10" s="43">
        <v>0.24477099999999999</v>
      </c>
    </row>
    <row r="11" spans="1:18">
      <c r="B11" s="41" t="s">
        <v>3</v>
      </c>
      <c r="C11" s="42">
        <v>0.15484999999999999</v>
      </c>
      <c r="D11" s="43">
        <v>6.8391999999999994E-2</v>
      </c>
      <c r="E11" s="42">
        <v>1.8175190000000001</v>
      </c>
      <c r="F11" s="43">
        <v>0.25792199999999998</v>
      </c>
      <c r="G11" s="42">
        <v>8.8708650000000002</v>
      </c>
      <c r="H11" s="43">
        <v>0.62468599999999996</v>
      </c>
      <c r="I11" s="42">
        <v>19.899757000000001</v>
      </c>
      <c r="J11" s="43">
        <v>0.77989900000000001</v>
      </c>
      <c r="K11" s="42">
        <v>29.694963999999999</v>
      </c>
      <c r="L11" s="43">
        <v>1.052805</v>
      </c>
      <c r="M11" s="42">
        <v>26.508734</v>
      </c>
      <c r="N11" s="43">
        <v>0.94001800000000002</v>
      </c>
      <c r="O11" s="42">
        <v>11.407347</v>
      </c>
      <c r="P11" s="43">
        <v>0.70331200000000005</v>
      </c>
      <c r="Q11" s="42">
        <v>1.645964</v>
      </c>
      <c r="R11" s="43">
        <v>0.27996700000000002</v>
      </c>
    </row>
    <row r="12" spans="1:18">
      <c r="B12" s="41" t="s">
        <v>36</v>
      </c>
      <c r="C12" s="42">
        <v>0.43770199999999998</v>
      </c>
      <c r="D12" s="43">
        <v>0.121753</v>
      </c>
      <c r="E12" s="42">
        <v>2.797396</v>
      </c>
      <c r="F12" s="43">
        <v>0.33236300000000002</v>
      </c>
      <c r="G12" s="42">
        <v>9.6518580000000007</v>
      </c>
      <c r="H12" s="43">
        <v>0.55150600000000005</v>
      </c>
      <c r="I12" s="42">
        <v>21.075240000000001</v>
      </c>
      <c r="J12" s="43">
        <v>0.71287699999999998</v>
      </c>
      <c r="K12" s="42">
        <v>28.886575000000001</v>
      </c>
      <c r="L12" s="43">
        <v>0.83997999999999995</v>
      </c>
      <c r="M12" s="42">
        <v>24.884844999999999</v>
      </c>
      <c r="N12" s="43">
        <v>0.82967400000000002</v>
      </c>
      <c r="O12" s="42">
        <v>10.477664000000001</v>
      </c>
      <c r="P12" s="43">
        <v>0.62040200000000001</v>
      </c>
      <c r="Q12" s="42">
        <v>1.7887189999999999</v>
      </c>
      <c r="R12" s="43">
        <v>0.33807100000000001</v>
      </c>
    </row>
    <row r="13" spans="1:18">
      <c r="B13" s="41" t="s">
        <v>7</v>
      </c>
      <c r="C13" s="42">
        <v>0.39944800000000003</v>
      </c>
      <c r="D13" s="43">
        <v>6.9597999999999993E-2</v>
      </c>
      <c r="E13" s="42">
        <v>2.5752999999999999</v>
      </c>
      <c r="F13" s="43">
        <v>0.19639599999999999</v>
      </c>
      <c r="G13" s="42">
        <v>10.461168000000001</v>
      </c>
      <c r="H13" s="43">
        <v>0.43030099999999999</v>
      </c>
      <c r="I13" s="42">
        <v>22.380403000000001</v>
      </c>
      <c r="J13" s="43">
        <v>0.56994900000000004</v>
      </c>
      <c r="K13" s="42">
        <v>29.349304</v>
      </c>
      <c r="L13" s="43">
        <v>0.62646199999999996</v>
      </c>
      <c r="M13" s="42">
        <v>23.502880999999999</v>
      </c>
      <c r="N13" s="43">
        <v>0.655416</v>
      </c>
      <c r="O13" s="42">
        <v>9.5079729999999998</v>
      </c>
      <c r="P13" s="43">
        <v>0.46344600000000002</v>
      </c>
      <c r="Q13" s="42">
        <v>1.823523</v>
      </c>
      <c r="R13" s="43">
        <v>0.225442</v>
      </c>
    </row>
    <row r="14" spans="1:18">
      <c r="B14" s="41" t="s">
        <v>37</v>
      </c>
      <c r="C14" s="42">
        <v>0.208728</v>
      </c>
      <c r="D14" s="43">
        <v>0.11378199999999999</v>
      </c>
      <c r="E14" s="42">
        <v>2.5042399999999998</v>
      </c>
      <c r="F14" s="43">
        <v>0.34084500000000001</v>
      </c>
      <c r="G14" s="42">
        <v>11.129303999999999</v>
      </c>
      <c r="H14" s="43">
        <v>0.667381</v>
      </c>
      <c r="I14" s="42">
        <v>24.915375000000001</v>
      </c>
      <c r="J14" s="43">
        <v>0.84203700000000004</v>
      </c>
      <c r="K14" s="42">
        <v>29.987283000000001</v>
      </c>
      <c r="L14" s="43">
        <v>0.96518899999999996</v>
      </c>
      <c r="M14" s="42">
        <v>21.975275</v>
      </c>
      <c r="N14" s="43">
        <v>0.807809</v>
      </c>
      <c r="O14" s="42">
        <v>8.1126070000000006</v>
      </c>
      <c r="P14" s="43">
        <v>0.71307299999999996</v>
      </c>
      <c r="Q14" s="42">
        <v>1.167187</v>
      </c>
      <c r="R14" s="43">
        <v>0.24564800000000001</v>
      </c>
    </row>
    <row r="15" spans="1:18">
      <c r="B15" s="41" t="s">
        <v>27</v>
      </c>
      <c r="C15" s="42">
        <v>0.475358</v>
      </c>
      <c r="D15" s="43">
        <v>0.130991</v>
      </c>
      <c r="E15" s="42">
        <v>3.068692</v>
      </c>
      <c r="F15" s="43">
        <v>0.34701500000000002</v>
      </c>
      <c r="G15" s="42">
        <v>10.622878</v>
      </c>
      <c r="H15" s="43">
        <v>0.65944800000000003</v>
      </c>
      <c r="I15" s="42">
        <v>20.972062999999999</v>
      </c>
      <c r="J15" s="43">
        <v>0.78830100000000003</v>
      </c>
      <c r="K15" s="42">
        <v>28.58381</v>
      </c>
      <c r="L15" s="43">
        <v>0.948909</v>
      </c>
      <c r="M15" s="42">
        <v>24.483881</v>
      </c>
      <c r="N15" s="43">
        <v>0.90890199999999999</v>
      </c>
      <c r="O15" s="42">
        <v>9.9943580000000001</v>
      </c>
      <c r="P15" s="43">
        <v>0.64558499999999996</v>
      </c>
      <c r="Q15" s="42">
        <v>1.798961</v>
      </c>
      <c r="R15" s="43">
        <v>0.31564199999999998</v>
      </c>
    </row>
    <row r="16" spans="1:18">
      <c r="B16" s="41" t="s">
        <v>11</v>
      </c>
      <c r="C16" s="42">
        <v>0.196134</v>
      </c>
      <c r="D16" s="43">
        <v>9.5091999999999996E-2</v>
      </c>
      <c r="E16" s="42">
        <v>2.472207</v>
      </c>
      <c r="F16" s="43">
        <v>0.291182</v>
      </c>
      <c r="G16" s="42">
        <v>11.887167</v>
      </c>
      <c r="H16" s="43">
        <v>0.58029399999999998</v>
      </c>
      <c r="I16" s="42">
        <v>24.594322999999999</v>
      </c>
      <c r="J16" s="43">
        <v>0.78790300000000002</v>
      </c>
      <c r="K16" s="42">
        <v>31.752645000000001</v>
      </c>
      <c r="L16" s="43">
        <v>1.0046889999999999</v>
      </c>
      <c r="M16" s="42">
        <v>21.758711999999999</v>
      </c>
      <c r="N16" s="43">
        <v>0.87193500000000002</v>
      </c>
      <c r="O16" s="42">
        <v>6.7184489999999997</v>
      </c>
      <c r="P16" s="43">
        <v>0.54901999999999995</v>
      </c>
      <c r="Q16" s="42">
        <v>0.620363</v>
      </c>
      <c r="R16" s="43">
        <v>0.17119100000000001</v>
      </c>
    </row>
    <row r="17" spans="2:18">
      <c r="B17" s="41" t="s">
        <v>10</v>
      </c>
      <c r="C17" s="42">
        <v>0.31887500000000002</v>
      </c>
      <c r="D17" s="43">
        <v>0.111583</v>
      </c>
      <c r="E17" s="42">
        <v>3.2725520000000001</v>
      </c>
      <c r="F17" s="43">
        <v>0.34871000000000002</v>
      </c>
      <c r="G17" s="42">
        <v>13.435051</v>
      </c>
      <c r="H17" s="43">
        <v>0.68833599999999995</v>
      </c>
      <c r="I17" s="42">
        <v>26.873441</v>
      </c>
      <c r="J17" s="43">
        <v>0.89636800000000005</v>
      </c>
      <c r="K17" s="42">
        <v>31.309360000000002</v>
      </c>
      <c r="L17" s="43">
        <v>0.85266500000000001</v>
      </c>
      <c r="M17" s="42">
        <v>18.950787999999999</v>
      </c>
      <c r="N17" s="43">
        <v>0.69606299999999999</v>
      </c>
      <c r="O17" s="42">
        <v>5.3651239999999998</v>
      </c>
      <c r="P17" s="43">
        <v>0.51436700000000002</v>
      </c>
      <c r="Q17" s="42">
        <v>0.47481099999999998</v>
      </c>
      <c r="R17" s="43">
        <v>0.18270600000000001</v>
      </c>
    </row>
    <row r="18" spans="2:18">
      <c r="B18" s="41" t="s">
        <v>42</v>
      </c>
      <c r="C18" s="42">
        <v>0.64247900000000002</v>
      </c>
      <c r="D18" s="43">
        <v>0.15246499999999999</v>
      </c>
      <c r="E18" s="42">
        <v>3.874323</v>
      </c>
      <c r="F18" s="43">
        <v>0.40578900000000001</v>
      </c>
      <c r="G18" s="42">
        <v>12.918324999999999</v>
      </c>
      <c r="H18" s="43">
        <v>0.64991399999999999</v>
      </c>
      <c r="I18" s="42">
        <v>24.000195000000001</v>
      </c>
      <c r="J18" s="43">
        <v>0.823793</v>
      </c>
      <c r="K18" s="42">
        <v>28.100750000000001</v>
      </c>
      <c r="L18" s="43">
        <v>0.75864799999999999</v>
      </c>
      <c r="M18" s="42">
        <v>20.784624000000001</v>
      </c>
      <c r="N18" s="43">
        <v>0.74180000000000001</v>
      </c>
      <c r="O18" s="42">
        <v>8.2271739999999998</v>
      </c>
      <c r="P18" s="43">
        <v>0.550786</v>
      </c>
      <c r="Q18" s="42">
        <v>1.4521310000000001</v>
      </c>
      <c r="R18" s="43">
        <v>0.22273200000000001</v>
      </c>
    </row>
    <row r="19" spans="2:18">
      <c r="B19" s="41" t="s">
        <v>29</v>
      </c>
      <c r="C19" s="42">
        <v>0.61092100000000005</v>
      </c>
      <c r="D19" s="43">
        <v>0.152563</v>
      </c>
      <c r="E19" s="42">
        <v>4.3122379999999998</v>
      </c>
      <c r="F19" s="43">
        <v>0.431363</v>
      </c>
      <c r="G19" s="42">
        <v>13.118638000000001</v>
      </c>
      <c r="H19" s="43">
        <v>0.60483500000000001</v>
      </c>
      <c r="I19" s="42">
        <v>21.968577</v>
      </c>
      <c r="J19" s="43">
        <v>0.64127299999999998</v>
      </c>
      <c r="K19" s="42">
        <v>26.830016000000001</v>
      </c>
      <c r="L19" s="43">
        <v>0.71623700000000001</v>
      </c>
      <c r="M19" s="42">
        <v>21.848178000000001</v>
      </c>
      <c r="N19" s="43">
        <v>0.66938600000000004</v>
      </c>
      <c r="O19" s="42">
        <v>9.5393410000000003</v>
      </c>
      <c r="P19" s="43">
        <v>0.58468100000000001</v>
      </c>
      <c r="Q19" s="42">
        <v>1.772092</v>
      </c>
      <c r="R19" s="43">
        <v>0.26922299999999999</v>
      </c>
    </row>
    <row r="20" spans="2:18">
      <c r="B20" s="41" t="s">
        <v>25</v>
      </c>
      <c r="C20" s="42">
        <v>0.30000599999999999</v>
      </c>
      <c r="D20" s="43">
        <v>9.9387000000000003E-2</v>
      </c>
      <c r="E20" s="42">
        <v>3.366784</v>
      </c>
      <c r="F20" s="43">
        <v>0.36761199999999999</v>
      </c>
      <c r="G20" s="42">
        <v>14.823494999999999</v>
      </c>
      <c r="H20" s="43">
        <v>0.67657100000000003</v>
      </c>
      <c r="I20" s="42">
        <v>29.496670999999999</v>
      </c>
      <c r="J20" s="43">
        <v>0.80938299999999996</v>
      </c>
      <c r="K20" s="42">
        <v>31.469873</v>
      </c>
      <c r="L20" s="43">
        <v>1.089915</v>
      </c>
      <c r="M20" s="42">
        <v>16.819624999999998</v>
      </c>
      <c r="N20" s="43">
        <v>0.75880099999999995</v>
      </c>
      <c r="O20" s="42">
        <v>3.4679160000000002</v>
      </c>
      <c r="P20" s="43">
        <v>0.39017299999999999</v>
      </c>
      <c r="Q20" s="42">
        <v>0.25563000000000002</v>
      </c>
      <c r="R20" s="43">
        <v>0.11412</v>
      </c>
    </row>
    <row r="21" spans="2:18">
      <c r="B21" s="41" t="s">
        <v>8</v>
      </c>
      <c r="C21" s="42">
        <v>0.54605000000000004</v>
      </c>
      <c r="D21" s="43">
        <v>0.17538999999999999</v>
      </c>
      <c r="E21" s="42">
        <v>4.3629629999999997</v>
      </c>
      <c r="F21" s="43">
        <v>0.54108900000000004</v>
      </c>
      <c r="G21" s="42">
        <v>13.732839999999999</v>
      </c>
      <c r="H21" s="43">
        <v>0.82382999999999995</v>
      </c>
      <c r="I21" s="42">
        <v>23.639544000000001</v>
      </c>
      <c r="J21" s="43">
        <v>0.85798200000000002</v>
      </c>
      <c r="K21" s="42">
        <v>27.500971</v>
      </c>
      <c r="L21" s="43">
        <v>0.92413000000000001</v>
      </c>
      <c r="M21" s="42">
        <v>21.084327999999999</v>
      </c>
      <c r="N21" s="43">
        <v>0.92743100000000001</v>
      </c>
      <c r="O21" s="42">
        <v>7.8623589999999997</v>
      </c>
      <c r="P21" s="43">
        <v>0.72509400000000002</v>
      </c>
      <c r="Q21" s="42">
        <v>1.2709459999999999</v>
      </c>
      <c r="R21" s="43">
        <v>0.22328799999999999</v>
      </c>
    </row>
    <row r="22" spans="2:18">
      <c r="B22" s="41" t="s">
        <v>9</v>
      </c>
      <c r="C22" s="42">
        <v>0.65742100000000003</v>
      </c>
      <c r="D22" s="43">
        <v>0.169456</v>
      </c>
      <c r="E22" s="42">
        <v>4.1473810000000002</v>
      </c>
      <c r="F22" s="43">
        <v>0.33849200000000002</v>
      </c>
      <c r="G22" s="42">
        <v>13.850992</v>
      </c>
      <c r="H22" s="43">
        <v>0.60072899999999996</v>
      </c>
      <c r="I22" s="42">
        <v>26.568379</v>
      </c>
      <c r="J22" s="43">
        <v>0.69815899999999997</v>
      </c>
      <c r="K22" s="42">
        <v>30.114505000000001</v>
      </c>
      <c r="L22" s="43">
        <v>0.91900599999999999</v>
      </c>
      <c r="M22" s="42">
        <v>19.133839999999999</v>
      </c>
      <c r="N22" s="43">
        <v>0.81307499999999999</v>
      </c>
      <c r="O22" s="42">
        <v>5.0002120000000003</v>
      </c>
      <c r="P22" s="43">
        <v>0.47505799999999998</v>
      </c>
      <c r="Q22" s="42">
        <v>0.52727000000000002</v>
      </c>
      <c r="R22" s="43">
        <v>0.160548</v>
      </c>
    </row>
    <row r="23" spans="2:18">
      <c r="B23" s="41" t="s">
        <v>20</v>
      </c>
      <c r="C23" s="42">
        <v>0.38147799999999998</v>
      </c>
      <c r="D23" s="43">
        <v>0.125387</v>
      </c>
      <c r="E23" s="42">
        <v>3.8978670000000002</v>
      </c>
      <c r="F23" s="43">
        <v>0.445075</v>
      </c>
      <c r="G23" s="42">
        <v>14.485357</v>
      </c>
      <c r="H23" s="43">
        <v>0.82442700000000002</v>
      </c>
      <c r="I23" s="42">
        <v>25.925214</v>
      </c>
      <c r="J23" s="43">
        <v>0.96509400000000001</v>
      </c>
      <c r="K23" s="42">
        <v>28.712047999999999</v>
      </c>
      <c r="L23" s="43">
        <v>0.95870699999999998</v>
      </c>
      <c r="M23" s="42">
        <v>19.063634</v>
      </c>
      <c r="N23" s="43">
        <v>0.84006700000000001</v>
      </c>
      <c r="O23" s="42">
        <v>6.5839920000000003</v>
      </c>
      <c r="P23" s="43">
        <v>0.47907899999999998</v>
      </c>
      <c r="Q23" s="42">
        <v>0.95040899999999995</v>
      </c>
      <c r="R23" s="43">
        <v>0.183258</v>
      </c>
    </row>
    <row r="24" spans="2:18">
      <c r="B24" s="41" t="s">
        <v>15</v>
      </c>
      <c r="C24" s="42">
        <v>0.64464299999999997</v>
      </c>
      <c r="D24" s="43">
        <v>0.100979</v>
      </c>
      <c r="E24" s="42">
        <v>4.4672320000000001</v>
      </c>
      <c r="F24" s="43">
        <v>0.28038200000000002</v>
      </c>
      <c r="G24" s="42">
        <v>13.748146</v>
      </c>
      <c r="H24" s="43">
        <v>0.482684</v>
      </c>
      <c r="I24" s="42">
        <v>23.002189999999999</v>
      </c>
      <c r="J24" s="43">
        <v>0.55715599999999998</v>
      </c>
      <c r="K24" s="42">
        <v>27.493663999999999</v>
      </c>
      <c r="L24" s="43">
        <v>0.59916800000000003</v>
      </c>
      <c r="M24" s="42">
        <v>21.162922999999999</v>
      </c>
      <c r="N24" s="43">
        <v>0.56785300000000005</v>
      </c>
      <c r="O24" s="42">
        <v>7.9244560000000002</v>
      </c>
      <c r="P24" s="43">
        <v>0.39677200000000001</v>
      </c>
      <c r="Q24" s="42">
        <v>1.5567470000000001</v>
      </c>
      <c r="R24" s="43">
        <v>0.22151000000000001</v>
      </c>
    </row>
    <row r="25" spans="2:18">
      <c r="B25" s="41" t="s">
        <v>24</v>
      </c>
      <c r="C25" s="42">
        <v>0.62255300000000002</v>
      </c>
      <c r="D25" s="43">
        <v>0.159029</v>
      </c>
      <c r="E25" s="42">
        <v>4.5614879999999998</v>
      </c>
      <c r="F25" s="43">
        <v>0.51905800000000002</v>
      </c>
      <c r="G25" s="42">
        <v>13.823397999999999</v>
      </c>
      <c r="H25" s="43">
        <v>0.74433899999999997</v>
      </c>
      <c r="I25" s="42">
        <v>23.990791000000002</v>
      </c>
      <c r="J25" s="43">
        <v>0.69188000000000005</v>
      </c>
      <c r="K25" s="42">
        <v>27.950422</v>
      </c>
      <c r="L25" s="43">
        <v>0.84962800000000005</v>
      </c>
      <c r="M25" s="42">
        <v>20.749085999999998</v>
      </c>
      <c r="N25" s="43">
        <v>0.92716500000000002</v>
      </c>
      <c r="O25" s="42">
        <v>7.3482289999999999</v>
      </c>
      <c r="P25" s="43">
        <v>0.52274299999999996</v>
      </c>
      <c r="Q25" s="42">
        <v>0.95403199999999999</v>
      </c>
      <c r="R25" s="43">
        <v>0.181812</v>
      </c>
    </row>
    <row r="26" spans="2:18">
      <c r="B26" s="41" t="s">
        <v>38</v>
      </c>
      <c r="C26" s="42">
        <v>0.44833200000000001</v>
      </c>
      <c r="D26" s="43">
        <v>0.133435</v>
      </c>
      <c r="E26" s="42">
        <v>4.369828</v>
      </c>
      <c r="F26" s="43">
        <v>0.61546500000000004</v>
      </c>
      <c r="G26" s="42">
        <v>14.742637999999999</v>
      </c>
      <c r="H26" s="43">
        <v>0.86898900000000001</v>
      </c>
      <c r="I26" s="42">
        <v>26.242321</v>
      </c>
      <c r="J26" s="43">
        <v>0.93861700000000003</v>
      </c>
      <c r="K26" s="42">
        <v>29.387599999999999</v>
      </c>
      <c r="L26" s="43">
        <v>1.0067520000000001</v>
      </c>
      <c r="M26" s="42">
        <v>19.184718</v>
      </c>
      <c r="N26" s="43">
        <v>0.86156299999999997</v>
      </c>
      <c r="O26" s="42">
        <v>5.1423819999999996</v>
      </c>
      <c r="P26" s="43">
        <v>0.52771400000000002</v>
      </c>
      <c r="Q26" s="42">
        <v>0.48218100000000003</v>
      </c>
      <c r="R26" s="43">
        <v>0.15284400000000001</v>
      </c>
    </row>
    <row r="27" spans="2:18">
      <c r="B27" s="41" t="s">
        <v>17</v>
      </c>
      <c r="C27" s="42">
        <v>0.76243099999999997</v>
      </c>
      <c r="D27" s="43">
        <v>0.21241599999999999</v>
      </c>
      <c r="E27" s="42">
        <v>5.0309059999999999</v>
      </c>
      <c r="F27" s="43">
        <v>0.51610599999999995</v>
      </c>
      <c r="G27" s="42">
        <v>13.807421</v>
      </c>
      <c r="H27" s="43">
        <v>0.74248599999999998</v>
      </c>
      <c r="I27" s="42">
        <v>22.031407000000002</v>
      </c>
      <c r="J27" s="43">
        <v>0.94575699999999996</v>
      </c>
      <c r="K27" s="42">
        <v>26.918714000000001</v>
      </c>
      <c r="L27" s="43">
        <v>0.93262699999999998</v>
      </c>
      <c r="M27" s="42">
        <v>21.455324999999998</v>
      </c>
      <c r="N27" s="43">
        <v>0.99152099999999999</v>
      </c>
      <c r="O27" s="42">
        <v>8.5121979999999997</v>
      </c>
      <c r="P27" s="43">
        <v>0.58482699999999999</v>
      </c>
      <c r="Q27" s="42">
        <v>1.481598</v>
      </c>
      <c r="R27" s="43">
        <v>0.20969599999999999</v>
      </c>
    </row>
    <row r="28" spans="2:18">
      <c r="B28" s="41" t="s">
        <v>30</v>
      </c>
      <c r="C28" s="42">
        <v>0.550651</v>
      </c>
      <c r="D28" s="43">
        <v>0.148808</v>
      </c>
      <c r="E28" s="42">
        <v>5.3058709999999998</v>
      </c>
      <c r="F28" s="43">
        <v>0.48097200000000001</v>
      </c>
      <c r="G28" s="42">
        <v>14.150575</v>
      </c>
      <c r="H28" s="43">
        <v>0.62631899999999996</v>
      </c>
      <c r="I28" s="42">
        <v>22.224532</v>
      </c>
      <c r="J28" s="43">
        <v>0.74793100000000001</v>
      </c>
      <c r="K28" s="42">
        <v>28.40278</v>
      </c>
      <c r="L28" s="43">
        <v>0.79846200000000001</v>
      </c>
      <c r="M28" s="42">
        <v>21.332322999999999</v>
      </c>
      <c r="N28" s="43">
        <v>0.69244000000000006</v>
      </c>
      <c r="O28" s="42">
        <v>7.3174999999999999</v>
      </c>
      <c r="P28" s="43">
        <v>0.40736299999999998</v>
      </c>
      <c r="Q28" s="42">
        <v>0.71576799999999996</v>
      </c>
      <c r="R28" s="43">
        <v>0.15273999999999999</v>
      </c>
    </row>
    <row r="29" spans="2:18">
      <c r="B29" s="41" t="s">
        <v>33</v>
      </c>
      <c r="C29" s="42">
        <v>0.89756800000000003</v>
      </c>
      <c r="D29" s="43">
        <v>0.24649499999999999</v>
      </c>
      <c r="E29" s="42">
        <v>4.7647919999999999</v>
      </c>
      <c r="F29" s="43">
        <v>0.51241999999999999</v>
      </c>
      <c r="G29" s="42">
        <v>14.376085</v>
      </c>
      <c r="H29" s="43">
        <v>0.819218</v>
      </c>
      <c r="I29" s="42">
        <v>22.437345000000001</v>
      </c>
      <c r="J29" s="43">
        <v>0.83350999999999997</v>
      </c>
      <c r="K29" s="42">
        <v>24.859774999999999</v>
      </c>
      <c r="L29" s="43">
        <v>1.08626</v>
      </c>
      <c r="M29" s="42">
        <v>22.054480999999999</v>
      </c>
      <c r="N29" s="43">
        <v>1.0345299999999999</v>
      </c>
      <c r="O29" s="42">
        <v>9.1004939999999994</v>
      </c>
      <c r="P29" s="43">
        <v>0.67810599999999999</v>
      </c>
      <c r="Q29" s="42">
        <v>1.5094609999999999</v>
      </c>
      <c r="R29" s="43">
        <v>0.25416499999999997</v>
      </c>
    </row>
    <row r="30" spans="2:18">
      <c r="B30" s="41" t="s">
        <v>26</v>
      </c>
      <c r="C30" s="42">
        <v>0.422678</v>
      </c>
      <c r="D30" s="43">
        <v>0.13556199999999999</v>
      </c>
      <c r="E30" s="42">
        <v>4.5838710000000003</v>
      </c>
      <c r="F30" s="43">
        <v>0.48403299999999999</v>
      </c>
      <c r="G30" s="42">
        <v>15.218465999999999</v>
      </c>
      <c r="H30" s="43">
        <v>0.75248800000000005</v>
      </c>
      <c r="I30" s="42">
        <v>24.923102</v>
      </c>
      <c r="J30" s="43">
        <v>0.86580699999999999</v>
      </c>
      <c r="K30" s="42">
        <v>27.772964999999999</v>
      </c>
      <c r="L30" s="43">
        <v>0.94171700000000003</v>
      </c>
      <c r="M30" s="42">
        <v>19.273593000000002</v>
      </c>
      <c r="N30" s="43">
        <v>1.0236559999999999</v>
      </c>
      <c r="O30" s="42">
        <v>6.9455140000000002</v>
      </c>
      <c r="P30" s="43">
        <v>0.68807200000000002</v>
      </c>
      <c r="Q30" s="42">
        <v>0.85980999999999996</v>
      </c>
      <c r="R30" s="43">
        <v>0.169567</v>
      </c>
    </row>
    <row r="31" spans="2:18">
      <c r="B31" s="41" t="s">
        <v>6</v>
      </c>
      <c r="C31" s="42">
        <v>0.60209299999999999</v>
      </c>
      <c r="D31" s="43">
        <v>0.17352100000000001</v>
      </c>
      <c r="E31" s="42">
        <v>5.0054360000000004</v>
      </c>
      <c r="F31" s="43">
        <v>0.42356100000000002</v>
      </c>
      <c r="G31" s="42">
        <v>14.892056999999999</v>
      </c>
      <c r="H31" s="43">
        <v>0.75428200000000001</v>
      </c>
      <c r="I31" s="42">
        <v>24.573937000000001</v>
      </c>
      <c r="J31" s="43">
        <v>0.88638099999999997</v>
      </c>
      <c r="K31" s="42">
        <v>28.345535999999999</v>
      </c>
      <c r="L31" s="43">
        <v>0.74880000000000002</v>
      </c>
      <c r="M31" s="42">
        <v>20.030017000000001</v>
      </c>
      <c r="N31" s="43">
        <v>0.88464200000000004</v>
      </c>
      <c r="O31" s="42">
        <v>5.9132749999999996</v>
      </c>
      <c r="P31" s="43">
        <v>0.497803</v>
      </c>
      <c r="Q31" s="42">
        <v>0.63765000000000005</v>
      </c>
      <c r="R31" s="43">
        <v>0.13980200000000001</v>
      </c>
    </row>
    <row r="32" spans="2:18">
      <c r="B32" s="41" t="s">
        <v>14</v>
      </c>
      <c r="C32" s="42">
        <v>1.0578909999999999</v>
      </c>
      <c r="D32" s="43">
        <v>0.206844</v>
      </c>
      <c r="E32" s="42">
        <v>5.6853309999999997</v>
      </c>
      <c r="F32" s="43">
        <v>0.41231299999999999</v>
      </c>
      <c r="G32" s="42">
        <v>14.102112999999999</v>
      </c>
      <c r="H32" s="43">
        <v>0.78783099999999995</v>
      </c>
      <c r="I32" s="42">
        <v>25.045245999999999</v>
      </c>
      <c r="J32" s="43">
        <v>0.88827999999999996</v>
      </c>
      <c r="K32" s="42">
        <v>28.581247000000001</v>
      </c>
      <c r="L32" s="43">
        <v>0.74114100000000005</v>
      </c>
      <c r="M32" s="42">
        <v>18.739139999999999</v>
      </c>
      <c r="N32" s="43">
        <v>0.71868699999999996</v>
      </c>
      <c r="O32" s="42">
        <v>6.0541910000000003</v>
      </c>
      <c r="P32" s="43">
        <v>0.474491</v>
      </c>
      <c r="Q32" s="42">
        <v>0.73484099999999997</v>
      </c>
      <c r="R32" s="43">
        <v>0.133273</v>
      </c>
    </row>
    <row r="33" spans="2:18">
      <c r="B33" s="41" t="s">
        <v>28</v>
      </c>
      <c r="C33" s="42">
        <v>0.55124799999999996</v>
      </c>
      <c r="D33" s="43">
        <v>0.10092</v>
      </c>
      <c r="E33" s="42">
        <v>4.5258789999999998</v>
      </c>
      <c r="F33" s="43">
        <v>0.282501</v>
      </c>
      <c r="G33" s="42">
        <v>16.197617000000001</v>
      </c>
      <c r="H33" s="43">
        <v>0.54355100000000001</v>
      </c>
      <c r="I33" s="42">
        <v>28.369465999999999</v>
      </c>
      <c r="J33" s="43">
        <v>0.50172399999999995</v>
      </c>
      <c r="K33" s="42">
        <v>29.401595</v>
      </c>
      <c r="L33" s="43">
        <v>0.50643300000000002</v>
      </c>
      <c r="M33" s="42">
        <v>16.769963000000001</v>
      </c>
      <c r="N33" s="43">
        <v>0.43707099999999999</v>
      </c>
      <c r="O33" s="42">
        <v>3.8711549999999999</v>
      </c>
      <c r="P33" s="43">
        <v>0.23888000000000001</v>
      </c>
      <c r="Q33" s="42">
        <v>0.313079</v>
      </c>
      <c r="R33" s="43">
        <v>6.8678000000000003E-2</v>
      </c>
    </row>
    <row r="34" spans="2:18">
      <c r="B34" s="41" t="s">
        <v>19</v>
      </c>
      <c r="C34" s="42">
        <v>0.55763200000000002</v>
      </c>
      <c r="D34" s="43">
        <v>0.15567500000000001</v>
      </c>
      <c r="E34" s="42">
        <v>4.8414809999999999</v>
      </c>
      <c r="F34" s="43">
        <v>0.46844999999999998</v>
      </c>
      <c r="G34" s="42">
        <v>16.452096000000001</v>
      </c>
      <c r="H34" s="43">
        <v>0.91132899999999994</v>
      </c>
      <c r="I34" s="42">
        <v>24.975881000000001</v>
      </c>
      <c r="J34" s="43">
        <v>0.84692400000000001</v>
      </c>
      <c r="K34" s="42">
        <v>27.639828999999999</v>
      </c>
      <c r="L34" s="43">
        <v>0.76841300000000001</v>
      </c>
      <c r="M34" s="42">
        <v>19.237712999999999</v>
      </c>
      <c r="N34" s="43">
        <v>0.819743</v>
      </c>
      <c r="O34" s="42">
        <v>5.8407159999999996</v>
      </c>
      <c r="P34" s="43">
        <v>0.55611999999999995</v>
      </c>
      <c r="Q34" s="42">
        <v>0.454652</v>
      </c>
      <c r="R34" s="43">
        <v>0.120647</v>
      </c>
    </row>
    <row r="35" spans="2:18">
      <c r="B35" s="41" t="s">
        <v>34</v>
      </c>
      <c r="C35" s="42">
        <v>0.47828799999999999</v>
      </c>
      <c r="D35" s="43">
        <v>0.15853500000000001</v>
      </c>
      <c r="E35" s="42">
        <v>4.729705</v>
      </c>
      <c r="F35" s="43">
        <v>0.39780399999999999</v>
      </c>
      <c r="G35" s="42">
        <v>16.97664</v>
      </c>
      <c r="H35" s="43">
        <v>0.75371999999999995</v>
      </c>
      <c r="I35" s="42">
        <v>28.362760000000002</v>
      </c>
      <c r="J35" s="43">
        <v>0.82715399999999994</v>
      </c>
      <c r="K35" s="42">
        <v>28.741845999999999</v>
      </c>
      <c r="L35" s="43">
        <v>0.77390000000000003</v>
      </c>
      <c r="M35" s="42">
        <v>16.270415</v>
      </c>
      <c r="N35" s="43">
        <v>0.60489800000000005</v>
      </c>
      <c r="O35" s="42">
        <v>3.9752100000000001</v>
      </c>
      <c r="P35" s="43">
        <v>0.33898899999999998</v>
      </c>
      <c r="Q35" s="42">
        <v>0.46513500000000002</v>
      </c>
      <c r="R35" s="43">
        <v>0.10853500000000001</v>
      </c>
    </row>
    <row r="36" spans="2:18">
      <c r="B36" s="41" t="s">
        <v>5</v>
      </c>
      <c r="C36" s="42">
        <v>0.64651999999999998</v>
      </c>
      <c r="D36" s="43">
        <v>0.219026</v>
      </c>
      <c r="E36" s="42">
        <v>5.6512320000000003</v>
      </c>
      <c r="F36" s="43">
        <v>0.58470999999999995</v>
      </c>
      <c r="G36" s="42">
        <v>17.806256000000001</v>
      </c>
      <c r="H36" s="43">
        <v>0.85684000000000005</v>
      </c>
      <c r="I36" s="42">
        <v>26.109876</v>
      </c>
      <c r="J36" s="43">
        <v>0.96475599999999995</v>
      </c>
      <c r="K36" s="42">
        <v>28.075430000000001</v>
      </c>
      <c r="L36" s="43">
        <v>0.85517699999999996</v>
      </c>
      <c r="M36" s="42">
        <v>17.015319999999999</v>
      </c>
      <c r="N36" s="43">
        <v>0.741676</v>
      </c>
      <c r="O36" s="42">
        <v>4.2898019999999999</v>
      </c>
      <c r="P36" s="43">
        <v>0.491116</v>
      </c>
      <c r="Q36" s="42">
        <v>0.40556399999999998</v>
      </c>
      <c r="R36" s="43">
        <v>0.10574500000000001</v>
      </c>
    </row>
    <row r="37" spans="2:18">
      <c r="B37" s="41" t="s">
        <v>21</v>
      </c>
      <c r="C37" s="42">
        <v>0.49660599999999999</v>
      </c>
      <c r="D37" s="43">
        <v>0.16935500000000001</v>
      </c>
      <c r="E37" s="42">
        <v>5.9284160000000004</v>
      </c>
      <c r="F37" s="43">
        <v>0.50737100000000002</v>
      </c>
      <c r="G37" s="42">
        <v>18.558886999999999</v>
      </c>
      <c r="H37" s="43">
        <v>0.82610700000000004</v>
      </c>
      <c r="I37" s="42">
        <v>28.32161</v>
      </c>
      <c r="J37" s="43">
        <v>0.92798599999999998</v>
      </c>
      <c r="K37" s="42">
        <v>27.698836</v>
      </c>
      <c r="L37" s="43">
        <v>0.97100299999999995</v>
      </c>
      <c r="M37" s="42">
        <v>15.168225</v>
      </c>
      <c r="N37" s="43">
        <v>0.84357599999999999</v>
      </c>
      <c r="O37" s="42">
        <v>3.600584</v>
      </c>
      <c r="P37" s="43">
        <v>0.38627499999999998</v>
      </c>
      <c r="Q37" s="42">
        <v>0.22683600000000001</v>
      </c>
      <c r="R37" s="43">
        <v>0.115954</v>
      </c>
    </row>
    <row r="38" spans="2:18">
      <c r="B38" s="41" t="s">
        <v>32</v>
      </c>
      <c r="C38" s="42">
        <v>0.33445900000000001</v>
      </c>
      <c r="D38" s="43">
        <v>0.121008</v>
      </c>
      <c r="E38" s="42">
        <v>4.6946089999999998</v>
      </c>
      <c r="F38" s="43">
        <v>0.44990200000000002</v>
      </c>
      <c r="G38" s="42">
        <v>20.123016</v>
      </c>
      <c r="H38" s="43">
        <v>0.81411500000000003</v>
      </c>
      <c r="I38" s="42">
        <v>32.772961000000002</v>
      </c>
      <c r="J38" s="43">
        <v>0.95091099999999995</v>
      </c>
      <c r="K38" s="42">
        <v>27.284808999999999</v>
      </c>
      <c r="L38" s="43">
        <v>1.0150520000000001</v>
      </c>
      <c r="M38" s="42">
        <v>12.329328</v>
      </c>
      <c r="N38" s="43">
        <v>0.66990700000000003</v>
      </c>
      <c r="O38" s="42">
        <v>2.3378389999999998</v>
      </c>
      <c r="P38" s="43">
        <v>0.43874200000000002</v>
      </c>
      <c r="Q38" s="42">
        <v>0.122978</v>
      </c>
      <c r="R38" s="43">
        <v>7.4567999999999995E-2</v>
      </c>
    </row>
    <row r="39" spans="2:18">
      <c r="B39" s="41" t="s">
        <v>16</v>
      </c>
      <c r="C39" s="42">
        <v>0.62029199999999995</v>
      </c>
      <c r="D39" s="43">
        <v>0.18145700000000001</v>
      </c>
      <c r="E39" s="42">
        <v>5.6051190000000002</v>
      </c>
      <c r="F39" s="43">
        <v>0.51600299999999999</v>
      </c>
      <c r="G39" s="42">
        <v>19.142714999999999</v>
      </c>
      <c r="H39" s="43">
        <v>0.85213399999999995</v>
      </c>
      <c r="I39" s="42">
        <v>29.979167</v>
      </c>
      <c r="J39" s="43">
        <v>0.84019999999999995</v>
      </c>
      <c r="K39" s="42">
        <v>26.86504</v>
      </c>
      <c r="L39" s="43">
        <v>0.90747699999999998</v>
      </c>
      <c r="M39" s="42">
        <v>14.155555</v>
      </c>
      <c r="N39" s="43">
        <v>0.741923</v>
      </c>
      <c r="O39" s="42">
        <v>3.320087</v>
      </c>
      <c r="P39" s="43">
        <v>0.388955</v>
      </c>
      <c r="Q39" s="42">
        <v>0.31202400000000002</v>
      </c>
      <c r="R39" s="43">
        <v>0.119295</v>
      </c>
    </row>
    <row r="40" spans="2:18">
      <c r="B40" s="41" t="s">
        <v>13</v>
      </c>
      <c r="C40" s="42">
        <v>1.0848370000000001</v>
      </c>
      <c r="D40" s="43">
        <v>0.231291</v>
      </c>
      <c r="E40" s="42">
        <v>6.5507239999999998</v>
      </c>
      <c r="F40" s="43">
        <v>0.54578599999999999</v>
      </c>
      <c r="G40" s="42">
        <v>18.243594999999999</v>
      </c>
      <c r="H40" s="43">
        <v>0.88030399999999998</v>
      </c>
      <c r="I40" s="42">
        <v>30.184149999999999</v>
      </c>
      <c r="J40" s="43">
        <v>1.00342</v>
      </c>
      <c r="K40" s="42">
        <v>27.821650000000002</v>
      </c>
      <c r="L40" s="43">
        <v>1.0940479999999999</v>
      </c>
      <c r="M40" s="42">
        <v>13.380794</v>
      </c>
      <c r="N40" s="43">
        <v>0.72938099999999995</v>
      </c>
      <c r="O40" s="42">
        <v>2.5593729999999999</v>
      </c>
      <c r="P40" s="43">
        <v>0.37132500000000002</v>
      </c>
      <c r="Q40" s="42">
        <v>0.174877</v>
      </c>
      <c r="R40" s="43">
        <v>7.1393999999999999E-2</v>
      </c>
    </row>
    <row r="41" spans="2:18">
      <c r="B41" s="41" t="s">
        <v>41</v>
      </c>
      <c r="C41" s="42">
        <v>0.81938599999999995</v>
      </c>
      <c r="D41" s="43">
        <v>0.17449999999999999</v>
      </c>
      <c r="E41" s="42">
        <v>6.7818430000000003</v>
      </c>
      <c r="F41" s="43">
        <v>0.39916000000000001</v>
      </c>
      <c r="G41" s="42">
        <v>19.164407000000001</v>
      </c>
      <c r="H41" s="43">
        <v>0.63180000000000003</v>
      </c>
      <c r="I41" s="42">
        <v>25.679592</v>
      </c>
      <c r="J41" s="43">
        <v>0.81289199999999995</v>
      </c>
      <c r="K41" s="42">
        <v>25.554784999999999</v>
      </c>
      <c r="L41" s="43">
        <v>0.75770300000000002</v>
      </c>
      <c r="M41" s="42">
        <v>16.551041000000001</v>
      </c>
      <c r="N41" s="43">
        <v>0.58035499999999995</v>
      </c>
      <c r="O41" s="42">
        <v>4.9338790000000001</v>
      </c>
      <c r="P41" s="43">
        <v>0.50696300000000005</v>
      </c>
      <c r="Q41" s="42">
        <v>0.51506700000000005</v>
      </c>
      <c r="R41" s="43">
        <v>0.158306</v>
      </c>
    </row>
    <row r="42" spans="2:18">
      <c r="B42" s="41" t="s">
        <v>39</v>
      </c>
      <c r="C42" s="42">
        <v>1.4385950000000001</v>
      </c>
      <c r="D42" s="43">
        <v>0.24612400000000001</v>
      </c>
      <c r="E42" s="42">
        <v>7.9181400000000002</v>
      </c>
      <c r="F42" s="43">
        <v>0.59418199999999999</v>
      </c>
      <c r="G42" s="42">
        <v>19.944983000000001</v>
      </c>
      <c r="H42" s="43">
        <v>0.74357600000000001</v>
      </c>
      <c r="I42" s="42">
        <v>28.529841000000001</v>
      </c>
      <c r="J42" s="43">
        <v>0.87626499999999996</v>
      </c>
      <c r="K42" s="42">
        <v>25.262262</v>
      </c>
      <c r="L42" s="43">
        <v>0.76008399999999998</v>
      </c>
      <c r="M42" s="42">
        <v>13.199096000000001</v>
      </c>
      <c r="N42" s="43">
        <v>0.62814599999999998</v>
      </c>
      <c r="O42" s="42">
        <v>3.3847800000000001</v>
      </c>
      <c r="P42" s="43">
        <v>0.32705600000000001</v>
      </c>
      <c r="Q42" s="42">
        <v>0.32230300000000001</v>
      </c>
      <c r="R42" s="43">
        <v>0.11389299999999999</v>
      </c>
    </row>
    <row r="43" spans="2:18">
      <c r="B43" s="41" t="s">
        <v>40</v>
      </c>
      <c r="C43" s="42">
        <v>1.191913</v>
      </c>
      <c r="D43" s="43">
        <v>0.27591599999999999</v>
      </c>
      <c r="E43" s="42">
        <v>8.129702</v>
      </c>
      <c r="F43" s="43">
        <v>0.75076900000000002</v>
      </c>
      <c r="G43" s="42">
        <v>22.414569</v>
      </c>
      <c r="H43" s="43">
        <v>0.95533100000000004</v>
      </c>
      <c r="I43" s="42">
        <v>31.644113999999998</v>
      </c>
      <c r="J43" s="43">
        <v>0.93392299999999995</v>
      </c>
      <c r="K43" s="42">
        <v>26.042542000000001</v>
      </c>
      <c r="L43" s="43">
        <v>1.0290539999999999</v>
      </c>
      <c r="M43" s="42">
        <v>9.2660149999999994</v>
      </c>
      <c r="N43" s="43">
        <v>0.64958899999999997</v>
      </c>
      <c r="O43" s="42">
        <v>1.262861</v>
      </c>
      <c r="P43" s="43">
        <v>0.232183</v>
      </c>
      <c r="Q43" s="42">
        <v>4.8284000000000001E-2</v>
      </c>
      <c r="R43" s="43">
        <v>4.3901999999999997E-2</v>
      </c>
    </row>
    <row r="44" spans="2:18">
      <c r="B44" s="41" t="s">
        <v>12</v>
      </c>
      <c r="C44" s="42">
        <v>3.2304219999999999</v>
      </c>
      <c r="D44" s="43">
        <v>0.44231900000000002</v>
      </c>
      <c r="E44" s="42">
        <v>10.714435</v>
      </c>
      <c r="F44" s="43">
        <v>0.73778200000000005</v>
      </c>
      <c r="G44" s="42">
        <v>19.155377000000001</v>
      </c>
      <c r="H44" s="43">
        <v>0.90045900000000001</v>
      </c>
      <c r="I44" s="42">
        <v>23.124827</v>
      </c>
      <c r="J44" s="43">
        <v>0.86692800000000003</v>
      </c>
      <c r="K44" s="42">
        <v>22.851049</v>
      </c>
      <c r="L44" s="43">
        <v>0.83492500000000003</v>
      </c>
      <c r="M44" s="42">
        <v>15.106154999999999</v>
      </c>
      <c r="N44" s="43">
        <v>0.77916399999999997</v>
      </c>
      <c r="O44" s="42">
        <v>5.1649079999999996</v>
      </c>
      <c r="P44" s="43">
        <v>0.431504</v>
      </c>
      <c r="Q44" s="42">
        <v>0.65282700000000005</v>
      </c>
      <c r="R44" s="43">
        <v>0.14255200000000001</v>
      </c>
    </row>
    <row r="45" spans="2:18">
      <c r="B45" s="41" t="s">
        <v>18</v>
      </c>
      <c r="C45" s="42">
        <v>3.387025</v>
      </c>
      <c r="D45" s="43">
        <v>0.41262599999999999</v>
      </c>
      <c r="E45" s="42">
        <v>10.758266000000001</v>
      </c>
      <c r="F45" s="43">
        <v>0.70296000000000003</v>
      </c>
      <c r="G45" s="42">
        <v>19.377230999999998</v>
      </c>
      <c r="H45" s="43">
        <v>0.73536999999999997</v>
      </c>
      <c r="I45" s="42">
        <v>24.913398000000001</v>
      </c>
      <c r="J45" s="43">
        <v>0.86538099999999996</v>
      </c>
      <c r="K45" s="42">
        <v>23.666651999999999</v>
      </c>
      <c r="L45" s="43">
        <v>0.89142299999999997</v>
      </c>
      <c r="M45" s="42">
        <v>13.487219</v>
      </c>
      <c r="N45" s="43">
        <v>0.70260299999999998</v>
      </c>
      <c r="O45" s="42">
        <v>3.923502</v>
      </c>
      <c r="P45" s="43">
        <v>0.42442800000000003</v>
      </c>
      <c r="Q45" s="42">
        <v>0.486707</v>
      </c>
      <c r="R45" s="43">
        <v>0.139435</v>
      </c>
    </row>
    <row r="46" spans="2:18">
      <c r="B46" s="41" t="s">
        <v>2</v>
      </c>
      <c r="C46" s="42">
        <v>0.97172800000000004</v>
      </c>
      <c r="D46" s="43">
        <v>0.20622099999999999</v>
      </c>
      <c r="E46" s="42">
        <v>8.8273449999999993</v>
      </c>
      <c r="F46" s="43">
        <v>0.665767</v>
      </c>
      <c r="G46" s="42">
        <v>25.544428</v>
      </c>
      <c r="H46" s="43">
        <v>1.001784</v>
      </c>
      <c r="I46" s="42">
        <v>33.124783999999998</v>
      </c>
      <c r="J46" s="43">
        <v>0.98230600000000001</v>
      </c>
      <c r="K46" s="42">
        <v>22.561534999999999</v>
      </c>
      <c r="L46" s="43">
        <v>0.96289199999999997</v>
      </c>
      <c r="M46" s="42">
        <v>7.9401200000000003</v>
      </c>
      <c r="N46" s="43">
        <v>0.55583700000000003</v>
      </c>
      <c r="O46" s="42">
        <v>0.99574099999999999</v>
      </c>
      <c r="P46" s="43">
        <v>0.176538</v>
      </c>
      <c r="Q46" s="42">
        <v>3.4319000000000002E-2</v>
      </c>
      <c r="R46" s="43">
        <v>2.3789000000000001E-2</v>
      </c>
    </row>
    <row r="47" spans="2:18">
      <c r="B47" s="41" t="s">
        <v>35</v>
      </c>
      <c r="C47" s="42">
        <v>2.9051900000000002</v>
      </c>
      <c r="D47" s="43">
        <v>0.46309400000000001</v>
      </c>
      <c r="E47" s="42">
        <v>13.051368</v>
      </c>
      <c r="F47" s="43">
        <v>1.1540900000000001</v>
      </c>
      <c r="G47" s="42">
        <v>27.990053</v>
      </c>
      <c r="H47" s="43">
        <v>1.4176500000000001</v>
      </c>
      <c r="I47" s="42">
        <v>29.761509</v>
      </c>
      <c r="J47" s="43">
        <v>1.027039</v>
      </c>
      <c r="K47" s="42">
        <v>18.911518000000001</v>
      </c>
      <c r="L47" s="43">
        <v>1.295353</v>
      </c>
      <c r="M47" s="42">
        <v>6.4014860000000002</v>
      </c>
      <c r="N47" s="43">
        <v>0.77543300000000004</v>
      </c>
      <c r="O47" s="42">
        <v>0.92922199999999999</v>
      </c>
      <c r="P47" s="43">
        <v>0.24879499999999999</v>
      </c>
      <c r="Q47" s="42">
        <v>4.9653000000000003E-2</v>
      </c>
      <c r="R47" s="43">
        <v>4.1195000000000002E-2</v>
      </c>
    </row>
    <row r="48" spans="2:18">
      <c r="B48" s="41" t="s">
        <v>22</v>
      </c>
      <c r="C48" s="42">
        <v>2.9501979999999999</v>
      </c>
      <c r="D48" s="43">
        <v>0.50015299999999996</v>
      </c>
      <c r="E48" s="42">
        <v>15.281874</v>
      </c>
      <c r="F48" s="43">
        <v>1.007566</v>
      </c>
      <c r="G48" s="42">
        <v>28.274543000000001</v>
      </c>
      <c r="H48" s="43">
        <v>0.922072</v>
      </c>
      <c r="I48" s="42">
        <v>26.697869000000001</v>
      </c>
      <c r="J48" s="43">
        <v>1.1102730000000001</v>
      </c>
      <c r="K48" s="42">
        <v>17.879180000000002</v>
      </c>
      <c r="L48" s="43">
        <v>0.87305900000000003</v>
      </c>
      <c r="M48" s="42">
        <v>7.3976699999999997</v>
      </c>
      <c r="N48" s="43">
        <v>0.64474699999999996</v>
      </c>
      <c r="O48" s="42">
        <v>1.4383250000000001</v>
      </c>
      <c r="P48" s="43">
        <v>0.319602</v>
      </c>
      <c r="Q48" s="42">
        <v>8.0340999999999996E-2</v>
      </c>
      <c r="R48" s="43">
        <v>5.9783999999999997E-2</v>
      </c>
    </row>
    <row r="49" spans="2:18">
      <c r="B49" s="41" t="s">
        <v>4</v>
      </c>
      <c r="C49" s="42">
        <v>1.0210980000000001</v>
      </c>
      <c r="D49" s="43">
        <v>0.257743</v>
      </c>
      <c r="E49" s="42">
        <v>11.605914</v>
      </c>
      <c r="F49" s="43">
        <v>0.97204599999999997</v>
      </c>
      <c r="G49" s="42">
        <v>34.180678999999998</v>
      </c>
      <c r="H49" s="43">
        <v>1.2708950000000001</v>
      </c>
      <c r="I49" s="42">
        <v>33.949592000000003</v>
      </c>
      <c r="J49" s="43">
        <v>0.93032499999999996</v>
      </c>
      <c r="K49" s="42">
        <v>15.453605</v>
      </c>
      <c r="L49" s="43">
        <v>0.86668900000000004</v>
      </c>
      <c r="M49" s="42">
        <v>3.536324</v>
      </c>
      <c r="N49" s="43">
        <v>0.46928599999999998</v>
      </c>
      <c r="O49" s="42">
        <v>0.25278699999999998</v>
      </c>
      <c r="P49" s="43">
        <v>9.7081000000000001E-2</v>
      </c>
      <c r="Q49" s="42">
        <v>0</v>
      </c>
      <c r="R49" s="43">
        <v>0</v>
      </c>
    </row>
    <row r="50" spans="2:18">
      <c r="B50" s="41" t="s">
        <v>31</v>
      </c>
      <c r="C50" s="42">
        <v>2.0667209999999998</v>
      </c>
      <c r="D50" s="43">
        <v>0.32749299999999998</v>
      </c>
      <c r="E50" s="42">
        <v>15.310340999999999</v>
      </c>
      <c r="F50" s="43">
        <v>1.1187009999999999</v>
      </c>
      <c r="G50" s="42">
        <v>32.989773999999997</v>
      </c>
      <c r="H50" s="43">
        <v>1.071898</v>
      </c>
      <c r="I50" s="42">
        <v>29.641057</v>
      </c>
      <c r="J50" s="43">
        <v>1.206143</v>
      </c>
      <c r="K50" s="42">
        <v>15.366948000000001</v>
      </c>
      <c r="L50" s="43">
        <v>0.84401400000000004</v>
      </c>
      <c r="M50" s="42">
        <v>4.1840679999999999</v>
      </c>
      <c r="N50" s="43">
        <v>0.441884</v>
      </c>
      <c r="O50" s="42">
        <v>0.42860799999999999</v>
      </c>
      <c r="P50" s="43">
        <v>0.109238</v>
      </c>
      <c r="Q50" s="42">
        <v>1.2482999999999999E-2</v>
      </c>
      <c r="R50" s="43">
        <v>1.6032999999999999E-2</v>
      </c>
    </row>
    <row r="51" spans="2:18">
      <c r="B51" s="41"/>
      <c r="C51" s="42"/>
      <c r="D51" s="43"/>
      <c r="E51" s="42"/>
      <c r="F51" s="43"/>
      <c r="G51" s="42"/>
      <c r="H51" s="43"/>
      <c r="I51" s="42"/>
      <c r="J51" s="43"/>
      <c r="K51" s="42"/>
      <c r="L51" s="43"/>
      <c r="M51" s="42"/>
      <c r="N51" s="43"/>
      <c r="O51" s="42"/>
      <c r="P51" s="43"/>
      <c r="Q51" s="42"/>
      <c r="R51" s="43"/>
    </row>
    <row r="52" spans="2:18">
      <c r="B52" s="41" t="s">
        <v>44</v>
      </c>
      <c r="C52" s="42">
        <v>0.76760700000000004</v>
      </c>
      <c r="D52" s="43">
        <v>6.6310999999999995E-2</v>
      </c>
      <c r="E52" s="42">
        <v>5.1640249999999996</v>
      </c>
      <c r="F52" s="43">
        <v>0.143677</v>
      </c>
      <c r="G52" s="42">
        <v>15.386620000000001</v>
      </c>
      <c r="H52" s="43">
        <v>0.218662</v>
      </c>
      <c r="I52" s="42">
        <v>25.469543000000002</v>
      </c>
      <c r="J52" s="43">
        <v>0.282914</v>
      </c>
      <c r="K52" s="42">
        <v>27.708711000000001</v>
      </c>
      <c r="L52" s="43">
        <v>0.26766099999999998</v>
      </c>
      <c r="M52" s="42">
        <v>18.612196000000001</v>
      </c>
      <c r="N52" s="43">
        <v>0.267237</v>
      </c>
      <c r="O52" s="42">
        <v>6.0549780000000002</v>
      </c>
      <c r="P52" s="43">
        <v>0.17616100000000001</v>
      </c>
      <c r="Q52" s="42">
        <v>0.83631999999999995</v>
      </c>
      <c r="R52" s="43">
        <v>6.0551000000000001E-2</v>
      </c>
    </row>
    <row r="53" spans="2:18">
      <c r="B53" s="41" t="s">
        <v>43</v>
      </c>
      <c r="C53" s="42">
        <v>0.71143699999999999</v>
      </c>
      <c r="D53" s="43">
        <v>3.0419000000000002E-2</v>
      </c>
      <c r="E53" s="42">
        <v>5.2319849999999999</v>
      </c>
      <c r="F53" s="43">
        <v>8.4089999999999998E-2</v>
      </c>
      <c r="G53" s="42">
        <v>16.030645</v>
      </c>
      <c r="H53" s="43">
        <v>0.12602099999999999</v>
      </c>
      <c r="I53" s="42">
        <v>25.758991999999999</v>
      </c>
      <c r="J53" s="43">
        <v>0.13907600000000001</v>
      </c>
      <c r="K53" s="42">
        <v>27.401834000000001</v>
      </c>
      <c r="L53" s="43">
        <v>0.14530999999999999</v>
      </c>
      <c r="M53" s="42">
        <v>18.112442000000001</v>
      </c>
      <c r="N53" s="43">
        <v>0.12669800000000001</v>
      </c>
      <c r="O53" s="42">
        <v>5.9369519999999998</v>
      </c>
      <c r="P53" s="43">
        <v>8.1657999999999994E-2</v>
      </c>
      <c r="Q53" s="42">
        <v>0.81571199999999999</v>
      </c>
      <c r="R53" s="43">
        <v>2.9623E-2</v>
      </c>
    </row>
    <row r="54" spans="2:18">
      <c r="B54" s="41"/>
      <c r="C54" s="42"/>
      <c r="D54" s="43"/>
      <c r="E54" s="42"/>
      <c r="F54" s="43"/>
      <c r="G54" s="42"/>
      <c r="H54" s="43"/>
      <c r="I54" s="42"/>
      <c r="J54" s="43"/>
      <c r="K54" s="42"/>
      <c r="L54" s="43"/>
      <c r="M54" s="42"/>
      <c r="N54" s="43"/>
      <c r="O54" s="42"/>
      <c r="P54" s="43"/>
      <c r="Q54" s="42"/>
      <c r="R54" s="43"/>
    </row>
    <row r="55" spans="2:18">
      <c r="B55" s="41" t="s">
        <v>46</v>
      </c>
      <c r="C55" s="42">
        <v>0.39104299999999997</v>
      </c>
      <c r="D55" s="43">
        <v>0.18648500000000001</v>
      </c>
      <c r="E55" s="42">
        <v>2.6578300000000001</v>
      </c>
      <c r="F55" s="43">
        <v>0.55428200000000005</v>
      </c>
      <c r="G55" s="42">
        <v>10.627515000000001</v>
      </c>
      <c r="H55" s="43">
        <v>1.1577280000000001</v>
      </c>
      <c r="I55" s="42">
        <v>23.151737000000001</v>
      </c>
      <c r="J55" s="43">
        <v>1.3044530000000001</v>
      </c>
      <c r="K55" s="42">
        <v>32.390042999999999</v>
      </c>
      <c r="L55" s="43">
        <v>1.564154</v>
      </c>
      <c r="M55" s="42">
        <v>23.038208000000001</v>
      </c>
      <c r="N55" s="43">
        <v>1.2679609999999999</v>
      </c>
      <c r="O55" s="42">
        <v>6.9491899999999998</v>
      </c>
      <c r="P55" s="43">
        <v>0.95587100000000003</v>
      </c>
      <c r="Q55" s="42">
        <v>0.79443399999999997</v>
      </c>
      <c r="R55" s="43">
        <v>0.37592900000000001</v>
      </c>
    </row>
    <row r="56" spans="2:18">
      <c r="B56" s="41" t="s">
        <v>52</v>
      </c>
      <c r="C56" s="42">
        <v>0.343362</v>
      </c>
      <c r="D56" s="43">
        <v>0.173315</v>
      </c>
      <c r="E56" s="42">
        <v>3.4091200000000002</v>
      </c>
      <c r="F56" s="43">
        <v>0.71697</v>
      </c>
      <c r="G56" s="42">
        <v>11.813268000000001</v>
      </c>
      <c r="H56" s="43">
        <v>1.389648</v>
      </c>
      <c r="I56" s="42">
        <v>24.833667999999999</v>
      </c>
      <c r="J56" s="43">
        <v>1.3615889999999999</v>
      </c>
      <c r="K56" s="42">
        <v>32.756965000000001</v>
      </c>
      <c r="L56" s="43">
        <v>1.4861249999999999</v>
      </c>
      <c r="M56" s="42">
        <v>20.902096</v>
      </c>
      <c r="N56" s="43">
        <v>1.529293</v>
      </c>
      <c r="O56" s="42">
        <v>5.5723560000000001</v>
      </c>
      <c r="P56" s="43">
        <v>0.96764399999999995</v>
      </c>
      <c r="Q56" s="42">
        <v>0.36916399999999999</v>
      </c>
      <c r="R56" s="43">
        <v>0.17709800000000001</v>
      </c>
    </row>
    <row r="57" spans="2:18">
      <c r="B57" s="41" t="s">
        <v>51</v>
      </c>
      <c r="C57" s="42">
        <v>0.246671</v>
      </c>
      <c r="D57" s="43">
        <v>0.208814</v>
      </c>
      <c r="E57" s="42">
        <v>3.0542120000000001</v>
      </c>
      <c r="F57" s="43">
        <v>0.969082</v>
      </c>
      <c r="G57" s="42">
        <v>13.558688</v>
      </c>
      <c r="H57" s="43">
        <v>1.780605</v>
      </c>
      <c r="I57" s="42">
        <v>27.043811000000002</v>
      </c>
      <c r="J57" s="43">
        <v>2.5837629999999998</v>
      </c>
      <c r="K57" s="42">
        <v>31.896100000000001</v>
      </c>
      <c r="L57" s="43">
        <v>1.3428929999999999</v>
      </c>
      <c r="M57" s="42">
        <v>19.15502</v>
      </c>
      <c r="N57" s="43">
        <v>2.7202600000000001</v>
      </c>
      <c r="O57" s="42">
        <v>4.6960680000000004</v>
      </c>
      <c r="P57" s="43">
        <v>1.3097890000000001</v>
      </c>
      <c r="Q57" s="42">
        <v>0.34943200000000002</v>
      </c>
      <c r="R57" s="43">
        <v>0.26255099999999998</v>
      </c>
    </row>
    <row r="58" spans="2:18">
      <c r="B58" s="41" t="s">
        <v>129</v>
      </c>
      <c r="C58" s="42">
        <v>0.34670000000000001</v>
      </c>
      <c r="D58" s="43">
        <v>0.21512500000000001</v>
      </c>
      <c r="E58" s="42">
        <v>3.2152919999999998</v>
      </c>
      <c r="F58" s="43">
        <v>0.74592400000000003</v>
      </c>
      <c r="G58" s="42">
        <v>13.964644</v>
      </c>
      <c r="H58" s="43">
        <v>1.4138170000000001</v>
      </c>
      <c r="I58" s="42">
        <v>26.429848</v>
      </c>
      <c r="J58" s="43">
        <v>1.5398499999999999</v>
      </c>
      <c r="K58" s="42">
        <v>30.317491</v>
      </c>
      <c r="L58" s="43">
        <v>1.2511380000000001</v>
      </c>
      <c r="M58" s="42">
        <v>20.296481</v>
      </c>
      <c r="N58" s="43">
        <v>1.325035</v>
      </c>
      <c r="O58" s="42">
        <v>5.0215189999999996</v>
      </c>
      <c r="P58" s="43">
        <v>1.0761240000000001</v>
      </c>
      <c r="Q58" s="42">
        <v>0.408024</v>
      </c>
      <c r="R58" s="43">
        <v>0.215674</v>
      </c>
    </row>
    <row r="59" spans="2:18">
      <c r="B59" s="41" t="s">
        <v>61</v>
      </c>
      <c r="C59" s="42">
        <v>0.27642299999999997</v>
      </c>
      <c r="D59" s="43">
        <v>0.19129099999999999</v>
      </c>
      <c r="E59" s="42">
        <v>3.4104749999999999</v>
      </c>
      <c r="F59" s="43">
        <v>0.72314299999999998</v>
      </c>
      <c r="G59" s="42">
        <v>14.058472</v>
      </c>
      <c r="H59" s="43">
        <v>1.5415559999999999</v>
      </c>
      <c r="I59" s="42">
        <v>28.148990999999999</v>
      </c>
      <c r="J59" s="43">
        <v>1.873183</v>
      </c>
      <c r="K59" s="42">
        <v>31.027175</v>
      </c>
      <c r="L59" s="43">
        <v>1.6982139999999999</v>
      </c>
      <c r="M59" s="42">
        <v>18.184232000000002</v>
      </c>
      <c r="N59" s="43">
        <v>1.7768539999999999</v>
      </c>
      <c r="O59" s="42">
        <v>4.602411</v>
      </c>
      <c r="P59" s="43">
        <v>1.0275460000000001</v>
      </c>
      <c r="Q59" s="42">
        <v>0.29182200000000003</v>
      </c>
      <c r="R59" s="43">
        <v>0.25337799999999999</v>
      </c>
    </row>
    <row r="60" spans="2:18">
      <c r="B60" s="41" t="s">
        <v>48</v>
      </c>
      <c r="C60" s="42">
        <v>0.39205099999999998</v>
      </c>
      <c r="D60" s="43">
        <v>0.20472599999999999</v>
      </c>
      <c r="E60" s="42">
        <v>3.8811</v>
      </c>
      <c r="F60" s="43">
        <v>0.91945200000000005</v>
      </c>
      <c r="G60" s="42">
        <v>13.775871</v>
      </c>
      <c r="H60" s="43">
        <v>1.3405009999999999</v>
      </c>
      <c r="I60" s="42">
        <v>26.291170000000001</v>
      </c>
      <c r="J60" s="43">
        <v>1.5849139999999999</v>
      </c>
      <c r="K60" s="42">
        <v>31.460066999999999</v>
      </c>
      <c r="L60" s="43">
        <v>1.633318</v>
      </c>
      <c r="M60" s="42">
        <v>19.024260999999999</v>
      </c>
      <c r="N60" s="43">
        <v>1.4656549999999999</v>
      </c>
      <c r="O60" s="42">
        <v>4.8299190000000003</v>
      </c>
      <c r="P60" s="43">
        <v>0.98717100000000002</v>
      </c>
      <c r="Q60" s="42">
        <v>0.34556100000000001</v>
      </c>
      <c r="R60" s="43">
        <v>0.211921</v>
      </c>
    </row>
    <row r="61" spans="2:18">
      <c r="B61" s="41" t="s">
        <v>49</v>
      </c>
      <c r="C61" s="42">
        <v>0.39183600000000002</v>
      </c>
      <c r="D61" s="43">
        <v>0.16989899999999999</v>
      </c>
      <c r="E61" s="42">
        <v>3.6059049999999999</v>
      </c>
      <c r="F61" s="43">
        <v>0.556203</v>
      </c>
      <c r="G61" s="42">
        <v>14.622688999999999</v>
      </c>
      <c r="H61" s="43">
        <v>1.2201059999999999</v>
      </c>
      <c r="I61" s="42">
        <v>28.543192000000001</v>
      </c>
      <c r="J61" s="43">
        <v>1.179368</v>
      </c>
      <c r="K61" s="42">
        <v>32.138159999999999</v>
      </c>
      <c r="L61" s="43">
        <v>1.109599</v>
      </c>
      <c r="M61" s="42">
        <v>16.82386</v>
      </c>
      <c r="N61" s="43">
        <v>1.2527219999999999</v>
      </c>
      <c r="O61" s="42">
        <v>3.6065649999999998</v>
      </c>
      <c r="P61" s="43">
        <v>0.64549299999999998</v>
      </c>
      <c r="Q61" s="42">
        <v>0.267793</v>
      </c>
      <c r="R61" s="43">
        <v>0.136576</v>
      </c>
    </row>
    <row r="62" spans="2:18">
      <c r="B62" s="41" t="s">
        <v>54</v>
      </c>
      <c r="C62" s="42">
        <v>0.62273900000000004</v>
      </c>
      <c r="D62" s="43">
        <v>0.27140300000000001</v>
      </c>
      <c r="E62" s="42">
        <v>4.2820070000000001</v>
      </c>
      <c r="F62" s="43">
        <v>0.85534200000000005</v>
      </c>
      <c r="G62" s="42">
        <v>14.765497999999999</v>
      </c>
      <c r="H62" s="43">
        <v>1.482845</v>
      </c>
      <c r="I62" s="42">
        <v>27.226254999999998</v>
      </c>
      <c r="J62" s="43">
        <v>1.5394829999999999</v>
      </c>
      <c r="K62" s="42">
        <v>29.936489000000002</v>
      </c>
      <c r="L62" s="43">
        <v>1.547836</v>
      </c>
      <c r="M62" s="42">
        <v>18.364191000000002</v>
      </c>
      <c r="N62" s="43">
        <v>1.39757</v>
      </c>
      <c r="O62" s="42">
        <v>4.3683069999999997</v>
      </c>
      <c r="P62" s="43">
        <v>0.71489400000000003</v>
      </c>
      <c r="Q62" s="42">
        <v>0.43451400000000001</v>
      </c>
      <c r="R62" s="43">
        <v>0.21034900000000001</v>
      </c>
    </row>
    <row r="63" spans="2:18">
      <c r="B63" s="41" t="s">
        <v>67</v>
      </c>
      <c r="C63" s="42">
        <v>0.34463500000000002</v>
      </c>
      <c r="D63" s="43">
        <v>0.213421</v>
      </c>
      <c r="E63" s="42">
        <v>4.1859659999999996</v>
      </c>
      <c r="F63" s="43">
        <v>0.742923</v>
      </c>
      <c r="G63" s="42">
        <v>15.326244000000001</v>
      </c>
      <c r="H63" s="43">
        <v>1.4239649999999999</v>
      </c>
      <c r="I63" s="42">
        <v>30.832208999999999</v>
      </c>
      <c r="J63" s="43">
        <v>1.845018</v>
      </c>
      <c r="K63" s="42">
        <v>30.232509</v>
      </c>
      <c r="L63" s="43">
        <v>1.5887990000000001</v>
      </c>
      <c r="M63" s="42">
        <v>15.881988</v>
      </c>
      <c r="N63" s="43">
        <v>1.4814240000000001</v>
      </c>
      <c r="O63" s="42">
        <v>2.9794589999999999</v>
      </c>
      <c r="P63" s="43">
        <v>0.65025200000000005</v>
      </c>
      <c r="Q63" s="42">
        <v>0.21699099999999999</v>
      </c>
      <c r="R63" s="43">
        <v>0.184199</v>
      </c>
    </row>
    <row r="64" spans="2:18">
      <c r="B64" s="41" t="s">
        <v>58</v>
      </c>
      <c r="C64" s="42">
        <v>0.51872200000000002</v>
      </c>
      <c r="D64" s="43">
        <v>0.186919</v>
      </c>
      <c r="E64" s="42">
        <v>4.0431699999999999</v>
      </c>
      <c r="F64" s="43">
        <v>0.518598</v>
      </c>
      <c r="G64" s="42">
        <v>15.578182999999999</v>
      </c>
      <c r="H64" s="43">
        <v>1.038124</v>
      </c>
      <c r="I64" s="42">
        <v>27.870208000000002</v>
      </c>
      <c r="J64" s="43">
        <v>0.96859499999999998</v>
      </c>
      <c r="K64" s="42">
        <v>30.03171</v>
      </c>
      <c r="L64" s="43">
        <v>0.94841200000000003</v>
      </c>
      <c r="M64" s="42">
        <v>17.719526999999999</v>
      </c>
      <c r="N64" s="43">
        <v>0.88577499999999998</v>
      </c>
      <c r="O64" s="42">
        <v>3.8955410000000001</v>
      </c>
      <c r="P64" s="43">
        <v>0.37596299999999999</v>
      </c>
      <c r="Q64" s="42">
        <v>0.34293899999999999</v>
      </c>
      <c r="R64" s="43">
        <v>0.13800399999999999</v>
      </c>
    </row>
    <row r="65" spans="2:18">
      <c r="B65" s="41" t="s">
        <v>57</v>
      </c>
      <c r="C65" s="42">
        <v>0.74370499999999995</v>
      </c>
      <c r="D65" s="43">
        <v>0.39707900000000002</v>
      </c>
      <c r="E65" s="42">
        <v>4.2001749999999998</v>
      </c>
      <c r="F65" s="43">
        <v>0.79577699999999996</v>
      </c>
      <c r="G65" s="42">
        <v>15.475759</v>
      </c>
      <c r="H65" s="43">
        <v>1.7741210000000001</v>
      </c>
      <c r="I65" s="42">
        <v>27.461676000000001</v>
      </c>
      <c r="J65" s="43">
        <v>2.0652170000000001</v>
      </c>
      <c r="K65" s="42">
        <v>30.207819000000001</v>
      </c>
      <c r="L65" s="43">
        <v>1.7202539999999999</v>
      </c>
      <c r="M65" s="42">
        <v>17.382235999999999</v>
      </c>
      <c r="N65" s="43">
        <v>2.0554709999999998</v>
      </c>
      <c r="O65" s="42">
        <v>3.9581970000000002</v>
      </c>
      <c r="P65" s="43">
        <v>0.88604300000000003</v>
      </c>
      <c r="Q65" s="42">
        <v>0.570434</v>
      </c>
      <c r="R65" s="43">
        <v>0.37167</v>
      </c>
    </row>
    <row r="66" spans="2:18">
      <c r="B66" s="41" t="s">
        <v>53</v>
      </c>
      <c r="C66" s="42">
        <v>0.36205700000000002</v>
      </c>
      <c r="D66" s="43">
        <v>0.21673899999999999</v>
      </c>
      <c r="E66" s="42">
        <v>4.0236609999999997</v>
      </c>
      <c r="F66" s="43">
        <v>0.79998800000000003</v>
      </c>
      <c r="G66" s="42">
        <v>16.612749999999998</v>
      </c>
      <c r="H66" s="43">
        <v>1.5327249999999999</v>
      </c>
      <c r="I66" s="42">
        <v>28.402379</v>
      </c>
      <c r="J66" s="43">
        <v>1.516975</v>
      </c>
      <c r="K66" s="42">
        <v>29.354320000000001</v>
      </c>
      <c r="L66" s="43">
        <v>1.6546879999999999</v>
      </c>
      <c r="M66" s="42">
        <v>17.280867000000001</v>
      </c>
      <c r="N66" s="43">
        <v>1.525255</v>
      </c>
      <c r="O66" s="42">
        <v>3.6613699999999998</v>
      </c>
      <c r="P66" s="43">
        <v>0.91780300000000004</v>
      </c>
      <c r="Q66" s="42">
        <v>0.30259599999999998</v>
      </c>
      <c r="R66" s="43">
        <v>0.17449700000000001</v>
      </c>
    </row>
    <row r="67" spans="2:18">
      <c r="B67" s="41" t="s">
        <v>56</v>
      </c>
      <c r="C67" s="42">
        <v>0.55356799999999995</v>
      </c>
      <c r="D67" s="43">
        <v>0.27674900000000002</v>
      </c>
      <c r="E67" s="42">
        <v>4.4183909999999997</v>
      </c>
      <c r="F67" s="43">
        <v>0.870807</v>
      </c>
      <c r="G67" s="42">
        <v>16.756509999999999</v>
      </c>
      <c r="H67" s="43">
        <v>1.7022740000000001</v>
      </c>
      <c r="I67" s="42">
        <v>30.812263000000002</v>
      </c>
      <c r="J67" s="43">
        <v>1.7316339999999999</v>
      </c>
      <c r="K67" s="42">
        <v>29.529146999999998</v>
      </c>
      <c r="L67" s="43">
        <v>1.6532</v>
      </c>
      <c r="M67" s="42">
        <v>14.852142000000001</v>
      </c>
      <c r="N67" s="43">
        <v>1.3272139999999999</v>
      </c>
      <c r="O67" s="42">
        <v>2.8952969999999998</v>
      </c>
      <c r="P67" s="43">
        <v>0.58972100000000005</v>
      </c>
      <c r="Q67" s="42">
        <v>0.18268400000000001</v>
      </c>
      <c r="R67" s="43">
        <v>0.12978100000000001</v>
      </c>
    </row>
    <row r="68" spans="2:18">
      <c r="B68" s="41" t="s">
        <v>45</v>
      </c>
      <c r="C68" s="42">
        <v>0.67740299999999998</v>
      </c>
      <c r="D68" s="43">
        <v>0.34276000000000001</v>
      </c>
      <c r="E68" s="42">
        <v>4.7384680000000001</v>
      </c>
      <c r="F68" s="43">
        <v>1.001582</v>
      </c>
      <c r="G68" s="42">
        <v>17.955406</v>
      </c>
      <c r="H68" s="43">
        <v>1.838096</v>
      </c>
      <c r="I68" s="42">
        <v>31.642973000000001</v>
      </c>
      <c r="J68" s="43">
        <v>1.2294929999999999</v>
      </c>
      <c r="K68" s="42">
        <v>28.120156999999999</v>
      </c>
      <c r="L68" s="43">
        <v>1.6432990000000001</v>
      </c>
      <c r="M68" s="42">
        <v>13.751612</v>
      </c>
      <c r="N68" s="43">
        <v>1.5575730000000001</v>
      </c>
      <c r="O68" s="42">
        <v>2.9198339999999998</v>
      </c>
      <c r="P68" s="43">
        <v>0.63250700000000004</v>
      </c>
      <c r="Q68" s="42">
        <v>0.19414799999999999</v>
      </c>
      <c r="R68" s="43">
        <v>0.15257599999999999</v>
      </c>
    </row>
    <row r="69" spans="2:18">
      <c r="B69" s="41" t="s">
        <v>60</v>
      </c>
      <c r="C69" s="42">
        <v>0.79169400000000001</v>
      </c>
      <c r="D69" s="43">
        <v>0.39344200000000001</v>
      </c>
      <c r="E69" s="42">
        <v>5.7514830000000003</v>
      </c>
      <c r="F69" s="43">
        <v>1.059925</v>
      </c>
      <c r="G69" s="42">
        <v>17.411249000000002</v>
      </c>
      <c r="H69" s="43">
        <v>1.625373</v>
      </c>
      <c r="I69" s="42">
        <v>27.103363999999999</v>
      </c>
      <c r="J69" s="43">
        <v>1.7320739999999999</v>
      </c>
      <c r="K69" s="42">
        <v>27.988976999999998</v>
      </c>
      <c r="L69" s="43">
        <v>1.298413</v>
      </c>
      <c r="M69" s="42">
        <v>16.836124999999999</v>
      </c>
      <c r="N69" s="43">
        <v>1.478518</v>
      </c>
      <c r="O69" s="42">
        <v>3.8401839999999998</v>
      </c>
      <c r="P69" s="43">
        <v>0.767073</v>
      </c>
      <c r="Q69" s="42">
        <v>0.27692499999999998</v>
      </c>
      <c r="R69" s="43">
        <v>0.178005</v>
      </c>
    </row>
    <row r="70" spans="2:18">
      <c r="B70" s="41" t="s">
        <v>68</v>
      </c>
      <c r="C70" s="42">
        <v>0.60468200000000005</v>
      </c>
      <c r="D70" s="43">
        <v>0.28110600000000002</v>
      </c>
      <c r="E70" s="42">
        <v>5.512079</v>
      </c>
      <c r="F70" s="43">
        <v>0.98985400000000001</v>
      </c>
      <c r="G70" s="42">
        <v>18.886503999999999</v>
      </c>
      <c r="H70" s="43">
        <v>1.4797800000000001</v>
      </c>
      <c r="I70" s="42">
        <v>31.067641999999999</v>
      </c>
      <c r="J70" s="43">
        <v>1.3762730000000001</v>
      </c>
      <c r="K70" s="42">
        <v>28.244655000000002</v>
      </c>
      <c r="L70" s="43">
        <v>1.3799250000000001</v>
      </c>
      <c r="M70" s="42">
        <v>12.978852</v>
      </c>
      <c r="N70" s="43">
        <v>1.147751</v>
      </c>
      <c r="O70" s="42">
        <v>2.4858690000000001</v>
      </c>
      <c r="P70" s="43">
        <v>0.577125</v>
      </c>
      <c r="Q70" s="42">
        <v>0.21971599999999999</v>
      </c>
      <c r="R70" s="43">
        <v>0.130408</v>
      </c>
    </row>
    <row r="71" spans="2:18">
      <c r="B71" s="41" t="s">
        <v>47</v>
      </c>
      <c r="C71" s="42">
        <v>0.67174500000000004</v>
      </c>
      <c r="D71" s="43">
        <v>0.37676100000000001</v>
      </c>
      <c r="E71" s="42">
        <v>5.8258840000000003</v>
      </c>
      <c r="F71" s="43">
        <v>0.80876700000000001</v>
      </c>
      <c r="G71" s="42">
        <v>19.494911999999999</v>
      </c>
      <c r="H71" s="43">
        <v>1.64497</v>
      </c>
      <c r="I71" s="42">
        <v>29.718575999999999</v>
      </c>
      <c r="J71" s="43">
        <v>1.7171540000000001</v>
      </c>
      <c r="K71" s="42">
        <v>26.718622</v>
      </c>
      <c r="L71" s="43">
        <v>1.4489190000000001</v>
      </c>
      <c r="M71" s="42">
        <v>14.109251</v>
      </c>
      <c r="N71" s="43">
        <v>1.376188</v>
      </c>
      <c r="O71" s="42">
        <v>3.2685580000000001</v>
      </c>
      <c r="P71" s="43">
        <v>0.66369900000000004</v>
      </c>
      <c r="Q71" s="42">
        <v>0.19245300000000001</v>
      </c>
      <c r="R71" s="43">
        <v>0.153007</v>
      </c>
    </row>
    <row r="72" spans="2:18">
      <c r="B72" s="41" t="s">
        <v>59</v>
      </c>
      <c r="C72" s="42">
        <v>1.5028699999999999</v>
      </c>
      <c r="D72" s="43">
        <v>1.072182</v>
      </c>
      <c r="E72" s="42">
        <v>9.0861649999999994</v>
      </c>
      <c r="F72" s="43">
        <v>2.4652759999999998</v>
      </c>
      <c r="G72" s="42">
        <v>27.988060000000001</v>
      </c>
      <c r="H72" s="43">
        <v>3.5667879999999998</v>
      </c>
      <c r="I72" s="42">
        <v>32.052719000000003</v>
      </c>
      <c r="J72" s="43">
        <v>3.5809700000000002</v>
      </c>
      <c r="K72" s="42">
        <v>20.155995999999998</v>
      </c>
      <c r="L72" s="43">
        <v>3.0361340000000001</v>
      </c>
      <c r="M72" s="42">
        <v>7.8469519999999999</v>
      </c>
      <c r="N72" s="43">
        <v>2.2459039999999999</v>
      </c>
      <c r="O72" s="42">
        <v>1.288252</v>
      </c>
      <c r="P72" s="43">
        <v>0.90169299999999997</v>
      </c>
      <c r="Q72" s="42">
        <v>7.8985E-2</v>
      </c>
      <c r="R72" s="43">
        <v>0.249144</v>
      </c>
    </row>
    <row r="73" spans="2:18">
      <c r="B73" s="41" t="s">
        <v>55</v>
      </c>
      <c r="C73" s="42">
        <v>1.762554</v>
      </c>
      <c r="D73" s="43">
        <v>1.033601</v>
      </c>
      <c r="E73" s="42">
        <v>15.849256</v>
      </c>
      <c r="F73" s="43">
        <v>3.5831580000000001</v>
      </c>
      <c r="G73" s="42">
        <v>31.907772000000001</v>
      </c>
      <c r="H73" s="43">
        <v>3.9438249999999999</v>
      </c>
      <c r="I73" s="42">
        <v>29.927530999999998</v>
      </c>
      <c r="J73" s="43">
        <v>4.048095</v>
      </c>
      <c r="K73" s="42">
        <v>14.799882999999999</v>
      </c>
      <c r="L73" s="43">
        <v>2.2751830000000002</v>
      </c>
      <c r="M73" s="42">
        <v>5.1521520000000001</v>
      </c>
      <c r="N73" s="43">
        <v>1.737136</v>
      </c>
      <c r="O73" s="42">
        <v>0.59086799999999995</v>
      </c>
      <c r="P73" s="43">
        <v>0.55210099999999995</v>
      </c>
      <c r="Q73" s="42">
        <v>9.9830000000000006E-3</v>
      </c>
      <c r="R73" s="43">
        <v>4.5767000000000002E-2</v>
      </c>
    </row>
  </sheetData>
  <sortState ref="B11:F51">
    <sortCondition descending="1" ref="C10:C50"/>
  </sortState>
  <mergeCells count="10">
    <mergeCell ref="M8:N8"/>
    <mergeCell ref="O8:P8"/>
    <mergeCell ref="Q8:R8"/>
    <mergeCell ref="G8:H8"/>
    <mergeCell ref="B7:R7"/>
    <mergeCell ref="C8:D8"/>
    <mergeCell ref="E8:F8"/>
    <mergeCell ref="B8:B9"/>
    <mergeCell ref="I8:J8"/>
    <mergeCell ref="K8:L8"/>
  </mergeCells>
  <hyperlinks>
    <hyperlink ref="B5" location="Índice!A1" display="Índice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7"/>
  <sheetViews>
    <sheetView tabSelected="1" topLeftCell="B1" zoomScale="80" zoomScaleNormal="80" workbookViewId="0">
      <selection activeCell="I12" sqref="I12"/>
    </sheetView>
  </sheetViews>
  <sheetFormatPr baseColWidth="10" defaultRowHeight="15"/>
  <cols>
    <col min="1" max="1" width="11.42578125" style="2"/>
    <col min="2" max="2" width="14.5703125" style="2" customWidth="1"/>
    <col min="3" max="6" width="12.7109375" style="2" customWidth="1"/>
    <col min="7" max="7" width="12.85546875" style="24" customWidth="1"/>
    <col min="8" max="18" width="12.7109375" style="2" customWidth="1"/>
    <col min="19" max="16384" width="11.42578125" style="2"/>
  </cols>
  <sheetData>
    <row r="2" spans="2:18">
      <c r="B2" s="34" t="s">
        <v>96</v>
      </c>
    </row>
    <row r="3" spans="2:18">
      <c r="B3" s="18" t="s">
        <v>132</v>
      </c>
    </row>
    <row r="4" spans="2:18">
      <c r="B4" s="11" t="s">
        <v>128</v>
      </c>
    </row>
    <row r="5" spans="2:18">
      <c r="B5" s="4" t="s">
        <v>0</v>
      </c>
    </row>
    <row r="6" spans="2:18">
      <c r="B6" s="4"/>
    </row>
    <row r="7" spans="2:18" ht="18.75" customHeight="1">
      <c r="B7" s="69" t="s">
        <v>83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</row>
    <row r="8" spans="2:18" ht="15.75" customHeight="1">
      <c r="B8" s="69" t="s">
        <v>62</v>
      </c>
      <c r="C8" s="69" t="s">
        <v>69</v>
      </c>
      <c r="D8" s="69"/>
      <c r="E8" s="69"/>
      <c r="F8" s="69"/>
      <c r="G8" s="69"/>
      <c r="H8" s="69"/>
      <c r="I8" s="69"/>
      <c r="J8" s="69"/>
      <c r="K8" s="69" t="s">
        <v>70</v>
      </c>
      <c r="L8" s="69"/>
      <c r="M8" s="69"/>
      <c r="N8" s="69"/>
      <c r="O8" s="69"/>
      <c r="P8" s="69"/>
      <c r="Q8" s="69"/>
      <c r="R8" s="69"/>
    </row>
    <row r="9" spans="2:18" ht="15.75" customHeight="1">
      <c r="B9" s="69"/>
      <c r="C9" s="69">
        <v>2009</v>
      </c>
      <c r="D9" s="69"/>
      <c r="E9" s="69">
        <v>2012</v>
      </c>
      <c r="F9" s="69"/>
      <c r="G9" s="69">
        <v>2015</v>
      </c>
      <c r="H9" s="69"/>
      <c r="I9" s="69">
        <v>2018</v>
      </c>
      <c r="J9" s="69"/>
      <c r="K9" s="69">
        <v>2009</v>
      </c>
      <c r="L9" s="69"/>
      <c r="M9" s="69">
        <v>2012</v>
      </c>
      <c r="N9" s="69"/>
      <c r="O9" s="69">
        <v>2015</v>
      </c>
      <c r="P9" s="69"/>
      <c r="Q9" s="69">
        <v>2018</v>
      </c>
      <c r="R9" s="69"/>
    </row>
    <row r="10" spans="2:18" ht="15.75" customHeight="1">
      <c r="B10" s="69"/>
      <c r="C10" s="37" t="s">
        <v>71</v>
      </c>
      <c r="D10" s="37" t="s">
        <v>64</v>
      </c>
      <c r="E10" s="37" t="s">
        <v>71</v>
      </c>
      <c r="F10" s="37" t="s">
        <v>64</v>
      </c>
      <c r="G10" s="37" t="s">
        <v>71</v>
      </c>
      <c r="H10" s="37" t="s">
        <v>64</v>
      </c>
      <c r="I10" s="37" t="s">
        <v>71</v>
      </c>
      <c r="J10" s="37" t="s">
        <v>64</v>
      </c>
      <c r="K10" s="37" t="s">
        <v>71</v>
      </c>
      <c r="L10" s="37" t="s">
        <v>64</v>
      </c>
      <c r="M10" s="37" t="s">
        <v>71</v>
      </c>
      <c r="N10" s="37" t="s">
        <v>64</v>
      </c>
      <c r="O10" s="37" t="s">
        <v>71</v>
      </c>
      <c r="P10" s="37" t="s">
        <v>64</v>
      </c>
      <c r="Q10" s="37" t="s">
        <v>71</v>
      </c>
      <c r="R10" s="37" t="s">
        <v>64</v>
      </c>
    </row>
    <row r="11" spans="2:18">
      <c r="B11" s="41" t="s">
        <v>28</v>
      </c>
      <c r="C11" s="44">
        <v>18</v>
      </c>
      <c r="D11" s="44">
        <v>0.9</v>
      </c>
      <c r="E11" s="44">
        <v>16</v>
      </c>
      <c r="F11" s="44">
        <v>0.7</v>
      </c>
      <c r="G11" s="44">
        <v>18</v>
      </c>
      <c r="H11" s="44">
        <v>0.8</v>
      </c>
      <c r="I11" s="61">
        <v>21.274743000000001</v>
      </c>
      <c r="J11" s="60">
        <v>0.64514499999999997</v>
      </c>
      <c r="K11" s="44">
        <v>4</v>
      </c>
      <c r="L11" s="44">
        <v>0.3</v>
      </c>
      <c r="M11" s="44">
        <v>5</v>
      </c>
      <c r="N11" s="44">
        <v>0.3</v>
      </c>
      <c r="O11" s="44">
        <v>5</v>
      </c>
      <c r="P11" s="44">
        <v>0.4</v>
      </c>
      <c r="Q11" s="61">
        <v>4.184234</v>
      </c>
      <c r="R11" s="60">
        <v>0.27108900000000002</v>
      </c>
    </row>
    <row r="12" spans="2:18">
      <c r="B12" s="41" t="s">
        <v>63</v>
      </c>
      <c r="C12" s="44">
        <v>18</v>
      </c>
      <c r="D12" s="44">
        <v>0.2</v>
      </c>
      <c r="E12" s="44">
        <v>18</v>
      </c>
      <c r="F12" s="44">
        <v>0.2</v>
      </c>
      <c r="G12" s="44">
        <v>21</v>
      </c>
      <c r="H12" s="44">
        <v>0.2</v>
      </c>
      <c r="I12" s="61">
        <v>21.974067000000002</v>
      </c>
      <c r="J12" s="60">
        <v>0.16037499999999999</v>
      </c>
      <c r="K12" s="44">
        <v>8</v>
      </c>
      <c r="L12" s="44">
        <v>0.1</v>
      </c>
      <c r="M12" s="44">
        <v>8</v>
      </c>
      <c r="N12" s="44">
        <v>0.1</v>
      </c>
      <c r="O12" s="44">
        <v>8</v>
      </c>
      <c r="P12" s="44">
        <v>0.1</v>
      </c>
      <c r="Q12" s="61">
        <v>6.7526650000000004</v>
      </c>
      <c r="R12" s="60">
        <v>8.9723999999999998E-2</v>
      </c>
    </row>
    <row r="16" spans="2:18">
      <c r="B16" s="24"/>
      <c r="C16" s="24"/>
      <c r="D16" s="24"/>
      <c r="E16" s="24"/>
      <c r="F16" s="24"/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 spans="2:17">
      <c r="B17" s="24"/>
      <c r="C17" s="24"/>
      <c r="D17" s="24"/>
      <c r="E17" s="24"/>
      <c r="F17" s="24"/>
      <c r="H17" s="24"/>
      <c r="I17" s="24"/>
      <c r="J17" s="24"/>
      <c r="K17" s="24"/>
      <c r="L17" s="24"/>
      <c r="M17" s="24"/>
      <c r="N17" s="24"/>
      <c r="O17" s="24"/>
      <c r="P17" s="24"/>
      <c r="Q17" s="24"/>
    </row>
  </sheetData>
  <mergeCells count="12">
    <mergeCell ref="B7:R7"/>
    <mergeCell ref="B8:B10"/>
    <mergeCell ref="C8:J8"/>
    <mergeCell ref="K8:R8"/>
    <mergeCell ref="C9:D9"/>
    <mergeCell ref="E9:F9"/>
    <mergeCell ref="G9:H9"/>
    <mergeCell ref="I9:J9"/>
    <mergeCell ref="K9:L9"/>
    <mergeCell ref="M9:N9"/>
    <mergeCell ref="O9:P9"/>
    <mergeCell ref="Q9:R9"/>
  </mergeCells>
  <hyperlinks>
    <hyperlink ref="B5" location="Índice!A1" display="Índice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Santiago Mónica</dc:creator>
  <cp:lastModifiedBy>Illescas Martinez, Alberto</cp:lastModifiedBy>
  <dcterms:created xsi:type="dcterms:W3CDTF">2019-03-06T16:05:38Z</dcterms:created>
  <dcterms:modified xsi:type="dcterms:W3CDTF">2019-11-28T08:52:27Z</dcterms:modified>
</cp:coreProperties>
</file>